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udio/Documents/"/>
    </mc:Choice>
  </mc:AlternateContent>
  <xr:revisionPtr revIDLastSave="0" documentId="13_ncr:1_{79387E74-1345-3E4C-A631-456870CAEDAF}" xr6:coauthVersionLast="47" xr6:coauthVersionMax="47" xr10:uidLastSave="{00000000-0000-0000-0000-000000000000}"/>
  <bookViews>
    <workbookView xWindow="180" yWindow="500" windowWidth="34720" windowHeight="21100" xr2:uid="{B40E7760-C58D-AF43-B7C6-FCF222EF9370}"/>
  </bookViews>
  <sheets>
    <sheet name="FundingComparison" sheetId="35" r:id="rId1"/>
    <sheet name="PivotTableReport" sheetId="34" r:id="rId2"/>
    <sheet name="Schools" sheetId="2" r:id="rId3"/>
    <sheet name="Schools (3)" sheetId="3" r:id="rId4"/>
    <sheet name="Schools (4)" sheetId="4" r:id="rId5"/>
  </sheets>
  <definedNames>
    <definedName name="_xlnm._FilterDatabase" localSheetId="2" hidden="1">Schools!$G$1:$G$2271</definedName>
  </definedNames>
  <calcPr calcId="191029"/>
  <pivotCaches>
    <pivotCache cacheId="104" r:id="rId6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71" i="4" l="1"/>
  <c r="O2271" i="4"/>
  <c r="N2271" i="4"/>
  <c r="M2271" i="4"/>
  <c r="L2271" i="4"/>
  <c r="K2271" i="4"/>
  <c r="P2271" i="3"/>
  <c r="O2271" i="3"/>
  <c r="N2271" i="3"/>
  <c r="M2271" i="3"/>
  <c r="L2271" i="3"/>
  <c r="K2271" i="3"/>
  <c r="P2271" i="2"/>
  <c r="O2271" i="2"/>
  <c r="N2271" i="2"/>
  <c r="M2271" i="2"/>
  <c r="L2271" i="2"/>
  <c r="K2271" i="2"/>
</calcChain>
</file>

<file path=xl/sharedStrings.xml><?xml version="1.0" encoding="utf-8"?>
<sst xmlns="http://schemas.openxmlformats.org/spreadsheetml/2006/main" count="61342" uniqueCount="8287">
  <si>
    <t>County Code</t>
  </si>
  <si>
    <t>District Code</t>
  </si>
  <si>
    <t>School Code</t>
  </si>
  <si>
    <t>Charter Number</t>
  </si>
  <si>
    <t>Charter Fund Type</t>
  </si>
  <si>
    <t>Local Educational Agency</t>
  </si>
  <si>
    <t>LEA Type</t>
  </si>
  <si>
    <t>Determinative Elementary School for School Site Calculation of FRPM Eligible Preschool Pupils
A-1</t>
  </si>
  <si>
    <t>Determinative Elementary School CDS Code
A-2</t>
  </si>
  <si>
    <t>Determinative Elementary School Percentage of FRPM Eligible Pupils
A-3</t>
  </si>
  <si>
    <t>Total Number of School Sites in LEA*
B-1</t>
  </si>
  <si>
    <t>Total LEA Enrollment
B-2</t>
  </si>
  <si>
    <t>Total LEA FRPM Eligible Pupil Count
B-3</t>
  </si>
  <si>
    <t>AMS Funding Based on Share of Enrollment
C-1</t>
  </si>
  <si>
    <t>AMS Funding Based on Share of FRPM Eligible Pupils
C-2</t>
  </si>
  <si>
    <t>Preliminary AMS Entitlement
C-3</t>
  </si>
  <si>
    <t>01</t>
  </si>
  <si>
    <t>10017</t>
  </si>
  <si>
    <t>0000000</t>
  </si>
  <si>
    <t>N/A</t>
  </si>
  <si>
    <t>Alameda Co. Office of Education</t>
  </si>
  <si>
    <t>COE</t>
  </si>
  <si>
    <t>Reach Academy Elementary</t>
  </si>
  <si>
    <t>01 61259 0110239</t>
  </si>
  <si>
    <t>0112607</t>
  </si>
  <si>
    <t>0811</t>
  </si>
  <si>
    <t>D</t>
  </si>
  <si>
    <t>Envision Academy for Arts &amp; Technology</t>
  </si>
  <si>
    <t>Charter School</t>
  </si>
  <si>
    <t>01 10017 0112607</t>
  </si>
  <si>
    <t>0123968</t>
  </si>
  <si>
    <t>1284</t>
  </si>
  <si>
    <t>Community School for Creative Education</t>
  </si>
  <si>
    <t>01 10017 0123968</t>
  </si>
  <si>
    <t>0124172</t>
  </si>
  <si>
    <t>1296</t>
  </si>
  <si>
    <t>Yu Ming Charter</t>
  </si>
  <si>
    <t>01 10017 0124172</t>
  </si>
  <si>
    <t>0125567</t>
  </si>
  <si>
    <t>1383</t>
  </si>
  <si>
    <t>Urban Montessori Charter</t>
  </si>
  <si>
    <t>01 10017 0125567</t>
  </si>
  <si>
    <t>0129403</t>
  </si>
  <si>
    <t>1632</t>
  </si>
  <si>
    <t>Epic Charter</t>
  </si>
  <si>
    <t>0130625</t>
  </si>
  <si>
    <t>0398</t>
  </si>
  <si>
    <t>Alternatives in Action</t>
  </si>
  <si>
    <t>0131581</t>
  </si>
  <si>
    <t>1707</t>
  </si>
  <si>
    <t>Oakland Unity Middle School</t>
  </si>
  <si>
    <t>0136101</t>
  </si>
  <si>
    <t>1881</t>
  </si>
  <si>
    <t>Connecting Waters Charter School, East Bay</t>
  </si>
  <si>
    <t>01 10017 0136101</t>
  </si>
  <si>
    <t>0136226</t>
  </si>
  <si>
    <t>1888</t>
  </si>
  <si>
    <t>L</t>
  </si>
  <si>
    <t>Opportunity Academy</t>
  </si>
  <si>
    <t>0137448</t>
  </si>
  <si>
    <t>1908</t>
  </si>
  <si>
    <t>Aurum Preparatory Academy</t>
  </si>
  <si>
    <t>0138867</t>
  </si>
  <si>
    <t>2027</t>
  </si>
  <si>
    <t>Hayward Collegiate Charter</t>
  </si>
  <si>
    <t>01 10017 0138867</t>
  </si>
  <si>
    <t>6001788</t>
  </si>
  <si>
    <t>0740</t>
  </si>
  <si>
    <t>Cox Academy</t>
  </si>
  <si>
    <t>01 10017 6001788</t>
  </si>
  <si>
    <t>6002000</t>
  </si>
  <si>
    <t>1464</t>
  </si>
  <si>
    <t>Lazear Charter Academy</t>
  </si>
  <si>
    <t>01 10017 6002000</t>
  </si>
  <si>
    <t>31609</t>
  </si>
  <si>
    <t>0131755</t>
  </si>
  <si>
    <t>California School for the Blind (State Special Schl)</t>
  </si>
  <si>
    <t>State Special School</t>
  </si>
  <si>
    <t>31617</t>
  </si>
  <si>
    <t>0131763</t>
  </si>
  <si>
    <t>California School for the Deaf-Fremont (State Special Schl)</t>
  </si>
  <si>
    <t>61119</t>
  </si>
  <si>
    <t>Alameda Unified</t>
  </si>
  <si>
    <t>School District</t>
  </si>
  <si>
    <t>Ruby Bridges Elementary</t>
  </si>
  <si>
    <t>01 61119 0111765</t>
  </si>
  <si>
    <t>0119222</t>
  </si>
  <si>
    <t>1066</t>
  </si>
  <si>
    <t>Nea Community Learning Center</t>
  </si>
  <si>
    <t>01 61119 0119222</t>
  </si>
  <si>
    <t>0122085</t>
  </si>
  <si>
    <t>1181</t>
  </si>
  <si>
    <t>The Academy of Alameda</t>
  </si>
  <si>
    <t>01 61119 0122085</t>
  </si>
  <si>
    <t>0130609</t>
  </si>
  <si>
    <t>0352</t>
  </si>
  <si>
    <t>Alameda Community Learning Center</t>
  </si>
  <si>
    <t>01 61119 0130609</t>
  </si>
  <si>
    <t>61127</t>
  </si>
  <si>
    <t>Albany City Unified</t>
  </si>
  <si>
    <t>Ocean View Elementary</t>
  </si>
  <si>
    <t>01 61127 6116222</t>
  </si>
  <si>
    <t>61143</t>
  </si>
  <si>
    <t>Berkeley Unified</t>
  </si>
  <si>
    <t>John Muir Elementary</t>
  </si>
  <si>
    <t>01 61143 6105316</t>
  </si>
  <si>
    <t>61150</t>
  </si>
  <si>
    <t>Castro Valley Unified</t>
  </si>
  <si>
    <t>Castro Valley Virtual Academy</t>
  </si>
  <si>
    <t>01 61150 0133876</t>
  </si>
  <si>
    <t>61168</t>
  </si>
  <si>
    <t>Emery Unified</t>
  </si>
  <si>
    <t>Anna Yates Elementary</t>
  </si>
  <si>
    <t>01 61168 6090492</t>
  </si>
  <si>
    <t>61176</t>
  </si>
  <si>
    <t>Fremont Unified</t>
  </si>
  <si>
    <t>Cabrillo Elementary</t>
  </si>
  <si>
    <t>01 61176 6000566</t>
  </si>
  <si>
    <t>0130534</t>
  </si>
  <si>
    <t>0152</t>
  </si>
  <si>
    <t>Circle of Independent Learning</t>
  </si>
  <si>
    <t>01 61176 0130534</t>
  </si>
  <si>
    <t>61192</t>
  </si>
  <si>
    <t>Hayward Unified</t>
  </si>
  <si>
    <t>Park Elementary</t>
  </si>
  <si>
    <t>01 61192 6001101</t>
  </si>
  <si>
    <t>0108670</t>
  </si>
  <si>
    <t>0684</t>
  </si>
  <si>
    <t>Leadership Public Schools - Hayward</t>
  </si>
  <si>
    <t>0127696</t>
  </si>
  <si>
    <t>1514</t>
  </si>
  <si>
    <t>Knowledge Enlightens You (KEY) Academy</t>
  </si>
  <si>
    <t>01 61192 0127696</t>
  </si>
  <si>
    <t>0127944</t>
  </si>
  <si>
    <t>1543</t>
  </si>
  <si>
    <t>Hayward Twin Oaks Montessori</t>
  </si>
  <si>
    <t>01 61192 0127944</t>
  </si>
  <si>
    <t>0137646</t>
  </si>
  <si>
    <t>0836</t>
  </si>
  <si>
    <t>Impact Academy of Arts &amp; Technology</t>
  </si>
  <si>
    <t>01 61192 0137646</t>
  </si>
  <si>
    <t>61200</t>
  </si>
  <si>
    <t>Livermore Valley Joint Unified</t>
  </si>
  <si>
    <t>Marylin Avenue Elementary</t>
  </si>
  <si>
    <t>01 61200 6001317</t>
  </si>
  <si>
    <t>61218</t>
  </si>
  <si>
    <t>Mountain House Elementary</t>
  </si>
  <si>
    <t>01 61218 6001358</t>
  </si>
  <si>
    <t>61234</t>
  </si>
  <si>
    <t>Newark Unified</t>
  </si>
  <si>
    <t>August Schilling Elementary</t>
  </si>
  <si>
    <t>01 61234 6001440</t>
  </si>
  <si>
    <t>61242</t>
  </si>
  <si>
    <t>New Haven Unified</t>
  </si>
  <si>
    <t>Hillview Crest Elementary</t>
  </si>
  <si>
    <t>01 61242 6001606</t>
  </si>
  <si>
    <t>61259</t>
  </si>
  <si>
    <t>Oakland Unified</t>
  </si>
  <si>
    <t>0100065</t>
  </si>
  <si>
    <t>0510</t>
  </si>
  <si>
    <t>Oakland Unity High</t>
  </si>
  <si>
    <t>0106906</t>
  </si>
  <si>
    <t>0661</t>
  </si>
  <si>
    <t>Bay Area Technology</t>
  </si>
  <si>
    <t>01 61259 0106906</t>
  </si>
  <si>
    <t>0108944</t>
  </si>
  <si>
    <t>0700</t>
  </si>
  <si>
    <t>Lighthouse Community Charter High</t>
  </si>
  <si>
    <t>0109819</t>
  </si>
  <si>
    <t>0726</t>
  </si>
  <si>
    <t>Aspire Berkley Maynard Academy</t>
  </si>
  <si>
    <t>01 61259 0109819</t>
  </si>
  <si>
    <t>0111476</t>
  </si>
  <si>
    <t>0780</t>
  </si>
  <si>
    <t>Achieve Academy</t>
  </si>
  <si>
    <t>01 61259 0111476</t>
  </si>
  <si>
    <t>0111856</t>
  </si>
  <si>
    <t>0765</t>
  </si>
  <si>
    <t>AIMS College Prep High</t>
  </si>
  <si>
    <t>0114363</t>
  </si>
  <si>
    <t>0882</t>
  </si>
  <si>
    <t>American Indian Public Charter School II</t>
  </si>
  <si>
    <t>01 61259 0114363</t>
  </si>
  <si>
    <t>0114868</t>
  </si>
  <si>
    <t>0883</t>
  </si>
  <si>
    <t>Oakland Charter High</t>
  </si>
  <si>
    <t>0115014</t>
  </si>
  <si>
    <t>0938</t>
  </si>
  <si>
    <t>KIPP Bridge Academy</t>
  </si>
  <si>
    <t>01 61259 0115014</t>
  </si>
  <si>
    <t>0115238</t>
  </si>
  <si>
    <t>0837</t>
  </si>
  <si>
    <t>ARISE High</t>
  </si>
  <si>
    <t>0115592</t>
  </si>
  <si>
    <t>1442</t>
  </si>
  <si>
    <t>Learning Without Limits</t>
  </si>
  <si>
    <t>01 61259 0115592</t>
  </si>
  <si>
    <t>0118224</t>
  </si>
  <si>
    <t>1023</t>
  </si>
  <si>
    <t>Aspire Golden State College Preparatory Academy</t>
  </si>
  <si>
    <t>01 61259 0118224</t>
  </si>
  <si>
    <t>0126748</t>
  </si>
  <si>
    <t>1449</t>
  </si>
  <si>
    <t>LPS Oakland R &amp; D Campus</t>
  </si>
  <si>
    <t>0128413</t>
  </si>
  <si>
    <t>1577</t>
  </si>
  <si>
    <t>Aspire College Academy</t>
  </si>
  <si>
    <t>01 61259 0128413</t>
  </si>
  <si>
    <t>0129635</t>
  </si>
  <si>
    <t>1661</t>
  </si>
  <si>
    <t>Downtown Charter Academy</t>
  </si>
  <si>
    <t>0129932</t>
  </si>
  <si>
    <t>1620</t>
  </si>
  <si>
    <t>East Bay Innovation Academy</t>
  </si>
  <si>
    <t>01 61259 0129932</t>
  </si>
  <si>
    <t>0130617</t>
  </si>
  <si>
    <t>0349</t>
  </si>
  <si>
    <t>Oakland Military Institute, College Preparatory Academy</t>
  </si>
  <si>
    <t>01 61259 0130617</t>
  </si>
  <si>
    <t>0130633</t>
  </si>
  <si>
    <t>0413</t>
  </si>
  <si>
    <t>Lighthouse Community Charter</t>
  </si>
  <si>
    <t>01 61259 0130633</t>
  </si>
  <si>
    <t>0130666</t>
  </si>
  <si>
    <t>0465</t>
  </si>
  <si>
    <t>Aspire Lionel Wilson College Preparatory Academy</t>
  </si>
  <si>
    <t>01 61259 0130666</t>
  </si>
  <si>
    <t>0130732</t>
  </si>
  <si>
    <t>1663</t>
  </si>
  <si>
    <t>Aspire Triumph Technology Academy</t>
  </si>
  <si>
    <t>01 61259 0130732</t>
  </si>
  <si>
    <t>0132514</t>
  </si>
  <si>
    <t>1708</t>
  </si>
  <si>
    <t>Francophone Charter School of Oakland</t>
  </si>
  <si>
    <t>01 61259 0132514</t>
  </si>
  <si>
    <t>0134015</t>
  </si>
  <si>
    <t>1783</t>
  </si>
  <si>
    <t>Lodestar: A Lighthouse Community Charter Public</t>
  </si>
  <si>
    <t>01 61259 0134015</t>
  </si>
  <si>
    <t>3030772</t>
  </si>
  <si>
    <t>0340</t>
  </si>
  <si>
    <t>Oakland School for the Arts</t>
  </si>
  <si>
    <t>01 61259 3030772</t>
  </si>
  <si>
    <t>6111660</t>
  </si>
  <si>
    <t>0014</t>
  </si>
  <si>
    <t>Oakland Charter Academy</t>
  </si>
  <si>
    <t>6113807</t>
  </si>
  <si>
    <t>0106</t>
  </si>
  <si>
    <t>AIMS College Prep Middle</t>
  </si>
  <si>
    <t>6117568</t>
  </si>
  <si>
    <t>0252</t>
  </si>
  <si>
    <t>Aspire Monarch Academy</t>
  </si>
  <si>
    <t>01 61259 6117568</t>
  </si>
  <si>
    <t>6117972</t>
  </si>
  <si>
    <t>0302</t>
  </si>
  <si>
    <t>North Oakland Community Charter</t>
  </si>
  <si>
    <t>01 61259 6117972</t>
  </si>
  <si>
    <t>6118608</t>
  </si>
  <si>
    <t>1443</t>
  </si>
  <si>
    <t>ASCEND</t>
  </si>
  <si>
    <t>01 61259 6118608</t>
  </si>
  <si>
    <t>61275</t>
  </si>
  <si>
    <t>Piedmont City Unified</t>
  </si>
  <si>
    <t>Beach Elementary</t>
  </si>
  <si>
    <t>01 61275 6002281</t>
  </si>
  <si>
    <t>61291</t>
  </si>
  <si>
    <t>San Leandro Unified</t>
  </si>
  <si>
    <t>Halkin Elementary</t>
  </si>
  <si>
    <t>01 61291 6002463</t>
  </si>
  <si>
    <t>61309</t>
  </si>
  <si>
    <t>San Lorenzo Unified</t>
  </si>
  <si>
    <t>Hillside Elementary</t>
  </si>
  <si>
    <t>01 61309 6002620</t>
  </si>
  <si>
    <t>0101212</t>
  </si>
  <si>
    <t>0524</t>
  </si>
  <si>
    <t>KIPP Summit Academy</t>
  </si>
  <si>
    <t>0114421</t>
  </si>
  <si>
    <t>0880</t>
  </si>
  <si>
    <t>KIPP King Collegiate High</t>
  </si>
  <si>
    <t>75093</t>
  </si>
  <si>
    <t>Dublin Unified</t>
  </si>
  <si>
    <t>Frederiksen Elementary</t>
  </si>
  <si>
    <t>01 75093 6001390</t>
  </si>
  <si>
    <t>75101</t>
  </si>
  <si>
    <t>Pleasanton Unified</t>
  </si>
  <si>
    <t>Valley View Elementary</t>
  </si>
  <si>
    <t>01 75101 6002349</t>
  </si>
  <si>
    <t>75119</t>
  </si>
  <si>
    <t>Sunol Glen Unified</t>
  </si>
  <si>
    <t>Sunol Glen Elementary</t>
  </si>
  <si>
    <t>01 75119 6002711</t>
  </si>
  <si>
    <t>77180</t>
  </si>
  <si>
    <t>0138289</t>
  </si>
  <si>
    <t>2015</t>
  </si>
  <si>
    <t>Latitude 37.8 High</t>
  </si>
  <si>
    <t>02</t>
  </si>
  <si>
    <t>10025</t>
  </si>
  <si>
    <t>Alpine Co. Office of Education</t>
  </si>
  <si>
    <t>Diamond Valley Elementary</t>
  </si>
  <si>
    <t>02 61333 6002794</t>
  </si>
  <si>
    <t>61333</t>
  </si>
  <si>
    <t>Alpine County Unified</t>
  </si>
  <si>
    <t>03</t>
  </si>
  <si>
    <t>10033</t>
  </si>
  <si>
    <t>Amador Co. Office of Education</t>
  </si>
  <si>
    <t>Pioneer Magnet School for the Visual and Performing Arts</t>
  </si>
  <si>
    <t>03 73981 6002851</t>
  </si>
  <si>
    <t>73981</t>
  </si>
  <si>
    <t>Amador County Unified</t>
  </si>
  <si>
    <t>04</t>
  </si>
  <si>
    <t>10041</t>
  </si>
  <si>
    <t>Butte Co. Office of Education</t>
  </si>
  <si>
    <t>Berry Creek Elementary</t>
  </si>
  <si>
    <t>04 73379 6002927</t>
  </si>
  <si>
    <t>0114991</t>
  </si>
  <si>
    <t>0945</t>
  </si>
  <si>
    <t>CORE Butte Charter</t>
  </si>
  <si>
    <t>04 10041 0114991</t>
  </si>
  <si>
    <t>0134213</t>
  </si>
  <si>
    <t>1811</t>
  </si>
  <si>
    <t>Come Back Butte Charter</t>
  </si>
  <si>
    <t>0136820</t>
  </si>
  <si>
    <t>1916</t>
  </si>
  <si>
    <t>Achieve Charter High School</t>
  </si>
  <si>
    <t>0430090</t>
  </si>
  <si>
    <t>0110</t>
  </si>
  <si>
    <t>Hearthstone School</t>
  </si>
  <si>
    <t>04 10041 0430090</t>
  </si>
  <si>
    <t>61382</t>
  </si>
  <si>
    <t>Bangor Union Elementary</t>
  </si>
  <si>
    <t>04 61382 6002919</t>
  </si>
  <si>
    <t>61408</t>
  </si>
  <si>
    <t>Biggs Unified</t>
  </si>
  <si>
    <t>Biggs Elementary</t>
  </si>
  <si>
    <t>04 61408 6002943</t>
  </si>
  <si>
    <t>61424</t>
  </si>
  <si>
    <t>Chico Unified</t>
  </si>
  <si>
    <t>Chapman Elementary</t>
  </si>
  <si>
    <t>04 61424 6002968</t>
  </si>
  <si>
    <t>0110551</t>
  </si>
  <si>
    <t>0729</t>
  </si>
  <si>
    <t>Nord Country</t>
  </si>
  <si>
    <t>04 61424 0110551</t>
  </si>
  <si>
    <t>0118042</t>
  </si>
  <si>
    <t>1019</t>
  </si>
  <si>
    <t>Forest Ranch Charter</t>
  </si>
  <si>
    <t>04 61424 0118042</t>
  </si>
  <si>
    <t>0120394</t>
  </si>
  <si>
    <t>1114</t>
  </si>
  <si>
    <t>Inspire School of Arts and Sciences</t>
  </si>
  <si>
    <t>0121475</t>
  </si>
  <si>
    <t>1166</t>
  </si>
  <si>
    <t>Sherwood Montessori</t>
  </si>
  <si>
    <t>04 61424 0121475</t>
  </si>
  <si>
    <t>0123810</t>
  </si>
  <si>
    <t>1280</t>
  </si>
  <si>
    <t>Wildflower Open Classroom</t>
  </si>
  <si>
    <t>04 61424 0123810</t>
  </si>
  <si>
    <t>0137828</t>
  </si>
  <si>
    <t>1982</t>
  </si>
  <si>
    <t>Pivot Charter School North Valley II</t>
  </si>
  <si>
    <t>04 61424 0137828</t>
  </si>
  <si>
    <t>0141085</t>
  </si>
  <si>
    <t>2120</t>
  </si>
  <si>
    <t>Achieve Charter School of Chico</t>
  </si>
  <si>
    <t>04 61424 0141085</t>
  </si>
  <si>
    <t>6113773</t>
  </si>
  <si>
    <t>0112</t>
  </si>
  <si>
    <t>Chico Country Day</t>
  </si>
  <si>
    <t>04 61424 6113773</t>
  </si>
  <si>
    <t>6119523</t>
  </si>
  <si>
    <t>0415</t>
  </si>
  <si>
    <t>Blue Oak Charter</t>
  </si>
  <si>
    <t>04 61424 6119523</t>
  </si>
  <si>
    <t>61432</t>
  </si>
  <si>
    <t>Durham Unified</t>
  </si>
  <si>
    <t>Durham Elementary</t>
  </si>
  <si>
    <t>04 61432 6003115</t>
  </si>
  <si>
    <t>61457</t>
  </si>
  <si>
    <t>Golden Feather Union Elementary</t>
  </si>
  <si>
    <t>Concow Elementary</t>
  </si>
  <si>
    <t>04 61457 6003131</t>
  </si>
  <si>
    <t>61499</t>
  </si>
  <si>
    <t>Manzanita Elementary</t>
  </si>
  <si>
    <t>04 61499 6003198</t>
  </si>
  <si>
    <t>61507</t>
  </si>
  <si>
    <t>Oroville City Elementary</t>
  </si>
  <si>
    <t>Oakdale Heights Elementary</t>
  </si>
  <si>
    <t>04 61507 6003255</t>
  </si>
  <si>
    <t>0121509</t>
  </si>
  <si>
    <t>1170</t>
  </si>
  <si>
    <t>Ipakanni Early College Charter</t>
  </si>
  <si>
    <t>04 61507 0121509</t>
  </si>
  <si>
    <t>0129577</t>
  </si>
  <si>
    <t>1616</t>
  </si>
  <si>
    <t>Stream Charter</t>
  </si>
  <si>
    <t>04 61507 0129577</t>
  </si>
  <si>
    <t>61515</t>
  </si>
  <si>
    <t>Oroville Union High</t>
  </si>
  <si>
    <t>61523</t>
  </si>
  <si>
    <t>Palermo Union Elementary</t>
  </si>
  <si>
    <t>Honcut</t>
  </si>
  <si>
    <t>04 61523 6089080</t>
  </si>
  <si>
    <t>61531</t>
  </si>
  <si>
    <t>Paradise Unified</t>
  </si>
  <si>
    <t>Pine Ridge</t>
  </si>
  <si>
    <t>04 61531 6105522</t>
  </si>
  <si>
    <t>0110338</t>
  </si>
  <si>
    <t>0751</t>
  </si>
  <si>
    <t>Achieve Charter School of Paradise Inc.</t>
  </si>
  <si>
    <t>04 61531 0110338</t>
  </si>
  <si>
    <t>6112585</t>
  </si>
  <si>
    <t>0067</t>
  </si>
  <si>
    <t>Hometech Charter</t>
  </si>
  <si>
    <t>04 61531 6112585</t>
  </si>
  <si>
    <t>6112999</t>
  </si>
  <si>
    <t>0079</t>
  </si>
  <si>
    <t>Paradise Charter Middle</t>
  </si>
  <si>
    <t>6113765</t>
  </si>
  <si>
    <t>0094</t>
  </si>
  <si>
    <t>Children's Community Charter</t>
  </si>
  <si>
    <t>04 61531 6113765</t>
  </si>
  <si>
    <t>61549</t>
  </si>
  <si>
    <t>Thermalito Union Elementary</t>
  </si>
  <si>
    <t>Sierra Avenue Elementary</t>
  </si>
  <si>
    <t>04 61549 6003370</t>
  </si>
  <si>
    <t>73379</t>
  </si>
  <si>
    <t>Pioneer Union Elementary</t>
  </si>
  <si>
    <t>75507</t>
  </si>
  <si>
    <t>Gridley Unified</t>
  </si>
  <si>
    <t>McKinley Elementary</t>
  </si>
  <si>
    <t>04 75507 6003156</t>
  </si>
  <si>
    <t>05</t>
  </si>
  <si>
    <t>10058</t>
  </si>
  <si>
    <t>Calaveras Co. Office of Education</t>
  </si>
  <si>
    <t>San Andreas Elementary</t>
  </si>
  <si>
    <t>05 61564 6003438</t>
  </si>
  <si>
    <t>0530154</t>
  </si>
  <si>
    <t>0527</t>
  </si>
  <si>
    <t>Mountain Oaks</t>
  </si>
  <si>
    <t>05 10058 0530154</t>
  </si>
  <si>
    <t>61556</t>
  </si>
  <si>
    <t>Bret Harte Union High</t>
  </si>
  <si>
    <t>61564</t>
  </si>
  <si>
    <t>Calaveras Unified</t>
  </si>
  <si>
    <t>61572</t>
  </si>
  <si>
    <t>Mark Twain Union Elementary</t>
  </si>
  <si>
    <t>Mark Twain Elementary</t>
  </si>
  <si>
    <t>05 61572 6003461</t>
  </si>
  <si>
    <t>61580</t>
  </si>
  <si>
    <t>Vallecito Union</t>
  </si>
  <si>
    <t>Hazel Fischer Elementary</t>
  </si>
  <si>
    <t>05 61580 6003396</t>
  </si>
  <si>
    <t>06</t>
  </si>
  <si>
    <t>10066</t>
  </si>
  <si>
    <t>Colusa Co. Office of Education</t>
  </si>
  <si>
    <t>Williams Upper Elementary</t>
  </si>
  <si>
    <t>06 61622 0118729</t>
  </si>
  <si>
    <t>61598</t>
  </si>
  <si>
    <t>Colusa Unified</t>
  </si>
  <si>
    <t>James M. Burchfield Primary</t>
  </si>
  <si>
    <t>06 61598 6003495</t>
  </si>
  <si>
    <t>61606</t>
  </si>
  <si>
    <t>Maxwell Unified</t>
  </si>
  <si>
    <t>Maxwell Elementary</t>
  </si>
  <si>
    <t>06 61606 6003503</t>
  </si>
  <si>
    <t>61614</t>
  </si>
  <si>
    <t>Pierce Joint Unified</t>
  </si>
  <si>
    <t>Grand Island Elementary</t>
  </si>
  <si>
    <t>06 61614 6003537</t>
  </si>
  <si>
    <t>61622</t>
  </si>
  <si>
    <t>Williams Unified</t>
  </si>
  <si>
    <t>07</t>
  </si>
  <si>
    <t>10074</t>
  </si>
  <si>
    <t>Contra Costa Co. Office of Education</t>
  </si>
  <si>
    <t>Verde Elementary</t>
  </si>
  <si>
    <t>07 61796 6005011</t>
  </si>
  <si>
    <t>0114470</t>
  </si>
  <si>
    <t>0868</t>
  </si>
  <si>
    <t>Making Waves Academy</t>
  </si>
  <si>
    <t>07 10074 0114470</t>
  </si>
  <si>
    <t>0129528</t>
  </si>
  <si>
    <t>1622</t>
  </si>
  <si>
    <t>Caliber: Beta Academy</t>
  </si>
  <si>
    <t>07 10074 0129528</t>
  </si>
  <si>
    <t>0129684</t>
  </si>
  <si>
    <t>1650</t>
  </si>
  <si>
    <t>Summit Public School K2</t>
  </si>
  <si>
    <t>0134114</t>
  </si>
  <si>
    <t>1773</t>
  </si>
  <si>
    <t>Contra Costa School of Performing Arts</t>
  </si>
  <si>
    <t>07 10074 0134114</t>
  </si>
  <si>
    <t>0137026</t>
  </si>
  <si>
    <t>1933</t>
  </si>
  <si>
    <t>Invictus Academy of Richmond</t>
  </si>
  <si>
    <t>0730614</t>
  </si>
  <si>
    <t>1887</t>
  </si>
  <si>
    <t>Golden Gate Community Charter</t>
  </si>
  <si>
    <t>0731380</t>
  </si>
  <si>
    <t>1400</t>
  </si>
  <si>
    <t>Clayton Valley Charter High</t>
  </si>
  <si>
    <t>6118368</t>
  </si>
  <si>
    <t>0333</t>
  </si>
  <si>
    <t>Manzanita Middle</t>
  </si>
  <si>
    <t>61630</t>
  </si>
  <si>
    <t>Acalanes Union High</t>
  </si>
  <si>
    <t>61648</t>
  </si>
  <si>
    <t>Antioch Unified</t>
  </si>
  <si>
    <t>Jack London Elementary</t>
  </si>
  <si>
    <t>07 61648 6110514</t>
  </si>
  <si>
    <t>0115063</t>
  </si>
  <si>
    <t>0909</t>
  </si>
  <si>
    <t>Antioch Charter Academy II</t>
  </si>
  <si>
    <t>07 61648 0115063</t>
  </si>
  <si>
    <t>0137430</t>
  </si>
  <si>
    <t>1965</t>
  </si>
  <si>
    <t>Rocketship Delta Prep</t>
  </si>
  <si>
    <t>07 61648 0137430</t>
  </si>
  <si>
    <t>6115703</t>
  </si>
  <si>
    <t>0143</t>
  </si>
  <si>
    <t>Antioch Charter Academy</t>
  </si>
  <si>
    <t>07 61648 6115703</t>
  </si>
  <si>
    <t>61655</t>
  </si>
  <si>
    <t>Brentwood Union Elementary</t>
  </si>
  <si>
    <t>Mary Casey Black Elementary</t>
  </si>
  <si>
    <t>07 61655 0127464</t>
  </si>
  <si>
    <t>61663</t>
  </si>
  <si>
    <t>Byron Union Elementary</t>
  </si>
  <si>
    <t>Discovery Bay Elementary</t>
  </si>
  <si>
    <t>07 61663 6101943</t>
  </si>
  <si>
    <t>0130930</t>
  </si>
  <si>
    <t>1684</t>
  </si>
  <si>
    <t>Vista Oaks Charter</t>
  </si>
  <si>
    <t>07 61663 0130930</t>
  </si>
  <si>
    <t>61671</t>
  </si>
  <si>
    <t>Canyon Elementary</t>
  </si>
  <si>
    <t>07 61671 6003677</t>
  </si>
  <si>
    <t>61697</t>
  </si>
  <si>
    <t>John Swett Unified</t>
  </si>
  <si>
    <t>Rodeo Hills Elementary</t>
  </si>
  <si>
    <t>07 61697 6003701</t>
  </si>
  <si>
    <t>61705</t>
  </si>
  <si>
    <t>Knightsen Elementary</t>
  </si>
  <si>
    <t>07 61705 6003719</t>
  </si>
  <si>
    <t>61713</t>
  </si>
  <si>
    <t>Lafayette Elementary</t>
  </si>
  <si>
    <t>07 61713 6003750</t>
  </si>
  <si>
    <t>61721</t>
  </si>
  <si>
    <t>Liberty Union High</t>
  </si>
  <si>
    <t>61739</t>
  </si>
  <si>
    <t>Martinez Unified</t>
  </si>
  <si>
    <t>Las Juntas Elementary</t>
  </si>
  <si>
    <t>07 61739 6003842</t>
  </si>
  <si>
    <t>61747</t>
  </si>
  <si>
    <t>Moraga Elementary</t>
  </si>
  <si>
    <t>Donald L. Rheem Elementary</t>
  </si>
  <si>
    <t>07 61747 6003917</t>
  </si>
  <si>
    <t>61754</t>
  </si>
  <si>
    <t>Mt. Diablo Unified</t>
  </si>
  <si>
    <t>Rio Vista Elementary</t>
  </si>
  <si>
    <t>07 61754 6096226</t>
  </si>
  <si>
    <t>0134072</t>
  </si>
  <si>
    <t>1805</t>
  </si>
  <si>
    <t>Rocketship Futuro Academy</t>
  </si>
  <si>
    <t>07 61754 0134072</t>
  </si>
  <si>
    <t>6118087</t>
  </si>
  <si>
    <t>0305</t>
  </si>
  <si>
    <t>Eagle Peak Montessori</t>
  </si>
  <si>
    <t>07 61754 6118087</t>
  </si>
  <si>
    <t>61762</t>
  </si>
  <si>
    <t>Oakley Union Elementary</t>
  </si>
  <si>
    <t>Oakley Elementary</t>
  </si>
  <si>
    <t>07 61762 6004428</t>
  </si>
  <si>
    <t>61770</t>
  </si>
  <si>
    <t>Orinda Union Elementary</t>
  </si>
  <si>
    <t>Sleepy Hollow Elementary</t>
  </si>
  <si>
    <t>07 61770 6004501</t>
  </si>
  <si>
    <t>61788</t>
  </si>
  <si>
    <t>Pittsburg Unified</t>
  </si>
  <si>
    <t>Parkside Elementary</t>
  </si>
  <si>
    <t>07 61788 6004568</t>
  </si>
  <si>
    <t>61796</t>
  </si>
  <si>
    <t>West Contra Costa Unified</t>
  </si>
  <si>
    <t>0101477</t>
  </si>
  <si>
    <t>0557</t>
  </si>
  <si>
    <t>Leadership Public Schools: Richmond</t>
  </si>
  <si>
    <t>0110973</t>
  </si>
  <si>
    <t>0755</t>
  </si>
  <si>
    <t>Richmond College Preparatory</t>
  </si>
  <si>
    <t>07 61796 0110973</t>
  </si>
  <si>
    <t>0126805</t>
  </si>
  <si>
    <t>1441</t>
  </si>
  <si>
    <t>Richmond Charter Academy</t>
  </si>
  <si>
    <t>0129643</t>
  </si>
  <si>
    <t>1660</t>
  </si>
  <si>
    <t>Richmond Charter Elementary-Benito Juarez</t>
  </si>
  <si>
    <t>07 61796 0129643</t>
  </si>
  <si>
    <t>0132100</t>
  </si>
  <si>
    <t>1739</t>
  </si>
  <si>
    <t>Aspire Richmond California College Preparatory Academy</t>
  </si>
  <si>
    <t>07 61796 0132100</t>
  </si>
  <si>
    <t>0132118</t>
  </si>
  <si>
    <t>1740</t>
  </si>
  <si>
    <t>Aspire Richmond Technology Academy</t>
  </si>
  <si>
    <t>07 61796 0132118</t>
  </si>
  <si>
    <t>0133637</t>
  </si>
  <si>
    <t>1774</t>
  </si>
  <si>
    <t>Summit Public School: Tamalpais</t>
  </si>
  <si>
    <t>0136903</t>
  </si>
  <si>
    <t>1906</t>
  </si>
  <si>
    <t>Voices College -Bound Language Academy at West Contra Costa County</t>
  </si>
  <si>
    <t>07 61796 0136903</t>
  </si>
  <si>
    <t>61804</t>
  </si>
  <si>
    <t>San Ramon Valley Unified</t>
  </si>
  <si>
    <t>Bella Vista Elementary</t>
  </si>
  <si>
    <t>07 61804 0132902</t>
  </si>
  <si>
    <t>61812</t>
  </si>
  <si>
    <t>Walnut Creek Elementary</t>
  </si>
  <si>
    <t>Murwood Elementary</t>
  </si>
  <si>
    <t>07 61812 6005185</t>
  </si>
  <si>
    <t>77354</t>
  </si>
  <si>
    <t>0132233</t>
  </si>
  <si>
    <t>1741</t>
  </si>
  <si>
    <t>John Henry High</t>
  </si>
  <si>
    <t>08</t>
  </si>
  <si>
    <t>10082</t>
  </si>
  <si>
    <t>Del Norte Co. Office of Education</t>
  </si>
  <si>
    <t>Joe Hamilton Elementary</t>
  </si>
  <si>
    <t>08 61820 6005391</t>
  </si>
  <si>
    <t>0830059</t>
  </si>
  <si>
    <t>0358</t>
  </si>
  <si>
    <t>Castle Rock</t>
  </si>
  <si>
    <t>08 10082 0830059</t>
  </si>
  <si>
    <t>61820</t>
  </si>
  <si>
    <t>Del Norte County Unified</t>
  </si>
  <si>
    <t>0137729</t>
  </si>
  <si>
    <t>0859</t>
  </si>
  <si>
    <t>Uncharted Shores Academy</t>
  </si>
  <si>
    <t>08 61820 0137729</t>
  </si>
  <si>
    <t>09</t>
  </si>
  <si>
    <t>10090</t>
  </si>
  <si>
    <t>El Dorado Co. Office of Education</t>
  </si>
  <si>
    <t>Walt Tyler Elementary</t>
  </si>
  <si>
    <t>09 61945 6114664</t>
  </si>
  <si>
    <t>0123521</t>
  </si>
  <si>
    <t>0360</t>
  </si>
  <si>
    <t>Charter Alternative Program (CAP)</t>
  </si>
  <si>
    <t>0136036</t>
  </si>
  <si>
    <t>1880</t>
  </si>
  <si>
    <t>John Adams Academy - El Dorado Hills</t>
  </si>
  <si>
    <t>09 10090 0136036</t>
  </si>
  <si>
    <t>0930123</t>
  </si>
  <si>
    <t>0005</t>
  </si>
  <si>
    <t>Charter Community School Home Study Academy</t>
  </si>
  <si>
    <t>0930131</t>
  </si>
  <si>
    <t>0053</t>
  </si>
  <si>
    <t>Rite of Passage</t>
  </si>
  <si>
    <t>61838</t>
  </si>
  <si>
    <t>Buckeye Union Elementary</t>
  </si>
  <si>
    <t>Buckeye Elementary</t>
  </si>
  <si>
    <t>09 61838 6005466</t>
  </si>
  <si>
    <t>0107227</t>
  </si>
  <si>
    <t>0665</t>
  </si>
  <si>
    <t>Charter Montessori Valley View Campus</t>
  </si>
  <si>
    <t>09 61838 0107227</t>
  </si>
  <si>
    <t>0111724</t>
  </si>
  <si>
    <t>0774</t>
  </si>
  <si>
    <t>California Montessori Project-Shingle Springs Campus</t>
  </si>
  <si>
    <t>09 61838 0111724</t>
  </si>
  <si>
    <t>0129965</t>
  </si>
  <si>
    <t>1655</t>
  </si>
  <si>
    <t>Rising Sun Montessori</t>
  </si>
  <si>
    <t>09 61838 0129965</t>
  </si>
  <si>
    <t>0136200</t>
  </si>
  <si>
    <t>1891</t>
  </si>
  <si>
    <t>Clarksville Charter School</t>
  </si>
  <si>
    <t>09 61838 0136200</t>
  </si>
  <si>
    <t>0137919</t>
  </si>
  <si>
    <t>1999</t>
  </si>
  <si>
    <t>Buckeye Union Mandarin Immersion Charter</t>
  </si>
  <si>
    <t>09 61838 0137919</t>
  </si>
  <si>
    <t>0139006</t>
  </si>
  <si>
    <t>1964</t>
  </si>
  <si>
    <t>Cottonwood</t>
  </si>
  <si>
    <t>09 61838 0139006</t>
  </si>
  <si>
    <t>61846</t>
  </si>
  <si>
    <t>Camino Union Elementary</t>
  </si>
  <si>
    <t>Camino Elementary</t>
  </si>
  <si>
    <t>09 61846 6005482</t>
  </si>
  <si>
    <t>0123125</t>
  </si>
  <si>
    <t>1150</t>
  </si>
  <si>
    <t>Camino Polytechnic</t>
  </si>
  <si>
    <t>09 61846 0123125</t>
  </si>
  <si>
    <t>61853</t>
  </si>
  <si>
    <t>El Dorado Union High</t>
  </si>
  <si>
    <t>0930214</t>
  </si>
  <si>
    <t>0366</t>
  </si>
  <si>
    <t>Pacific Crest Academy</t>
  </si>
  <si>
    <t>61879</t>
  </si>
  <si>
    <t>Gold Oak Union Elementary</t>
  </si>
  <si>
    <t>Gold Oak Elementary</t>
  </si>
  <si>
    <t>09 61879 6005508</t>
  </si>
  <si>
    <t>61887</t>
  </si>
  <si>
    <t>Gold Trail Union Elementary</t>
  </si>
  <si>
    <t>Gold Trail</t>
  </si>
  <si>
    <t>09 61887 6005516</t>
  </si>
  <si>
    <t>61895</t>
  </si>
  <si>
    <t>Indian Diggings Elementary</t>
  </si>
  <si>
    <t>09 61895 6005524</t>
  </si>
  <si>
    <t>61903</t>
  </si>
  <si>
    <t>Lake Tahoe Unified</t>
  </si>
  <si>
    <t>Tahoe Valley Elementary</t>
  </si>
  <si>
    <t>09 61903 6005573</t>
  </si>
  <si>
    <t>61911</t>
  </si>
  <si>
    <t>Latrobe</t>
  </si>
  <si>
    <t>Latrobe Elementary</t>
  </si>
  <si>
    <t>09 61911 6005581</t>
  </si>
  <si>
    <t>61929</t>
  </si>
  <si>
    <t>Mother Lode Union Elementary</t>
  </si>
  <si>
    <t>Indian Creek Elementary</t>
  </si>
  <si>
    <t>09 61929 6106678</t>
  </si>
  <si>
    <t>61945</t>
  </si>
  <si>
    <t>61952</t>
  </si>
  <si>
    <t>Placerville Union Elementary</t>
  </si>
  <si>
    <t>Louisiana Schnell Elementary</t>
  </si>
  <si>
    <t>09 61952 6005656</t>
  </si>
  <si>
    <t>61960</t>
  </si>
  <si>
    <t>Pollock Pines Elementary</t>
  </si>
  <si>
    <t>Pinewood Elementary</t>
  </si>
  <si>
    <t>09 61960 6005680</t>
  </si>
  <si>
    <t>61978</t>
  </si>
  <si>
    <t>Rescue Union Elementary</t>
  </si>
  <si>
    <t>Green Valley Elementary</t>
  </si>
  <si>
    <t>09 61978 6098693</t>
  </si>
  <si>
    <t>61986</t>
  </si>
  <si>
    <t>Silver Fork Elementary</t>
  </si>
  <si>
    <t>09 61986 6005722</t>
  </si>
  <si>
    <t>73783</t>
  </si>
  <si>
    <t>Black Oak Mine Unified</t>
  </si>
  <si>
    <t>Georgetown Elementary</t>
  </si>
  <si>
    <t>09 73783 6005490</t>
  </si>
  <si>
    <t>0121566</t>
  </si>
  <si>
    <t>1176</t>
  </si>
  <si>
    <t>American River Charter</t>
  </si>
  <si>
    <t>09 73783 0121566</t>
  </si>
  <si>
    <t>10</t>
  </si>
  <si>
    <t>10108</t>
  </si>
  <si>
    <t>Fresno Co. Office of Education</t>
  </si>
  <si>
    <t>Cantua Elementary</t>
  </si>
  <si>
    <t>10 75234 6005805</t>
  </si>
  <si>
    <t>0109991</t>
  </si>
  <si>
    <t>0746</t>
  </si>
  <si>
    <t>Crescent View West Public Charter</t>
  </si>
  <si>
    <t>10 10108 0109991</t>
  </si>
  <si>
    <t>0111682</t>
  </si>
  <si>
    <t>0787</t>
  </si>
  <si>
    <t>Hume Lake Charter</t>
  </si>
  <si>
    <t>10 10108 0111682</t>
  </si>
  <si>
    <t>0119628</t>
  </si>
  <si>
    <t>1085</t>
  </si>
  <si>
    <t>Big Picture Educational Academy</t>
  </si>
  <si>
    <t>10 10108 0119628</t>
  </si>
  <si>
    <t>0127514</t>
  </si>
  <si>
    <t>1503</t>
  </si>
  <si>
    <t>Kepler Neighborhood</t>
  </si>
  <si>
    <t>10 10108 0127514</t>
  </si>
  <si>
    <t>0136291</t>
  </si>
  <si>
    <t>1850</t>
  </si>
  <si>
    <t>Career Technical Education Charter</t>
  </si>
  <si>
    <t>0140186</t>
  </si>
  <si>
    <t>2101</t>
  </si>
  <si>
    <t>Clovis Global Academy</t>
  </si>
  <si>
    <t>10 10108 0140186</t>
  </si>
  <si>
    <t>6085112</t>
  </si>
  <si>
    <t>0195</t>
  </si>
  <si>
    <t>Edison-Bethune Charter Academy</t>
  </si>
  <si>
    <t>10 10108 6085112</t>
  </si>
  <si>
    <t>61994</t>
  </si>
  <si>
    <t>Alvina Elementary</t>
  </si>
  <si>
    <t>Alvina Elementary Charter</t>
  </si>
  <si>
    <t>10 61994 6005730</t>
  </si>
  <si>
    <t>62026</t>
  </si>
  <si>
    <t>Big Creek Elementary</t>
  </si>
  <si>
    <t>10 62026 6005763</t>
  </si>
  <si>
    <t>62042</t>
  </si>
  <si>
    <t>Burrel Union Elementary</t>
  </si>
  <si>
    <t>Burrel Elementary</t>
  </si>
  <si>
    <t>10 62042 6005797</t>
  </si>
  <si>
    <t>62109</t>
  </si>
  <si>
    <t>Clay Joint Elementary</t>
  </si>
  <si>
    <t>Clay Elementary</t>
  </si>
  <si>
    <t>10 62109 6005839</t>
  </si>
  <si>
    <t>62117</t>
  </si>
  <si>
    <t>Clovis Unified</t>
  </si>
  <si>
    <t>Sierra Vista Elementary</t>
  </si>
  <si>
    <t>10 62117 6005904</t>
  </si>
  <si>
    <t>0118018</t>
  </si>
  <si>
    <t>1006</t>
  </si>
  <si>
    <t>Clovis Online Charter</t>
  </si>
  <si>
    <t>10 62117 0118018</t>
  </si>
  <si>
    <t>62125</t>
  </si>
  <si>
    <t>Coalinga-Huron Unified</t>
  </si>
  <si>
    <t>Huron Elementary</t>
  </si>
  <si>
    <t>10 62125 6005961</t>
  </si>
  <si>
    <t>62158</t>
  </si>
  <si>
    <t>Fowler Unified</t>
  </si>
  <si>
    <t>Malaga Elementary</t>
  </si>
  <si>
    <t>10 62158 6006043</t>
  </si>
  <si>
    <t>62166</t>
  </si>
  <si>
    <t>Fresno Unified</t>
  </si>
  <si>
    <t>Mario G. Olmos Elementary</t>
  </si>
  <si>
    <t>10 62166 0113829</t>
  </si>
  <si>
    <t>0106740</t>
  </si>
  <si>
    <t>0662</t>
  </si>
  <si>
    <t>Aspen Valley Prep Academy</t>
  </si>
  <si>
    <t>10 62166 0106740</t>
  </si>
  <si>
    <t>0114355</t>
  </si>
  <si>
    <t>0898</t>
  </si>
  <si>
    <t>Sierra Charter</t>
  </si>
  <si>
    <t>10 62166 0114355</t>
  </si>
  <si>
    <t>0114553</t>
  </si>
  <si>
    <t>0890</t>
  </si>
  <si>
    <t>University High</t>
  </si>
  <si>
    <t>0121533</t>
  </si>
  <si>
    <t>1172</t>
  </si>
  <si>
    <t>Morris E. Dailey Charter Elementary</t>
  </si>
  <si>
    <t>10 62166 0121533</t>
  </si>
  <si>
    <t>0133942</t>
  </si>
  <si>
    <t>1792</t>
  </si>
  <si>
    <t>Aspen Meadow Public</t>
  </si>
  <si>
    <t>10 62166 0133942</t>
  </si>
  <si>
    <t>0140038</t>
  </si>
  <si>
    <t>2099</t>
  </si>
  <si>
    <t>Endeavor Charter</t>
  </si>
  <si>
    <t>10 62166 0140038</t>
  </si>
  <si>
    <t>0140764</t>
  </si>
  <si>
    <t>2113</t>
  </si>
  <si>
    <t>Golden Charter Academy</t>
  </si>
  <si>
    <t>10 62166 0140764</t>
  </si>
  <si>
    <t>0140806</t>
  </si>
  <si>
    <t>2115</t>
  </si>
  <si>
    <t>Aspen Ridge Public</t>
  </si>
  <si>
    <t>1030642</t>
  </si>
  <si>
    <t>0149</t>
  </si>
  <si>
    <t>School of Unlimited Learning</t>
  </si>
  <si>
    <t>1030840</t>
  </si>
  <si>
    <t>0378</t>
  </si>
  <si>
    <t>Carter G. Woodson Public Charter</t>
  </si>
  <si>
    <t>62240</t>
  </si>
  <si>
    <t>Kingsburg Elementary Charter</t>
  </si>
  <si>
    <t>Central Valley Home</t>
  </si>
  <si>
    <t>10 62240 6114805</t>
  </si>
  <si>
    <t>62257</t>
  </si>
  <si>
    <t>Kingsburg Joint Union High</t>
  </si>
  <si>
    <t>62265</t>
  </si>
  <si>
    <t>Kings Canyon Joint Unified</t>
  </si>
  <si>
    <t>A. L. Conner Elementary</t>
  </si>
  <si>
    <t>10 62265 0105692</t>
  </si>
  <si>
    <t>0116640</t>
  </si>
  <si>
    <t>1074</t>
  </si>
  <si>
    <t>Kings Canyon Online</t>
  </si>
  <si>
    <t>10 62265 0116640</t>
  </si>
  <si>
    <t>0126292</t>
  </si>
  <si>
    <t>1513</t>
  </si>
  <si>
    <t>Reedley Middle College High</t>
  </si>
  <si>
    <t>62281</t>
  </si>
  <si>
    <t>Laton Joint Unified</t>
  </si>
  <si>
    <t>Laton Elementary</t>
  </si>
  <si>
    <t>10 62281 6006902</t>
  </si>
  <si>
    <t>62323</t>
  </si>
  <si>
    <t>Monroe Elementary</t>
  </si>
  <si>
    <t>10 62323 6006993</t>
  </si>
  <si>
    <t>62331</t>
  </si>
  <si>
    <t>Orange Center</t>
  </si>
  <si>
    <t>Orange Center Elementary</t>
  </si>
  <si>
    <t>10 62331 6007009</t>
  </si>
  <si>
    <t>0137661</t>
  </si>
  <si>
    <t>1492</t>
  </si>
  <si>
    <t>California Virtual Academy @ Fresno</t>
  </si>
  <si>
    <t>10 62331 0137661</t>
  </si>
  <si>
    <t>62356</t>
  </si>
  <si>
    <t>Pacific Union Elementary</t>
  </si>
  <si>
    <t>10 62356 6007025</t>
  </si>
  <si>
    <t>62364</t>
  </si>
  <si>
    <t>Parlier Unified</t>
  </si>
  <si>
    <t>Cesar E Chavez Elementary</t>
  </si>
  <si>
    <t>10 62364 6007058</t>
  </si>
  <si>
    <t>62372</t>
  </si>
  <si>
    <t>Pine Ridge Elementary</t>
  </si>
  <si>
    <t>10 62372 6007066</t>
  </si>
  <si>
    <t>62380</t>
  </si>
  <si>
    <t>Raisin City Elementary</t>
  </si>
  <si>
    <t>10 62380 6007074</t>
  </si>
  <si>
    <t>0136499</t>
  </si>
  <si>
    <t>1905</t>
  </si>
  <si>
    <t>Ambassador Phillip V. Sanchez II Public Charter</t>
  </si>
  <si>
    <t>10 62380 0136499</t>
  </si>
  <si>
    <t>62414</t>
  </si>
  <si>
    <t>Sanger Unified</t>
  </si>
  <si>
    <t>Wilson Elementary</t>
  </si>
  <si>
    <t>10 62414 6007215</t>
  </si>
  <si>
    <t>6117865</t>
  </si>
  <si>
    <t>0258</t>
  </si>
  <si>
    <t>Quail Lake Environmental Charter</t>
  </si>
  <si>
    <t>10 62414 6117865</t>
  </si>
  <si>
    <t>6117873</t>
  </si>
  <si>
    <t>0283</t>
  </si>
  <si>
    <t>Sanger Academy Charter</t>
  </si>
  <si>
    <t>10 62414 6117873</t>
  </si>
  <si>
    <t>62430</t>
  </si>
  <si>
    <t>Selma Unified</t>
  </si>
  <si>
    <t>Terry Elementary</t>
  </si>
  <si>
    <t>10 62430 6007322</t>
  </si>
  <si>
    <t>62513</t>
  </si>
  <si>
    <t>Washington Colony Elementary</t>
  </si>
  <si>
    <t>10 62513 6007405</t>
  </si>
  <si>
    <t>62539</t>
  </si>
  <si>
    <t>West Park Elementary</t>
  </si>
  <si>
    <t>10 62539 6007413</t>
  </si>
  <si>
    <t>6112387</t>
  </si>
  <si>
    <t>0044</t>
  </si>
  <si>
    <t>West Park Charter Academy</t>
  </si>
  <si>
    <t>10 62539 6112387</t>
  </si>
  <si>
    <t>62547</t>
  </si>
  <si>
    <t>Westside Elementary</t>
  </si>
  <si>
    <t>10 62547 6007421</t>
  </si>
  <si>
    <t>0135103</t>
  </si>
  <si>
    <t>1841</t>
  </si>
  <si>
    <t>Yosemite Valley Charter</t>
  </si>
  <si>
    <t>10 62547 0135103</t>
  </si>
  <si>
    <t>0136523</t>
  </si>
  <si>
    <t>1893</t>
  </si>
  <si>
    <t>Crescent View South II</t>
  </si>
  <si>
    <t>10 62547 0136523</t>
  </si>
  <si>
    <t>73809</t>
  </si>
  <si>
    <t>Firebaugh-Las Deltas Unified</t>
  </si>
  <si>
    <t>Hazel M. Bailey Primary</t>
  </si>
  <si>
    <t>10 73809 6006001</t>
  </si>
  <si>
    <t>73965</t>
  </si>
  <si>
    <t>Central Unified</t>
  </si>
  <si>
    <t>Biola-Pershing Elementary</t>
  </si>
  <si>
    <t>10 73965 6005789</t>
  </si>
  <si>
    <t>73999</t>
  </si>
  <si>
    <t>Kerman Unified</t>
  </si>
  <si>
    <t>Kerman-Floyd Elementary</t>
  </si>
  <si>
    <t>10 73999 6006688</t>
  </si>
  <si>
    <t>75127</t>
  </si>
  <si>
    <t>Mendota Unified</t>
  </si>
  <si>
    <t>Washington Elementary</t>
  </si>
  <si>
    <t>10 75127 6006985</t>
  </si>
  <si>
    <t>75234</t>
  </si>
  <si>
    <t>Golden Plains Unified</t>
  </si>
  <si>
    <t>75275</t>
  </si>
  <si>
    <t>Sierra Unified</t>
  </si>
  <si>
    <t>Foothill Elementary</t>
  </si>
  <si>
    <t>10 75275 0124586</t>
  </si>
  <si>
    <t>75408</t>
  </si>
  <si>
    <t>Riverdale Joint Unified</t>
  </si>
  <si>
    <t>Fipps Primary</t>
  </si>
  <si>
    <t>10 75408 6007090</t>
  </si>
  <si>
    <t>75598</t>
  </si>
  <si>
    <t>Caruthers Unified</t>
  </si>
  <si>
    <t>Caruthers Elementary</t>
  </si>
  <si>
    <t>10 75598 6005813</t>
  </si>
  <si>
    <t>76778</t>
  </si>
  <si>
    <t>Washington Unified</t>
  </si>
  <si>
    <t>West Fresno Elementary</t>
  </si>
  <si>
    <t>10 76778 6006605</t>
  </si>
  <si>
    <t>1030774</t>
  </si>
  <si>
    <t>0270</t>
  </si>
  <si>
    <t>W. E. B. DuBois Public Charter</t>
  </si>
  <si>
    <t>10 76778 1030774</t>
  </si>
  <si>
    <t>11</t>
  </si>
  <si>
    <t>10116</t>
  </si>
  <si>
    <t>Glenn Co. Office of Education</t>
  </si>
  <si>
    <t>Hamilton Elementary</t>
  </si>
  <si>
    <t>11 76562 6007447</t>
  </si>
  <si>
    <t>0124909</t>
  </si>
  <si>
    <t>1350</t>
  </si>
  <si>
    <t>Walden Academy</t>
  </si>
  <si>
    <t>11 10116 0124909</t>
  </si>
  <si>
    <t>0130724</t>
  </si>
  <si>
    <t>1666</t>
  </si>
  <si>
    <t>Success One!</t>
  </si>
  <si>
    <t>1130103</t>
  </si>
  <si>
    <t>0634</t>
  </si>
  <si>
    <t>William Finch</t>
  </si>
  <si>
    <t>62554</t>
  </si>
  <si>
    <t>Capay Joint Union Elementary</t>
  </si>
  <si>
    <t>11 62554 6007439</t>
  </si>
  <si>
    <t>62596</t>
  </si>
  <si>
    <t>Lake Elementary</t>
  </si>
  <si>
    <t>11 62596 6007454</t>
  </si>
  <si>
    <t>0139550</t>
  </si>
  <si>
    <t>2069</t>
  </si>
  <si>
    <t>Lake View Charter</t>
  </si>
  <si>
    <t>11 62596 0139550</t>
  </si>
  <si>
    <t>62638</t>
  </si>
  <si>
    <t>Plaza Elementary</t>
  </si>
  <si>
    <t>11 62638 6007504</t>
  </si>
  <si>
    <t>62646</t>
  </si>
  <si>
    <t>Princeton Joint Unified</t>
  </si>
  <si>
    <t>Princeton Elementary</t>
  </si>
  <si>
    <t>11 62646 6089262</t>
  </si>
  <si>
    <t>62653</t>
  </si>
  <si>
    <t>Stony Creek Joint Unified</t>
  </si>
  <si>
    <t>Elk Creek Elementary</t>
  </si>
  <si>
    <t>11 62653 6007546</t>
  </si>
  <si>
    <t>62661</t>
  </si>
  <si>
    <t>Willows Unified</t>
  </si>
  <si>
    <t>Murdock Elementary</t>
  </si>
  <si>
    <t>11 62661 6007603</t>
  </si>
  <si>
    <t>75481</t>
  </si>
  <si>
    <t>Orland Joint Unified</t>
  </si>
  <si>
    <t>Fairview Elementary</t>
  </si>
  <si>
    <t>11 75481 6007470</t>
  </si>
  <si>
    <t>76562</t>
  </si>
  <si>
    <t>Hamilton Unified</t>
  </si>
  <si>
    <t>12</t>
  </si>
  <si>
    <t>10124</t>
  </si>
  <si>
    <t>Humboldt Co. Office of Education</t>
  </si>
  <si>
    <t>Orick Elementary</t>
  </si>
  <si>
    <t>12 62968 6008080</t>
  </si>
  <si>
    <t>0134163</t>
  </si>
  <si>
    <t>0930</t>
  </si>
  <si>
    <t>Northcoast Preparatory and Performing Arts Academy</t>
  </si>
  <si>
    <t>12 10124 0134163</t>
  </si>
  <si>
    <t>0137364</t>
  </si>
  <si>
    <t>1957</t>
  </si>
  <si>
    <t>Northern United - Humboldt Charter School</t>
  </si>
  <si>
    <t>12 10124 0137364</t>
  </si>
  <si>
    <t>6008221</t>
  </si>
  <si>
    <t>2103</t>
  </si>
  <si>
    <t>Agnes J Johnson Charter</t>
  </si>
  <si>
    <t>12 10124 6008221</t>
  </si>
  <si>
    <t>62679</t>
  </si>
  <si>
    <t>Arcata Elementary</t>
  </si>
  <si>
    <t>12 62679 6007678</t>
  </si>
  <si>
    <t>0109975</t>
  </si>
  <si>
    <t>0744</t>
  </si>
  <si>
    <t>Fuente Nueva Charter</t>
  </si>
  <si>
    <t>12 62679 0109975</t>
  </si>
  <si>
    <t>0111708</t>
  </si>
  <si>
    <t>0769</t>
  </si>
  <si>
    <t>Union Street Charter</t>
  </si>
  <si>
    <t>12 62679 0111708</t>
  </si>
  <si>
    <t>0137653</t>
  </si>
  <si>
    <t>1496</t>
  </si>
  <si>
    <t>Redwood Coast Montessori</t>
  </si>
  <si>
    <t>12 62679 0137653</t>
  </si>
  <si>
    <t>6120562</t>
  </si>
  <si>
    <t>0466</t>
  </si>
  <si>
    <t>Coastal Grove Charter</t>
  </si>
  <si>
    <t>12 62679 6120562</t>
  </si>
  <si>
    <t>62687</t>
  </si>
  <si>
    <t>Northern Humboldt Union High</t>
  </si>
  <si>
    <t>0107110</t>
  </si>
  <si>
    <t>0642</t>
  </si>
  <si>
    <t>Six Rivers Charter High</t>
  </si>
  <si>
    <t>0124263</t>
  </si>
  <si>
    <t>1320</t>
  </si>
  <si>
    <t>Laurel Tree Charter</t>
  </si>
  <si>
    <t>12 62687 0124263</t>
  </si>
  <si>
    <t>62695</t>
  </si>
  <si>
    <t>Big Lagoon Union Elementary</t>
  </si>
  <si>
    <t>Big Lagoon Elementary</t>
  </si>
  <si>
    <t>12 62695 6007686</t>
  </si>
  <si>
    <t>62703</t>
  </si>
  <si>
    <t>Blue Lake Union Elementary</t>
  </si>
  <si>
    <t>12 62703 6007694</t>
  </si>
  <si>
    <t>62729</t>
  </si>
  <si>
    <t>Bridgeville Elementary</t>
  </si>
  <si>
    <t>12 62729 6007710</t>
  </si>
  <si>
    <t>62737</t>
  </si>
  <si>
    <t>Cuddeback Union Elementary</t>
  </si>
  <si>
    <t>Cuddeback Elementary</t>
  </si>
  <si>
    <t>12 62737 6007728</t>
  </si>
  <si>
    <t>62745</t>
  </si>
  <si>
    <t>Cutten Elementary</t>
  </si>
  <si>
    <t>12 62745 6007736</t>
  </si>
  <si>
    <t>62794</t>
  </si>
  <si>
    <t>Fieldbrook Elementary</t>
  </si>
  <si>
    <t>12 62794 6007850</t>
  </si>
  <si>
    <t>62810</t>
  </si>
  <si>
    <t>Fortuna Union High</t>
  </si>
  <si>
    <t>62828</t>
  </si>
  <si>
    <t>Freshwater Elementary</t>
  </si>
  <si>
    <t>12 62828 6007884</t>
  </si>
  <si>
    <t>6116289</t>
  </si>
  <si>
    <t>0173</t>
  </si>
  <si>
    <t>Freshwater Charter Middle</t>
  </si>
  <si>
    <t>62836</t>
  </si>
  <si>
    <t>Garfield Elementary</t>
  </si>
  <si>
    <t>12 62836 6007892</t>
  </si>
  <si>
    <t>62851</t>
  </si>
  <si>
    <t>Green Point Elementary</t>
  </si>
  <si>
    <t>12 62851 6007918</t>
  </si>
  <si>
    <t>62885</t>
  </si>
  <si>
    <t>Hydesville Elementary</t>
  </si>
  <si>
    <t>12 62885 6007942</t>
  </si>
  <si>
    <t>62893</t>
  </si>
  <si>
    <t>Jacoby Creek Elementary</t>
  </si>
  <si>
    <t>Jacoby Creek</t>
  </si>
  <si>
    <t>12 62893 6007959</t>
  </si>
  <si>
    <t>62901</t>
  </si>
  <si>
    <t>Klamath-Trinity Joint Unified</t>
  </si>
  <si>
    <t>Weitchpec Elementary</t>
  </si>
  <si>
    <t>12 62901 6008007</t>
  </si>
  <si>
    <t>62919</t>
  </si>
  <si>
    <t>Kneeland Elementary</t>
  </si>
  <si>
    <t>12 62919 6008015</t>
  </si>
  <si>
    <t>62927</t>
  </si>
  <si>
    <t>Loleta Union Elementary</t>
  </si>
  <si>
    <t>Loleta Elementary</t>
  </si>
  <si>
    <t>12 62927 6008023</t>
  </si>
  <si>
    <t>62935</t>
  </si>
  <si>
    <t>Maple Creek Elementary</t>
  </si>
  <si>
    <t>12 62935 6008031</t>
  </si>
  <si>
    <t>62950</t>
  </si>
  <si>
    <t>McKinleyville Union Elementary</t>
  </si>
  <si>
    <t>Dow's Prairie Elementary</t>
  </si>
  <si>
    <t>12 62950 6008056</t>
  </si>
  <si>
    <t>62968</t>
  </si>
  <si>
    <t>62976</t>
  </si>
  <si>
    <t>12 62976 6008098</t>
  </si>
  <si>
    <t>0115154</t>
  </si>
  <si>
    <t>0891</t>
  </si>
  <si>
    <t>Trillium Charter</t>
  </si>
  <si>
    <t>12 62976 0115154</t>
  </si>
  <si>
    <t>62984</t>
  </si>
  <si>
    <t>Peninsula Union</t>
  </si>
  <si>
    <t>12 62984 6008106</t>
  </si>
  <si>
    <t>63008</t>
  </si>
  <si>
    <t>Rio Dell Elementary</t>
  </si>
  <si>
    <t>Eagle Prairie Elementary</t>
  </si>
  <si>
    <t>12 63008 6008114</t>
  </si>
  <si>
    <t>63024</t>
  </si>
  <si>
    <t>Scotia Union Elementary</t>
  </si>
  <si>
    <t>Stanwood A. Murphy Elementary</t>
  </si>
  <si>
    <t>12 63024 6008155</t>
  </si>
  <si>
    <t>63032</t>
  </si>
  <si>
    <t>South Bay Union Elementary</t>
  </si>
  <si>
    <t>South Bay Elementary</t>
  </si>
  <si>
    <t>12 63032 6008171</t>
  </si>
  <si>
    <t>0111203</t>
  </si>
  <si>
    <t>1962</t>
  </si>
  <si>
    <t>Alder Grove Charter School 2</t>
  </si>
  <si>
    <t>12 63032 0111203</t>
  </si>
  <si>
    <t>0124289</t>
  </si>
  <si>
    <t>1303</t>
  </si>
  <si>
    <t>South Bay Charter</t>
  </si>
  <si>
    <t>12 63032 0124289</t>
  </si>
  <si>
    <t>63040</t>
  </si>
  <si>
    <t>Southern Humboldt Joint Unified</t>
  </si>
  <si>
    <t>Whitethorn Elementary</t>
  </si>
  <si>
    <t>12 63040 6008239</t>
  </si>
  <si>
    <t>63057</t>
  </si>
  <si>
    <t>Trinidad Union Elementary</t>
  </si>
  <si>
    <t>Trinidad Union</t>
  </si>
  <si>
    <t>12 63057 6008247</t>
  </si>
  <si>
    <t>75374</t>
  </si>
  <si>
    <t>Ferndale Unified</t>
  </si>
  <si>
    <t>Ferndale Elementary</t>
  </si>
  <si>
    <t>12 75374 6007843</t>
  </si>
  <si>
    <t>75382</t>
  </si>
  <si>
    <t>Mattole Unified</t>
  </si>
  <si>
    <t>Honeydew Elementary</t>
  </si>
  <si>
    <t>12 75382 6107874</t>
  </si>
  <si>
    <t>75515</t>
  </si>
  <si>
    <t>Eureka City Schools</t>
  </si>
  <si>
    <t>Alice Birney Elementary</t>
  </si>
  <si>
    <t>12 75515 6007751</t>
  </si>
  <si>
    <t>1230150</t>
  </si>
  <si>
    <t>1884</t>
  </si>
  <si>
    <t>Pacific View Charter 2.0</t>
  </si>
  <si>
    <t>12 75515 1230150</t>
  </si>
  <si>
    <t>76802</t>
  </si>
  <si>
    <t>Fortuna Elementary</t>
  </si>
  <si>
    <t>Linell K. Walker Elementary</t>
  </si>
  <si>
    <t>12 76802 6007876</t>
  </si>
  <si>
    <t>0124164</t>
  </si>
  <si>
    <t>1304</t>
  </si>
  <si>
    <t>Redwood Preparatory Charter</t>
  </si>
  <si>
    <t>12 76802 0124164</t>
  </si>
  <si>
    <t>13</t>
  </si>
  <si>
    <t>10132</t>
  </si>
  <si>
    <t>Imperial Co. Office of Education</t>
  </si>
  <si>
    <t>Grace Smith Elementary</t>
  </si>
  <si>
    <t>13 63107 6008403</t>
  </si>
  <si>
    <t>0134379</t>
  </si>
  <si>
    <t>1815</t>
  </si>
  <si>
    <t>Imperial Pathways Charter</t>
  </si>
  <si>
    <t>63073</t>
  </si>
  <si>
    <t>Brawley Elementary</t>
  </si>
  <si>
    <t>Miguel Hidalgo Elementary</t>
  </si>
  <si>
    <t>13 63073 6008270</t>
  </si>
  <si>
    <t>63081</t>
  </si>
  <si>
    <t>Brawley Union High</t>
  </si>
  <si>
    <t>63099</t>
  </si>
  <si>
    <t>Calexico Unified</t>
  </si>
  <si>
    <t>Rockwood Elementary</t>
  </si>
  <si>
    <t>13 63099 6008379</t>
  </si>
  <si>
    <t>63107</t>
  </si>
  <si>
    <t>Calipatria Unified</t>
  </si>
  <si>
    <t>63115</t>
  </si>
  <si>
    <t>Central Union High</t>
  </si>
  <si>
    <t>63123</t>
  </si>
  <si>
    <t>El Centro Elementary</t>
  </si>
  <si>
    <t>Booker T. Washington Elementary</t>
  </si>
  <si>
    <t>13 63123 6008486</t>
  </si>
  <si>
    <t>0118455</t>
  </si>
  <si>
    <t>1030</t>
  </si>
  <si>
    <t>Ballington Academy for the Arts and Sciences</t>
  </si>
  <si>
    <t>13 63123 0118455</t>
  </si>
  <si>
    <t>0122663</t>
  </si>
  <si>
    <t>1249</t>
  </si>
  <si>
    <t>Imperial Valley Home School Academy</t>
  </si>
  <si>
    <t>13 63123 0122663</t>
  </si>
  <si>
    <t>63131</t>
  </si>
  <si>
    <t>Heber Elementary</t>
  </si>
  <si>
    <t>Dogwood Elementary</t>
  </si>
  <si>
    <t>13 63131 0135657</t>
  </si>
  <si>
    <t>63149</t>
  </si>
  <si>
    <t>Holtville Unified</t>
  </si>
  <si>
    <t>Emmett S. Finley Elementary</t>
  </si>
  <si>
    <t>13 63149 6008510</t>
  </si>
  <si>
    <t>63164</t>
  </si>
  <si>
    <t>Imperial Unified</t>
  </si>
  <si>
    <t>Imperial Cross Elementary</t>
  </si>
  <si>
    <t>13 63164 0138917</t>
  </si>
  <si>
    <t>63172</t>
  </si>
  <si>
    <t>Magnolia Union Elementary</t>
  </si>
  <si>
    <t>13 63172 6008585</t>
  </si>
  <si>
    <t>63180</t>
  </si>
  <si>
    <t>McCabe Union Elementary</t>
  </si>
  <si>
    <t>McCabe Elementary</t>
  </si>
  <si>
    <t>13 63180 6008593</t>
  </si>
  <si>
    <t>63198</t>
  </si>
  <si>
    <t>Meadows Union Elementary</t>
  </si>
  <si>
    <t>Meadows Elementary</t>
  </si>
  <si>
    <t>13 63198 6008619</t>
  </si>
  <si>
    <t>63206</t>
  </si>
  <si>
    <t>Mulberry Elementary</t>
  </si>
  <si>
    <t>13 63206 6008627</t>
  </si>
  <si>
    <t>63214</t>
  </si>
  <si>
    <t>San Pasqual Valley Unified</t>
  </si>
  <si>
    <t>San Pasqual Valley Elementary</t>
  </si>
  <si>
    <t>13 63214 6008635</t>
  </si>
  <si>
    <t>63222</t>
  </si>
  <si>
    <t>Seeley Union Elementary</t>
  </si>
  <si>
    <t>Seeley Elementary</t>
  </si>
  <si>
    <t>13 63222 6008643</t>
  </si>
  <si>
    <t>63230</t>
  </si>
  <si>
    <t>Westmorland Union Elementary</t>
  </si>
  <si>
    <t>Westmorland Elementary</t>
  </si>
  <si>
    <t>13 63230 6008650</t>
  </si>
  <si>
    <t>14</t>
  </si>
  <si>
    <t>10140</t>
  </si>
  <si>
    <t>Inyo Co. Office of Education</t>
  </si>
  <si>
    <t>Lo-Inyo Elementary</t>
  </si>
  <si>
    <t>14 63289 6008775</t>
  </si>
  <si>
    <t>0117994</t>
  </si>
  <si>
    <t>1012</t>
  </si>
  <si>
    <t>YouthBuild Charter School of California</t>
  </si>
  <si>
    <t>0128447</t>
  </si>
  <si>
    <t>1594</t>
  </si>
  <si>
    <t>The Education Corps</t>
  </si>
  <si>
    <t>0128454</t>
  </si>
  <si>
    <t>1593</t>
  </si>
  <si>
    <t>College Bridge Academy</t>
  </si>
  <si>
    <t>63248</t>
  </si>
  <si>
    <t>Big Pine Unified</t>
  </si>
  <si>
    <t>Big Pine Elementary</t>
  </si>
  <si>
    <t>14 63248 6008692</t>
  </si>
  <si>
    <t>63271</t>
  </si>
  <si>
    <t>Death Valley Unified</t>
  </si>
  <si>
    <t>Shoshone Elementary</t>
  </si>
  <si>
    <t>14 63271 6008742</t>
  </si>
  <si>
    <t>63289</t>
  </si>
  <si>
    <t>Lone Pine Unified</t>
  </si>
  <si>
    <t>63297</t>
  </si>
  <si>
    <t>Owens Valley Unified</t>
  </si>
  <si>
    <t>Owens Valley Elementary</t>
  </si>
  <si>
    <t>14 63297 6008791</t>
  </si>
  <si>
    <t>63305</t>
  </si>
  <si>
    <t>Round Valley Joint Elementary</t>
  </si>
  <si>
    <t>Round Valley Elementary</t>
  </si>
  <si>
    <t>14 63305 6008809</t>
  </si>
  <si>
    <t>76687</t>
  </si>
  <si>
    <t>Bishop Unified</t>
  </si>
  <si>
    <t>Bishop Elementary</t>
  </si>
  <si>
    <t>14 76687 6008726</t>
  </si>
  <si>
    <t>15</t>
  </si>
  <si>
    <t>10157</t>
  </si>
  <si>
    <t>Kern Co. Office of Education</t>
  </si>
  <si>
    <t>Di Giorgio Elementary</t>
  </si>
  <si>
    <t>15 63420 6009419</t>
  </si>
  <si>
    <t>0119669</t>
  </si>
  <si>
    <t>1078</t>
  </si>
  <si>
    <t>Wonderful College Prep Academy</t>
  </si>
  <si>
    <t>15 10157 0119669</t>
  </si>
  <si>
    <t>0124040</t>
  </si>
  <si>
    <t>1292</t>
  </si>
  <si>
    <t>Grow Academy Arvin</t>
  </si>
  <si>
    <t>15 10157 0124040</t>
  </si>
  <si>
    <t>0135467</t>
  </si>
  <si>
    <t>1851</t>
  </si>
  <si>
    <t>Wonderful College Prep Academy - Lost Hills</t>
  </si>
  <si>
    <t>15 10157 0135467</t>
  </si>
  <si>
    <t>1530492</t>
  </si>
  <si>
    <t>0332</t>
  </si>
  <si>
    <t>Valley Oaks Charter</t>
  </si>
  <si>
    <t>15 10157 1530492</t>
  </si>
  <si>
    <t>1530500</t>
  </si>
  <si>
    <t>2050</t>
  </si>
  <si>
    <t>Ridgecrest Elementary Academy for Language, Music, and Science</t>
  </si>
  <si>
    <t>15 10157 1530500</t>
  </si>
  <si>
    <t>63313</t>
  </si>
  <si>
    <t>Arvin Union</t>
  </si>
  <si>
    <t>15 63313 6008833</t>
  </si>
  <si>
    <t>63321</t>
  </si>
  <si>
    <t>Bakersfield City</t>
  </si>
  <si>
    <t>Williams Elementary</t>
  </si>
  <si>
    <t>15 63321 6009203</t>
  </si>
  <si>
    <t>63339</t>
  </si>
  <si>
    <t>Beardsley Elementary</t>
  </si>
  <si>
    <t>15 63339 6009211</t>
  </si>
  <si>
    <t>63354</t>
  </si>
  <si>
    <t>Blake Elementary</t>
  </si>
  <si>
    <t>15 63354 6009252</t>
  </si>
  <si>
    <t>63362</t>
  </si>
  <si>
    <t>Panama-Buena Vista Union</t>
  </si>
  <si>
    <t>Amy B. Seibert Elementary</t>
  </si>
  <si>
    <t>15 63362 6009922</t>
  </si>
  <si>
    <t>63370</t>
  </si>
  <si>
    <t>Buttonwillow Union Elementary</t>
  </si>
  <si>
    <t>Buttonwillow Elementary</t>
  </si>
  <si>
    <t>15 63370 6009278</t>
  </si>
  <si>
    <t>63388</t>
  </si>
  <si>
    <t>Caliente Union Elementary</t>
  </si>
  <si>
    <t>Piute Mountain Elementary</t>
  </si>
  <si>
    <t>15 63388 6104772</t>
  </si>
  <si>
    <t>63404</t>
  </si>
  <si>
    <t>Delano Union Elementary</t>
  </si>
  <si>
    <t>Terrace Elementary</t>
  </si>
  <si>
    <t>15 63404 6009393</t>
  </si>
  <si>
    <t>0120139</t>
  </si>
  <si>
    <t>1109</t>
  </si>
  <si>
    <t>Nueva Vista Language Academy</t>
  </si>
  <si>
    <t>15 63404 0120139</t>
  </si>
  <si>
    <t>6009351</t>
  </si>
  <si>
    <t>1184</t>
  </si>
  <si>
    <t>Cecil Avenue Math and Science Academy</t>
  </si>
  <si>
    <t>6009369</t>
  </si>
  <si>
    <t>1352</t>
  </si>
  <si>
    <t>Del Vista Math and Science Academy</t>
  </si>
  <si>
    <t>15 63404 6009369</t>
  </si>
  <si>
    <t>63412</t>
  </si>
  <si>
    <t>Delano Joint Union High</t>
  </si>
  <si>
    <t>63420</t>
  </si>
  <si>
    <t>63438</t>
  </si>
  <si>
    <t>Edison Elementary</t>
  </si>
  <si>
    <t>Orangewood Elementary</t>
  </si>
  <si>
    <t>15 63438 6009443</t>
  </si>
  <si>
    <t>63446</t>
  </si>
  <si>
    <t>Elk Hills Elementary</t>
  </si>
  <si>
    <t>15 63446 6009450</t>
  </si>
  <si>
    <t>63461</t>
  </si>
  <si>
    <t>Fairfax Elementary</t>
  </si>
  <si>
    <t>Virginia Avenue Elementary</t>
  </si>
  <si>
    <t>15 63461 6009500</t>
  </si>
  <si>
    <t>63479</t>
  </si>
  <si>
    <t>Fruitvale Elementary</t>
  </si>
  <si>
    <t>Quailwood Elementary</t>
  </si>
  <si>
    <t>15 63479 6101588</t>
  </si>
  <si>
    <t>63487</t>
  </si>
  <si>
    <t>General Shafter Elementary</t>
  </si>
  <si>
    <t>15 63487 6009534</t>
  </si>
  <si>
    <t>63503</t>
  </si>
  <si>
    <t>Greenfield Union</t>
  </si>
  <si>
    <t>15 63503 6009559</t>
  </si>
  <si>
    <t>63529</t>
  </si>
  <si>
    <t>Kern High</t>
  </si>
  <si>
    <t>1530435</t>
  </si>
  <si>
    <t>0071</t>
  </si>
  <si>
    <t>Kern Workforce 2000 Academy</t>
  </si>
  <si>
    <t>63545</t>
  </si>
  <si>
    <t>Kernville Union Elementary</t>
  </si>
  <si>
    <t>Woodrow W. Wallace Elementary</t>
  </si>
  <si>
    <t>15 63545 6009658</t>
  </si>
  <si>
    <t>63552</t>
  </si>
  <si>
    <t>Lakeside Union</t>
  </si>
  <si>
    <t>Donald E. Suburu</t>
  </si>
  <si>
    <t>15 63552 6115042</t>
  </si>
  <si>
    <t>63560</t>
  </si>
  <si>
    <t>Lamont Elementary</t>
  </si>
  <si>
    <t>Myrtle Avenue Elementary</t>
  </si>
  <si>
    <t>15 63560 6009708</t>
  </si>
  <si>
    <t>63578</t>
  </si>
  <si>
    <t>Richland Union Elementary</t>
  </si>
  <si>
    <t>Golden Oak Elementary</t>
  </si>
  <si>
    <t>15 63578 6090591</t>
  </si>
  <si>
    <t>0135186</t>
  </si>
  <si>
    <t>1847</t>
  </si>
  <si>
    <t>Grow Academy Shafter</t>
  </si>
  <si>
    <t>15 63578 0135186</t>
  </si>
  <si>
    <t>63586</t>
  </si>
  <si>
    <t>Linns Valley-Poso Flat Union</t>
  </si>
  <si>
    <t>Linns Valley-Poso Flat Elementary</t>
  </si>
  <si>
    <t>15 63586 6009724</t>
  </si>
  <si>
    <t>63594</t>
  </si>
  <si>
    <t>Lost Hills Union Elementary</t>
  </si>
  <si>
    <t>Lost Hills Elementary</t>
  </si>
  <si>
    <t>15 63594 6060420</t>
  </si>
  <si>
    <t>63610</t>
  </si>
  <si>
    <t>Maple Elementary</t>
  </si>
  <si>
    <t>15 63610 6009732</t>
  </si>
  <si>
    <t>63628</t>
  </si>
  <si>
    <t>Maricopa Unified</t>
  </si>
  <si>
    <t>Maricopa Elementary</t>
  </si>
  <si>
    <t>15 63628 6009740</t>
  </si>
  <si>
    <t>0127209</t>
  </si>
  <si>
    <t>1491</t>
  </si>
  <si>
    <t>Insight School of California</t>
  </si>
  <si>
    <t>0128504</t>
  </si>
  <si>
    <t>1575</t>
  </si>
  <si>
    <t>Peak to Peak Mountain Charter</t>
  </si>
  <si>
    <t>15 63628 0128504</t>
  </si>
  <si>
    <t>0134312</t>
  </si>
  <si>
    <t>1816</t>
  </si>
  <si>
    <t>Blue Ridge Academy</t>
  </si>
  <si>
    <t>15 63628 0134312</t>
  </si>
  <si>
    <t>0137687</t>
  </si>
  <si>
    <t>1490</t>
  </si>
  <si>
    <t>California Virtual Academy @ Maricopa</t>
  </si>
  <si>
    <t>15 63628 0137687</t>
  </si>
  <si>
    <t>0138131</t>
  </si>
  <si>
    <t>1998</t>
  </si>
  <si>
    <t>Heartland Charter</t>
  </si>
  <si>
    <t>15 63628 0138131</t>
  </si>
  <si>
    <t>63651</t>
  </si>
  <si>
    <t>McKittrick Elementary</t>
  </si>
  <si>
    <t>15 63651 6009773</t>
  </si>
  <si>
    <t>63669</t>
  </si>
  <si>
    <t>Midway Elementary</t>
  </si>
  <si>
    <t>15 63669 6009781</t>
  </si>
  <si>
    <t>63677</t>
  </si>
  <si>
    <t>Mojave Unified</t>
  </si>
  <si>
    <t>Mojave Elementary</t>
  </si>
  <si>
    <t>15 63677 6009799</t>
  </si>
  <si>
    <t>63685</t>
  </si>
  <si>
    <t>Muroc Joint Unified</t>
  </si>
  <si>
    <t>West Boron Elementary</t>
  </si>
  <si>
    <t>15 63685 6009906</t>
  </si>
  <si>
    <t>63693</t>
  </si>
  <si>
    <t>Norris Elementary</t>
  </si>
  <si>
    <t>William B. Bimat Elementary</t>
  </si>
  <si>
    <t>15 63693 6118681</t>
  </si>
  <si>
    <t>63719</t>
  </si>
  <si>
    <t>Pond Union Elementary</t>
  </si>
  <si>
    <t>Pond Elementary</t>
  </si>
  <si>
    <t>15 63719 6009963</t>
  </si>
  <si>
    <t>63750</t>
  </si>
  <si>
    <t>Rosedale Union Elementary</t>
  </si>
  <si>
    <t>Rosedale-North Elementary</t>
  </si>
  <si>
    <t>15 63750 6096127</t>
  </si>
  <si>
    <t>63768</t>
  </si>
  <si>
    <t>Semitropic Elementary</t>
  </si>
  <si>
    <t>15 63768 6010037</t>
  </si>
  <si>
    <t>63776</t>
  </si>
  <si>
    <t>Southern Kern Unified</t>
  </si>
  <si>
    <t>Rosamond Elementary</t>
  </si>
  <si>
    <t>15 63776 6010045</t>
  </si>
  <si>
    <t>63784</t>
  </si>
  <si>
    <t>South Fork Union</t>
  </si>
  <si>
    <t>South Fork Elementary</t>
  </si>
  <si>
    <t>15 63784 6010060</t>
  </si>
  <si>
    <t>63792</t>
  </si>
  <si>
    <t>Standard Elementary</t>
  </si>
  <si>
    <t>15 63792 6010086</t>
  </si>
  <si>
    <t>63800</t>
  </si>
  <si>
    <t>Taft City</t>
  </si>
  <si>
    <t>Jefferson Elementary</t>
  </si>
  <si>
    <t>15 63800 6010128</t>
  </si>
  <si>
    <t>63818</t>
  </si>
  <si>
    <t>Taft Union High</t>
  </si>
  <si>
    <t>63826</t>
  </si>
  <si>
    <t>Tehachapi Unified</t>
  </si>
  <si>
    <t>Tompkins Elementary</t>
  </si>
  <si>
    <t>15 63826 6010201</t>
  </si>
  <si>
    <t>63834</t>
  </si>
  <si>
    <t>Vineland Elementary</t>
  </si>
  <si>
    <t>15 63834 6010235</t>
  </si>
  <si>
    <t>63842</t>
  </si>
  <si>
    <t>Wasco Union Elementary</t>
  </si>
  <si>
    <t>Karl F. Clemens Elementary</t>
  </si>
  <si>
    <t>15 63842 6010243</t>
  </si>
  <si>
    <t>63859</t>
  </si>
  <si>
    <t>Wasco Union High</t>
  </si>
  <si>
    <t>73544</t>
  </si>
  <si>
    <t>Rio Bravo-Greeley Union Elementary</t>
  </si>
  <si>
    <t>Rio Bravo Elementary</t>
  </si>
  <si>
    <t>15 73544 6117816</t>
  </si>
  <si>
    <t>73742</t>
  </si>
  <si>
    <t>Sierra Sands Unified</t>
  </si>
  <si>
    <t>Pierce Elementary</t>
  </si>
  <si>
    <t>15 73742 6009294</t>
  </si>
  <si>
    <t>73908</t>
  </si>
  <si>
    <t>McFarland Unified</t>
  </si>
  <si>
    <t>Browning Road STEAM Academy</t>
  </si>
  <si>
    <t>15 73908 6009757</t>
  </si>
  <si>
    <t>75168</t>
  </si>
  <si>
    <t>El Tejon Unified</t>
  </si>
  <si>
    <t>Frazier Park Elementary</t>
  </si>
  <si>
    <t>15 75168 6009476</t>
  </si>
  <si>
    <t>16</t>
  </si>
  <si>
    <t>10165</t>
  </si>
  <si>
    <t>Kings Co. Office of Education</t>
  </si>
  <si>
    <t>Lincoln Elementary</t>
  </si>
  <si>
    <t>16 63917 6010417</t>
  </si>
  <si>
    <t>63875</t>
  </si>
  <si>
    <t>Armona Union Elementary</t>
  </si>
  <si>
    <t>Armona Elementary</t>
  </si>
  <si>
    <t>16 63875 6010276</t>
  </si>
  <si>
    <t>0101717</t>
  </si>
  <si>
    <t>0571</t>
  </si>
  <si>
    <t>Crossroads Charter</t>
  </si>
  <si>
    <t>16 63875 0101717</t>
  </si>
  <si>
    <t>0112698</t>
  </si>
  <si>
    <t>0840</t>
  </si>
  <si>
    <t>California Virtual Academy @ Kings</t>
  </si>
  <si>
    <t>16 63875 0112698</t>
  </si>
  <si>
    <t>63883</t>
  </si>
  <si>
    <t>Central Union Elementary</t>
  </si>
  <si>
    <t>Stratford Elementary</t>
  </si>
  <si>
    <t>16 63883 6010326</t>
  </si>
  <si>
    <t>63891</t>
  </si>
  <si>
    <t>Corcoran Joint Unified</t>
  </si>
  <si>
    <t>Bret Harte Elementary</t>
  </si>
  <si>
    <t>16 63891 6010334</t>
  </si>
  <si>
    <t>63917</t>
  </si>
  <si>
    <t>Hanford Elementary</t>
  </si>
  <si>
    <t>63925</t>
  </si>
  <si>
    <t>Hanford Joint Union High</t>
  </si>
  <si>
    <t>0137901</t>
  </si>
  <si>
    <t>1997</t>
  </si>
  <si>
    <t>Hanford Online Charter</t>
  </si>
  <si>
    <t>63933</t>
  </si>
  <si>
    <t>Island Union Elementary</t>
  </si>
  <si>
    <t>Island Elementary</t>
  </si>
  <si>
    <t>16 63933 6010466</t>
  </si>
  <si>
    <t>63941</t>
  </si>
  <si>
    <t>Kings River-Hardwick Union Elementary</t>
  </si>
  <si>
    <t>Kings River-Hardwick Elementary</t>
  </si>
  <si>
    <t>16 63941 6010474</t>
  </si>
  <si>
    <t>63958</t>
  </si>
  <si>
    <t>Kit Carson Union Elementary</t>
  </si>
  <si>
    <t>Kit Carson Elementary</t>
  </si>
  <si>
    <t>16 63958 6010482</t>
  </si>
  <si>
    <t>0136556</t>
  </si>
  <si>
    <t>1896</t>
  </si>
  <si>
    <t>Kings Valley Academy II</t>
  </si>
  <si>
    <t>16 63958 0136556</t>
  </si>
  <si>
    <t>6113120</t>
  </si>
  <si>
    <t>0088</t>
  </si>
  <si>
    <t>Mid Valley Alternative Charter</t>
  </si>
  <si>
    <t>16 63958 6113120</t>
  </si>
  <si>
    <t>63966</t>
  </si>
  <si>
    <t>Lakeside Union Elementary</t>
  </si>
  <si>
    <t>Lakeside Elementary</t>
  </si>
  <si>
    <t>16 63966 6010508</t>
  </si>
  <si>
    <t>63974</t>
  </si>
  <si>
    <t>Lemoore Union Elementary</t>
  </si>
  <si>
    <t>Cinnamon Elementary</t>
  </si>
  <si>
    <t>16 63974 6118590</t>
  </si>
  <si>
    <t>0100156</t>
  </si>
  <si>
    <t>0489</t>
  </si>
  <si>
    <t>Lemoore University Elementary Charter</t>
  </si>
  <si>
    <t>63982</t>
  </si>
  <si>
    <t>Lemoore Union High</t>
  </si>
  <si>
    <t>0110205</t>
  </si>
  <si>
    <t>1068</t>
  </si>
  <si>
    <t>Lemoore Middle College High</t>
  </si>
  <si>
    <t>0136234</t>
  </si>
  <si>
    <t>1877</t>
  </si>
  <si>
    <t>Lemoore Online College Preparatory High</t>
  </si>
  <si>
    <t>63990</t>
  </si>
  <si>
    <t>Pioneer Elementary</t>
  </si>
  <si>
    <t>16 63990 6010557</t>
  </si>
  <si>
    <t>73932</t>
  </si>
  <si>
    <t>Reef-Sunset Unified</t>
  </si>
  <si>
    <t>Tamarack Elementary</t>
  </si>
  <si>
    <t>16 73932 6118566</t>
  </si>
  <si>
    <t>17</t>
  </si>
  <si>
    <t>10173</t>
  </si>
  <si>
    <t>Lake Co. Office of Education</t>
  </si>
  <si>
    <t>Burns Valley</t>
  </si>
  <si>
    <t>17 64022 6010615</t>
  </si>
  <si>
    <t>64014</t>
  </si>
  <si>
    <t>Kelseyville Unified</t>
  </si>
  <si>
    <t>Kelseyville Elementary</t>
  </si>
  <si>
    <t>17 64014 6010607</t>
  </si>
  <si>
    <t>0141382</t>
  </si>
  <si>
    <t>2125</t>
  </si>
  <si>
    <t>Shade Canyon</t>
  </si>
  <si>
    <t>17 64014 0141382</t>
  </si>
  <si>
    <t>64022</t>
  </si>
  <si>
    <t>Konocti Unified</t>
  </si>
  <si>
    <t>64030</t>
  </si>
  <si>
    <t>Lakeport Unified</t>
  </si>
  <si>
    <t>Lakeport Elementary</t>
  </si>
  <si>
    <t>17 64030 6010631</t>
  </si>
  <si>
    <t>64048</t>
  </si>
  <si>
    <t>Lucerne Elementary</t>
  </si>
  <si>
    <t>17 64048 6010656</t>
  </si>
  <si>
    <t>64055</t>
  </si>
  <si>
    <t>Middletown Unified</t>
  </si>
  <si>
    <t>Minnie Cannon Elementary</t>
  </si>
  <si>
    <t>17 64055 6010672</t>
  </si>
  <si>
    <t>0108340</t>
  </si>
  <si>
    <t>0681</t>
  </si>
  <si>
    <t>Lake County International Charter</t>
  </si>
  <si>
    <t>17 64055 0108340</t>
  </si>
  <si>
    <t>0129601</t>
  </si>
  <si>
    <t>1653</t>
  </si>
  <si>
    <t>California Connections Academy @ North Bay</t>
  </si>
  <si>
    <t>17 64055 0129601</t>
  </si>
  <si>
    <t>76976</t>
  </si>
  <si>
    <t>Upper Lake Unified</t>
  </si>
  <si>
    <t>Upper Lake Elementary</t>
  </si>
  <si>
    <t>17 76976 6010680</t>
  </si>
  <si>
    <t>18</t>
  </si>
  <si>
    <t>10181</t>
  </si>
  <si>
    <t>Lassen Co. Office of Education</t>
  </si>
  <si>
    <t>Juniper Ridge Elementary</t>
  </si>
  <si>
    <t>18 64162 6010789</t>
  </si>
  <si>
    <t>64089</t>
  </si>
  <si>
    <t>Big Valley Joint Unified</t>
  </si>
  <si>
    <t>Big Valley Elementary</t>
  </si>
  <si>
    <t>18 64089 6010698</t>
  </si>
  <si>
    <t>64105</t>
  </si>
  <si>
    <t>Janesville Union Elementary</t>
  </si>
  <si>
    <t>Janesville Elementary</t>
  </si>
  <si>
    <t>18 64105 6010730</t>
  </si>
  <si>
    <t>64113</t>
  </si>
  <si>
    <t>Johnstonville Elementary</t>
  </si>
  <si>
    <t>18 64113 6010748</t>
  </si>
  <si>
    <t>64139</t>
  </si>
  <si>
    <t>Lassen Union High</t>
  </si>
  <si>
    <t>64162</t>
  </si>
  <si>
    <t>Ravendale-Termo Elementary</t>
  </si>
  <si>
    <t>64170</t>
  </si>
  <si>
    <t>Richmond Elementary</t>
  </si>
  <si>
    <t>18 64170 6010797</t>
  </si>
  <si>
    <t>64188</t>
  </si>
  <si>
    <t>Shaffer Union Elementary</t>
  </si>
  <si>
    <t>Shaffer Elementary</t>
  </si>
  <si>
    <t>18 64188 6010805</t>
  </si>
  <si>
    <t>64196</t>
  </si>
  <si>
    <t>Susanville Elementary</t>
  </si>
  <si>
    <t>Meadow View</t>
  </si>
  <si>
    <t>18 64196 6109748</t>
  </si>
  <si>
    <t>0135756</t>
  </si>
  <si>
    <t>2066</t>
  </si>
  <si>
    <t>Thompson Peak Charter</t>
  </si>
  <si>
    <t>18 64196 0135756</t>
  </si>
  <si>
    <t>64204</t>
  </si>
  <si>
    <t>Westwood Unified</t>
  </si>
  <si>
    <t>Fletcher Walker Elementary</t>
  </si>
  <si>
    <t>18 64204 6010847</t>
  </si>
  <si>
    <t>75036</t>
  </si>
  <si>
    <t>Fort Sage Unified</t>
  </si>
  <si>
    <t>Sierra Primary</t>
  </si>
  <si>
    <t>18 75036 6096341</t>
  </si>
  <si>
    <t>0121657</t>
  </si>
  <si>
    <t>1185</t>
  </si>
  <si>
    <t>Mt. Lassen Charter</t>
  </si>
  <si>
    <t>18 75036 0121657</t>
  </si>
  <si>
    <t>6010763</t>
  </si>
  <si>
    <t>2067</t>
  </si>
  <si>
    <t>Long Valley</t>
  </si>
  <si>
    <t>18 75036 6010763</t>
  </si>
  <si>
    <t>19</t>
  </si>
  <si>
    <t>10199</t>
  </si>
  <si>
    <t>Los Angeles Co. Office of Education</t>
  </si>
  <si>
    <t>Magnolia Avenue Elementary</t>
  </si>
  <si>
    <t>19 64733 6017990</t>
  </si>
  <si>
    <t>0100776</t>
  </si>
  <si>
    <t>0540</t>
  </si>
  <si>
    <t>North Valley Military Institute College Preparatory Academy</t>
  </si>
  <si>
    <t>19 10199 0100776</t>
  </si>
  <si>
    <t>0106880</t>
  </si>
  <si>
    <t>0663</t>
  </si>
  <si>
    <t>Jardin de la Infancia</t>
  </si>
  <si>
    <t>19 10199 0106880</t>
  </si>
  <si>
    <t>0109660</t>
  </si>
  <si>
    <t>0694</t>
  </si>
  <si>
    <t>Aspire Antonio Maria Lugo Academy</t>
  </si>
  <si>
    <t>19 10199 0109660</t>
  </si>
  <si>
    <t>0112128</t>
  </si>
  <si>
    <t>0693</t>
  </si>
  <si>
    <t>Aspire Ollin University Preparatory Academy</t>
  </si>
  <si>
    <t>19 10199 0112128</t>
  </si>
  <si>
    <t>0115030</t>
  </si>
  <si>
    <t>0917</t>
  </si>
  <si>
    <t>Magnolia Science Academy 3</t>
  </si>
  <si>
    <t>19 10199 0115030</t>
  </si>
  <si>
    <t>0115212</t>
  </si>
  <si>
    <t>0906</t>
  </si>
  <si>
    <t>Magnolia Science Academy 2</t>
  </si>
  <si>
    <t>19 10199 0115212</t>
  </si>
  <si>
    <t>0121772</t>
  </si>
  <si>
    <t>1204</t>
  </si>
  <si>
    <t>Environmental Charter Middle</t>
  </si>
  <si>
    <t>0127498</t>
  </si>
  <si>
    <t>1501</t>
  </si>
  <si>
    <t>Environmental Charter Middle - Inglewood</t>
  </si>
  <si>
    <t>0128025</t>
  </si>
  <si>
    <t>1560</t>
  </si>
  <si>
    <t>Lashon Academy</t>
  </si>
  <si>
    <t>19 10199 0128025</t>
  </si>
  <si>
    <t>0132605</t>
  </si>
  <si>
    <t>1744</t>
  </si>
  <si>
    <t>Valiente College Preparatory Charter School</t>
  </si>
  <si>
    <t>0134346</t>
  </si>
  <si>
    <t>1814</t>
  </si>
  <si>
    <t>Intellectual Virtues Academy</t>
  </si>
  <si>
    <t>0134361</t>
  </si>
  <si>
    <t>1818</t>
  </si>
  <si>
    <t>Russell Westbrook Why Not? Middle</t>
  </si>
  <si>
    <t>0135368</t>
  </si>
  <si>
    <t>1859</t>
  </si>
  <si>
    <t>Alma Fuerte Public School</t>
  </si>
  <si>
    <t>19 10199 0135368</t>
  </si>
  <si>
    <t>0135582</t>
  </si>
  <si>
    <t>1817</t>
  </si>
  <si>
    <t>Russell Westbrook Why Not? High</t>
  </si>
  <si>
    <t>0136119</t>
  </si>
  <si>
    <t>1874</t>
  </si>
  <si>
    <t>Animo City of Champions Charter High</t>
  </si>
  <si>
    <t>0137166</t>
  </si>
  <si>
    <t>1931</t>
  </si>
  <si>
    <t>Soleil Academy</t>
  </si>
  <si>
    <t>19 10199 0137166</t>
  </si>
  <si>
    <t>0137679</t>
  </si>
  <si>
    <t>0987</t>
  </si>
  <si>
    <t>Magnolia Science Academy 5</t>
  </si>
  <si>
    <t>19 10199 0137679</t>
  </si>
  <si>
    <t>0138669</t>
  </si>
  <si>
    <t>2017</t>
  </si>
  <si>
    <t>Da Vinci RISE High</t>
  </si>
  <si>
    <t>0139170</t>
  </si>
  <si>
    <t>2029</t>
  </si>
  <si>
    <t>Lashon Academy City</t>
  </si>
  <si>
    <t>19 10199 0139170</t>
  </si>
  <si>
    <t>0139345</t>
  </si>
  <si>
    <t>2045</t>
  </si>
  <si>
    <t>We the People High</t>
  </si>
  <si>
    <t>0140681</t>
  </si>
  <si>
    <t>2098</t>
  </si>
  <si>
    <t>Environmental Charter High - Gardena</t>
  </si>
  <si>
    <t>0140772</t>
  </si>
  <si>
    <t>2112</t>
  </si>
  <si>
    <t>KIPP Poder Public</t>
  </si>
  <si>
    <t>19 10199 0140772</t>
  </si>
  <si>
    <t>0140798</t>
  </si>
  <si>
    <t>2114</t>
  </si>
  <si>
    <t>Bridges Preparatory Academy</t>
  </si>
  <si>
    <t>0140962</t>
  </si>
  <si>
    <t>2108</t>
  </si>
  <si>
    <t>The SEED School of Los Angeles County</t>
  </si>
  <si>
    <t>6116883</t>
  </si>
  <si>
    <t>0249</t>
  </si>
  <si>
    <t>Odyssey Charter</t>
  </si>
  <si>
    <t>19 10199 6116883</t>
  </si>
  <si>
    <t>6119945</t>
  </si>
  <si>
    <t>0438</t>
  </si>
  <si>
    <t>Magnolia Science Academy</t>
  </si>
  <si>
    <t>19 10199 6119945</t>
  </si>
  <si>
    <t>64212</t>
  </si>
  <si>
    <t>ABC Unified</t>
  </si>
  <si>
    <t>Furgeson (Venn W.) Elementary</t>
  </si>
  <si>
    <t>19 64212 6010979</t>
  </si>
  <si>
    <t>64246</t>
  </si>
  <si>
    <t>Antelope Valley Union High</t>
  </si>
  <si>
    <t>0126003</t>
  </si>
  <si>
    <t>1415</t>
  </si>
  <si>
    <t>Academies of the Antelope Valley</t>
  </si>
  <si>
    <t>19 64246 0126003</t>
  </si>
  <si>
    <t>0142240</t>
  </si>
  <si>
    <t>2139</t>
  </si>
  <si>
    <t>Synergy School of the Arts and Technology, Antelope Valley</t>
  </si>
  <si>
    <t>19 64246 0142240</t>
  </si>
  <si>
    <t>1996537</t>
  </si>
  <si>
    <t>0411</t>
  </si>
  <si>
    <t>Desert Sands Charter</t>
  </si>
  <si>
    <t>64261</t>
  </si>
  <si>
    <t>Arcadia Unified</t>
  </si>
  <si>
    <t>Holly Avenue Elementary</t>
  </si>
  <si>
    <t>19 64261 6011175</t>
  </si>
  <si>
    <t>64279</t>
  </si>
  <si>
    <t>Azusa Unified</t>
  </si>
  <si>
    <t>Clifford D. Murray Elementary</t>
  </si>
  <si>
    <t>19 64279 6011241</t>
  </si>
  <si>
    <t>64287</t>
  </si>
  <si>
    <t>Baldwin Park Unified</t>
  </si>
  <si>
    <t>Central Elementary</t>
  </si>
  <si>
    <t>19 64287 6011381</t>
  </si>
  <si>
    <t>1996479</t>
  </si>
  <si>
    <t>0402</t>
  </si>
  <si>
    <t>Opportunities for Learning - Baldwin Park</t>
  </si>
  <si>
    <t>64295</t>
  </si>
  <si>
    <t>Bassett Unified</t>
  </si>
  <si>
    <t>Don Julian Elementary</t>
  </si>
  <si>
    <t>19 64295 6011530</t>
  </si>
  <si>
    <t>64303</t>
  </si>
  <si>
    <t>Bellflower Unified</t>
  </si>
  <si>
    <t>Frank E. Woodruff Elementary</t>
  </si>
  <si>
    <t>19 64303 6011647</t>
  </si>
  <si>
    <t>64311</t>
  </si>
  <si>
    <t>Beverly Hills Unified</t>
  </si>
  <si>
    <t>Horace Mann Elementary</t>
  </si>
  <si>
    <t>19 64311 6011779</t>
  </si>
  <si>
    <t>64329</t>
  </si>
  <si>
    <t>Bonita Unified</t>
  </si>
  <si>
    <t>Fred Ekstrand Elementary</t>
  </si>
  <si>
    <t>19 64329 6011803</t>
  </si>
  <si>
    <t>64337</t>
  </si>
  <si>
    <t>Burbank Unified</t>
  </si>
  <si>
    <t>George Washington Elementary</t>
  </si>
  <si>
    <t>19 64337 6012025</t>
  </si>
  <si>
    <t>64345</t>
  </si>
  <si>
    <t>Castaic Union</t>
  </si>
  <si>
    <t>Northlake Hills Elementary</t>
  </si>
  <si>
    <t>19 64345 0101600</t>
  </si>
  <si>
    <t>64352</t>
  </si>
  <si>
    <t>Centinela Valley Union High</t>
  </si>
  <si>
    <t>0128488</t>
  </si>
  <si>
    <t>1558</t>
  </si>
  <si>
    <t>Family First Charter</t>
  </si>
  <si>
    <t>0128496</t>
  </si>
  <si>
    <t>1557</t>
  </si>
  <si>
    <t>New Opportunities Charter</t>
  </si>
  <si>
    <t>64378</t>
  </si>
  <si>
    <t>Charter Oak Unified</t>
  </si>
  <si>
    <t>Cedargrove Elementary</t>
  </si>
  <si>
    <t>19 64378 6012066</t>
  </si>
  <si>
    <t>64394</t>
  </si>
  <si>
    <t>Claremont Unified</t>
  </si>
  <si>
    <t>Vista del Valle Elementary</t>
  </si>
  <si>
    <t>19 64394 6012223</t>
  </si>
  <si>
    <t>64436</t>
  </si>
  <si>
    <t>Covina-Valley Unified</t>
  </si>
  <si>
    <t>Merwin Elementary</t>
  </si>
  <si>
    <t>19 64436 6012553</t>
  </si>
  <si>
    <t>64444</t>
  </si>
  <si>
    <t>Culver City Unified</t>
  </si>
  <si>
    <t>La Ballona Elementary</t>
  </si>
  <si>
    <t>19 64444 6012702</t>
  </si>
  <si>
    <t>64451</t>
  </si>
  <si>
    <t>Downey Unified</t>
  </si>
  <si>
    <t>Gauldin (A.L.) Elementary</t>
  </si>
  <si>
    <t>19 64451 6012736</t>
  </si>
  <si>
    <t>64469</t>
  </si>
  <si>
    <t>Duarte Unified</t>
  </si>
  <si>
    <t>Maxwell Academy (PK-8)</t>
  </si>
  <si>
    <t>19 64469 6012934</t>
  </si>
  <si>
    <t>0128736</t>
  </si>
  <si>
    <t>1599</t>
  </si>
  <si>
    <t>Opportunities for Learning - Duarte</t>
  </si>
  <si>
    <t>19 64469 0128736</t>
  </si>
  <si>
    <t>0134858</t>
  </si>
  <si>
    <t>1838</t>
  </si>
  <si>
    <t>California School of the Arts - San Gabriel Valley</t>
  </si>
  <si>
    <t>0139535</t>
  </si>
  <si>
    <t>2060</t>
  </si>
  <si>
    <t>Options For Youth - Duarte, Inc</t>
  </si>
  <si>
    <t>64477</t>
  </si>
  <si>
    <t>Eastside Union Elementary</t>
  </si>
  <si>
    <t>Columbia Elementary</t>
  </si>
  <si>
    <t>19 64477 6106421</t>
  </si>
  <si>
    <t>64485</t>
  </si>
  <si>
    <t>East Whittier City Elementary</t>
  </si>
  <si>
    <t>Evergreen Elementary</t>
  </si>
  <si>
    <t>19 64485 6013007</t>
  </si>
  <si>
    <t>64501</t>
  </si>
  <si>
    <t>El Monte City</t>
  </si>
  <si>
    <t>Potrero Elementary</t>
  </si>
  <si>
    <t>19 64501 6013247</t>
  </si>
  <si>
    <t>64519</t>
  </si>
  <si>
    <t>El Monte Union High</t>
  </si>
  <si>
    <t>64527</t>
  </si>
  <si>
    <t>El Rancho Unified</t>
  </si>
  <si>
    <t>North Ranchito Elementary</t>
  </si>
  <si>
    <t>19 64527 6013353</t>
  </si>
  <si>
    <t>64535</t>
  </si>
  <si>
    <t>El Segundo Unified</t>
  </si>
  <si>
    <t>Center Street Elementary</t>
  </si>
  <si>
    <t>19 64535 6013429</t>
  </si>
  <si>
    <t>64550</t>
  </si>
  <si>
    <t>Garvey Elementary</t>
  </si>
  <si>
    <t>Duff Language Magnet Academy</t>
  </si>
  <si>
    <t>19 64550 0138172</t>
  </si>
  <si>
    <t>64568</t>
  </si>
  <si>
    <t>Glendale Unified</t>
  </si>
  <si>
    <t>19 64568 6013767</t>
  </si>
  <si>
    <t>64576</t>
  </si>
  <si>
    <t>Glendora Unified</t>
  </si>
  <si>
    <t>Stanton Elementary</t>
  </si>
  <si>
    <t>19 64576 6013916</t>
  </si>
  <si>
    <t>64584</t>
  </si>
  <si>
    <t>Gorman Joint</t>
  </si>
  <si>
    <t>Gorman Elementary</t>
  </si>
  <si>
    <t>19 64584 6013940</t>
  </si>
  <si>
    <t>1996305</t>
  </si>
  <si>
    <t>0285</t>
  </si>
  <si>
    <t>Gorman Learning Center</t>
  </si>
  <si>
    <t>19 64584 1996305</t>
  </si>
  <si>
    <t>64592</t>
  </si>
  <si>
    <t>Hawthorne</t>
  </si>
  <si>
    <t>Kornblum</t>
  </si>
  <si>
    <t>19 64592 6117246</t>
  </si>
  <si>
    <t>0100354</t>
  </si>
  <si>
    <t>0523</t>
  </si>
  <si>
    <t>Hawthorne Math and Science Academy</t>
  </si>
  <si>
    <t>64600</t>
  </si>
  <si>
    <t>Hermosa Beach City Elementary</t>
  </si>
  <si>
    <t>Hermosa View Elementary</t>
  </si>
  <si>
    <t>19 64600 6014047</t>
  </si>
  <si>
    <t>64626</t>
  </si>
  <si>
    <t>Hughes-Elizabeth Lakes Union Elementary</t>
  </si>
  <si>
    <t>Hughes-Elizabeth Lakes</t>
  </si>
  <si>
    <t>19 64626 6014427</t>
  </si>
  <si>
    <t>64634</t>
  </si>
  <si>
    <t>Inglewood Unified</t>
  </si>
  <si>
    <t>Worthington TK-6 Elementary</t>
  </si>
  <si>
    <t>19 64634 6014443</t>
  </si>
  <si>
    <t>0101667</t>
  </si>
  <si>
    <t>0582</t>
  </si>
  <si>
    <t>Wilder's Preparatory Academy Charter</t>
  </si>
  <si>
    <t>19 64634 0101667</t>
  </si>
  <si>
    <t>0116822</t>
  </si>
  <si>
    <t>0977</t>
  </si>
  <si>
    <t>Wilder's Preparatory Academy Charter Middle</t>
  </si>
  <si>
    <t>0120303</t>
  </si>
  <si>
    <t>1121</t>
  </si>
  <si>
    <t>ICEF Inglewood Elementary Charter Academy</t>
  </si>
  <si>
    <t>19 64634 0120303</t>
  </si>
  <si>
    <t>0128991</t>
  </si>
  <si>
    <t>1612</t>
  </si>
  <si>
    <t>Grace Hopper STEM Academy</t>
  </si>
  <si>
    <t>1996529</t>
  </si>
  <si>
    <t>2075</t>
  </si>
  <si>
    <t>City Honors International Preparatory High</t>
  </si>
  <si>
    <t>1996586</t>
  </si>
  <si>
    <t>0432</t>
  </si>
  <si>
    <t>Animo Inglewood Charter High</t>
  </si>
  <si>
    <t>6014518</t>
  </si>
  <si>
    <t>1591</t>
  </si>
  <si>
    <t>La Tijera K-8 Academy of Excellence Charter</t>
  </si>
  <si>
    <t>19 64634 6014518</t>
  </si>
  <si>
    <t>64642</t>
  </si>
  <si>
    <t>Keppel Union Elementary</t>
  </si>
  <si>
    <t>Antelope Elementary</t>
  </si>
  <si>
    <t>19 64642 6014609</t>
  </si>
  <si>
    <t>0136127</t>
  </si>
  <si>
    <t>1886</t>
  </si>
  <si>
    <t>Sage Oak Charter School- Keppel</t>
  </si>
  <si>
    <t>19 64642 0136127</t>
  </si>
  <si>
    <t>64659</t>
  </si>
  <si>
    <t>La Canada Unified</t>
  </si>
  <si>
    <t>La Canada Elementary</t>
  </si>
  <si>
    <t>19 64659 6014633</t>
  </si>
  <si>
    <t>64667</t>
  </si>
  <si>
    <t>Lancaster Elementary</t>
  </si>
  <si>
    <t>El Dorado Elementary</t>
  </si>
  <si>
    <t>19 64667 6014682</t>
  </si>
  <si>
    <t>0123174</t>
  </si>
  <si>
    <t>1225</t>
  </si>
  <si>
    <t>Life Source International Charter</t>
  </si>
  <si>
    <t>19 64667 0123174</t>
  </si>
  <si>
    <t>0125559</t>
  </si>
  <si>
    <t>1376</t>
  </si>
  <si>
    <t>iLEAD Lancaster Charter</t>
  </si>
  <si>
    <t>19 64667 0125559</t>
  </si>
  <si>
    <t>64683</t>
  </si>
  <si>
    <t>Las Virgenes Unified</t>
  </si>
  <si>
    <t>Sumac Elementary</t>
  </si>
  <si>
    <t>19 64683 6093025</t>
  </si>
  <si>
    <t>64691</t>
  </si>
  <si>
    <t>Lawndale Elementary</t>
  </si>
  <si>
    <t>William Anderson Elementary</t>
  </si>
  <si>
    <t>19 64691 6014831</t>
  </si>
  <si>
    <t>1996438</t>
  </si>
  <si>
    <t>0353</t>
  </si>
  <si>
    <t>Environmental Charter High - Lawndale</t>
  </si>
  <si>
    <t>64709</t>
  </si>
  <si>
    <t>Lennox</t>
  </si>
  <si>
    <t>Moffett Elementary</t>
  </si>
  <si>
    <t>19 64709 6014971</t>
  </si>
  <si>
    <t>0100602</t>
  </si>
  <si>
    <t>0509</t>
  </si>
  <si>
    <t>Lennox Mathematics, Science and Technology Academy</t>
  </si>
  <si>
    <t>0107508</t>
  </si>
  <si>
    <t>0672</t>
  </si>
  <si>
    <t>Century Community Charter</t>
  </si>
  <si>
    <t>1996313</t>
  </si>
  <si>
    <t>0281</t>
  </si>
  <si>
    <t>Animo Leadership High</t>
  </si>
  <si>
    <t>64717</t>
  </si>
  <si>
    <t>Little Lake City Elementary</t>
  </si>
  <si>
    <t>Cresson Elementary</t>
  </si>
  <si>
    <t>19 64717 6014997</t>
  </si>
  <si>
    <t>64725</t>
  </si>
  <si>
    <t>Long Beach Unified</t>
  </si>
  <si>
    <t>Robinson Academy</t>
  </si>
  <si>
    <t>19 64725 6112056</t>
  </si>
  <si>
    <t>0127506</t>
  </si>
  <si>
    <t>1504</t>
  </si>
  <si>
    <t>Intellectual Virtues Academy of Long Beach</t>
  </si>
  <si>
    <t>0131938</t>
  </si>
  <si>
    <t>1682</t>
  </si>
  <si>
    <t>Clear Passage Educational Center</t>
  </si>
  <si>
    <t>64733</t>
  </si>
  <si>
    <t>Los Angeles Unified</t>
  </si>
  <si>
    <t>0100289</t>
  </si>
  <si>
    <t>0521</t>
  </si>
  <si>
    <t>N.E.W. Academy of Science and Arts</t>
  </si>
  <si>
    <t>19 64733 0100289</t>
  </si>
  <si>
    <t>0100669</t>
  </si>
  <si>
    <t>0535</t>
  </si>
  <si>
    <t>Stella Middle Charter Academy</t>
  </si>
  <si>
    <t>0100677</t>
  </si>
  <si>
    <t>0537</t>
  </si>
  <si>
    <t>High Tech LA</t>
  </si>
  <si>
    <t>0100743</t>
  </si>
  <si>
    <t>0539</t>
  </si>
  <si>
    <t>Accelerated Charter Elementary</t>
  </si>
  <si>
    <t>19 64733 0100743</t>
  </si>
  <si>
    <t>0100750</t>
  </si>
  <si>
    <t>0538</t>
  </si>
  <si>
    <t>Wallis Annenberg High</t>
  </si>
  <si>
    <t>0100800</t>
  </si>
  <si>
    <t>0534</t>
  </si>
  <si>
    <t>Central City Value</t>
  </si>
  <si>
    <t>0100867</t>
  </si>
  <si>
    <t>0531</t>
  </si>
  <si>
    <t>KIPP Los Angeles College Preparatory</t>
  </si>
  <si>
    <t>0101196</t>
  </si>
  <si>
    <t>0543</t>
  </si>
  <si>
    <t>ICEF View Park Preparatory Charter High</t>
  </si>
  <si>
    <t>0101444</t>
  </si>
  <si>
    <t>0530</t>
  </si>
  <si>
    <t>KIPP Academy of Opportunity</t>
  </si>
  <si>
    <t>0101659</t>
  </si>
  <si>
    <t>0570</t>
  </si>
  <si>
    <t>CATCH Prep Charter High, Inc.</t>
  </si>
  <si>
    <t>0101675</t>
  </si>
  <si>
    <t>0581</t>
  </si>
  <si>
    <t>Oscar De La Hoya Animo Charter High</t>
  </si>
  <si>
    <t>0101683</t>
  </si>
  <si>
    <t>0579</t>
  </si>
  <si>
    <t>Renaissance Arts Academy</t>
  </si>
  <si>
    <t>19 64733 0101683</t>
  </si>
  <si>
    <t>0102335</t>
  </si>
  <si>
    <t>0569</t>
  </si>
  <si>
    <t>Ocean Charter</t>
  </si>
  <si>
    <t>19 64733 0102335</t>
  </si>
  <si>
    <t>0102426</t>
  </si>
  <si>
    <t>0600</t>
  </si>
  <si>
    <t>PUC Milagro Charter</t>
  </si>
  <si>
    <t>19 64733 0102426</t>
  </si>
  <si>
    <t>0102434</t>
  </si>
  <si>
    <t>0602</t>
  </si>
  <si>
    <t>Animo South Los Angeles Charter</t>
  </si>
  <si>
    <t>0102442</t>
  </si>
  <si>
    <t>0603</t>
  </si>
  <si>
    <t>PUC Lakeview Charter Academy</t>
  </si>
  <si>
    <t>0102483</t>
  </si>
  <si>
    <t>0592</t>
  </si>
  <si>
    <t>N.E.W. Academy Canoga Park</t>
  </si>
  <si>
    <t>19 64733 0102483</t>
  </si>
  <si>
    <t>0102491</t>
  </si>
  <si>
    <t>0604</t>
  </si>
  <si>
    <t>Dr. Theodore T. Alexander Jr. Science Center</t>
  </si>
  <si>
    <t>19 64733 0102491</t>
  </si>
  <si>
    <t>0102541</t>
  </si>
  <si>
    <t>0601</t>
  </si>
  <si>
    <t>New Designs Charter</t>
  </si>
  <si>
    <t>19 64733 0102541</t>
  </si>
  <si>
    <t>0106351</t>
  </si>
  <si>
    <t>0619</t>
  </si>
  <si>
    <t>Ivy Academia</t>
  </si>
  <si>
    <t>19 64733 0106351</t>
  </si>
  <si>
    <t>0106427</t>
  </si>
  <si>
    <t>0636</t>
  </si>
  <si>
    <t>Synergy Charter Academy</t>
  </si>
  <si>
    <t>19 64733 0106427</t>
  </si>
  <si>
    <t>0106831</t>
  </si>
  <si>
    <t>0648</t>
  </si>
  <si>
    <t>Animo Venice Charter High</t>
  </si>
  <si>
    <t>0106849</t>
  </si>
  <si>
    <t>0649</t>
  </si>
  <si>
    <t>Animo Pat Brown</t>
  </si>
  <si>
    <t>0106864</t>
  </si>
  <si>
    <t>0645</t>
  </si>
  <si>
    <t>Alliance Gertz-Ressler Richard Merkin 6-12 Complex</t>
  </si>
  <si>
    <t>19 64733 0106864</t>
  </si>
  <si>
    <t>0106872</t>
  </si>
  <si>
    <t>0654</t>
  </si>
  <si>
    <t>Bert Corona Charter</t>
  </si>
  <si>
    <t>0107755</t>
  </si>
  <si>
    <t>0542</t>
  </si>
  <si>
    <t>Port of Los Angeles High</t>
  </si>
  <si>
    <t>0108878</t>
  </si>
  <si>
    <t>0712</t>
  </si>
  <si>
    <t>CHAMPS - Charter HS of Arts-Multimedia &amp; Performing</t>
  </si>
  <si>
    <t>0108886</t>
  </si>
  <si>
    <t>0713</t>
  </si>
  <si>
    <t>Gabriella Charter</t>
  </si>
  <si>
    <t>19 64733 0108886</t>
  </si>
  <si>
    <t>0108894</t>
  </si>
  <si>
    <t>0714</t>
  </si>
  <si>
    <t>Alliance Judy Ivie Burton Technology Academy High</t>
  </si>
  <si>
    <t>0108910</t>
  </si>
  <si>
    <t>0716</t>
  </si>
  <si>
    <t>ISANA Nascent Academy</t>
  </si>
  <si>
    <t>19 64733 0108910</t>
  </si>
  <si>
    <t>0108928</t>
  </si>
  <si>
    <t>0717</t>
  </si>
  <si>
    <t>Larchmont Charter</t>
  </si>
  <si>
    <t>19 64733 0108928</t>
  </si>
  <si>
    <t>0108936</t>
  </si>
  <si>
    <t>0718</t>
  </si>
  <si>
    <t>Alliance Collins Family College-Ready High</t>
  </si>
  <si>
    <t>0109884</t>
  </si>
  <si>
    <t>0734</t>
  </si>
  <si>
    <t>James Jordan Middle</t>
  </si>
  <si>
    <t>0109934</t>
  </si>
  <si>
    <t>0739</t>
  </si>
  <si>
    <t>Our Community Charter</t>
  </si>
  <si>
    <t>19 64733 0109934</t>
  </si>
  <si>
    <t>0110304</t>
  </si>
  <si>
    <t>0675</t>
  </si>
  <si>
    <t>Los Angeles Academy of Arts &amp; Enterprise Charter</t>
  </si>
  <si>
    <t>19 64733 0110304</t>
  </si>
  <si>
    <t>0111211</t>
  </si>
  <si>
    <t>0761</t>
  </si>
  <si>
    <t>New Heights Charter</t>
  </si>
  <si>
    <t>19 64733 0111211</t>
  </si>
  <si>
    <t>0111484</t>
  </si>
  <si>
    <t>0791</t>
  </si>
  <si>
    <t>New Village Girls Academy</t>
  </si>
  <si>
    <t>0111492</t>
  </si>
  <si>
    <t>0789</t>
  </si>
  <si>
    <t>Alliance Patti And Peter Neuwirth Leadership Academy</t>
  </si>
  <si>
    <t>0111500</t>
  </si>
  <si>
    <t>0790</t>
  </si>
  <si>
    <t>Alliance Dr. Olga Mohan High</t>
  </si>
  <si>
    <t>0111518</t>
  </si>
  <si>
    <t>0779</t>
  </si>
  <si>
    <t>Alliance Jack H. Skirball Middle</t>
  </si>
  <si>
    <t>0111575</t>
  </si>
  <si>
    <t>0781</t>
  </si>
  <si>
    <t>Animo Ralph Bunche Charter High</t>
  </si>
  <si>
    <t>0111583</t>
  </si>
  <si>
    <t>0793</t>
  </si>
  <si>
    <t>Animo Jackie Robinson High</t>
  </si>
  <si>
    <t>0111625</t>
  </si>
  <si>
    <t>0783</t>
  </si>
  <si>
    <t>Animo Watts College Preparatory Academy</t>
  </si>
  <si>
    <t>0111641</t>
  </si>
  <si>
    <t>0784</t>
  </si>
  <si>
    <t>Alliance Ouchi-O' Donovan 6-12 Complex</t>
  </si>
  <si>
    <t>19 64733 0111641</t>
  </si>
  <si>
    <t>0111658</t>
  </si>
  <si>
    <t>0788</t>
  </si>
  <si>
    <t>Alliance Marc &amp; Eva Stern Math and Science</t>
  </si>
  <si>
    <t>0112060</t>
  </si>
  <si>
    <t>1468</t>
  </si>
  <si>
    <t>Hesby Oaks Leadership Charter</t>
  </si>
  <si>
    <t>19 64733 0112060</t>
  </si>
  <si>
    <t>0112201</t>
  </si>
  <si>
    <t>0798</t>
  </si>
  <si>
    <t>PUC Excel Charter Academy</t>
  </si>
  <si>
    <t>0112235</t>
  </si>
  <si>
    <t>0827</t>
  </si>
  <si>
    <t>California Creative Learning Academy</t>
  </si>
  <si>
    <t>19 64733 0112235</t>
  </si>
  <si>
    <t>0112508</t>
  </si>
  <si>
    <t>0826</t>
  </si>
  <si>
    <t>Stella High Charter Academy</t>
  </si>
  <si>
    <t>0114884</t>
  </si>
  <si>
    <t>1551</t>
  </si>
  <si>
    <t>Aspire Junior Collegiate Academy</t>
  </si>
  <si>
    <t>19 64733 0114884</t>
  </si>
  <si>
    <t>0114959</t>
  </si>
  <si>
    <t>0931</t>
  </si>
  <si>
    <t>Monsenor Oscar Romero Charter Middle</t>
  </si>
  <si>
    <t>0114967</t>
  </si>
  <si>
    <t>0934</t>
  </si>
  <si>
    <t>Global Education Academy</t>
  </si>
  <si>
    <t>19 64733 0114967</t>
  </si>
  <si>
    <t>0115048</t>
  </si>
  <si>
    <t>0911</t>
  </si>
  <si>
    <t>Fenton Primary Center</t>
  </si>
  <si>
    <t>19 64733 0115048</t>
  </si>
  <si>
    <t>0115113</t>
  </si>
  <si>
    <t>0936</t>
  </si>
  <si>
    <t>Ivy Bound Academy of Math, Science, and Technology Charter Middle</t>
  </si>
  <si>
    <t>0115139</t>
  </si>
  <si>
    <t>0937</t>
  </si>
  <si>
    <t>Center for Advanced Learning</t>
  </si>
  <si>
    <t>19 64733 0115139</t>
  </si>
  <si>
    <t>0115253</t>
  </si>
  <si>
    <t>0949</t>
  </si>
  <si>
    <t>Discovery Charter Preparatory #2</t>
  </si>
  <si>
    <t>0115287</t>
  </si>
  <si>
    <t>0953</t>
  </si>
  <si>
    <t>ICEF Vista Middle Academy</t>
  </si>
  <si>
    <t>0116509</t>
  </si>
  <si>
    <t>0928</t>
  </si>
  <si>
    <t>Alliance Morgan McKinzie High</t>
  </si>
  <si>
    <t>0117036</t>
  </si>
  <si>
    <t>1474</t>
  </si>
  <si>
    <t>Enadia Way Technology Charter</t>
  </si>
  <si>
    <t>19 64733 0117036</t>
  </si>
  <si>
    <t>0117598</t>
  </si>
  <si>
    <t>0927</t>
  </si>
  <si>
    <t>Alliance Piera Barbaglia Shaheen Health Services Academy</t>
  </si>
  <si>
    <t>0117606</t>
  </si>
  <si>
    <t>0929</t>
  </si>
  <si>
    <t>Alliance Leichtman-Levine Family Foundation Environmental Science High</t>
  </si>
  <si>
    <t>0117614</t>
  </si>
  <si>
    <t>0998</t>
  </si>
  <si>
    <t>New Los Angeles Charter</t>
  </si>
  <si>
    <t>0117622</t>
  </si>
  <si>
    <t>0986</t>
  </si>
  <si>
    <t>Magnolia Science Academy 4</t>
  </si>
  <si>
    <t>19 64733 0117622</t>
  </si>
  <si>
    <t>0117648</t>
  </si>
  <si>
    <t>0988</t>
  </si>
  <si>
    <t>Magnolia Science Academy 6</t>
  </si>
  <si>
    <t>0117655</t>
  </si>
  <si>
    <t>0989</t>
  </si>
  <si>
    <t>Magnolia Science Academy 7</t>
  </si>
  <si>
    <t>19 64733 0117655</t>
  </si>
  <si>
    <t>0117846</t>
  </si>
  <si>
    <t>1007</t>
  </si>
  <si>
    <t>Para Los Ninos Middle</t>
  </si>
  <si>
    <t>0117895</t>
  </si>
  <si>
    <t>1014</t>
  </si>
  <si>
    <t>Synergy Kinetic Academy</t>
  </si>
  <si>
    <t>0117903</t>
  </si>
  <si>
    <t>1010</t>
  </si>
  <si>
    <t>KIPP Raices Academy</t>
  </si>
  <si>
    <t>19 64733 0117903</t>
  </si>
  <si>
    <t>0117911</t>
  </si>
  <si>
    <t>1020</t>
  </si>
  <si>
    <t>New Millennium Secondary</t>
  </si>
  <si>
    <t>0117937</t>
  </si>
  <si>
    <t>1039</t>
  </si>
  <si>
    <t>ICEF Vista Elementary Academy</t>
  </si>
  <si>
    <t>19 64733 0117937</t>
  </si>
  <si>
    <t>0117952</t>
  </si>
  <si>
    <t>1037</t>
  </si>
  <si>
    <t>ICEF Innovation Los Angeles Charter</t>
  </si>
  <si>
    <t>19 64733 0117952</t>
  </si>
  <si>
    <t>0117978</t>
  </si>
  <si>
    <t>1036</t>
  </si>
  <si>
    <t>Goethe International Charter</t>
  </si>
  <si>
    <t>19 64733 0117978</t>
  </si>
  <si>
    <t>0118588</t>
  </si>
  <si>
    <t>1050</t>
  </si>
  <si>
    <t>Alain Leroy Locke College Preparatory Academy</t>
  </si>
  <si>
    <t>0119982</t>
  </si>
  <si>
    <t>1093</t>
  </si>
  <si>
    <t>Equitas Academy Charter</t>
  </si>
  <si>
    <t>19 64733 0119982</t>
  </si>
  <si>
    <t>0120014</t>
  </si>
  <si>
    <t>1094</t>
  </si>
  <si>
    <t>KIPP Endeavor College Preparatory Charter</t>
  </si>
  <si>
    <t>19 64733 0120014</t>
  </si>
  <si>
    <t>0120022</t>
  </si>
  <si>
    <t>1095</t>
  </si>
  <si>
    <t>Valor Academy Middle</t>
  </si>
  <si>
    <t>0120030</t>
  </si>
  <si>
    <t>1096</t>
  </si>
  <si>
    <t>Alliance College-Ready Middle Academy 4</t>
  </si>
  <si>
    <t>0120071</t>
  </si>
  <si>
    <t>1120</t>
  </si>
  <si>
    <t>New Designs Charter School-Watts</t>
  </si>
  <si>
    <t>19 64733 0120071</t>
  </si>
  <si>
    <t>0120097</t>
  </si>
  <si>
    <t>1101</t>
  </si>
  <si>
    <t>Academia Moderna</t>
  </si>
  <si>
    <t>19 64733 0120097</t>
  </si>
  <si>
    <t>0120477</t>
  </si>
  <si>
    <t>1550</t>
  </si>
  <si>
    <t>Aspire Titan Academy</t>
  </si>
  <si>
    <t>19 64733 0120477</t>
  </si>
  <si>
    <t>0120527</t>
  </si>
  <si>
    <t>1141</t>
  </si>
  <si>
    <t>Watts Learning Center Charter Middle</t>
  </si>
  <si>
    <t>0121079</t>
  </si>
  <si>
    <t>1156</t>
  </si>
  <si>
    <t>Ararat Charter</t>
  </si>
  <si>
    <t>19 64733 0121079</t>
  </si>
  <si>
    <t>0121137</t>
  </si>
  <si>
    <t>1157</t>
  </si>
  <si>
    <t>Ingenium Charter</t>
  </si>
  <si>
    <t>19 64733 0121137</t>
  </si>
  <si>
    <t>0121285</t>
  </si>
  <si>
    <t>1161</t>
  </si>
  <si>
    <t>Alliance Cindy and Bill Simon Technology Academy High</t>
  </si>
  <si>
    <t>0121293</t>
  </si>
  <si>
    <t>1162</t>
  </si>
  <si>
    <t>Alliance Tennenbaum Family Technology High</t>
  </si>
  <si>
    <t>0121699</t>
  </si>
  <si>
    <t>1195</t>
  </si>
  <si>
    <t>KIPP Empower Academy</t>
  </si>
  <si>
    <t>19 64733 0121699</t>
  </si>
  <si>
    <t>0121707</t>
  </si>
  <si>
    <t>1196</t>
  </si>
  <si>
    <t>KIPP Comienza Community Prep</t>
  </si>
  <si>
    <t>19 64733 0121707</t>
  </si>
  <si>
    <t>0121848</t>
  </si>
  <si>
    <t>1187</t>
  </si>
  <si>
    <t>Crown Preparatory Academy</t>
  </si>
  <si>
    <t>0122242</t>
  </si>
  <si>
    <t>1206</t>
  </si>
  <si>
    <t>TEACH Academy of Technologies</t>
  </si>
  <si>
    <t>0122481</t>
  </si>
  <si>
    <t>1216</t>
  </si>
  <si>
    <t>Animo Jefferson Charter Middle</t>
  </si>
  <si>
    <t>0122556</t>
  </si>
  <si>
    <t>1200</t>
  </si>
  <si>
    <t>Citizens of the World Charter Hollywood</t>
  </si>
  <si>
    <t>19 64733 0122556</t>
  </si>
  <si>
    <t>0122564</t>
  </si>
  <si>
    <t>1212</t>
  </si>
  <si>
    <t>Camino Nuevo Elementary No. 3</t>
  </si>
  <si>
    <t>19 64733 0122564</t>
  </si>
  <si>
    <t>0122606</t>
  </si>
  <si>
    <t>1241</t>
  </si>
  <si>
    <t>PUC Lakeview Charter High</t>
  </si>
  <si>
    <t>0122614</t>
  </si>
  <si>
    <t>1213</t>
  </si>
  <si>
    <t>Aspire Gateway Academy Charter</t>
  </si>
  <si>
    <t>19 64733 0122614</t>
  </si>
  <si>
    <t>0122622</t>
  </si>
  <si>
    <t>1214</t>
  </si>
  <si>
    <t>Aspire Firestone Academy Charter</t>
  </si>
  <si>
    <t>19 64733 0122622</t>
  </si>
  <si>
    <t>0122630</t>
  </si>
  <si>
    <t>1215</t>
  </si>
  <si>
    <t>Para Los Ninos - Evelyn Thurman Gratts Primary</t>
  </si>
  <si>
    <t>19 64733 0122630</t>
  </si>
  <si>
    <t>0122655</t>
  </si>
  <si>
    <t>1232</t>
  </si>
  <si>
    <t>ISANA Octavia Academy</t>
  </si>
  <si>
    <t>19 64733 0122655</t>
  </si>
  <si>
    <t>0122721</t>
  </si>
  <si>
    <t>1230</t>
  </si>
  <si>
    <t>Aspire Pacific Academy</t>
  </si>
  <si>
    <t>19 64733 0122721</t>
  </si>
  <si>
    <t>0122739</t>
  </si>
  <si>
    <t>1234</t>
  </si>
  <si>
    <t>Vista Charter Middle</t>
  </si>
  <si>
    <t>0122747</t>
  </si>
  <si>
    <t>1236</t>
  </si>
  <si>
    <t>Magnolia Science Academy Bell</t>
  </si>
  <si>
    <t>0122754</t>
  </si>
  <si>
    <t>1237</t>
  </si>
  <si>
    <t>Valley Charter Elementary</t>
  </si>
  <si>
    <t>19 64733 0122754</t>
  </si>
  <si>
    <t>0122838</t>
  </si>
  <si>
    <t>1238</t>
  </si>
  <si>
    <t>Valley Charter Middle</t>
  </si>
  <si>
    <t>0122861</t>
  </si>
  <si>
    <t>1231</t>
  </si>
  <si>
    <t>Camino Nuevo Academy #2</t>
  </si>
  <si>
    <t>19 64733 0122861</t>
  </si>
  <si>
    <t>0123133</t>
  </si>
  <si>
    <t>1163</t>
  </si>
  <si>
    <t>Alliance Susan and Eric Smidt Technology High</t>
  </si>
  <si>
    <t>0123141</t>
  </si>
  <si>
    <t>1164</t>
  </si>
  <si>
    <t>Alliance Ted K. Tajima High</t>
  </si>
  <si>
    <t>0123158</t>
  </si>
  <si>
    <t>1218</t>
  </si>
  <si>
    <t>Arts in Action Community Charter</t>
  </si>
  <si>
    <t>19 64733 0123158</t>
  </si>
  <si>
    <t>0123166</t>
  </si>
  <si>
    <t>1246</t>
  </si>
  <si>
    <t>ISANA Palmati Academy</t>
  </si>
  <si>
    <t>19 64733 0123166</t>
  </si>
  <si>
    <t>0123984</t>
  </si>
  <si>
    <t>1285</t>
  </si>
  <si>
    <t>ISANA Cardinal Academy</t>
  </si>
  <si>
    <t>19 64733 0123984</t>
  </si>
  <si>
    <t>0123992</t>
  </si>
  <si>
    <t>1286</t>
  </si>
  <si>
    <t>Animo Ellen Ochoa Charter Middle</t>
  </si>
  <si>
    <t>0124008</t>
  </si>
  <si>
    <t>1287</t>
  </si>
  <si>
    <t>Animo James B. Taylor Charter Middle</t>
  </si>
  <si>
    <t>0124016</t>
  </si>
  <si>
    <t>1288</t>
  </si>
  <si>
    <t>Animo Legacy Charter Middle</t>
  </si>
  <si>
    <t>0124198</t>
  </si>
  <si>
    <t>1300</t>
  </si>
  <si>
    <t>Extera Public</t>
  </si>
  <si>
    <t>19 64733 0124198</t>
  </si>
  <si>
    <t>0124222</t>
  </si>
  <si>
    <t>1315</t>
  </si>
  <si>
    <t>Rise Kohyang Middle</t>
  </si>
  <si>
    <t>0124560</t>
  </si>
  <si>
    <t>1299</t>
  </si>
  <si>
    <t>Synergy Quantum Academy</t>
  </si>
  <si>
    <t>0124784</t>
  </si>
  <si>
    <t>1330</t>
  </si>
  <si>
    <t>Aspire Slauson Academy Charter</t>
  </si>
  <si>
    <t>19 64733 0124784</t>
  </si>
  <si>
    <t>0124792</t>
  </si>
  <si>
    <t>1331</t>
  </si>
  <si>
    <t>Aspire Juanita Tate Academy Charter</t>
  </si>
  <si>
    <t>19 64733 0124792</t>
  </si>
  <si>
    <t>0124800</t>
  </si>
  <si>
    <t>1332</t>
  </si>
  <si>
    <t>Aspire Inskeep Academy Charter</t>
  </si>
  <si>
    <t>19 64733 0124800</t>
  </si>
  <si>
    <t>0124818</t>
  </si>
  <si>
    <t>1333</t>
  </si>
  <si>
    <t>Los Angeles Leadership Primary Academy</t>
  </si>
  <si>
    <t>19 64733 0124818</t>
  </si>
  <si>
    <t>0124826</t>
  </si>
  <si>
    <t>1334</t>
  </si>
  <si>
    <t>Camino Nuevo Charter Academy No. 4</t>
  </si>
  <si>
    <t>19 64733 0124826</t>
  </si>
  <si>
    <t>0124891</t>
  </si>
  <si>
    <t>1343</t>
  </si>
  <si>
    <t>Alliance Renee and Meyer Luskin Academy High</t>
  </si>
  <si>
    <t>0124933</t>
  </si>
  <si>
    <t>1354</t>
  </si>
  <si>
    <t>PUC Early College Academy for Leaders and Scholars (ECALS)</t>
  </si>
  <si>
    <t>0124941</t>
  </si>
  <si>
    <t>1356</t>
  </si>
  <si>
    <t>Alliance Margaret M. Bloomfield Technology Academy High</t>
  </si>
  <si>
    <t>0125609</t>
  </si>
  <si>
    <t>1378</t>
  </si>
  <si>
    <t>KIPP Philosophers Academy</t>
  </si>
  <si>
    <t>0125625</t>
  </si>
  <si>
    <t>1377</t>
  </si>
  <si>
    <t>KIPP Scholar Academy</t>
  </si>
  <si>
    <t>0125641</t>
  </si>
  <si>
    <t>1379</t>
  </si>
  <si>
    <t>KIPP Sol Academy</t>
  </si>
  <si>
    <t>0125864</t>
  </si>
  <si>
    <t>1401</t>
  </si>
  <si>
    <t>Ednovate - USC Hybrid High College Prep</t>
  </si>
  <si>
    <t>0126136</t>
  </si>
  <si>
    <t>1412</t>
  </si>
  <si>
    <t>Math and Science College Preparatory</t>
  </si>
  <si>
    <t>0126169</t>
  </si>
  <si>
    <t>1402</t>
  </si>
  <si>
    <t>Equitas Academy #2 Charter</t>
  </si>
  <si>
    <t>0126177</t>
  </si>
  <si>
    <t>1413</t>
  </si>
  <si>
    <t>Citizens of the World Charter School Silver Lake</t>
  </si>
  <si>
    <t>19 64733 0126177</t>
  </si>
  <si>
    <t>0126193</t>
  </si>
  <si>
    <t>1414</t>
  </si>
  <si>
    <t>Citizens of the World Charter School Mar Vista</t>
  </si>
  <si>
    <t>19 64733 0126193</t>
  </si>
  <si>
    <t>0126797</t>
  </si>
  <si>
    <t>1436</t>
  </si>
  <si>
    <t>Aspire Centennial College Preparatory Academy</t>
  </si>
  <si>
    <t>0127670</t>
  </si>
  <si>
    <t>1508</t>
  </si>
  <si>
    <t>KIPP Iluminar Academy</t>
  </si>
  <si>
    <t>19 64733 0127670</t>
  </si>
  <si>
    <t>0127886</t>
  </si>
  <si>
    <t>1538</t>
  </si>
  <si>
    <t>City Language Immersion Charter</t>
  </si>
  <si>
    <t>19 64733 0127886</t>
  </si>
  <si>
    <t>0127894</t>
  </si>
  <si>
    <t>1539</t>
  </si>
  <si>
    <t>Valor Academy Charter High</t>
  </si>
  <si>
    <t>0127910</t>
  </si>
  <si>
    <t>1540</t>
  </si>
  <si>
    <t>Camino Nuevo High No. 2</t>
  </si>
  <si>
    <t>0127936</t>
  </si>
  <si>
    <t>1542</t>
  </si>
  <si>
    <t>PREPA TEC - Los Angeles</t>
  </si>
  <si>
    <t>0127985</t>
  </si>
  <si>
    <t>1536</t>
  </si>
  <si>
    <t>Ingenium Charter Middle</t>
  </si>
  <si>
    <t>0128009</t>
  </si>
  <si>
    <t>1530</t>
  </si>
  <si>
    <t>Alliance Virgil Roberts Leadership Academy</t>
  </si>
  <si>
    <t>0128033</t>
  </si>
  <si>
    <t>1531</t>
  </si>
  <si>
    <t>Alliance College-Ready Middle Academy 8</t>
  </si>
  <si>
    <t>0128041</t>
  </si>
  <si>
    <t>1532</t>
  </si>
  <si>
    <t>Alliance Kory Hunter Middle</t>
  </si>
  <si>
    <t>0128058</t>
  </si>
  <si>
    <t>1533</t>
  </si>
  <si>
    <t>Alliance College-Ready Middle Academy 12</t>
  </si>
  <si>
    <t>0128132</t>
  </si>
  <si>
    <t>1562</t>
  </si>
  <si>
    <t>Extera Public School No. 2</t>
  </si>
  <si>
    <t>19 64733 0128132</t>
  </si>
  <si>
    <t>0128371</t>
  </si>
  <si>
    <t>1567</t>
  </si>
  <si>
    <t>new Horizons Charter Academy</t>
  </si>
  <si>
    <t>19 64733 0128371</t>
  </si>
  <si>
    <t>0128512</t>
  </si>
  <si>
    <t>1586</t>
  </si>
  <si>
    <t>KIPP Academy of Innovation</t>
  </si>
  <si>
    <t>0129270</t>
  </si>
  <si>
    <t>1624</t>
  </si>
  <si>
    <t>Animo Mae Jemison Charter Middle</t>
  </si>
  <si>
    <t>0129460</t>
  </si>
  <si>
    <t>1587</t>
  </si>
  <si>
    <t>KIPP Vida Preparatory Academy</t>
  </si>
  <si>
    <t>19 64733 0129460</t>
  </si>
  <si>
    <t>0129593</t>
  </si>
  <si>
    <t>1626</t>
  </si>
  <si>
    <t>PUC Inspire Charter Academy</t>
  </si>
  <si>
    <t>0129619</t>
  </si>
  <si>
    <t>1657</t>
  </si>
  <si>
    <t>PUC Community Charter Elementary</t>
  </si>
  <si>
    <t>19 64733 0129619</t>
  </si>
  <si>
    <t>0129627</t>
  </si>
  <si>
    <t>1658</t>
  </si>
  <si>
    <t>TEACH Tech Charter high</t>
  </si>
  <si>
    <t>0129650</t>
  </si>
  <si>
    <t>1669</t>
  </si>
  <si>
    <t>Equitas Academy #3 Charter</t>
  </si>
  <si>
    <t>19 64733 0129650</t>
  </si>
  <si>
    <t>0129833</t>
  </si>
  <si>
    <t>1641</t>
  </si>
  <si>
    <t>Global Education Academy 2</t>
  </si>
  <si>
    <t>19 64733 0129833</t>
  </si>
  <si>
    <t>0129858</t>
  </si>
  <si>
    <t>1638</t>
  </si>
  <si>
    <t>Everest Value</t>
  </si>
  <si>
    <t>19 64733 0129858</t>
  </si>
  <si>
    <t>0129866</t>
  </si>
  <si>
    <t>1639</t>
  </si>
  <si>
    <t>Village Charter Academy</t>
  </si>
  <si>
    <t>19 64733 0129866</t>
  </si>
  <si>
    <t>0131466</t>
  </si>
  <si>
    <t>1605</t>
  </si>
  <si>
    <t>Fenton STEM Academy: Elementary Center for Science, Technology, Engineering, and Math</t>
  </si>
  <si>
    <t>19 64733 0131466</t>
  </si>
  <si>
    <t>0131722</t>
  </si>
  <si>
    <t>1613</t>
  </si>
  <si>
    <t>Fenton Charter Leadership Academy</t>
  </si>
  <si>
    <t>19 64733 0131722</t>
  </si>
  <si>
    <t>0131771</t>
  </si>
  <si>
    <t>1720</t>
  </si>
  <si>
    <t>KIPP Ignite Academy</t>
  </si>
  <si>
    <t>19 64733 0131771</t>
  </si>
  <si>
    <t>0131797</t>
  </si>
  <si>
    <t>1721</t>
  </si>
  <si>
    <t>KIPP Promesa Prep</t>
  </si>
  <si>
    <t>19 64733 0131797</t>
  </si>
  <si>
    <t>0131821</t>
  </si>
  <si>
    <t>1722</t>
  </si>
  <si>
    <t>Collegiate Charter High School of Los Angeles</t>
  </si>
  <si>
    <t>0131904</t>
  </si>
  <si>
    <t>1711</t>
  </si>
  <si>
    <t>Libertas College Preparatory Charter School</t>
  </si>
  <si>
    <t>19 64733 0131904</t>
  </si>
  <si>
    <t>0132027</t>
  </si>
  <si>
    <t>1723</t>
  </si>
  <si>
    <t>University Preparatory Value High</t>
  </si>
  <si>
    <t>0132084</t>
  </si>
  <si>
    <t>1738</t>
  </si>
  <si>
    <t>Alliance Marine - Innovation and Technology 6-12 Complex</t>
  </si>
  <si>
    <t>19 64733 0132084</t>
  </si>
  <si>
    <t>0132126</t>
  </si>
  <si>
    <t>1724</t>
  </si>
  <si>
    <t>Bert Corona Charter High</t>
  </si>
  <si>
    <t>0132282</t>
  </si>
  <si>
    <t>1702</t>
  </si>
  <si>
    <t>Ednovate - East College Prep</t>
  </si>
  <si>
    <t>0132928</t>
  </si>
  <si>
    <t>1685</t>
  </si>
  <si>
    <t>Anahuacalmecac International University Preparatory of North America</t>
  </si>
  <si>
    <t>19 64733 0132928</t>
  </si>
  <si>
    <t>0133272</t>
  </si>
  <si>
    <t>0797</t>
  </si>
  <si>
    <t>PUC Triumph Charter Academy and PUC Triumph Charter High</t>
  </si>
  <si>
    <t>19 64733 0133272</t>
  </si>
  <si>
    <t>0133280</t>
  </si>
  <si>
    <t>1092</t>
  </si>
  <si>
    <t>PUC Nueva Esperanza Charter Academy</t>
  </si>
  <si>
    <t>0133298</t>
  </si>
  <si>
    <t>0331</t>
  </si>
  <si>
    <t>PUC CALS Middle and Early College High</t>
  </si>
  <si>
    <t>19 64733 0133298</t>
  </si>
  <si>
    <t>0133686</t>
  </si>
  <si>
    <t>1785</t>
  </si>
  <si>
    <t>Equitas Academy 4</t>
  </si>
  <si>
    <t>0133694</t>
  </si>
  <si>
    <t>1787</t>
  </si>
  <si>
    <t>Valor Academy Elementary</t>
  </si>
  <si>
    <t>19 64733 0133694</t>
  </si>
  <si>
    <t>0133702</t>
  </si>
  <si>
    <t>1788</t>
  </si>
  <si>
    <t>New Los Angeles Charter Elementary</t>
  </si>
  <si>
    <t>19 64733 0133702</t>
  </si>
  <si>
    <t>0133710</t>
  </si>
  <si>
    <t>1791</t>
  </si>
  <si>
    <t>Girls Athletic Leadership School Los Angeles</t>
  </si>
  <si>
    <t>0133868</t>
  </si>
  <si>
    <t>1786</t>
  </si>
  <si>
    <t>Rise Kohyang High</t>
  </si>
  <si>
    <t>0134023</t>
  </si>
  <si>
    <t>1794</t>
  </si>
  <si>
    <t>Animo Florence-Firestone Charter Middle</t>
  </si>
  <si>
    <t>0134205</t>
  </si>
  <si>
    <t>1806</t>
  </si>
  <si>
    <t>Arts in Action Community Middle</t>
  </si>
  <si>
    <t>0135509</t>
  </si>
  <si>
    <t>1853</t>
  </si>
  <si>
    <t>Gabriella Charter 2</t>
  </si>
  <si>
    <t>19 64733 0135509</t>
  </si>
  <si>
    <t>0135517</t>
  </si>
  <si>
    <t>1855</t>
  </si>
  <si>
    <t>KIPP Corazon Academy</t>
  </si>
  <si>
    <t>19 64733 0135517</t>
  </si>
  <si>
    <t>0135616</t>
  </si>
  <si>
    <t>1854</t>
  </si>
  <si>
    <t>Crete Academy</t>
  </si>
  <si>
    <t>19 64733 0135616</t>
  </si>
  <si>
    <t>0135632</t>
  </si>
  <si>
    <t>1863</t>
  </si>
  <si>
    <t>WISH Academy High School</t>
  </si>
  <si>
    <t>0135715</t>
  </si>
  <si>
    <t>1842</t>
  </si>
  <si>
    <t>Ednovate - Esperanza College Prep</t>
  </si>
  <si>
    <t>0135723</t>
  </si>
  <si>
    <t>1843</t>
  </si>
  <si>
    <t>Ednovate - Brio College Prep</t>
  </si>
  <si>
    <t>0135921</t>
  </si>
  <si>
    <t>1627</t>
  </si>
  <si>
    <t>WISH Community School</t>
  </si>
  <si>
    <t>19 64733 0135921</t>
  </si>
  <si>
    <t>0135954</t>
  </si>
  <si>
    <t>1858</t>
  </si>
  <si>
    <t>ISANA Himalia Academy</t>
  </si>
  <si>
    <t>19 64733 0135954</t>
  </si>
  <si>
    <t>0136986</t>
  </si>
  <si>
    <t>1925</t>
  </si>
  <si>
    <t>STEM Preparatory Elementary</t>
  </si>
  <si>
    <t>19 64733 0136986</t>
  </si>
  <si>
    <t>0136994</t>
  </si>
  <si>
    <t>1927</t>
  </si>
  <si>
    <t>Rise Kohyang Elementary School</t>
  </si>
  <si>
    <t>19 64733 0136994</t>
  </si>
  <si>
    <t>0137463</t>
  </si>
  <si>
    <t>1960</t>
  </si>
  <si>
    <t>California Creative Learning Academy MS</t>
  </si>
  <si>
    <t>0137471</t>
  </si>
  <si>
    <t>1929</t>
  </si>
  <si>
    <t>High Tech LA Middle School</t>
  </si>
  <si>
    <t>0137513</t>
  </si>
  <si>
    <t>1959</t>
  </si>
  <si>
    <t>Learning by Design Charter School</t>
  </si>
  <si>
    <t>19 64733 0137513</t>
  </si>
  <si>
    <t>0137521</t>
  </si>
  <si>
    <t>1917</t>
  </si>
  <si>
    <t>Vox Collegiate of Los Angeles</t>
  </si>
  <si>
    <t>19 64733 0137521</t>
  </si>
  <si>
    <t>0137562</t>
  </si>
  <si>
    <t>1961</t>
  </si>
  <si>
    <t>Matrix For Success Academy</t>
  </si>
  <si>
    <t>0137604</t>
  </si>
  <si>
    <t>1866</t>
  </si>
  <si>
    <t>Stella Elementary Charter Academy</t>
  </si>
  <si>
    <t>19 64733 0137604</t>
  </si>
  <si>
    <t>0137612</t>
  </si>
  <si>
    <t>1926</t>
  </si>
  <si>
    <t>Valley International Preparatory High School</t>
  </si>
  <si>
    <t>0138305</t>
  </si>
  <si>
    <t>2004</t>
  </si>
  <si>
    <t>TEACH Preparatory Mildred S. Cunningham &amp; Edith H. Morris Elementary</t>
  </si>
  <si>
    <t>19 64733 0138305</t>
  </si>
  <si>
    <t>0138883</t>
  </si>
  <si>
    <t>2030</t>
  </si>
  <si>
    <t>Equitas Academy 6</t>
  </si>
  <si>
    <t>19 64733 0138883</t>
  </si>
  <si>
    <t>0139071</t>
  </si>
  <si>
    <t>2041</t>
  </si>
  <si>
    <t>KIPP Pueblo Unido</t>
  </si>
  <si>
    <t>19 64733 0139071</t>
  </si>
  <si>
    <t>0139089</t>
  </si>
  <si>
    <t>2043</t>
  </si>
  <si>
    <t>Vista Horizon Global Academy</t>
  </si>
  <si>
    <t>19 64733 0139089</t>
  </si>
  <si>
    <t>0139097</t>
  </si>
  <si>
    <t>2042</t>
  </si>
  <si>
    <t>Scholarship Prep - South Bay</t>
  </si>
  <si>
    <t>19 64733 0139097</t>
  </si>
  <si>
    <t>0139121</t>
  </si>
  <si>
    <t>2040</t>
  </si>
  <si>
    <t>Equitas Academy 5</t>
  </si>
  <si>
    <t>19 64733 0139121</t>
  </si>
  <si>
    <t>0139832</t>
  </si>
  <si>
    <t>2082</t>
  </si>
  <si>
    <t>Citizens of the World Charter School West Valley</t>
  </si>
  <si>
    <t>19 64733 0139832</t>
  </si>
  <si>
    <t>0140004</t>
  </si>
  <si>
    <t>2080</t>
  </si>
  <si>
    <t>El Rio Community</t>
  </si>
  <si>
    <t>19 64733 0140004</t>
  </si>
  <si>
    <t>0140111</t>
  </si>
  <si>
    <t>2088</t>
  </si>
  <si>
    <t>Invictus Leadership Academy</t>
  </si>
  <si>
    <t>19 64733 0140111</t>
  </si>
  <si>
    <t>0140129</t>
  </si>
  <si>
    <t>2087</t>
  </si>
  <si>
    <t>Ednovate - South LA College Prep</t>
  </si>
  <si>
    <t>0140749</t>
  </si>
  <si>
    <t>2081</t>
  </si>
  <si>
    <t>Citizens of the World Charter School East Valley</t>
  </si>
  <si>
    <t>19 64733 0140749</t>
  </si>
  <si>
    <t>0141481</t>
  </si>
  <si>
    <t>2079</t>
  </si>
  <si>
    <t>KIPP Generations Academy</t>
  </si>
  <si>
    <t>19 64733 0141481</t>
  </si>
  <si>
    <t>1931047</t>
  </si>
  <si>
    <t>1119</t>
  </si>
  <si>
    <t>Birmingham Community Charter High</t>
  </si>
  <si>
    <t>1931708</t>
  </si>
  <si>
    <t>1581</t>
  </si>
  <si>
    <t>Chatsworth Charter High</t>
  </si>
  <si>
    <t>1931864</t>
  </si>
  <si>
    <t>1571</t>
  </si>
  <si>
    <t>Grover Cleveland Charter High</t>
  </si>
  <si>
    <t>1932623</t>
  </si>
  <si>
    <t>1314</t>
  </si>
  <si>
    <t>El Camino Real Charter High</t>
  </si>
  <si>
    <t>1933746</t>
  </si>
  <si>
    <t>0572</t>
  </si>
  <si>
    <t>Granada Hills Charter</t>
  </si>
  <si>
    <t>19 64733 1933746</t>
  </si>
  <si>
    <t>1937226</t>
  </si>
  <si>
    <t>2005</t>
  </si>
  <si>
    <t>Reseda Charter High</t>
  </si>
  <si>
    <t>19 64733 1937226</t>
  </si>
  <si>
    <t>1938554</t>
  </si>
  <si>
    <t>1834</t>
  </si>
  <si>
    <t>Sylmar Charter High</t>
  </si>
  <si>
    <t>1938612</t>
  </si>
  <si>
    <t>1580</t>
  </si>
  <si>
    <t>Taft Charter High</t>
  </si>
  <si>
    <t>1938885</t>
  </si>
  <si>
    <t>2006</t>
  </si>
  <si>
    <t>University High School Charter</t>
  </si>
  <si>
    <t>1995836</t>
  </si>
  <si>
    <t>0037</t>
  </si>
  <si>
    <t>Palisades Charter High</t>
  </si>
  <si>
    <t>1996610</t>
  </si>
  <si>
    <t>0461</t>
  </si>
  <si>
    <t>Los Angeles Leadership Academy</t>
  </si>
  <si>
    <t>19 64733 1996610</t>
  </si>
  <si>
    <t>6015986</t>
  </si>
  <si>
    <t>1344</t>
  </si>
  <si>
    <t>Beckford Charter for Enriched Studies</t>
  </si>
  <si>
    <t>19 64733 6015986</t>
  </si>
  <si>
    <t>6016240</t>
  </si>
  <si>
    <t>1345</t>
  </si>
  <si>
    <t>Calabash Charter Academy</t>
  </si>
  <si>
    <t>19 64733 6016240</t>
  </si>
  <si>
    <t>6016265</t>
  </si>
  <si>
    <t>1585</t>
  </si>
  <si>
    <t>Calvert Charter For Enriched Studies</t>
  </si>
  <si>
    <t>19 64733 6016265</t>
  </si>
  <si>
    <t>6016323</t>
  </si>
  <si>
    <t>0226</t>
  </si>
  <si>
    <t>Canyon Charter Elementary</t>
  </si>
  <si>
    <t>19 64733 6016323</t>
  </si>
  <si>
    <t>6016356</t>
  </si>
  <si>
    <t>1235</t>
  </si>
  <si>
    <t>Carpenter Community Charter</t>
  </si>
  <si>
    <t>19 64733 6016356</t>
  </si>
  <si>
    <t>6016562</t>
  </si>
  <si>
    <t>1041</t>
  </si>
  <si>
    <t>Colfax Charter Elementary</t>
  </si>
  <si>
    <t>19 64733 6016562</t>
  </si>
  <si>
    <t>6016729</t>
  </si>
  <si>
    <t>1481</t>
  </si>
  <si>
    <t>Dearborn Elementary Charter Academy</t>
  </si>
  <si>
    <t>19 64733 6016729</t>
  </si>
  <si>
    <t>6016778</t>
  </si>
  <si>
    <t>1469</t>
  </si>
  <si>
    <t>Dixie Canyon Community Charter</t>
  </si>
  <si>
    <t>19 64733 6016778</t>
  </si>
  <si>
    <t>6016869</t>
  </si>
  <si>
    <t>1466</t>
  </si>
  <si>
    <t>El Oro Way Charter For Enriched Studies</t>
  </si>
  <si>
    <t>19 64733 6016869</t>
  </si>
  <si>
    <t>6016935</t>
  </si>
  <si>
    <t>1471</t>
  </si>
  <si>
    <t>Encino Charter Elementary</t>
  </si>
  <si>
    <t>19 64733 6016935</t>
  </si>
  <si>
    <t>6017016</t>
  </si>
  <si>
    <t>0030</t>
  </si>
  <si>
    <t>Fenton Avenue Charter</t>
  </si>
  <si>
    <t>19 64733 6017016</t>
  </si>
  <si>
    <t>6017438</t>
  </si>
  <si>
    <t>1472</t>
  </si>
  <si>
    <t>Hamlin Charter Academy</t>
  </si>
  <si>
    <t>19 64733 6017438</t>
  </si>
  <si>
    <t>6017529</t>
  </si>
  <si>
    <t>1470</t>
  </si>
  <si>
    <t>Haynes Charter For Enriched Studies</t>
  </si>
  <si>
    <t>19 64733 6017529</t>
  </si>
  <si>
    <t>6017693</t>
  </si>
  <si>
    <t>1487</t>
  </si>
  <si>
    <t>Justice Street Academy Charter</t>
  </si>
  <si>
    <t>19 64733 6017693</t>
  </si>
  <si>
    <t>6017701</t>
  </si>
  <si>
    <t>0227</t>
  </si>
  <si>
    <t>Kenter Canyon Elementary Charter</t>
  </si>
  <si>
    <t>19 64733 6017701</t>
  </si>
  <si>
    <t>6017743</t>
  </si>
  <si>
    <t>1486</t>
  </si>
  <si>
    <t>Knollwood Preparatory Academy</t>
  </si>
  <si>
    <t>19 64733 6017743</t>
  </si>
  <si>
    <t>6017891</t>
  </si>
  <si>
    <t>1478</t>
  </si>
  <si>
    <t>Lockhurst Drive Charter Elementary</t>
  </si>
  <si>
    <t>19 64733 6017891</t>
  </si>
  <si>
    <t>6018063</t>
  </si>
  <si>
    <t>0228</t>
  </si>
  <si>
    <t>Marquez Charter</t>
  </si>
  <si>
    <t>19 64733 6018063</t>
  </si>
  <si>
    <t>6018204</t>
  </si>
  <si>
    <t>0115</t>
  </si>
  <si>
    <t>Montague Charter Academy</t>
  </si>
  <si>
    <t>19 64733 6018204</t>
  </si>
  <si>
    <t>6018287</t>
  </si>
  <si>
    <t>1465</t>
  </si>
  <si>
    <t>Nestle Avenue Charter</t>
  </si>
  <si>
    <t>19 64733 6018287</t>
  </si>
  <si>
    <t>6018634</t>
  </si>
  <si>
    <t>0229</t>
  </si>
  <si>
    <t>Palisades Charter Elementary</t>
  </si>
  <si>
    <t>19 64733 6018634</t>
  </si>
  <si>
    <t>6018642</t>
  </si>
  <si>
    <t>0583</t>
  </si>
  <si>
    <t>Pacoima Charter Elementary</t>
  </si>
  <si>
    <t>19 64733 6018642</t>
  </si>
  <si>
    <t>6018725</t>
  </si>
  <si>
    <t>1435</t>
  </si>
  <si>
    <t>Plainview Academic Charter Academy</t>
  </si>
  <si>
    <t>19 64733 6018725</t>
  </si>
  <si>
    <t>6018774</t>
  </si>
  <si>
    <t>1347</t>
  </si>
  <si>
    <t>Pomelo Community Charter</t>
  </si>
  <si>
    <t>19 64733 6018774</t>
  </si>
  <si>
    <t>6018923</t>
  </si>
  <si>
    <t>1362</t>
  </si>
  <si>
    <t>Riverside Drive Charter</t>
  </si>
  <si>
    <t>19 64733 6018923</t>
  </si>
  <si>
    <t>6019079</t>
  </si>
  <si>
    <t>0446</t>
  </si>
  <si>
    <t>Santa Monica Boulevard Community Charter</t>
  </si>
  <si>
    <t>19 64733 6019079</t>
  </si>
  <si>
    <t>6019111</t>
  </si>
  <si>
    <t>1484</t>
  </si>
  <si>
    <t>Serrania Avenue Charter For Enriched Studies</t>
  </si>
  <si>
    <t>19 64733 6019111</t>
  </si>
  <si>
    <t>6019186</t>
  </si>
  <si>
    <t>1348</t>
  </si>
  <si>
    <t>Sherman Oaks Elementary Charter</t>
  </si>
  <si>
    <t>19 64733 6019186</t>
  </si>
  <si>
    <t>6019392</t>
  </si>
  <si>
    <t>1476</t>
  </si>
  <si>
    <t>Superior Street Elementary</t>
  </si>
  <si>
    <t>19 64733 6019392</t>
  </si>
  <si>
    <t>6019525</t>
  </si>
  <si>
    <t>0230</t>
  </si>
  <si>
    <t>Topanga Elementary Charter</t>
  </si>
  <si>
    <t>19 64733 6019525</t>
  </si>
  <si>
    <t>6019533</t>
  </si>
  <si>
    <t>1475</t>
  </si>
  <si>
    <t>Topeka Charter School For Advanced Studies</t>
  </si>
  <si>
    <t>19 64733 6019533</t>
  </si>
  <si>
    <t>6019673</t>
  </si>
  <si>
    <t>1479</t>
  </si>
  <si>
    <t>Van Gogh Charter</t>
  </si>
  <si>
    <t>19 64733 6019673</t>
  </si>
  <si>
    <t>6019715</t>
  </si>
  <si>
    <t>0016</t>
  </si>
  <si>
    <t>Vaughn Next Century Learning Center</t>
  </si>
  <si>
    <t>19 64733 6019715</t>
  </si>
  <si>
    <t>6019855</t>
  </si>
  <si>
    <t>1349</t>
  </si>
  <si>
    <t>Welby Way Charter Elementary School And Gifted-High Ability Magnet</t>
  </si>
  <si>
    <t>19 64733 6019855</t>
  </si>
  <si>
    <t>6019939</t>
  </si>
  <si>
    <t>0031</t>
  </si>
  <si>
    <t>Westwood Charter Elementary</t>
  </si>
  <si>
    <t>19 64733 6019939</t>
  </si>
  <si>
    <t>6019954</t>
  </si>
  <si>
    <t>1482</t>
  </si>
  <si>
    <t>Wilbur Charter For Enriched Academics</t>
  </si>
  <si>
    <t>19 64733 6019954</t>
  </si>
  <si>
    <t>6020036</t>
  </si>
  <si>
    <t>1483</t>
  </si>
  <si>
    <t>Woodlake Elementary Community Charter</t>
  </si>
  <si>
    <t>19 64733 6020036</t>
  </si>
  <si>
    <t>6020044</t>
  </si>
  <si>
    <t>1485</t>
  </si>
  <si>
    <t>Woodland Hills Elementary Charter For Enriched Studies</t>
  </si>
  <si>
    <t>19 64733 6020044</t>
  </si>
  <si>
    <t>6057988</t>
  </si>
  <si>
    <t>1688</t>
  </si>
  <si>
    <t>Emerson Community Charter School</t>
  </si>
  <si>
    <t>6058150</t>
  </si>
  <si>
    <t>1473</t>
  </si>
  <si>
    <t>Louis Armstrong Middle</t>
  </si>
  <si>
    <t>6058267</t>
  </si>
  <si>
    <t>0225</t>
  </si>
  <si>
    <t>Paul Revere Charter Middle</t>
  </si>
  <si>
    <t>6061477</t>
  </si>
  <si>
    <t>1346</t>
  </si>
  <si>
    <t>George Ellery Hale Charter Academy</t>
  </si>
  <si>
    <t>6061543</t>
  </si>
  <si>
    <t>1480</t>
  </si>
  <si>
    <t>Alfred B. Nobel Charter Middle</t>
  </si>
  <si>
    <t>6061584</t>
  </si>
  <si>
    <t>2074</t>
  </si>
  <si>
    <t>Gaspar De Portola Charter Middle</t>
  </si>
  <si>
    <t>6071435</t>
  </si>
  <si>
    <t>1477</t>
  </si>
  <si>
    <t>Castlebay Lane Charter</t>
  </si>
  <si>
    <t>19 64733 6071435</t>
  </si>
  <si>
    <t>6094726</t>
  </si>
  <si>
    <t>0957</t>
  </si>
  <si>
    <t>Community Magnet Charter Elementary</t>
  </si>
  <si>
    <t>19 64733 6094726</t>
  </si>
  <si>
    <t>6097927</t>
  </si>
  <si>
    <t>0012</t>
  </si>
  <si>
    <t>Open Charter Magnet</t>
  </si>
  <si>
    <t>19 64733 6097927</t>
  </si>
  <si>
    <t>6112536</t>
  </si>
  <si>
    <t>0045</t>
  </si>
  <si>
    <t>Accelerated</t>
  </si>
  <si>
    <t>19 64733 6112536</t>
  </si>
  <si>
    <t>6114912</t>
  </si>
  <si>
    <t>0131</t>
  </si>
  <si>
    <t>Watts Learning Center</t>
  </si>
  <si>
    <t>19 64733 6114912</t>
  </si>
  <si>
    <t>6116750</t>
  </si>
  <si>
    <t>0213</t>
  </si>
  <si>
    <t>PUC Community Charter Middle and PUC Community Charter Early College High</t>
  </si>
  <si>
    <t>19 64733 6116750</t>
  </si>
  <si>
    <t>6117048</t>
  </si>
  <si>
    <t>0190</t>
  </si>
  <si>
    <t>ICEF View Park Preparatory Elementary</t>
  </si>
  <si>
    <t>19 64733 6117048</t>
  </si>
  <si>
    <t>6117667</t>
  </si>
  <si>
    <t>0293</t>
  </si>
  <si>
    <t>Camino Nuevo Charter Academy</t>
  </si>
  <si>
    <t>19 64733 6117667</t>
  </si>
  <si>
    <t>6119044</t>
  </si>
  <si>
    <t>0388</t>
  </si>
  <si>
    <t>Multicultural Learning Center</t>
  </si>
  <si>
    <t>19 64733 6119044</t>
  </si>
  <si>
    <t>6119531</t>
  </si>
  <si>
    <t>0417</t>
  </si>
  <si>
    <t>CHIME Institute's Schwarzenegger Community</t>
  </si>
  <si>
    <t>19 64733 6119531</t>
  </si>
  <si>
    <t>6119903</t>
  </si>
  <si>
    <t>0448</t>
  </si>
  <si>
    <t>Downtown Value</t>
  </si>
  <si>
    <t>19 64733 6119903</t>
  </si>
  <si>
    <t>6120471</t>
  </si>
  <si>
    <t>0473</t>
  </si>
  <si>
    <t>Puente Charter</t>
  </si>
  <si>
    <t>19 64733 6120471</t>
  </si>
  <si>
    <t>6120489</t>
  </si>
  <si>
    <t>0475</t>
  </si>
  <si>
    <t>Para Los Ninos Charter</t>
  </si>
  <si>
    <t>19 64733 6120489</t>
  </si>
  <si>
    <t>6121081</t>
  </si>
  <si>
    <t>0506</t>
  </si>
  <si>
    <t>ICEF View Park Preparatory Charter Middle</t>
  </si>
  <si>
    <t>64758</t>
  </si>
  <si>
    <t>Los Nietos</t>
  </si>
  <si>
    <t>Aeolian Elementary</t>
  </si>
  <si>
    <t>19 64758 6020085</t>
  </si>
  <si>
    <t>64774</t>
  </si>
  <si>
    <t>Lynwood Unified</t>
  </si>
  <si>
    <t>Helen Keller Elementary</t>
  </si>
  <si>
    <t>19 64774 0107912</t>
  </si>
  <si>
    <t>64790</t>
  </si>
  <si>
    <t>Monrovia Unified</t>
  </si>
  <si>
    <t>Wild Rose School of Creative</t>
  </si>
  <si>
    <t>19 64790 6020499</t>
  </si>
  <si>
    <t>64808</t>
  </si>
  <si>
    <t>Montebello Unified</t>
  </si>
  <si>
    <t>Greenwood Elementary</t>
  </si>
  <si>
    <t>19 64808 6020580</t>
  </si>
  <si>
    <t>64816</t>
  </si>
  <si>
    <t>Mountain View Elementary</t>
  </si>
  <si>
    <t>Parkview Elementary</t>
  </si>
  <si>
    <t>19 64816 6020770</t>
  </si>
  <si>
    <t>64832</t>
  </si>
  <si>
    <t>Newhall</t>
  </si>
  <si>
    <t>Newhall Elementary</t>
  </si>
  <si>
    <t>19 64832 6020796</t>
  </si>
  <si>
    <t>64840</t>
  </si>
  <si>
    <t>Norwalk-La Mirada Unified</t>
  </si>
  <si>
    <t>Arturo Sanchez Elementary</t>
  </si>
  <si>
    <t>19 64840 6021091</t>
  </si>
  <si>
    <t>64857</t>
  </si>
  <si>
    <t>Palmdale Elementary</t>
  </si>
  <si>
    <t>Tumbleweed Elementary</t>
  </si>
  <si>
    <t>19 64857 6021190</t>
  </si>
  <si>
    <t>0112714</t>
  </si>
  <si>
    <t>0841</t>
  </si>
  <si>
    <t>Antelope Valley Learning Academy</t>
  </si>
  <si>
    <t>19 64857 0112714</t>
  </si>
  <si>
    <t>0125377</t>
  </si>
  <si>
    <t>1367</t>
  </si>
  <si>
    <t>Palmdale Aerospace Academy</t>
  </si>
  <si>
    <t>19 64857 0125377</t>
  </si>
  <si>
    <t>0140889</t>
  </si>
  <si>
    <t>2119</t>
  </si>
  <si>
    <t>Palmdale Academy Charter</t>
  </si>
  <si>
    <t>19 64857 0140889</t>
  </si>
  <si>
    <t>64865</t>
  </si>
  <si>
    <t>Palos Verdes Peninsula Unified</t>
  </si>
  <si>
    <t>Point Vicente Elementary</t>
  </si>
  <si>
    <t>19 64865 6021315</t>
  </si>
  <si>
    <t>64873</t>
  </si>
  <si>
    <t>Paramount Unified</t>
  </si>
  <si>
    <t>Mark Keppel</t>
  </si>
  <si>
    <t>19 64873 6021455</t>
  </si>
  <si>
    <t>64881</t>
  </si>
  <si>
    <t>Pasadena Unified</t>
  </si>
  <si>
    <t>Madison Elementary</t>
  </si>
  <si>
    <t>19 64881 6021687</t>
  </si>
  <si>
    <t>0113464</t>
  </si>
  <si>
    <t>0847</t>
  </si>
  <si>
    <t>Aveson Global Leadership Academy</t>
  </si>
  <si>
    <t>19 64881 0113464</t>
  </si>
  <si>
    <t>0113472</t>
  </si>
  <si>
    <t>0848</t>
  </si>
  <si>
    <t>Aveson School of Leaders</t>
  </si>
  <si>
    <t>19 64881 0113472</t>
  </si>
  <si>
    <t>0113894</t>
  </si>
  <si>
    <t>0857</t>
  </si>
  <si>
    <t>Pasadena Rosebud Academy</t>
  </si>
  <si>
    <t>19 64881 0113894</t>
  </si>
  <si>
    <t>0118075</t>
  </si>
  <si>
    <t>1031</t>
  </si>
  <si>
    <t>Learning Works</t>
  </si>
  <si>
    <t>0136945</t>
  </si>
  <si>
    <t>1921</t>
  </si>
  <si>
    <t>OCS - South</t>
  </si>
  <si>
    <t>19 64881 0136945</t>
  </si>
  <si>
    <t>64907</t>
  </si>
  <si>
    <t>Pomona Unified</t>
  </si>
  <si>
    <t>Lopez Elementary</t>
  </si>
  <si>
    <t>19 64907 0111047</t>
  </si>
  <si>
    <t>0115170</t>
  </si>
  <si>
    <t>0914</t>
  </si>
  <si>
    <t>School of Extended Educational Options</t>
  </si>
  <si>
    <t>19 64907 0115170</t>
  </si>
  <si>
    <t>1996693</t>
  </si>
  <si>
    <t>0505</t>
  </si>
  <si>
    <t>School of Arts and Enterprise</t>
  </si>
  <si>
    <t>19 64907 1996693</t>
  </si>
  <si>
    <t>6021984</t>
  </si>
  <si>
    <t>1578</t>
  </si>
  <si>
    <t>La Verne Science and Technology Charter</t>
  </si>
  <si>
    <t>19 64907 6021984</t>
  </si>
  <si>
    <t>64931</t>
  </si>
  <si>
    <t>Rosemead Elementary</t>
  </si>
  <si>
    <t>Savannah Elementary</t>
  </si>
  <si>
    <t>19 64931 6022206</t>
  </si>
  <si>
    <t>64964</t>
  </si>
  <si>
    <t>San Marino Unified</t>
  </si>
  <si>
    <t>Carver Elementary</t>
  </si>
  <si>
    <t>19 64964 6022495</t>
  </si>
  <si>
    <t>64980</t>
  </si>
  <si>
    <t>Santa Monica-Malibu Unified</t>
  </si>
  <si>
    <t>Will Rogers Elementary</t>
  </si>
  <si>
    <t>19 64980 6022644</t>
  </si>
  <si>
    <t>64998</t>
  </si>
  <si>
    <t>Saugus Union</t>
  </si>
  <si>
    <t>Cedarcreek Elementary</t>
  </si>
  <si>
    <t>19 64998 6022651</t>
  </si>
  <si>
    <t>65029</t>
  </si>
  <si>
    <t>South Pasadena Unified</t>
  </si>
  <si>
    <t>Arroyo Vista Elementary</t>
  </si>
  <si>
    <t>19 65029 6022768</t>
  </si>
  <si>
    <t>65037</t>
  </si>
  <si>
    <t>South Whittier Elementary</t>
  </si>
  <si>
    <t>Loma Vista Elementary</t>
  </si>
  <si>
    <t>19 65037 6022834</t>
  </si>
  <si>
    <t>65045</t>
  </si>
  <si>
    <t>Sulphur Springs Union</t>
  </si>
  <si>
    <t>Canyon Springs Community Elementary</t>
  </si>
  <si>
    <t>19 65045 6022677</t>
  </si>
  <si>
    <t>65052</t>
  </si>
  <si>
    <t>Temple City Unified</t>
  </si>
  <si>
    <t>Cloverly Elementary</t>
  </si>
  <si>
    <t>19 65052 6022925</t>
  </si>
  <si>
    <t>65060</t>
  </si>
  <si>
    <t>Torrance Unified</t>
  </si>
  <si>
    <t>Torrance Elementary</t>
  </si>
  <si>
    <t>19 65060 6023261</t>
  </si>
  <si>
    <t>65078</t>
  </si>
  <si>
    <t>Valle Lindo Elementary</t>
  </si>
  <si>
    <t>New Temple</t>
  </si>
  <si>
    <t>19 65078 6023337</t>
  </si>
  <si>
    <t>65094</t>
  </si>
  <si>
    <t>West Covina Unified</t>
  </si>
  <si>
    <t>California Elementary</t>
  </si>
  <si>
    <t>19 65094 6023410</t>
  </si>
  <si>
    <t>0112706</t>
  </si>
  <si>
    <t>0838</t>
  </si>
  <si>
    <t>California Virtual Academy @ Los Angeles</t>
  </si>
  <si>
    <t>19 65094 0112706</t>
  </si>
  <si>
    <t>6023527</t>
  </si>
  <si>
    <t>0142</t>
  </si>
  <si>
    <t>San Jose Charter Academy</t>
  </si>
  <si>
    <t>19 65094 6023527</t>
  </si>
  <si>
    <t>65102</t>
  </si>
  <si>
    <t>Westside Union Elementary</t>
  </si>
  <si>
    <t>Quartz Hill Elementary</t>
  </si>
  <si>
    <t>19 65102 6023584</t>
  </si>
  <si>
    <t>65110</t>
  </si>
  <si>
    <t>Whittier City Elementary</t>
  </si>
  <si>
    <t>Lydia Jackson College Preparatory Academy</t>
  </si>
  <si>
    <t>19 65110 6023683</t>
  </si>
  <si>
    <t>65128</t>
  </si>
  <si>
    <t>Whittier Union High</t>
  </si>
  <si>
    <t>65136</t>
  </si>
  <si>
    <t>William S. Hart Union High</t>
  </si>
  <si>
    <t>0114439</t>
  </si>
  <si>
    <t>0888</t>
  </si>
  <si>
    <t>Mission View Public</t>
  </si>
  <si>
    <t>0117234</t>
  </si>
  <si>
    <t>0981</t>
  </si>
  <si>
    <t>Santa Clarita Valley International</t>
  </si>
  <si>
    <t>19 65136 0117234</t>
  </si>
  <si>
    <t>1996263</t>
  </si>
  <si>
    <t>0214</t>
  </si>
  <si>
    <t>Opportunities for Learning - William S. Hart</t>
  </si>
  <si>
    <t>65151</t>
  </si>
  <si>
    <t>Wilsona Elementary</t>
  </si>
  <si>
    <t>Vista San Gabriel Elementary</t>
  </si>
  <si>
    <t>19 65151 6106785</t>
  </si>
  <si>
    <t>73437</t>
  </si>
  <si>
    <t>Compton Unified</t>
  </si>
  <si>
    <t>Martin Luther King Elementary</t>
  </si>
  <si>
    <t>19 73437 6023782</t>
  </si>
  <si>
    <t>0115725</t>
  </si>
  <si>
    <t>0963</t>
  </si>
  <si>
    <t>Lifeline Education Charter</t>
  </si>
  <si>
    <t>19 73437 0115725</t>
  </si>
  <si>
    <t>0118760</t>
  </si>
  <si>
    <t>1062</t>
  </si>
  <si>
    <t>Barack Obama Charter</t>
  </si>
  <si>
    <t>19 73437 0118760</t>
  </si>
  <si>
    <t>0132845</t>
  </si>
  <si>
    <t>1772</t>
  </si>
  <si>
    <t>Today's Fresh Start Charter Compton</t>
  </si>
  <si>
    <t>19 73437 0132845</t>
  </si>
  <si>
    <t>0134338</t>
  </si>
  <si>
    <t>1827</t>
  </si>
  <si>
    <t>ISANA Achernar Academy</t>
  </si>
  <si>
    <t>19 73437 0134338</t>
  </si>
  <si>
    <t>0137240</t>
  </si>
  <si>
    <t>1952</t>
  </si>
  <si>
    <t>Ingenium Clarion Charter Middle School</t>
  </si>
  <si>
    <t>0137893</t>
  </si>
  <si>
    <t>1996</t>
  </si>
  <si>
    <t>KIPP Compton Community School</t>
  </si>
  <si>
    <t>19 73437 0137893</t>
  </si>
  <si>
    <t>0137984</t>
  </si>
  <si>
    <t>1990</t>
  </si>
  <si>
    <t>Ãnimo Compton Charter</t>
  </si>
  <si>
    <t>19 73437 0137984</t>
  </si>
  <si>
    <t>73445</t>
  </si>
  <si>
    <t>Hacienda la Puente Unified</t>
  </si>
  <si>
    <t>Bixby Elementary</t>
  </si>
  <si>
    <t>19 73445 6014120</t>
  </si>
  <si>
    <t>73452</t>
  </si>
  <si>
    <t>Rowland Unified</t>
  </si>
  <si>
    <t>Villacorta Elementary</t>
  </si>
  <si>
    <t>19 73452 6022388</t>
  </si>
  <si>
    <t>0120600</t>
  </si>
  <si>
    <t>1135</t>
  </si>
  <si>
    <t>iQ Academy California-Los Angeles</t>
  </si>
  <si>
    <t>19 73452 0120600</t>
  </si>
  <si>
    <t>73460</t>
  </si>
  <si>
    <t>Walnut Valley Unified</t>
  </si>
  <si>
    <t>Collegewood Elementary</t>
  </si>
  <si>
    <t>19 73460 6023360</t>
  </si>
  <si>
    <t>75291</t>
  </si>
  <si>
    <t>San Gabriel Unified</t>
  </si>
  <si>
    <t>Roosevelt Elementary</t>
  </si>
  <si>
    <t>19 75291 6022461</t>
  </si>
  <si>
    <t>1996016</t>
  </si>
  <si>
    <t>0117</t>
  </si>
  <si>
    <t>Options for Youth San Gabriel</t>
  </si>
  <si>
    <t>75309</t>
  </si>
  <si>
    <t>Acton-Agua Dulce Unified</t>
  </si>
  <si>
    <t>Meadowlark Elementary</t>
  </si>
  <si>
    <t>19 75309 6115679</t>
  </si>
  <si>
    <t>0127100</t>
  </si>
  <si>
    <t>1458</t>
  </si>
  <si>
    <t>Assurance Learning Academy</t>
  </si>
  <si>
    <t>19 75309 0127100</t>
  </si>
  <si>
    <t>0131383</t>
  </si>
  <si>
    <t>1700</t>
  </si>
  <si>
    <t>SIATech Academy South</t>
  </si>
  <si>
    <t>0131987</t>
  </si>
  <si>
    <t>1699</t>
  </si>
  <si>
    <t>iLEAD Hybrid</t>
  </si>
  <si>
    <t>19 75309 0131987</t>
  </si>
  <si>
    <t>0132654</t>
  </si>
  <si>
    <t>1751</t>
  </si>
  <si>
    <t>California Pacific Charter- Los Angeles</t>
  </si>
  <si>
    <t>19 75309 0132654</t>
  </si>
  <si>
    <t>0134619</t>
  </si>
  <si>
    <t>1836</t>
  </si>
  <si>
    <t>Empower Generations</t>
  </si>
  <si>
    <t>0135145</t>
  </si>
  <si>
    <t>1651</t>
  </si>
  <si>
    <t>Compass Charter Schools of Los Angeles</t>
  </si>
  <si>
    <t>19 75309 0135145</t>
  </si>
  <si>
    <t>0136531</t>
  </si>
  <si>
    <t>1902</t>
  </si>
  <si>
    <t>iLEAD Online</t>
  </si>
  <si>
    <t>19 75309 0136531</t>
  </si>
  <si>
    <t>0136648</t>
  </si>
  <si>
    <t>1911</t>
  </si>
  <si>
    <t>Options for Youth-Acton</t>
  </si>
  <si>
    <t>0137703</t>
  </si>
  <si>
    <t>1697</t>
  </si>
  <si>
    <t>Method Schools, LA</t>
  </si>
  <si>
    <t>19 75309 0137703</t>
  </si>
  <si>
    <t>0137786</t>
  </si>
  <si>
    <t>1972</t>
  </si>
  <si>
    <t>Mission Academy</t>
  </si>
  <si>
    <t>19 75309 0137786</t>
  </si>
  <si>
    <t>0138297</t>
  </si>
  <si>
    <t>2003</t>
  </si>
  <si>
    <t>iLead Agua Dulce</t>
  </si>
  <si>
    <t>19 75309 0138297</t>
  </si>
  <si>
    <t>75333</t>
  </si>
  <si>
    <t>Manhattan Beach Unified</t>
  </si>
  <si>
    <t>Meadows Avenue Elementary</t>
  </si>
  <si>
    <t>19 75333 6020390</t>
  </si>
  <si>
    <t>75341</t>
  </si>
  <si>
    <t>Redondo Beach Unified</t>
  </si>
  <si>
    <t>19 75341 6022115</t>
  </si>
  <si>
    <t>75663</t>
  </si>
  <si>
    <t>6120158</t>
  </si>
  <si>
    <t>0431</t>
  </si>
  <si>
    <t>New West Charter</t>
  </si>
  <si>
    <t>19 75663 6120158</t>
  </si>
  <si>
    <t>75713</t>
  </si>
  <si>
    <t>Alhambra Unified</t>
  </si>
  <si>
    <t>Ynez Elementary</t>
  </si>
  <si>
    <t>19 75713 6011126</t>
  </si>
  <si>
    <t>76869</t>
  </si>
  <si>
    <t>Wiseburn Unified</t>
  </si>
  <si>
    <t>Aviation Elementary</t>
  </si>
  <si>
    <t>19 76869 6023816</t>
  </si>
  <si>
    <t>0119016</t>
  </si>
  <si>
    <t>1060</t>
  </si>
  <si>
    <t>Da Vinci Science</t>
  </si>
  <si>
    <t>0119636</t>
  </si>
  <si>
    <t>1081</t>
  </si>
  <si>
    <t>Da Vinci Design</t>
  </si>
  <si>
    <t>0128728</t>
  </si>
  <si>
    <t>1597</t>
  </si>
  <si>
    <t>Da Vinci Connect</t>
  </si>
  <si>
    <t>19 76869 0128728</t>
  </si>
  <si>
    <t>0131128</t>
  </si>
  <si>
    <t>1689</t>
  </si>
  <si>
    <t>Da Vinci Communications</t>
  </si>
  <si>
    <t>76968</t>
  </si>
  <si>
    <t>0109926</t>
  </si>
  <si>
    <t>0738</t>
  </si>
  <si>
    <t>Academia Avance Charter</t>
  </si>
  <si>
    <t>19 76968 0109926</t>
  </si>
  <si>
    <t>77289</t>
  </si>
  <si>
    <t>0109942</t>
  </si>
  <si>
    <t>0741</t>
  </si>
  <si>
    <t>Los Angeles College Prep Academy</t>
  </si>
  <si>
    <t>20</t>
  </si>
  <si>
    <t>10207</t>
  </si>
  <si>
    <t>Madera County Superintendent of Schools</t>
  </si>
  <si>
    <t>Millview Elementary</t>
  </si>
  <si>
    <t>20 65243 6024020</t>
  </si>
  <si>
    <t>0117184</t>
  </si>
  <si>
    <t>1001</t>
  </si>
  <si>
    <t>Madera County Independent Academy</t>
  </si>
  <si>
    <t>2030229</t>
  </si>
  <si>
    <t>0460</t>
  </si>
  <si>
    <t>Pioneer Technical Center</t>
  </si>
  <si>
    <t>65177</t>
  </si>
  <si>
    <t>Alview-Dairyland Union Elementary</t>
  </si>
  <si>
    <t>Dairyland Elementary</t>
  </si>
  <si>
    <t>20 65177 6023923</t>
  </si>
  <si>
    <t>65185</t>
  </si>
  <si>
    <t>Bass Lake Joint Union Elementary</t>
  </si>
  <si>
    <t>Oakhurst Elementary</t>
  </si>
  <si>
    <t>20 65185 6024087</t>
  </si>
  <si>
    <t>0129015</t>
  </si>
  <si>
    <t>1610</t>
  </si>
  <si>
    <t>Yosemite-Wawona Elementary Charter</t>
  </si>
  <si>
    <t>20 65185 0129015</t>
  </si>
  <si>
    <t>65193</t>
  </si>
  <si>
    <t>Chowchilla Elementary</t>
  </si>
  <si>
    <t>Merle L. Fuller Elementary</t>
  </si>
  <si>
    <t>20 65193 6023881</t>
  </si>
  <si>
    <t>65201</t>
  </si>
  <si>
    <t>Chowchilla Union High</t>
  </si>
  <si>
    <t>65243</t>
  </si>
  <si>
    <t>Madera Unified</t>
  </si>
  <si>
    <t>0100016</t>
  </si>
  <si>
    <t>0507</t>
  </si>
  <si>
    <t>Sherman Thomas Charter</t>
  </si>
  <si>
    <t>20 65243 0100016</t>
  </si>
  <si>
    <t>0107938</t>
  </si>
  <si>
    <t>0676</t>
  </si>
  <si>
    <t>Ezequiel Tafoya Alvarado Academy</t>
  </si>
  <si>
    <t>20 65243 0107938</t>
  </si>
  <si>
    <t>0118950</t>
  </si>
  <si>
    <t>1058</t>
  </si>
  <si>
    <t>Sherman Thomas Charter High</t>
  </si>
  <si>
    <t>0134510</t>
  </si>
  <si>
    <t>1780</t>
  </si>
  <si>
    <t>Sherman Thomas STEM Academy</t>
  </si>
  <si>
    <t>65276</t>
  </si>
  <si>
    <t>Raymond-Knowles Union Elementary</t>
  </si>
  <si>
    <t>Raymond-Knowles Elementary</t>
  </si>
  <si>
    <t>20 65276 6024095</t>
  </si>
  <si>
    <t>75580</t>
  </si>
  <si>
    <t>Golden Valley Unified</t>
  </si>
  <si>
    <t>Valley Children's Hospital</t>
  </si>
  <si>
    <t>20 75580 0123315</t>
  </si>
  <si>
    <t>75606</t>
  </si>
  <si>
    <t>Chawanakee Unified</t>
  </si>
  <si>
    <t>North Fork Elementary</t>
  </si>
  <si>
    <t>20 75606 6024079</t>
  </si>
  <si>
    <t>0125021</t>
  </si>
  <si>
    <t>1341</t>
  </si>
  <si>
    <t>Minarets Charter High</t>
  </si>
  <si>
    <t>0132936</t>
  </si>
  <si>
    <t>1763</t>
  </si>
  <si>
    <t>Chawanakee Academy Charter</t>
  </si>
  <si>
    <t>20 75606 0132936</t>
  </si>
  <si>
    <t>76414</t>
  </si>
  <si>
    <t>Yosemite Unified</t>
  </si>
  <si>
    <t>Coarsegold Elementary</t>
  </si>
  <si>
    <t>20 76414 6023915</t>
  </si>
  <si>
    <t>2030237</t>
  </si>
  <si>
    <t>0479</t>
  </si>
  <si>
    <t>Glacier High School Charter</t>
  </si>
  <si>
    <t>6110076</t>
  </si>
  <si>
    <t>0063</t>
  </si>
  <si>
    <t>Mountain Home Charter (Alternative)</t>
  </si>
  <si>
    <t>20 76414 6110076</t>
  </si>
  <si>
    <t>21</t>
  </si>
  <si>
    <t>10215</t>
  </si>
  <si>
    <t>Marin Co. Office of Education</t>
  </si>
  <si>
    <t>Bahia Vista Elementary</t>
  </si>
  <si>
    <t>21 65458 6024756</t>
  </si>
  <si>
    <t>0135350</t>
  </si>
  <si>
    <t>1790</t>
  </si>
  <si>
    <t>Ross Valley Charter</t>
  </si>
  <si>
    <t>21 10215 0135350</t>
  </si>
  <si>
    <t>2130102</t>
  </si>
  <si>
    <t>0087</t>
  </si>
  <si>
    <t>Phoenix Academy</t>
  </si>
  <si>
    <t>65300</t>
  </si>
  <si>
    <t>Bolinas-Stinson Union</t>
  </si>
  <si>
    <t>Bolinas-Stinson Elementary</t>
  </si>
  <si>
    <t>21 65300 6024137</t>
  </si>
  <si>
    <t>65318</t>
  </si>
  <si>
    <t>Miller Creek Elementary</t>
  </si>
  <si>
    <t>Mary E. Silveira Elementary</t>
  </si>
  <si>
    <t>21 65318 6024194</t>
  </si>
  <si>
    <t>65334</t>
  </si>
  <si>
    <t>Kentfield Elementary</t>
  </si>
  <si>
    <t>Anthony G. Bacich Elementary</t>
  </si>
  <si>
    <t>21 65334 6024319</t>
  </si>
  <si>
    <t>65342</t>
  </si>
  <si>
    <t>Laguna Joint Elementary</t>
  </si>
  <si>
    <t>Laguna Elementary</t>
  </si>
  <si>
    <t>21 65342 6024327</t>
  </si>
  <si>
    <t>65359</t>
  </si>
  <si>
    <t>Lagunitas Elementary</t>
  </si>
  <si>
    <t>San Geronimo Valley Elementary</t>
  </si>
  <si>
    <t>21 65359 6024343</t>
  </si>
  <si>
    <t>65367</t>
  </si>
  <si>
    <t>Larkspur-Corte Madera</t>
  </si>
  <si>
    <t>Cove</t>
  </si>
  <si>
    <t>21 65367 0129148</t>
  </si>
  <si>
    <t>65391</t>
  </si>
  <si>
    <t>Mill Valley Elementary</t>
  </si>
  <si>
    <t>Strawberry Point Elementary</t>
  </si>
  <si>
    <t>21 65391 6024467</t>
  </si>
  <si>
    <t>65409</t>
  </si>
  <si>
    <t>Nicasio</t>
  </si>
  <si>
    <t>21 65409 6024483</t>
  </si>
  <si>
    <t>65417</t>
  </si>
  <si>
    <t>Novato Unified</t>
  </si>
  <si>
    <t>Hamilton Meadow Park</t>
  </si>
  <si>
    <t>21 65417 6024491</t>
  </si>
  <si>
    <t>6113229</t>
  </si>
  <si>
    <t>0089</t>
  </si>
  <si>
    <t>Novato Charter</t>
  </si>
  <si>
    <t>21 65417 6113229</t>
  </si>
  <si>
    <t>65425</t>
  </si>
  <si>
    <t>Reed Union Elementary</t>
  </si>
  <si>
    <t>Reed Elementary</t>
  </si>
  <si>
    <t>21 65425 6024657</t>
  </si>
  <si>
    <t>65433</t>
  </si>
  <si>
    <t>Ross Elementary</t>
  </si>
  <si>
    <t>21 65433 6024673</t>
  </si>
  <si>
    <t>65458</t>
  </si>
  <si>
    <t>San Rafael City Elementary</t>
  </si>
  <si>
    <t>65466</t>
  </si>
  <si>
    <t>San Rafael City High</t>
  </si>
  <si>
    <t>65474</t>
  </si>
  <si>
    <t>Sausalito Marin City</t>
  </si>
  <si>
    <t>Dr. Martin Luther King Jr. Academy</t>
  </si>
  <si>
    <t>21 65474 6024889</t>
  </si>
  <si>
    <t>65482</t>
  </si>
  <si>
    <t>Tamalpais Union High</t>
  </si>
  <si>
    <t>73361</t>
  </si>
  <si>
    <t>Shoreline Unified</t>
  </si>
  <si>
    <t>Bodega Bay Elementary</t>
  </si>
  <si>
    <t>21 73361 6051627</t>
  </si>
  <si>
    <t>75002</t>
  </si>
  <si>
    <t>Ross Valley Elementary</t>
  </si>
  <si>
    <t>Manor Elementary</t>
  </si>
  <si>
    <t>21 75002 6024277</t>
  </si>
  <si>
    <t>22</t>
  </si>
  <si>
    <t>10223</t>
  </si>
  <si>
    <t>Mariposa Co. Office of Education</t>
  </si>
  <si>
    <t>Greeley Hill Elementary</t>
  </si>
  <si>
    <t>22 65532 0132258</t>
  </si>
  <si>
    <t>65532</t>
  </si>
  <si>
    <t>Mariposa County Unified</t>
  </si>
  <si>
    <t>0125823</t>
  </si>
  <si>
    <t>1396</t>
  </si>
  <si>
    <t>Sierra Foothill Charter</t>
  </si>
  <si>
    <t>22 65532 0125823</t>
  </si>
  <si>
    <t>23</t>
  </si>
  <si>
    <t>10231</t>
  </si>
  <si>
    <t>Mendocino Co. Office of Education</t>
  </si>
  <si>
    <t>Eel River Charter</t>
  </si>
  <si>
    <t>23 65607 2330272</t>
  </si>
  <si>
    <t>65540</t>
  </si>
  <si>
    <t>Anderson Valley Unified</t>
  </si>
  <si>
    <t>Anderson Valley Elementary</t>
  </si>
  <si>
    <t>23 65540 6025084</t>
  </si>
  <si>
    <t>65557</t>
  </si>
  <si>
    <t>Arena Union Elementary</t>
  </si>
  <si>
    <t>Arena Elementary</t>
  </si>
  <si>
    <t>23 65557 6025092</t>
  </si>
  <si>
    <t>6116669</t>
  </si>
  <si>
    <t>0192</t>
  </si>
  <si>
    <t>Pacific Community Charter</t>
  </si>
  <si>
    <t>23 65557 6116669</t>
  </si>
  <si>
    <t>65565</t>
  </si>
  <si>
    <t>Fort Bragg Unified</t>
  </si>
  <si>
    <t>Redwood Elementary</t>
  </si>
  <si>
    <t>23 65565 6025126</t>
  </si>
  <si>
    <t>0123737</t>
  </si>
  <si>
    <t>1275</t>
  </si>
  <si>
    <t>Three Rivers Charter</t>
  </si>
  <si>
    <t>23 65565 0123737</t>
  </si>
  <si>
    <t>65573</t>
  </si>
  <si>
    <t>Manchester Union Elementary</t>
  </si>
  <si>
    <t>Manchester Elementary</t>
  </si>
  <si>
    <t>23 65573 6025134</t>
  </si>
  <si>
    <t>65581</t>
  </si>
  <si>
    <t>Mendocino Unified</t>
  </si>
  <si>
    <t>Comptche Elementary</t>
  </si>
  <si>
    <t>23 65581 6025142</t>
  </si>
  <si>
    <t>65599</t>
  </si>
  <si>
    <t>Point Arena Joint Union High</t>
  </si>
  <si>
    <t>65607</t>
  </si>
  <si>
    <t>Round Valley Unified</t>
  </si>
  <si>
    <t>23 65607 6025175</t>
  </si>
  <si>
    <t>2330272</t>
  </si>
  <si>
    <t>0032</t>
  </si>
  <si>
    <t>65615</t>
  </si>
  <si>
    <t>Ukiah Unified</t>
  </si>
  <si>
    <t>Nokomis Elementary</t>
  </si>
  <si>
    <t>23 65615 6025217</t>
  </si>
  <si>
    <t>0115055</t>
  </si>
  <si>
    <t>0910</t>
  </si>
  <si>
    <t>River Oak Charter</t>
  </si>
  <si>
    <t>23 65615 0115055</t>
  </si>
  <si>
    <t>0140814</t>
  </si>
  <si>
    <t>2117</t>
  </si>
  <si>
    <t>Shanel Valley Academy</t>
  </si>
  <si>
    <t>23 65615 0140814</t>
  </si>
  <si>
    <t>2330413</t>
  </si>
  <si>
    <t>0271</t>
  </si>
  <si>
    <t>Redwood Collegiate Academy</t>
  </si>
  <si>
    <t>2330454</t>
  </si>
  <si>
    <t>0439</t>
  </si>
  <si>
    <t>Sequoia Career Academy</t>
  </si>
  <si>
    <t>23 65615 2330454</t>
  </si>
  <si>
    <t>6117386</t>
  </si>
  <si>
    <t>0276</t>
  </si>
  <si>
    <t>Tree of Life Charter</t>
  </si>
  <si>
    <t>23 65615 6117386</t>
  </si>
  <si>
    <t>65623</t>
  </si>
  <si>
    <t>Willits Unified</t>
  </si>
  <si>
    <t>Sherwood</t>
  </si>
  <si>
    <t>23 65623 6104590</t>
  </si>
  <si>
    <t>0112300</t>
  </si>
  <si>
    <t>0822</t>
  </si>
  <si>
    <t>La Vida Charter</t>
  </si>
  <si>
    <t>23 65623 0112300</t>
  </si>
  <si>
    <t>0125658</t>
  </si>
  <si>
    <t>1373</t>
  </si>
  <si>
    <t>Willits Elementary Charter</t>
  </si>
  <si>
    <t>23 65623 0125658</t>
  </si>
  <si>
    <t>2330363</t>
  </si>
  <si>
    <t>0166</t>
  </si>
  <si>
    <t>Willits Charter</t>
  </si>
  <si>
    <t>23 65623 2330363</t>
  </si>
  <si>
    <t>73866</t>
  </si>
  <si>
    <t>Potter Valley Community Unified</t>
  </si>
  <si>
    <t>Potter Valley Elementary</t>
  </si>
  <si>
    <t>23 73866 6025241</t>
  </si>
  <si>
    <t>73916</t>
  </si>
  <si>
    <t>Laytonville Unified</t>
  </si>
  <si>
    <t>Laytonville Elementary</t>
  </si>
  <si>
    <t>23 73916 6025308</t>
  </si>
  <si>
    <t>75218</t>
  </si>
  <si>
    <t>Leggett Valley Unified</t>
  </si>
  <si>
    <t>Leggett Valley Elementary</t>
  </si>
  <si>
    <t>23 75218 6025118</t>
  </si>
  <si>
    <t>24</t>
  </si>
  <si>
    <t>10249</t>
  </si>
  <si>
    <t>Merced Co. Office of Education</t>
  </si>
  <si>
    <t>Planada Elementary</t>
  </si>
  <si>
    <t>24 65821 6025787</t>
  </si>
  <si>
    <t>0106518</t>
  </si>
  <si>
    <t>0631</t>
  </si>
  <si>
    <t>Merced Scholars Charter</t>
  </si>
  <si>
    <t>24 10249 0106518</t>
  </si>
  <si>
    <t>0138032</t>
  </si>
  <si>
    <t>2002</t>
  </si>
  <si>
    <t>Come Back Charter</t>
  </si>
  <si>
    <t>65631</t>
  </si>
  <si>
    <t>Atwater Elementary</t>
  </si>
  <si>
    <t>Aileen Colburn Elementary</t>
  </si>
  <si>
    <t>24 65631 6025316</t>
  </si>
  <si>
    <t>65649</t>
  </si>
  <si>
    <t>Ballico-Cressey Elementary</t>
  </si>
  <si>
    <t>Cressey Elementary</t>
  </si>
  <si>
    <t>24 65649 6025399</t>
  </si>
  <si>
    <t>6025381</t>
  </si>
  <si>
    <t>1980</t>
  </si>
  <si>
    <t>Ballico-Cressey Community Charter</t>
  </si>
  <si>
    <t>24 65649 6025381</t>
  </si>
  <si>
    <t>65680</t>
  </si>
  <si>
    <t>El Nido Elementary</t>
  </si>
  <si>
    <t>24 65680 6025456</t>
  </si>
  <si>
    <t>65698</t>
  </si>
  <si>
    <t>Hilmar Unified</t>
  </si>
  <si>
    <t>Merquin Elementary</t>
  </si>
  <si>
    <t>24 65698 6025472</t>
  </si>
  <si>
    <t>65722</t>
  </si>
  <si>
    <t>Le Grand Union Elementary</t>
  </si>
  <si>
    <t>Le Grand Elementary</t>
  </si>
  <si>
    <t>24 65722 6025498</t>
  </si>
  <si>
    <t>65730</t>
  </si>
  <si>
    <t>Le Grand Union High</t>
  </si>
  <si>
    <t>65748</t>
  </si>
  <si>
    <t>Livingston Union</t>
  </si>
  <si>
    <t>Campus Park Elementary</t>
  </si>
  <si>
    <t>24 65748 6025506</t>
  </si>
  <si>
    <t>65755</t>
  </si>
  <si>
    <t>Los Banos Unified</t>
  </si>
  <si>
    <t>R. M. Miano Elementary</t>
  </si>
  <si>
    <t>24 65755 6025563</t>
  </si>
  <si>
    <t>65763</t>
  </si>
  <si>
    <t>McSwain Union Elementary</t>
  </si>
  <si>
    <t>McSwain Elementary</t>
  </si>
  <si>
    <t>24 65763 6025589</t>
  </si>
  <si>
    <t>65771</t>
  </si>
  <si>
    <t>Merced City Elementary</t>
  </si>
  <si>
    <t>Don Stowell Elementary</t>
  </si>
  <si>
    <t>24 65771 6115729</t>
  </si>
  <si>
    <t>65789</t>
  </si>
  <si>
    <t>Merced Union High</t>
  </si>
  <si>
    <t>65813</t>
  </si>
  <si>
    <t>Plainsburg Union Elementary</t>
  </si>
  <si>
    <t>24 65813 6025779</t>
  </si>
  <si>
    <t>65821</t>
  </si>
  <si>
    <t>65839</t>
  </si>
  <si>
    <t>Snelling-Merced Falls Union Elementary</t>
  </si>
  <si>
    <t>Snelling-Merced Falls Elementary</t>
  </si>
  <si>
    <t>24 65839 6025795</t>
  </si>
  <si>
    <t>65862</t>
  </si>
  <si>
    <t>Weaver Union</t>
  </si>
  <si>
    <t>Farmdale Elementary</t>
  </si>
  <si>
    <t>24 65862 0114074</t>
  </si>
  <si>
    <t>65870</t>
  </si>
  <si>
    <t>Winton</t>
  </si>
  <si>
    <t>Sybil N. Crookham Elementary</t>
  </si>
  <si>
    <t>24 65870 6025837</t>
  </si>
  <si>
    <t>73619</t>
  </si>
  <si>
    <t>Gustine Unified</t>
  </si>
  <si>
    <t>Romero Elementary</t>
  </si>
  <si>
    <t>24 73619 6025746</t>
  </si>
  <si>
    <t>73726</t>
  </si>
  <si>
    <t>Merced River Union Elementary</t>
  </si>
  <si>
    <t>24 73726 6025803</t>
  </si>
  <si>
    <t>75317</t>
  </si>
  <si>
    <t>Dos Palos Oro Loma Joint Unified</t>
  </si>
  <si>
    <t>Bernhard Marks Elementary</t>
  </si>
  <si>
    <t>24 75317 6112940</t>
  </si>
  <si>
    <t>75366</t>
  </si>
  <si>
    <t>Delhi Unified</t>
  </si>
  <si>
    <t>El Capitan Elementary</t>
  </si>
  <si>
    <t>24 75366 6025407</t>
  </si>
  <si>
    <t>25</t>
  </si>
  <si>
    <t>10256</t>
  </si>
  <si>
    <t>Modoc Co. Office of Education</t>
  </si>
  <si>
    <t>Tulelake Basin Elementary</t>
  </si>
  <si>
    <t>25 73593 6025894</t>
  </si>
  <si>
    <t>65896</t>
  </si>
  <si>
    <t>Surprise Valley Joint Unified</t>
  </si>
  <si>
    <t>Surprise Valley Elementary</t>
  </si>
  <si>
    <t>25 65896 6025902</t>
  </si>
  <si>
    <t>73585</t>
  </si>
  <si>
    <t>Modoc Joint Unified</t>
  </si>
  <si>
    <t>State Line Elementary</t>
  </si>
  <si>
    <t>25 73585 6025886</t>
  </si>
  <si>
    <t>73593</t>
  </si>
  <si>
    <t>Tulelake Basin Joint Unified</t>
  </si>
  <si>
    <t>26</t>
  </si>
  <si>
    <t>10264</t>
  </si>
  <si>
    <t>Mono Co. Office of Education</t>
  </si>
  <si>
    <t>Mammoth Elementary</t>
  </si>
  <si>
    <t>26 73692 6025969</t>
  </si>
  <si>
    <t>0124990</t>
  </si>
  <si>
    <t>1355</t>
  </si>
  <si>
    <t>Urban Corps of San Diego County Charter</t>
  </si>
  <si>
    <t>73668</t>
  </si>
  <si>
    <t>Eastern Sierra Unified</t>
  </si>
  <si>
    <t>26 73668 6025910</t>
  </si>
  <si>
    <t>73692</t>
  </si>
  <si>
    <t>Mammoth Unified</t>
  </si>
  <si>
    <t>27</t>
  </si>
  <si>
    <t>10272</t>
  </si>
  <si>
    <t>Monterey Co. Office of Education</t>
  </si>
  <si>
    <t>Jesse G. Sanchez Elementary</t>
  </si>
  <si>
    <t>27 65961 6026009</t>
  </si>
  <si>
    <t>0112177</t>
  </si>
  <si>
    <t>0799</t>
  </si>
  <si>
    <t>Monterey Bay Charter</t>
  </si>
  <si>
    <t>27 10272 0112177</t>
  </si>
  <si>
    <t>0116491</t>
  </si>
  <si>
    <t>2091</t>
  </si>
  <si>
    <t>Open Door Charter</t>
  </si>
  <si>
    <t>0124297</t>
  </si>
  <si>
    <t>1306</t>
  </si>
  <si>
    <t>Bay View Academy</t>
  </si>
  <si>
    <t>27 10272 0124297</t>
  </si>
  <si>
    <t>2730232</t>
  </si>
  <si>
    <t>0327</t>
  </si>
  <si>
    <t>Monterey County Home Charter</t>
  </si>
  <si>
    <t>27 10272 2730232</t>
  </si>
  <si>
    <t>6119663</t>
  </si>
  <si>
    <t>0412</t>
  </si>
  <si>
    <t>Oasis Charter Public</t>
  </si>
  <si>
    <t>27 10272 6119663</t>
  </si>
  <si>
    <t>65961</t>
  </si>
  <si>
    <t>Alisal Union</t>
  </si>
  <si>
    <t>65979</t>
  </si>
  <si>
    <t>Bradley Union Elementary</t>
  </si>
  <si>
    <t>Bradley Elementary</t>
  </si>
  <si>
    <t>27 65979 6026017</t>
  </si>
  <si>
    <t>65987</t>
  </si>
  <si>
    <t>Carmel Unified</t>
  </si>
  <si>
    <t>Captain Cooper Elementary</t>
  </si>
  <si>
    <t>27 65987 6026025</t>
  </si>
  <si>
    <t>65995</t>
  </si>
  <si>
    <t>Chualar Union</t>
  </si>
  <si>
    <t>Chualar Elementary</t>
  </si>
  <si>
    <t>27 65995 6026082</t>
  </si>
  <si>
    <t>66027</t>
  </si>
  <si>
    <t>Graves Elementary</t>
  </si>
  <si>
    <t>27 66027 6026108</t>
  </si>
  <si>
    <t>66035</t>
  </si>
  <si>
    <t>Greenfield Union Elementary</t>
  </si>
  <si>
    <t>Mary Chapa Academy</t>
  </si>
  <si>
    <t>27 66035 6026116</t>
  </si>
  <si>
    <t>66050</t>
  </si>
  <si>
    <t>King City Union</t>
  </si>
  <si>
    <t>Santa Lucia Elementary</t>
  </si>
  <si>
    <t>27 66050 6026132</t>
  </si>
  <si>
    <t>66068</t>
  </si>
  <si>
    <t>South Monterey County Joint Union High</t>
  </si>
  <si>
    <t>66076</t>
  </si>
  <si>
    <t>Lagunita Elementary</t>
  </si>
  <si>
    <t>27 66076 6026140</t>
  </si>
  <si>
    <t>66084</t>
  </si>
  <si>
    <t>Mission Union Elementary</t>
  </si>
  <si>
    <t>Mission Elementary</t>
  </si>
  <si>
    <t>27 66084 6026157</t>
  </si>
  <si>
    <t>66092</t>
  </si>
  <si>
    <t>Monterey Peninsula Unified</t>
  </si>
  <si>
    <t>Ord Terrace Elementary</t>
  </si>
  <si>
    <t>27 66092 6026355</t>
  </si>
  <si>
    <t>2730240</t>
  </si>
  <si>
    <t>0362</t>
  </si>
  <si>
    <t>Learning for Life Charter</t>
  </si>
  <si>
    <t>6118962</t>
  </si>
  <si>
    <t>0429</t>
  </si>
  <si>
    <t>International School of Monterey</t>
  </si>
  <si>
    <t>27 66092 6118962</t>
  </si>
  <si>
    <t>66134</t>
  </si>
  <si>
    <t>Pacific Grove Unified</t>
  </si>
  <si>
    <t>Forest Grove Elementary</t>
  </si>
  <si>
    <t>27 66134 6026470</t>
  </si>
  <si>
    <t>66142</t>
  </si>
  <si>
    <t>Salinas City Elementary</t>
  </si>
  <si>
    <t>Sherwood Elementary</t>
  </si>
  <si>
    <t>27 66142 6026611</t>
  </si>
  <si>
    <t>66159</t>
  </si>
  <si>
    <t>Salinas Union High</t>
  </si>
  <si>
    <t>66167</t>
  </si>
  <si>
    <t>San Antonio Union Elementary</t>
  </si>
  <si>
    <t>San Antonio Elementary</t>
  </si>
  <si>
    <t>27 66167 6026629</t>
  </si>
  <si>
    <t>66175</t>
  </si>
  <si>
    <t>San Ardo Union Elementary</t>
  </si>
  <si>
    <t>San Ardo Elementary</t>
  </si>
  <si>
    <t>27 66175 6026637</t>
  </si>
  <si>
    <t>66183</t>
  </si>
  <si>
    <t>San Lucas Union Elementary</t>
  </si>
  <si>
    <t>San Lucas Elementary</t>
  </si>
  <si>
    <t>27 66183 6026645</t>
  </si>
  <si>
    <t>66191</t>
  </si>
  <si>
    <t>Santa Rita Union Elementary</t>
  </si>
  <si>
    <t>La Joya Elementary</t>
  </si>
  <si>
    <t>27 66191 6026652</t>
  </si>
  <si>
    <t>66225</t>
  </si>
  <si>
    <t>Spreckels Union Elementary</t>
  </si>
  <si>
    <t>Spreckels Elementary</t>
  </si>
  <si>
    <t>27 66225 6026694</t>
  </si>
  <si>
    <t>66233</t>
  </si>
  <si>
    <t>Washington Union Elementary</t>
  </si>
  <si>
    <t>Toro Park Elementary</t>
  </si>
  <si>
    <t>27 66233 6092688</t>
  </si>
  <si>
    <t>73825</t>
  </si>
  <si>
    <t>North Monterey County Unified</t>
  </si>
  <si>
    <t>Castroville Elementary</t>
  </si>
  <si>
    <t>27 73825 6026397</t>
  </si>
  <si>
    <t>75150</t>
  </si>
  <si>
    <t>Big Sur Unified</t>
  </si>
  <si>
    <t>Pacific Valley (K-12)</t>
  </si>
  <si>
    <t>27 75150 2730133</t>
  </si>
  <si>
    <t>0118349</t>
  </si>
  <si>
    <t>1000</t>
  </si>
  <si>
    <t>Big Sur Charter</t>
  </si>
  <si>
    <t>27 75150 0118349</t>
  </si>
  <si>
    <t>75440</t>
  </si>
  <si>
    <t>Soledad Unified</t>
  </si>
  <si>
    <t>San Vicente Elementary</t>
  </si>
  <si>
    <t>27 75440 6026686</t>
  </si>
  <si>
    <t>75473</t>
  </si>
  <si>
    <t>Gonzales Unified</t>
  </si>
  <si>
    <t>La Gloria Elementary</t>
  </si>
  <si>
    <t>27 75473 6066955</t>
  </si>
  <si>
    <t>28</t>
  </si>
  <si>
    <t>10280</t>
  </si>
  <si>
    <t>Napa Co. Office of Education</t>
  </si>
  <si>
    <t>McPherson Elementary</t>
  </si>
  <si>
    <t>28 66266 6026850</t>
  </si>
  <si>
    <t>0142034</t>
  </si>
  <si>
    <t>2134</t>
  </si>
  <si>
    <t>Mayacamas Charter Middle School</t>
  </si>
  <si>
    <t>66241</t>
  </si>
  <si>
    <t>Calistoga Joint Unified</t>
  </si>
  <si>
    <t>Calistoga Elementary</t>
  </si>
  <si>
    <t>28 66241 6026744</t>
  </si>
  <si>
    <t>66258</t>
  </si>
  <si>
    <t>Howell Mountain Elementary</t>
  </si>
  <si>
    <t>28 66258 6026751</t>
  </si>
  <si>
    <t>66266</t>
  </si>
  <si>
    <t>Napa Valley Unified</t>
  </si>
  <si>
    <t>0108605</t>
  </si>
  <si>
    <t>0679</t>
  </si>
  <si>
    <t>Stone Bridge</t>
  </si>
  <si>
    <t>28 66266 0108605</t>
  </si>
  <si>
    <t>66282</t>
  </si>
  <si>
    <t>Pope Valley Union Elementary</t>
  </si>
  <si>
    <t>Pope Valley Elementary</t>
  </si>
  <si>
    <t>28 66282 6027015</t>
  </si>
  <si>
    <t>66290</t>
  </si>
  <si>
    <t>Saint Helena Unified</t>
  </si>
  <si>
    <t>Saint Helena Primary</t>
  </si>
  <si>
    <t>28 66290 6117964</t>
  </si>
  <si>
    <t>29</t>
  </si>
  <si>
    <t>10298</t>
  </si>
  <si>
    <t>Nevada Co. Office of Education</t>
  </si>
  <si>
    <t>John Muir Charter</t>
  </si>
  <si>
    <t>29 10298 2930147</t>
  </si>
  <si>
    <t>0114314</t>
  </si>
  <si>
    <t>0871</t>
  </si>
  <si>
    <t>Bitney Prep High</t>
  </si>
  <si>
    <t>0114322</t>
  </si>
  <si>
    <t>0870</t>
  </si>
  <si>
    <t>Yuba River Charter</t>
  </si>
  <si>
    <t>29 10298 0114322</t>
  </si>
  <si>
    <t>0114330</t>
  </si>
  <si>
    <t>0869</t>
  </si>
  <si>
    <t>Nevada City School of the Arts</t>
  </si>
  <si>
    <t>29 10298 0114330</t>
  </si>
  <si>
    <t>0126219</t>
  </si>
  <si>
    <t>1427</t>
  </si>
  <si>
    <t>Forest Charter</t>
  </si>
  <si>
    <t>29 10298 0126219</t>
  </si>
  <si>
    <t>0126227</t>
  </si>
  <si>
    <t>1428</t>
  </si>
  <si>
    <t>Twin Ridges Home Study Charter</t>
  </si>
  <si>
    <t>29 10298 0126227</t>
  </si>
  <si>
    <t>0130823</t>
  </si>
  <si>
    <t>1680</t>
  </si>
  <si>
    <t>EPIC de Cesar Chavez</t>
  </si>
  <si>
    <t>2930147</t>
  </si>
  <si>
    <t>0255</t>
  </si>
  <si>
    <t>66316</t>
  </si>
  <si>
    <t>Chicago Park Elementary</t>
  </si>
  <si>
    <t>29 66316 6027080</t>
  </si>
  <si>
    <t>0125013</t>
  </si>
  <si>
    <t>1339</t>
  </si>
  <si>
    <t>Chicago Park Community Charter</t>
  </si>
  <si>
    <t>29 66316 0125013</t>
  </si>
  <si>
    <t>66324</t>
  </si>
  <si>
    <t>Clear Creek Elementary</t>
  </si>
  <si>
    <t>29 66324 6027098</t>
  </si>
  <si>
    <t>66332</t>
  </si>
  <si>
    <t>Grass Valley Elementary</t>
  </si>
  <si>
    <t>Margaret G. Scotten Elementary</t>
  </si>
  <si>
    <t>29 66332 6106157</t>
  </si>
  <si>
    <t>6111140</t>
  </si>
  <si>
    <t>0022</t>
  </si>
  <si>
    <t>Grass Valley Charter</t>
  </si>
  <si>
    <t>29 66332 6111140</t>
  </si>
  <si>
    <t>66340</t>
  </si>
  <si>
    <t>Nevada City Elementary</t>
  </si>
  <si>
    <t>Deer Creek Elementary</t>
  </si>
  <si>
    <t>29 66340 6097315</t>
  </si>
  <si>
    <t>66357</t>
  </si>
  <si>
    <t>Nevada Joint Union High</t>
  </si>
  <si>
    <t>0124834</t>
  </si>
  <si>
    <t>1336</t>
  </si>
  <si>
    <t>Sierra Academy of Expeditionary Learning</t>
  </si>
  <si>
    <t>66373</t>
  </si>
  <si>
    <t>Pleasant Ridge Union Elementary</t>
  </si>
  <si>
    <t>Alta Sierra Elementary</t>
  </si>
  <si>
    <t>29 66373 6105811</t>
  </si>
  <si>
    <t>0136424</t>
  </si>
  <si>
    <t>1898</t>
  </si>
  <si>
    <t>Arete Charter Academy</t>
  </si>
  <si>
    <t>29 66373 0136424</t>
  </si>
  <si>
    <t>66407</t>
  </si>
  <si>
    <t>Union Hill Elementary</t>
  </si>
  <si>
    <t>6027197</t>
  </si>
  <si>
    <t>1576</t>
  </si>
  <si>
    <t>29 66407 6027197</t>
  </si>
  <si>
    <t>66415</t>
  </si>
  <si>
    <t>Twin Ridges Elementary</t>
  </si>
  <si>
    <t>Grizzly Hill</t>
  </si>
  <si>
    <t>29 66415 6089403</t>
  </si>
  <si>
    <t>76877</t>
  </si>
  <si>
    <t>Penn Valley Union Elementary</t>
  </si>
  <si>
    <t>Ready Springs Elementary</t>
  </si>
  <si>
    <t>29 76877 6027189</t>
  </si>
  <si>
    <t>6111371</t>
  </si>
  <si>
    <t>0024</t>
  </si>
  <si>
    <t>Vantage Point Charter</t>
  </si>
  <si>
    <t>29 76877 6111371</t>
  </si>
  <si>
    <t>30</t>
  </si>
  <si>
    <t>10306</t>
  </si>
  <si>
    <t>Orange Co. Office of Education</t>
  </si>
  <si>
    <t>Pomona Elementary</t>
  </si>
  <si>
    <t>30 66597 6029466</t>
  </si>
  <si>
    <t>0126037</t>
  </si>
  <si>
    <t>1419</t>
  </si>
  <si>
    <t>Samueli Academy</t>
  </si>
  <si>
    <t>0132613</t>
  </si>
  <si>
    <t>1752</t>
  </si>
  <si>
    <t>Vista Heritage Global Academy</t>
  </si>
  <si>
    <t>0132910</t>
  </si>
  <si>
    <t>1761</t>
  </si>
  <si>
    <t>College and Career Preparatory Academy</t>
  </si>
  <si>
    <t>0133785</t>
  </si>
  <si>
    <t>1784</t>
  </si>
  <si>
    <t>Oxford Preparatory Academy - Saddleback Valley</t>
  </si>
  <si>
    <t>30 10306 0133785</t>
  </si>
  <si>
    <t>0133959</t>
  </si>
  <si>
    <t>1800</t>
  </si>
  <si>
    <t>Unity Middle College High</t>
  </si>
  <si>
    <t>0133983</t>
  </si>
  <si>
    <t>1798</t>
  </si>
  <si>
    <t>Ednovate - Legacy College Prep.</t>
  </si>
  <si>
    <t>0134056</t>
  </si>
  <si>
    <t>1799</t>
  </si>
  <si>
    <t>Orange County Academy of Sciences and Arts</t>
  </si>
  <si>
    <t>30 10306 0134056</t>
  </si>
  <si>
    <t>0134239</t>
  </si>
  <si>
    <t>1807</t>
  </si>
  <si>
    <t>EPIC Charter (Excellence Performance Innovation Citizenship)</t>
  </si>
  <si>
    <t>30 10306 0134239</t>
  </si>
  <si>
    <t>0134288</t>
  </si>
  <si>
    <t>1808</t>
  </si>
  <si>
    <t>Scholarship Prep - Orange County</t>
  </si>
  <si>
    <t>30 10306 0134288</t>
  </si>
  <si>
    <t>0134841</t>
  </si>
  <si>
    <t>1833</t>
  </si>
  <si>
    <t>Orange County Workforce Innovation High</t>
  </si>
  <si>
    <t>0134940</t>
  </si>
  <si>
    <t>1831</t>
  </si>
  <si>
    <t>Citrus Springs Charter</t>
  </si>
  <si>
    <t>30 10306 0134940</t>
  </si>
  <si>
    <t>0137000</t>
  </si>
  <si>
    <t>1930</t>
  </si>
  <si>
    <t>Vista Condor Global Academy</t>
  </si>
  <si>
    <t>30 10306 0137000</t>
  </si>
  <si>
    <t>0137976</t>
  </si>
  <si>
    <t>1987</t>
  </si>
  <si>
    <t>Tomorrow's Leadership Collaborative (TLC) Charter</t>
  </si>
  <si>
    <t>30 10306 0137976</t>
  </si>
  <si>
    <t>0138800</t>
  </si>
  <si>
    <t>2025</t>
  </si>
  <si>
    <t>Suncoast Preparatory Academy</t>
  </si>
  <si>
    <t>30 10306 0138800</t>
  </si>
  <si>
    <t>0139352</t>
  </si>
  <si>
    <t>2047</t>
  </si>
  <si>
    <t>Sycamore Creek Community Charter</t>
  </si>
  <si>
    <t>30 10306 0139352</t>
  </si>
  <si>
    <t>0139469</t>
  </si>
  <si>
    <t>2048</t>
  </si>
  <si>
    <t>International School for Science and Culture</t>
  </si>
  <si>
    <t>30 10306 0139469</t>
  </si>
  <si>
    <t>0139964</t>
  </si>
  <si>
    <t>2127</t>
  </si>
  <si>
    <t>Orange County Classical Academy</t>
  </si>
  <si>
    <t>30 10306 0139964</t>
  </si>
  <si>
    <t>0140822</t>
  </si>
  <si>
    <t>2116</t>
  </si>
  <si>
    <t>Irvine International Academy</t>
  </si>
  <si>
    <t>30 10306 0140822</t>
  </si>
  <si>
    <t>0141978</t>
  </si>
  <si>
    <t>2132</t>
  </si>
  <si>
    <t>Vista Meridian Global Academy</t>
  </si>
  <si>
    <t>0142000</t>
  </si>
  <si>
    <t>2129</t>
  </si>
  <si>
    <t>Explore Academy</t>
  </si>
  <si>
    <t>30 10306 0142000</t>
  </si>
  <si>
    <t>0142026</t>
  </si>
  <si>
    <t>2135</t>
  </si>
  <si>
    <t>Oxford Preparatory Academy - Middle School</t>
  </si>
  <si>
    <t>0142224</t>
  </si>
  <si>
    <t>2138</t>
  </si>
  <si>
    <t>California Republic Leadership Academy Capistrano</t>
  </si>
  <si>
    <t>30 10306 0142224</t>
  </si>
  <si>
    <t>3030723</t>
  </si>
  <si>
    <t>0290</t>
  </si>
  <si>
    <t>OCSA</t>
  </si>
  <si>
    <t>64766</t>
  </si>
  <si>
    <t>Lowell Joint</t>
  </si>
  <si>
    <t>Jordan Elementary</t>
  </si>
  <si>
    <t>30 64766 6020150</t>
  </si>
  <si>
    <t>66423</t>
  </si>
  <si>
    <t>Anaheim Elementary</t>
  </si>
  <si>
    <t>Loara Elementary</t>
  </si>
  <si>
    <t>30 66423 6027353</t>
  </si>
  <si>
    <t>0131417</t>
  </si>
  <si>
    <t>1701</t>
  </si>
  <si>
    <t>Vibrant Minds Charter</t>
  </si>
  <si>
    <t>30 66423 0131417</t>
  </si>
  <si>
    <t>6027379</t>
  </si>
  <si>
    <t>1932</t>
  </si>
  <si>
    <t>Palm Lane Global Academy</t>
  </si>
  <si>
    <t>30 66423 6027379</t>
  </si>
  <si>
    <t>66431</t>
  </si>
  <si>
    <t>Anaheim Union High</t>
  </si>
  <si>
    <t>66449</t>
  </si>
  <si>
    <t>Brea-Olinda Unified</t>
  </si>
  <si>
    <t>Laurel Elementary Magnet School of Innovation and Career Exploration</t>
  </si>
  <si>
    <t>30 66449 6027452</t>
  </si>
  <si>
    <t>66456</t>
  </si>
  <si>
    <t>Buena Park Elementary</t>
  </si>
  <si>
    <t>Carl E. Gilbert Elementary</t>
  </si>
  <si>
    <t>30 66456 6027494</t>
  </si>
  <si>
    <t>66464</t>
  </si>
  <si>
    <t>Capistrano Unified</t>
  </si>
  <si>
    <t>Kinoshita Elementary</t>
  </si>
  <si>
    <t>30 66464 6117733</t>
  </si>
  <si>
    <t>0106765</t>
  </si>
  <si>
    <t>0664</t>
  </si>
  <si>
    <t>California Connections Academy Southern California</t>
  </si>
  <si>
    <t>30 66464 0106765</t>
  </si>
  <si>
    <t>0123729</t>
  </si>
  <si>
    <t>1274</t>
  </si>
  <si>
    <t>Community Roots Academy</t>
  </si>
  <si>
    <t>30 66464 0123729</t>
  </si>
  <si>
    <t>0124743</t>
  </si>
  <si>
    <t>1324</t>
  </si>
  <si>
    <t>Oxford Preparatory Academy - South Orange County</t>
  </si>
  <si>
    <t>30 66464 0124743</t>
  </si>
  <si>
    <t>0140061</t>
  </si>
  <si>
    <t>2084</t>
  </si>
  <si>
    <t>OCASA College Prep</t>
  </si>
  <si>
    <t>30 66464 0140061</t>
  </si>
  <si>
    <t>6117758</t>
  </si>
  <si>
    <t>0294</t>
  </si>
  <si>
    <t>Journey</t>
  </si>
  <si>
    <t>30 66464 6117758</t>
  </si>
  <si>
    <t>6120356</t>
  </si>
  <si>
    <t>0463</t>
  </si>
  <si>
    <t>Opportunities for Learning - Capistrano</t>
  </si>
  <si>
    <t>66472</t>
  </si>
  <si>
    <t>Centralia Elementary</t>
  </si>
  <si>
    <t>Danbrook Elementary</t>
  </si>
  <si>
    <t>30 66472 6027684</t>
  </si>
  <si>
    <t>66480</t>
  </si>
  <si>
    <t>Cypress Elementary</t>
  </si>
  <si>
    <t>Clara J. King Elementary</t>
  </si>
  <si>
    <t>30 66480 6027791</t>
  </si>
  <si>
    <t>66498</t>
  </si>
  <si>
    <t>Fountain Valley Elementary</t>
  </si>
  <si>
    <t>Plavan (Urbain H.) Elementary</t>
  </si>
  <si>
    <t>30 66498 6085278</t>
  </si>
  <si>
    <t>66506</t>
  </si>
  <si>
    <t>Fullerton Elementary</t>
  </si>
  <si>
    <t>Valencia Park Elementary</t>
  </si>
  <si>
    <t>30 66506 6028179</t>
  </si>
  <si>
    <t>66514</t>
  </si>
  <si>
    <t>Fullerton Joint Union High</t>
  </si>
  <si>
    <t>66522</t>
  </si>
  <si>
    <t>Garden Grove Unified</t>
  </si>
  <si>
    <t>Heritage Elementary</t>
  </si>
  <si>
    <t>30 66522 6028443</t>
  </si>
  <si>
    <t>66530</t>
  </si>
  <si>
    <t>Huntington Beach City Elementary</t>
  </si>
  <si>
    <t>John R. Peterson Elementary</t>
  </si>
  <si>
    <t>30 66530 6028872</t>
  </si>
  <si>
    <t>0134221</t>
  </si>
  <si>
    <t>1812</t>
  </si>
  <si>
    <t>Kinetic Academy</t>
  </si>
  <si>
    <t>30 66530 0134221</t>
  </si>
  <si>
    <t>66548</t>
  </si>
  <si>
    <t>Huntington Beach Union High</t>
  </si>
  <si>
    <t>66555</t>
  </si>
  <si>
    <t>Laguna Beach Unified</t>
  </si>
  <si>
    <t>El Morro Elementary</t>
  </si>
  <si>
    <t>30 66555 6028906</t>
  </si>
  <si>
    <t>66563</t>
  </si>
  <si>
    <t>La Habra City Elementary</t>
  </si>
  <si>
    <t>Walnut Elementary</t>
  </si>
  <si>
    <t>30 66563 6029029</t>
  </si>
  <si>
    <t>66589</t>
  </si>
  <si>
    <t>Magnolia Elementary</t>
  </si>
  <si>
    <t>Esther L. Walter</t>
  </si>
  <si>
    <t>30 66589 6029136</t>
  </si>
  <si>
    <t>66597</t>
  </si>
  <si>
    <t>Newport-Mesa Unified</t>
  </si>
  <si>
    <t>66613</t>
  </si>
  <si>
    <t>Ocean View</t>
  </si>
  <si>
    <t>Oak View Elementary</t>
  </si>
  <si>
    <t>30 66613 6029656</t>
  </si>
  <si>
    <t>66621</t>
  </si>
  <si>
    <t>Orange Unified</t>
  </si>
  <si>
    <t>Esplanade Elementary</t>
  </si>
  <si>
    <t>30 66621 6029771</t>
  </si>
  <si>
    <t>6085328</t>
  </si>
  <si>
    <t>0066</t>
  </si>
  <si>
    <t>Santiago Middle</t>
  </si>
  <si>
    <t>6094874</t>
  </si>
  <si>
    <t>0445</t>
  </si>
  <si>
    <t>El Rancho Charter</t>
  </si>
  <si>
    <t>66647</t>
  </si>
  <si>
    <t>Placentia-Yorba Linda Unified</t>
  </si>
  <si>
    <t>Melrose Elementary</t>
  </si>
  <si>
    <t>30 66647 0102897</t>
  </si>
  <si>
    <t>66670</t>
  </si>
  <si>
    <t>Santa Ana Unified</t>
  </si>
  <si>
    <t>Pio Pico Elementary</t>
  </si>
  <si>
    <t>30 66670 6109904</t>
  </si>
  <si>
    <t>0101626</t>
  </si>
  <si>
    <t>0578</t>
  </si>
  <si>
    <t>Edward B. Cole Academy</t>
  </si>
  <si>
    <t>30 66670 0101626</t>
  </si>
  <si>
    <t>0106567</t>
  </si>
  <si>
    <t>0632</t>
  </si>
  <si>
    <t>Nova Academy Early College High</t>
  </si>
  <si>
    <t>0109066</t>
  </si>
  <si>
    <t>0701</t>
  </si>
  <si>
    <t>Orange County Educational Arts Academy</t>
  </si>
  <si>
    <t>30 66670 0109066</t>
  </si>
  <si>
    <t>0135897</t>
  </si>
  <si>
    <t>1765</t>
  </si>
  <si>
    <t>Advanced Learning Academy</t>
  </si>
  <si>
    <t>30 66670 0135897</t>
  </si>
  <si>
    <t>6119127</t>
  </si>
  <si>
    <t>0365</t>
  </si>
  <si>
    <t>El Sol Santa Ana Science and Arts Academy</t>
  </si>
  <si>
    <t>30 66670 6119127</t>
  </si>
  <si>
    <t>66696</t>
  </si>
  <si>
    <t>Savanna Elementary</t>
  </si>
  <si>
    <t>Twila Reid Elementary</t>
  </si>
  <si>
    <t>30 66696 6030506</t>
  </si>
  <si>
    <t>66746</t>
  </si>
  <si>
    <t>Westminster</t>
  </si>
  <si>
    <t>Schmitt Elementary</t>
  </si>
  <si>
    <t>30 66746 6030860</t>
  </si>
  <si>
    <t>73635</t>
  </si>
  <si>
    <t>Saddleback Valley Unified</t>
  </si>
  <si>
    <t>Linda Vista Magnet Elementary</t>
  </si>
  <si>
    <t>30 73635 6030159</t>
  </si>
  <si>
    <t>73643</t>
  </si>
  <si>
    <t>Tustin Unified</t>
  </si>
  <si>
    <t>Robert Heideman Elementary</t>
  </si>
  <si>
    <t>30 73643 6066898</t>
  </si>
  <si>
    <t>73650</t>
  </si>
  <si>
    <t>Irvine Unified</t>
  </si>
  <si>
    <t>Culverdale Elementary</t>
  </si>
  <si>
    <t>30 73650 6089429</t>
  </si>
  <si>
    <t>0142232</t>
  </si>
  <si>
    <t>2140</t>
  </si>
  <si>
    <t>Irvine Chinese Immersion Academy</t>
  </si>
  <si>
    <t>30 73650 0142232</t>
  </si>
  <si>
    <t>73924</t>
  </si>
  <si>
    <t>Los Alamitos Unified</t>
  </si>
  <si>
    <t>Los Alamitos Elementary</t>
  </si>
  <si>
    <t>30 73924 6029060</t>
  </si>
  <si>
    <t>76893</t>
  </si>
  <si>
    <t>0130765</t>
  </si>
  <si>
    <t>1686</t>
  </si>
  <si>
    <t>Magnolia Science Academy - Santa Ana</t>
  </si>
  <si>
    <t>30 76893 0130765</t>
  </si>
  <si>
    <t>31</t>
  </si>
  <si>
    <t>10314</t>
  </si>
  <si>
    <t>Placer Co. Office of Education</t>
  </si>
  <si>
    <t>Bradford Woodbridge Fundamental Elementary</t>
  </si>
  <si>
    <t>31 66910 6031280</t>
  </si>
  <si>
    <t>0126904</t>
  </si>
  <si>
    <t>1432</t>
  </si>
  <si>
    <t>Placer County Pathways Charter</t>
  </si>
  <si>
    <t>66761</t>
  </si>
  <si>
    <t>Ackerman Charter</t>
  </si>
  <si>
    <t>Bowman Charter</t>
  </si>
  <si>
    <t>31 66761 6031009</t>
  </si>
  <si>
    <t>66779</t>
  </si>
  <si>
    <t>Alta-Dutch Flat Union Elementary</t>
  </si>
  <si>
    <t>Alta-Dutch Flat Elementary</t>
  </si>
  <si>
    <t>31 66779 6031017</t>
  </si>
  <si>
    <t>66787</t>
  </si>
  <si>
    <t>Auburn Union Elementary</t>
  </si>
  <si>
    <t>Auburn Elementary</t>
  </si>
  <si>
    <t>31 66787 6112700</t>
  </si>
  <si>
    <t>0126664</t>
  </si>
  <si>
    <t>1429</t>
  </si>
  <si>
    <t>Alta Vista Community Charter</t>
  </si>
  <si>
    <t>31 66787 0126664</t>
  </si>
  <si>
    <t>66795</t>
  </si>
  <si>
    <t>Colfax Elementary</t>
  </si>
  <si>
    <t>31 66795 6031066</t>
  </si>
  <si>
    <t>66803</t>
  </si>
  <si>
    <t>Dry Creek Joint Elementary</t>
  </si>
  <si>
    <t>Barrett Ranch Elementary</t>
  </si>
  <si>
    <t>31 66803 0111104</t>
  </si>
  <si>
    <t>66829</t>
  </si>
  <si>
    <t>Eureka Union</t>
  </si>
  <si>
    <t>Maidu Elementary</t>
  </si>
  <si>
    <t>31 66829 6113971</t>
  </si>
  <si>
    <t>66837</t>
  </si>
  <si>
    <t>Foresthill Union Elementary</t>
  </si>
  <si>
    <t>Foresthill Divide</t>
  </si>
  <si>
    <t>31 66837 6031116</t>
  </si>
  <si>
    <t>66845</t>
  </si>
  <si>
    <t>Loomis Union Elementary</t>
  </si>
  <si>
    <t>Loomis Elementary</t>
  </si>
  <si>
    <t>31 66845 6031132</t>
  </si>
  <si>
    <t>0117150</t>
  </si>
  <si>
    <t>0979</t>
  </si>
  <si>
    <t>Loomis Basin Charter</t>
  </si>
  <si>
    <t>31 66845 0117150</t>
  </si>
  <si>
    <t>66852</t>
  </si>
  <si>
    <t>Newcastle Elementary</t>
  </si>
  <si>
    <t>31 66852 6031157</t>
  </si>
  <si>
    <t>0109827</t>
  </si>
  <si>
    <t>0727</t>
  </si>
  <si>
    <t>Newcastle Charter</t>
  </si>
  <si>
    <t>31 66852 0109827</t>
  </si>
  <si>
    <t>0120105</t>
  </si>
  <si>
    <t>1102</t>
  </si>
  <si>
    <t>Creekside Charter</t>
  </si>
  <si>
    <t>31 66852 0120105</t>
  </si>
  <si>
    <t>0121608</t>
  </si>
  <si>
    <t>1179</t>
  </si>
  <si>
    <t>Harvest Ridge Cooperative Charter</t>
  </si>
  <si>
    <t>31 66852 0121608</t>
  </si>
  <si>
    <t>0127928</t>
  </si>
  <si>
    <t>1528</t>
  </si>
  <si>
    <t>Rocklin Academy Gateway</t>
  </si>
  <si>
    <t>31 66852 0127928</t>
  </si>
  <si>
    <t>66886</t>
  </si>
  <si>
    <t>Placer Hills Union Elementary</t>
  </si>
  <si>
    <t>Weimar Hills</t>
  </si>
  <si>
    <t>31 66886 6031199</t>
  </si>
  <si>
    <t>66894</t>
  </si>
  <si>
    <t>Placer Union High</t>
  </si>
  <si>
    <t>0138081</t>
  </si>
  <si>
    <t>1976</t>
  </si>
  <si>
    <t>Maidu Virtual Charter Academy</t>
  </si>
  <si>
    <t>66910</t>
  </si>
  <si>
    <t>Roseville City Elementary</t>
  </si>
  <si>
    <t>66928</t>
  </si>
  <si>
    <t>Roseville Joint Union High</t>
  </si>
  <si>
    <t>0121418</t>
  </si>
  <si>
    <t>2061</t>
  </si>
  <si>
    <t>John Adams Academy - Roseville</t>
  </si>
  <si>
    <t>31 66928 0121418</t>
  </si>
  <si>
    <t>0141622</t>
  </si>
  <si>
    <t>2128</t>
  </si>
  <si>
    <t>New Pacific School - Roseville</t>
  </si>
  <si>
    <t>31 66928 0141622</t>
  </si>
  <si>
    <t>66944</t>
  </si>
  <si>
    <t>Tahoe-Truckee Unified</t>
  </si>
  <si>
    <t>Truckee Elementary</t>
  </si>
  <si>
    <t>31 66944 6031322</t>
  </si>
  <si>
    <t>0121624</t>
  </si>
  <si>
    <t>1180</t>
  </si>
  <si>
    <t>Sierra Expeditionary Learning</t>
  </si>
  <si>
    <t>31 66944 0121624</t>
  </si>
  <si>
    <t>66951</t>
  </si>
  <si>
    <t>Western Placer Unified</t>
  </si>
  <si>
    <t>First Street Elementary</t>
  </si>
  <si>
    <t>31 66951 6117493</t>
  </si>
  <si>
    <t>0135871</t>
  </si>
  <si>
    <t>1715</t>
  </si>
  <si>
    <t>John Adams Academy - Lincoln</t>
  </si>
  <si>
    <t>31 66951 0135871</t>
  </si>
  <si>
    <t>3130168</t>
  </si>
  <si>
    <t>0015</t>
  </si>
  <si>
    <t>Horizon Charter</t>
  </si>
  <si>
    <t>31 66951 3130168</t>
  </si>
  <si>
    <t>75085</t>
  </si>
  <si>
    <t>Rocklin Unified</t>
  </si>
  <si>
    <t>Antelope Creek Elementary</t>
  </si>
  <si>
    <t>31 75085 6110647</t>
  </si>
  <si>
    <t>0117879</t>
  </si>
  <si>
    <t>1042</t>
  </si>
  <si>
    <t>Maria Montessori Charter Academy</t>
  </si>
  <si>
    <t>31 75085 0117879</t>
  </si>
  <si>
    <t>0119487</t>
  </si>
  <si>
    <t>1071</t>
  </si>
  <si>
    <t>Western Sierra Collegiate Academy</t>
  </si>
  <si>
    <t>31 75085 0119487</t>
  </si>
  <si>
    <t>6118392</t>
  </si>
  <si>
    <t>0308</t>
  </si>
  <si>
    <t>Rocklin Academy</t>
  </si>
  <si>
    <t>31 75085 6118392</t>
  </si>
  <si>
    <t>32</t>
  </si>
  <si>
    <t>10322</t>
  </si>
  <si>
    <t>Plumas Co. Office of Education</t>
  </si>
  <si>
    <t>C. Roy Carmichael Elementary</t>
  </si>
  <si>
    <t>32 66969 6110308</t>
  </si>
  <si>
    <t>66969</t>
  </si>
  <si>
    <t>Plumas Unified</t>
  </si>
  <si>
    <t>3230083</t>
  </si>
  <si>
    <t>0146</t>
  </si>
  <si>
    <t>Plumas Charter</t>
  </si>
  <si>
    <t>32 66969 3230083</t>
  </si>
  <si>
    <t>33</t>
  </si>
  <si>
    <t>10330</t>
  </si>
  <si>
    <t>Riverside Co. Office of Education</t>
  </si>
  <si>
    <t>Cathedral City Elementary</t>
  </si>
  <si>
    <t>33 67173 6032403</t>
  </si>
  <si>
    <t>0110833</t>
  </si>
  <si>
    <t>0753</t>
  </si>
  <si>
    <t>River Springs Charter</t>
  </si>
  <si>
    <t>33 10330 0110833</t>
  </si>
  <si>
    <t>0125237</t>
  </si>
  <si>
    <t>1366</t>
  </si>
  <si>
    <t>Leadership Military Academy</t>
  </si>
  <si>
    <t>0125385</t>
  </si>
  <si>
    <t>1369</t>
  </si>
  <si>
    <t>Imagine Schools, Riverside County</t>
  </si>
  <si>
    <t>33 10330 0125385</t>
  </si>
  <si>
    <t>0128397</t>
  </si>
  <si>
    <t>1568</t>
  </si>
  <si>
    <t>Come Back Kids</t>
  </si>
  <si>
    <t>0128777</t>
  </si>
  <si>
    <t>1602</t>
  </si>
  <si>
    <t>Gateway College and Career Academy</t>
  </si>
  <si>
    <t>0136168</t>
  </si>
  <si>
    <t>1873</t>
  </si>
  <si>
    <t>Temecula International Academy</t>
  </si>
  <si>
    <t>33 10330 0136168</t>
  </si>
  <si>
    <t>0137836</t>
  </si>
  <si>
    <t>1984</t>
  </si>
  <si>
    <t>Pivot Charter School Riverside</t>
  </si>
  <si>
    <t>33 10330 0137836</t>
  </si>
  <si>
    <t>0137851</t>
  </si>
  <si>
    <t>1988</t>
  </si>
  <si>
    <t>Julia Lee Performing Arts Academy</t>
  </si>
  <si>
    <t>33 10330 0137851</t>
  </si>
  <si>
    <t>0137869</t>
  </si>
  <si>
    <t>1993</t>
  </si>
  <si>
    <t>Excelsior Charter School Corona-Norco</t>
  </si>
  <si>
    <t>0138024</t>
  </si>
  <si>
    <t>1974</t>
  </si>
  <si>
    <t>33 10330 0138024</t>
  </si>
  <si>
    <t>0138602</t>
  </si>
  <si>
    <t>2018</t>
  </si>
  <si>
    <t>JCS - Pine Hills</t>
  </si>
  <si>
    <t>33 10330 0138602</t>
  </si>
  <si>
    <t>0139428</t>
  </si>
  <si>
    <t>2058</t>
  </si>
  <si>
    <t>Garvey/Allen Visual &amp; Performing Arts Academy for STEM</t>
  </si>
  <si>
    <t>0140780</t>
  </si>
  <si>
    <t>2118</t>
  </si>
  <si>
    <t>Audeo Valley Charter</t>
  </si>
  <si>
    <t>33 10330 0140780</t>
  </si>
  <si>
    <t>31625</t>
  </si>
  <si>
    <t>3330834</t>
  </si>
  <si>
    <t>California School for the Deaf-Riverside (State Special Schl)</t>
  </si>
  <si>
    <t>66977</t>
  </si>
  <si>
    <t>Alvord Unified</t>
  </si>
  <si>
    <t>Arlanza Elementary</t>
  </si>
  <si>
    <t>33 66977 6031512</t>
  </si>
  <si>
    <t>66985</t>
  </si>
  <si>
    <t>Banning Unified</t>
  </si>
  <si>
    <t>Cabazon Elementary</t>
  </si>
  <si>
    <t>33 66985 6031603</t>
  </si>
  <si>
    <t>66993</t>
  </si>
  <si>
    <t>Beaumont Unified</t>
  </si>
  <si>
    <t>Palm Innovation Academy</t>
  </si>
  <si>
    <t>33 66993 6031660</t>
  </si>
  <si>
    <t>0127142</t>
  </si>
  <si>
    <t>1493</t>
  </si>
  <si>
    <t>Highland Academy</t>
  </si>
  <si>
    <t>33 66993 0127142</t>
  </si>
  <si>
    <t>0139360</t>
  </si>
  <si>
    <t>2049</t>
  </si>
  <si>
    <t>Mission Vista Academy</t>
  </si>
  <si>
    <t>33 66993 0139360</t>
  </si>
  <si>
    <t>67033</t>
  </si>
  <si>
    <t>Corona-Norco Unified</t>
  </si>
  <si>
    <t>Parkridge Elementary</t>
  </si>
  <si>
    <t>33 67033 6031850</t>
  </si>
  <si>
    <t>67041</t>
  </si>
  <si>
    <t>Desert Center Unified</t>
  </si>
  <si>
    <t>Eagle Mountain Elementary</t>
  </si>
  <si>
    <t>33 67041 6031900</t>
  </si>
  <si>
    <t>67058</t>
  </si>
  <si>
    <t>Desert Sands Unified</t>
  </si>
  <si>
    <t>Andrew Jackson Elementary</t>
  </si>
  <si>
    <t>33 67058 6031934</t>
  </si>
  <si>
    <t>6031959</t>
  </si>
  <si>
    <t>0052</t>
  </si>
  <si>
    <t>George Washington Charter</t>
  </si>
  <si>
    <t>33 67058 6031959</t>
  </si>
  <si>
    <t>6031991</t>
  </si>
  <si>
    <t>0974</t>
  </si>
  <si>
    <t>Palm Desert Charter Middle</t>
  </si>
  <si>
    <t>67082</t>
  </si>
  <si>
    <t>Hemet Unified</t>
  </si>
  <si>
    <t>Jacob Wiens Elementary</t>
  </si>
  <si>
    <t>33 67082 6118731</t>
  </si>
  <si>
    <t>0120675</t>
  </si>
  <si>
    <t>1144</t>
  </si>
  <si>
    <t>Western Center Academy</t>
  </si>
  <si>
    <t>33 67082 0120675</t>
  </si>
  <si>
    <t>67090</t>
  </si>
  <si>
    <t>Jurupa Unified</t>
  </si>
  <si>
    <t>Ina Arbuckle Elementary</t>
  </si>
  <si>
    <t>33 67090 6032171</t>
  </si>
  <si>
    <t>67116</t>
  </si>
  <si>
    <t>Menifee Union Elementary</t>
  </si>
  <si>
    <t>Quail Valley Elementary</t>
  </si>
  <si>
    <t>33 67116 0116756</t>
  </si>
  <si>
    <t>0109843</t>
  </si>
  <si>
    <t>0730</t>
  </si>
  <si>
    <t>Santa Rosa Academy</t>
  </si>
  <si>
    <t>33 67116 0109843</t>
  </si>
  <si>
    <t>67124</t>
  </si>
  <si>
    <t>Moreno Valley Unified</t>
  </si>
  <si>
    <t>Edgemont Elementary</t>
  </si>
  <si>
    <t>33 67124 6032304</t>
  </si>
  <si>
    <t>67157</t>
  </si>
  <si>
    <t>Nuview Union</t>
  </si>
  <si>
    <t>Nuview Elementary</t>
  </si>
  <si>
    <t>33 67157 6032353</t>
  </si>
  <si>
    <t>3331014</t>
  </si>
  <si>
    <t>0368</t>
  </si>
  <si>
    <t>Nuview Bridge Early College High</t>
  </si>
  <si>
    <t>67173</t>
  </si>
  <si>
    <t>Palm Springs Unified</t>
  </si>
  <si>
    <t>6032411</t>
  </si>
  <si>
    <t>1173</t>
  </si>
  <si>
    <t>Cielo Vista Charter</t>
  </si>
  <si>
    <t>33 67173 6032411</t>
  </si>
  <si>
    <t>67181</t>
  </si>
  <si>
    <t>Palo Verde Unified</t>
  </si>
  <si>
    <t>Ruth Brown Elementary</t>
  </si>
  <si>
    <t>33 67181 6032494</t>
  </si>
  <si>
    <t>0138610</t>
  </si>
  <si>
    <t>2019</t>
  </si>
  <si>
    <t>Scale Leadership Academy - East</t>
  </si>
  <si>
    <t>33 67181 0138610</t>
  </si>
  <si>
    <t>67199</t>
  </si>
  <si>
    <t>Perris Elementary</t>
  </si>
  <si>
    <t>33 67199 6032510</t>
  </si>
  <si>
    <t>6105571</t>
  </si>
  <si>
    <t>1294</t>
  </si>
  <si>
    <t>Innovative Horizons Charter</t>
  </si>
  <si>
    <t>33 67199 6105571</t>
  </si>
  <si>
    <t>67207</t>
  </si>
  <si>
    <t>Perris Union High</t>
  </si>
  <si>
    <t>0101170</t>
  </si>
  <si>
    <t>0529</t>
  </si>
  <si>
    <t>California Military Institute</t>
  </si>
  <si>
    <t>33 67207 0101170</t>
  </si>
  <si>
    <t>67215</t>
  </si>
  <si>
    <t>Riverside Unified</t>
  </si>
  <si>
    <t>Longfellow Elementary</t>
  </si>
  <si>
    <t>33 67215 6032692</t>
  </si>
  <si>
    <t>0126128</t>
  </si>
  <si>
    <t>1409</t>
  </si>
  <si>
    <t>REACH Leadership STEAM Academy</t>
  </si>
  <si>
    <t>33 67215 0126128</t>
  </si>
  <si>
    <t>67231</t>
  </si>
  <si>
    <t>Romoland Elementary</t>
  </si>
  <si>
    <t>33 67231 6032791</t>
  </si>
  <si>
    <t>67249</t>
  </si>
  <si>
    <t>San Jacinto Unified</t>
  </si>
  <si>
    <t>San Jacinto Elementary</t>
  </si>
  <si>
    <t>33 67249 6032817</t>
  </si>
  <si>
    <t>6114748</t>
  </si>
  <si>
    <t>0129</t>
  </si>
  <si>
    <t>San Jacinto Valley Academy</t>
  </si>
  <si>
    <t>33 67249 6114748</t>
  </si>
  <si>
    <t>73676</t>
  </si>
  <si>
    <t>Coachella Valley Unified</t>
  </si>
  <si>
    <t>Mecca Elementary</t>
  </si>
  <si>
    <t>33 73676 6032254</t>
  </si>
  <si>
    <t>0121673</t>
  </si>
  <si>
    <t>1188</t>
  </si>
  <si>
    <t>NOVA Academy - Coachella</t>
  </si>
  <si>
    <t>75176</t>
  </si>
  <si>
    <t>Lake Elsinore Unified</t>
  </si>
  <si>
    <t>Elsinore Elementary</t>
  </si>
  <si>
    <t>33 75176 6032031</t>
  </si>
  <si>
    <t>0120204</t>
  </si>
  <si>
    <t>1118</t>
  </si>
  <si>
    <t>Sycamore Academy of Science and Cultural Arts</t>
  </si>
  <si>
    <t>33 75176 0120204</t>
  </si>
  <si>
    <t>75192</t>
  </si>
  <si>
    <t>Temecula Valley Unified</t>
  </si>
  <si>
    <t>Temecula Elementary</t>
  </si>
  <si>
    <t>33 75192 6108427</t>
  </si>
  <si>
    <t>3330917</t>
  </si>
  <si>
    <t>0284</t>
  </si>
  <si>
    <t>Temecula Preparatory</t>
  </si>
  <si>
    <t>33 75192 3330917</t>
  </si>
  <si>
    <t>6112551</t>
  </si>
  <si>
    <t>0065</t>
  </si>
  <si>
    <t>Temecula Valley Charter</t>
  </si>
  <si>
    <t>33 75192 6112551</t>
  </si>
  <si>
    <t>75200</t>
  </si>
  <si>
    <t>Murrieta Valley Unified</t>
  </si>
  <si>
    <t>Avaxat Elementary</t>
  </si>
  <si>
    <t>33 75200 6106868</t>
  </si>
  <si>
    <t>75242</t>
  </si>
  <si>
    <t>Val Verde Unified</t>
  </si>
  <si>
    <t>33 75242 0106096</t>
  </si>
  <si>
    <t>34</t>
  </si>
  <si>
    <t>10348</t>
  </si>
  <si>
    <t>Sacramento Co. Office of Education</t>
  </si>
  <si>
    <t>Oak Ridge Elementary</t>
  </si>
  <si>
    <t>34 67439 6034185</t>
  </si>
  <si>
    <t>0136275</t>
  </si>
  <si>
    <t>1313</t>
  </si>
  <si>
    <t>Fortune</t>
  </si>
  <si>
    <t>34 10348 0136275</t>
  </si>
  <si>
    <t>0140160</t>
  </si>
  <si>
    <t>2100</t>
  </si>
  <si>
    <t>American River Collegiate Academy</t>
  </si>
  <si>
    <t>34 10348 0140160</t>
  </si>
  <si>
    <t>0142091</t>
  </si>
  <si>
    <t>2133</t>
  </si>
  <si>
    <t>Capital College and Career Academy</t>
  </si>
  <si>
    <t>67280</t>
  </si>
  <si>
    <t>Arcohe Union Elementary</t>
  </si>
  <si>
    <t>Arcohe Elementary</t>
  </si>
  <si>
    <t>34 67280 6032890</t>
  </si>
  <si>
    <t>67314</t>
  </si>
  <si>
    <t>Elk Grove Unified</t>
  </si>
  <si>
    <t>Samuel Kennedy Elementary</t>
  </si>
  <si>
    <t>34 67314 6033104</t>
  </si>
  <si>
    <t>0111732</t>
  </si>
  <si>
    <t>0777</t>
  </si>
  <si>
    <t>California Montessori Project - Elk Grove Campus</t>
  </si>
  <si>
    <t>34 67314 0111732</t>
  </si>
  <si>
    <t>0137281</t>
  </si>
  <si>
    <t>1949</t>
  </si>
  <si>
    <t>SAVA - Sacramento Academic and Vocational Academy - EGUSD</t>
  </si>
  <si>
    <t>6112254</t>
  </si>
  <si>
    <t>0027</t>
  </si>
  <si>
    <t>Elk Grove Charter</t>
  </si>
  <si>
    <t>67322</t>
  </si>
  <si>
    <t>Elverta Joint Elementary</t>
  </si>
  <si>
    <t>Elverta Elementary</t>
  </si>
  <si>
    <t>34 67322 6033138</t>
  </si>
  <si>
    <t>67330</t>
  </si>
  <si>
    <t>Folsom-Cordova Unified</t>
  </si>
  <si>
    <t>Cordova Gardens Elementary</t>
  </si>
  <si>
    <t>34 67330 6033153</t>
  </si>
  <si>
    <t>0106757</t>
  </si>
  <si>
    <t>0650</t>
  </si>
  <si>
    <t>Folsom Cordova K-8 Community Charter</t>
  </si>
  <si>
    <t>34 67330 0106757</t>
  </si>
  <si>
    <t>0142208</t>
  </si>
  <si>
    <t>2137</t>
  </si>
  <si>
    <t>New Pacific School - Rancho Cordova</t>
  </si>
  <si>
    <t>34 67330 0142208</t>
  </si>
  <si>
    <t>67348</t>
  </si>
  <si>
    <t>Galt Joint Union Elementary</t>
  </si>
  <si>
    <t>Valley Oaks Elementary</t>
  </si>
  <si>
    <t>34 67348 6033310</t>
  </si>
  <si>
    <t>67355</t>
  </si>
  <si>
    <t>Galt Joint Union High</t>
  </si>
  <si>
    <t>67413</t>
  </si>
  <si>
    <t>River Delta Joint Unified</t>
  </si>
  <si>
    <t>Bates Elementary</t>
  </si>
  <si>
    <t>34 67413 6033641</t>
  </si>
  <si>
    <t>0114660</t>
  </si>
  <si>
    <t>0853</t>
  </si>
  <si>
    <t>Delta Elementary Charter</t>
  </si>
  <si>
    <t>34 67413 0114660</t>
  </si>
  <si>
    <t>67421</t>
  </si>
  <si>
    <t>Robla Elementary</t>
  </si>
  <si>
    <t>Taylor Street Elementary</t>
  </si>
  <si>
    <t>34 67421 6033757</t>
  </si>
  <si>
    <t>0132019</t>
  </si>
  <si>
    <t>1727</t>
  </si>
  <si>
    <t>Paseo Grande Charter School</t>
  </si>
  <si>
    <t>34 67421 0132019</t>
  </si>
  <si>
    <t>0137950</t>
  </si>
  <si>
    <t>1970</t>
  </si>
  <si>
    <t>Marconi Learning Academy</t>
  </si>
  <si>
    <t>34 67421 0137950</t>
  </si>
  <si>
    <t>0140178</t>
  </si>
  <si>
    <t>2092</t>
  </si>
  <si>
    <t>New Hope Charter</t>
  </si>
  <si>
    <t>34 67421 0140178</t>
  </si>
  <si>
    <t>67439</t>
  </si>
  <si>
    <t>Sacramento City Unified</t>
  </si>
  <si>
    <t>0101048</t>
  </si>
  <si>
    <t>0491</t>
  </si>
  <si>
    <t>St. HOPE Public School 7</t>
  </si>
  <si>
    <t>34 67439 0101048</t>
  </si>
  <si>
    <t>0101295</t>
  </si>
  <si>
    <t>0552</t>
  </si>
  <si>
    <t>Sol Aureus College Preparatory</t>
  </si>
  <si>
    <t>34 67439 0101295</t>
  </si>
  <si>
    <t>0101881</t>
  </si>
  <si>
    <t>0585</t>
  </si>
  <si>
    <t>New Technology High</t>
  </si>
  <si>
    <t>0101899</t>
  </si>
  <si>
    <t>0588</t>
  </si>
  <si>
    <t>George Washington Carver School of Arts and Science</t>
  </si>
  <si>
    <t>0101907</t>
  </si>
  <si>
    <t>0586</t>
  </si>
  <si>
    <t>The MET</t>
  </si>
  <si>
    <t>0102038</t>
  </si>
  <si>
    <t>0596</t>
  </si>
  <si>
    <t>Sacramento Charter High</t>
  </si>
  <si>
    <t>0102343</t>
  </si>
  <si>
    <t>0598</t>
  </si>
  <si>
    <t>Aspire Capitol Heights Academy</t>
  </si>
  <si>
    <t>34 67439 0102343</t>
  </si>
  <si>
    <t>0106898</t>
  </si>
  <si>
    <t>0640</t>
  </si>
  <si>
    <t>The Language Academy of Sacramento</t>
  </si>
  <si>
    <t>34 67439 0106898</t>
  </si>
  <si>
    <t>0111757</t>
  </si>
  <si>
    <t>0775</t>
  </si>
  <si>
    <t>California Montessori Project - Capitol Campus</t>
  </si>
  <si>
    <t>34 67439 0111757</t>
  </si>
  <si>
    <t>0121665</t>
  </si>
  <si>
    <t>1186</t>
  </si>
  <si>
    <t>Yav Pem Suab Academy - Preparing for the Future Charter</t>
  </si>
  <si>
    <t>34 67439 0121665</t>
  </si>
  <si>
    <t>0123901</t>
  </si>
  <si>
    <t>1273</t>
  </si>
  <si>
    <t>Capitol Collegiate Academy</t>
  </si>
  <si>
    <t>34 67439 0123901</t>
  </si>
  <si>
    <t>0131136</t>
  </si>
  <si>
    <t>1690</t>
  </si>
  <si>
    <t>New Joseph Bonnheim (NJB) Community Charter</t>
  </si>
  <si>
    <t>34 67439 0131136</t>
  </si>
  <si>
    <t>0135343</t>
  </si>
  <si>
    <t>1848</t>
  </si>
  <si>
    <t>Growth Public</t>
  </si>
  <si>
    <t>34 67439 0135343</t>
  </si>
  <si>
    <t>0137406</t>
  </si>
  <si>
    <t>1948</t>
  </si>
  <si>
    <t>SAVA - Sacramento Academic and Vocational Academy - SCUSD</t>
  </si>
  <si>
    <t>6033799</t>
  </si>
  <si>
    <t>0018</t>
  </si>
  <si>
    <t>Bowling Green Elementary</t>
  </si>
  <si>
    <t>34 67439 6033799</t>
  </si>
  <si>
    <t>67447</t>
  </si>
  <si>
    <t>San Juan Unified</t>
  </si>
  <si>
    <t>Dyer-Kelly Elementary</t>
  </si>
  <si>
    <t>34 67447 6034524</t>
  </si>
  <si>
    <t>0112169</t>
  </si>
  <si>
    <t>0776</t>
  </si>
  <si>
    <t>California Montessori Project-San Juan Campuses</t>
  </si>
  <si>
    <t>34 67447 0112169</t>
  </si>
  <si>
    <t>0114983</t>
  </si>
  <si>
    <t>0946</t>
  </si>
  <si>
    <t>Golden Valley River</t>
  </si>
  <si>
    <t>34 67447 0114983</t>
  </si>
  <si>
    <t>0120469</t>
  </si>
  <si>
    <t>1554</t>
  </si>
  <si>
    <t>Aspire Alexander Twilight College Preparatory Academy</t>
  </si>
  <si>
    <t>34 67447 0120469</t>
  </si>
  <si>
    <t>0121467</t>
  </si>
  <si>
    <t>1555</t>
  </si>
  <si>
    <t>Aspire Alexander Twilight Secondary Academy</t>
  </si>
  <si>
    <t>34 67447 0121467</t>
  </si>
  <si>
    <t>0128124</t>
  </si>
  <si>
    <t>1563</t>
  </si>
  <si>
    <t>Gateway International</t>
  </si>
  <si>
    <t>34 67447 0128124</t>
  </si>
  <si>
    <t>0132399</t>
  </si>
  <si>
    <t>1728</t>
  </si>
  <si>
    <t>Golden Valley Orchard</t>
  </si>
  <si>
    <t>34 67447 0132399</t>
  </si>
  <si>
    <t>3430691</t>
  </si>
  <si>
    <t>0217</t>
  </si>
  <si>
    <t>Options for Youth-San Juan</t>
  </si>
  <si>
    <t>3430717</t>
  </si>
  <si>
    <t>0248</t>
  </si>
  <si>
    <t>Visions In Education</t>
  </si>
  <si>
    <t>34 67447 3430717</t>
  </si>
  <si>
    <t>3430758</t>
  </si>
  <si>
    <t>0275</t>
  </si>
  <si>
    <t>San Juan Choices Charter</t>
  </si>
  <si>
    <t>34 67447 3430758</t>
  </si>
  <si>
    <t>73973</t>
  </si>
  <si>
    <t>Center Joint Unified</t>
  </si>
  <si>
    <t>Cyril Spinelli Elementary</t>
  </si>
  <si>
    <t>34 73973 6032924</t>
  </si>
  <si>
    <t>75283</t>
  </si>
  <si>
    <t>Natomas Unified</t>
  </si>
  <si>
    <t>Bannon Creek</t>
  </si>
  <si>
    <t>34 75283 6107981</t>
  </si>
  <si>
    <t>0108860</t>
  </si>
  <si>
    <t>0711</t>
  </si>
  <si>
    <t>Westlake Charter</t>
  </si>
  <si>
    <t>34 75283 0108860</t>
  </si>
  <si>
    <t>0112425</t>
  </si>
  <si>
    <t>0823</t>
  </si>
  <si>
    <t>Natomas Pacific Pathways Prep</t>
  </si>
  <si>
    <t>0120113</t>
  </si>
  <si>
    <t>1106</t>
  </si>
  <si>
    <t>Natomas Pacific Pathways Prep Middle</t>
  </si>
  <si>
    <t>0126060</t>
  </si>
  <si>
    <t>1405</t>
  </si>
  <si>
    <t>Leroy Greene Academy</t>
  </si>
  <si>
    <t>34 75283 0126060</t>
  </si>
  <si>
    <t>0134049</t>
  </si>
  <si>
    <t>1803</t>
  </si>
  <si>
    <t>Natomas Pacific Pathways Prep Elementary</t>
  </si>
  <si>
    <t>34 75283 0134049</t>
  </si>
  <si>
    <t>3430659</t>
  </si>
  <si>
    <t>0019</t>
  </si>
  <si>
    <t>Natomas Charter</t>
  </si>
  <si>
    <t>34 75283 3430659</t>
  </si>
  <si>
    <t>76505</t>
  </si>
  <si>
    <t>Twin Rivers Unified</t>
  </si>
  <si>
    <t>34 76505 6033542</t>
  </si>
  <si>
    <t>0101766</t>
  </si>
  <si>
    <t>0561</t>
  </si>
  <si>
    <t>Community Outreach Academy</t>
  </si>
  <si>
    <t>34 76505 0101766</t>
  </si>
  <si>
    <t>0101832</t>
  </si>
  <si>
    <t>0560</t>
  </si>
  <si>
    <t>Futures High</t>
  </si>
  <si>
    <t>0108415</t>
  </si>
  <si>
    <t>0687</t>
  </si>
  <si>
    <t>Heritage Peak Charter</t>
  </si>
  <si>
    <t>34 76505 0108415</t>
  </si>
  <si>
    <t>0108795</t>
  </si>
  <si>
    <t>0686</t>
  </si>
  <si>
    <t>Creative Connections Arts Academy</t>
  </si>
  <si>
    <t>34 76505 0108795</t>
  </si>
  <si>
    <t>0108837</t>
  </si>
  <si>
    <t>0699</t>
  </si>
  <si>
    <t>Community Collaborative Charter</t>
  </si>
  <si>
    <t>34 76505 0108837</t>
  </si>
  <si>
    <t>0113878</t>
  </si>
  <si>
    <t>0862</t>
  </si>
  <si>
    <t>Higher Learning Academy</t>
  </si>
  <si>
    <t>34 76505 0113878</t>
  </si>
  <si>
    <t>0114272</t>
  </si>
  <si>
    <t>0878</t>
  </si>
  <si>
    <t>SAVA: Sacramento Academic and Vocational Academy</t>
  </si>
  <si>
    <t>0130757</t>
  </si>
  <si>
    <t>1674</t>
  </si>
  <si>
    <t>Highlands Community Charter</t>
  </si>
  <si>
    <t>34 76505 0130757</t>
  </si>
  <si>
    <t>0139584</t>
  </si>
  <si>
    <t>2072</t>
  </si>
  <si>
    <t>California Innovative Career Academy</t>
  </si>
  <si>
    <t>34 76505 0139584</t>
  </si>
  <si>
    <t>6033336</t>
  </si>
  <si>
    <t>0796</t>
  </si>
  <si>
    <t>Smythe Academy of Arts and Sciences</t>
  </si>
  <si>
    <t>34 76505 6033336</t>
  </si>
  <si>
    <t>6112643</t>
  </si>
  <si>
    <t>0073</t>
  </si>
  <si>
    <t>Westside Preparatory Charter</t>
  </si>
  <si>
    <t>35</t>
  </si>
  <si>
    <t>10355</t>
  </si>
  <si>
    <t>San Benito Co. Office of Education</t>
  </si>
  <si>
    <t>35 67488 6035059</t>
  </si>
  <si>
    <t>67454</t>
  </si>
  <si>
    <t>Bitterwater-Tully Elementary</t>
  </si>
  <si>
    <t>35 67454 6035000</t>
  </si>
  <si>
    <t>67462</t>
  </si>
  <si>
    <t>Cienega Union Elementary</t>
  </si>
  <si>
    <t>Cienega Elementary</t>
  </si>
  <si>
    <t>35 67462 6035018</t>
  </si>
  <si>
    <t>67470</t>
  </si>
  <si>
    <t>Hollister</t>
  </si>
  <si>
    <t>R. O. Hardin Elementary</t>
  </si>
  <si>
    <t>35 67470 6035034</t>
  </si>
  <si>
    <t>0127688</t>
  </si>
  <si>
    <t>1507</t>
  </si>
  <si>
    <t>Hollister Prep</t>
  </si>
  <si>
    <t>35 67470 0127688</t>
  </si>
  <si>
    <t>67488</t>
  </si>
  <si>
    <t>67504</t>
  </si>
  <si>
    <t>North County Joint Union Elementary</t>
  </si>
  <si>
    <t>Spring Grove Elementary</t>
  </si>
  <si>
    <t>35 67504 6095202</t>
  </si>
  <si>
    <t>67520</t>
  </si>
  <si>
    <t>Panoche Elementary</t>
  </si>
  <si>
    <t>35 67520 6035109</t>
  </si>
  <si>
    <t>67538</t>
  </si>
  <si>
    <t>San Benito High</t>
  </si>
  <si>
    <t>67553</t>
  </si>
  <si>
    <t>Southside Elementary</t>
  </si>
  <si>
    <t>35 67553 6035133</t>
  </si>
  <si>
    <t>67561</t>
  </si>
  <si>
    <t>Tres Pinos Union Elementary</t>
  </si>
  <si>
    <t>Tres Pinos Elementary</t>
  </si>
  <si>
    <t>35 67561 6035141</t>
  </si>
  <si>
    <t>67579</t>
  </si>
  <si>
    <t>Willow Grove Union Elementary</t>
  </si>
  <si>
    <t>Willow Grove Elementary</t>
  </si>
  <si>
    <t>35 67579 6035158</t>
  </si>
  <si>
    <t>75259</t>
  </si>
  <si>
    <t>Aromas - San Juan Unified</t>
  </si>
  <si>
    <t>San Juan</t>
  </si>
  <si>
    <t>35 75259 6035117</t>
  </si>
  <si>
    <t>36</t>
  </si>
  <si>
    <t>10363</t>
  </si>
  <si>
    <t>San Bernardino Co. Office of Education</t>
  </si>
  <si>
    <t>Woodward Leadership Academy</t>
  </si>
  <si>
    <t>36 67876 0126714</t>
  </si>
  <si>
    <t>0115808</t>
  </si>
  <si>
    <t>0903</t>
  </si>
  <si>
    <t>Norton Science and Language Academy</t>
  </si>
  <si>
    <t>36 10363 0115808</t>
  </si>
  <si>
    <t>0139147</t>
  </si>
  <si>
    <t>2036</t>
  </si>
  <si>
    <t>Sycamore Academy of Science and Cultural Arts - Chino Valley</t>
  </si>
  <si>
    <t>36 10363 0139147</t>
  </si>
  <si>
    <t>0140012</t>
  </si>
  <si>
    <t>2095</t>
  </si>
  <si>
    <t>Entrepreneur High Fontana</t>
  </si>
  <si>
    <t>3630761</t>
  </si>
  <si>
    <t>1910</t>
  </si>
  <si>
    <t>Excelsior Charter</t>
  </si>
  <si>
    <t>6111918</t>
  </si>
  <si>
    <t>1522</t>
  </si>
  <si>
    <t>Desert Trails Preparatory Academy</t>
  </si>
  <si>
    <t>36 10363 6111918</t>
  </si>
  <si>
    <t>67587</t>
  </si>
  <si>
    <t>Adelanto Elementary</t>
  </si>
  <si>
    <t>36 67587 6035174</t>
  </si>
  <si>
    <t>0128462</t>
  </si>
  <si>
    <t>1520</t>
  </si>
  <si>
    <t>Taylion High Desert Academy/Adelanto</t>
  </si>
  <si>
    <t>36 67587 0128462</t>
  </si>
  <si>
    <t>67595</t>
  </si>
  <si>
    <t>Alta Loma Elementary</t>
  </si>
  <si>
    <t>36 67595 6035216</t>
  </si>
  <si>
    <t>67611</t>
  </si>
  <si>
    <t>Barstow Unified</t>
  </si>
  <si>
    <t>Cameron Elementary</t>
  </si>
  <si>
    <t>36 67611 6035299</t>
  </si>
  <si>
    <t>67637</t>
  </si>
  <si>
    <t>Bear Valley Unified</t>
  </si>
  <si>
    <t>North Shore Elementary</t>
  </si>
  <si>
    <t>36 67637 6067052</t>
  </si>
  <si>
    <t>67645</t>
  </si>
  <si>
    <t>Bear Gulch Elementary</t>
  </si>
  <si>
    <t>36 67645 6104525</t>
  </si>
  <si>
    <t>67652</t>
  </si>
  <si>
    <t>Chaffey Joint Union High</t>
  </si>
  <si>
    <t>67678</t>
  </si>
  <si>
    <t>Chino Valley Unified</t>
  </si>
  <si>
    <t>Anna A. Borba Fundamental Elementary</t>
  </si>
  <si>
    <t>36 67678 6098362</t>
  </si>
  <si>
    <t>0137547</t>
  </si>
  <si>
    <t>1945</t>
  </si>
  <si>
    <t>Allegiance STEAM Academy - Thrive</t>
  </si>
  <si>
    <t>36 67678 0137547</t>
  </si>
  <si>
    <t>67686</t>
  </si>
  <si>
    <t>Colton Joint Unified</t>
  </si>
  <si>
    <t>Walter Zimmerman Elementary</t>
  </si>
  <si>
    <t>36 67686 6035729</t>
  </si>
  <si>
    <t>67694</t>
  </si>
  <si>
    <t>Cucamonga Elementary</t>
  </si>
  <si>
    <t>36 67694 6035752</t>
  </si>
  <si>
    <t>67702</t>
  </si>
  <si>
    <t>Etiwanda Elementary</t>
  </si>
  <si>
    <t>West Heritage Elementary</t>
  </si>
  <si>
    <t>36 67702 6108005</t>
  </si>
  <si>
    <t>67710</t>
  </si>
  <si>
    <t>Fontana Unified</t>
  </si>
  <si>
    <t>Juniper Elementary</t>
  </si>
  <si>
    <t>36 67710 6035794</t>
  </si>
  <si>
    <t>0141952</t>
  </si>
  <si>
    <t>2130</t>
  </si>
  <si>
    <t>Allegiance STEAM Academy - Thrive, Fontana</t>
  </si>
  <si>
    <t>36 67710 0141952</t>
  </si>
  <si>
    <t>67736</t>
  </si>
  <si>
    <t>Helendale Elementary</t>
  </si>
  <si>
    <t>36 67736 6035935</t>
  </si>
  <si>
    <t>0116723</t>
  </si>
  <si>
    <t>0968</t>
  </si>
  <si>
    <t>Academy of Careers and Exploration</t>
  </si>
  <si>
    <t>0128439</t>
  </si>
  <si>
    <t>1592</t>
  </si>
  <si>
    <t>Empire Springs Charter</t>
  </si>
  <si>
    <t>36 67736 0128439</t>
  </si>
  <si>
    <t>0130948</t>
  </si>
  <si>
    <t>1679</t>
  </si>
  <si>
    <t>Independence Charter Academy</t>
  </si>
  <si>
    <t>36 67736 0130948</t>
  </si>
  <si>
    <t>0136069</t>
  </si>
  <si>
    <t>1885</t>
  </si>
  <si>
    <t>Sage Oak Charter</t>
  </si>
  <si>
    <t>36 67736 0136069</t>
  </si>
  <si>
    <t>0136937</t>
  </si>
  <si>
    <t>1919</t>
  </si>
  <si>
    <t>Vista Norte Public Charter School</t>
  </si>
  <si>
    <t>36 67736 0136937</t>
  </si>
  <si>
    <t>0139576</t>
  </si>
  <si>
    <t>2073</t>
  </si>
  <si>
    <t>Excel Academy Charter</t>
  </si>
  <si>
    <t>36 67736 0139576</t>
  </si>
  <si>
    <t>67777</t>
  </si>
  <si>
    <t>Morongo Unified</t>
  </si>
  <si>
    <t>Palm Vista Elementary</t>
  </si>
  <si>
    <t>36 67777 6036016</t>
  </si>
  <si>
    <t>67785</t>
  </si>
  <si>
    <t>36 67785 6036057</t>
  </si>
  <si>
    <t>67793</t>
  </si>
  <si>
    <t>Mt. Baldy Joint Elementary</t>
  </si>
  <si>
    <t>36 67793 6036065</t>
  </si>
  <si>
    <t>67801</t>
  </si>
  <si>
    <t>Needles Unified</t>
  </si>
  <si>
    <t>Chemehuevi Valley Elementary</t>
  </si>
  <si>
    <t>36 67801 0131888</t>
  </si>
  <si>
    <t>67819</t>
  </si>
  <si>
    <t>Ontario-Montclair</t>
  </si>
  <si>
    <t>Del Norte Elementary</t>
  </si>
  <si>
    <t>36 67819 6036214</t>
  </si>
  <si>
    <t>67827</t>
  </si>
  <si>
    <t>Oro Grande</t>
  </si>
  <si>
    <t>Oro Grande Elementary</t>
  </si>
  <si>
    <t>36 67827 6036453</t>
  </si>
  <si>
    <t>0113928</t>
  </si>
  <si>
    <t>0855</t>
  </si>
  <si>
    <t>Riverside Preparatory</t>
  </si>
  <si>
    <t>36 67827 0113928</t>
  </si>
  <si>
    <t>0137174</t>
  </si>
  <si>
    <t>1937</t>
  </si>
  <si>
    <t>Mojave River Academy Gold Canyon</t>
  </si>
  <si>
    <t>36 67827 0137174</t>
  </si>
  <si>
    <t>0137182</t>
  </si>
  <si>
    <t>1938</t>
  </si>
  <si>
    <t>Mojave River Academy National Trails</t>
  </si>
  <si>
    <t>36 67827 0137182</t>
  </si>
  <si>
    <t>0137190</t>
  </si>
  <si>
    <t>1939</t>
  </si>
  <si>
    <t>Mojave River Academy Oro Grande</t>
  </si>
  <si>
    <t>36 67827 0137190</t>
  </si>
  <si>
    <t>0137208</t>
  </si>
  <si>
    <t>1940</t>
  </si>
  <si>
    <t>Mojave River Academy Route 66</t>
  </si>
  <si>
    <t>36 67827 0137208</t>
  </si>
  <si>
    <t>0137216</t>
  </si>
  <si>
    <t>1941</t>
  </si>
  <si>
    <t>Mojave River Academy Rockview Park</t>
  </si>
  <si>
    <t>36 67827 0137216</t>
  </si>
  <si>
    <t>0137224</t>
  </si>
  <si>
    <t>1942</t>
  </si>
  <si>
    <t>Mojave River Academy Silver Mountain</t>
  </si>
  <si>
    <t>36 67827 0137224</t>
  </si>
  <si>
    <t>0137232</t>
  </si>
  <si>
    <t>1943</t>
  </si>
  <si>
    <t>Mojave River Academy Marble City</t>
  </si>
  <si>
    <t>36 67827 0137232</t>
  </si>
  <si>
    <t>67843</t>
  </si>
  <si>
    <t>Redlands Unified</t>
  </si>
  <si>
    <t>Victoria Elementary</t>
  </si>
  <si>
    <t>36 67843 6036594</t>
  </si>
  <si>
    <t>3630928</t>
  </si>
  <si>
    <t>0180</t>
  </si>
  <si>
    <t>Grove</t>
  </si>
  <si>
    <t>67850</t>
  </si>
  <si>
    <t>Rialto Unified</t>
  </si>
  <si>
    <t>Merle S. Casey Elementary</t>
  </si>
  <si>
    <t>36 67850 6036628</t>
  </si>
  <si>
    <t>67868</t>
  </si>
  <si>
    <t>Rim of the World Unified</t>
  </si>
  <si>
    <t>Valley of Enchantment Elementary</t>
  </si>
  <si>
    <t>36 67868 6036743</t>
  </si>
  <si>
    <t>67876</t>
  </si>
  <si>
    <t>San Bernardino City Unified</t>
  </si>
  <si>
    <t>Juanita Blakely Jones Elementary</t>
  </si>
  <si>
    <t>36 67876 0110783</t>
  </si>
  <si>
    <t>0107730</t>
  </si>
  <si>
    <t>0677</t>
  </si>
  <si>
    <t>ASA Charter</t>
  </si>
  <si>
    <t>36 67876 0107730</t>
  </si>
  <si>
    <t>0109850</t>
  </si>
  <si>
    <t>0731</t>
  </si>
  <si>
    <t>Public Safety Academy</t>
  </si>
  <si>
    <t>36 67876 0109850</t>
  </si>
  <si>
    <t>0117192</t>
  </si>
  <si>
    <t>0982</t>
  </si>
  <si>
    <t>SOAR Charter Academy</t>
  </si>
  <si>
    <t>36 67876 0117192</t>
  </si>
  <si>
    <t>0120006</t>
  </si>
  <si>
    <t>1089</t>
  </si>
  <si>
    <t>New Vision Middle</t>
  </si>
  <si>
    <t>0120568</t>
  </si>
  <si>
    <t>1132</t>
  </si>
  <si>
    <t>Options for Youth-San Bernardino</t>
  </si>
  <si>
    <t>0121343</t>
  </si>
  <si>
    <t>1153</t>
  </si>
  <si>
    <t>iEmpire Academy</t>
  </si>
  <si>
    <t>36 67876 0121343</t>
  </si>
  <si>
    <t>0122317</t>
  </si>
  <si>
    <t>1155</t>
  </si>
  <si>
    <t>Hardy Brown College Prep</t>
  </si>
  <si>
    <t>36 67876 0122317</t>
  </si>
  <si>
    <t>0126714</t>
  </si>
  <si>
    <t>1438</t>
  </si>
  <si>
    <t>0133892</t>
  </si>
  <si>
    <t>1795</t>
  </si>
  <si>
    <t>Ballington Academy for the Arts and Sciences, San Bernardino</t>
  </si>
  <si>
    <t>36 67876 0133892</t>
  </si>
  <si>
    <t>0136952</t>
  </si>
  <si>
    <t>1922</t>
  </si>
  <si>
    <t>Entrepreneur High School</t>
  </si>
  <si>
    <t>0137935</t>
  </si>
  <si>
    <t>1971</t>
  </si>
  <si>
    <t>Savant Preparatory Academy of Business</t>
  </si>
  <si>
    <t>36 67876 0137935</t>
  </si>
  <si>
    <t>3630993</t>
  </si>
  <si>
    <t>0335</t>
  </si>
  <si>
    <t>Provisional Accelerated Learning Academy</t>
  </si>
  <si>
    <t>36 67876 3630993</t>
  </si>
  <si>
    <t>67892</t>
  </si>
  <si>
    <t>Trona Joint Unified</t>
  </si>
  <si>
    <t>Trona Elementary</t>
  </si>
  <si>
    <t>36 67892 6037188</t>
  </si>
  <si>
    <t>67918</t>
  </si>
  <si>
    <t>Victor Elementary</t>
  </si>
  <si>
    <t>Del Rey Elementary</t>
  </si>
  <si>
    <t>36 67918 6037329</t>
  </si>
  <si>
    <t>6101927</t>
  </si>
  <si>
    <t>0309</t>
  </si>
  <si>
    <t>Sixth Street Prep</t>
  </si>
  <si>
    <t>36 67918 6101927</t>
  </si>
  <si>
    <t>6118350</t>
  </si>
  <si>
    <t>0296</t>
  </si>
  <si>
    <t>Mountain View Montessori Charter</t>
  </si>
  <si>
    <t>36 67918 6118350</t>
  </si>
  <si>
    <t>67934</t>
  </si>
  <si>
    <t>Victor Valley Union High</t>
  </si>
  <si>
    <t>3630670</t>
  </si>
  <si>
    <t>0013</t>
  </si>
  <si>
    <t>Options for Youth-Victor Valley Charter</t>
  </si>
  <si>
    <t>67959</t>
  </si>
  <si>
    <t>Yucaipa-Calimesa Joint Unified</t>
  </si>
  <si>
    <t>Valley Elementary</t>
  </si>
  <si>
    <t>36 67959 6037428</t>
  </si>
  <si>
    <t>0114256</t>
  </si>
  <si>
    <t>0889</t>
  </si>
  <si>
    <t>Inland Leaders Charter</t>
  </si>
  <si>
    <t>36 67959 0114256</t>
  </si>
  <si>
    <t>0124032</t>
  </si>
  <si>
    <t>1291</t>
  </si>
  <si>
    <t>Competitive Edge Charter Academy (CECA)</t>
  </si>
  <si>
    <t>36 67959 0124032</t>
  </si>
  <si>
    <t>73858</t>
  </si>
  <si>
    <t>Baker Valley Unified</t>
  </si>
  <si>
    <t>Baker Elementary</t>
  </si>
  <si>
    <t>36 73858 6035273</t>
  </si>
  <si>
    <t>73890</t>
  </si>
  <si>
    <t>Silver Valley Unified</t>
  </si>
  <si>
    <t>Newberry Springs Elementary</t>
  </si>
  <si>
    <t>36 73890 6035406</t>
  </si>
  <si>
    <t>73957</t>
  </si>
  <si>
    <t>Snowline Joint Unified</t>
  </si>
  <si>
    <t>Pinon Hills Elementary</t>
  </si>
  <si>
    <t>36 73957 6108260</t>
  </si>
  <si>
    <t>75044</t>
  </si>
  <si>
    <t>Hesperia Unified</t>
  </si>
  <si>
    <t>Joshua Circle Elementary</t>
  </si>
  <si>
    <t>36 75044 6035943</t>
  </si>
  <si>
    <t>0107516</t>
  </si>
  <si>
    <t>0671</t>
  </si>
  <si>
    <t>Summit Leadership Academy-High Desert</t>
  </si>
  <si>
    <t>0112441</t>
  </si>
  <si>
    <t>0801</t>
  </si>
  <si>
    <t>Pathways to College K8</t>
  </si>
  <si>
    <t>36 75044 0112441</t>
  </si>
  <si>
    <t>0114389</t>
  </si>
  <si>
    <t>0885</t>
  </si>
  <si>
    <t>Mirus Secondary</t>
  </si>
  <si>
    <t>0116707</t>
  </si>
  <si>
    <t>0971</t>
  </si>
  <si>
    <t>Encore Jr./Sr. High School for the Performing and Visual Arts</t>
  </si>
  <si>
    <t>0118059</t>
  </si>
  <si>
    <t>1034</t>
  </si>
  <si>
    <t>LaVerne Elementary Preparatory Academy</t>
  </si>
  <si>
    <t>36 75044 0118059</t>
  </si>
  <si>
    <t>75051</t>
  </si>
  <si>
    <t>Lucerne Valley Unified</t>
  </si>
  <si>
    <t>Lucerne Valley Elementary</t>
  </si>
  <si>
    <t>36 75051 6035976</t>
  </si>
  <si>
    <t>0115089</t>
  </si>
  <si>
    <t>0905</t>
  </si>
  <si>
    <t>Sky Mountain Charter</t>
  </si>
  <si>
    <t>36 75051 0115089</t>
  </si>
  <si>
    <t>0136432</t>
  </si>
  <si>
    <t>1895</t>
  </si>
  <si>
    <t>Alta Vista Innovation High</t>
  </si>
  <si>
    <t>0136960</t>
  </si>
  <si>
    <t>1923</t>
  </si>
  <si>
    <t>Elite Academic Academy - Lucerne</t>
  </si>
  <si>
    <t>36 75051 0136960</t>
  </si>
  <si>
    <t>0137794</t>
  </si>
  <si>
    <t>1977</t>
  </si>
  <si>
    <t>Gorman Learning Center San Bernardino/Santa Clarita</t>
  </si>
  <si>
    <t>36 75051 0137794</t>
  </si>
  <si>
    <t>0138107</t>
  </si>
  <si>
    <t>1975</t>
  </si>
  <si>
    <t>Virtual Preparatory Academy at Lucerne</t>
  </si>
  <si>
    <t>36 75051 0138107</t>
  </si>
  <si>
    <t>0139188</t>
  </si>
  <si>
    <t>2033</t>
  </si>
  <si>
    <t>Granite Mountain Charter</t>
  </si>
  <si>
    <t>36 75051 0139188</t>
  </si>
  <si>
    <t>75069</t>
  </si>
  <si>
    <t>Upland Unified</t>
  </si>
  <si>
    <t>Upland Elementary</t>
  </si>
  <si>
    <t>36 75069 6037287</t>
  </si>
  <si>
    <t>75077</t>
  </si>
  <si>
    <t>Apple Valley Unified</t>
  </si>
  <si>
    <t>Sandia Elementary</t>
  </si>
  <si>
    <t>36 75077 6107346</t>
  </si>
  <si>
    <t>3631207</t>
  </si>
  <si>
    <t>0127</t>
  </si>
  <si>
    <t>Academy for Academic Excellence</t>
  </si>
  <si>
    <t>36 75077 3631207</t>
  </si>
  <si>
    <t>37</t>
  </si>
  <si>
    <t>10371</t>
  </si>
  <si>
    <t>San Diego Co. Office of Education</t>
  </si>
  <si>
    <t>All Tribes Elementary Charter</t>
  </si>
  <si>
    <t>37 75416 0122796</t>
  </si>
  <si>
    <t>0108548</t>
  </si>
  <si>
    <t>0680</t>
  </si>
  <si>
    <t>Iftin Charter</t>
  </si>
  <si>
    <t>37 10371 0108548</t>
  </si>
  <si>
    <t>0124321</t>
  </si>
  <si>
    <t>1308</t>
  </si>
  <si>
    <t>Howard Gardner Community Charter</t>
  </si>
  <si>
    <t>37 10371 0124321</t>
  </si>
  <si>
    <t>0134577</t>
  </si>
  <si>
    <t>1835</t>
  </si>
  <si>
    <t>Audeo Charter II</t>
  </si>
  <si>
    <t>37 10371 0134577</t>
  </si>
  <si>
    <t>0136085</t>
  </si>
  <si>
    <t>1883</t>
  </si>
  <si>
    <t>Scholarship Prep Charter School - Oceanside</t>
  </si>
  <si>
    <t>37 10371 0136085</t>
  </si>
  <si>
    <t>0137695</t>
  </si>
  <si>
    <t>1947</t>
  </si>
  <si>
    <t>Community Montessori</t>
  </si>
  <si>
    <t>37 10371 0137695</t>
  </si>
  <si>
    <t>0137752</t>
  </si>
  <si>
    <t>1946</t>
  </si>
  <si>
    <t>Dimensions Collaborative</t>
  </si>
  <si>
    <t>37 10371 0137752</t>
  </si>
  <si>
    <t>0138016</t>
  </si>
  <si>
    <t>1989</t>
  </si>
  <si>
    <t>Pacific Springs Charter</t>
  </si>
  <si>
    <t>37 10371 0138016</t>
  </si>
  <si>
    <t>0138404</t>
  </si>
  <si>
    <t>2016</t>
  </si>
  <si>
    <t>Classical Academy Vista</t>
  </si>
  <si>
    <t>37 10371 0138404</t>
  </si>
  <si>
    <t>0138594</t>
  </si>
  <si>
    <t>2023</t>
  </si>
  <si>
    <t>Dual Language Immersion North County</t>
  </si>
  <si>
    <t>37 10371 0138594</t>
  </si>
  <si>
    <t>0138792</t>
  </si>
  <si>
    <t>2024</t>
  </si>
  <si>
    <t>JCS - Manzanita</t>
  </si>
  <si>
    <t>37 10371 0138792</t>
  </si>
  <si>
    <t>6119119</t>
  </si>
  <si>
    <t>0405</t>
  </si>
  <si>
    <t>Literacy First Charter</t>
  </si>
  <si>
    <t>37 10371 6119119</t>
  </si>
  <si>
    <t>67967</t>
  </si>
  <si>
    <t>Alpine Union Elementary</t>
  </si>
  <si>
    <t>Shadow Hills Elementary</t>
  </si>
  <si>
    <t>37 67967 6106256</t>
  </si>
  <si>
    <t>67983</t>
  </si>
  <si>
    <t>Borrego Springs Unified</t>
  </si>
  <si>
    <t>Borrego Springs Elementary</t>
  </si>
  <si>
    <t>37 67983 6037550</t>
  </si>
  <si>
    <t>0134890</t>
  </si>
  <si>
    <t>1832</t>
  </si>
  <si>
    <t>San Diego Workforce Innovation High</t>
  </si>
  <si>
    <t>67991</t>
  </si>
  <si>
    <t>Cajon Valley Union</t>
  </si>
  <si>
    <t>Johnson Elementary</t>
  </si>
  <si>
    <t>37 67991 6037675</t>
  </si>
  <si>
    <t>0108563</t>
  </si>
  <si>
    <t>0683</t>
  </si>
  <si>
    <t>EJE Elementary Academy Charter</t>
  </si>
  <si>
    <t>37 67991 0108563</t>
  </si>
  <si>
    <t>0119255</t>
  </si>
  <si>
    <t>1063</t>
  </si>
  <si>
    <t>EJE Middle Academy</t>
  </si>
  <si>
    <t>0139394</t>
  </si>
  <si>
    <t>2054</t>
  </si>
  <si>
    <t>Kidinnu Academy</t>
  </si>
  <si>
    <t>37 67991 0139394</t>
  </si>
  <si>
    <t>0140558</t>
  </si>
  <si>
    <t>2105</t>
  </si>
  <si>
    <t>Bostonia Global</t>
  </si>
  <si>
    <t>37 67991 0140558</t>
  </si>
  <si>
    <t>68007</t>
  </si>
  <si>
    <t>Cardiff Elementary</t>
  </si>
  <si>
    <t>Ada W. Harris Elementary</t>
  </si>
  <si>
    <t>37 68007 6037758</t>
  </si>
  <si>
    <t>68023</t>
  </si>
  <si>
    <t>Chula Vista Elementary</t>
  </si>
  <si>
    <t>Montgomery (John J.) Elementary</t>
  </si>
  <si>
    <t>37 68023 6037915</t>
  </si>
  <si>
    <t>0119594</t>
  </si>
  <si>
    <t>1082</t>
  </si>
  <si>
    <t>Leonardo da Vinci Health Sciences Charter</t>
  </si>
  <si>
    <t>37 68023 0119594</t>
  </si>
  <si>
    <t>0138073</t>
  </si>
  <si>
    <t>2001</t>
  </si>
  <si>
    <t>Learning Choice Academy - Chula Vista</t>
  </si>
  <si>
    <t>37 68023 0138073</t>
  </si>
  <si>
    <t>6037956</t>
  </si>
  <si>
    <t>0121</t>
  </si>
  <si>
    <t>Feaster (Mae L.) Charter</t>
  </si>
  <si>
    <t>37 68023 6037956</t>
  </si>
  <si>
    <t>6037980</t>
  </si>
  <si>
    <t>0064</t>
  </si>
  <si>
    <t>Mueller Charter (Robert L.)</t>
  </si>
  <si>
    <t>37 68023 6037980</t>
  </si>
  <si>
    <t>6111322</t>
  </si>
  <si>
    <t>0054</t>
  </si>
  <si>
    <t>Discovery Charter</t>
  </si>
  <si>
    <t>37 68023 6111322</t>
  </si>
  <si>
    <t>6115778</t>
  </si>
  <si>
    <t>0135</t>
  </si>
  <si>
    <t>Chula Vista Learning Community Charter</t>
  </si>
  <si>
    <t>37 68023 6115778</t>
  </si>
  <si>
    <t>6116859</t>
  </si>
  <si>
    <t>0483</t>
  </si>
  <si>
    <t>Arroyo Vista Charter</t>
  </si>
  <si>
    <t>37 68023 6116859</t>
  </si>
  <si>
    <t>68031</t>
  </si>
  <si>
    <t>Coronado Unified</t>
  </si>
  <si>
    <t>Silver Strand Elementary</t>
  </si>
  <si>
    <t>37 68031 6038087</t>
  </si>
  <si>
    <t>68049</t>
  </si>
  <si>
    <t>Dehesa Elementary</t>
  </si>
  <si>
    <t>37 68049 6038095</t>
  </si>
  <si>
    <t>0127118</t>
  </si>
  <si>
    <t>1488</t>
  </si>
  <si>
    <t>The Heights Charter</t>
  </si>
  <si>
    <t>37 68049 0127118</t>
  </si>
  <si>
    <t>0129221</t>
  </si>
  <si>
    <t>1617</t>
  </si>
  <si>
    <t>MethodSchools</t>
  </si>
  <si>
    <t>37 68049 0129221</t>
  </si>
  <si>
    <t>0132506</t>
  </si>
  <si>
    <t>1748</t>
  </si>
  <si>
    <t>Cabrillo Point Academy</t>
  </si>
  <si>
    <t>37 68049 0132506</t>
  </si>
  <si>
    <t>0136416</t>
  </si>
  <si>
    <t>1892</t>
  </si>
  <si>
    <t>Pacific Coast Academy</t>
  </si>
  <si>
    <t>37 68049 0136416</t>
  </si>
  <si>
    <t>0136614</t>
  </si>
  <si>
    <t>1909</t>
  </si>
  <si>
    <t>Diego Hills Central Public Charter</t>
  </si>
  <si>
    <t>37 68049 0136614</t>
  </si>
  <si>
    <t>68056</t>
  </si>
  <si>
    <t>Del Mar Union Elementary</t>
  </si>
  <si>
    <t>Sycamore Ridge</t>
  </si>
  <si>
    <t>37 68056 0110114</t>
  </si>
  <si>
    <t>68080</t>
  </si>
  <si>
    <t>Encinitas Union Elementary</t>
  </si>
  <si>
    <t>Ocean Knoll Elementary</t>
  </si>
  <si>
    <t>37 68080 6038152</t>
  </si>
  <si>
    <t>68098</t>
  </si>
  <si>
    <t>Escondido Union</t>
  </si>
  <si>
    <t>37 68098 6110381</t>
  </si>
  <si>
    <t>0101535</t>
  </si>
  <si>
    <t>0556</t>
  </si>
  <si>
    <t>Heritage K-8 Charter</t>
  </si>
  <si>
    <t>37 68098 0101535</t>
  </si>
  <si>
    <t>6116776</t>
  </si>
  <si>
    <t>0199</t>
  </si>
  <si>
    <t>Classical Academy</t>
  </si>
  <si>
    <t>37 68098 6116776</t>
  </si>
  <si>
    <t>68106</t>
  </si>
  <si>
    <t>Escondido Union High</t>
  </si>
  <si>
    <t>0111195</t>
  </si>
  <si>
    <t>0759</t>
  </si>
  <si>
    <t>Classical Academy High</t>
  </si>
  <si>
    <t>0137034</t>
  </si>
  <si>
    <t>1935</t>
  </si>
  <si>
    <t>Audeo Charter School III</t>
  </si>
  <si>
    <t>37 68106 0137034</t>
  </si>
  <si>
    <t>3731023</t>
  </si>
  <si>
    <t>0109</t>
  </si>
  <si>
    <t>Escondido Charter High</t>
  </si>
  <si>
    <t>68114</t>
  </si>
  <si>
    <t>Fallbrook Union Elementary</t>
  </si>
  <si>
    <t>Fallbrook STEM Academy</t>
  </si>
  <si>
    <t>37 68114 6038285</t>
  </si>
  <si>
    <t>68122</t>
  </si>
  <si>
    <t>Fallbrook Union High</t>
  </si>
  <si>
    <t>68130</t>
  </si>
  <si>
    <t>Grossmont Union High</t>
  </si>
  <si>
    <t>0139063</t>
  </si>
  <si>
    <t>2039</t>
  </si>
  <si>
    <t>The Learning Choice Academy - East County</t>
  </si>
  <si>
    <t>37 68130 0139063</t>
  </si>
  <si>
    <t>3731262</t>
  </si>
  <si>
    <t>0893</t>
  </si>
  <si>
    <t>Steele Canyon High</t>
  </si>
  <si>
    <t>3732732</t>
  </si>
  <si>
    <t>0150</t>
  </si>
  <si>
    <t>Helix High</t>
  </si>
  <si>
    <t>68155</t>
  </si>
  <si>
    <t>Jamul-Dulzura Union Elementary</t>
  </si>
  <si>
    <t>Jamul Elementary</t>
  </si>
  <si>
    <t>37 68155 6038319</t>
  </si>
  <si>
    <t>6117303</t>
  </si>
  <si>
    <t>0261</t>
  </si>
  <si>
    <t>Greater San Diego Academy</t>
  </si>
  <si>
    <t>37 68155 6117303</t>
  </si>
  <si>
    <t>68163</t>
  </si>
  <si>
    <t>Julian Union Elementary</t>
  </si>
  <si>
    <t>Julian Elementary</t>
  </si>
  <si>
    <t>37 68163 6038327</t>
  </si>
  <si>
    <t>0128421</t>
  </si>
  <si>
    <t>1589</t>
  </si>
  <si>
    <t>Harbor Springs Charter</t>
  </si>
  <si>
    <t>37 68163 0128421</t>
  </si>
  <si>
    <t>0137109</t>
  </si>
  <si>
    <t>1934</t>
  </si>
  <si>
    <t>Diego Valley East Public Charter School</t>
  </si>
  <si>
    <t>37 68163 0137109</t>
  </si>
  <si>
    <t>0138156</t>
  </si>
  <si>
    <t>1992</t>
  </si>
  <si>
    <t>JCS - Mountain Oaks</t>
  </si>
  <si>
    <t>37 68163 0138156</t>
  </si>
  <si>
    <t>0138628</t>
  </si>
  <si>
    <t>2022</t>
  </si>
  <si>
    <t>JCS - Cedar Cove</t>
  </si>
  <si>
    <t>37 68163 0138628</t>
  </si>
  <si>
    <t>0139402</t>
  </si>
  <si>
    <t>2055</t>
  </si>
  <si>
    <t>Brookfield Engineering Science Technology Academy</t>
  </si>
  <si>
    <t>37 68163 0139402</t>
  </si>
  <si>
    <t>3731239</t>
  </si>
  <si>
    <t>0267</t>
  </si>
  <si>
    <t>Julian Charter</t>
  </si>
  <si>
    <t>37 68163 3731239</t>
  </si>
  <si>
    <t>68171</t>
  </si>
  <si>
    <t>Julian Union High</t>
  </si>
  <si>
    <t>68189</t>
  </si>
  <si>
    <t>Lindo Park Elementary</t>
  </si>
  <si>
    <t>37 68189 6038376</t>
  </si>
  <si>
    <t>3731072</t>
  </si>
  <si>
    <t>0120</t>
  </si>
  <si>
    <t>River Valley Charter</t>
  </si>
  <si>
    <t>6120901</t>
  </si>
  <si>
    <t>0469</t>
  </si>
  <si>
    <t>Barona Indian Charter</t>
  </si>
  <si>
    <t>37 68189 6120901</t>
  </si>
  <si>
    <t>68197</t>
  </si>
  <si>
    <t>La Mesa-Spring Valley</t>
  </si>
  <si>
    <t>La Presa Elementary</t>
  </si>
  <si>
    <t>37 68197 6038509</t>
  </si>
  <si>
    <t>0136408</t>
  </si>
  <si>
    <t>1901</t>
  </si>
  <si>
    <t>Sparrow Academy</t>
  </si>
  <si>
    <t>37 68197 0136408</t>
  </si>
  <si>
    <t>68205</t>
  </si>
  <si>
    <t>Lemon Grove</t>
  </si>
  <si>
    <t>Lemon Grove Academy Elementary</t>
  </si>
  <si>
    <t>37 68205 0141499</t>
  </si>
  <si>
    <t>68213</t>
  </si>
  <si>
    <t>Mountain Empire Unified</t>
  </si>
  <si>
    <t>37 68213 6097190</t>
  </si>
  <si>
    <t>0123224</t>
  </si>
  <si>
    <t>1264</t>
  </si>
  <si>
    <t>San Diego Virtual</t>
  </si>
  <si>
    <t>37 68213 0123224</t>
  </si>
  <si>
    <t>0127084</t>
  </si>
  <si>
    <t>1454</t>
  </si>
  <si>
    <t>Compass Charter Schools of San Diego</t>
  </si>
  <si>
    <t>37 68213 0127084</t>
  </si>
  <si>
    <t>0129668</t>
  </si>
  <si>
    <t>1628</t>
  </si>
  <si>
    <t>Motivated Youth Academy</t>
  </si>
  <si>
    <t>37 68213 0129668</t>
  </si>
  <si>
    <t>0136978</t>
  </si>
  <si>
    <t>1924</t>
  </si>
  <si>
    <t>Elite Academic Academy - Mountain Empire</t>
  </si>
  <si>
    <t>37 68213 0136978</t>
  </si>
  <si>
    <t>0138636</t>
  </si>
  <si>
    <t>2021</t>
  </si>
  <si>
    <t>JCS - Pine Valley</t>
  </si>
  <si>
    <t>37 68213 0138636</t>
  </si>
  <si>
    <t>68221</t>
  </si>
  <si>
    <t>National Elementary</t>
  </si>
  <si>
    <t>Rancho de la Nacion</t>
  </si>
  <si>
    <t>37 68221 6108559</t>
  </si>
  <si>
    <t>0101360</t>
  </si>
  <si>
    <t>0553</t>
  </si>
  <si>
    <t>Integrity Charter</t>
  </si>
  <si>
    <t>37 68221 0101360</t>
  </si>
  <si>
    <t>68296</t>
  </si>
  <si>
    <t>Poway Unified</t>
  </si>
  <si>
    <t>37 68296 6039010</t>
  </si>
  <si>
    <t>68304</t>
  </si>
  <si>
    <t>Ramona City Unified</t>
  </si>
  <si>
    <t>Ramona Elementary</t>
  </si>
  <si>
    <t>37 68304 6039036</t>
  </si>
  <si>
    <t>68312</t>
  </si>
  <si>
    <t>Rancho Santa Fe Elementary</t>
  </si>
  <si>
    <t>R. Roger Rowe Elementary</t>
  </si>
  <si>
    <t>37 68312 6039051</t>
  </si>
  <si>
    <t>68338</t>
  </si>
  <si>
    <t>San Diego Unified</t>
  </si>
  <si>
    <t>Horton Elementary</t>
  </si>
  <si>
    <t>37 68338 6039754</t>
  </si>
  <si>
    <t>0101204</t>
  </si>
  <si>
    <t>0546</t>
  </si>
  <si>
    <t>High Tech Middle</t>
  </si>
  <si>
    <t>0101345</t>
  </si>
  <si>
    <t>0550</t>
  </si>
  <si>
    <t>KIPP Adelante Preparatory Academy</t>
  </si>
  <si>
    <t>0106732</t>
  </si>
  <si>
    <t>0623</t>
  </si>
  <si>
    <t>High Tech High International</t>
  </si>
  <si>
    <t>0106799</t>
  </si>
  <si>
    <t>0659</t>
  </si>
  <si>
    <t>Learning Choice Academy</t>
  </si>
  <si>
    <t>37 68338 0106799</t>
  </si>
  <si>
    <t>0107573</t>
  </si>
  <si>
    <t>0660</t>
  </si>
  <si>
    <t>High Tech Middle Media Arts</t>
  </si>
  <si>
    <t>0108787</t>
  </si>
  <si>
    <t>0622</t>
  </si>
  <si>
    <t>High Tech High Media Arts</t>
  </si>
  <si>
    <t>0109033</t>
  </si>
  <si>
    <t>0704</t>
  </si>
  <si>
    <t>King-Chavez Arts and Athletics Academy</t>
  </si>
  <si>
    <t>37 68338 0109033</t>
  </si>
  <si>
    <t>0109157</t>
  </si>
  <si>
    <t>0698</t>
  </si>
  <si>
    <t>Magnolia Science Academy San Diego</t>
  </si>
  <si>
    <t>0111898</t>
  </si>
  <si>
    <t>0773</t>
  </si>
  <si>
    <t>Albert Einstein Academies</t>
  </si>
  <si>
    <t>37 68338 0111898</t>
  </si>
  <si>
    <t>0111906</t>
  </si>
  <si>
    <t>0772</t>
  </si>
  <si>
    <t>King-Chavez Preparatory Academy</t>
  </si>
  <si>
    <t>0114462</t>
  </si>
  <si>
    <t>0876</t>
  </si>
  <si>
    <t>Health Sciences High and Middle College</t>
  </si>
  <si>
    <t>0118083</t>
  </si>
  <si>
    <t>1024</t>
  </si>
  <si>
    <t>Innovations Academy</t>
  </si>
  <si>
    <t>37 68338 0118083</t>
  </si>
  <si>
    <t>0118851</t>
  </si>
  <si>
    <t>1015</t>
  </si>
  <si>
    <t>King-Chavez Community High</t>
  </si>
  <si>
    <t>0119610</t>
  </si>
  <si>
    <t>1080</t>
  </si>
  <si>
    <t>Gompers Preparatory Academy</t>
  </si>
  <si>
    <t>37 68338 0119610</t>
  </si>
  <si>
    <t>0121681</t>
  </si>
  <si>
    <t>1190</t>
  </si>
  <si>
    <t>San Diego Global Vision Academy</t>
  </si>
  <si>
    <t>37 68338 0121681</t>
  </si>
  <si>
    <t>0122788</t>
  </si>
  <si>
    <t>1253</t>
  </si>
  <si>
    <t>School for Entrepreneurship and Technology</t>
  </si>
  <si>
    <t>0123778</t>
  </si>
  <si>
    <t>1279</t>
  </si>
  <si>
    <t>Old Town Academy K-8 Charter</t>
  </si>
  <si>
    <t>37 68338 0123778</t>
  </si>
  <si>
    <t>0124347</t>
  </si>
  <si>
    <t>1312</t>
  </si>
  <si>
    <t>City Heights Preparatory Charter</t>
  </si>
  <si>
    <t>37 68338 0124347</t>
  </si>
  <si>
    <t>0126730</t>
  </si>
  <si>
    <t>1447</t>
  </si>
  <si>
    <t>Kavod Charter</t>
  </si>
  <si>
    <t>37 68338 0126730</t>
  </si>
  <si>
    <t>0127647</t>
  </si>
  <si>
    <t>1302</t>
  </si>
  <si>
    <t>E3 Civic High</t>
  </si>
  <si>
    <t>0129387</t>
  </si>
  <si>
    <t>1634</t>
  </si>
  <si>
    <t>Empower Language Academy</t>
  </si>
  <si>
    <t>37 68338 0129387</t>
  </si>
  <si>
    <t>0129395</t>
  </si>
  <si>
    <t>1633</t>
  </si>
  <si>
    <t>Elevate Charter</t>
  </si>
  <si>
    <t>37 68338 0129395</t>
  </si>
  <si>
    <t>0131565</t>
  </si>
  <si>
    <t>1709</t>
  </si>
  <si>
    <t>High Tech Elementary</t>
  </si>
  <si>
    <t>37 68338 0131565</t>
  </si>
  <si>
    <t>0131979</t>
  </si>
  <si>
    <t>1719</t>
  </si>
  <si>
    <t>Ingenuity Charter School</t>
  </si>
  <si>
    <t>37 68338 0131979</t>
  </si>
  <si>
    <t>0135913</t>
  </si>
  <si>
    <t>1008</t>
  </si>
  <si>
    <t>Urban Discovery Academy Charter</t>
  </si>
  <si>
    <t>37 68338 0135913</t>
  </si>
  <si>
    <t>0136663</t>
  </si>
  <si>
    <t>1301</t>
  </si>
  <si>
    <t>America's Finest Charter</t>
  </si>
  <si>
    <t>37 68338 0136663</t>
  </si>
  <si>
    <t>3730959</t>
  </si>
  <si>
    <t>0028</t>
  </si>
  <si>
    <t>Charter School of San Diego</t>
  </si>
  <si>
    <t>37 68338 3730959</t>
  </si>
  <si>
    <t>3731189</t>
  </si>
  <si>
    <t>0169</t>
  </si>
  <si>
    <t>Preuss School UCSD</t>
  </si>
  <si>
    <t>37 68338 3731189</t>
  </si>
  <si>
    <t>3731247</t>
  </si>
  <si>
    <t>0269</t>
  </si>
  <si>
    <t>High Tech High</t>
  </si>
  <si>
    <t>3731395</t>
  </si>
  <si>
    <t>0406</t>
  </si>
  <si>
    <t>Audeo Charter</t>
  </si>
  <si>
    <t>37 68338 3731395</t>
  </si>
  <si>
    <t>6039457</t>
  </si>
  <si>
    <t>0033</t>
  </si>
  <si>
    <t>Darnall Charter</t>
  </si>
  <si>
    <t>37 68338 6039457</t>
  </si>
  <si>
    <t>6039812</t>
  </si>
  <si>
    <t>0695</t>
  </si>
  <si>
    <t>Keiller Leadership Academy</t>
  </si>
  <si>
    <t>37 68338 6039812</t>
  </si>
  <si>
    <t>6040018</t>
  </si>
  <si>
    <t>0046</t>
  </si>
  <si>
    <t>Harriet Tubman Village Charter</t>
  </si>
  <si>
    <t>37 68338 6040018</t>
  </si>
  <si>
    <t>6040190</t>
  </si>
  <si>
    <t>0705</t>
  </si>
  <si>
    <t>King-Chavez Primary Academy</t>
  </si>
  <si>
    <t>37 68338 6040190</t>
  </si>
  <si>
    <t>6061964</t>
  </si>
  <si>
    <t>0048</t>
  </si>
  <si>
    <t>The O'Farrell Charter</t>
  </si>
  <si>
    <t>37 68338 6061964</t>
  </si>
  <si>
    <t>6113211</t>
  </si>
  <si>
    <t>0095</t>
  </si>
  <si>
    <t>McGill School of Success</t>
  </si>
  <si>
    <t>37 68338 6113211</t>
  </si>
  <si>
    <t>6115570</t>
  </si>
  <si>
    <t>0081</t>
  </si>
  <si>
    <t>Museum</t>
  </si>
  <si>
    <t>37 68338 6115570</t>
  </si>
  <si>
    <t>6117279</t>
  </si>
  <si>
    <t>0264</t>
  </si>
  <si>
    <t>Holly Drive Leadership Academy</t>
  </si>
  <si>
    <t>37 68338 6117279</t>
  </si>
  <si>
    <t>6117683</t>
  </si>
  <si>
    <t>0278</t>
  </si>
  <si>
    <t>High Tech Elementary Explorer</t>
  </si>
  <si>
    <t>37 68338 6117683</t>
  </si>
  <si>
    <t>6119168</t>
  </si>
  <si>
    <t>0396</t>
  </si>
  <si>
    <t>San Diego Cooperative Charter</t>
  </si>
  <si>
    <t>37 68338 6119168</t>
  </si>
  <si>
    <t>6119598</t>
  </si>
  <si>
    <t>0420</t>
  </si>
  <si>
    <t>King-Chavez Academy of Excellence</t>
  </si>
  <si>
    <t>37 68338 6119598</t>
  </si>
  <si>
    <t>68346</t>
  </si>
  <si>
    <t>San Dieguito Union High</t>
  </si>
  <si>
    <t>68353</t>
  </si>
  <si>
    <t>San Pasqual Union Elementary</t>
  </si>
  <si>
    <t>37 68353 6040331</t>
  </si>
  <si>
    <t>68361</t>
  </si>
  <si>
    <t>Santee</t>
  </si>
  <si>
    <t>Pepper Drive Elementary</t>
  </si>
  <si>
    <t>37 68361 6040372</t>
  </si>
  <si>
    <t>68379</t>
  </si>
  <si>
    <t>San Ysidro Elementary</t>
  </si>
  <si>
    <t>Smythe Elementary</t>
  </si>
  <si>
    <t>37 68379 6085146</t>
  </si>
  <si>
    <t>68387</t>
  </si>
  <si>
    <t>Solana Beach Elementary</t>
  </si>
  <si>
    <t>Solana Vista Elementary</t>
  </si>
  <si>
    <t>37 68387 6070882</t>
  </si>
  <si>
    <t>68395</t>
  </si>
  <si>
    <t>South Bay Union</t>
  </si>
  <si>
    <t>Godfrey G. Berry Elementary</t>
  </si>
  <si>
    <t>37 68395 6067029</t>
  </si>
  <si>
    <t>6040505</t>
  </si>
  <si>
    <t>1418</t>
  </si>
  <si>
    <t>Imperial Beach Charter</t>
  </si>
  <si>
    <t>37 68395 6040505</t>
  </si>
  <si>
    <t>6040513</t>
  </si>
  <si>
    <t>1252</t>
  </si>
  <si>
    <t>Nestor Language Academy Charter</t>
  </si>
  <si>
    <t>37 68395 6040513</t>
  </si>
  <si>
    <t>68403</t>
  </si>
  <si>
    <t>Spencer Valley Elementary</t>
  </si>
  <si>
    <t>37 68403 6040554</t>
  </si>
  <si>
    <t>0125401</t>
  </si>
  <si>
    <t>1371</t>
  </si>
  <si>
    <t>Insight @ San Diego</t>
  </si>
  <si>
    <t>37 68403 0125401</t>
  </si>
  <si>
    <t>6120893</t>
  </si>
  <si>
    <t>0493</t>
  </si>
  <si>
    <t>California Virtual Academy @ San Diego</t>
  </si>
  <si>
    <t>37 68403 6120893</t>
  </si>
  <si>
    <t>68411</t>
  </si>
  <si>
    <t>Sweetwater Union High</t>
  </si>
  <si>
    <t>0126086</t>
  </si>
  <si>
    <t>1407</t>
  </si>
  <si>
    <t>Hawking S.T.E.A.M. Charter</t>
  </si>
  <si>
    <t>37 68411 0126086</t>
  </si>
  <si>
    <t>3731304</t>
  </si>
  <si>
    <t>0303</t>
  </si>
  <si>
    <t>MAAC Community Charter</t>
  </si>
  <si>
    <t>68437</t>
  </si>
  <si>
    <t>Vallecitos Elementary</t>
  </si>
  <si>
    <t>37 68437 6040562</t>
  </si>
  <si>
    <t>68452</t>
  </si>
  <si>
    <t>Vista Unified</t>
  </si>
  <si>
    <t>Maryland Elementary</t>
  </si>
  <si>
    <t>37 68452 0111237</t>
  </si>
  <si>
    <t>0106120</t>
  </si>
  <si>
    <t>0627</t>
  </si>
  <si>
    <t>SIATech</t>
  </si>
  <si>
    <t>0114264</t>
  </si>
  <si>
    <t>0884</t>
  </si>
  <si>
    <t>North County Trade Tech High</t>
  </si>
  <si>
    <t>0124917</t>
  </si>
  <si>
    <t>1351</t>
  </si>
  <si>
    <t>Guajome Learning Center</t>
  </si>
  <si>
    <t>37 68452 0124917</t>
  </si>
  <si>
    <t>0128223</t>
  </si>
  <si>
    <t>1515</t>
  </si>
  <si>
    <t>Bella Mente Montessori Academy</t>
  </si>
  <si>
    <t>37 68452 0128223</t>
  </si>
  <si>
    <t>3730942</t>
  </si>
  <si>
    <t>0050</t>
  </si>
  <si>
    <t>Guajome Park Academy Charter</t>
  </si>
  <si>
    <t>37 68452 3730942</t>
  </si>
  <si>
    <t>73551</t>
  </si>
  <si>
    <t>Carlsbad Unified</t>
  </si>
  <si>
    <t>37 73551 6037782</t>
  </si>
  <si>
    <t>73569</t>
  </si>
  <si>
    <t>Oceanside Unified</t>
  </si>
  <si>
    <t>Laurel Elementary</t>
  </si>
  <si>
    <t>37 73569 6038848</t>
  </si>
  <si>
    <t>0136267</t>
  </si>
  <si>
    <t>0516</t>
  </si>
  <si>
    <t>Coastal Academy</t>
  </si>
  <si>
    <t>37 73569 0136267</t>
  </si>
  <si>
    <t>3731221</t>
  </si>
  <si>
    <t>0247</t>
  </si>
  <si>
    <t>Pacific View Charter</t>
  </si>
  <si>
    <t>37 73569 3731221</t>
  </si>
  <si>
    <t>73791</t>
  </si>
  <si>
    <t>San Marcos Unified</t>
  </si>
  <si>
    <t>San Marcos Elementary</t>
  </si>
  <si>
    <t>37 73791 6039085</t>
  </si>
  <si>
    <t>0138222</t>
  </si>
  <si>
    <t>1983</t>
  </si>
  <si>
    <t>Pivot Charter School - San Diego II</t>
  </si>
  <si>
    <t>37 73791 0138222</t>
  </si>
  <si>
    <t>75416</t>
  </si>
  <si>
    <t>Warner Unified</t>
  </si>
  <si>
    <t>Warner Elementary</t>
  </si>
  <si>
    <t>37 75416 6040661</t>
  </si>
  <si>
    <t>0122796</t>
  </si>
  <si>
    <t>1262</t>
  </si>
  <si>
    <t>0132472</t>
  </si>
  <si>
    <t>1758</t>
  </si>
  <si>
    <t>California Pacific Charter Schools - San Diego</t>
  </si>
  <si>
    <t>37 75416 0132472</t>
  </si>
  <si>
    <t>0138651</t>
  </si>
  <si>
    <t>2020</t>
  </si>
  <si>
    <t>San Diego Mission Academy</t>
  </si>
  <si>
    <t>37 75416 0138651</t>
  </si>
  <si>
    <t>0139378</t>
  </si>
  <si>
    <t>2051</t>
  </si>
  <si>
    <t>Sage Oak Charter - South</t>
  </si>
  <si>
    <t>37 75416 0139378</t>
  </si>
  <si>
    <t>0139386</t>
  </si>
  <si>
    <t>2053</t>
  </si>
  <si>
    <t>37 75416 0139386</t>
  </si>
  <si>
    <t>0139451</t>
  </si>
  <si>
    <t>2052</t>
  </si>
  <si>
    <t>Pathways Academy Charter - Adult Education</t>
  </si>
  <si>
    <t>6119275</t>
  </si>
  <si>
    <t>1057</t>
  </si>
  <si>
    <t>All Tribes Charter</t>
  </si>
  <si>
    <t>37 75416 6119275</t>
  </si>
  <si>
    <t>75614</t>
  </si>
  <si>
    <t>Valley Center-Pauma Unified</t>
  </si>
  <si>
    <t>Pauma Elementary</t>
  </si>
  <si>
    <t>37 75614 6038962</t>
  </si>
  <si>
    <t>76471</t>
  </si>
  <si>
    <t>0114678</t>
  </si>
  <si>
    <t>0756</t>
  </si>
  <si>
    <t>High Tech High Chula Vista</t>
  </si>
  <si>
    <t>0114694</t>
  </si>
  <si>
    <t>High Tech High North County</t>
  </si>
  <si>
    <t>0119271</t>
  </si>
  <si>
    <t>High Tech Middle North County</t>
  </si>
  <si>
    <t>0123042</t>
  </si>
  <si>
    <t>High Tech Middle Chula Vista</t>
  </si>
  <si>
    <t>0123059</t>
  </si>
  <si>
    <t>High Tech Elementary Chula Vista</t>
  </si>
  <si>
    <t>37 76471 0123059</t>
  </si>
  <si>
    <t>0127605</t>
  </si>
  <si>
    <t>High Tech Elementary North County</t>
  </si>
  <si>
    <t>37 76471 0127605</t>
  </si>
  <si>
    <t>0137067</t>
  </si>
  <si>
    <t>High Tech High Mesa</t>
  </si>
  <si>
    <t>0138768</t>
  </si>
  <si>
    <t>High Tech Middle Mesa</t>
  </si>
  <si>
    <t>0138776</t>
  </si>
  <si>
    <t>High Tech Elementary Mesa</t>
  </si>
  <si>
    <t>37 76471 0138776</t>
  </si>
  <si>
    <t>76851</t>
  </si>
  <si>
    <t>Bonsall Unified</t>
  </si>
  <si>
    <t>Bonsall Elementary</t>
  </si>
  <si>
    <t>37 76851 6037543</t>
  </si>
  <si>
    <t>6113468</t>
  </si>
  <si>
    <t>0104</t>
  </si>
  <si>
    <t>Vivian Banks Charter</t>
  </si>
  <si>
    <t>37 76851 6113468</t>
  </si>
  <si>
    <t>77099</t>
  </si>
  <si>
    <t>0136077</t>
  </si>
  <si>
    <t>1889</t>
  </si>
  <si>
    <t>Grossmont Secondary School</t>
  </si>
  <si>
    <t>77107</t>
  </si>
  <si>
    <t>0136473</t>
  </si>
  <si>
    <t>1903</t>
  </si>
  <si>
    <t>Sweetwater Secondary</t>
  </si>
  <si>
    <t>77156</t>
  </si>
  <si>
    <t>0137323</t>
  </si>
  <si>
    <t>1968</t>
  </si>
  <si>
    <t>Vista Springs Charter</t>
  </si>
  <si>
    <t>37 77156 0137323</t>
  </si>
  <si>
    <t>77164</t>
  </si>
  <si>
    <t>0137356</t>
  </si>
  <si>
    <t>1967</t>
  </si>
  <si>
    <t>College Preparatory Middle</t>
  </si>
  <si>
    <t>77172</t>
  </si>
  <si>
    <t>0138099</t>
  </si>
  <si>
    <t>1966</t>
  </si>
  <si>
    <t>Baypoint Preparatory Academy - San Diego</t>
  </si>
  <si>
    <t>37 77172 0138099</t>
  </si>
  <si>
    <t>38</t>
  </si>
  <si>
    <t>10389</t>
  </si>
  <si>
    <t>San Francisco Co. Office of Education</t>
  </si>
  <si>
    <t>Lee (Edwin and Anita) Newcomer</t>
  </si>
  <si>
    <t>38 68478 6089569</t>
  </si>
  <si>
    <t>68478</t>
  </si>
  <si>
    <t>San Francisco Unified</t>
  </si>
  <si>
    <t>0101337</t>
  </si>
  <si>
    <t>0549</t>
  </si>
  <si>
    <t>KIPP Bayview Academy</t>
  </si>
  <si>
    <t>0101352</t>
  </si>
  <si>
    <t>0551</t>
  </si>
  <si>
    <t>KIPP San Francisco Bay Academy</t>
  </si>
  <si>
    <t>0101774</t>
  </si>
  <si>
    <t>0567</t>
  </si>
  <si>
    <t>Five Keys Charter (SF Sheriff's)</t>
  </si>
  <si>
    <t>0107300</t>
  </si>
  <si>
    <t>0599</t>
  </si>
  <si>
    <t>City Arts &amp; Leadership Academy</t>
  </si>
  <si>
    <t>0118141</t>
  </si>
  <si>
    <t>1028</t>
  </si>
  <si>
    <t>Five Keys Independence HS (SF Sheriff's)</t>
  </si>
  <si>
    <t>0123265</t>
  </si>
  <si>
    <t>1267</t>
  </si>
  <si>
    <t>Gateway Middle</t>
  </si>
  <si>
    <t>0123505</t>
  </si>
  <si>
    <t>1270</t>
  </si>
  <si>
    <t>Mission Preparatory</t>
  </si>
  <si>
    <t>38 68478 0123505</t>
  </si>
  <si>
    <t>0127530</t>
  </si>
  <si>
    <t>1502</t>
  </si>
  <si>
    <t>KIPP San Francisco College Preparatory</t>
  </si>
  <si>
    <t>3830429</t>
  </si>
  <si>
    <t>0140</t>
  </si>
  <si>
    <t>Life Learning Academy Charter</t>
  </si>
  <si>
    <t>3830437</t>
  </si>
  <si>
    <t>0141</t>
  </si>
  <si>
    <t>Gateway High</t>
  </si>
  <si>
    <t>6040935</t>
  </si>
  <si>
    <t>0158</t>
  </si>
  <si>
    <t>Thomas Edison Charter Academy</t>
  </si>
  <si>
    <t>38 68478 6040935</t>
  </si>
  <si>
    <t>6112601</t>
  </si>
  <si>
    <t>0040</t>
  </si>
  <si>
    <t>Creative Arts Charter</t>
  </si>
  <si>
    <t>38 68478 6112601</t>
  </si>
  <si>
    <t>76927</t>
  </si>
  <si>
    <t>0132183</t>
  </si>
  <si>
    <t>1742</t>
  </si>
  <si>
    <t>The New School of San Francisco</t>
  </si>
  <si>
    <t>38 76927 0132183</t>
  </si>
  <si>
    <t>77131</t>
  </si>
  <si>
    <t>0137307</t>
  </si>
  <si>
    <t>1954</t>
  </si>
  <si>
    <t>KIPP Bayview Elementary School</t>
  </si>
  <si>
    <t>38 77131 0137307</t>
  </si>
  <si>
    <t>39</t>
  </si>
  <si>
    <t>10397</t>
  </si>
  <si>
    <t>San Joaquin Co. Office of Education</t>
  </si>
  <si>
    <t>Lawrence Elementary</t>
  </si>
  <si>
    <t>39 68585 6042147</t>
  </si>
  <si>
    <t>0120717</t>
  </si>
  <si>
    <t>1146</t>
  </si>
  <si>
    <t>one.Charter</t>
  </si>
  <si>
    <t>0124958</t>
  </si>
  <si>
    <t>1360</t>
  </si>
  <si>
    <t>TEAM Charter</t>
  </si>
  <si>
    <t>39 10397 0124958</t>
  </si>
  <si>
    <t>3930476</t>
  </si>
  <si>
    <t>0423</t>
  </si>
  <si>
    <t>Venture Academy</t>
  </si>
  <si>
    <t>68502</t>
  </si>
  <si>
    <t>Escalon Unified</t>
  </si>
  <si>
    <t>Farmington Elementary</t>
  </si>
  <si>
    <t>39 68502 6041800</t>
  </si>
  <si>
    <t>0126011</t>
  </si>
  <si>
    <t>1416</t>
  </si>
  <si>
    <t>Escalon Charter Academy</t>
  </si>
  <si>
    <t>39 68502 0126011</t>
  </si>
  <si>
    <t>68544</t>
  </si>
  <si>
    <t>Anthony C. Traina Elementary</t>
  </si>
  <si>
    <t>39 68544 0105718</t>
  </si>
  <si>
    <t>68569</t>
  </si>
  <si>
    <t>Lincoln Unified</t>
  </si>
  <si>
    <t>Claudia Landeen</t>
  </si>
  <si>
    <t>39 68569 6104020</t>
  </si>
  <si>
    <t>0132415</t>
  </si>
  <si>
    <t>1732</t>
  </si>
  <si>
    <t>John McCandless Charter</t>
  </si>
  <si>
    <t>39 68569 0132415</t>
  </si>
  <si>
    <t>68577</t>
  </si>
  <si>
    <t>Linden Unified</t>
  </si>
  <si>
    <t>Glenwood Elementary</t>
  </si>
  <si>
    <t>39 68577 6041966</t>
  </si>
  <si>
    <t>68585</t>
  </si>
  <si>
    <t>Lodi Unified</t>
  </si>
  <si>
    <t>0101956</t>
  </si>
  <si>
    <t>0565</t>
  </si>
  <si>
    <t>Aspire Benjamin Holt College Preparatory Academy</t>
  </si>
  <si>
    <t>0122580</t>
  </si>
  <si>
    <t>1229</t>
  </si>
  <si>
    <t>Rio Valley Charter</t>
  </si>
  <si>
    <t>39 68585 0122580</t>
  </si>
  <si>
    <t>0133678</t>
  </si>
  <si>
    <t>1782</t>
  </si>
  <si>
    <t>Aspire Benjamin Holt Middle</t>
  </si>
  <si>
    <t>6116594</t>
  </si>
  <si>
    <t>0178</t>
  </si>
  <si>
    <t>Aspire Vincent Shalvey Academy</t>
  </si>
  <si>
    <t>39 68585 6116594</t>
  </si>
  <si>
    <t>6117675</t>
  </si>
  <si>
    <t>0288</t>
  </si>
  <si>
    <t>Joe Serna Jr. Charter</t>
  </si>
  <si>
    <t>39 68585 6117675</t>
  </si>
  <si>
    <t>6118921</t>
  </si>
  <si>
    <t>0364</t>
  </si>
  <si>
    <t>Aspire River Oaks Charter</t>
  </si>
  <si>
    <t>39 68585 6118921</t>
  </si>
  <si>
    <t>68593</t>
  </si>
  <si>
    <t>Manteca Unified</t>
  </si>
  <si>
    <t>French Camp Elementary</t>
  </si>
  <si>
    <t>39 68593 6042311</t>
  </si>
  <si>
    <t>68619</t>
  </si>
  <si>
    <t>New Hope Elementary</t>
  </si>
  <si>
    <t>39 68619 6042428</t>
  </si>
  <si>
    <t>68627</t>
  </si>
  <si>
    <t>New Jerusalem Elementary</t>
  </si>
  <si>
    <t>39 68627 6042436</t>
  </si>
  <si>
    <t>0117796</t>
  </si>
  <si>
    <t>1003</t>
  </si>
  <si>
    <t>New Jerusalem</t>
  </si>
  <si>
    <t>39 68627 0117796</t>
  </si>
  <si>
    <t>0126755</t>
  </si>
  <si>
    <t>1448</t>
  </si>
  <si>
    <t>ABLE Charter</t>
  </si>
  <si>
    <t>39 68627 0126755</t>
  </si>
  <si>
    <t>0127191</t>
  </si>
  <si>
    <t>1489</t>
  </si>
  <si>
    <t>California Virtual Academy @ San Joaquin</t>
  </si>
  <si>
    <t>39 68627 0127191</t>
  </si>
  <si>
    <t>0129890</t>
  </si>
  <si>
    <t>1646</t>
  </si>
  <si>
    <t>Delta Home Charter</t>
  </si>
  <si>
    <t>39 68627 0129890</t>
  </si>
  <si>
    <t>0129916</t>
  </si>
  <si>
    <t>1644</t>
  </si>
  <si>
    <t>Valley View Charter Prep</t>
  </si>
  <si>
    <t>39 68627 0129916</t>
  </si>
  <si>
    <t>0132050</t>
  </si>
  <si>
    <t>1731</t>
  </si>
  <si>
    <t>Astronaut Jose M. Hernandez Academy</t>
  </si>
  <si>
    <t>39 68627 0132050</t>
  </si>
  <si>
    <t>0133116</t>
  </si>
  <si>
    <t>1762</t>
  </si>
  <si>
    <t>Insight @ San Joaquin</t>
  </si>
  <si>
    <t>39 68627 0133116</t>
  </si>
  <si>
    <t>0136028</t>
  </si>
  <si>
    <t>1878</t>
  </si>
  <si>
    <t>Delta Keys Charter</t>
  </si>
  <si>
    <t>39 68627 0136028</t>
  </si>
  <si>
    <t>0136135</t>
  </si>
  <si>
    <t>1879</t>
  </si>
  <si>
    <t>Delta Charter Online</t>
  </si>
  <si>
    <t>39 68627 0136135</t>
  </si>
  <si>
    <t>6119309</t>
  </si>
  <si>
    <t>0393</t>
  </si>
  <si>
    <t>Delta Charter</t>
  </si>
  <si>
    <t>39 68627 6119309</t>
  </si>
  <si>
    <t>68635</t>
  </si>
  <si>
    <t>Oak View Union Elementary</t>
  </si>
  <si>
    <t>39 68635 6042444</t>
  </si>
  <si>
    <t>68650</t>
  </si>
  <si>
    <t>Ripon Unified</t>
  </si>
  <si>
    <t>Ripona Elementary</t>
  </si>
  <si>
    <t>39 68650 6042485</t>
  </si>
  <si>
    <t>0125849</t>
  </si>
  <si>
    <t>1398</t>
  </si>
  <si>
    <t>California Connections Academy Northern California</t>
  </si>
  <si>
    <t>39 68650 0125849</t>
  </si>
  <si>
    <t>68676</t>
  </si>
  <si>
    <t>Stockton Unified</t>
  </si>
  <si>
    <t>Spanos (Alex G.) Elementary</t>
  </si>
  <si>
    <t>39 68676 0118752</t>
  </si>
  <si>
    <t>0108647</t>
  </si>
  <si>
    <t>0554</t>
  </si>
  <si>
    <t>Aspire Rosa Parks Academy</t>
  </si>
  <si>
    <t>39 68676 0108647</t>
  </si>
  <si>
    <t>0111336</t>
  </si>
  <si>
    <t>1197</t>
  </si>
  <si>
    <t>Pittman Charter</t>
  </si>
  <si>
    <t>39 68676 0111336</t>
  </si>
  <si>
    <t>0114876</t>
  </si>
  <si>
    <t>1553</t>
  </si>
  <si>
    <t>Aspire Port City Academy</t>
  </si>
  <si>
    <t>39 68676 0114876</t>
  </si>
  <si>
    <t>0117853</t>
  </si>
  <si>
    <t>1027</t>
  </si>
  <si>
    <t>Dr. Lewis Dolphin Stallworth Sr. Charter</t>
  </si>
  <si>
    <t>39 68676 0117853</t>
  </si>
  <si>
    <t>0118497</t>
  </si>
  <si>
    <t>1048</t>
  </si>
  <si>
    <t>Aspire Langston Hughes Academy</t>
  </si>
  <si>
    <t>39 68676 0118497</t>
  </si>
  <si>
    <t>0119743</t>
  </si>
  <si>
    <t>1083</t>
  </si>
  <si>
    <t>Stockton Early College Academy</t>
  </si>
  <si>
    <t>0120725</t>
  </si>
  <si>
    <t>1142</t>
  </si>
  <si>
    <t>Stockton Collegiate International Elementary</t>
  </si>
  <si>
    <t>39 68676 0120725</t>
  </si>
  <si>
    <t>0120733</t>
  </si>
  <si>
    <t>1143</t>
  </si>
  <si>
    <t>Stockton Collegiate International Secondary</t>
  </si>
  <si>
    <t>39 68676 0120733</t>
  </si>
  <si>
    <t>0121541</t>
  </si>
  <si>
    <t>1552</t>
  </si>
  <si>
    <t>Aspire APEX Academy</t>
  </si>
  <si>
    <t>39 68676 0121541</t>
  </si>
  <si>
    <t>0123802</t>
  </si>
  <si>
    <t>1283</t>
  </si>
  <si>
    <t>Health Careers Academy</t>
  </si>
  <si>
    <t>0124248</t>
  </si>
  <si>
    <t>1316</t>
  </si>
  <si>
    <t>Pacific Law Academy</t>
  </si>
  <si>
    <t>0136283</t>
  </si>
  <si>
    <t>1890</t>
  </si>
  <si>
    <t>Team Charter Academy</t>
  </si>
  <si>
    <t>0139865</t>
  </si>
  <si>
    <t>2064</t>
  </si>
  <si>
    <t>Aspire Stockton 6-12 Secondary Academy</t>
  </si>
  <si>
    <t>39 68676 0139865</t>
  </si>
  <si>
    <t>0139907</t>
  </si>
  <si>
    <t>2077</t>
  </si>
  <si>
    <t>Voices College Bound Language Academy at Stockton</t>
  </si>
  <si>
    <t>39 68676 0139907</t>
  </si>
  <si>
    <t>0139923</t>
  </si>
  <si>
    <t>2063</t>
  </si>
  <si>
    <t>Aspire Arts &amp; Sciences Academy</t>
  </si>
  <si>
    <t>39 68676 0139923</t>
  </si>
  <si>
    <t>0140616</t>
  </si>
  <si>
    <t>2109</t>
  </si>
  <si>
    <t>KIPP Stockton</t>
  </si>
  <si>
    <t>39 68676 0140616</t>
  </si>
  <si>
    <t>0141358</t>
  </si>
  <si>
    <t>2124</t>
  </si>
  <si>
    <t>KIPP University Park</t>
  </si>
  <si>
    <t>39 68676 0141358</t>
  </si>
  <si>
    <t>6042725</t>
  </si>
  <si>
    <t>1318</t>
  </si>
  <si>
    <t>Nightingale Charter</t>
  </si>
  <si>
    <t>39 68676 6042725</t>
  </si>
  <si>
    <t>75499</t>
  </si>
  <si>
    <t>Tracy Joint Unified</t>
  </si>
  <si>
    <t>39 75499 6042832</t>
  </si>
  <si>
    <t>0102384</t>
  </si>
  <si>
    <t>0607</t>
  </si>
  <si>
    <t>Primary Charter</t>
  </si>
  <si>
    <t>39 75499 0102384</t>
  </si>
  <si>
    <t>0102392</t>
  </si>
  <si>
    <t>0606</t>
  </si>
  <si>
    <t>Millennium Charter</t>
  </si>
  <si>
    <t>0139949</t>
  </si>
  <si>
    <t>2090</t>
  </si>
  <si>
    <t>Tracy Independent Study Charter</t>
  </si>
  <si>
    <t>39 75499 0139949</t>
  </si>
  <si>
    <t>6118665</t>
  </si>
  <si>
    <t>0355</t>
  </si>
  <si>
    <t>76760</t>
  </si>
  <si>
    <t>Lammersville Joint Unified</t>
  </si>
  <si>
    <t>Lammersville Elementary</t>
  </si>
  <si>
    <t>39 76760 6041883</t>
  </si>
  <si>
    <t>77388</t>
  </si>
  <si>
    <t>Banta Unified</t>
  </si>
  <si>
    <t>Banta Elementary</t>
  </si>
  <si>
    <t>39 77388 6041750</t>
  </si>
  <si>
    <t>0127134</t>
  </si>
  <si>
    <t>1775</t>
  </si>
  <si>
    <t>River Islands Technology Academy II</t>
  </si>
  <si>
    <t>39 77388 0127134</t>
  </si>
  <si>
    <t>0131789</t>
  </si>
  <si>
    <t>1725</t>
  </si>
  <si>
    <t>NextGeneration STEAM Academy</t>
  </si>
  <si>
    <t>39 77388 0131789</t>
  </si>
  <si>
    <t>0140392</t>
  </si>
  <si>
    <t>2104</t>
  </si>
  <si>
    <t>Banta Charter</t>
  </si>
  <si>
    <t>39 77388 0140392</t>
  </si>
  <si>
    <t>0141234</t>
  </si>
  <si>
    <t>2121</t>
  </si>
  <si>
    <t>EPIC Academy</t>
  </si>
  <si>
    <t>39 77388 0141234</t>
  </si>
  <si>
    <t>0141242</t>
  </si>
  <si>
    <t>2122</t>
  </si>
  <si>
    <t>River Islands High</t>
  </si>
  <si>
    <t>40</t>
  </si>
  <si>
    <t>10405</t>
  </si>
  <si>
    <t>San Luis Obispo Co. Office of Education</t>
  </si>
  <si>
    <t>Carrisa Plains Elementary</t>
  </si>
  <si>
    <t>40 68700 6042907</t>
  </si>
  <si>
    <t>0101725</t>
  </si>
  <si>
    <t>0566</t>
  </si>
  <si>
    <t>Grizzly ChalleNGe Charter</t>
  </si>
  <si>
    <t>0125807</t>
  </si>
  <si>
    <t>1395</t>
  </si>
  <si>
    <t>Almond Acres Charter Academy</t>
  </si>
  <si>
    <t>40 10405 0125807</t>
  </si>
  <si>
    <t>68700</t>
  </si>
  <si>
    <t>Atascadero Unified</t>
  </si>
  <si>
    <t>68726</t>
  </si>
  <si>
    <t>Cayucos Elementary</t>
  </si>
  <si>
    <t>40 68726 6042998</t>
  </si>
  <si>
    <t>68759</t>
  </si>
  <si>
    <t>Lucia Mar Unified</t>
  </si>
  <si>
    <t>Oceano Elementary</t>
  </si>
  <si>
    <t>40 68759 6043095</t>
  </si>
  <si>
    <t>68791</t>
  </si>
  <si>
    <t>Pleasant Valley Joint Union Elementary</t>
  </si>
  <si>
    <t>Pleasant Valley Elementary</t>
  </si>
  <si>
    <t>40 68791 6043186</t>
  </si>
  <si>
    <t>68809</t>
  </si>
  <si>
    <t>San Luis Coastal Unified</t>
  </si>
  <si>
    <t>Del Mar Elementary</t>
  </si>
  <si>
    <t>40 68809 6043210</t>
  </si>
  <si>
    <t>6043194</t>
  </si>
  <si>
    <t>0093</t>
  </si>
  <si>
    <t>Bellevue-Santa Fe Charter</t>
  </si>
  <si>
    <t>40 68809 6043194</t>
  </si>
  <si>
    <t>68825</t>
  </si>
  <si>
    <t>San Miguel Joint Union</t>
  </si>
  <si>
    <t>Lillian Larsen Elementary</t>
  </si>
  <si>
    <t>40 68825 6043319</t>
  </si>
  <si>
    <t>68833</t>
  </si>
  <si>
    <t>Shandon Joint Unified</t>
  </si>
  <si>
    <t>Shandon Elementary</t>
  </si>
  <si>
    <t>40 68833 6043343</t>
  </si>
  <si>
    <t>68841</t>
  </si>
  <si>
    <t>Templeton Unified</t>
  </si>
  <si>
    <t>Templeton Elementary</t>
  </si>
  <si>
    <t>40 68841 6043350</t>
  </si>
  <si>
    <t>75457</t>
  </si>
  <si>
    <t>Paso Robles Joint Unified</t>
  </si>
  <si>
    <t>Glen Speck Elementary</t>
  </si>
  <si>
    <t>40 75457 6043145</t>
  </si>
  <si>
    <t>75465</t>
  </si>
  <si>
    <t>Coast Unified</t>
  </si>
  <si>
    <t>Cambria Grammar</t>
  </si>
  <si>
    <t>40 75465 6042972</t>
  </si>
  <si>
    <t>41</t>
  </si>
  <si>
    <t>10413</t>
  </si>
  <si>
    <t>San Mateo Co. Office of Education</t>
  </si>
  <si>
    <t>KIPP Excelencia Community Preparatory</t>
  </si>
  <si>
    <t>41 69005 0132068</t>
  </si>
  <si>
    <t>0135269</t>
  </si>
  <si>
    <t>1845</t>
  </si>
  <si>
    <t>Oxford Day Academy</t>
  </si>
  <si>
    <t>68858</t>
  </si>
  <si>
    <t>Bayshore Elementary</t>
  </si>
  <si>
    <t>Bayshore</t>
  </si>
  <si>
    <t>41 68858 6043392</t>
  </si>
  <si>
    <t>68866</t>
  </si>
  <si>
    <t>Belmont-Redwood Shores Elementary</t>
  </si>
  <si>
    <t>Nesbit Elementary</t>
  </si>
  <si>
    <t>41 68866 6043475</t>
  </si>
  <si>
    <t>68874</t>
  </si>
  <si>
    <t>Brisbane Elementary</t>
  </si>
  <si>
    <t>Panorama Elementary</t>
  </si>
  <si>
    <t>41 68874 6043517</t>
  </si>
  <si>
    <t>68882</t>
  </si>
  <si>
    <t>Burlingame Elementary</t>
  </si>
  <si>
    <t>41 68882 6043590</t>
  </si>
  <si>
    <t>68890</t>
  </si>
  <si>
    <t>Cabrillo Unified</t>
  </si>
  <si>
    <t>Alvin S. Hatch Elementary</t>
  </si>
  <si>
    <t>41 68890 6043616</t>
  </si>
  <si>
    <t>68908</t>
  </si>
  <si>
    <t>Hillsborough City Elementary</t>
  </si>
  <si>
    <t>South Hillsborough</t>
  </si>
  <si>
    <t>41 68908 6043681</t>
  </si>
  <si>
    <t>68916</t>
  </si>
  <si>
    <t>Daniel Webster Elementary</t>
  </si>
  <si>
    <t>41 68916 6043772</t>
  </si>
  <si>
    <t>0112284</t>
  </si>
  <si>
    <t>0802</t>
  </si>
  <si>
    <t>California Virtual Academy @ San Mateo</t>
  </si>
  <si>
    <t>41 68916 0112284</t>
  </si>
  <si>
    <t>68924</t>
  </si>
  <si>
    <t>Jefferson Union High</t>
  </si>
  <si>
    <t>0127548</t>
  </si>
  <si>
    <t>1500</t>
  </si>
  <si>
    <t>Summit Public School: Shasta</t>
  </si>
  <si>
    <t>68932</t>
  </si>
  <si>
    <t>Pacifica</t>
  </si>
  <si>
    <t>Sunset Ridge Elementary</t>
  </si>
  <si>
    <t>41 68932 6044069</t>
  </si>
  <si>
    <t>68940</t>
  </si>
  <si>
    <t>La Honda-Pescadero Unified</t>
  </si>
  <si>
    <t>Pescadero Elementary and Middle</t>
  </si>
  <si>
    <t>41 68940 6044085</t>
  </si>
  <si>
    <t>68957</t>
  </si>
  <si>
    <t>Las Lomitas Elementary</t>
  </si>
  <si>
    <t>41 68957 6044127</t>
  </si>
  <si>
    <t>68965</t>
  </si>
  <si>
    <t>Menlo Park City Elementary</t>
  </si>
  <si>
    <t>Encinal Elementary</t>
  </si>
  <si>
    <t>41 68965 6044135</t>
  </si>
  <si>
    <t>68973</t>
  </si>
  <si>
    <t>Millbrae Elementary</t>
  </si>
  <si>
    <t>Lomita Park Elementary</t>
  </si>
  <si>
    <t>41 68973 6044226</t>
  </si>
  <si>
    <t>68981</t>
  </si>
  <si>
    <t>Portola Valley Elementary</t>
  </si>
  <si>
    <t>Ormondale Elementary</t>
  </si>
  <si>
    <t>41 68981 6044283</t>
  </si>
  <si>
    <t>68999</t>
  </si>
  <si>
    <t>Ravenswood City Elementary</t>
  </si>
  <si>
    <t>Belle Haven Elementary</t>
  </si>
  <si>
    <t>41 68999 6044309</t>
  </si>
  <si>
    <t>0134197</t>
  </si>
  <si>
    <t>0125</t>
  </si>
  <si>
    <t>Aspire East Palo Alto Charter</t>
  </si>
  <si>
    <t>41 68999 0134197</t>
  </si>
  <si>
    <t>0135608</t>
  </si>
  <si>
    <t>1868</t>
  </si>
  <si>
    <t>KIPP Valiant Community Prep</t>
  </si>
  <si>
    <t>41 68999 0135608</t>
  </si>
  <si>
    <t>69005</t>
  </si>
  <si>
    <t>Redwood City Elementary</t>
  </si>
  <si>
    <t>Taft Elementary</t>
  </si>
  <si>
    <t>41 69005 6044598</t>
  </si>
  <si>
    <t>0127282</t>
  </si>
  <si>
    <t>1498</t>
  </si>
  <si>
    <t>Connect Community Charter</t>
  </si>
  <si>
    <t>41 69005 0127282</t>
  </si>
  <si>
    <t>0132068</t>
  </si>
  <si>
    <t>1735</t>
  </si>
  <si>
    <t>0132076</t>
  </si>
  <si>
    <t>1736</t>
  </si>
  <si>
    <t>Rocketship Redwood City</t>
  </si>
  <si>
    <t>41 69005 0132076</t>
  </si>
  <si>
    <t>69013</t>
  </si>
  <si>
    <t>San Bruno Park Elementary</t>
  </si>
  <si>
    <t>Allen (Decima M.) Elementary</t>
  </si>
  <si>
    <t>41 69013 6044648</t>
  </si>
  <si>
    <t>69021</t>
  </si>
  <si>
    <t>San Carlos Elementary</t>
  </si>
  <si>
    <t>Mariposa</t>
  </si>
  <si>
    <t>41 69021 0138685</t>
  </si>
  <si>
    <t>6112213</t>
  </si>
  <si>
    <t>0001</t>
  </si>
  <si>
    <t>San Carlos Charter Learning Center</t>
  </si>
  <si>
    <t>41 69021 6112213</t>
  </si>
  <si>
    <t>69039</t>
  </si>
  <si>
    <t>San Mateo-Foster City</t>
  </si>
  <si>
    <t>San Mateo Park Elementary</t>
  </si>
  <si>
    <t>41 69039 6044986</t>
  </si>
  <si>
    <t>69047</t>
  </si>
  <si>
    <t>San Mateo Union High</t>
  </si>
  <si>
    <t>0129759</t>
  </si>
  <si>
    <t>1647</t>
  </si>
  <si>
    <t>Design Tech High School</t>
  </si>
  <si>
    <t>69062</t>
  </si>
  <si>
    <t>Sequoia Union High</t>
  </si>
  <si>
    <t>0112722</t>
  </si>
  <si>
    <t>0835</t>
  </si>
  <si>
    <t>Summit Preparatory Charter High</t>
  </si>
  <si>
    <t>0119503</t>
  </si>
  <si>
    <t>1070</t>
  </si>
  <si>
    <t>Everest Public High</t>
  </si>
  <si>
    <t>0126722</t>
  </si>
  <si>
    <t>1446</t>
  </si>
  <si>
    <t>East Palo Alto Academy</t>
  </si>
  <si>
    <t>0139915</t>
  </si>
  <si>
    <t>2085</t>
  </si>
  <si>
    <t>KIPP Esperanza High</t>
  </si>
  <si>
    <t>69070</t>
  </si>
  <si>
    <t>South San Francisco Unified</t>
  </si>
  <si>
    <t>Spruce Elementary</t>
  </si>
  <si>
    <t>41 69070 6045140</t>
  </si>
  <si>
    <t>69088</t>
  </si>
  <si>
    <t>Woodside Elementary</t>
  </si>
  <si>
    <t>41 69088 6045165</t>
  </si>
  <si>
    <t>42</t>
  </si>
  <si>
    <t>10421</t>
  </si>
  <si>
    <t>Santa Barbara Co. Office of Education</t>
  </si>
  <si>
    <t>42 76786 6045884</t>
  </si>
  <si>
    <t>69104</t>
  </si>
  <si>
    <t>Ballard Elementary</t>
  </si>
  <si>
    <t>42 69104 6045256</t>
  </si>
  <si>
    <t>69112</t>
  </si>
  <si>
    <t>Blochman Union Elementary</t>
  </si>
  <si>
    <t>Benjamin Foxen Elementary</t>
  </si>
  <si>
    <t>42 69112 6045264</t>
  </si>
  <si>
    <t>0111773</t>
  </si>
  <si>
    <t>0763</t>
  </si>
  <si>
    <t>Family Partnership Charter</t>
  </si>
  <si>
    <t>42 69112 0111773</t>
  </si>
  <si>
    <t>0124255</t>
  </si>
  <si>
    <t>1319</t>
  </si>
  <si>
    <t>Trivium Charter</t>
  </si>
  <si>
    <t>42 69112 0124255</t>
  </si>
  <si>
    <t>0137877</t>
  </si>
  <si>
    <t>1994</t>
  </si>
  <si>
    <t>Trivium Charter School: Adventure</t>
  </si>
  <si>
    <t>42 69112 0137877</t>
  </si>
  <si>
    <t>0137885</t>
  </si>
  <si>
    <t>1995</t>
  </si>
  <si>
    <t>Trivium Charter School: Voyage</t>
  </si>
  <si>
    <t>42 69112 0137885</t>
  </si>
  <si>
    <t>69120</t>
  </si>
  <si>
    <t>Santa Maria-Bonita</t>
  </si>
  <si>
    <t>Fairlawn Elementary</t>
  </si>
  <si>
    <t>42 69120 6046007</t>
  </si>
  <si>
    <t>69138</t>
  </si>
  <si>
    <t>Buellton Union Elementary</t>
  </si>
  <si>
    <t>Oak Valley Elementary</t>
  </si>
  <si>
    <t>42 69138 6119804</t>
  </si>
  <si>
    <t>69146</t>
  </si>
  <si>
    <t>Carpinteria Unified</t>
  </si>
  <si>
    <t>Aliso Elementary</t>
  </si>
  <si>
    <t>42 69146 6045298</t>
  </si>
  <si>
    <t>69161</t>
  </si>
  <si>
    <t>Cold Spring Elementary</t>
  </si>
  <si>
    <t>42 69161 6045348</t>
  </si>
  <si>
    <t>69179</t>
  </si>
  <si>
    <t>College Elementary</t>
  </si>
  <si>
    <t>Santa Ynez Elementary</t>
  </si>
  <si>
    <t>42 69179 6045371</t>
  </si>
  <si>
    <t>6118434</t>
  </si>
  <si>
    <t>0337</t>
  </si>
  <si>
    <t>Santa Ynez Valley Charter</t>
  </si>
  <si>
    <t>42 69179 6118434</t>
  </si>
  <si>
    <t>69195</t>
  </si>
  <si>
    <t>Goleta Union Elementary</t>
  </si>
  <si>
    <t>El Camino Elementary</t>
  </si>
  <si>
    <t>42 69195 6045405</t>
  </si>
  <si>
    <t>69203</t>
  </si>
  <si>
    <t>Guadalupe Union Elementary</t>
  </si>
  <si>
    <t>Mary Buren Elementary</t>
  </si>
  <si>
    <t>42 69203 6045512</t>
  </si>
  <si>
    <t>69211</t>
  </si>
  <si>
    <t>Hope Elementary</t>
  </si>
  <si>
    <t>42 69211 6045538</t>
  </si>
  <si>
    <t>69229</t>
  </si>
  <si>
    <t>Lompoc Unified</t>
  </si>
  <si>
    <t>Clarence Ruth Elementary</t>
  </si>
  <si>
    <t>42 69229 6045587</t>
  </si>
  <si>
    <t>0116921</t>
  </si>
  <si>
    <t>0973</t>
  </si>
  <si>
    <t>Manzanita Public Charter</t>
  </si>
  <si>
    <t>42 69229 0116921</t>
  </si>
  <si>
    <t>69245</t>
  </si>
  <si>
    <t>Los Olivos Elementary</t>
  </si>
  <si>
    <t>42 69245 6045710</t>
  </si>
  <si>
    <t>69252</t>
  </si>
  <si>
    <t>Montecito Union Elementary</t>
  </si>
  <si>
    <t>Montecito Union</t>
  </si>
  <si>
    <t>42 69252 6045728</t>
  </si>
  <si>
    <t>69260</t>
  </si>
  <si>
    <t>Orcutt Union Elementary</t>
  </si>
  <si>
    <t>Olga L. Reed Elementary</t>
  </si>
  <si>
    <t>42 69260 6045702</t>
  </si>
  <si>
    <t>0116434</t>
  </si>
  <si>
    <t>0967</t>
  </si>
  <si>
    <t>Orcutt Academy Charter</t>
  </si>
  <si>
    <t>42 69260 0116434</t>
  </si>
  <si>
    <t>69310</t>
  </si>
  <si>
    <t>Santa Maria Joint Union High</t>
  </si>
  <si>
    <t>69328</t>
  </si>
  <si>
    <t>Santa Ynez Valley Union High</t>
  </si>
  <si>
    <t>69336</t>
  </si>
  <si>
    <t>Solvang Elementary</t>
  </si>
  <si>
    <t>42 69336 6046072</t>
  </si>
  <si>
    <t>69344</t>
  </si>
  <si>
    <t>Vista del Mar Union</t>
  </si>
  <si>
    <t>Vista de Las Cruces</t>
  </si>
  <si>
    <t>42 69344 6046080</t>
  </si>
  <si>
    <t>75010</t>
  </si>
  <si>
    <t>Cuyama Joint Unified</t>
  </si>
  <si>
    <t>Cuyama Elementary</t>
  </si>
  <si>
    <t>42 75010 6045389</t>
  </si>
  <si>
    <t>0138891</t>
  </si>
  <si>
    <t>2031</t>
  </si>
  <si>
    <t>California Connections Academy Central Coast</t>
  </si>
  <si>
    <t>42 75010 0138891</t>
  </si>
  <si>
    <t>76786</t>
  </si>
  <si>
    <t>Santa Barbara Unified</t>
  </si>
  <si>
    <t>6045918</t>
  </si>
  <si>
    <t>0021</t>
  </si>
  <si>
    <t>Peabody Charter</t>
  </si>
  <si>
    <t>42 76786 6045918</t>
  </si>
  <si>
    <t>6111603</t>
  </si>
  <si>
    <t>0020</t>
  </si>
  <si>
    <t>Santa Barbara Charter</t>
  </si>
  <si>
    <t>42 76786 6111603</t>
  </si>
  <si>
    <t>6118202</t>
  </si>
  <si>
    <t>0326</t>
  </si>
  <si>
    <t>Adelante Charter</t>
  </si>
  <si>
    <t>42 76786 6118202</t>
  </si>
  <si>
    <t>77198</t>
  </si>
  <si>
    <t>0138362</t>
  </si>
  <si>
    <t>2011</t>
  </si>
  <si>
    <t>Olive Grove Charter School - Orcutt/Santa Maria</t>
  </si>
  <si>
    <t>42 77198 0138362</t>
  </si>
  <si>
    <t>77206</t>
  </si>
  <si>
    <t>0138370</t>
  </si>
  <si>
    <t>2012</t>
  </si>
  <si>
    <t>Olive Grove Charter School - Lompoc</t>
  </si>
  <si>
    <t>42 77206 0138370</t>
  </si>
  <si>
    <t>77214</t>
  </si>
  <si>
    <t>0138388</t>
  </si>
  <si>
    <t>2013</t>
  </si>
  <si>
    <t>Olive Grove Charter School - Buellton</t>
  </si>
  <si>
    <t>42 77214 0138388</t>
  </si>
  <si>
    <t>77222</t>
  </si>
  <si>
    <t>0138396</t>
  </si>
  <si>
    <t>2014</t>
  </si>
  <si>
    <t>Olive Grove Charter School - Santa Barbara</t>
  </si>
  <si>
    <t>42 77222 0138396</t>
  </si>
  <si>
    <t>43</t>
  </si>
  <si>
    <t>10439</t>
  </si>
  <si>
    <t>Santa Clara Co. Office of Education</t>
  </si>
  <si>
    <t>Escuela Popular Accelerated Family Learning</t>
  </si>
  <si>
    <t>43 69427 4330726</t>
  </si>
  <si>
    <t>0106534</t>
  </si>
  <si>
    <t>0615</t>
  </si>
  <si>
    <t>Bullis Charter</t>
  </si>
  <si>
    <t>43 10439 0106534</t>
  </si>
  <si>
    <t>0111880</t>
  </si>
  <si>
    <t>0767</t>
  </si>
  <si>
    <t>43 10439 0111880</t>
  </si>
  <si>
    <t>0113431</t>
  </si>
  <si>
    <t>0844</t>
  </si>
  <si>
    <t>University Preparatory Academy Charter</t>
  </si>
  <si>
    <t>0113704</t>
  </si>
  <si>
    <t>0850</t>
  </si>
  <si>
    <t>Rocketship Mateo Sheedy Elementary</t>
  </si>
  <si>
    <t>43 10439 0113704</t>
  </si>
  <si>
    <t>0116814</t>
  </si>
  <si>
    <t>0972</t>
  </si>
  <si>
    <t>ACE Empower Academy</t>
  </si>
  <si>
    <t>0119024</t>
  </si>
  <si>
    <t>1061</t>
  </si>
  <si>
    <t>Rocketship Si Se Puede Academy</t>
  </si>
  <si>
    <t>43 10439 0119024</t>
  </si>
  <si>
    <t>0120642</t>
  </si>
  <si>
    <t>1127</t>
  </si>
  <si>
    <t>Rocketship Los Suenos Academy</t>
  </si>
  <si>
    <t>43 10439 0120642</t>
  </si>
  <si>
    <t>0121483</t>
  </si>
  <si>
    <t>1167</t>
  </si>
  <si>
    <t>Alpha: Cornerstone Academy Preparatory</t>
  </si>
  <si>
    <t>43 10439 0121483</t>
  </si>
  <si>
    <t>0123257</t>
  </si>
  <si>
    <t>1268</t>
  </si>
  <si>
    <t>Downtown College Prep - Alum Rock</t>
  </si>
  <si>
    <t>43 10439 0123257</t>
  </si>
  <si>
    <t>0123281</t>
  </si>
  <si>
    <t>1193</t>
  </si>
  <si>
    <t>Rocketship Discovery Prep</t>
  </si>
  <si>
    <t>43 10439 0123281</t>
  </si>
  <si>
    <t>0123794</t>
  </si>
  <si>
    <t>1282</t>
  </si>
  <si>
    <t>Summit Public School: Tahoma</t>
  </si>
  <si>
    <t>0124065</t>
  </si>
  <si>
    <t>1290</t>
  </si>
  <si>
    <t>Sunrise Middle</t>
  </si>
  <si>
    <t>0125781</t>
  </si>
  <si>
    <t>1393</t>
  </si>
  <si>
    <t>Rocketship Academy Brilliant Minds</t>
  </si>
  <si>
    <t>43 10439 0125781</t>
  </si>
  <si>
    <t>0125799</t>
  </si>
  <si>
    <t>1394</t>
  </si>
  <si>
    <t>Rocketship Alma Academy</t>
  </si>
  <si>
    <t>43 10439 0125799</t>
  </si>
  <si>
    <t>0127969</t>
  </si>
  <si>
    <t>1547</t>
  </si>
  <si>
    <t>Discovery Charter II</t>
  </si>
  <si>
    <t>43 10439 0127969</t>
  </si>
  <si>
    <t>0129213</t>
  </si>
  <si>
    <t>1618</t>
  </si>
  <si>
    <t>Alpha: Jose Hernandez</t>
  </si>
  <si>
    <t>43 10439 0129213</t>
  </si>
  <si>
    <t>0131110</t>
  </si>
  <si>
    <t>1687</t>
  </si>
  <si>
    <t>Rocketship Fuerza Community Prep</t>
  </si>
  <si>
    <t>43 10439 0131110</t>
  </si>
  <si>
    <t>0131748</t>
  </si>
  <si>
    <t>1716</t>
  </si>
  <si>
    <t>Voices College-Bound Language Academy at Morgan Hill</t>
  </si>
  <si>
    <t>43 10439 0131748</t>
  </si>
  <si>
    <t>0132530</t>
  </si>
  <si>
    <t>1743</t>
  </si>
  <si>
    <t>Voices College-Bound Language Academy at Mt. Pleasant</t>
  </si>
  <si>
    <t>43 10439 0132530</t>
  </si>
  <si>
    <t>0133496</t>
  </si>
  <si>
    <t>1778</t>
  </si>
  <si>
    <t>Rocketship Rising Stars</t>
  </si>
  <si>
    <t>43 10439 0133496</t>
  </si>
  <si>
    <t>0135087</t>
  </si>
  <si>
    <t>1840</t>
  </si>
  <si>
    <t>Opportunity Youth Academy</t>
  </si>
  <si>
    <t>69369</t>
  </si>
  <si>
    <t>Alum Rock Union Elementary</t>
  </si>
  <si>
    <t>Aptitud Community Academy at Goss</t>
  </si>
  <si>
    <t>43 69369 6046247</t>
  </si>
  <si>
    <t>0106633</t>
  </si>
  <si>
    <t>0628</t>
  </si>
  <si>
    <t>KIPP Heartwood Academy</t>
  </si>
  <si>
    <t>0125526</t>
  </si>
  <si>
    <t>1375</t>
  </si>
  <si>
    <t>Alpha: Blanca Alvarado</t>
  </si>
  <si>
    <t>43 69369 0125526</t>
  </si>
  <si>
    <t>0129924</t>
  </si>
  <si>
    <t>1609</t>
  </si>
  <si>
    <t>KIPP Prize Preparatory Academy</t>
  </si>
  <si>
    <t>69377</t>
  </si>
  <si>
    <t>Berryessa Union Elementary</t>
  </si>
  <si>
    <t>Toyon Elementary</t>
  </si>
  <si>
    <t>43 69377 6046403</t>
  </si>
  <si>
    <t>69385</t>
  </si>
  <si>
    <t>Cambrian</t>
  </si>
  <si>
    <t>Bagby Elementary</t>
  </si>
  <si>
    <t>43 69385 6046411</t>
  </si>
  <si>
    <t>6046445</t>
  </si>
  <si>
    <t>0638</t>
  </si>
  <si>
    <t>Fammatre Elementary</t>
  </si>
  <si>
    <t>43 69385 6046445</t>
  </si>
  <si>
    <t>6046452</t>
  </si>
  <si>
    <t>0574</t>
  </si>
  <si>
    <t>Farnham Charter</t>
  </si>
  <si>
    <t>43 69385 6046452</t>
  </si>
  <si>
    <t>6046486</t>
  </si>
  <si>
    <t>0575</t>
  </si>
  <si>
    <t>Price Charter Middle</t>
  </si>
  <si>
    <t>6046494</t>
  </si>
  <si>
    <t>0497</t>
  </si>
  <si>
    <t>Sartorette Charter</t>
  </si>
  <si>
    <t>43 69385 6046494</t>
  </si>
  <si>
    <t>69393</t>
  </si>
  <si>
    <t>Campbell Union</t>
  </si>
  <si>
    <t>Rosemary</t>
  </si>
  <si>
    <t>43 69393 6046676</t>
  </si>
  <si>
    <t>0106005</t>
  </si>
  <si>
    <t>0817</t>
  </si>
  <si>
    <t>Village</t>
  </si>
  <si>
    <t>43 69393 0106005</t>
  </si>
  <si>
    <t>0137273</t>
  </si>
  <si>
    <t>1969</t>
  </si>
  <si>
    <t>Campbell School of Innovation</t>
  </si>
  <si>
    <t>43 69393 0137273</t>
  </si>
  <si>
    <t>6046510</t>
  </si>
  <si>
    <t>0993</t>
  </si>
  <si>
    <t>Blackford Elementary</t>
  </si>
  <si>
    <t>43 69393 6046510</t>
  </si>
  <si>
    <t>6046536</t>
  </si>
  <si>
    <t>0886</t>
  </si>
  <si>
    <t>Capri Elementary</t>
  </si>
  <si>
    <t>43 69393 6046536</t>
  </si>
  <si>
    <t>6046544</t>
  </si>
  <si>
    <t>0866</t>
  </si>
  <si>
    <t>Castlemont Elementary</t>
  </si>
  <si>
    <t>43 69393 6046544</t>
  </si>
  <si>
    <t>6046577</t>
  </si>
  <si>
    <t>0997</t>
  </si>
  <si>
    <t>Forest Hill Elementary</t>
  </si>
  <si>
    <t>43 69393 6046577</t>
  </si>
  <si>
    <t>6046601</t>
  </si>
  <si>
    <t>0865</t>
  </si>
  <si>
    <t>Lynhaven Elementary</t>
  </si>
  <si>
    <t>43 69393 6046601</t>
  </si>
  <si>
    <t>6046619</t>
  </si>
  <si>
    <t>0984</t>
  </si>
  <si>
    <t>Marshall Lane Elementary</t>
  </si>
  <si>
    <t>43 69393 6046619</t>
  </si>
  <si>
    <t>6046627</t>
  </si>
  <si>
    <t>0899</t>
  </si>
  <si>
    <t>Monroe Middle</t>
  </si>
  <si>
    <t>6046668</t>
  </si>
  <si>
    <t>0887</t>
  </si>
  <si>
    <t>Rolling Hills Middle</t>
  </si>
  <si>
    <t>6046692</t>
  </si>
  <si>
    <t>0304</t>
  </si>
  <si>
    <t>Sherman Oaks Elementary</t>
  </si>
  <si>
    <t>43 69393 6046692</t>
  </si>
  <si>
    <t>69401</t>
  </si>
  <si>
    <t>Campbell Union High</t>
  </si>
  <si>
    <t>69419</t>
  </si>
  <si>
    <t>Cupertino Union</t>
  </si>
  <si>
    <t>Chester W. Nimitz Elementary</t>
  </si>
  <si>
    <t>43 69419 6046742</t>
  </si>
  <si>
    <t>69427</t>
  </si>
  <si>
    <t>East Side Union High</t>
  </si>
  <si>
    <t>0107151</t>
  </si>
  <si>
    <t>0646</t>
  </si>
  <si>
    <t>Escuela Popular/Center for Training and Careers, Family Learning</t>
  </si>
  <si>
    <t>0116889</t>
  </si>
  <si>
    <t>0976</t>
  </si>
  <si>
    <t>KIPP San Jose Collegiate</t>
  </si>
  <si>
    <t>0125617</t>
  </si>
  <si>
    <t>1387</t>
  </si>
  <si>
    <t>ACE Charter High</t>
  </si>
  <si>
    <t>0130856</t>
  </si>
  <si>
    <t>1681</t>
  </si>
  <si>
    <t>Luis Valdez Leadership Academy</t>
  </si>
  <si>
    <t>0131995</t>
  </si>
  <si>
    <t>1675</t>
  </si>
  <si>
    <t>B. Roberto Cruz Leadership Academy</t>
  </si>
  <si>
    <t>0132274</t>
  </si>
  <si>
    <t>1737</t>
  </si>
  <si>
    <t>Alpha: Cindy Avitia High School</t>
  </si>
  <si>
    <t>4330668</t>
  </si>
  <si>
    <t>0414</t>
  </si>
  <si>
    <t>Latino College Preparatory Academy</t>
  </si>
  <si>
    <t>4330676</t>
  </si>
  <si>
    <t>0425</t>
  </si>
  <si>
    <t>San Jose Conservation Corps Charter</t>
  </si>
  <si>
    <t>4330726</t>
  </si>
  <si>
    <t>0502</t>
  </si>
  <si>
    <t>69435</t>
  </si>
  <si>
    <t>Katherine R. Smith Elementary</t>
  </si>
  <si>
    <t>43 69435 6047153</t>
  </si>
  <si>
    <t>69450</t>
  </si>
  <si>
    <t>Franklin-McKinley Elementary</t>
  </si>
  <si>
    <t>Jeanne R. Meadows Elementary</t>
  </si>
  <si>
    <t>43 69450 6109433</t>
  </si>
  <si>
    <t>0113662</t>
  </si>
  <si>
    <t>0846</t>
  </si>
  <si>
    <t>Voices College-Bound Language Academy</t>
  </si>
  <si>
    <t>43 69450 0113662</t>
  </si>
  <si>
    <t>0123299</t>
  </si>
  <si>
    <t>1192</t>
  </si>
  <si>
    <t>Rocketship Mosaic Elementary</t>
  </si>
  <si>
    <t>43 69450 0123299</t>
  </si>
  <si>
    <t>0128108</t>
  </si>
  <si>
    <t>1526</t>
  </si>
  <si>
    <t>Rocketship Spark Academy</t>
  </si>
  <si>
    <t>43 69450 0128108</t>
  </si>
  <si>
    <t>0129205</t>
  </si>
  <si>
    <t>1608</t>
  </si>
  <si>
    <t>KIPP Heritage Academy</t>
  </si>
  <si>
    <t>0129247</t>
  </si>
  <si>
    <t>1545</t>
  </si>
  <si>
    <t>ACE Esperanza Middle</t>
  </si>
  <si>
    <t>69468</t>
  </si>
  <si>
    <t>Fremont Union High</t>
  </si>
  <si>
    <t>69484</t>
  </si>
  <si>
    <t>Gilroy Unified</t>
  </si>
  <si>
    <t>Eliot Elementary</t>
  </si>
  <si>
    <t>43 69484 6047302</t>
  </si>
  <si>
    <t>0123760</t>
  </si>
  <si>
    <t>1278</t>
  </si>
  <si>
    <t>Gilroy Prep (a Navigator School)</t>
  </si>
  <si>
    <t>43 69484 0123760</t>
  </si>
  <si>
    <t>69492</t>
  </si>
  <si>
    <t>Lakeside Joint</t>
  </si>
  <si>
    <t>43 69492 6047351</t>
  </si>
  <si>
    <t>69500</t>
  </si>
  <si>
    <t>Loma Prieta Joint Union Elementary</t>
  </si>
  <si>
    <t>Loma Prieta Elementary</t>
  </si>
  <si>
    <t>43 69500 6047369</t>
  </si>
  <si>
    <t>69518</t>
  </si>
  <si>
    <t>Los Altos Elementary</t>
  </si>
  <si>
    <t>Santa Rita Elementary</t>
  </si>
  <si>
    <t>43 69518 6047492</t>
  </si>
  <si>
    <t>69526</t>
  </si>
  <si>
    <t>Los Gatos Union Elementary</t>
  </si>
  <si>
    <t>Blossom Hill Elementary</t>
  </si>
  <si>
    <t>43 69526 6047518</t>
  </si>
  <si>
    <t>69534</t>
  </si>
  <si>
    <t>Los Gatos-Saratoga Union High</t>
  </si>
  <si>
    <t>69542</t>
  </si>
  <si>
    <t>Luther Burbank</t>
  </si>
  <si>
    <t>Luther Burbank Elementary</t>
  </si>
  <si>
    <t>43 69542 6047575</t>
  </si>
  <si>
    <t>69575</t>
  </si>
  <si>
    <t>Moreland</t>
  </si>
  <si>
    <t>Leroy Anderson Elementary</t>
  </si>
  <si>
    <t>43 69575 6047831</t>
  </si>
  <si>
    <t>69583</t>
  </si>
  <si>
    <t>Morgan Hill Unified</t>
  </si>
  <si>
    <t>P. A. Walsh STEAM Academy</t>
  </si>
  <si>
    <t>43 69583 6047922</t>
  </si>
  <si>
    <t>6118541</t>
  </si>
  <si>
    <t>0363</t>
  </si>
  <si>
    <t>Charter School of Morgan Hill</t>
  </si>
  <si>
    <t>43 69583 6118541</t>
  </si>
  <si>
    <t>69591</t>
  </si>
  <si>
    <t>Mountain View Whisman</t>
  </si>
  <si>
    <t>Mariano Castro Elementary</t>
  </si>
  <si>
    <t>43 69591 6048003</t>
  </si>
  <si>
    <t>69609</t>
  </si>
  <si>
    <t>Mountain View-Los Altos Union High</t>
  </si>
  <si>
    <t>69617</t>
  </si>
  <si>
    <t>Mount Pleasant Elementary</t>
  </si>
  <si>
    <t>Robert Sanders Elementary</t>
  </si>
  <si>
    <t>43 69617 6048078</t>
  </si>
  <si>
    <t>6048045</t>
  </si>
  <si>
    <t>1243</t>
  </si>
  <si>
    <t>Ida Jew Academies</t>
  </si>
  <si>
    <t>43 69617 6048045</t>
  </si>
  <si>
    <t>69625</t>
  </si>
  <si>
    <t>Oak Grove Elementary</t>
  </si>
  <si>
    <t>Christopher Elementary</t>
  </si>
  <si>
    <t>43 69625 6048102</t>
  </si>
  <si>
    <t>69633</t>
  </si>
  <si>
    <t>Orchard Elementary</t>
  </si>
  <si>
    <t>43 69633 6048185</t>
  </si>
  <si>
    <t>69641</t>
  </si>
  <si>
    <t>Palo Alto Unified</t>
  </si>
  <si>
    <t>Packard Children's Hospital/Stanford</t>
  </si>
  <si>
    <t>43 69641 6048375</t>
  </si>
  <si>
    <t>69666</t>
  </si>
  <si>
    <t>San Jose Unified</t>
  </si>
  <si>
    <t>43 69666 6048748</t>
  </si>
  <si>
    <t>0129718</t>
  </si>
  <si>
    <t>1623</t>
  </si>
  <si>
    <t>Downtown College Preparatory Middle</t>
  </si>
  <si>
    <t>0131656</t>
  </si>
  <si>
    <t>1546</t>
  </si>
  <si>
    <t>ACE Inspire Academy</t>
  </si>
  <si>
    <t>4330585</t>
  </si>
  <si>
    <t>0287</t>
  </si>
  <si>
    <t>Downtown College Preparatory</t>
  </si>
  <si>
    <t>69674</t>
  </si>
  <si>
    <t>Santa Clara Unified</t>
  </si>
  <si>
    <t>Scott Lane Elementary</t>
  </si>
  <si>
    <t>43 69674 6049019</t>
  </si>
  <si>
    <t>69682</t>
  </si>
  <si>
    <t>Saratoga Union Elementary</t>
  </si>
  <si>
    <t>43 69682 6049084</t>
  </si>
  <si>
    <t>69690</t>
  </si>
  <si>
    <t>Sunnyvale</t>
  </si>
  <si>
    <t>43 69690 6049142</t>
  </si>
  <si>
    <t>69708</t>
  </si>
  <si>
    <t>Union Elementary</t>
  </si>
  <si>
    <t>Lietz Elementary</t>
  </si>
  <si>
    <t>43 69708 6049373</t>
  </si>
  <si>
    <t>73387</t>
  </si>
  <si>
    <t>Milpitas Unified</t>
  </si>
  <si>
    <t>Robert Randall World Languages</t>
  </si>
  <si>
    <t>43 73387 6047674</t>
  </si>
  <si>
    <t>77149</t>
  </si>
  <si>
    <t>0137315</t>
  </si>
  <si>
    <t>1955</t>
  </si>
  <si>
    <t>KIPP Navigate College Prep</t>
  </si>
  <si>
    <t>44</t>
  </si>
  <si>
    <t>10447</t>
  </si>
  <si>
    <t>Santa Cruz Co. Office of Education</t>
  </si>
  <si>
    <t>Radcliff Elementary</t>
  </si>
  <si>
    <t>44 69799 0102665</t>
  </si>
  <si>
    <t>0136572</t>
  </si>
  <si>
    <t>1904</t>
  </si>
  <si>
    <t>Santa Cruz County Career Advancement Charter</t>
  </si>
  <si>
    <t>4430252</t>
  </si>
  <si>
    <t>0210</t>
  </si>
  <si>
    <t>Pacific Collegiate Charter</t>
  </si>
  <si>
    <t>69732</t>
  </si>
  <si>
    <t>Bonny Doon Union Elementary</t>
  </si>
  <si>
    <t>Bonny Doon Elementary</t>
  </si>
  <si>
    <t>44 69732 6049563</t>
  </si>
  <si>
    <t>69757</t>
  </si>
  <si>
    <t>Happy Valley Elementary</t>
  </si>
  <si>
    <t>44 69757 6049571</t>
  </si>
  <si>
    <t>69765</t>
  </si>
  <si>
    <t>Live Oak Elementary</t>
  </si>
  <si>
    <t>44 69765 6114102</t>
  </si>
  <si>
    <t>0100388</t>
  </si>
  <si>
    <t>0513</t>
  </si>
  <si>
    <t>Tierra Pacifica Charter</t>
  </si>
  <si>
    <t>44 69765 0100388</t>
  </si>
  <si>
    <t>69773</t>
  </si>
  <si>
    <t>Mountain Elementary</t>
  </si>
  <si>
    <t>44 69773 6049613</t>
  </si>
  <si>
    <t>69781</t>
  </si>
  <si>
    <t>Pacific Elementary</t>
  </si>
  <si>
    <t>44 69781 6049621</t>
  </si>
  <si>
    <t>69799</t>
  </si>
  <si>
    <t>Pajaro Valley Unified</t>
  </si>
  <si>
    <t>0117804</t>
  </si>
  <si>
    <t>1004</t>
  </si>
  <si>
    <t>Ceiba College Preparatory Academy</t>
  </si>
  <si>
    <t>44 69799 0117804</t>
  </si>
  <si>
    <t>4430229</t>
  </si>
  <si>
    <t>0170</t>
  </si>
  <si>
    <t>Pacific Coast Charter</t>
  </si>
  <si>
    <t>44 69799 4430229</t>
  </si>
  <si>
    <t>4430245</t>
  </si>
  <si>
    <t>0265</t>
  </si>
  <si>
    <t>Diamond Technology Institute</t>
  </si>
  <si>
    <t>6049720</t>
  </si>
  <si>
    <t>0041</t>
  </si>
  <si>
    <t>Linscott Charter</t>
  </si>
  <si>
    <t>44 69799 6049720</t>
  </si>
  <si>
    <t>6049829</t>
  </si>
  <si>
    <t>0164</t>
  </si>
  <si>
    <t>Alianza Charter</t>
  </si>
  <si>
    <t>44 69799 6049829</t>
  </si>
  <si>
    <t>6119077</t>
  </si>
  <si>
    <t>0373</t>
  </si>
  <si>
    <t>Watsonville Charter School of the Arts</t>
  </si>
  <si>
    <t>44 69799 6119077</t>
  </si>
  <si>
    <t>69807</t>
  </si>
  <si>
    <t>San Lorenzo Valley Unified</t>
  </si>
  <si>
    <t>Boulder Creek Elementary</t>
  </si>
  <si>
    <t>44 69807 6049837</t>
  </si>
  <si>
    <t>0110007</t>
  </si>
  <si>
    <t>0747</t>
  </si>
  <si>
    <t>Ocean Grove Charter</t>
  </si>
  <si>
    <t>44 69807 0110007</t>
  </si>
  <si>
    <t>4430179</t>
  </si>
  <si>
    <t>0025</t>
  </si>
  <si>
    <t>SLVUSD Charter</t>
  </si>
  <si>
    <t>44 69807 4430179</t>
  </si>
  <si>
    <t>69815</t>
  </si>
  <si>
    <t>Santa Cruz City Elementary</t>
  </si>
  <si>
    <t>Gault Elementary</t>
  </si>
  <si>
    <t>44 69815 6049894</t>
  </si>
  <si>
    <t>69823</t>
  </si>
  <si>
    <t>Santa Cruz City High</t>
  </si>
  <si>
    <t>4430187</t>
  </si>
  <si>
    <t>0059</t>
  </si>
  <si>
    <t>69849</t>
  </si>
  <si>
    <t>Soquel Union Elementary</t>
  </si>
  <si>
    <t>Soquel Elementary</t>
  </si>
  <si>
    <t>44 69849 6049985</t>
  </si>
  <si>
    <t>75432</t>
  </si>
  <si>
    <t>Scotts Valley Unified</t>
  </si>
  <si>
    <t>Brook Knoll Elementary</t>
  </si>
  <si>
    <t>44 75432 6049936</t>
  </si>
  <si>
    <t>0139410</t>
  </si>
  <si>
    <t>2056</t>
  </si>
  <si>
    <t>California Connections Academy Monterey Bay</t>
  </si>
  <si>
    <t>44 75432 0139410</t>
  </si>
  <si>
    <t>77248</t>
  </si>
  <si>
    <t>0138909</t>
  </si>
  <si>
    <t>2032</t>
  </si>
  <si>
    <t>Watsonville Prep</t>
  </si>
  <si>
    <t>44 77248 0138909</t>
  </si>
  <si>
    <t>45</t>
  </si>
  <si>
    <t>10454</t>
  </si>
  <si>
    <t>Shasta Co. Office of Education</t>
  </si>
  <si>
    <t>PACE Academy</t>
  </si>
  <si>
    <t>45 69971 0135830</t>
  </si>
  <si>
    <t>0111674</t>
  </si>
  <si>
    <t>0778</t>
  </si>
  <si>
    <t>Chrysalis Charter</t>
  </si>
  <si>
    <t>45 10454 0111674</t>
  </si>
  <si>
    <t>0129957</t>
  </si>
  <si>
    <t>2076</t>
  </si>
  <si>
    <t>Northern Summit Academy Shasta</t>
  </si>
  <si>
    <t>45 10454 0129957</t>
  </si>
  <si>
    <t>0132944</t>
  </si>
  <si>
    <t>1770</t>
  </si>
  <si>
    <t>Redding STEM Academy</t>
  </si>
  <si>
    <t>45 10454 0132944</t>
  </si>
  <si>
    <t>69856</t>
  </si>
  <si>
    <t>Anderson Union High</t>
  </si>
  <si>
    <t>4530333</t>
  </si>
  <si>
    <t>0452</t>
  </si>
  <si>
    <t>Anderson New Technology High</t>
  </si>
  <si>
    <t>69872</t>
  </si>
  <si>
    <t>45 69872 6050074</t>
  </si>
  <si>
    <t>69880</t>
  </si>
  <si>
    <t>Black Butte Union Elementary</t>
  </si>
  <si>
    <t>Black Butte Elementary</t>
  </si>
  <si>
    <t>45 69880 6050082</t>
  </si>
  <si>
    <t>69914</t>
  </si>
  <si>
    <t>Cascade Union Elementary</t>
  </si>
  <si>
    <t>Anderson Heights Elementary</t>
  </si>
  <si>
    <t>45 69914 6050132</t>
  </si>
  <si>
    <t>0135624</t>
  </si>
  <si>
    <t>1869</t>
  </si>
  <si>
    <t>Tree of Life International Charter School</t>
  </si>
  <si>
    <t>45 69914 0135624</t>
  </si>
  <si>
    <t>69922</t>
  </si>
  <si>
    <t>Castle Rock Union Elementary</t>
  </si>
  <si>
    <t>Castle Rock Elementary</t>
  </si>
  <si>
    <t>45 69922 6050165</t>
  </si>
  <si>
    <t>69948</t>
  </si>
  <si>
    <t>45 69948 6050181</t>
  </si>
  <si>
    <t>0134122</t>
  </si>
  <si>
    <t>1793</t>
  </si>
  <si>
    <t>Redding School of the Arts</t>
  </si>
  <si>
    <t>45 69948 0134122</t>
  </si>
  <si>
    <t>0139543</t>
  </si>
  <si>
    <t>2065</t>
  </si>
  <si>
    <t>Shasta View Academy</t>
  </si>
  <si>
    <t>45 69948 0139543</t>
  </si>
  <si>
    <t>0141580</t>
  </si>
  <si>
    <t>2126</t>
  </si>
  <si>
    <t>Phoenix Charter Academy College View</t>
  </si>
  <si>
    <t>45 69948 0141580</t>
  </si>
  <si>
    <t>69955</t>
  </si>
  <si>
    <t>Cottonwood Union Elementary</t>
  </si>
  <si>
    <t>North Cottonwood</t>
  </si>
  <si>
    <t>45 69955 0111393</t>
  </si>
  <si>
    <t>0121640</t>
  </si>
  <si>
    <t>1183</t>
  </si>
  <si>
    <t>Cottonwood Creek Charter</t>
  </si>
  <si>
    <t>45 69955 0121640</t>
  </si>
  <si>
    <t>69971</t>
  </si>
  <si>
    <t>Enterprise Elementary</t>
  </si>
  <si>
    <t>0135848</t>
  </si>
  <si>
    <t>1864</t>
  </si>
  <si>
    <t>Redding Collegiate Academy</t>
  </si>
  <si>
    <t>45 69971 0135848</t>
  </si>
  <si>
    <t>69989</t>
  </si>
  <si>
    <t>Fall River Joint Unified</t>
  </si>
  <si>
    <t>Burney Elementary</t>
  </si>
  <si>
    <t>45 69989 6050272</t>
  </si>
  <si>
    <t>69997</t>
  </si>
  <si>
    <t>French Gulch-Whiskeytown Elementary</t>
  </si>
  <si>
    <t>45 69997 6050322</t>
  </si>
  <si>
    <t>70003</t>
  </si>
  <si>
    <t>Grant Elementary</t>
  </si>
  <si>
    <t>45 70003 6050330</t>
  </si>
  <si>
    <t>70011</t>
  </si>
  <si>
    <t>Happy Valley Union Elementary</t>
  </si>
  <si>
    <t>Happy Valley Primary</t>
  </si>
  <si>
    <t>45 70011 6097703</t>
  </si>
  <si>
    <t>70029</t>
  </si>
  <si>
    <t>Igo, Ono, Platina Union Elementary</t>
  </si>
  <si>
    <t>Igo-Ono Elementary</t>
  </si>
  <si>
    <t>45 70029 6050355</t>
  </si>
  <si>
    <t>70045</t>
  </si>
  <si>
    <t>Junction Elementary</t>
  </si>
  <si>
    <t>45 70045 6050397</t>
  </si>
  <si>
    <t>70052</t>
  </si>
  <si>
    <t>Millville Elementary</t>
  </si>
  <si>
    <t>45 70052 6050405</t>
  </si>
  <si>
    <t>70078</t>
  </si>
  <si>
    <t>North Cow Creek Elementary</t>
  </si>
  <si>
    <t>45 70078 6050421</t>
  </si>
  <si>
    <t>70086</t>
  </si>
  <si>
    <t>Oak Run Elementary</t>
  </si>
  <si>
    <t>45 70086 6050439</t>
  </si>
  <si>
    <t>70094</t>
  </si>
  <si>
    <t>Pacheco Union Elementary</t>
  </si>
  <si>
    <t>Prairie Elementary</t>
  </si>
  <si>
    <t>45 70094 6050454</t>
  </si>
  <si>
    <t>70110</t>
  </si>
  <si>
    <t>Redding Elementary</t>
  </si>
  <si>
    <t>45 70110 6050470</t>
  </si>
  <si>
    <t>0135889</t>
  </si>
  <si>
    <t>0490</t>
  </si>
  <si>
    <t>Stellar Charter</t>
  </si>
  <si>
    <t>45 70110 0135889</t>
  </si>
  <si>
    <t>6117931</t>
  </si>
  <si>
    <t>0307</t>
  </si>
  <si>
    <t>Monarch Learning Center</t>
  </si>
  <si>
    <t>45 70110 6117931</t>
  </si>
  <si>
    <t>70128</t>
  </si>
  <si>
    <t>Shasta Union Elementary</t>
  </si>
  <si>
    <t>Shasta Elementary</t>
  </si>
  <si>
    <t>45 70128 6050546</t>
  </si>
  <si>
    <t>70136</t>
  </si>
  <si>
    <t>Shasta Union High</t>
  </si>
  <si>
    <t>0106013</t>
  </si>
  <si>
    <t>0612</t>
  </si>
  <si>
    <t>University Preparatory</t>
  </si>
  <si>
    <t>45 70136 0106013</t>
  </si>
  <si>
    <t>4530267</t>
  </si>
  <si>
    <t>0256</t>
  </si>
  <si>
    <t>Shasta Charter Academy</t>
  </si>
  <si>
    <t>70169</t>
  </si>
  <si>
    <t>Whitmore Union Elementary</t>
  </si>
  <si>
    <t>Whitmore Elementary</t>
  </si>
  <si>
    <t>45 70169 6050595</t>
  </si>
  <si>
    <t>73700</t>
  </si>
  <si>
    <t>Mountain Union Elementary</t>
  </si>
  <si>
    <t>Montgomery Creek Elementary</t>
  </si>
  <si>
    <t>45 73700 6050413</t>
  </si>
  <si>
    <t>75267</t>
  </si>
  <si>
    <t>Gateway Unified</t>
  </si>
  <si>
    <t>Grand Oaks Elementary</t>
  </si>
  <si>
    <t>45 75267 6050579</t>
  </si>
  <si>
    <t>0113407</t>
  </si>
  <si>
    <t>0849</t>
  </si>
  <si>
    <t>Rocky Point Charter</t>
  </si>
  <si>
    <t>45 75267 0113407</t>
  </si>
  <si>
    <t>46</t>
  </si>
  <si>
    <t>10462</t>
  </si>
  <si>
    <t>Sierra Co. Office of Education</t>
  </si>
  <si>
    <t>Downieville Elementary</t>
  </si>
  <si>
    <t>46 70177 6050611</t>
  </si>
  <si>
    <t>70177</t>
  </si>
  <si>
    <t>Sierra-Plumas Joint Unified</t>
  </si>
  <si>
    <t>47</t>
  </si>
  <si>
    <t>10470</t>
  </si>
  <si>
    <t>Siskiyou Co. Office of Education</t>
  </si>
  <si>
    <t>Klamath River Elementary</t>
  </si>
  <si>
    <t>47 70375 6050827</t>
  </si>
  <si>
    <t>0117168</t>
  </si>
  <si>
    <t>0983</t>
  </si>
  <si>
    <t>Golden Eagle Charter</t>
  </si>
  <si>
    <t>47 10470 0117168</t>
  </si>
  <si>
    <t>0137372</t>
  </si>
  <si>
    <t>1958</t>
  </si>
  <si>
    <t>Northern United - Siskiyou Charter School</t>
  </si>
  <si>
    <t>47 10470 0137372</t>
  </si>
  <si>
    <t>70185</t>
  </si>
  <si>
    <t>Big Springs Union Elementary</t>
  </si>
  <si>
    <t>Big Springs Elementary</t>
  </si>
  <si>
    <t>47 70185 6050652</t>
  </si>
  <si>
    <t>70193</t>
  </si>
  <si>
    <t>Bogus Elementary</t>
  </si>
  <si>
    <t>47 70193 6050660</t>
  </si>
  <si>
    <t>70201</t>
  </si>
  <si>
    <t>Butteville Union Elementary</t>
  </si>
  <si>
    <t>Butteville Elementary</t>
  </si>
  <si>
    <t>47 70201 6050678</t>
  </si>
  <si>
    <t>70227</t>
  </si>
  <si>
    <t>Delphic Elementary</t>
  </si>
  <si>
    <t>47 70227 6050694</t>
  </si>
  <si>
    <t>70243</t>
  </si>
  <si>
    <t>Dunsmuir Elementary</t>
  </si>
  <si>
    <t>47 70243 6050710</t>
  </si>
  <si>
    <t>70250</t>
  </si>
  <si>
    <t>Dunsmuir Joint Union High</t>
  </si>
  <si>
    <t>70318</t>
  </si>
  <si>
    <t>Gazelle Union Elementary</t>
  </si>
  <si>
    <t>Gazelle Elementary</t>
  </si>
  <si>
    <t>47 70318 6050769</t>
  </si>
  <si>
    <t>70326</t>
  </si>
  <si>
    <t>Grenada Elementary</t>
  </si>
  <si>
    <t>47 70326 6050777</t>
  </si>
  <si>
    <t>70334</t>
  </si>
  <si>
    <t>Happy Camp Union Elementary</t>
  </si>
  <si>
    <t>47 70334 6050785</t>
  </si>
  <si>
    <t>70359</t>
  </si>
  <si>
    <t>Hornbrook Elementary</t>
  </si>
  <si>
    <t>47 70359 6050801</t>
  </si>
  <si>
    <t>70367</t>
  </si>
  <si>
    <t>47 70367 6050819</t>
  </si>
  <si>
    <t>70375</t>
  </si>
  <si>
    <t>Klamath River Union Elementary</t>
  </si>
  <si>
    <t>70383</t>
  </si>
  <si>
    <t>Little Shasta Elementary</t>
  </si>
  <si>
    <t>47 70383 6050835</t>
  </si>
  <si>
    <t>70409</t>
  </si>
  <si>
    <t>McCloud Union Elementary</t>
  </si>
  <si>
    <t>McCloud Elementary</t>
  </si>
  <si>
    <t>47 70409 6050850</t>
  </si>
  <si>
    <t>70417</t>
  </si>
  <si>
    <t>Montague Elementary</t>
  </si>
  <si>
    <t>47 70417 6050876</t>
  </si>
  <si>
    <t>70425</t>
  </si>
  <si>
    <t>Mt. Shasta Union Elementary</t>
  </si>
  <si>
    <t>Mt. Shasta Elementary</t>
  </si>
  <si>
    <t>47 70425 6050884</t>
  </si>
  <si>
    <t>70458</t>
  </si>
  <si>
    <t>Seiad Elementary</t>
  </si>
  <si>
    <t>47 70458 6050926</t>
  </si>
  <si>
    <t>70466</t>
  </si>
  <si>
    <t>Siskiyou Union High</t>
  </si>
  <si>
    <t>70482</t>
  </si>
  <si>
    <t>Weed Union Elementary</t>
  </si>
  <si>
    <t>Weed Elementary</t>
  </si>
  <si>
    <t>47 70482 6050942</t>
  </si>
  <si>
    <t>70490</t>
  </si>
  <si>
    <t>Willow Creek Elementary</t>
  </si>
  <si>
    <t>47 70490 6050959</t>
  </si>
  <si>
    <t>70508</t>
  </si>
  <si>
    <t>Yreka Union Elementary</t>
  </si>
  <si>
    <t>47 70508 6067136</t>
  </si>
  <si>
    <t>70516</t>
  </si>
  <si>
    <t>Yreka Union High</t>
  </si>
  <si>
    <t>73684</t>
  </si>
  <si>
    <t>Butte Valley Unified</t>
  </si>
  <si>
    <t>Butte Valley Elementary</t>
  </si>
  <si>
    <t>47 73684 6050843</t>
  </si>
  <si>
    <t>76455</t>
  </si>
  <si>
    <t>Scott Valley Unified</t>
  </si>
  <si>
    <t>Etna Elementary</t>
  </si>
  <si>
    <t>47 76455 6050728</t>
  </si>
  <si>
    <t>48</t>
  </si>
  <si>
    <t>10488</t>
  </si>
  <si>
    <t>Solano Co. Office of Education</t>
  </si>
  <si>
    <t>48 70581 6051494</t>
  </si>
  <si>
    <t>0139030</t>
  </si>
  <si>
    <t>2034</t>
  </si>
  <si>
    <t>Elite Public</t>
  </si>
  <si>
    <t>48 10488 0139030</t>
  </si>
  <si>
    <t>70524</t>
  </si>
  <si>
    <t>Benicia Unified</t>
  </si>
  <si>
    <t>Robert Semple Elementary</t>
  </si>
  <si>
    <t>48 70524 6051015</t>
  </si>
  <si>
    <t>70532</t>
  </si>
  <si>
    <t>Dixon Unified</t>
  </si>
  <si>
    <t>Anderson (Linford L.) Elementary</t>
  </si>
  <si>
    <t>48 70532 6051049</t>
  </si>
  <si>
    <t>0122267</t>
  </si>
  <si>
    <t>1210</t>
  </si>
  <si>
    <t>Dixon Montessori Charter</t>
  </si>
  <si>
    <t>48 70532 0122267</t>
  </si>
  <si>
    <t>70540</t>
  </si>
  <si>
    <t>Fairfield-Suisun Unified</t>
  </si>
  <si>
    <t>Anna Kyle Elementary</t>
  </si>
  <si>
    <t>48 70540 6051064</t>
  </si>
  <si>
    <t>70565</t>
  </si>
  <si>
    <t>Travis Unified</t>
  </si>
  <si>
    <t>Scandia Elementary</t>
  </si>
  <si>
    <t>48 70565 6068290</t>
  </si>
  <si>
    <t>70573</t>
  </si>
  <si>
    <t>Vacaville Unified</t>
  </si>
  <si>
    <t>Edwin Markham Elementary</t>
  </si>
  <si>
    <t>48 70573 6051296</t>
  </si>
  <si>
    <t>0129494</t>
  </si>
  <si>
    <t>1635</t>
  </si>
  <si>
    <t>Kairos Public</t>
  </si>
  <si>
    <t>48 70573 0129494</t>
  </si>
  <si>
    <t>0135095</t>
  </si>
  <si>
    <t>1839</t>
  </si>
  <si>
    <t>Ernest Kimme Charter Academy</t>
  </si>
  <si>
    <t>4830113</t>
  </si>
  <si>
    <t>0056</t>
  </si>
  <si>
    <t>Buckingham Collegiate Charter Academy</t>
  </si>
  <si>
    <t>6051338</t>
  </si>
  <si>
    <t>0913</t>
  </si>
  <si>
    <t>Fairmont Charter Elementary</t>
  </si>
  <si>
    <t>48 70573 6051338</t>
  </si>
  <si>
    <t>70581</t>
  </si>
  <si>
    <t>Vallejo City Unified</t>
  </si>
  <si>
    <t>0115469</t>
  </si>
  <si>
    <t>0940</t>
  </si>
  <si>
    <t>Vallejo Charter</t>
  </si>
  <si>
    <t>48 70581 0115469</t>
  </si>
  <si>
    <t>0134262</t>
  </si>
  <si>
    <t>1779</t>
  </si>
  <si>
    <t>Caliber: ChangeMakers Academy</t>
  </si>
  <si>
    <t>48 70581 0134262</t>
  </si>
  <si>
    <t>0137380</t>
  </si>
  <si>
    <t>1912</t>
  </si>
  <si>
    <t>MIT Griffin Academy Middle</t>
  </si>
  <si>
    <t>0139816</t>
  </si>
  <si>
    <t>2083</t>
  </si>
  <si>
    <t>Griffin Academy High</t>
  </si>
  <si>
    <t>4830196</t>
  </si>
  <si>
    <t>0372</t>
  </si>
  <si>
    <t>MIT Academy</t>
  </si>
  <si>
    <t>6116255</t>
  </si>
  <si>
    <t>0181</t>
  </si>
  <si>
    <t>Mare Island Technology Academy</t>
  </si>
  <si>
    <t>49</t>
  </si>
  <si>
    <t>10496</t>
  </si>
  <si>
    <t>Sonoma Co. Office of Education</t>
  </si>
  <si>
    <t>Kashia Elementary</t>
  </si>
  <si>
    <t>49 70888 6052013</t>
  </si>
  <si>
    <t>70599</t>
  </si>
  <si>
    <t>Alexander Valley Union Elementary</t>
  </si>
  <si>
    <t>Alexander Valley Elementary</t>
  </si>
  <si>
    <t>49 70599 6051577</t>
  </si>
  <si>
    <t>70607</t>
  </si>
  <si>
    <t>West Sonoma County Union High</t>
  </si>
  <si>
    <t>70615</t>
  </si>
  <si>
    <t>Bellevue Union</t>
  </si>
  <si>
    <t>Bellevue Elementary</t>
  </si>
  <si>
    <t>49 70615 6051585</t>
  </si>
  <si>
    <t>70623</t>
  </si>
  <si>
    <t>Bennett Valley Union Elementary</t>
  </si>
  <si>
    <t>Strawberry Elementary</t>
  </si>
  <si>
    <t>49 70623 6098248</t>
  </si>
  <si>
    <t>70649</t>
  </si>
  <si>
    <t>Cinnabar Elementary</t>
  </si>
  <si>
    <t>49 70649 0125724</t>
  </si>
  <si>
    <t>6051635</t>
  </si>
  <si>
    <t>1310</t>
  </si>
  <si>
    <t>Cinnabar Charter</t>
  </si>
  <si>
    <t>49 70649 6051635</t>
  </si>
  <si>
    <t>70656</t>
  </si>
  <si>
    <t>Cloverdale Unified</t>
  </si>
  <si>
    <t>49 70656 6051643</t>
  </si>
  <si>
    <t>70672</t>
  </si>
  <si>
    <t>Dunham Elementary</t>
  </si>
  <si>
    <t>49 70672 6051700</t>
  </si>
  <si>
    <t>0122440</t>
  </si>
  <si>
    <t>1194</t>
  </si>
  <si>
    <t>Dunham Charter</t>
  </si>
  <si>
    <t>49 70672 0122440</t>
  </si>
  <si>
    <t>70680</t>
  </si>
  <si>
    <t>Forestville Union Elementary</t>
  </si>
  <si>
    <t>Forestville Elementary</t>
  </si>
  <si>
    <t>49 70680 6051718</t>
  </si>
  <si>
    <t>0112987</t>
  </si>
  <si>
    <t>0842</t>
  </si>
  <si>
    <t>Forestville Academy</t>
  </si>
  <si>
    <t>49 70680 0112987</t>
  </si>
  <si>
    <t>70698</t>
  </si>
  <si>
    <t>Fort Ross Elementary</t>
  </si>
  <si>
    <t>49 70698 6051726</t>
  </si>
  <si>
    <t>70706</t>
  </si>
  <si>
    <t>Geyserville Unified</t>
  </si>
  <si>
    <t>Geyserville Elementary</t>
  </si>
  <si>
    <t>49 70706 6051734</t>
  </si>
  <si>
    <t>70714</t>
  </si>
  <si>
    <t>Gravenstein Union Elementary</t>
  </si>
  <si>
    <t>Gravenstein First</t>
  </si>
  <si>
    <t>49 70714 0126888</t>
  </si>
  <si>
    <t>6051742</t>
  </si>
  <si>
    <t>1445</t>
  </si>
  <si>
    <t>Gravenstein Elementary</t>
  </si>
  <si>
    <t>49 70714 6051742</t>
  </si>
  <si>
    <t>6051759</t>
  </si>
  <si>
    <t>1444</t>
  </si>
  <si>
    <t>Hillcrest Middle</t>
  </si>
  <si>
    <t>70722</t>
  </si>
  <si>
    <t>Guerneville Elementary</t>
  </si>
  <si>
    <t>Guerneville Primary</t>
  </si>
  <si>
    <t>49 70722 0138248</t>
  </si>
  <si>
    <t>0139048</t>
  </si>
  <si>
    <t>2037</t>
  </si>
  <si>
    <t>California Pacific Charter - Sonoma</t>
  </si>
  <si>
    <t>49 70722 0139048</t>
  </si>
  <si>
    <t>6051767</t>
  </si>
  <si>
    <t>1978</t>
  </si>
  <si>
    <t>Guerneville Elementary (Charter)</t>
  </si>
  <si>
    <t>49 70722 6051767</t>
  </si>
  <si>
    <t>70730</t>
  </si>
  <si>
    <t>Harmony Union Elementary</t>
  </si>
  <si>
    <t>Harmony Elementary</t>
  </si>
  <si>
    <t>49 70730 6051775</t>
  </si>
  <si>
    <t>6110639</t>
  </si>
  <si>
    <t>0941</t>
  </si>
  <si>
    <t>Salmon Creek School - A Charter</t>
  </si>
  <si>
    <t>49 70730 6110639</t>
  </si>
  <si>
    <t>6120588</t>
  </si>
  <si>
    <t>0492</t>
  </si>
  <si>
    <t>Pathways Charter</t>
  </si>
  <si>
    <t>49 70730 6120588</t>
  </si>
  <si>
    <t>70763</t>
  </si>
  <si>
    <t>Horicon Elementary</t>
  </si>
  <si>
    <t>49 70763 6051809</t>
  </si>
  <si>
    <t>70789</t>
  </si>
  <si>
    <t>Kenwood</t>
  </si>
  <si>
    <t>Kenwood Elementary</t>
  </si>
  <si>
    <t>49 70789 6051825</t>
  </si>
  <si>
    <t>70797</t>
  </si>
  <si>
    <t>Liberty Elementary</t>
  </si>
  <si>
    <t>Liberty Primary</t>
  </si>
  <si>
    <t>49 70797 0123422</t>
  </si>
  <si>
    <t>0107284</t>
  </si>
  <si>
    <t>0653</t>
  </si>
  <si>
    <t>California Virtual Academy @ Sonoma</t>
  </si>
  <si>
    <t>49 70797 0107284</t>
  </si>
  <si>
    <t>0139568</t>
  </si>
  <si>
    <t>2071</t>
  </si>
  <si>
    <t>Heartwood Charter</t>
  </si>
  <si>
    <t>49 70797 0139568</t>
  </si>
  <si>
    <t>0140228</t>
  </si>
  <si>
    <t>2102</t>
  </si>
  <si>
    <t>Liberty Independent Study</t>
  </si>
  <si>
    <t>49 70797 0140228</t>
  </si>
  <si>
    <t>6051833</t>
  </si>
  <si>
    <t>1260</t>
  </si>
  <si>
    <t>49 70797 6051833</t>
  </si>
  <si>
    <t>70805</t>
  </si>
  <si>
    <t>Mark West Union Elementary</t>
  </si>
  <si>
    <t>Mark West Elementary</t>
  </si>
  <si>
    <t>49 70805 6051841</t>
  </si>
  <si>
    <t>0105890</t>
  </si>
  <si>
    <t>0616</t>
  </si>
  <si>
    <t>Mark West Charter</t>
  </si>
  <si>
    <t>49 70805 0105890</t>
  </si>
  <si>
    <t>6051858</t>
  </si>
  <si>
    <t>1417</t>
  </si>
  <si>
    <t>San Miguel Elementary</t>
  </si>
  <si>
    <t>49 70805 6051858</t>
  </si>
  <si>
    <t>6111066</t>
  </si>
  <si>
    <t>1422</t>
  </si>
  <si>
    <t>John B. Riebli Elementary</t>
  </si>
  <si>
    <t>49 70805 6111066</t>
  </si>
  <si>
    <t>70813</t>
  </si>
  <si>
    <t>Monte Rio Union Elementary</t>
  </si>
  <si>
    <t>Monte Rio Elementary</t>
  </si>
  <si>
    <t>49 70813 6051866</t>
  </si>
  <si>
    <t>70821</t>
  </si>
  <si>
    <t>Montgomery Elementary</t>
  </si>
  <si>
    <t>49 70821 6051874</t>
  </si>
  <si>
    <t>70839</t>
  </si>
  <si>
    <t>Oak Grove Union Elementary</t>
  </si>
  <si>
    <t>49 70839 6051882</t>
  </si>
  <si>
    <t>0138065</t>
  </si>
  <si>
    <t>1985</t>
  </si>
  <si>
    <t>Pivot Charter School - North Bay</t>
  </si>
  <si>
    <t>49 70839 0138065</t>
  </si>
  <si>
    <t>6051890</t>
  </si>
  <si>
    <t>0655</t>
  </si>
  <si>
    <t>Oak Grove Elementary/Willowside Middle</t>
  </si>
  <si>
    <t>49 70839 6051890</t>
  </si>
  <si>
    <t>70847</t>
  </si>
  <si>
    <t>Old Adobe Union</t>
  </si>
  <si>
    <t>La Tercera Elementary</t>
  </si>
  <si>
    <t>49 70847 6051916</t>
  </si>
  <si>
    <t>0119750</t>
  </si>
  <si>
    <t>1086</t>
  </si>
  <si>
    <t>River Montessori Elementary Charter</t>
  </si>
  <si>
    <t>49 70847 0119750</t>
  </si>
  <si>
    <t>0127555</t>
  </si>
  <si>
    <t>1579</t>
  </si>
  <si>
    <t>Loma Vista Immersion Academy</t>
  </si>
  <si>
    <t>49 70847 0127555</t>
  </si>
  <si>
    <t>6051924</t>
  </si>
  <si>
    <t>1423</t>
  </si>
  <si>
    <t>Old Adobe Elementary Charter</t>
  </si>
  <si>
    <t>49 70847 6051924</t>
  </si>
  <si>
    <t>6072136</t>
  </si>
  <si>
    <t>1424</t>
  </si>
  <si>
    <t>Miwok Valley Elementary Charter</t>
  </si>
  <si>
    <t>49 70847 6072136</t>
  </si>
  <si>
    <t>6114755</t>
  </si>
  <si>
    <t>1450</t>
  </si>
  <si>
    <t>Sonoma Mountain Elementary</t>
  </si>
  <si>
    <t>49 70847 6114755</t>
  </si>
  <si>
    <t>70854</t>
  </si>
  <si>
    <t>Petaluma City Elementary</t>
  </si>
  <si>
    <t>McDowell Elementary</t>
  </si>
  <si>
    <t>49 70854 6051957</t>
  </si>
  <si>
    <t>6051981</t>
  </si>
  <si>
    <t>1512</t>
  </si>
  <si>
    <t>Penngrove Elementary</t>
  </si>
  <si>
    <t>49 70854 6051981</t>
  </si>
  <si>
    <t>6119036</t>
  </si>
  <si>
    <t>0382</t>
  </si>
  <si>
    <t>Live Oak Charter</t>
  </si>
  <si>
    <t>49 70854 6119036</t>
  </si>
  <si>
    <t>70862</t>
  </si>
  <si>
    <t>Petaluma Joint Union High</t>
  </si>
  <si>
    <t>0131961</t>
  </si>
  <si>
    <t>1726</t>
  </si>
  <si>
    <t>Petaluma Accelerated Charter School</t>
  </si>
  <si>
    <t>6051932</t>
  </si>
  <si>
    <t>0480</t>
  </si>
  <si>
    <t>Mary Collins Charter School at Cherry Valley</t>
  </si>
  <si>
    <t>49 70862 6051932</t>
  </si>
  <si>
    <t>70870</t>
  </si>
  <si>
    <t>Piner-Olivet Union Elementary</t>
  </si>
  <si>
    <t>49 70870 0101253</t>
  </si>
  <si>
    <t>0106344</t>
  </si>
  <si>
    <t>0526</t>
  </si>
  <si>
    <t>Northwest Prep Charter</t>
  </si>
  <si>
    <t>49 70870 0106344</t>
  </si>
  <si>
    <t>6066344</t>
  </si>
  <si>
    <t>1440</t>
  </si>
  <si>
    <t>Olivet Elementary Charter</t>
  </si>
  <si>
    <t>49 70870 6066344</t>
  </si>
  <si>
    <t>6109144</t>
  </si>
  <si>
    <t>1439</t>
  </si>
  <si>
    <t>Morrice Schaefer Charter</t>
  </si>
  <si>
    <t>49 70870 6109144</t>
  </si>
  <si>
    <t>6113492</t>
  </si>
  <si>
    <t>0098</t>
  </si>
  <si>
    <t>Piner-Olivet Charter</t>
  </si>
  <si>
    <t>70888</t>
  </si>
  <si>
    <t>70896</t>
  </si>
  <si>
    <t>Rincon Valley Union Elementary</t>
  </si>
  <si>
    <t>Madrone Elementary</t>
  </si>
  <si>
    <t>49 70896 6052021</t>
  </si>
  <si>
    <t>0102525</t>
  </si>
  <si>
    <t>0525</t>
  </si>
  <si>
    <t>Spring Lake Charter</t>
  </si>
  <si>
    <t>49 70896 0102525</t>
  </si>
  <si>
    <t>6052039</t>
  </si>
  <si>
    <t>1105</t>
  </si>
  <si>
    <t>Manzanita Elementary Charter</t>
  </si>
  <si>
    <t>49 70896 6052039</t>
  </si>
  <si>
    <t>6052047</t>
  </si>
  <si>
    <t>1259</t>
  </si>
  <si>
    <t>Whited Elementary Charter</t>
  </si>
  <si>
    <t>49 70896 6052047</t>
  </si>
  <si>
    <t>6052070</t>
  </si>
  <si>
    <t>1257</t>
  </si>
  <si>
    <t>Village Elementary Charter</t>
  </si>
  <si>
    <t>49 70896 6052070</t>
  </si>
  <si>
    <t>6085229</t>
  </si>
  <si>
    <t>1258</t>
  </si>
  <si>
    <t>Binkley Elementary Charter</t>
  </si>
  <si>
    <t>49 70896 6085229</t>
  </si>
  <si>
    <t>70904</t>
  </si>
  <si>
    <t>Roseland</t>
  </si>
  <si>
    <t>Roseland Elementary</t>
  </si>
  <si>
    <t>49 70904 6052088</t>
  </si>
  <si>
    <t>0101923</t>
  </si>
  <si>
    <t>0558</t>
  </si>
  <si>
    <t>Roseland Charter</t>
  </si>
  <si>
    <t>49 70904 0101923</t>
  </si>
  <si>
    <t>70912</t>
  </si>
  <si>
    <t>Santa Rosa Elementary</t>
  </si>
  <si>
    <t>Brook Hill Elementary</t>
  </si>
  <si>
    <t>49 70912 6052104</t>
  </si>
  <si>
    <t>0113530</t>
  </si>
  <si>
    <t>0845</t>
  </si>
  <si>
    <t>Santa Rosa Charter School for the Arts</t>
  </si>
  <si>
    <t>49 70912 0113530</t>
  </si>
  <si>
    <t>0125831</t>
  </si>
  <si>
    <t>1397</t>
  </si>
  <si>
    <t>Santa Rosa French-American Charter (SRFACS)</t>
  </si>
  <si>
    <t>49 70912 0125831</t>
  </si>
  <si>
    <t>0128074</t>
  </si>
  <si>
    <t>1523</t>
  </si>
  <si>
    <t>Cesar Chavez Language Academy</t>
  </si>
  <si>
    <t>49 70912 0128074</t>
  </si>
  <si>
    <t>6116958</t>
  </si>
  <si>
    <t>0215</t>
  </si>
  <si>
    <t>Kid Street Learning Center Charter</t>
  </si>
  <si>
    <t>49 70912 6116958</t>
  </si>
  <si>
    <t>70920</t>
  </si>
  <si>
    <t>Santa Rosa High</t>
  </si>
  <si>
    <t>Learning House</t>
  </si>
  <si>
    <t>49 70920 0140855</t>
  </si>
  <si>
    <t>0102533</t>
  </si>
  <si>
    <t>0522</t>
  </si>
  <si>
    <t>Santa Rosa Accelerated Charter</t>
  </si>
  <si>
    <t>70938</t>
  </si>
  <si>
    <t>Sebastopol Union Elementary</t>
  </si>
  <si>
    <t>Park Side Elementary</t>
  </si>
  <si>
    <t>49 70938 6052229</t>
  </si>
  <si>
    <t>6113039</t>
  </si>
  <si>
    <t>0078</t>
  </si>
  <si>
    <t>Sebastopol Independent Charter</t>
  </si>
  <si>
    <t>49 70938 6113039</t>
  </si>
  <si>
    <t>70953</t>
  </si>
  <si>
    <t>Sonoma Valley Unified</t>
  </si>
  <si>
    <t>Sassarini Elementary</t>
  </si>
  <si>
    <t>49 70953 6052294</t>
  </si>
  <si>
    <t>0105866</t>
  </si>
  <si>
    <t>0613</t>
  </si>
  <si>
    <t>Woodland Star Charter</t>
  </si>
  <si>
    <t>49 70953 0105866</t>
  </si>
  <si>
    <t>6111678</t>
  </si>
  <si>
    <t>0009</t>
  </si>
  <si>
    <t>Sonoma Charter</t>
  </si>
  <si>
    <t>49 70953 6111678</t>
  </si>
  <si>
    <t>70961</t>
  </si>
  <si>
    <t>Twin Hills Union Elementary</t>
  </si>
  <si>
    <t>Apple Blossom</t>
  </si>
  <si>
    <t>49 70961 6093140</t>
  </si>
  <si>
    <t>4930319</t>
  </si>
  <si>
    <t>0310</t>
  </si>
  <si>
    <t>Orchard View</t>
  </si>
  <si>
    <t>49 70961 4930319</t>
  </si>
  <si>
    <t>4930350</t>
  </si>
  <si>
    <t>0481</t>
  </si>
  <si>
    <t>Sunridge Charter</t>
  </si>
  <si>
    <t>49 70961 4930350</t>
  </si>
  <si>
    <t>6052302</t>
  </si>
  <si>
    <t>0904</t>
  </si>
  <si>
    <t>Twin Hills Charter Middle</t>
  </si>
  <si>
    <t>70979</t>
  </si>
  <si>
    <t>Two Rock Union</t>
  </si>
  <si>
    <t>Two Rock Elementary</t>
  </si>
  <si>
    <t>49 70979 6052310</t>
  </si>
  <si>
    <t>70995</t>
  </si>
  <si>
    <t>Waugh Elementary</t>
  </si>
  <si>
    <t>Corona Creek Elementary</t>
  </si>
  <si>
    <t>49 70995 6114409</t>
  </si>
  <si>
    <t>71001</t>
  </si>
  <si>
    <t>West Side Union Elementary</t>
  </si>
  <si>
    <t>West Side Elementary</t>
  </si>
  <si>
    <t>49 71001 6052336</t>
  </si>
  <si>
    <t>71019</t>
  </si>
  <si>
    <t>Wilmar Union Elementary</t>
  </si>
  <si>
    <t>49 71019 6052344</t>
  </si>
  <si>
    <t>71035</t>
  </si>
  <si>
    <t>Wright Elementary</t>
  </si>
  <si>
    <t>J. X. Wilson Elementary</t>
  </si>
  <si>
    <t>49 71035 6096721</t>
  </si>
  <si>
    <t>6052377</t>
  </si>
  <si>
    <t>1087</t>
  </si>
  <si>
    <t>Wright Charter</t>
  </si>
  <si>
    <t>49 71035 6052377</t>
  </si>
  <si>
    <t>73882</t>
  </si>
  <si>
    <t>Cotati-Rohnert Park Unified</t>
  </si>
  <si>
    <t>John Reed Primary</t>
  </si>
  <si>
    <t>49 73882 6051676</t>
  </si>
  <si>
    <t>0123786</t>
  </si>
  <si>
    <t>1281</t>
  </si>
  <si>
    <t>Credo High</t>
  </si>
  <si>
    <t>75358</t>
  </si>
  <si>
    <t>Windsor Unified</t>
  </si>
  <si>
    <t>Brooks Elementary</t>
  </si>
  <si>
    <t>49 75358 6107221</t>
  </si>
  <si>
    <t>0114934</t>
  </si>
  <si>
    <t>0912</t>
  </si>
  <si>
    <t>Village Charter</t>
  </si>
  <si>
    <t>49 75358 0114934</t>
  </si>
  <si>
    <t>6052369</t>
  </si>
  <si>
    <t>0162</t>
  </si>
  <si>
    <t>Cali Calmecac Language Academy</t>
  </si>
  <si>
    <t>49 75358 6052369</t>
  </si>
  <si>
    <t>75390</t>
  </si>
  <si>
    <t>Healdsburg Unified</t>
  </si>
  <si>
    <t>Healdsburg Elementary</t>
  </si>
  <si>
    <t>49 75390 6051791</t>
  </si>
  <si>
    <t>50</t>
  </si>
  <si>
    <t>10504</t>
  </si>
  <si>
    <t>Stanislaus Co. Office of Education</t>
  </si>
  <si>
    <t>Robertson Road Elementary</t>
  </si>
  <si>
    <t>50 71167 6052799</t>
  </si>
  <si>
    <t>0117457</t>
  </si>
  <si>
    <t>0985</t>
  </si>
  <si>
    <t>Great Valley Academy</t>
  </si>
  <si>
    <t>50 10504 0117457</t>
  </si>
  <si>
    <t>0129023</t>
  </si>
  <si>
    <t>1607</t>
  </si>
  <si>
    <t>Stanislaus Alternative Charter</t>
  </si>
  <si>
    <t>71043</t>
  </si>
  <si>
    <t>Ceres Unified</t>
  </si>
  <si>
    <t>Don Pedro Elementary</t>
  </si>
  <si>
    <t>50 71043 6052443</t>
  </si>
  <si>
    <t>0107128</t>
  </si>
  <si>
    <t>0657</t>
  </si>
  <si>
    <t>Whitmore Charter School of Art &amp; Technology</t>
  </si>
  <si>
    <t>50 71043 0107128</t>
  </si>
  <si>
    <t>0107136</t>
  </si>
  <si>
    <t>0658</t>
  </si>
  <si>
    <t>Whitmore Charter High</t>
  </si>
  <si>
    <t>0112292</t>
  </si>
  <si>
    <t>0812</t>
  </si>
  <si>
    <t>Aspire Summit Charter Academy</t>
  </si>
  <si>
    <t>50 71043 0112292</t>
  </si>
  <si>
    <t>71050</t>
  </si>
  <si>
    <t>Chatom Union</t>
  </si>
  <si>
    <t>Chatom Elementary</t>
  </si>
  <si>
    <t>50 71050 6052484</t>
  </si>
  <si>
    <t>71068</t>
  </si>
  <si>
    <t>Denair Unified</t>
  </si>
  <si>
    <t>0132662</t>
  </si>
  <si>
    <t>1750</t>
  </si>
  <si>
    <t>Denair Elementary Charter Academy</t>
  </si>
  <si>
    <t>50 71068 0132662</t>
  </si>
  <si>
    <t>5030267</t>
  </si>
  <si>
    <t>0357</t>
  </si>
  <si>
    <t>Denair Charter Academy</t>
  </si>
  <si>
    <t>50 71068 5030267</t>
  </si>
  <si>
    <t>71076</t>
  </si>
  <si>
    <t>Empire Union Elementary</t>
  </si>
  <si>
    <t>Capistrano Elementary</t>
  </si>
  <si>
    <t>50 71076 6093504</t>
  </si>
  <si>
    <t>71084</t>
  </si>
  <si>
    <t>Gratton Elementary</t>
  </si>
  <si>
    <t>50 71084 6052534</t>
  </si>
  <si>
    <t>0120089</t>
  </si>
  <si>
    <t>1099</t>
  </si>
  <si>
    <t>Gratton Charter</t>
  </si>
  <si>
    <t>50 71084 0120089</t>
  </si>
  <si>
    <t>71092</t>
  </si>
  <si>
    <t>Hart-Ransom Union Elementary</t>
  </si>
  <si>
    <t>Hart-Ransom Elementary</t>
  </si>
  <si>
    <t>50 71092 6052542</t>
  </si>
  <si>
    <t>6112965</t>
  </si>
  <si>
    <t>0080</t>
  </si>
  <si>
    <t>Hart-Ransom Academic Charter</t>
  </si>
  <si>
    <t>50 71092 6112965</t>
  </si>
  <si>
    <t>71100</t>
  </si>
  <si>
    <t>Hickman Community Charter</t>
  </si>
  <si>
    <t>Hickman Elementary</t>
  </si>
  <si>
    <t>50 71100 6052559</t>
  </si>
  <si>
    <t>71134</t>
  </si>
  <si>
    <t>Keyes Union</t>
  </si>
  <si>
    <t>Keyes Elementary</t>
  </si>
  <si>
    <t>50 71134 6052591</t>
  </si>
  <si>
    <t>6113286</t>
  </si>
  <si>
    <t>0085</t>
  </si>
  <si>
    <t>Keyes to Learning Charter</t>
  </si>
  <si>
    <t>50 71134 6113286</t>
  </si>
  <si>
    <t>71142</t>
  </si>
  <si>
    <t>Knights Ferry Elementary</t>
  </si>
  <si>
    <t>50 71142 6052609</t>
  </si>
  <si>
    <t>71167</t>
  </si>
  <si>
    <t>Modesto City Elementary</t>
  </si>
  <si>
    <t>0137265</t>
  </si>
  <si>
    <t>1963</t>
  </si>
  <si>
    <t>Aspire University Charter School</t>
  </si>
  <si>
    <t>50 71167 0137265</t>
  </si>
  <si>
    <t>0138057</t>
  </si>
  <si>
    <t>1973</t>
  </si>
  <si>
    <t>Connecting Waters Charter School - Central Valley</t>
  </si>
  <si>
    <t>50 71167 0138057</t>
  </si>
  <si>
    <t>71175</t>
  </si>
  <si>
    <t>Modesto City High</t>
  </si>
  <si>
    <t>0120212</t>
  </si>
  <si>
    <t>1125</t>
  </si>
  <si>
    <t>Aspire Vanguard College Preparatory Academy</t>
  </si>
  <si>
    <t>50 71175 0120212</t>
  </si>
  <si>
    <t>71209</t>
  </si>
  <si>
    <t>Paradise Elementary</t>
  </si>
  <si>
    <t>50 71209 6052914</t>
  </si>
  <si>
    <t>0112383</t>
  </si>
  <si>
    <t>0803</t>
  </si>
  <si>
    <t>Paradise Charter</t>
  </si>
  <si>
    <t>50 71209 0112383</t>
  </si>
  <si>
    <t>71217</t>
  </si>
  <si>
    <t>Patterson Joint Unified</t>
  </si>
  <si>
    <t>Grayson Elementary</t>
  </si>
  <si>
    <t>50 71217 6052922</t>
  </si>
  <si>
    <t>71233</t>
  </si>
  <si>
    <t>Roberts Ferry Union Elementary</t>
  </si>
  <si>
    <t>50 71233 6053011</t>
  </si>
  <si>
    <t>0121525</t>
  </si>
  <si>
    <t>1171</t>
  </si>
  <si>
    <t>Roberts Ferry Charter School Academy</t>
  </si>
  <si>
    <t>50 71233 0121525</t>
  </si>
  <si>
    <t>71266</t>
  </si>
  <si>
    <t>Salida Union Elementary</t>
  </si>
  <si>
    <t>Salida Elementary</t>
  </si>
  <si>
    <t>50 71266 6053037</t>
  </si>
  <si>
    <t>0124768</t>
  </si>
  <si>
    <t>1819</t>
  </si>
  <si>
    <t>Great Valley Academy - Salida</t>
  </si>
  <si>
    <t>50 71266 0124768</t>
  </si>
  <si>
    <t>71274</t>
  </si>
  <si>
    <t>Shiloh Elementary</t>
  </si>
  <si>
    <t>50 71274 6053045</t>
  </si>
  <si>
    <t>0121558</t>
  </si>
  <si>
    <t>1175</t>
  </si>
  <si>
    <t>Shiloh Charter</t>
  </si>
  <si>
    <t>50 71274 0121558</t>
  </si>
  <si>
    <t>71282</t>
  </si>
  <si>
    <t>Stanislaus Union Elementary</t>
  </si>
  <si>
    <t>Josephine Chrysler Elementary</t>
  </si>
  <si>
    <t>50 71282 6053060</t>
  </si>
  <si>
    <t>71290</t>
  </si>
  <si>
    <t>Sylvan Union Elementary</t>
  </si>
  <si>
    <t>Coleman F. Brown Elementary</t>
  </si>
  <si>
    <t>50 71290 6071583</t>
  </si>
  <si>
    <t>71324</t>
  </si>
  <si>
    <t>Valley Home Joint Elementary</t>
  </si>
  <si>
    <t>Valley Home Elementary</t>
  </si>
  <si>
    <t>50 71324 6053201</t>
  </si>
  <si>
    <t>73601</t>
  </si>
  <si>
    <t>Newman-Crows Landing Unified</t>
  </si>
  <si>
    <t>Hunt Elementary</t>
  </si>
  <si>
    <t>50 73601 0101188</t>
  </si>
  <si>
    <t>75549</t>
  </si>
  <si>
    <t>Hughson Unified</t>
  </si>
  <si>
    <t>Fox Road Elementary</t>
  </si>
  <si>
    <t>50 75549 0101030</t>
  </si>
  <si>
    <t>75556</t>
  </si>
  <si>
    <t>Riverbank Unified</t>
  </si>
  <si>
    <t>Mesa Verde Elementary</t>
  </si>
  <si>
    <t>50 75556 0118810</t>
  </si>
  <si>
    <t>0113852</t>
  </si>
  <si>
    <t>0856</t>
  </si>
  <si>
    <t>Riverbank Language Academy</t>
  </si>
  <si>
    <t>50 75556 0113852</t>
  </si>
  <si>
    <t>75564</t>
  </si>
  <si>
    <t>Oakdale Joint Unified</t>
  </si>
  <si>
    <t>50 75564 6100390</t>
  </si>
  <si>
    <t>5030176</t>
  </si>
  <si>
    <t>0103</t>
  </si>
  <si>
    <t>Oakdale Charter</t>
  </si>
  <si>
    <t>75572</t>
  </si>
  <si>
    <t>Waterford Unified</t>
  </si>
  <si>
    <t>Lucille Whitehead Intermediate</t>
  </si>
  <si>
    <t>50 75572 0117770</t>
  </si>
  <si>
    <t>5030317</t>
  </si>
  <si>
    <t>0477</t>
  </si>
  <si>
    <t>Connecting Waters Charter</t>
  </si>
  <si>
    <t>50 75572 5030317</t>
  </si>
  <si>
    <t>75739</t>
  </si>
  <si>
    <t>Turlock Unified</t>
  </si>
  <si>
    <t>Crowell Elementary</t>
  </si>
  <si>
    <t>50 75739 6053151</t>
  </si>
  <si>
    <t>0124669</t>
  </si>
  <si>
    <t>1309</t>
  </si>
  <si>
    <t>eCademy Charter at Crane</t>
  </si>
  <si>
    <t>50 75739 0124669</t>
  </si>
  <si>
    <t>0131185</t>
  </si>
  <si>
    <t>1695</t>
  </si>
  <si>
    <t>Fusion Charter</t>
  </si>
  <si>
    <t>51</t>
  </si>
  <si>
    <t>10512</t>
  </si>
  <si>
    <t>Sutter Co. Office of Education</t>
  </si>
  <si>
    <t>Park Avenue Elementary</t>
  </si>
  <si>
    <t>51 71464 6053425</t>
  </si>
  <si>
    <t>0138040</t>
  </si>
  <si>
    <t>2000</t>
  </si>
  <si>
    <t>AeroSTEM Academy</t>
  </si>
  <si>
    <t>51 10512 0138040</t>
  </si>
  <si>
    <t>0140152</t>
  </si>
  <si>
    <t>2089</t>
  </si>
  <si>
    <t>Pathways Charter Academy</t>
  </si>
  <si>
    <t>71357</t>
  </si>
  <si>
    <t>Brittan Elementary</t>
  </si>
  <si>
    <t>51 71357 6053235</t>
  </si>
  <si>
    <t>71365</t>
  </si>
  <si>
    <t>Browns Elementary</t>
  </si>
  <si>
    <t>51 71365 6053243</t>
  </si>
  <si>
    <t>71373</t>
  </si>
  <si>
    <t>East Nicolaus Joint Union High</t>
  </si>
  <si>
    <t>0141226</t>
  </si>
  <si>
    <t>2123</t>
  </si>
  <si>
    <t>Spartan Academy</t>
  </si>
  <si>
    <t>71381</t>
  </si>
  <si>
    <t>Franklin Elementary</t>
  </si>
  <si>
    <t>51 71381 6053250</t>
  </si>
  <si>
    <t>71399</t>
  </si>
  <si>
    <t>Live Oak Unified</t>
  </si>
  <si>
    <t>Luther Elementary</t>
  </si>
  <si>
    <t>51 71399 6053284</t>
  </si>
  <si>
    <t>71407</t>
  </si>
  <si>
    <t>Marcum-Illinois Union Elementary</t>
  </si>
  <si>
    <t>51 71407 6053292</t>
  </si>
  <si>
    <t>0109793</t>
  </si>
  <si>
    <t>0724</t>
  </si>
  <si>
    <t>South Sutter Charter</t>
  </si>
  <si>
    <t>51 71407 0109793</t>
  </si>
  <si>
    <t>71415</t>
  </si>
  <si>
    <t>Meridian Elementary</t>
  </si>
  <si>
    <t>51 71415 6053300</t>
  </si>
  <si>
    <t>0129007</t>
  </si>
  <si>
    <t>1606</t>
  </si>
  <si>
    <t>California Virtual Academy @ Sutter</t>
  </si>
  <si>
    <t>51 71415 0129007</t>
  </si>
  <si>
    <t>71423</t>
  </si>
  <si>
    <t>Nuestro Elementary</t>
  </si>
  <si>
    <t>51 71423 6053318</t>
  </si>
  <si>
    <t>0132977</t>
  </si>
  <si>
    <t>1764</t>
  </si>
  <si>
    <t>Sutter Peak Charter Academy</t>
  </si>
  <si>
    <t>51 71423 0132977</t>
  </si>
  <si>
    <t>71431</t>
  </si>
  <si>
    <t>Pleasant Grove Joint Union</t>
  </si>
  <si>
    <t>Pleasant Grove</t>
  </si>
  <si>
    <t>51 71431 6053326</t>
  </si>
  <si>
    <t>71449</t>
  </si>
  <si>
    <t>Sutter Union High</t>
  </si>
  <si>
    <t>71456</t>
  </si>
  <si>
    <t>Winship-Robbins</t>
  </si>
  <si>
    <t>Robbins Elementary</t>
  </si>
  <si>
    <t>51 71456 6053433</t>
  </si>
  <si>
    <t>0133934</t>
  </si>
  <si>
    <t>1801</t>
  </si>
  <si>
    <t>Feather River Charter</t>
  </si>
  <si>
    <t>51 71456 0133934</t>
  </si>
  <si>
    <t>71464</t>
  </si>
  <si>
    <t>Yuba City Unified</t>
  </si>
  <si>
    <t>0107318</t>
  </si>
  <si>
    <t>0639</t>
  </si>
  <si>
    <t>Twin Rivers Charter</t>
  </si>
  <si>
    <t>51 71464 0107318</t>
  </si>
  <si>
    <t>5130125</t>
  </si>
  <si>
    <t>0289</t>
  </si>
  <si>
    <t>Yuba City Charter</t>
  </si>
  <si>
    <t>51 71464 5130125</t>
  </si>
  <si>
    <t>52</t>
  </si>
  <si>
    <t>10520</t>
  </si>
  <si>
    <t>Tehama Co. Office of Education</t>
  </si>
  <si>
    <t>Rancho Tehama Elementary</t>
  </si>
  <si>
    <t>52 71498 6112486</t>
  </si>
  <si>
    <t>6119606</t>
  </si>
  <si>
    <t>1667</t>
  </si>
  <si>
    <t>Lincoln Street</t>
  </si>
  <si>
    <t>52 10520 6119606</t>
  </si>
  <si>
    <t>6119671</t>
  </si>
  <si>
    <t>0430</t>
  </si>
  <si>
    <t>Tehama eLearning Academy</t>
  </si>
  <si>
    <t>71472</t>
  </si>
  <si>
    <t>Plum Valley Elementary</t>
  </si>
  <si>
    <t>52 71472 6053615</t>
  </si>
  <si>
    <t>0134403</t>
  </si>
  <si>
    <t>1813</t>
  </si>
  <si>
    <t>Lassen-Antelope Volcanic Academy (LAVA) Charter</t>
  </si>
  <si>
    <t>71498</t>
  </si>
  <si>
    <t>Corning Union Elementary</t>
  </si>
  <si>
    <t>71506</t>
  </si>
  <si>
    <t>Corning Union High</t>
  </si>
  <si>
    <t>71522</t>
  </si>
  <si>
    <t>Evergreen Union</t>
  </si>
  <si>
    <t>52 71522 6053516</t>
  </si>
  <si>
    <t>0132597</t>
  </si>
  <si>
    <t>1754</t>
  </si>
  <si>
    <t>Evergreen Institute of Excellence</t>
  </si>
  <si>
    <t>52 71522 0132597</t>
  </si>
  <si>
    <t>71530</t>
  </si>
  <si>
    <t>Flournoy Union Elementary</t>
  </si>
  <si>
    <t>Flournoy Elementary</t>
  </si>
  <si>
    <t>52 71530 6053524</t>
  </si>
  <si>
    <t>71548</t>
  </si>
  <si>
    <t>Gerber Union Elementary</t>
  </si>
  <si>
    <t>Gerber Elementary</t>
  </si>
  <si>
    <t>52 71548 6053532</t>
  </si>
  <si>
    <t>71555</t>
  </si>
  <si>
    <t>Kirkwood Elementary</t>
  </si>
  <si>
    <t>52 71555 6053540</t>
  </si>
  <si>
    <t>71563</t>
  </si>
  <si>
    <t>Lassen View Union Elementary</t>
  </si>
  <si>
    <t>Lassen View Elementary</t>
  </si>
  <si>
    <t>52 71563 6053557</t>
  </si>
  <si>
    <t>71571</t>
  </si>
  <si>
    <t>Los Molinos Unified</t>
  </si>
  <si>
    <t>Los Molinos Elementary</t>
  </si>
  <si>
    <t>52 71571 6053565</t>
  </si>
  <si>
    <t>71621</t>
  </si>
  <si>
    <t>Red Bluff Union Elementary</t>
  </si>
  <si>
    <t>William M. Metteer Elementary</t>
  </si>
  <si>
    <t>52 71621 6106686</t>
  </si>
  <si>
    <t>71639</t>
  </si>
  <si>
    <t>Red Bluff Joint Union High</t>
  </si>
  <si>
    <t>71647</t>
  </si>
  <si>
    <t>Reeds Creek Elementary</t>
  </si>
  <si>
    <t>52 71647 6053664</t>
  </si>
  <si>
    <t>71654</t>
  </si>
  <si>
    <t>Richfield Elementary</t>
  </si>
  <si>
    <t>52 71654 6053672</t>
  </si>
  <si>
    <t>53</t>
  </si>
  <si>
    <t>10538</t>
  </si>
  <si>
    <t>Trinity Co. Office of Education</t>
  </si>
  <si>
    <t>Trinity Center Elementary</t>
  </si>
  <si>
    <t>53 71761 6053813</t>
  </si>
  <si>
    <t>0125633</t>
  </si>
  <si>
    <t>1809</t>
  </si>
  <si>
    <t>California Heritage Youthbuild Academy II</t>
  </si>
  <si>
    <t>71662</t>
  </si>
  <si>
    <t>Burnt Ranch Elementary</t>
  </si>
  <si>
    <t>53 71662 6053680</t>
  </si>
  <si>
    <t>71670</t>
  </si>
  <si>
    <t>Coffee Creek Elementary</t>
  </si>
  <si>
    <t>53 71670 6053706</t>
  </si>
  <si>
    <t>71696</t>
  </si>
  <si>
    <t>Douglas City Elementary</t>
  </si>
  <si>
    <t>53 71696 6053722</t>
  </si>
  <si>
    <t>71738</t>
  </si>
  <si>
    <t>Junction City Elementary</t>
  </si>
  <si>
    <t>53 71738 6053771</t>
  </si>
  <si>
    <t>71746</t>
  </si>
  <si>
    <t>Lewiston Elementary</t>
  </si>
  <si>
    <t>53 71746 6053789</t>
  </si>
  <si>
    <t>71761</t>
  </si>
  <si>
    <t>73833</t>
  </si>
  <si>
    <t>Southern Trinity Joint Unified</t>
  </si>
  <si>
    <t>Van Duzen Elementary</t>
  </si>
  <si>
    <t>53 73833 6053805</t>
  </si>
  <si>
    <t>75028</t>
  </si>
  <si>
    <t>Mountain Valley Unified</t>
  </si>
  <si>
    <t>Hayfork Elementary</t>
  </si>
  <si>
    <t>53 75028 6053730</t>
  </si>
  <si>
    <t>76513</t>
  </si>
  <si>
    <t>Trinity Alps Unified</t>
  </si>
  <si>
    <t>Weaverville Elementary</t>
  </si>
  <si>
    <t>53 76513 6053821</t>
  </si>
  <si>
    <t>54</t>
  </si>
  <si>
    <t>10546</t>
  </si>
  <si>
    <t>Tulare Co. Office of Education</t>
  </si>
  <si>
    <t>Allensworth Elementary</t>
  </si>
  <si>
    <t>54 71795 6053839</t>
  </si>
  <si>
    <t>0119602</t>
  </si>
  <si>
    <t>1076</t>
  </si>
  <si>
    <t>University Preparatory High</t>
  </si>
  <si>
    <t>0124057</t>
  </si>
  <si>
    <t>1293</t>
  </si>
  <si>
    <t>Valley Life Charter</t>
  </si>
  <si>
    <t>54 10546 0124057</t>
  </si>
  <si>
    <t>0125542</t>
  </si>
  <si>
    <t>1382</t>
  </si>
  <si>
    <t>Sycamore Valley Academy</t>
  </si>
  <si>
    <t>54 10546 0125542</t>
  </si>
  <si>
    <t>0135459</t>
  </si>
  <si>
    <t>1860</t>
  </si>
  <si>
    <t>Blue Oak Academy</t>
  </si>
  <si>
    <t>54 10546 0135459</t>
  </si>
  <si>
    <t>5430327</t>
  </si>
  <si>
    <t>0341</t>
  </si>
  <si>
    <t>La Sierra High</t>
  </si>
  <si>
    <t>6119291</t>
  </si>
  <si>
    <t>0395</t>
  </si>
  <si>
    <t>Eleanor Roosevelt Community Learning Center</t>
  </si>
  <si>
    <t>54 10546 6119291</t>
  </si>
  <si>
    <t>71795</t>
  </si>
  <si>
    <t>71803</t>
  </si>
  <si>
    <t>Alpaugh Unified</t>
  </si>
  <si>
    <t>Alpaugh Elementary</t>
  </si>
  <si>
    <t>54 71803 6053847</t>
  </si>
  <si>
    <t>0112458</t>
  </si>
  <si>
    <t>0804</t>
  </si>
  <si>
    <t>California Connections Academy Central Valley</t>
  </si>
  <si>
    <t>54 71803 0112458</t>
  </si>
  <si>
    <t>71811</t>
  </si>
  <si>
    <t>Alta Vista Elementary</t>
  </si>
  <si>
    <t>54 71811 6053854</t>
  </si>
  <si>
    <t>0139477</t>
  </si>
  <si>
    <t>2057</t>
  </si>
  <si>
    <t>Monarch River Academy</t>
  </si>
  <si>
    <t>54 71811 0139477</t>
  </si>
  <si>
    <t>71829</t>
  </si>
  <si>
    <t>Buena Vista Elementary</t>
  </si>
  <si>
    <t>54 71829 6053862</t>
  </si>
  <si>
    <t>71837</t>
  </si>
  <si>
    <t>Burton Elementary</t>
  </si>
  <si>
    <t>Jim Maples Academy</t>
  </si>
  <si>
    <t>54 71837 6120232</t>
  </si>
  <si>
    <t>0109009</t>
  </si>
  <si>
    <t>0690</t>
  </si>
  <si>
    <t>Summit Charter Academy</t>
  </si>
  <si>
    <t>54 71837 0109009</t>
  </si>
  <si>
    <t>71852</t>
  </si>
  <si>
    <t>Columbine Elementary</t>
  </si>
  <si>
    <t>54 71852 6053896</t>
  </si>
  <si>
    <t>71860</t>
  </si>
  <si>
    <t>Cutler-Orosi Joint Unified</t>
  </si>
  <si>
    <t>Cutler Elementary</t>
  </si>
  <si>
    <t>54 71860 6053904</t>
  </si>
  <si>
    <t>71894</t>
  </si>
  <si>
    <t>Ducor Union Elementary</t>
  </si>
  <si>
    <t>54 71894 6054019</t>
  </si>
  <si>
    <t>71902</t>
  </si>
  <si>
    <t>Earlimart Elementary</t>
  </si>
  <si>
    <t>Alila</t>
  </si>
  <si>
    <t>54 71902 5430335</t>
  </si>
  <si>
    <t>71944</t>
  </si>
  <si>
    <t>54 71944 6054092</t>
  </si>
  <si>
    <t>71951</t>
  </si>
  <si>
    <t>Hot Springs Elementary</t>
  </si>
  <si>
    <t>54 71951 6054100</t>
  </si>
  <si>
    <t>71969</t>
  </si>
  <si>
    <t>Kings River Union Elementary</t>
  </si>
  <si>
    <t>Kings River Elementary</t>
  </si>
  <si>
    <t>54 71969 6054126</t>
  </si>
  <si>
    <t>71985</t>
  </si>
  <si>
    <t>54 71985 6054134</t>
  </si>
  <si>
    <t>71993</t>
  </si>
  <si>
    <t>Lindsay Unified</t>
  </si>
  <si>
    <t>54 71993 6054142</t>
  </si>
  <si>
    <t>0124776</t>
  </si>
  <si>
    <t>1329</t>
  </si>
  <si>
    <t>Loma Vista Charter</t>
  </si>
  <si>
    <t>54 71993 0124776</t>
  </si>
  <si>
    <t>72009</t>
  </si>
  <si>
    <t>Monson-Sultana Joint Union Elementary</t>
  </si>
  <si>
    <t>Monson-Sultana Elementary</t>
  </si>
  <si>
    <t>54 72009 6054167</t>
  </si>
  <si>
    <t>72017</t>
  </si>
  <si>
    <t>Oak Valley Union Elementary</t>
  </si>
  <si>
    <t>54 72017 6054175</t>
  </si>
  <si>
    <t>72025</t>
  </si>
  <si>
    <t>Outside Creek Elementary</t>
  </si>
  <si>
    <t>54 72025 6054183</t>
  </si>
  <si>
    <t>72033</t>
  </si>
  <si>
    <t>Palo Verde Union Elementary</t>
  </si>
  <si>
    <t>Palo Verde Elementary</t>
  </si>
  <si>
    <t>54 72033 6054191</t>
  </si>
  <si>
    <t>72041</t>
  </si>
  <si>
    <t>Pixley Union Elementary</t>
  </si>
  <si>
    <t>Pixley Elementary</t>
  </si>
  <si>
    <t>54 72041 6054209</t>
  </si>
  <si>
    <t>72058</t>
  </si>
  <si>
    <t>Pleasant View Elementary</t>
  </si>
  <si>
    <t>54 72058 6054217</t>
  </si>
  <si>
    <t>72082</t>
  </si>
  <si>
    <t>Richgrove Elementary</t>
  </si>
  <si>
    <t>54 72082 6114672</t>
  </si>
  <si>
    <t>72090</t>
  </si>
  <si>
    <t>Rockford Elementary</t>
  </si>
  <si>
    <t>54 72090 6054324</t>
  </si>
  <si>
    <t>72108</t>
  </si>
  <si>
    <t>Saucelito Elementary</t>
  </si>
  <si>
    <t>54 72108 6054332</t>
  </si>
  <si>
    <t>72116</t>
  </si>
  <si>
    <t>Sequoia Union Elementary</t>
  </si>
  <si>
    <t>6054340</t>
  </si>
  <si>
    <t>1829</t>
  </si>
  <si>
    <t>Sequoia Elementary Charter</t>
  </si>
  <si>
    <t>54 72116 6054340</t>
  </si>
  <si>
    <t>72132</t>
  </si>
  <si>
    <t>Springville Union Elementary</t>
  </si>
  <si>
    <t>Springville Elementary</t>
  </si>
  <si>
    <t>54 72132 6054365</t>
  </si>
  <si>
    <t>72140</t>
  </si>
  <si>
    <t>Stone Corral Elementary</t>
  </si>
  <si>
    <t>54 72140 6054373</t>
  </si>
  <si>
    <t>0136507</t>
  </si>
  <si>
    <t>1894</t>
  </si>
  <si>
    <t>Crescent Valley Public Charter II</t>
  </si>
  <si>
    <t>54 72140 0136507</t>
  </si>
  <si>
    <t>72157</t>
  </si>
  <si>
    <t>Strathmore Union Elementary</t>
  </si>
  <si>
    <t>Strathmore Elementary</t>
  </si>
  <si>
    <t>54 72157 0114595</t>
  </si>
  <si>
    <t>72173</t>
  </si>
  <si>
    <t>Sundale Union Elementary</t>
  </si>
  <si>
    <t>Sundale Elementary</t>
  </si>
  <si>
    <t>54 72173 6054399</t>
  </si>
  <si>
    <t>72181</t>
  </si>
  <si>
    <t>Sunnyside Union Elementary</t>
  </si>
  <si>
    <t>Sunnyside Elementary</t>
  </si>
  <si>
    <t>54 72181 6054407</t>
  </si>
  <si>
    <t>72199</t>
  </si>
  <si>
    <t>Terra Bella Union Elementary</t>
  </si>
  <si>
    <t>Terra Bella Elementary</t>
  </si>
  <si>
    <t>54 72199 6054415</t>
  </si>
  <si>
    <t>72207</t>
  </si>
  <si>
    <t>Three Rivers Union Elementary</t>
  </si>
  <si>
    <t>Three Rivers Elementary</t>
  </si>
  <si>
    <t>54 72207 6054423</t>
  </si>
  <si>
    <t>72215</t>
  </si>
  <si>
    <t>Tipton Elementary</t>
  </si>
  <si>
    <t>54 72215 6054431</t>
  </si>
  <si>
    <t>72223</t>
  </si>
  <si>
    <t>Traver Joint Elementary</t>
  </si>
  <si>
    <t>Traver Elementary</t>
  </si>
  <si>
    <t>54 72223 6054449</t>
  </si>
  <si>
    <t>72231</t>
  </si>
  <si>
    <t>Tulare City</t>
  </si>
  <si>
    <t>54 72231 6054498</t>
  </si>
  <si>
    <t>72249</t>
  </si>
  <si>
    <t>Tulare Joint Union High</t>
  </si>
  <si>
    <t>0130708</t>
  </si>
  <si>
    <t>1664</t>
  </si>
  <si>
    <t>Sierra Vista Charter high</t>
  </si>
  <si>
    <t>0133793</t>
  </si>
  <si>
    <t>1781</t>
  </si>
  <si>
    <t>Accelerated Charter High</t>
  </si>
  <si>
    <t>72256</t>
  </si>
  <si>
    <t>Visalia Unified</t>
  </si>
  <si>
    <t>Highland Elementary</t>
  </si>
  <si>
    <t>54 72256 6054613</t>
  </si>
  <si>
    <t>0109751</t>
  </si>
  <si>
    <t>0720</t>
  </si>
  <si>
    <t>Visalia Charter Independent Study</t>
  </si>
  <si>
    <t>0120659</t>
  </si>
  <si>
    <t>1128</t>
  </si>
  <si>
    <t>Visalia Technical Early College</t>
  </si>
  <si>
    <t>0135863</t>
  </si>
  <si>
    <t>1870</t>
  </si>
  <si>
    <t>Global Learning Charter School</t>
  </si>
  <si>
    <t>54 72256 0135863</t>
  </si>
  <si>
    <t>6116909</t>
  </si>
  <si>
    <t>0250</t>
  </si>
  <si>
    <t>Charter Home School Academy</t>
  </si>
  <si>
    <t>54 72256 6116909</t>
  </si>
  <si>
    <t>72264</t>
  </si>
  <si>
    <t>Waukena Joint Union Elementary</t>
  </si>
  <si>
    <t>54 72264 6054753</t>
  </si>
  <si>
    <t>72298</t>
  </si>
  <si>
    <t>Woodville Union Elementary</t>
  </si>
  <si>
    <t>Woodville Elementary</t>
  </si>
  <si>
    <t>54 72298 6054779</t>
  </si>
  <si>
    <t>75325</t>
  </si>
  <si>
    <t>Farmersville Unified</t>
  </si>
  <si>
    <t>George L. Snowden Elementary</t>
  </si>
  <si>
    <t>54 75325 6054076</t>
  </si>
  <si>
    <t>75523</t>
  </si>
  <si>
    <t>Porterville Unified</t>
  </si>
  <si>
    <t>John J. Doyle Elementary</t>
  </si>
  <si>
    <t>54 75523 6054241</t>
  </si>
  <si>
    <t>0114348</t>
  </si>
  <si>
    <t>0867</t>
  </si>
  <si>
    <t>Butterfield Charter</t>
  </si>
  <si>
    <t>54 75523 0114348</t>
  </si>
  <si>
    <t>0116590</t>
  </si>
  <si>
    <t>0970</t>
  </si>
  <si>
    <t>Harmony Magnet Academy</t>
  </si>
  <si>
    <t>0137968</t>
  </si>
  <si>
    <t>1956</t>
  </si>
  <si>
    <t>Porterville Military Academy</t>
  </si>
  <si>
    <t>75531</t>
  </si>
  <si>
    <t>Dinuba Unified</t>
  </si>
  <si>
    <t>John F. Kennedy Elementary</t>
  </si>
  <si>
    <t>54 75531 0102707</t>
  </si>
  <si>
    <t>76794</t>
  </si>
  <si>
    <t>Woodlake Unified</t>
  </si>
  <si>
    <t>54 76794 6108286</t>
  </si>
  <si>
    <t>76836</t>
  </si>
  <si>
    <t>Exeter Unified</t>
  </si>
  <si>
    <t>54 76836 6054043</t>
  </si>
  <si>
    <t>55</t>
  </si>
  <si>
    <t>10553</t>
  </si>
  <si>
    <t>Tuolumne County Superintendent of Schools</t>
  </si>
  <si>
    <t>Jamestown Elementary</t>
  </si>
  <si>
    <t>55 72363 6054902</t>
  </si>
  <si>
    <t>72306</t>
  </si>
  <si>
    <t>Belleview Elementary</t>
  </si>
  <si>
    <t>55 72306 6054829</t>
  </si>
  <si>
    <t>72348</t>
  </si>
  <si>
    <t>Columbia Union</t>
  </si>
  <si>
    <t>55 72348 6054860</t>
  </si>
  <si>
    <t>72355</t>
  </si>
  <si>
    <t>Curtis Creek Elementary</t>
  </si>
  <si>
    <t>55 72355 6054894</t>
  </si>
  <si>
    <t>72363</t>
  </si>
  <si>
    <t>72371</t>
  </si>
  <si>
    <t>Sonora Elementary</t>
  </si>
  <si>
    <t>55 72371 6054910</t>
  </si>
  <si>
    <t>72389</t>
  </si>
  <si>
    <t>Sonora Union High</t>
  </si>
  <si>
    <t>72397</t>
  </si>
  <si>
    <t>Soulsbyville Elementary</t>
  </si>
  <si>
    <t>55 72397 6054928</t>
  </si>
  <si>
    <t>72405</t>
  </si>
  <si>
    <t>Summerville Elementary</t>
  </si>
  <si>
    <t>55 72405 6054936</t>
  </si>
  <si>
    <t>72413</t>
  </si>
  <si>
    <t>Summerville Union High</t>
  </si>
  <si>
    <t>0112276</t>
  </si>
  <si>
    <t>0807</t>
  </si>
  <si>
    <t>Gold Rush Home Study Charter</t>
  </si>
  <si>
    <t>55 72413 0112276</t>
  </si>
  <si>
    <t>5530191</t>
  </si>
  <si>
    <t>0408</t>
  </si>
  <si>
    <t>Connections Visual and Performing Arts Academy</t>
  </si>
  <si>
    <t>72421</t>
  </si>
  <si>
    <t>Twain Harte</t>
  </si>
  <si>
    <t>55 72421 6115018</t>
  </si>
  <si>
    <t>75184</t>
  </si>
  <si>
    <t>Big Oak Flat-Groveland Unified</t>
  </si>
  <si>
    <t>Tenaya Elementary</t>
  </si>
  <si>
    <t>55 75184 6054837</t>
  </si>
  <si>
    <t>56</t>
  </si>
  <si>
    <t>10561</t>
  </si>
  <si>
    <t>Ventura Co. Office of Education</t>
  </si>
  <si>
    <t>Art Haycox Elementary</t>
  </si>
  <si>
    <t>56 72462 6055024</t>
  </si>
  <si>
    <t>0109900</t>
  </si>
  <si>
    <t>0735</t>
  </si>
  <si>
    <t>Vista Real Charter High</t>
  </si>
  <si>
    <t>0112417</t>
  </si>
  <si>
    <t>0805</t>
  </si>
  <si>
    <t>Ventura Charter School of Arts and Global Education</t>
  </si>
  <si>
    <t>56 10561 0112417</t>
  </si>
  <si>
    <t>0121756</t>
  </si>
  <si>
    <t>1203</t>
  </si>
  <si>
    <t>BRIDGES Charter</t>
  </si>
  <si>
    <t>56 10561 0121756</t>
  </si>
  <si>
    <t>0122713</t>
  </si>
  <si>
    <t>1256</t>
  </si>
  <si>
    <t>River Oaks Academy</t>
  </si>
  <si>
    <t>56 10561 0122713</t>
  </si>
  <si>
    <t>6055974</t>
  </si>
  <si>
    <t>1072</t>
  </si>
  <si>
    <t>Meadows Arts and Technology Elementary</t>
  </si>
  <si>
    <t>56 10561 6055974</t>
  </si>
  <si>
    <t>72447</t>
  </si>
  <si>
    <t>Briggs Elementary</t>
  </si>
  <si>
    <t>Olivelands Elementary</t>
  </si>
  <si>
    <t>56 72447 6054977</t>
  </si>
  <si>
    <t>72454</t>
  </si>
  <si>
    <t>Fillmore Unified</t>
  </si>
  <si>
    <t>Piru Elementary</t>
  </si>
  <si>
    <t>56 72454 6054985</t>
  </si>
  <si>
    <t>72462</t>
  </si>
  <si>
    <t>Hueneme Elementary</t>
  </si>
  <si>
    <t>72470</t>
  </si>
  <si>
    <t>Mesa Union Elementary</t>
  </si>
  <si>
    <t>Mesa Elementary</t>
  </si>
  <si>
    <t>56 72470 6055123</t>
  </si>
  <si>
    <t>5630363</t>
  </si>
  <si>
    <t>0356</t>
  </si>
  <si>
    <t>Golden Valley Charter</t>
  </si>
  <si>
    <t>56 72470 5630363</t>
  </si>
  <si>
    <t>72504</t>
  </si>
  <si>
    <t>Mupu Elementary</t>
  </si>
  <si>
    <t>56 72504 6055156</t>
  </si>
  <si>
    <t>72512</t>
  </si>
  <si>
    <t>Mar Vista Elementary</t>
  </si>
  <si>
    <t>56 72512 6055172</t>
  </si>
  <si>
    <t>72520</t>
  </si>
  <si>
    <t>Ojai Unified</t>
  </si>
  <si>
    <t>Meiners Oaks Elementary</t>
  </si>
  <si>
    <t>56 72520 6055198</t>
  </si>
  <si>
    <t>5630405</t>
  </si>
  <si>
    <t>0501</t>
  </si>
  <si>
    <t>Valley Oak Charter</t>
  </si>
  <si>
    <t>56 72520 5630405</t>
  </si>
  <si>
    <t>72538</t>
  </si>
  <si>
    <t>Oxnard</t>
  </si>
  <si>
    <t>Kamala Elementary</t>
  </si>
  <si>
    <t>56 72538 6055339</t>
  </si>
  <si>
    <t>72546</t>
  </si>
  <si>
    <t>Oxnard Union High</t>
  </si>
  <si>
    <t>0115105</t>
  </si>
  <si>
    <t>0943</t>
  </si>
  <si>
    <t>Camarillo Academy of Progressive Education</t>
  </si>
  <si>
    <t>56 72546 0115105</t>
  </si>
  <si>
    <t>0120634</t>
  </si>
  <si>
    <t>1126</t>
  </si>
  <si>
    <t>Architecture, Construction &amp; Engineering Charter High (ACE)</t>
  </si>
  <si>
    <t>72553</t>
  </si>
  <si>
    <t>Pleasant Valley</t>
  </si>
  <si>
    <t>Pleasant Valley School of Engineering and Arts</t>
  </si>
  <si>
    <t>56 72553 6055412</t>
  </si>
  <si>
    <t>0139592</t>
  </si>
  <si>
    <t>2062</t>
  </si>
  <si>
    <t>Peak Prep Pleasant Valley</t>
  </si>
  <si>
    <t>56 72553 0139592</t>
  </si>
  <si>
    <t>6120620</t>
  </si>
  <si>
    <t>0464</t>
  </si>
  <si>
    <t>University Preparation Charter School at CSU Channel Islands</t>
  </si>
  <si>
    <t>56 72553 6120620</t>
  </si>
  <si>
    <t>72561</t>
  </si>
  <si>
    <t>Rio Elementary</t>
  </si>
  <si>
    <t>Rio Plaza Elementary</t>
  </si>
  <si>
    <t>56 72561 6055511</t>
  </si>
  <si>
    <t>72579</t>
  </si>
  <si>
    <t>Santa Clara Elementary</t>
  </si>
  <si>
    <t>56 72579 6055537</t>
  </si>
  <si>
    <t>72603</t>
  </si>
  <si>
    <t>Simi Valley Unified</t>
  </si>
  <si>
    <t>Park View Elementary</t>
  </si>
  <si>
    <t>56 72603 6055768</t>
  </si>
  <si>
    <t>72611</t>
  </si>
  <si>
    <t>Somis Union</t>
  </si>
  <si>
    <t>Somis Elementary</t>
  </si>
  <si>
    <t>56 72611 6055834</t>
  </si>
  <si>
    <t>72652</t>
  </si>
  <si>
    <t>Ventura Unified</t>
  </si>
  <si>
    <t>Sheridan Way Elementary</t>
  </si>
  <si>
    <t>56 72652 6056212</t>
  </si>
  <si>
    <t>73759</t>
  </si>
  <si>
    <t>Conejo Valley Unified</t>
  </si>
  <si>
    <t>Conejo Elementary</t>
  </si>
  <si>
    <t>56 73759 6055933</t>
  </si>
  <si>
    <t>73874</t>
  </si>
  <si>
    <t>Oak Park Unified</t>
  </si>
  <si>
    <t>Oak Hills Elementary</t>
  </si>
  <si>
    <t>56 73874 6107528</t>
  </si>
  <si>
    <t>73940</t>
  </si>
  <si>
    <t>Moorpark Unified</t>
  </si>
  <si>
    <t>Flory Academy of Sciences and Technology</t>
  </si>
  <si>
    <t>56 73940 6055131</t>
  </si>
  <si>
    <t>0121426</t>
  </si>
  <si>
    <t>1202</t>
  </si>
  <si>
    <t>IvyTech Charter</t>
  </si>
  <si>
    <t>76828</t>
  </si>
  <si>
    <t>Santa Paula Unified</t>
  </si>
  <si>
    <t>Barbara Webster Elementary</t>
  </si>
  <si>
    <t>56 76828 6055545</t>
  </si>
  <si>
    <t>57</t>
  </si>
  <si>
    <t>10579</t>
  </si>
  <si>
    <t>Yolo Co. Office of Education</t>
  </si>
  <si>
    <t>Westfield Village Elementary</t>
  </si>
  <si>
    <t>57 72694 6056394</t>
  </si>
  <si>
    <t>0132464</t>
  </si>
  <si>
    <t>1746</t>
  </si>
  <si>
    <t>Empowering Possibilities International Charter</t>
  </si>
  <si>
    <t>57 10579 0132464</t>
  </si>
  <si>
    <t>72678</t>
  </si>
  <si>
    <t>Davis Joint Unified</t>
  </si>
  <si>
    <t>Marguerite Montgomery Elementary</t>
  </si>
  <si>
    <t>57 72678 6118905</t>
  </si>
  <si>
    <t>0119578</t>
  </si>
  <si>
    <t>1079</t>
  </si>
  <si>
    <t>Da Vinci Charter Academy</t>
  </si>
  <si>
    <t>72686</t>
  </si>
  <si>
    <t>Esparto Unified</t>
  </si>
  <si>
    <t>Esparto Elementary</t>
  </si>
  <si>
    <t>57 72686 6056311</t>
  </si>
  <si>
    <t>72694</t>
  </si>
  <si>
    <t>0124875</t>
  </si>
  <si>
    <t>1338</t>
  </si>
  <si>
    <t>Sacramento Valley Charter</t>
  </si>
  <si>
    <t>57 72694 0124875</t>
  </si>
  <si>
    <t>0131706</t>
  </si>
  <si>
    <t>1659</t>
  </si>
  <si>
    <t>River Charter Schools-Lighthouse Charter</t>
  </si>
  <si>
    <t>57 72694 0131706</t>
  </si>
  <si>
    <t>0135939</t>
  </si>
  <si>
    <t>0907</t>
  </si>
  <si>
    <t>Washington Middle College High</t>
  </si>
  <si>
    <t>72702</t>
  </si>
  <si>
    <t>Winters Joint Unified</t>
  </si>
  <si>
    <t>Shirley Rominger Intermediate</t>
  </si>
  <si>
    <t>57 72702 6056410</t>
  </si>
  <si>
    <t>0139436</t>
  </si>
  <si>
    <t>2059</t>
  </si>
  <si>
    <t>Compass Charter School of Yolo</t>
  </si>
  <si>
    <t>57 72702 0139436</t>
  </si>
  <si>
    <t>72710</t>
  </si>
  <si>
    <t>Woodland Joint Unified</t>
  </si>
  <si>
    <t>Freeman Elementary</t>
  </si>
  <si>
    <t>57 72710 6056477</t>
  </si>
  <si>
    <t>0121749</t>
  </si>
  <si>
    <t>1201</t>
  </si>
  <si>
    <t>Science &amp; Technology Academy at Knights Landing</t>
  </si>
  <si>
    <t>57 72710 0121749</t>
  </si>
  <si>
    <t>58</t>
  </si>
  <si>
    <t>10587</t>
  </si>
  <si>
    <t>Yuba Co. Office of Education</t>
  </si>
  <si>
    <t>Yuba Environmental Science Charter Academy</t>
  </si>
  <si>
    <t>58 10587 0117242</t>
  </si>
  <si>
    <t>0117242</t>
  </si>
  <si>
    <t>0990</t>
  </si>
  <si>
    <t>5830112</t>
  </si>
  <si>
    <t>0092</t>
  </si>
  <si>
    <t>Yuba County Career Preparatory Charter</t>
  </si>
  <si>
    <t>58 10587 5830112</t>
  </si>
  <si>
    <t>72728</t>
  </si>
  <si>
    <t>Camptonville Elementary</t>
  </si>
  <si>
    <t>58 72728 6056600</t>
  </si>
  <si>
    <t>6115935</t>
  </si>
  <si>
    <t>0165</t>
  </si>
  <si>
    <t>CORE Charter</t>
  </si>
  <si>
    <t>58 72728 6115935</t>
  </si>
  <si>
    <t>72736</t>
  </si>
  <si>
    <t>Marysville Joint Unified</t>
  </si>
  <si>
    <t>Cedar Lane Elementary</t>
  </si>
  <si>
    <t>58 72736 6056659</t>
  </si>
  <si>
    <t>0121632</t>
  </si>
  <si>
    <t>1182</t>
  </si>
  <si>
    <t>Paragon Collegiate Academy</t>
  </si>
  <si>
    <t>58 72736 0121632</t>
  </si>
  <si>
    <t>5830138</t>
  </si>
  <si>
    <t>0306</t>
  </si>
  <si>
    <t>Marysville Charter Academy for the Arts</t>
  </si>
  <si>
    <t>72744</t>
  </si>
  <si>
    <t>Plumas Lake Elementary</t>
  </si>
  <si>
    <t>Cobblestone Elementary</t>
  </si>
  <si>
    <t>58 72744 0114652</t>
  </si>
  <si>
    <t>72751</t>
  </si>
  <si>
    <t>Wheatland</t>
  </si>
  <si>
    <t>Wheatland Elementary</t>
  </si>
  <si>
    <t>58 72751 6056840</t>
  </si>
  <si>
    <t>6118806</t>
  </si>
  <si>
    <t>0370</t>
  </si>
  <si>
    <t>Wheatland Charter Academy</t>
  </si>
  <si>
    <t>58 72751 6118806</t>
  </si>
  <si>
    <t>72769</t>
  </si>
  <si>
    <t>Wheatland Union High</t>
  </si>
  <si>
    <t>TOTAL</t>
  </si>
  <si>
    <t>Prepared by:</t>
  </si>
  <si>
    <t>California Department of Education</t>
  </si>
  <si>
    <t>School Fiscal Services Division</t>
  </si>
  <si>
    <t>November 2023</t>
  </si>
  <si>
    <t>Total LEA Enrollment</t>
  </si>
  <si>
    <t>Total LEA FRPM Eligible Pupil Count</t>
  </si>
  <si>
    <t>AMS Funding Based on Share of Enrollment</t>
  </si>
  <si>
    <t>AMS Funding Based on Share of FRPM Eligible Pupils</t>
  </si>
  <si>
    <t>Preliminary AMS Entitlement</t>
  </si>
  <si>
    <t>Total Number of School Sites in LEA*</t>
  </si>
  <si>
    <t>Determinative Elementary School Percentage of FRPM Eligible Pupils</t>
  </si>
  <si>
    <t>Determinative Elementary School CDS Code</t>
  </si>
  <si>
    <t>Determinative Elementary School for School Site Calculation of FRPM Eligible Preschool Pupils</t>
  </si>
  <si>
    <t>Row Labels</t>
  </si>
  <si>
    <t>Grand Total</t>
  </si>
  <si>
    <t>Average of Total LEA Enrollment</t>
  </si>
  <si>
    <t>Values</t>
  </si>
  <si>
    <t>Sum of Preliminary AMS Entitlement</t>
  </si>
  <si>
    <t>Total Check: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</si>
</sst>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??_);_(@_)"/>
    <numFmt numFmtId="165" formatCode="&quot;$&quot;#,##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3" fillId="0" borderId="2" xfId="0" applyFont="1" applyBorder="1" applyAlignment="1">
      <alignment wrapText="1"/>
    </xf>
    <xf numFmtId="41" fontId="3" fillId="0" borderId="3" xfId="1" applyNumberFormat="1" applyFont="1" applyBorder="1"/>
    <xf numFmtId="0" fontId="3" fillId="0" borderId="3" xfId="0" applyFont="1" applyBorder="1" applyAlignment="1">
      <alignment wrapText="1"/>
    </xf>
    <xf numFmtId="164" fontId="3" fillId="0" borderId="3" xfId="0" applyNumberFormat="1" applyFont="1" applyBorder="1" applyAlignment="1">
      <alignment wrapText="1"/>
    </xf>
    <xf numFmtId="41" fontId="3" fillId="0" borderId="3" xfId="0" applyNumberFormat="1" applyFont="1" applyBorder="1" applyAlignment="1">
      <alignment wrapText="1"/>
    </xf>
    <xf numFmtId="41" fontId="3" fillId="0" borderId="3" xfId="0" applyNumberFormat="1" applyFont="1" applyBorder="1"/>
    <xf numFmtId="42" fontId="3" fillId="0" borderId="3" xfId="1" applyNumberFormat="1" applyFont="1" applyBorder="1"/>
    <xf numFmtId="0" fontId="3" fillId="0" borderId="4" xfId="0" applyFont="1" applyBorder="1" applyAlignment="1">
      <alignment wrapText="1"/>
    </xf>
    <xf numFmtId="41" fontId="3" fillId="0" borderId="5" xfId="1" applyNumberFormat="1" applyFont="1" applyBorder="1"/>
    <xf numFmtId="0" fontId="3" fillId="0" borderId="5" xfId="0" applyFont="1" applyBorder="1" applyAlignment="1">
      <alignment wrapText="1"/>
    </xf>
    <xf numFmtId="164" fontId="3" fillId="0" borderId="5" xfId="0" applyNumberFormat="1" applyFont="1" applyBorder="1" applyAlignment="1">
      <alignment wrapText="1"/>
    </xf>
    <xf numFmtId="41" fontId="3" fillId="0" borderId="5" xfId="0" applyNumberFormat="1" applyFont="1" applyBorder="1" applyAlignment="1">
      <alignment wrapText="1"/>
    </xf>
    <xf numFmtId="41" fontId="3" fillId="0" borderId="5" xfId="0" applyNumberFormat="1" applyFont="1" applyBorder="1"/>
    <xf numFmtId="41" fontId="3" fillId="0" borderId="5" xfId="1" applyNumberFormat="1" applyFont="1" applyFill="1" applyBorder="1"/>
    <xf numFmtId="0" fontId="3" fillId="0" borderId="4" xfId="0" applyFont="1" applyBorder="1"/>
    <xf numFmtId="0" fontId="3" fillId="0" borderId="5" xfId="0" applyFont="1" applyBorder="1"/>
    <xf numFmtId="41" fontId="3" fillId="0" borderId="6" xfId="1" applyNumberFormat="1" applyFont="1" applyBorder="1"/>
    <xf numFmtId="0" fontId="4" fillId="0" borderId="7" xfId="0" applyFont="1" applyBorder="1" applyAlignment="1">
      <alignment wrapText="1"/>
    </xf>
    <xf numFmtId="0" fontId="4" fillId="0" borderId="6" xfId="0" applyFont="1" applyBorder="1" applyAlignment="1">
      <alignment wrapText="1"/>
    </xf>
    <xf numFmtId="43" fontId="4" fillId="0" borderId="3" xfId="0" applyNumberFormat="1" applyFont="1" applyBorder="1" applyAlignment="1">
      <alignment wrapText="1"/>
    </xf>
    <xf numFmtId="164" fontId="5" fillId="0" borderId="5" xfId="0" applyNumberFormat="1" applyFont="1" applyBorder="1" applyAlignment="1">
      <alignment wrapText="1"/>
    </xf>
    <xf numFmtId="41" fontId="5" fillId="0" borderId="5" xfId="0" applyNumberFormat="1" applyFont="1" applyBorder="1" applyAlignment="1">
      <alignment wrapText="1"/>
    </xf>
    <xf numFmtId="42" fontId="5" fillId="0" borderId="5" xfId="0" applyNumberFormat="1" applyFont="1" applyBorder="1" applyAlignment="1">
      <alignment wrapText="1"/>
    </xf>
    <xf numFmtId="42" fontId="5" fillId="0" borderId="5" xfId="0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2">
    <cellStyle name="Currency" xfId="1" builtinId="4"/>
    <cellStyle name="Normal" xfId="0" builtinId="0"/>
  </cellStyles>
  <dxfs count="10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* #,##0.0000_);_(* \(#,##0.0000\);_(* &quot;-&quot;??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5" formatCode="_(* #,##0.00_);_(* \(#,##0.00\);_(* &quot;-&quot;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5" formatCode="_(* #,##0.00_);_(* \(#,##0.00\);_(* &quot;-&quot;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color theme="1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color theme="1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* #,##0.0000_);_(* \(#,##0.0000\);_(* &quot;-&quot;??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color theme="1"/>
      </font>
      <numFmt numFmtId="164" formatCode="_(* #,##0.0000_);_(* \(#,##0.0000\);_(* &quot;-&quot;????_);_(@_)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5" formatCode="_(* #,##0.00_);_(* \(#,##0.00\);_(* &quot;-&quot;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 style="thin">
          <color theme="0" tint="-0.249977111117893"/>
        </bottom>
      </border>
    </dxf>
    <dxf>
      <numFmt numFmtId="0" formatCode="General"/>
      <border outline="0">
        <left style="thin">
          <color theme="0" tint="-0.249977111117893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5" formatCode="_(* #,##0.00_);_(* \(#,##0.00\);_(* &quot;-&quot;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 style="thin">
          <color theme="0" tint="-0.249977111117893"/>
        </bottom>
      </border>
    </dxf>
    <dxf>
      <numFmt numFmtId="0" formatCode="General"/>
      <border outline="0">
        <right style="thin">
          <color theme="0" tint="-0.249977111117893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border outline="0">
        <right style="thin">
          <color theme="0" tint="-0.249977111117893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border outline="0">
        <left style="thin">
          <color theme="0" tint="-0.249977111117893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/>
      </border>
    </dxf>
    <dxf>
      <border outline="0">
        <right style="thin">
          <color theme="0" tint="-0.249977111117893"/>
        </right>
      </border>
    </dxf>
    <dxf>
      <border>
        <top style="thin">
          <color rgb="FFBFBFBF"/>
        </top>
      </border>
    </dxf>
    <dxf>
      <border diagonalUp="0" diagonalDown="0">
        <left style="thin">
          <color rgb="FFBFBFBF"/>
        </left>
        <right style="thin">
          <color rgb="FFBFBFBF"/>
        </right>
        <top/>
        <bottom/>
        <vertical style="thin">
          <color rgb="FFBFBFBF"/>
        </vertical>
        <horizontal style="thin">
          <color rgb="FFBFBFBF"/>
        </horizontal>
      </border>
    </dxf>
    <dxf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2" formatCode="_(&quot;$&quot;* #,##0_);_(&quot;$&quot;* \(#,##0\);_(&quot;$&quot;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color theme="1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color theme="1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* #,##0.0000_);_(* \(#,##0.0000\);_(* &quot;-&quot;??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color theme="1"/>
      </font>
      <numFmt numFmtId="164" formatCode="_(* #,##0.0000_);_(* \(#,##0.0000\);_(* &quot;-&quot;????_);_(@_)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5" formatCode="_(* #,##0.00_);_(* \(#,##0.00\);_(* &quot;-&quot;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 style="thin">
          <color theme="0" tint="-0.249977111117893"/>
        </bottom>
      </border>
    </dxf>
    <dxf>
      <numFmt numFmtId="0" formatCode="General"/>
      <border outline="0">
        <left style="thin">
          <color theme="0" tint="-0.249977111117893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5" formatCode="_(* #,##0.00_);_(* \(#,##0.00\);_(* &quot;-&quot;??_);_(@_)"/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 style="thin">
          <color theme="0" tint="-0.249977111117893"/>
        </bottom>
      </border>
    </dxf>
    <dxf>
      <numFmt numFmtId="0" formatCode="General"/>
      <border outline="0">
        <right style="thin">
          <color theme="0" tint="-0.249977111117893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border outline="0">
        <right style="thin">
          <color theme="0" tint="-0.249977111117893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border outline="0">
        <left style="thin">
          <color theme="0" tint="-0.249977111117893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/>
      </border>
    </dxf>
    <dxf>
      <border outline="0">
        <right style="thin">
          <color theme="0" tint="-0.249977111117893"/>
        </right>
      </border>
    </dxf>
    <dxf>
      <border>
        <top style="thin">
          <color rgb="FFBFBFBF"/>
        </top>
      </border>
    </dxf>
    <dxf>
      <border diagonalUp="0" diagonalDown="0">
        <left style="thin">
          <color rgb="FFBFBFBF"/>
        </left>
        <right style="thin">
          <color rgb="FFBFBFBF"/>
        </right>
        <top/>
        <bottom/>
        <vertical style="thin">
          <color rgb="FFBFBFBF"/>
        </vertical>
        <horizontal style="thin">
          <color rgb="FFBFBFBF"/>
        </horizontal>
      </border>
    </dxf>
    <dxf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color theme="1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color theme="1"/>
      </font>
      <numFmt numFmtId="33" formatCode="_(* #,##0_);_(* \(#,##0\);_(* &quot;-&quot;_);_(@_)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color theme="1"/>
      </font>
      <numFmt numFmtId="164" formatCode="_(* #,##0.0000_);_(* \(#,##0.0000\);_(* &quot;-&quot;????_);_(@_)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numFmt numFmtId="0" formatCode="General"/>
      <border outline="0">
        <left style="thin">
          <color theme="0" tint="-0.249977111117893"/>
        </left>
      </border>
    </dxf>
    <dxf>
      <numFmt numFmtId="0" formatCode="General"/>
      <border outline="0">
        <right style="thin">
          <color theme="0" tint="-0.24997711111789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right style="thin">
          <color theme="0" tint="-0.249977111117893"/>
        </right>
      </border>
    </dxf>
    <dxf>
      <border outline="0">
        <left style="thin">
          <color theme="0" tint="-0.249977111117893"/>
        </left>
      </border>
    </dxf>
    <dxf>
      <font>
        <sz val="12"/>
        <color theme="1"/>
        <name val="Arial"/>
        <family val="2"/>
        <scheme val="none"/>
      </font>
      <numFmt numFmtId="33" formatCode="_(* #,##0_);_(* \(#,##0\);_(* &quot;-&quot;_);_(@_)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right style="thin">
          <color theme="0" tint="-0.249977111117893"/>
        </right>
      </border>
    </dxf>
    <dxf>
      <border>
        <top style="thin">
          <color rgb="FFBFBFBF"/>
        </top>
      </border>
    </dxf>
    <dxf>
      <border diagonalUp="0" diagonalDown="0">
        <left style="thin">
          <color rgb="FFBFBFBF"/>
        </left>
        <right style="thin">
          <color rgb="FFBFBFBF"/>
        </right>
        <top/>
        <bottom/>
        <vertical style="thin">
          <color rgb="FFBFBFBF"/>
        </vertical>
        <horizontal style="thin">
          <color rgb="FFBFBFBF"/>
        </horizontal>
      </border>
    </dxf>
    <dxf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Funding Comparison by LEA Type</a:t>
            </a:r>
          </a:p>
        </c:rich>
      </c:tx>
      <c:overlay val="0"/>
    </c:title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FundingComparison!$B$1</c:f>
              <c:strCache>
                <c:ptCount val="1"/>
                <c:pt idx="0">
                  <c:v>Preliminary AMS Entitlement</c:v>
                </c:pt>
              </c:strCache>
            </c:strRef>
          </c:tx>
          <c:explosion val="25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FundingComparison!$A$2:$A$5</c:f>
              <c:strCache>
                <c:ptCount val="4"/>
                <c:pt idx="0">
                  <c:v>COE</c:v>
                </c:pt>
                <c:pt idx="1">
                  <c:v>Charter School</c:v>
                </c:pt>
                <c:pt idx="2">
                  <c:v>State Special School</c:v>
                </c:pt>
                <c:pt idx="3">
                  <c:v>School District</c:v>
                </c:pt>
              </c:strCache>
            </c:strRef>
          </c:cat>
          <c:val>
            <c:numRef>
              <c:f>FundingComparison!$B$2:$B$5</c:f>
              <c:numCache>
                <c:formatCode>"$"#,##0</c:formatCode>
                <c:ptCount val="4"/>
                <c:pt idx="0">
                  <c:v>6458849</c:v>
                </c:pt>
                <c:pt idx="1">
                  <c:v>105822566</c:v>
                </c:pt>
                <c:pt idx="2">
                  <c:v>112192</c:v>
                </c:pt>
                <c:pt idx="3">
                  <c:v>825648393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6B-EC40-ACBE-06B036B6C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8</xdr:col>
      <xdr:colOff>635000</xdr:colOff>
      <xdr:row>14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EA972E-28EF-A370-10A4-A0F844F0B3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" refreshedDate="45234.646175694441" createdVersion="3" refreshedVersion="8" minRefreshableVersion="3" recordCount="2273" xr:uid="{E9A00889-A756-E14A-B9D7-4D53B01EC137}">
  <cacheSource type="worksheet">
    <worksheetSource ref="A1:P2274" sheet="Schools"/>
  </cacheSource>
  <cacheFields count="16">
    <cacheField name="County Code" numFmtId="0">
      <sharedItems/>
    </cacheField>
    <cacheField name="District Code" numFmtId="0">
      <sharedItems containsBlank="1"/>
    </cacheField>
    <cacheField name="School Code" numFmtId="0">
      <sharedItems containsBlank="1"/>
    </cacheField>
    <cacheField name="Charter Number" numFmtId="0">
      <sharedItems containsBlank="1"/>
    </cacheField>
    <cacheField name="Charter Fund Type" numFmtId="0">
      <sharedItems containsBlank="1"/>
    </cacheField>
    <cacheField name="Local Educational Agency" numFmtId="0">
      <sharedItems containsBlank="1"/>
    </cacheField>
    <cacheField name="LEA Type" numFmtId="0">
      <sharedItems containsBlank="1" count="5">
        <s v="COE"/>
        <s v="Charter School"/>
        <s v="State Special School"/>
        <s v="School District"/>
        <m/>
      </sharedItems>
    </cacheField>
    <cacheField name="Determinative Elementary School for School Site Calculation of FRPM Eligible Preschool Pupils" numFmtId="0">
      <sharedItems containsBlank="1"/>
    </cacheField>
    <cacheField name="Determinative Elementary School CDS Code" numFmtId="0">
      <sharedItems containsBlank="1"/>
    </cacheField>
    <cacheField name="Determinative Elementary School Percentage of FRPM Eligible Pupils" numFmtId="0">
      <sharedItems containsString="0" containsBlank="1" containsNumber="1" minValue="0" maxValue="1"/>
    </cacheField>
    <cacheField name="Total Number of School Sites in LEA*" numFmtId="0">
      <sharedItems containsString="0" containsBlank="1" containsNumber="1" containsInteger="1" minValue="1" maxValue="11272"/>
    </cacheField>
    <cacheField name="Total LEA Enrollment" numFmtId="0">
      <sharedItems containsString="0" containsBlank="1" containsNumber="1" containsInteger="1" minValue="0" maxValue="5942256"/>
    </cacheField>
    <cacheField name="Total LEA FRPM Eligible Pupil Count" numFmtId="0">
      <sharedItems containsString="0" containsBlank="1" containsNumber="1" containsInteger="1" minValue="0" maxValue="3588578"/>
    </cacheField>
    <cacheField name="AMS Funding Based on Share of Enrollment" numFmtId="0">
      <sharedItems containsString="0" containsBlank="1" containsNumber="1" containsInteger="1" minValue="0" maxValue="656629390"/>
    </cacheField>
    <cacheField name="AMS Funding Based on Share of FRPM Eligible Pupils" numFmtId="0">
      <sharedItems containsString="0" containsBlank="1" containsNumber="1" containsInteger="1" minValue="0" maxValue="281412610"/>
    </cacheField>
    <cacheField name="Preliminary AMS Entitlement" numFmtId="0">
      <sharedItems containsString="0" containsBlank="1" containsNumber="1" containsInteger="1" minValue="0" maxValue="93804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3">
  <r>
    <s v="01"/>
    <s v="10017"/>
    <s v="0000000"/>
    <s v="N/A"/>
    <s v="N/A"/>
    <s v="Alameda Co. Office of Education"/>
    <x v="0"/>
    <s v="Reach Academy Elementary"/>
    <s v="01 61259 0110239"/>
    <n v="0.99760000000000004"/>
    <n v="4"/>
    <n v="103"/>
    <n v="94"/>
    <n v="11382"/>
    <n v="7371"/>
    <n v="18753"/>
  </r>
  <r>
    <s v="01"/>
    <s v="10017"/>
    <s v="0112607"/>
    <s v="0811"/>
    <s v="D"/>
    <s v="Envision Academy for Arts &amp; Technology"/>
    <x v="1"/>
    <s v="Envision Academy for Arts &amp; Technology"/>
    <s v="01 10017 0112607"/>
    <n v="0.78680000000000005"/>
    <n v="1"/>
    <n v="272"/>
    <n v="214"/>
    <n v="30056"/>
    <n v="16782"/>
    <n v="46838"/>
  </r>
  <r>
    <s v="01"/>
    <s v="10017"/>
    <s v="0123968"/>
    <s v="1284"/>
    <s v="D"/>
    <s v="Community School for Creative Education"/>
    <x v="1"/>
    <s v="Community School for Creative Education"/>
    <s v="01 10017 0123968"/>
    <n v="0.75960000000000005"/>
    <n v="1"/>
    <n v="183"/>
    <n v="139"/>
    <n v="20222"/>
    <n v="10900"/>
    <n v="31122"/>
  </r>
  <r>
    <s v="01"/>
    <s v="10017"/>
    <s v="0124172"/>
    <s v="1296"/>
    <s v="D"/>
    <s v="Yu Ming Charter"/>
    <x v="1"/>
    <s v="Yu Ming Charter"/>
    <s v="01 10017 0124172"/>
    <n v="0.2676"/>
    <n v="1"/>
    <n v="766"/>
    <n v="205"/>
    <n v="84644"/>
    <n v="16076"/>
    <n v="100720"/>
  </r>
  <r>
    <s v="01"/>
    <s v="10017"/>
    <s v="0125567"/>
    <s v="1383"/>
    <s v="D"/>
    <s v="Urban Montessori Charter"/>
    <x v="1"/>
    <s v="Urban Montessori Charter"/>
    <s v="01 10017 0125567"/>
    <n v="0.26219999999999999"/>
    <n v="1"/>
    <n v="328"/>
    <n v="86"/>
    <n v="36245"/>
    <n v="6744"/>
    <n v="42989"/>
  </r>
  <r>
    <s v="01"/>
    <s v="10017"/>
    <s v="0129403"/>
    <s v="1632"/>
    <s v="D"/>
    <s v="Epic Charter"/>
    <x v="1"/>
    <s v="Reach Academy Elementary"/>
    <s v="01 61259 0110239"/>
    <n v="0.99760000000000004"/>
    <n v="1"/>
    <n v="0"/>
    <n v="0"/>
    <n v="0"/>
    <n v="0"/>
    <n v="0"/>
  </r>
  <r>
    <s v="01"/>
    <s v="10017"/>
    <s v="0130625"/>
    <s v="0398"/>
    <s v="D"/>
    <s v="Alternatives in Action"/>
    <x v="1"/>
    <s v="Reach Academy Elementary"/>
    <s v="01 61259 0110239"/>
    <n v="0.99760000000000004"/>
    <n v="1"/>
    <n v="143"/>
    <n v="128"/>
    <n v="15802"/>
    <n v="10038"/>
    <n v="25840"/>
  </r>
  <r>
    <s v="01"/>
    <s v="10017"/>
    <s v="0131581"/>
    <s v="1707"/>
    <s v="D"/>
    <s v="Oakland Unity Middle School"/>
    <x v="1"/>
    <s v="Reach Academy Elementary"/>
    <s v="01 61259 0110239"/>
    <n v="0.99760000000000004"/>
    <n v="1"/>
    <n v="59"/>
    <n v="26"/>
    <n v="6520"/>
    <n v="2039"/>
    <n v="8559"/>
  </r>
  <r>
    <s v="01"/>
    <s v="10017"/>
    <s v="0136101"/>
    <s v="1881"/>
    <s v="D"/>
    <s v="Connecting Waters Charter School, East Bay"/>
    <x v="1"/>
    <s v="Connecting Waters Charter School, East Bay"/>
    <s v="01 10017 0136101"/>
    <n v="0.27129999999999999"/>
    <n v="1"/>
    <n v="494"/>
    <n v="134"/>
    <n v="54588"/>
    <n v="10508"/>
    <n v="65096"/>
  </r>
  <r>
    <s v="01"/>
    <s v="10017"/>
    <s v="0136226"/>
    <s v="1888"/>
    <s v="L"/>
    <s v="Opportunity Academy"/>
    <x v="1"/>
    <s v="Reach Academy Elementary"/>
    <s v="01 61259 0110239"/>
    <n v="0.99760000000000004"/>
    <n v="1"/>
    <n v="166"/>
    <n v="92"/>
    <n v="18343"/>
    <n v="7215"/>
    <n v="25558"/>
  </r>
  <r>
    <s v="01"/>
    <s v="10017"/>
    <s v="0137448"/>
    <s v="1908"/>
    <s v="D"/>
    <s v="Aurum Preparatory Academy"/>
    <x v="1"/>
    <s v="Reach Academy Elementary"/>
    <s v="01 61259 0110239"/>
    <n v="0.99760000000000004"/>
    <n v="1"/>
    <n v="146"/>
    <n v="125"/>
    <n v="16133"/>
    <n v="9802"/>
    <n v="25935"/>
  </r>
  <r>
    <s v="01"/>
    <s v="10017"/>
    <s v="0138867"/>
    <s v="2027"/>
    <s v="D"/>
    <s v="Hayward Collegiate Charter"/>
    <x v="1"/>
    <s v="Hayward Collegiate Charter"/>
    <s v="01 10017 0138867"/>
    <n v="0.42"/>
    <n v="1"/>
    <n v="150"/>
    <n v="63"/>
    <n v="16575"/>
    <n v="4940"/>
    <n v="21515"/>
  </r>
  <r>
    <s v="01"/>
    <s v="10017"/>
    <s v="6001788"/>
    <s v="0740"/>
    <s v="D"/>
    <s v="Cox Academy"/>
    <x v="1"/>
    <s v="Cox Academy"/>
    <s v="01 10017 6001788"/>
    <n v="0.91100000000000003"/>
    <n v="1"/>
    <n v="483"/>
    <n v="440"/>
    <n v="53372"/>
    <n v="34504"/>
    <n v="87876"/>
  </r>
  <r>
    <s v="01"/>
    <s v="10017"/>
    <s v="6002000"/>
    <s v="1464"/>
    <s v="D"/>
    <s v="Lazear Charter Academy"/>
    <x v="1"/>
    <s v="Lazear Charter Academy"/>
    <s v="01 10017 6002000"/>
    <n v="0.86609999999999998"/>
    <n v="1"/>
    <n v="463"/>
    <n v="401"/>
    <n v="51162"/>
    <n v="31446"/>
    <n v="82608"/>
  </r>
  <r>
    <s v="01"/>
    <s v="31609"/>
    <s v="0131755"/>
    <s v="N/A"/>
    <s v="N/A"/>
    <s v="California School for the Blind (State Special Schl)"/>
    <x v="2"/>
    <s v="Reach Academy Elementary"/>
    <s v="01 61259 0110239"/>
    <n v="0.99760000000000004"/>
    <n v="1"/>
    <n v="55"/>
    <n v="16"/>
    <n v="6078"/>
    <n v="1255"/>
    <n v="7333"/>
  </r>
  <r>
    <s v="01"/>
    <s v="31617"/>
    <s v="0131763"/>
    <s v="N/A"/>
    <s v="N/A"/>
    <s v="California School for the Deaf-Fremont (State Special Schl)"/>
    <x v="2"/>
    <s v="Reach Academy Elementary"/>
    <s v="01 61259 0110239"/>
    <n v="0.99760000000000004"/>
    <n v="1"/>
    <n v="312"/>
    <n v="310"/>
    <n v="34477"/>
    <n v="24310"/>
    <n v="58787"/>
  </r>
  <r>
    <s v="01"/>
    <s v="61119"/>
    <s v="0000000"/>
    <s v="N/A"/>
    <s v="N/A"/>
    <s v="Alameda Unified"/>
    <x v="3"/>
    <s v="Ruby Bridges Elementary"/>
    <s v="01 61119 0111765"/>
    <n v="0.63759999999999994"/>
    <n v="17"/>
    <n v="8938"/>
    <n v="3144"/>
    <n v="987663"/>
    <n v="246550"/>
    <n v="1234213"/>
  </r>
  <r>
    <s v="01"/>
    <s v="61119"/>
    <s v="0119222"/>
    <s v="1066"/>
    <s v="D"/>
    <s v="Nea Community Learning Center"/>
    <x v="1"/>
    <s v="Nea Community Learning Center"/>
    <s v="01 61119 0119222"/>
    <n v="0.40460000000000002"/>
    <n v="1"/>
    <n v="524"/>
    <n v="212"/>
    <n v="57903"/>
    <n v="16625"/>
    <n v="74528"/>
  </r>
  <r>
    <s v="01"/>
    <s v="61119"/>
    <s v="0122085"/>
    <s v="1181"/>
    <s v="D"/>
    <s v="The Academy of Alameda"/>
    <x v="1"/>
    <s v="The Academy of Alameda"/>
    <s v="01 61119 0122085"/>
    <n v="0.50580000000000003"/>
    <n v="1"/>
    <n v="607"/>
    <n v="307"/>
    <n v="67075"/>
    <n v="24075"/>
    <n v="91150"/>
  </r>
  <r>
    <s v="01"/>
    <s v="61119"/>
    <s v="0130609"/>
    <s v="0352"/>
    <s v="D"/>
    <s v="Alameda Community Learning Center"/>
    <x v="1"/>
    <s v="Alameda Community Learning Center"/>
    <s v="01 61119 0130609"/>
    <n v="0.3392"/>
    <n v="1"/>
    <n v="398"/>
    <n v="135"/>
    <n v="43980"/>
    <n v="10587"/>
    <n v="54567"/>
  </r>
  <r>
    <s v="01"/>
    <s v="61127"/>
    <s v="0000000"/>
    <s v="N/A"/>
    <s v="N/A"/>
    <s v="Albany City Unified"/>
    <x v="3"/>
    <s v="Ocean View Elementary"/>
    <s v="01 61127 6116222"/>
    <n v="0.36890000000000001"/>
    <n v="7"/>
    <n v="3566"/>
    <n v="1006"/>
    <n v="394048"/>
    <n v="78888"/>
    <n v="472936"/>
  </r>
  <r>
    <s v="01"/>
    <s v="61143"/>
    <s v="0000000"/>
    <s v="N/A"/>
    <s v="N/A"/>
    <s v="Berkeley Unified"/>
    <x v="3"/>
    <s v="John Muir Elementary"/>
    <s v="01 61143 6105316"/>
    <n v="0.30420000000000003"/>
    <n v="19"/>
    <n v="9287"/>
    <n v="2333"/>
    <n v="1026229"/>
    <n v="182952"/>
    <n v="1209181"/>
  </r>
  <r>
    <s v="01"/>
    <s v="61150"/>
    <s v="0000000"/>
    <s v="N/A"/>
    <s v="N/A"/>
    <s v="Castro Valley Unified"/>
    <x v="3"/>
    <s v="Castro Valley Virtual Academy"/>
    <s v="01 61150 0133876"/>
    <n v="0.50749999999999995"/>
    <n v="17"/>
    <n v="9291"/>
    <n v="3276"/>
    <n v="1026671"/>
    <n v="256898"/>
    <n v="1283569"/>
  </r>
  <r>
    <s v="01"/>
    <s v="61168"/>
    <s v="0000000"/>
    <s v="N/A"/>
    <s v="N/A"/>
    <s v="Emery Unified"/>
    <x v="3"/>
    <s v="Anna Yates Elementary"/>
    <s v="01 61168 6090492"/>
    <n v="0.61729999999999996"/>
    <n v="4"/>
    <n v="644"/>
    <n v="397"/>
    <n v="71163"/>
    <n v="31133"/>
    <n v="102296"/>
  </r>
  <r>
    <s v="01"/>
    <s v="61176"/>
    <s v="0000000"/>
    <s v="N/A"/>
    <s v="N/A"/>
    <s v="Fremont Unified"/>
    <x v="3"/>
    <s v="Cabrillo Elementary"/>
    <s v="01 61176 6000566"/>
    <n v="0.62919999999999998"/>
    <n v="44"/>
    <n v="33002"/>
    <n v="7332"/>
    <n v="3646777"/>
    <n v="574966"/>
    <n v="4221743"/>
  </r>
  <r>
    <s v="01"/>
    <s v="61176"/>
    <s v="0130534"/>
    <s v="0152"/>
    <s v="L"/>
    <s v="Circle of Independent Learning"/>
    <x v="1"/>
    <s v="Circle of Independent Learning"/>
    <s v="01 61176 0130534"/>
    <n v="0.3392"/>
    <n v="1"/>
    <n v="401"/>
    <n v="136"/>
    <n v="44311"/>
    <n v="10665"/>
    <n v="54976"/>
  </r>
  <r>
    <s v="01"/>
    <s v="61192"/>
    <s v="0000000"/>
    <s v="N/A"/>
    <s v="N/A"/>
    <s v="Hayward Unified"/>
    <x v="3"/>
    <s v="Park Elementary"/>
    <s v="01 61192 6001101"/>
    <n v="0.80359999999999998"/>
    <n v="30"/>
    <n v="18519"/>
    <n v="13061"/>
    <n v="2046382"/>
    <n v="1024231"/>
    <n v="3070613"/>
  </r>
  <r>
    <s v="01"/>
    <s v="61192"/>
    <s v="0108670"/>
    <s v="0684"/>
    <s v="D"/>
    <s v="Leadership Public Schools - Hayward"/>
    <x v="1"/>
    <s v="Reach Academy Elementary"/>
    <s v="01 61259 0110239"/>
    <n v="0.99760000000000004"/>
    <n v="1"/>
    <n v="582"/>
    <n v="270"/>
    <n v="64312"/>
    <n v="21173"/>
    <n v="85485"/>
  </r>
  <r>
    <s v="01"/>
    <s v="61192"/>
    <s v="0127696"/>
    <s v="1514"/>
    <s v="D"/>
    <s v="Knowledge Enlightens You (KEY) Academy"/>
    <x v="1"/>
    <s v="Knowledge Enlightens You (KEY) Academy"/>
    <s v="01 61192 0127696"/>
    <n v="0.68730000000000002"/>
    <n v="1"/>
    <n v="614"/>
    <n v="422"/>
    <n v="67848"/>
    <n v="33093"/>
    <n v="100941"/>
  </r>
  <r>
    <s v="01"/>
    <s v="61192"/>
    <s v="0127944"/>
    <s v="1543"/>
    <s v="D"/>
    <s v="Hayward Twin Oaks Montessori"/>
    <x v="1"/>
    <s v="Hayward Twin Oaks Montessori"/>
    <s v="01 61192 0127944"/>
    <n v="0.26040000000000002"/>
    <n v="1"/>
    <n v="553"/>
    <n v="144"/>
    <n v="61107"/>
    <n v="11292"/>
    <n v="72399"/>
  </r>
  <r>
    <s v="01"/>
    <s v="61192"/>
    <s v="0137646"/>
    <s v="0836"/>
    <s v="D"/>
    <s v="Impact Academy of Arts &amp; Technology"/>
    <x v="1"/>
    <s v="Impact Academy of Arts &amp; Technology"/>
    <s v="01 61192 0137646"/>
    <n v="0.61809999999999998"/>
    <n v="1"/>
    <n v="775"/>
    <n v="479"/>
    <n v="85639"/>
    <n v="37563"/>
    <n v="123202"/>
  </r>
  <r>
    <s v="01"/>
    <s v="61200"/>
    <s v="0000000"/>
    <s v="N/A"/>
    <s v="N/A"/>
    <s v="Livermore Valley Joint Unified"/>
    <x v="3"/>
    <s v="Marylin Avenue Elementary"/>
    <s v="01 61200 6001317"/>
    <n v="0.62570000000000003"/>
    <n v="19"/>
    <n v="13095"/>
    <n v="3880"/>
    <n v="1447018"/>
    <n v="304265"/>
    <n v="1751283"/>
  </r>
  <r>
    <s v="01"/>
    <s v="61218"/>
    <s v="0000000"/>
    <s v="N/A"/>
    <s v="N/A"/>
    <s v="Mountain House Elementary"/>
    <x v="3"/>
    <s v="Mountain House Elementary"/>
    <s v="01 61218 6001358"/>
    <n v="0.57140000000000002"/>
    <n v="2"/>
    <n v="21"/>
    <n v="12"/>
    <n v="2321"/>
    <n v="941"/>
    <n v="3262"/>
  </r>
  <r>
    <s v="01"/>
    <s v="61234"/>
    <s v="0000000"/>
    <s v="N/A"/>
    <s v="N/A"/>
    <s v="Newark Unified"/>
    <x v="3"/>
    <s v="August Schilling Elementary"/>
    <s v="01 61234 6001440"/>
    <n v="0.59499999999999997"/>
    <n v="11"/>
    <n v="4952"/>
    <n v="2026"/>
    <n v="547204"/>
    <n v="158877"/>
    <n v="706081"/>
  </r>
  <r>
    <s v="01"/>
    <s v="61242"/>
    <s v="0000000"/>
    <s v="N/A"/>
    <s v="N/A"/>
    <s v="New Haven Unified"/>
    <x v="3"/>
    <s v="Hillview Crest Elementary"/>
    <s v="01 61242 6001606"/>
    <n v="0.50690000000000002"/>
    <n v="14"/>
    <n v="10505"/>
    <n v="4183"/>
    <n v="1160822"/>
    <n v="328026"/>
    <n v="1488848"/>
  </r>
  <r>
    <s v="01"/>
    <s v="61259"/>
    <s v="0000000"/>
    <s v="N/A"/>
    <s v="N/A"/>
    <s v="Oakland Unified"/>
    <x v="3"/>
    <s v="Reach Academy Elementary"/>
    <s v="01 61259 0110239"/>
    <n v="0.99760000000000004"/>
    <n v="83"/>
    <n v="35300"/>
    <n v="27518"/>
    <n v="3900711"/>
    <n v="2157931"/>
    <n v="6058642"/>
  </r>
  <r>
    <s v="01"/>
    <s v="61259"/>
    <s v="0100065"/>
    <s v="0510"/>
    <s v="D"/>
    <s v="Oakland Unity High"/>
    <x v="1"/>
    <s v="Reach Academy Elementary"/>
    <s v="01 61259 0110239"/>
    <n v="0.99760000000000004"/>
    <n v="1"/>
    <n v="351"/>
    <n v="315"/>
    <n v="38786"/>
    <n v="24702"/>
    <n v="63488"/>
  </r>
  <r>
    <s v="01"/>
    <s v="61259"/>
    <s v="0106906"/>
    <s v="0661"/>
    <s v="D"/>
    <s v="Bay Area Technology"/>
    <x v="1"/>
    <s v="Bay Area Technology"/>
    <s v="01 61259 0106906"/>
    <n v="0.80520000000000003"/>
    <n v="1"/>
    <n v="349"/>
    <n v="281"/>
    <n v="38565"/>
    <n v="22036"/>
    <n v="60601"/>
  </r>
  <r>
    <s v="01"/>
    <s v="61259"/>
    <s v="0108944"/>
    <s v="0700"/>
    <s v="D"/>
    <s v="Lighthouse Community Charter High"/>
    <x v="1"/>
    <s v="Reach Academy Elementary"/>
    <s v="01 61259 0110239"/>
    <n v="0.99760000000000004"/>
    <n v="1"/>
    <n v="307"/>
    <n v="292"/>
    <n v="33924"/>
    <n v="22898"/>
    <n v="56822"/>
  </r>
  <r>
    <s v="01"/>
    <s v="61259"/>
    <s v="0109819"/>
    <s v="0726"/>
    <s v="D"/>
    <s v="Aspire Berkley Maynard Academy"/>
    <x v="1"/>
    <s v="Aspire Berkley Maynard Academy"/>
    <s v="01 61259 0109819"/>
    <n v="0.71699999999999997"/>
    <n v="1"/>
    <n v="523"/>
    <n v="375"/>
    <n v="57792"/>
    <n v="29407"/>
    <n v="87199"/>
  </r>
  <r>
    <s v="01"/>
    <s v="61259"/>
    <s v="0111476"/>
    <s v="0780"/>
    <s v="D"/>
    <s v="Achieve Academy"/>
    <x v="1"/>
    <s v="Achieve Academy"/>
    <s v="01 61259 0111476"/>
    <n v="0.88329999999999997"/>
    <n v="1"/>
    <n v="557"/>
    <n v="492"/>
    <n v="61549"/>
    <n v="38582"/>
    <n v="100131"/>
  </r>
  <r>
    <s v="01"/>
    <s v="61259"/>
    <s v="0111856"/>
    <s v="0765"/>
    <s v="D"/>
    <s v="AIMS College Prep High"/>
    <x v="1"/>
    <s v="Reach Academy Elementary"/>
    <s v="01 61259 0110239"/>
    <n v="0.99760000000000004"/>
    <n v="1"/>
    <n v="433"/>
    <n v="339"/>
    <n v="47847"/>
    <n v="26584"/>
    <n v="74431"/>
  </r>
  <r>
    <s v="01"/>
    <s v="61259"/>
    <s v="0114363"/>
    <s v="0882"/>
    <s v="D"/>
    <s v="American Indian Public Charter School II"/>
    <x v="1"/>
    <s v="American Indian Public Charter School II"/>
    <s v="01 61259 0114363"/>
    <n v="0.67359999999999998"/>
    <n v="1"/>
    <n v="625"/>
    <n v="421"/>
    <n v="69064"/>
    <n v="33014"/>
    <n v="102078"/>
  </r>
  <r>
    <s v="01"/>
    <s v="61259"/>
    <s v="0114868"/>
    <s v="0883"/>
    <s v="D"/>
    <s v="Oakland Charter High"/>
    <x v="1"/>
    <s v="Reach Academy Elementary"/>
    <s v="01 61259 0110239"/>
    <n v="0.99760000000000004"/>
    <n v="1"/>
    <n v="417"/>
    <n v="344"/>
    <n v="46079"/>
    <n v="26976"/>
    <n v="73055"/>
  </r>
  <r>
    <s v="01"/>
    <s v="61259"/>
    <s v="0115014"/>
    <s v="0938"/>
    <s v="D"/>
    <s v="KIPP Bridge Academy"/>
    <x v="1"/>
    <s v="KIPP Bridge Academy"/>
    <s v="01 61259 0115014"/>
    <n v="0.90959999999999996"/>
    <n v="1"/>
    <n v="509"/>
    <n v="463"/>
    <n v="56245"/>
    <n v="36308"/>
    <n v="92553"/>
  </r>
  <r>
    <s v="01"/>
    <s v="61259"/>
    <s v="0115238"/>
    <s v="0837"/>
    <s v="D"/>
    <s v="ARISE High"/>
    <x v="1"/>
    <s v="Reach Academy Elementary"/>
    <s v="01 61259 0110239"/>
    <n v="0.99760000000000004"/>
    <n v="1"/>
    <n v="404"/>
    <n v="258"/>
    <n v="44643"/>
    <n v="20232"/>
    <n v="64875"/>
  </r>
  <r>
    <s v="01"/>
    <s v="61259"/>
    <s v="0115592"/>
    <s v="1442"/>
    <s v="D"/>
    <s v="Learning Without Limits"/>
    <x v="1"/>
    <s v="Learning Without Limits"/>
    <s v="01 61259 0115592"/>
    <n v="0.80869999999999997"/>
    <n v="1"/>
    <n v="366"/>
    <n v="296"/>
    <n v="40444"/>
    <n v="23212"/>
    <n v="63656"/>
  </r>
  <r>
    <s v="01"/>
    <s v="61259"/>
    <s v="0118224"/>
    <s v="1023"/>
    <s v="D"/>
    <s v="Aspire Golden State College Preparatory Academy"/>
    <x v="1"/>
    <s v="Aspire Golden State College Preparatory Academy"/>
    <s v="01 61259 0118224"/>
    <n v="0.80789999999999995"/>
    <n v="1"/>
    <n v="432"/>
    <n v="349"/>
    <n v="47737"/>
    <n v="27368"/>
    <n v="75105"/>
  </r>
  <r>
    <s v="01"/>
    <s v="61259"/>
    <s v="0126748"/>
    <s v="1449"/>
    <s v="D"/>
    <s v="LPS Oakland R &amp; D Campus"/>
    <x v="1"/>
    <s v="Reach Academy Elementary"/>
    <s v="01 61259 0110239"/>
    <n v="0.99760000000000004"/>
    <n v="1"/>
    <n v="348"/>
    <n v="208"/>
    <n v="38455"/>
    <n v="16311"/>
    <n v="54766"/>
  </r>
  <r>
    <s v="01"/>
    <s v="61259"/>
    <s v="0128413"/>
    <s v="1577"/>
    <s v="D"/>
    <s v="Aspire College Academy"/>
    <x v="1"/>
    <s v="Aspire College Academy"/>
    <s v="01 61259 0128413"/>
    <n v="0.90049999999999997"/>
    <n v="1"/>
    <n v="201"/>
    <n v="181"/>
    <n v="22211"/>
    <n v="14194"/>
    <n v="36405"/>
  </r>
  <r>
    <s v="01"/>
    <s v="61259"/>
    <s v="0129635"/>
    <s v="1661"/>
    <s v="D"/>
    <s v="Downtown Charter Academy"/>
    <x v="1"/>
    <s v="Reach Academy Elementary"/>
    <s v="01 61259 0110239"/>
    <n v="0.99760000000000004"/>
    <n v="1"/>
    <n v="259"/>
    <n v="199"/>
    <n v="28620"/>
    <n v="15605"/>
    <n v="44225"/>
  </r>
  <r>
    <s v="01"/>
    <s v="61259"/>
    <s v="0129932"/>
    <s v="1620"/>
    <s v="D"/>
    <s v="East Bay Innovation Academy"/>
    <x v="1"/>
    <s v="East Bay Innovation Academy"/>
    <s v="01 61259 0129932"/>
    <n v="0.2326"/>
    <n v="1"/>
    <n v="533"/>
    <n v="124"/>
    <n v="58897"/>
    <n v="9724"/>
    <n v="68621"/>
  </r>
  <r>
    <s v="01"/>
    <s v="61259"/>
    <s v="0130617"/>
    <s v="0349"/>
    <s v="D"/>
    <s v="Oakland Military Institute, College Preparatory Academy"/>
    <x v="1"/>
    <s v="Oakland Military Institute, College Preparatory Academy"/>
    <s v="01 61259 0130617"/>
    <n v="0.75439999999999996"/>
    <n v="1"/>
    <n v="456"/>
    <n v="344"/>
    <n v="50389"/>
    <n v="26976"/>
    <n v="77365"/>
  </r>
  <r>
    <s v="01"/>
    <s v="61259"/>
    <s v="0130633"/>
    <s v="0413"/>
    <s v="D"/>
    <s v="Lighthouse Community Charter"/>
    <x v="1"/>
    <s v="Lighthouse Community Charter"/>
    <s v="01 61259 0130633"/>
    <n v="0.94669999999999999"/>
    <n v="1"/>
    <n v="544"/>
    <n v="515"/>
    <n v="60113"/>
    <n v="40386"/>
    <n v="100499"/>
  </r>
  <r>
    <s v="01"/>
    <s v="61259"/>
    <s v="0130666"/>
    <s v="0465"/>
    <s v="D"/>
    <s v="Aspire Lionel Wilson College Preparatory Academy"/>
    <x v="1"/>
    <s v="Aspire Lionel Wilson College Preparatory Academy"/>
    <s v="01 61259 0130666"/>
    <n v="0.80269999999999997"/>
    <n v="1"/>
    <n v="451"/>
    <n v="362"/>
    <n v="49836"/>
    <n v="28388"/>
    <n v="78224"/>
  </r>
  <r>
    <s v="01"/>
    <s v="61259"/>
    <s v="0130732"/>
    <s v="1663"/>
    <s v="D"/>
    <s v="Aspire Triumph Technology Academy"/>
    <x v="1"/>
    <s v="Aspire Triumph Technology Academy"/>
    <s v="01 61259 0130732"/>
    <n v="0.94650000000000001"/>
    <n v="1"/>
    <n v="243"/>
    <n v="230"/>
    <n v="26852"/>
    <n v="18036"/>
    <n v="44888"/>
  </r>
  <r>
    <s v="01"/>
    <s v="61259"/>
    <s v="0132514"/>
    <s v="1708"/>
    <s v="D"/>
    <s v="Francophone Charter School of Oakland"/>
    <x v="1"/>
    <s v="Francophone Charter School of Oakland"/>
    <s v="01 61259 0132514"/>
    <n v="0.30969999999999998"/>
    <n v="1"/>
    <n v="339"/>
    <n v="105"/>
    <n v="37460"/>
    <n v="8234"/>
    <n v="45694"/>
  </r>
  <r>
    <s v="01"/>
    <s v="61259"/>
    <s v="0134015"/>
    <s v="1783"/>
    <s v="D"/>
    <s v="Lodestar: A Lighthouse Community Charter Public"/>
    <x v="1"/>
    <s v="Lodestar: A Lighthouse Community Charter Public"/>
    <s v="01 61259 0134015"/>
    <n v="0.91290000000000004"/>
    <n v="1"/>
    <n v="712"/>
    <n v="650"/>
    <n v="78677"/>
    <n v="50972"/>
    <n v="129649"/>
  </r>
  <r>
    <s v="01"/>
    <s v="61259"/>
    <s v="3030772"/>
    <s v="0340"/>
    <s v="D"/>
    <s v="Oakland School for the Arts"/>
    <x v="1"/>
    <s v="Oakland School for the Arts"/>
    <s v="01 61259 3030772"/>
    <n v="0.33250000000000002"/>
    <n v="1"/>
    <n v="779"/>
    <n v="259"/>
    <n v="86081"/>
    <n v="20311"/>
    <n v="106392"/>
  </r>
  <r>
    <s v="01"/>
    <s v="61259"/>
    <s v="6111660"/>
    <s v="0014"/>
    <s v="D"/>
    <s v="Oakland Charter Academy"/>
    <x v="1"/>
    <s v="Reach Academy Elementary"/>
    <s v="01 61259 0110239"/>
    <n v="0.99760000000000004"/>
    <n v="1"/>
    <n v="226"/>
    <n v="192"/>
    <n v="24973"/>
    <n v="15056"/>
    <n v="40029"/>
  </r>
  <r>
    <s v="01"/>
    <s v="61259"/>
    <s v="6113807"/>
    <s v="0106"/>
    <s v="D"/>
    <s v="AIMS College Prep Middle"/>
    <x v="1"/>
    <s v="Reach Academy Elementary"/>
    <s v="01 61259 0110239"/>
    <n v="0.99760000000000004"/>
    <n v="1"/>
    <n v="225"/>
    <n v="142"/>
    <n v="24863"/>
    <n v="11135"/>
    <n v="35998"/>
  </r>
  <r>
    <s v="01"/>
    <s v="61259"/>
    <s v="6117568"/>
    <s v="0252"/>
    <s v="D"/>
    <s v="Aspire Monarch Academy"/>
    <x v="1"/>
    <s v="Aspire Monarch Academy"/>
    <s v="01 61259 6117568"/>
    <n v="0.875"/>
    <n v="1"/>
    <n v="392"/>
    <n v="343"/>
    <n v="43317"/>
    <n v="26898"/>
    <n v="70215"/>
  </r>
  <r>
    <s v="01"/>
    <s v="61259"/>
    <s v="6117972"/>
    <s v="0302"/>
    <s v="D"/>
    <s v="North Oakland Community Charter"/>
    <x v="1"/>
    <s v="North Oakland Community Charter"/>
    <s v="01 61259 6117972"/>
    <n v="0.59660000000000002"/>
    <n v="1"/>
    <n v="119"/>
    <n v="71"/>
    <n v="13150"/>
    <n v="5568"/>
    <n v="18718"/>
  </r>
  <r>
    <s v="01"/>
    <s v="61259"/>
    <s v="6118608"/>
    <s v="1443"/>
    <s v="D"/>
    <s v="ASCEND"/>
    <x v="1"/>
    <s v="ASCEND"/>
    <s v="01 61259 6118608"/>
    <n v="0.85770000000000002"/>
    <n v="1"/>
    <n v="492"/>
    <n v="422"/>
    <n v="54367"/>
    <n v="33093"/>
    <n v="87460"/>
  </r>
  <r>
    <s v="01"/>
    <s v="61275"/>
    <s v="0000000"/>
    <s v="N/A"/>
    <s v="N/A"/>
    <s v="Piedmont City Unified"/>
    <x v="3"/>
    <s v="Beach Elementary"/>
    <s v="01 61275 6002281"/>
    <n v="4.1700000000000001E-2"/>
    <n v="8"/>
    <n v="2337"/>
    <n v="72"/>
    <n v="258242"/>
    <n v="5648"/>
    <n v="263890"/>
  </r>
  <r>
    <s v="01"/>
    <s v="61291"/>
    <s v="0000000"/>
    <s v="N/A"/>
    <s v="N/A"/>
    <s v="San Leandro Unified"/>
    <x v="3"/>
    <s v="Halkin Elementary"/>
    <s v="01 61291 6002463"/>
    <n v="0.82099999999999995"/>
    <n v="14"/>
    <n v="8674"/>
    <n v="6243"/>
    <n v="958492"/>
    <n v="489569"/>
    <n v="1448061"/>
  </r>
  <r>
    <s v="01"/>
    <s v="61309"/>
    <s v="0000000"/>
    <s v="N/A"/>
    <s v="N/A"/>
    <s v="San Lorenzo Unified"/>
    <x v="3"/>
    <s v="Hillside Elementary"/>
    <s v="01 61309 6002620"/>
    <n v="0.85980000000000001"/>
    <n v="18"/>
    <n v="8549"/>
    <n v="6697"/>
    <n v="944681"/>
    <n v="525172"/>
    <n v="1469853"/>
  </r>
  <r>
    <s v="01"/>
    <s v="61309"/>
    <s v="0101212"/>
    <s v="0524"/>
    <s v="D"/>
    <s v="KIPP Summit Academy"/>
    <x v="1"/>
    <s v="Reach Academy Elementary"/>
    <s v="01 61259 0110239"/>
    <n v="0.99760000000000004"/>
    <n v="1"/>
    <n v="421"/>
    <n v="304"/>
    <n v="46521"/>
    <n v="23839"/>
    <n v="70360"/>
  </r>
  <r>
    <s v="01"/>
    <s v="61309"/>
    <s v="0114421"/>
    <s v="0880"/>
    <s v="D"/>
    <s v="KIPP King Collegiate High"/>
    <x v="1"/>
    <s v="Reach Academy Elementary"/>
    <s v="01 61259 0110239"/>
    <n v="0.99760000000000004"/>
    <n v="1"/>
    <n v="658"/>
    <n v="462"/>
    <n v="72710"/>
    <n v="36230"/>
    <n v="108940"/>
  </r>
  <r>
    <s v="01"/>
    <s v="75093"/>
    <s v="0000000"/>
    <s v="N/A"/>
    <s v="N/A"/>
    <s v="Dublin Unified"/>
    <x v="3"/>
    <s v="Frederiksen Elementary"/>
    <s v="01 75093 6001390"/>
    <n v="0.17469999999999999"/>
    <n v="17"/>
    <n v="12618"/>
    <n v="1006"/>
    <n v="1394312"/>
    <n v="78889"/>
    <n v="1473201"/>
  </r>
  <r>
    <s v="01"/>
    <s v="75101"/>
    <s v="0000000"/>
    <s v="N/A"/>
    <s v="N/A"/>
    <s v="Pleasanton Unified"/>
    <x v="3"/>
    <s v="Valley View Elementary"/>
    <s v="01 75101 6002349"/>
    <n v="0.1825"/>
    <n v="18"/>
    <n v="13902"/>
    <n v="1091"/>
    <n v="1536195"/>
    <n v="85557"/>
    <n v="1621752"/>
  </r>
  <r>
    <s v="01"/>
    <s v="75119"/>
    <s v="0000000"/>
    <s v="N/A"/>
    <s v="N/A"/>
    <s v="Sunol Glen Unified"/>
    <x v="3"/>
    <s v="Sunol Glen Elementary"/>
    <s v="01 75119 6002711"/>
    <n v="0.1045"/>
    <n v="2"/>
    <n v="268"/>
    <n v="28"/>
    <n v="29614"/>
    <n v="2196"/>
    <n v="31810"/>
  </r>
  <r>
    <s v="01"/>
    <s v="77180"/>
    <s v="0138289"/>
    <s v="2015"/>
    <s v="D"/>
    <s v="Latitude 37.8 High"/>
    <x v="1"/>
    <s v="Reach Academy Elementary"/>
    <s v="01 61259 0110239"/>
    <n v="0.99760000000000004"/>
    <n v="1"/>
    <n v="282"/>
    <n v="180"/>
    <n v="31161"/>
    <n v="14115"/>
    <n v="45276"/>
  </r>
  <r>
    <s v="02"/>
    <s v="10025"/>
    <s v="0000000"/>
    <s v="N/A"/>
    <s v="N/A"/>
    <s v="Alpine Co. Office of Education"/>
    <x v="0"/>
    <s v="Diamond Valley Elementary"/>
    <s v="02 61333 6002794"/>
    <n v="0.6885"/>
    <n v="2"/>
    <n v="0"/>
    <n v="0"/>
    <n v="0"/>
    <n v="0"/>
    <n v="0"/>
  </r>
  <r>
    <s v="02"/>
    <s v="61333"/>
    <s v="0000000"/>
    <s v="N/A"/>
    <s v="N/A"/>
    <s v="Alpine County Unified"/>
    <x v="3"/>
    <s v="Diamond Valley Elementary"/>
    <s v="02 61333 6002794"/>
    <n v="0.6885"/>
    <n v="4"/>
    <n v="72"/>
    <n v="46"/>
    <n v="7957"/>
    <n v="3607"/>
    <n v="11564"/>
  </r>
  <r>
    <s v="03"/>
    <s v="10033"/>
    <s v="0000000"/>
    <s v="N/A"/>
    <s v="N/A"/>
    <s v="Amador Co. Office of Education"/>
    <x v="0"/>
    <s v="Pioneer Magnet School for the Visual and Performing Arts"/>
    <s v="03 73981 6002851"/>
    <n v="0.55559999999999998"/>
    <n v="3"/>
    <n v="146"/>
    <n v="77"/>
    <n v="16134"/>
    <n v="6038"/>
    <n v="22172"/>
  </r>
  <r>
    <s v="03"/>
    <s v="73981"/>
    <s v="0000000"/>
    <s v="N/A"/>
    <s v="N/A"/>
    <s v="Amador County Unified"/>
    <x v="3"/>
    <s v="Pioneer Magnet School for the Visual and Performing Arts"/>
    <s v="03 73981 6002851"/>
    <n v="0.55559999999999998"/>
    <n v="13"/>
    <n v="4100"/>
    <n v="1758"/>
    <n v="453058"/>
    <n v="137861"/>
    <n v="590919"/>
  </r>
  <r>
    <s v="04"/>
    <s v="10041"/>
    <s v="0000000"/>
    <s v="N/A"/>
    <s v="N/A"/>
    <s v="Butte Co. Office of Education"/>
    <x v="0"/>
    <s v="Berry Creek Elementary"/>
    <s v="04 73379 6002927"/>
    <n v="1"/>
    <n v="5"/>
    <n v="363"/>
    <n v="333"/>
    <n v="40113"/>
    <n v="26114"/>
    <n v="66227"/>
  </r>
  <r>
    <s v="04"/>
    <s v="10041"/>
    <s v="0114991"/>
    <s v="0945"/>
    <s v="D"/>
    <s v="CORE Butte Charter"/>
    <x v="1"/>
    <s v="CORE Butte Charter"/>
    <s v="04 10041 0114991"/>
    <n v="0.45639999999999997"/>
    <n v="1"/>
    <n v="849"/>
    <n v="387"/>
    <n v="93816"/>
    <n v="30348"/>
    <n v="124164"/>
  </r>
  <r>
    <s v="04"/>
    <s v="10041"/>
    <s v="0134213"/>
    <s v="1811"/>
    <s v="L"/>
    <s v="Come Back Butte Charter"/>
    <x v="1"/>
    <s v="Berry Creek Elementary"/>
    <s v="04 73379 6002927"/>
    <n v="1"/>
    <n v="1"/>
    <n v="71"/>
    <n v="67"/>
    <n v="7846"/>
    <n v="5254"/>
    <n v="13100"/>
  </r>
  <r>
    <s v="04"/>
    <s v="10041"/>
    <s v="0136820"/>
    <s v="1916"/>
    <s v="D"/>
    <s v="Achieve Charter High School"/>
    <x v="1"/>
    <s v="Berry Creek Elementary"/>
    <s v="04 73379 6002927"/>
    <n v="1"/>
    <n v="1"/>
    <n v="0"/>
    <n v="0"/>
    <n v="0"/>
    <n v="0"/>
    <n v="0"/>
  </r>
  <r>
    <s v="04"/>
    <s v="10041"/>
    <s v="0430090"/>
    <s v="0110"/>
    <s v="L"/>
    <s v="Hearthstone School"/>
    <x v="1"/>
    <s v="Hearthstone School"/>
    <s v="04 10041 0430090"/>
    <n v="0.84660000000000002"/>
    <n v="1"/>
    <n v="163"/>
    <n v="138"/>
    <n v="18012"/>
    <n v="10822"/>
    <n v="28834"/>
  </r>
  <r>
    <s v="04"/>
    <s v="61382"/>
    <s v="0000000"/>
    <s v="N/A"/>
    <s v="N/A"/>
    <s v="Bangor Union Elementary"/>
    <x v="3"/>
    <s v="Bangor Union Elementary"/>
    <s v="04 61382 6002919"/>
    <n v="0.72460000000000002"/>
    <n v="2"/>
    <n v="69"/>
    <n v="50"/>
    <n v="7625"/>
    <n v="3921"/>
    <n v="11546"/>
  </r>
  <r>
    <s v="04"/>
    <s v="61408"/>
    <s v="0000000"/>
    <s v="N/A"/>
    <s v="N/A"/>
    <s v="Biggs Unified"/>
    <x v="3"/>
    <s v="Biggs Elementary"/>
    <s v="04 61408 6002943"/>
    <n v="0.62160000000000004"/>
    <n v="4"/>
    <n v="532"/>
    <n v="292"/>
    <n v="58787"/>
    <n v="22898"/>
    <n v="81685"/>
  </r>
  <r>
    <s v="04"/>
    <s v="61424"/>
    <s v="0000000"/>
    <s v="N/A"/>
    <s v="N/A"/>
    <s v="Chico Unified"/>
    <x v="3"/>
    <s v="Chapman Elementary"/>
    <s v="04 61424 6002968"/>
    <n v="0.89329999999999998"/>
    <n v="23"/>
    <n v="12245"/>
    <n v="6957"/>
    <n v="1353093"/>
    <n v="545558"/>
    <n v="1898651"/>
  </r>
  <r>
    <s v="04"/>
    <s v="61424"/>
    <s v="0110551"/>
    <s v="0729"/>
    <s v="D"/>
    <s v="Nord Country"/>
    <x v="1"/>
    <s v="Nord Country"/>
    <s v="04 61424 0110551"/>
    <n v="0.22270000000000001"/>
    <n v="1"/>
    <n v="211"/>
    <n v="47"/>
    <n v="23316"/>
    <n v="3686"/>
    <n v="27002"/>
  </r>
  <r>
    <s v="04"/>
    <s v="61424"/>
    <s v="0118042"/>
    <s v="1019"/>
    <s v="D"/>
    <s v="Forest Ranch Charter"/>
    <x v="1"/>
    <s v="Forest Ranch Charter"/>
    <s v="04 61424 0118042"/>
    <n v="0.5514"/>
    <n v="1"/>
    <n v="107"/>
    <n v="59"/>
    <n v="11824"/>
    <n v="4627"/>
    <n v="16451"/>
  </r>
  <r>
    <s v="04"/>
    <s v="61424"/>
    <s v="0120394"/>
    <s v="1114"/>
    <s v="D"/>
    <s v="Inspire School of Arts and Sciences"/>
    <x v="1"/>
    <s v="Berry Creek Elementary"/>
    <s v="04 73379 6002927"/>
    <n v="1"/>
    <n v="1"/>
    <n v="366"/>
    <n v="157"/>
    <n v="40444"/>
    <n v="12312"/>
    <n v="52756"/>
  </r>
  <r>
    <s v="04"/>
    <s v="61424"/>
    <s v="0121475"/>
    <s v="1166"/>
    <s v="D"/>
    <s v="Sherwood Montessori"/>
    <x v="1"/>
    <s v="Sherwood Montessori"/>
    <s v="04 61424 0121475"/>
    <n v="0.43880000000000002"/>
    <n v="1"/>
    <n v="98"/>
    <n v="43"/>
    <n v="10829"/>
    <n v="3372"/>
    <n v="14201"/>
  </r>
  <r>
    <s v="04"/>
    <s v="61424"/>
    <s v="0123810"/>
    <s v="1280"/>
    <s v="D"/>
    <s v="Wildflower Open Classroom"/>
    <x v="1"/>
    <s v="Wildflower Open Classroom"/>
    <s v="04 61424 0123810"/>
    <n v="0.26029999999999998"/>
    <n v="1"/>
    <n v="146"/>
    <n v="38"/>
    <n v="16133"/>
    <n v="2980"/>
    <n v="19113"/>
  </r>
  <r>
    <s v="04"/>
    <s v="61424"/>
    <s v="0137828"/>
    <s v="1982"/>
    <s v="D"/>
    <s v="Pivot Charter School North Valley II"/>
    <x v="1"/>
    <s v="Pivot Charter School North Valley II"/>
    <s v="04 61424 0137828"/>
    <n v="0.6552"/>
    <n v="1"/>
    <n v="87"/>
    <n v="57"/>
    <n v="9614"/>
    <n v="4470"/>
    <n v="14084"/>
  </r>
  <r>
    <s v="04"/>
    <s v="61424"/>
    <s v="0141085"/>
    <s v="2120"/>
    <s v="D"/>
    <s v="Achieve Charter School of Chico"/>
    <x v="1"/>
    <s v="Achieve Charter School of Chico"/>
    <s v="04 61424 0141085"/>
    <n v="0.44890000000000002"/>
    <n v="1"/>
    <n v="225"/>
    <n v="101"/>
    <n v="24863"/>
    <n v="7920"/>
    <n v="32783"/>
  </r>
  <r>
    <s v="04"/>
    <s v="61424"/>
    <s v="6113773"/>
    <s v="0112"/>
    <s v="D"/>
    <s v="Chico Country Day"/>
    <x v="1"/>
    <s v="Chico Country Day"/>
    <s v="04 61424 6113773"/>
    <n v="0.25269999999999998"/>
    <n v="1"/>
    <n v="566"/>
    <n v="143"/>
    <n v="62544"/>
    <n v="11214"/>
    <n v="73758"/>
  </r>
  <r>
    <s v="04"/>
    <s v="61424"/>
    <s v="6119523"/>
    <s v="0415"/>
    <s v="D"/>
    <s v="Blue Oak Charter"/>
    <x v="1"/>
    <s v="Blue Oak Charter"/>
    <s v="04 61424 6119523"/>
    <n v="0.57410000000000005"/>
    <n v="1"/>
    <n v="263"/>
    <n v="151"/>
    <n v="29062"/>
    <n v="11841"/>
    <n v="40903"/>
  </r>
  <r>
    <s v="04"/>
    <s v="61432"/>
    <s v="0000000"/>
    <s v="N/A"/>
    <s v="N/A"/>
    <s v="Durham Unified"/>
    <x v="3"/>
    <s v="Durham Elementary"/>
    <s v="04 61432 6003115"/>
    <n v="0.36880000000000002"/>
    <n v="4"/>
    <n v="1003"/>
    <n v="386"/>
    <n v="110834"/>
    <n v="30269"/>
    <n v="141103"/>
  </r>
  <r>
    <s v="04"/>
    <s v="61457"/>
    <s v="0000000"/>
    <s v="N/A"/>
    <s v="N/A"/>
    <s v="Golden Feather Union Elementary"/>
    <x v="3"/>
    <s v="Concow Elementary"/>
    <s v="04 61457 6003131"/>
    <n v="0.95650000000000002"/>
    <n v="2"/>
    <n v="70"/>
    <n v="67"/>
    <n v="7735"/>
    <n v="5254"/>
    <n v="12989"/>
  </r>
  <r>
    <s v="04"/>
    <s v="61499"/>
    <s v="0000000"/>
    <s v="N/A"/>
    <s v="N/A"/>
    <s v="Manzanita Elementary"/>
    <x v="3"/>
    <s v="Manzanita Elementary"/>
    <s v="04 61499 6003198"/>
    <n v="0.48449999999999999"/>
    <n v="2"/>
    <n v="322"/>
    <n v="156"/>
    <n v="35582"/>
    <n v="12233"/>
    <n v="47815"/>
  </r>
  <r>
    <s v="04"/>
    <s v="61507"/>
    <s v="0000000"/>
    <s v="N/A"/>
    <s v="N/A"/>
    <s v="Oroville City Elementary"/>
    <x v="3"/>
    <s v="Oakdale Heights Elementary"/>
    <s v="04 61507 6003255"/>
    <n v="0.88100000000000001"/>
    <n v="8"/>
    <n v="2179"/>
    <n v="1652"/>
    <n v="240783"/>
    <n v="129548"/>
    <n v="370331"/>
  </r>
  <r>
    <s v="04"/>
    <s v="61507"/>
    <s v="0121509"/>
    <s v="1170"/>
    <s v="D"/>
    <s v="Ipakanni Early College Charter"/>
    <x v="1"/>
    <s v="Ipakanni Early College Charter"/>
    <s v="04 61507 0121509"/>
    <n v="0.69840000000000002"/>
    <n v="1"/>
    <n v="63"/>
    <n v="44"/>
    <n v="6962"/>
    <n v="3450"/>
    <n v="10412"/>
  </r>
  <r>
    <s v="04"/>
    <s v="61507"/>
    <s v="0129577"/>
    <s v="1616"/>
    <s v="D"/>
    <s v="Stream Charter"/>
    <x v="1"/>
    <s v="Stream Charter"/>
    <s v="04 61507 0129577"/>
    <n v="0.48830000000000001"/>
    <n v="1"/>
    <n v="428"/>
    <n v="209"/>
    <n v="47295"/>
    <n v="16390"/>
    <n v="63685"/>
  </r>
  <r>
    <s v="04"/>
    <s v="61515"/>
    <s v="0000000"/>
    <s v="N/A"/>
    <s v="N/A"/>
    <s v="Oroville Union High"/>
    <x v="3"/>
    <s v="Berry Creek Elementary"/>
    <s v="04 73379 6002927"/>
    <n v="1"/>
    <n v="5"/>
    <n v="2346"/>
    <n v="1909"/>
    <n v="259238"/>
    <n v="149701"/>
    <n v="408939"/>
  </r>
  <r>
    <s v="04"/>
    <s v="61523"/>
    <s v="0000000"/>
    <s v="N/A"/>
    <s v="N/A"/>
    <s v="Palermo Union Elementary"/>
    <x v="3"/>
    <s v="Honcut"/>
    <s v="04 61523 6089080"/>
    <n v="0.94120000000000004"/>
    <n v="7"/>
    <n v="1316"/>
    <n v="1077"/>
    <n v="145421"/>
    <n v="84457"/>
    <n v="229878"/>
  </r>
  <r>
    <s v="04"/>
    <s v="61531"/>
    <s v="0000000"/>
    <s v="N/A"/>
    <s v="N/A"/>
    <s v="Paradise Unified"/>
    <x v="3"/>
    <s v="Pine Ridge"/>
    <s v="04 61531 6105522"/>
    <n v="0.76439999999999997"/>
    <n v="12"/>
    <n v="1590"/>
    <n v="997"/>
    <n v="175698"/>
    <n v="78184"/>
    <n v="253882"/>
  </r>
  <r>
    <s v="04"/>
    <s v="61531"/>
    <s v="0110338"/>
    <s v="0751"/>
    <s v="D"/>
    <s v="Achieve Charter School of Paradise Inc."/>
    <x v="1"/>
    <s v="Achieve Charter School of Paradise Inc."/>
    <s v="04 61531 0110338"/>
    <n v="0.39839999999999998"/>
    <n v="1"/>
    <n v="123"/>
    <n v="49"/>
    <n v="13592"/>
    <n v="3843"/>
    <n v="17435"/>
  </r>
  <r>
    <s v="04"/>
    <s v="61531"/>
    <s v="6112585"/>
    <s v="0067"/>
    <s v="D"/>
    <s v="Hometech Charter"/>
    <x v="1"/>
    <s v="Hometech Charter"/>
    <s v="04 61531 6112585"/>
    <n v="0.77110000000000001"/>
    <n v="1"/>
    <n v="83"/>
    <n v="64"/>
    <n v="9172"/>
    <n v="5019"/>
    <n v="14191"/>
  </r>
  <r>
    <s v="04"/>
    <s v="61531"/>
    <s v="6112999"/>
    <s v="0079"/>
    <s v="D"/>
    <s v="Paradise Charter Middle"/>
    <x v="1"/>
    <s v="Berry Creek Elementary"/>
    <s v="04 73379 6002927"/>
    <n v="1"/>
    <n v="1"/>
    <n v="143"/>
    <n v="45"/>
    <n v="15802"/>
    <n v="3529"/>
    <n v="19331"/>
  </r>
  <r>
    <s v="04"/>
    <s v="61531"/>
    <s v="6113765"/>
    <s v="0094"/>
    <s v="D"/>
    <s v="Children's Community Charter"/>
    <x v="1"/>
    <s v="Children's Community Charter"/>
    <s v="04 61531 6113765"/>
    <n v="0.5978"/>
    <n v="1"/>
    <n v="179"/>
    <n v="107"/>
    <n v="19780"/>
    <n v="8391"/>
    <n v="28171"/>
  </r>
  <r>
    <s v="04"/>
    <s v="61549"/>
    <s v="0000000"/>
    <s v="N/A"/>
    <s v="N/A"/>
    <s v="Thermalito Union Elementary"/>
    <x v="3"/>
    <s v="Sierra Avenue Elementary"/>
    <s v="04 61549 6003370"/>
    <n v="0.87339999999999995"/>
    <n v="7"/>
    <n v="1671"/>
    <n v="1419"/>
    <n v="184648"/>
    <n v="111275"/>
    <n v="295923"/>
  </r>
  <r>
    <s v="04"/>
    <s v="73379"/>
    <s v="0000000"/>
    <s v="N/A"/>
    <s v="N/A"/>
    <s v="Pioneer Union Elementary"/>
    <x v="3"/>
    <s v="Berry Creek Elementary"/>
    <s v="04 73379 6002927"/>
    <n v="1"/>
    <n v="2"/>
    <n v="30"/>
    <n v="30"/>
    <n v="3315"/>
    <n v="2353"/>
    <n v="5668"/>
  </r>
  <r>
    <s v="04"/>
    <s v="75507"/>
    <s v="0000000"/>
    <s v="N/A"/>
    <s v="N/A"/>
    <s v="Gridley Unified"/>
    <x v="3"/>
    <s v="McKinley Elementary"/>
    <s v="04 75507 6003156"/>
    <n v="0.75149999999999995"/>
    <n v="6"/>
    <n v="2046"/>
    <n v="1380"/>
    <n v="226086"/>
    <n v="108218"/>
    <n v="334304"/>
  </r>
  <r>
    <s v="05"/>
    <s v="10058"/>
    <s v="0000000"/>
    <s v="N/A"/>
    <s v="N/A"/>
    <s v="Calaveras Co. Office of Education"/>
    <x v="0"/>
    <s v="San Andreas Elementary"/>
    <s v="05 61564 6003438"/>
    <n v="0.69379999999999997"/>
    <n v="4"/>
    <n v="106"/>
    <n v="75"/>
    <n v="11714"/>
    <n v="5881"/>
    <n v="17595"/>
  </r>
  <r>
    <s v="05"/>
    <s v="10058"/>
    <s v="0530154"/>
    <s v="0527"/>
    <s v="L"/>
    <s v="Mountain Oaks"/>
    <x v="1"/>
    <s v="Mountain Oaks"/>
    <s v="05 10058 0530154"/>
    <n v="0.50749999999999995"/>
    <n v="1"/>
    <n v="402"/>
    <n v="204"/>
    <n v="44422"/>
    <n v="15997"/>
    <n v="60419"/>
  </r>
  <r>
    <s v="05"/>
    <s v="61556"/>
    <s v="0000000"/>
    <s v="N/A"/>
    <s v="N/A"/>
    <s v="Bret Harte Union High"/>
    <x v="3"/>
    <s v="San Andreas Elementary"/>
    <s v="05 61564 6003438"/>
    <n v="0.69379999999999997"/>
    <n v="3"/>
    <n v="633"/>
    <n v="281"/>
    <n v="69947"/>
    <n v="22036"/>
    <n v="91983"/>
  </r>
  <r>
    <s v="05"/>
    <s v="61564"/>
    <s v="0000000"/>
    <s v="N/A"/>
    <s v="N/A"/>
    <s v="Calaveras Unified"/>
    <x v="3"/>
    <s v="San Andreas Elementary"/>
    <s v="05 61564 6003438"/>
    <n v="0.69379999999999997"/>
    <n v="10"/>
    <n v="2949"/>
    <n v="1406"/>
    <n v="325870"/>
    <n v="110258"/>
    <n v="436128"/>
  </r>
  <r>
    <s v="05"/>
    <s v="61572"/>
    <s v="0000000"/>
    <s v="N/A"/>
    <s v="N/A"/>
    <s v="Mark Twain Union Elementary"/>
    <x v="3"/>
    <s v="Mark Twain Elementary"/>
    <s v="05 61572 6003461"/>
    <n v="0.56810000000000005"/>
    <n v="4"/>
    <n v="764"/>
    <n v="407"/>
    <n v="84424"/>
    <n v="31916"/>
    <n v="116340"/>
  </r>
  <r>
    <s v="05"/>
    <s v="61580"/>
    <s v="0000000"/>
    <s v="N/A"/>
    <s v="N/A"/>
    <s v="Vallecito Union"/>
    <x v="3"/>
    <s v="Hazel Fischer Elementary"/>
    <s v="05 61580 6003396"/>
    <n v="0.5"/>
    <n v="5"/>
    <n v="590"/>
    <n v="283"/>
    <n v="65196"/>
    <n v="22193"/>
    <n v="87389"/>
  </r>
  <r>
    <s v="06"/>
    <s v="10066"/>
    <s v="0000000"/>
    <s v="N/A"/>
    <s v="N/A"/>
    <s v="Colusa Co. Office of Education"/>
    <x v="0"/>
    <s v="Williams Upper Elementary"/>
    <s v="06 61622 0118729"/>
    <n v="0.94010000000000005"/>
    <n v="3"/>
    <n v="128"/>
    <n v="119"/>
    <n v="14145"/>
    <n v="9331"/>
    <n v="23476"/>
  </r>
  <r>
    <s v="06"/>
    <s v="61598"/>
    <s v="0000000"/>
    <s v="N/A"/>
    <s v="N/A"/>
    <s v="Colusa Unified"/>
    <x v="3"/>
    <s v="James M. Burchfield Primary"/>
    <s v="06 61598 6003495"/>
    <n v="0.67400000000000004"/>
    <n v="6"/>
    <n v="1545"/>
    <n v="985"/>
    <n v="170725"/>
    <n v="77242"/>
    <n v="247967"/>
  </r>
  <r>
    <s v="06"/>
    <s v="61606"/>
    <s v="0000000"/>
    <s v="N/A"/>
    <s v="N/A"/>
    <s v="Maxwell Unified"/>
    <x v="3"/>
    <s v="Maxwell Elementary"/>
    <s v="06 61606 6003503"/>
    <n v="0.62939999999999996"/>
    <n v="4"/>
    <n v="344"/>
    <n v="215"/>
    <n v="38013"/>
    <n v="16860"/>
    <n v="54873"/>
  </r>
  <r>
    <s v="06"/>
    <s v="61614"/>
    <s v="0000000"/>
    <s v="N/A"/>
    <s v="N/A"/>
    <s v="Pierce Joint Unified"/>
    <x v="3"/>
    <s v="Grand Island Elementary"/>
    <s v="06 61614 6003537"/>
    <n v="0.74509999999999998"/>
    <n v="6"/>
    <n v="1505"/>
    <n v="1042"/>
    <n v="166306"/>
    <n v="81713"/>
    <n v="248019"/>
  </r>
  <r>
    <s v="06"/>
    <s v="61622"/>
    <s v="0000000"/>
    <s v="N/A"/>
    <s v="N/A"/>
    <s v="Williams Unified"/>
    <x v="3"/>
    <s v="Williams Upper Elementary"/>
    <s v="06 61622 0118729"/>
    <n v="0.94010000000000005"/>
    <n v="5"/>
    <n v="1371"/>
    <n v="1252"/>
    <n v="151498"/>
    <n v="98181"/>
    <n v="249679"/>
  </r>
  <r>
    <s v="07"/>
    <s v="10074"/>
    <s v="0000000"/>
    <s v="N/A"/>
    <s v="N/A"/>
    <s v="Contra Costa Co. Office of Education"/>
    <x v="0"/>
    <s v="Verde Elementary"/>
    <s v="07 61796 6005011"/>
    <n v="0.96099999999999997"/>
    <n v="5"/>
    <n v="247"/>
    <n v="111"/>
    <n v="27294"/>
    <n v="8704"/>
    <n v="35998"/>
  </r>
  <r>
    <s v="07"/>
    <s v="10074"/>
    <s v="0114470"/>
    <s v="0868"/>
    <s v="D"/>
    <s v="Making Waves Academy"/>
    <x v="1"/>
    <s v="Making Waves Academy"/>
    <s v="07 10074 0114470"/>
    <n v="0.83540000000000003"/>
    <n v="1"/>
    <n v="1124"/>
    <n v="939"/>
    <n v="124204"/>
    <n v="73635"/>
    <n v="197839"/>
  </r>
  <r>
    <s v="07"/>
    <s v="10074"/>
    <s v="0129528"/>
    <s v="1622"/>
    <s v="D"/>
    <s v="Caliber: Beta Academy"/>
    <x v="1"/>
    <s v="Caliber: Beta Academy"/>
    <s v="07 10074 0129528"/>
    <n v="0.73270000000000002"/>
    <n v="1"/>
    <n v="913"/>
    <n v="669"/>
    <n v="100888"/>
    <n v="52462"/>
    <n v="153350"/>
  </r>
  <r>
    <s v="07"/>
    <s v="10074"/>
    <s v="0129684"/>
    <s v="1650"/>
    <s v="D"/>
    <s v="Summit Public School K2"/>
    <x v="1"/>
    <s v="Verde Elementary"/>
    <s v="07 61796 6005011"/>
    <n v="0.96099999999999997"/>
    <n v="1"/>
    <n v="506"/>
    <n v="365"/>
    <n v="55914"/>
    <n v="28623"/>
    <n v="84537"/>
  </r>
  <r>
    <s v="07"/>
    <s v="10074"/>
    <s v="0134114"/>
    <s v="1773"/>
    <s v="D"/>
    <s v="Contra Costa School of Performing Arts"/>
    <x v="1"/>
    <s v="Contra Costa School of Performing Arts"/>
    <s v="07 10074 0134114"/>
    <n v="0.3695"/>
    <n v="1"/>
    <n v="341"/>
    <n v="126"/>
    <n v="37681"/>
    <n v="9881"/>
    <n v="47562"/>
  </r>
  <r>
    <s v="07"/>
    <s v="10074"/>
    <s v="0137026"/>
    <s v="1933"/>
    <s v="D"/>
    <s v="Invictus Academy of Richmond"/>
    <x v="1"/>
    <s v="Verde Elementary"/>
    <s v="07 61796 6005011"/>
    <n v="0.96099999999999997"/>
    <n v="1"/>
    <n v="330"/>
    <n v="234"/>
    <n v="36466"/>
    <n v="18350"/>
    <n v="54816"/>
  </r>
  <r>
    <s v="07"/>
    <s v="10074"/>
    <s v="0730614"/>
    <s v="1887"/>
    <s v="L"/>
    <s v="Golden Gate Community Charter"/>
    <x v="1"/>
    <s v="Verde Elementary"/>
    <s v="07 61796 6005011"/>
    <n v="0.96099999999999997"/>
    <n v="1"/>
    <n v="90"/>
    <n v="71"/>
    <n v="9945"/>
    <n v="5568"/>
    <n v="15513"/>
  </r>
  <r>
    <s v="07"/>
    <s v="10074"/>
    <s v="0731380"/>
    <s v="1400"/>
    <s v="D"/>
    <s v="Clayton Valley Charter High"/>
    <x v="1"/>
    <s v="Verde Elementary"/>
    <s v="07 61796 6005011"/>
    <n v="0.96099999999999997"/>
    <n v="1"/>
    <n v="2381"/>
    <n v="509"/>
    <n v="263104"/>
    <n v="39915"/>
    <n v="303019"/>
  </r>
  <r>
    <s v="07"/>
    <s v="10074"/>
    <s v="6118368"/>
    <s v="0333"/>
    <s v="D"/>
    <s v="Manzanita Middle"/>
    <x v="1"/>
    <s v="Verde Elementary"/>
    <s v="07 61796 6005011"/>
    <n v="0.96099999999999997"/>
    <n v="1"/>
    <n v="82"/>
    <n v="52"/>
    <n v="9061"/>
    <n v="4078"/>
    <n v="13139"/>
  </r>
  <r>
    <s v="07"/>
    <s v="61630"/>
    <s v="0000000"/>
    <s v="N/A"/>
    <s v="N/A"/>
    <s v="Acalanes Union High"/>
    <x v="3"/>
    <s v="Verde Elementary"/>
    <s v="07 61796 6005011"/>
    <n v="0.96099999999999997"/>
    <n v="6"/>
    <n v="5389"/>
    <n v="418"/>
    <n v="595494"/>
    <n v="32779"/>
    <n v="628273"/>
  </r>
  <r>
    <s v="07"/>
    <s v="61648"/>
    <s v="0000000"/>
    <s v="N/A"/>
    <s v="N/A"/>
    <s v="Antioch Unified"/>
    <x v="3"/>
    <s v="Jack London Elementary"/>
    <s v="07 61648 6110514"/>
    <n v="0.81840000000000002"/>
    <n v="26"/>
    <n v="15143"/>
    <n v="11187"/>
    <n v="1673326"/>
    <n v="877273"/>
    <n v="2550599"/>
  </r>
  <r>
    <s v="07"/>
    <s v="61648"/>
    <s v="0115063"/>
    <s v="0909"/>
    <s v="D"/>
    <s v="Antioch Charter Academy II"/>
    <x v="1"/>
    <s v="Antioch Charter Academy II"/>
    <s v="07 61648 0115063"/>
    <n v="0.43070000000000003"/>
    <n v="1"/>
    <n v="202"/>
    <n v="87"/>
    <n v="22321"/>
    <n v="6822"/>
    <n v="29143"/>
  </r>
  <r>
    <s v="07"/>
    <s v="61648"/>
    <s v="0137430"/>
    <s v="1965"/>
    <s v="D"/>
    <s v="Rocketship Delta Prep"/>
    <x v="1"/>
    <s v="Rocketship Delta Prep"/>
    <s v="07 61648 0137430"/>
    <n v="0.71030000000000004"/>
    <n v="1"/>
    <n v="573"/>
    <n v="407"/>
    <n v="63317"/>
    <n v="31917"/>
    <n v="95234"/>
  </r>
  <r>
    <s v="07"/>
    <s v="61648"/>
    <s v="6115703"/>
    <s v="0143"/>
    <s v="D"/>
    <s v="Antioch Charter Academy"/>
    <x v="1"/>
    <s v="Antioch Charter Academy"/>
    <s v="07 61648 6115703"/>
    <n v="0.31369999999999998"/>
    <n v="1"/>
    <n v="204"/>
    <n v="64"/>
    <n v="22542"/>
    <n v="5019"/>
    <n v="27561"/>
  </r>
  <r>
    <s v="07"/>
    <s v="61655"/>
    <s v="0000000"/>
    <s v="N/A"/>
    <s v="N/A"/>
    <s v="Brentwood Union Elementary"/>
    <x v="3"/>
    <s v="Mary Casey Black Elementary"/>
    <s v="07 61655 0127464"/>
    <n v="0.32379999999999998"/>
    <n v="12"/>
    <n v="9523"/>
    <n v="2137"/>
    <n v="1052307"/>
    <n v="167581"/>
    <n v="1219888"/>
  </r>
  <r>
    <s v="07"/>
    <s v="61663"/>
    <s v="0000000"/>
    <s v="N/A"/>
    <s v="N/A"/>
    <s v="Byron Union Elementary"/>
    <x v="3"/>
    <s v="Discovery Bay Elementary"/>
    <s v="07 61663 6101943"/>
    <n v="0.35139999999999999"/>
    <n v="5"/>
    <n v="1230"/>
    <n v="387"/>
    <n v="135918"/>
    <n v="30349"/>
    <n v="166267"/>
  </r>
  <r>
    <s v="07"/>
    <s v="61663"/>
    <s v="0130930"/>
    <s v="1684"/>
    <s v="D"/>
    <s v="Vista Oaks Charter"/>
    <x v="1"/>
    <s v="Vista Oaks Charter"/>
    <s v="07 61663 0130930"/>
    <n v="0.3387"/>
    <n v="1"/>
    <n v="936"/>
    <n v="317"/>
    <n v="103430"/>
    <n v="24859"/>
    <n v="128289"/>
  </r>
  <r>
    <s v="07"/>
    <s v="61671"/>
    <s v="0000000"/>
    <s v="N/A"/>
    <s v="N/A"/>
    <s v="Canyon Elementary"/>
    <x v="3"/>
    <s v="Canyon Elementary"/>
    <s v="07 61671 6003677"/>
    <n v="0.1077"/>
    <n v="2"/>
    <n v="65"/>
    <n v="7"/>
    <n v="7183"/>
    <n v="549"/>
    <n v="7732"/>
  </r>
  <r>
    <s v="07"/>
    <s v="61697"/>
    <s v="0000000"/>
    <s v="N/A"/>
    <s v="N/A"/>
    <s v="John Swett Unified"/>
    <x v="3"/>
    <s v="Rodeo Hills Elementary"/>
    <s v="07 61697 6003701"/>
    <n v="0.78459999999999996"/>
    <n v="5"/>
    <n v="1236"/>
    <n v="906"/>
    <n v="136580"/>
    <n v="71048"/>
    <n v="207628"/>
  </r>
  <r>
    <s v="07"/>
    <s v="61705"/>
    <s v="0000000"/>
    <s v="N/A"/>
    <s v="N/A"/>
    <s v="Knightsen Elementary"/>
    <x v="3"/>
    <s v="Knightsen Elementary"/>
    <s v="07 61705 6003719"/>
    <n v="0.30149999999999999"/>
    <n v="3"/>
    <n v="581"/>
    <n v="131"/>
    <n v="64202"/>
    <n v="10273"/>
    <n v="74475"/>
  </r>
  <r>
    <s v="07"/>
    <s v="61713"/>
    <s v="0000000"/>
    <s v="N/A"/>
    <s v="N/A"/>
    <s v="Lafayette Elementary"/>
    <x v="3"/>
    <s v="Lafayette Elementary"/>
    <s v="07 61713 6003750"/>
    <n v="8.2500000000000004E-2"/>
    <n v="6"/>
    <n v="3204"/>
    <n v="127"/>
    <n v="354047"/>
    <n v="9960"/>
    <n v="364007"/>
  </r>
  <r>
    <s v="07"/>
    <s v="61721"/>
    <s v="0000000"/>
    <s v="N/A"/>
    <s v="N/A"/>
    <s v="Liberty Union High"/>
    <x v="3"/>
    <s v="Verde Elementary"/>
    <s v="07 61796 6005011"/>
    <n v="0.96099999999999997"/>
    <n v="6"/>
    <n v="8203"/>
    <n v="2062"/>
    <n v="906446"/>
    <n v="161700"/>
    <n v="1068146"/>
  </r>
  <r>
    <s v="07"/>
    <s v="61739"/>
    <s v="0000000"/>
    <s v="N/A"/>
    <s v="N/A"/>
    <s v="Martinez Unified"/>
    <x v="3"/>
    <s v="Las Juntas Elementary"/>
    <s v="07 61739 6003842"/>
    <n v="0.56889999999999996"/>
    <n v="10"/>
    <n v="3794"/>
    <n v="1553"/>
    <n v="419244"/>
    <n v="121785"/>
    <n v="541029"/>
  </r>
  <r>
    <s v="07"/>
    <s v="61747"/>
    <s v="0000000"/>
    <s v="N/A"/>
    <s v="N/A"/>
    <s v="Moraga Elementary"/>
    <x v="3"/>
    <s v="Donald L. Rheem Elementary"/>
    <s v="07 61747 6003917"/>
    <n v="4.3799999999999999E-2"/>
    <n v="5"/>
    <n v="1751"/>
    <n v="72"/>
    <n v="193489"/>
    <n v="5647"/>
    <n v="199136"/>
  </r>
  <r>
    <s v="07"/>
    <s v="61754"/>
    <s v="0000000"/>
    <s v="N/A"/>
    <s v="N/A"/>
    <s v="Mt. Diablo Unified"/>
    <x v="3"/>
    <s v="Rio Vista Elementary"/>
    <s v="07 61754 6096226"/>
    <n v="0.83179999999999998"/>
    <n v="52"/>
    <n v="29015"/>
    <n v="11049"/>
    <n v="3206201"/>
    <n v="866447"/>
    <n v="4072648"/>
  </r>
  <r>
    <s v="07"/>
    <s v="61754"/>
    <s v="0134072"/>
    <s v="1805"/>
    <s v="D"/>
    <s v="Rocketship Futuro Academy"/>
    <x v="1"/>
    <s v="Rocketship Futuro Academy"/>
    <s v="07 61754 0134072"/>
    <n v="0.73660000000000003"/>
    <n v="1"/>
    <n v="672"/>
    <n v="495"/>
    <n v="74257"/>
    <n v="38817"/>
    <n v="113074"/>
  </r>
  <r>
    <s v="07"/>
    <s v="61754"/>
    <s v="6118087"/>
    <s v="0305"/>
    <s v="L"/>
    <s v="Eagle Peak Montessori"/>
    <x v="1"/>
    <s v="Eagle Peak Montessori"/>
    <s v="07 61754 6118087"/>
    <n v="9.9000000000000005E-2"/>
    <n v="1"/>
    <n v="293"/>
    <n v="29"/>
    <n v="32377"/>
    <n v="2274"/>
    <n v="34651"/>
  </r>
  <r>
    <s v="07"/>
    <s v="61762"/>
    <s v="0000000"/>
    <s v="N/A"/>
    <s v="N/A"/>
    <s v="Oakley Union Elementary"/>
    <x v="3"/>
    <s v="Oakley Elementary"/>
    <s v="07 61762 6004428"/>
    <n v="0.53639999999999999"/>
    <n v="10"/>
    <n v="5195"/>
    <n v="2129"/>
    <n v="574056"/>
    <n v="166954"/>
    <n v="741010"/>
  </r>
  <r>
    <s v="07"/>
    <s v="61770"/>
    <s v="0000000"/>
    <s v="N/A"/>
    <s v="N/A"/>
    <s v="Orinda Union Elementary"/>
    <x v="3"/>
    <s v="Sleepy Hollow Elementary"/>
    <s v="07 61770 6004501"/>
    <n v="2.5700000000000001E-2"/>
    <n v="6"/>
    <n v="2511"/>
    <n v="62"/>
    <n v="277470"/>
    <n v="4863"/>
    <n v="282333"/>
  </r>
  <r>
    <s v="07"/>
    <s v="61788"/>
    <s v="0000000"/>
    <s v="N/A"/>
    <s v="N/A"/>
    <s v="Pittsburg Unified"/>
    <x v="3"/>
    <s v="Parkside Elementary"/>
    <s v="07 61788 6004568"/>
    <n v="0.85329999999999995"/>
    <n v="14"/>
    <n v="10926"/>
    <n v="8481"/>
    <n v="1207341"/>
    <n v="665070"/>
    <n v="1872411"/>
  </r>
  <r>
    <s v="07"/>
    <s v="61796"/>
    <s v="0000000"/>
    <s v="N/A"/>
    <s v="N/A"/>
    <s v="West Contra Costa Unified"/>
    <x v="3"/>
    <s v="Verde Elementary"/>
    <s v="07 61796 6005011"/>
    <n v="0.96099999999999997"/>
    <n v="55"/>
    <n v="26417"/>
    <n v="14339"/>
    <n v="2919124"/>
    <n v="1124449"/>
    <n v="4043573"/>
  </r>
  <r>
    <s v="07"/>
    <s v="61796"/>
    <s v="0101477"/>
    <s v="0557"/>
    <s v="D"/>
    <s v="Leadership Public Schools: Richmond"/>
    <x v="1"/>
    <s v="Verde Elementary"/>
    <s v="07 61796 6005011"/>
    <n v="0.96099999999999997"/>
    <n v="1"/>
    <n v="556"/>
    <n v="354"/>
    <n v="61439"/>
    <n v="27760"/>
    <n v="89199"/>
  </r>
  <r>
    <s v="07"/>
    <s v="61796"/>
    <s v="0110973"/>
    <s v="0755"/>
    <s v="D"/>
    <s v="Richmond College Preparatory"/>
    <x v="1"/>
    <s v="Richmond College Preparatory"/>
    <s v="07 61796 0110973"/>
    <n v="0.7278"/>
    <n v="1"/>
    <n v="562"/>
    <n v="409"/>
    <n v="62102"/>
    <n v="32073"/>
    <n v="94175"/>
  </r>
  <r>
    <s v="07"/>
    <s v="61796"/>
    <s v="0126805"/>
    <s v="1441"/>
    <s v="D"/>
    <s v="Richmond Charter Academy"/>
    <x v="1"/>
    <s v="Verde Elementary"/>
    <s v="07 61796 6005011"/>
    <n v="0.96099999999999997"/>
    <n v="1"/>
    <n v="324"/>
    <n v="255"/>
    <n v="35803"/>
    <n v="19997"/>
    <n v="55800"/>
  </r>
  <r>
    <s v="07"/>
    <s v="61796"/>
    <s v="0129643"/>
    <s v="1660"/>
    <s v="D"/>
    <s v="Richmond Charter Elementary-Benito Juarez"/>
    <x v="1"/>
    <s v="Richmond Charter Elementary-Benito Juarez"/>
    <s v="07 61796 0129643"/>
    <n v="0.81269999999999998"/>
    <n v="1"/>
    <n v="502"/>
    <n v="408"/>
    <n v="55472"/>
    <n v="31995"/>
    <n v="87467"/>
  </r>
  <r>
    <s v="07"/>
    <s v="61796"/>
    <s v="0132100"/>
    <s v="1739"/>
    <s v="D"/>
    <s v="Aspire Richmond California College Preparatory Academy"/>
    <x v="1"/>
    <s v="Aspire Richmond California College Preparatory Academy"/>
    <s v="07 61796 0132100"/>
    <n v="0.69199999999999995"/>
    <n v="1"/>
    <n v="591"/>
    <n v="409"/>
    <n v="65306"/>
    <n v="32073"/>
    <n v="97379"/>
  </r>
  <r>
    <s v="07"/>
    <s v="61796"/>
    <s v="0132118"/>
    <s v="1740"/>
    <s v="D"/>
    <s v="Aspire Richmond Technology Academy"/>
    <x v="1"/>
    <s v="Aspire Richmond Technology Academy"/>
    <s v="07 61796 0132118"/>
    <n v="0.76749999999999996"/>
    <n v="1"/>
    <n v="542"/>
    <n v="416"/>
    <n v="59892"/>
    <n v="32622"/>
    <n v="92514"/>
  </r>
  <r>
    <s v="07"/>
    <s v="61796"/>
    <s v="0133637"/>
    <s v="1774"/>
    <s v="D"/>
    <s v="Summit Public School: Tamalpais"/>
    <x v="1"/>
    <s v="Verde Elementary"/>
    <s v="07 61796 6005011"/>
    <n v="0.96099999999999997"/>
    <n v="1"/>
    <n v="613"/>
    <n v="395"/>
    <n v="67738"/>
    <n v="30975"/>
    <n v="98713"/>
  </r>
  <r>
    <s v="07"/>
    <s v="61796"/>
    <s v="0136903"/>
    <s v="1906"/>
    <s v="D"/>
    <s v="Voices College -Bound Language Academy at West Contra Costa County"/>
    <x v="1"/>
    <s v="Voices College -Bound Language Academy at West Contra Costa County"/>
    <s v="07 61796 0136903"/>
    <n v="0.54690000000000005"/>
    <n v="1"/>
    <n v="245"/>
    <n v="134"/>
    <n v="27073"/>
    <n v="10508"/>
    <n v="37581"/>
  </r>
  <r>
    <s v="07"/>
    <s v="61804"/>
    <s v="0000000"/>
    <s v="N/A"/>
    <s v="N/A"/>
    <s v="San Ramon Valley Unified"/>
    <x v="3"/>
    <s v="Bella Vista Elementary"/>
    <s v="07 61804 0132902"/>
    <n v="0.14399999999999999"/>
    <n v="38"/>
    <n v="29796"/>
    <n v="2096"/>
    <n v="3292506"/>
    <n v="164367"/>
    <n v="3456873"/>
  </r>
  <r>
    <s v="07"/>
    <s v="61812"/>
    <s v="0000000"/>
    <s v="N/A"/>
    <s v="N/A"/>
    <s v="Walnut Creek Elementary"/>
    <x v="3"/>
    <s v="Murwood Elementary"/>
    <s v="07 61812 6005185"/>
    <n v="0.1777"/>
    <n v="8"/>
    <n v="3456"/>
    <n v="443"/>
    <n v="381894"/>
    <n v="34739"/>
    <n v="416633"/>
  </r>
  <r>
    <s v="07"/>
    <s v="77354"/>
    <s v="0132233"/>
    <s v="1741"/>
    <s v="D"/>
    <s v="John Henry High"/>
    <x v="1"/>
    <s v="Verde Elementary"/>
    <s v="07 61796 6005011"/>
    <n v="0.96099999999999997"/>
    <n v="1"/>
    <n v="331"/>
    <n v="258"/>
    <n v="36576"/>
    <n v="20232"/>
    <n v="56808"/>
  </r>
  <r>
    <s v="08"/>
    <s v="10082"/>
    <s v="0000000"/>
    <s v="N/A"/>
    <s v="N/A"/>
    <s v="Del Norte Co. Office of Education"/>
    <x v="0"/>
    <s v="Joe Hamilton Elementary"/>
    <s v="08 61820 6005391"/>
    <n v="0.81699999999999995"/>
    <n v="3"/>
    <n v="29"/>
    <n v="27"/>
    <n v="3205"/>
    <n v="2117"/>
    <n v="5322"/>
  </r>
  <r>
    <s v="08"/>
    <s v="10082"/>
    <s v="0830059"/>
    <s v="0358"/>
    <s v="L"/>
    <s v="Castle Rock"/>
    <x v="1"/>
    <s v="Castle Rock"/>
    <s v="08 10082 0830059"/>
    <n v="0.6895"/>
    <n v="1"/>
    <n v="351"/>
    <n v="242"/>
    <n v="38786"/>
    <n v="18977"/>
    <n v="57763"/>
  </r>
  <r>
    <s v="08"/>
    <s v="61820"/>
    <s v="0000000"/>
    <s v="N/A"/>
    <s v="N/A"/>
    <s v="Del Norte County Unified"/>
    <x v="3"/>
    <s v="Joe Hamilton Elementary"/>
    <s v="08 61820 6005391"/>
    <n v="0.81699999999999995"/>
    <n v="12"/>
    <n v="3693"/>
    <n v="2485"/>
    <n v="408084"/>
    <n v="194871"/>
    <n v="602955"/>
  </r>
  <r>
    <s v="08"/>
    <s v="61820"/>
    <s v="0137729"/>
    <s v="0859"/>
    <s v="D"/>
    <s v="Uncharted Shores Academy"/>
    <x v="1"/>
    <s v="Uncharted Shores Academy"/>
    <s v="08 61820 0137729"/>
    <n v="0.51449999999999996"/>
    <n v="1"/>
    <n v="276"/>
    <n v="142"/>
    <n v="30498"/>
    <n v="11135"/>
    <n v="41633"/>
  </r>
  <r>
    <s v="09"/>
    <s v="10090"/>
    <s v="0000000"/>
    <s v="N/A"/>
    <s v="N/A"/>
    <s v="El Dorado Co. Office of Education"/>
    <x v="0"/>
    <s v="Walt Tyler Elementary"/>
    <s v="09 61945 6114664"/>
    <n v="0.66669999999999996"/>
    <n v="4"/>
    <n v="588"/>
    <n v="315"/>
    <n v="64975"/>
    <n v="24702"/>
    <n v="89677"/>
  </r>
  <r>
    <s v="09"/>
    <s v="10090"/>
    <s v="0123521"/>
    <s v="0360"/>
    <s v="L"/>
    <s v="Charter Alternative Program (CAP)"/>
    <x v="1"/>
    <s v="Walt Tyler Elementary"/>
    <s v="09 61945 6114664"/>
    <n v="0.66669999999999996"/>
    <n v="1"/>
    <n v="223"/>
    <n v="67"/>
    <n v="24642"/>
    <n v="5254"/>
    <n v="29896"/>
  </r>
  <r>
    <s v="09"/>
    <s v="10090"/>
    <s v="0136036"/>
    <s v="1880"/>
    <s v="D"/>
    <s v="John Adams Academy - El Dorado Hills"/>
    <x v="1"/>
    <s v="John Adams Academy - El Dorado Hills"/>
    <s v="09 10090 0136036"/>
    <n v="0.14460000000000001"/>
    <n v="1"/>
    <n v="1217"/>
    <n v="176"/>
    <n v="134481"/>
    <n v="13802"/>
    <n v="148283"/>
  </r>
  <r>
    <s v="09"/>
    <s v="10090"/>
    <s v="0930123"/>
    <s v="0005"/>
    <s v="L"/>
    <s v="Charter Community School Home Study Academy"/>
    <x v="1"/>
    <s v="Walt Tyler Elementary"/>
    <s v="09 61945 6114664"/>
    <n v="0.66669999999999996"/>
    <n v="1"/>
    <n v="347"/>
    <n v="125"/>
    <n v="38344"/>
    <n v="9802"/>
    <n v="48146"/>
  </r>
  <r>
    <s v="09"/>
    <s v="10090"/>
    <s v="0930131"/>
    <s v="0053"/>
    <s v="L"/>
    <s v="Rite of Passage"/>
    <x v="1"/>
    <s v="Walt Tyler Elementary"/>
    <s v="09 61945 6114664"/>
    <n v="0.66669999999999996"/>
    <n v="1"/>
    <n v="27"/>
    <n v="27"/>
    <n v="2984"/>
    <n v="2117"/>
    <n v="5101"/>
  </r>
  <r>
    <s v="09"/>
    <s v="61838"/>
    <s v="0000000"/>
    <s v="N/A"/>
    <s v="N/A"/>
    <s v="Buckeye Union Elementary"/>
    <x v="3"/>
    <s v="Buckeye Elementary"/>
    <s v="09 61838 6005466"/>
    <n v="0.42309999999999998"/>
    <n v="8"/>
    <n v="3453"/>
    <n v="656"/>
    <n v="381562"/>
    <n v="51444"/>
    <n v="433006"/>
  </r>
  <r>
    <s v="09"/>
    <s v="61838"/>
    <s v="0107227"/>
    <s v="0665"/>
    <s v="L"/>
    <s v="Charter Montessori Valley View Campus"/>
    <x v="1"/>
    <s v="Charter Montessori Valley View Campus"/>
    <s v="09 61838 0107227"/>
    <n v="0.16139999999999999"/>
    <n v="1"/>
    <n v="694"/>
    <n v="112"/>
    <n v="76688"/>
    <n v="8783"/>
    <n v="85471"/>
  </r>
  <r>
    <s v="09"/>
    <s v="61838"/>
    <s v="0111724"/>
    <s v="0774"/>
    <s v="D"/>
    <s v="California Montessori Project-Shingle Springs Campus"/>
    <x v="1"/>
    <s v="California Montessori Project-Shingle Springs Campus"/>
    <s v="09 61838 0111724"/>
    <n v="0.11459999999999999"/>
    <n v="1"/>
    <n v="515"/>
    <n v="59"/>
    <n v="56908"/>
    <n v="4627"/>
    <n v="61535"/>
  </r>
  <r>
    <s v="09"/>
    <s v="61838"/>
    <s v="0129965"/>
    <s v="1655"/>
    <s v="D"/>
    <s v="Rising Sun Montessori"/>
    <x v="1"/>
    <s v="Rising Sun Montessori"/>
    <s v="09 61838 0129965"/>
    <n v="0.31109999999999999"/>
    <n v="1"/>
    <n v="135"/>
    <n v="42"/>
    <n v="14918"/>
    <n v="3294"/>
    <n v="18212"/>
  </r>
  <r>
    <s v="09"/>
    <s v="61838"/>
    <s v="0136200"/>
    <s v="1891"/>
    <s v="D"/>
    <s v="Clarksville Charter School"/>
    <x v="1"/>
    <s v="Clarksville Charter School"/>
    <s v="09 61838 0136200"/>
    <n v="0.35"/>
    <n v="1"/>
    <n v="1937"/>
    <n v="678"/>
    <n v="214042"/>
    <n v="53168"/>
    <n v="267210"/>
  </r>
  <r>
    <s v="09"/>
    <s v="61838"/>
    <s v="0137919"/>
    <s v="1999"/>
    <s v="L"/>
    <s v="Buckeye Union Mandarin Immersion Charter"/>
    <x v="1"/>
    <s v="Buckeye Union Mandarin Immersion Charter"/>
    <s v="09 61838 0137919"/>
    <n v="0.1371"/>
    <n v="1"/>
    <n v="124"/>
    <n v="17"/>
    <n v="13702"/>
    <n v="1333"/>
    <n v="15035"/>
  </r>
  <r>
    <s v="09"/>
    <s v="61838"/>
    <s v="0139006"/>
    <s v="1964"/>
    <s v="D"/>
    <s v="Cottonwood"/>
    <x v="1"/>
    <s v="Cottonwood"/>
    <s v="09 61838 0139006"/>
    <n v="0.49390000000000001"/>
    <n v="1"/>
    <n v="2798"/>
    <n v="1382"/>
    <n v="309184"/>
    <n v="108375"/>
    <n v="417559"/>
  </r>
  <r>
    <s v="09"/>
    <s v="61846"/>
    <s v="0000000"/>
    <s v="N/A"/>
    <s v="N/A"/>
    <s v="Camino Union Elementary"/>
    <x v="3"/>
    <s v="Camino Elementary"/>
    <s v="09 61846 6005482"/>
    <n v="0.46839999999999998"/>
    <n v="2"/>
    <n v="412"/>
    <n v="193"/>
    <n v="45527"/>
    <n v="15135"/>
    <n v="60662"/>
  </r>
  <r>
    <s v="09"/>
    <s v="61846"/>
    <s v="0123125"/>
    <s v="1150"/>
    <s v="D"/>
    <s v="Camino Polytechnic"/>
    <x v="1"/>
    <s v="Camino Polytechnic"/>
    <s v="09 61846 0123125"/>
    <n v="0.375"/>
    <n v="1"/>
    <n v="16"/>
    <n v="6"/>
    <n v="1768"/>
    <n v="471"/>
    <n v="2239"/>
  </r>
  <r>
    <s v="09"/>
    <s v="61853"/>
    <s v="0000000"/>
    <s v="N/A"/>
    <s v="N/A"/>
    <s v="El Dorado Union High"/>
    <x v="3"/>
    <s v="Walt Tyler Elementary"/>
    <s v="09 61945 6114664"/>
    <n v="0.66669999999999996"/>
    <n v="6"/>
    <n v="6580"/>
    <n v="1303"/>
    <n v="727101"/>
    <n v="102179"/>
    <n v="829280"/>
  </r>
  <r>
    <s v="09"/>
    <s v="61853"/>
    <s v="0930214"/>
    <s v="0366"/>
    <s v="L"/>
    <s v="Pacific Crest Academy"/>
    <x v="1"/>
    <s v="Walt Tyler Elementary"/>
    <s v="09 61945 6114664"/>
    <n v="0.66669999999999996"/>
    <n v="1"/>
    <n v="100"/>
    <n v="17"/>
    <n v="11050"/>
    <n v="1333"/>
    <n v="12383"/>
  </r>
  <r>
    <s v="09"/>
    <s v="61879"/>
    <s v="0000000"/>
    <s v="N/A"/>
    <s v="N/A"/>
    <s v="Gold Oak Union Elementary"/>
    <x v="3"/>
    <s v="Gold Oak Elementary"/>
    <s v="09 61879 6005508"/>
    <n v="0.39229999999999998"/>
    <n v="3"/>
    <n v="466"/>
    <n v="183"/>
    <n v="51494"/>
    <n v="14351"/>
    <n v="65845"/>
  </r>
  <r>
    <s v="09"/>
    <s v="61887"/>
    <s v="0000000"/>
    <s v="N/A"/>
    <s v="N/A"/>
    <s v="Gold Trail Union Elementary"/>
    <x v="3"/>
    <s v="Gold Trail"/>
    <s v="09 61887 6005516"/>
    <n v="0.29499999999999998"/>
    <n v="3"/>
    <n v="520"/>
    <n v="150"/>
    <n v="57460"/>
    <n v="11762"/>
    <n v="69222"/>
  </r>
  <r>
    <s v="09"/>
    <s v="61895"/>
    <s v="0000000"/>
    <s v="N/A"/>
    <s v="N/A"/>
    <s v="Indian Diggings Elementary"/>
    <x v="3"/>
    <s v="Indian Diggings Elementary"/>
    <s v="09 61895 6005524"/>
    <n v="0.3"/>
    <n v="2"/>
    <n v="10"/>
    <n v="3"/>
    <n v="1105"/>
    <n v="235"/>
    <n v="1340"/>
  </r>
  <r>
    <s v="09"/>
    <s v="61903"/>
    <s v="0000000"/>
    <s v="N/A"/>
    <s v="N/A"/>
    <s v="Lake Tahoe Unified"/>
    <x v="3"/>
    <s v="Tahoe Valley Elementary"/>
    <s v="09 61903 6005573"/>
    <n v="0.56759999999999999"/>
    <n v="9"/>
    <n v="3678"/>
    <n v="1729"/>
    <n v="406426"/>
    <n v="135587"/>
    <n v="542013"/>
  </r>
  <r>
    <s v="09"/>
    <s v="61911"/>
    <s v="0000000"/>
    <s v="N/A"/>
    <s v="N/A"/>
    <s v="Latrobe"/>
    <x v="3"/>
    <s v="Latrobe Elementary"/>
    <s v="09 61911 6005581"/>
    <n v="0.16919999999999999"/>
    <n v="3"/>
    <n v="161"/>
    <n v="22"/>
    <n v="17791"/>
    <n v="1726"/>
    <n v="19517"/>
  </r>
  <r>
    <s v="09"/>
    <s v="61929"/>
    <s v="0000000"/>
    <s v="N/A"/>
    <s v="N/A"/>
    <s v="Mother Lode Union Elementary"/>
    <x v="3"/>
    <s v="Indian Creek Elementary"/>
    <s v="09 61929 6106678"/>
    <n v="0.50429999999999997"/>
    <n v="4"/>
    <n v="840"/>
    <n v="418"/>
    <n v="92822"/>
    <n v="32779"/>
    <n v="125601"/>
  </r>
  <r>
    <s v="09"/>
    <s v="61945"/>
    <s v="0000000"/>
    <s v="N/A"/>
    <s v="N/A"/>
    <s v="Pioneer Union Elementary"/>
    <x v="3"/>
    <s v="Walt Tyler Elementary"/>
    <s v="09 61945 6114664"/>
    <n v="0.66669999999999996"/>
    <n v="4"/>
    <n v="289"/>
    <n v="144"/>
    <n v="31935"/>
    <n v="11293"/>
    <n v="43228"/>
  </r>
  <r>
    <s v="09"/>
    <s v="61952"/>
    <s v="0000000"/>
    <s v="N/A"/>
    <s v="N/A"/>
    <s v="Placerville Union Elementary"/>
    <x v="3"/>
    <s v="Louisiana Schnell Elementary"/>
    <s v="09 61952 6005656"/>
    <n v="0.6613"/>
    <n v="4"/>
    <n v="1168"/>
    <n v="662"/>
    <n v="129066"/>
    <n v="51913"/>
    <n v="180979"/>
  </r>
  <r>
    <s v="09"/>
    <s v="61960"/>
    <s v="0000000"/>
    <s v="N/A"/>
    <s v="N/A"/>
    <s v="Pollock Pines Elementary"/>
    <x v="3"/>
    <s v="Pinewood Elementary"/>
    <s v="09 61960 6005680"/>
    <n v="0.48010000000000003"/>
    <n v="3"/>
    <n v="590"/>
    <n v="289"/>
    <n v="65196"/>
    <n v="22663"/>
    <n v="87859"/>
  </r>
  <r>
    <s v="09"/>
    <s v="61978"/>
    <s v="0000000"/>
    <s v="N/A"/>
    <s v="N/A"/>
    <s v="Rescue Union Elementary"/>
    <x v="3"/>
    <s v="Green Valley Elementary"/>
    <s v="09 61978 6098693"/>
    <n v="0.40350000000000003"/>
    <n v="8"/>
    <n v="3515"/>
    <n v="554"/>
    <n v="388412"/>
    <n v="43446"/>
    <n v="431858"/>
  </r>
  <r>
    <s v="09"/>
    <s v="61986"/>
    <s v="0000000"/>
    <s v="N/A"/>
    <s v="N/A"/>
    <s v="Silver Fork Elementary"/>
    <x v="3"/>
    <s v="Silver Fork Elementary"/>
    <s v="09 61986 6005722"/>
    <n v="0.61539999999999995"/>
    <n v="2"/>
    <n v="13"/>
    <n v="8"/>
    <n v="1437"/>
    <n v="627"/>
    <n v="2064"/>
  </r>
  <r>
    <s v="09"/>
    <s v="73783"/>
    <s v="0000000"/>
    <s v="N/A"/>
    <s v="N/A"/>
    <s v="Black Oak Mine Unified"/>
    <x v="3"/>
    <s v="Georgetown Elementary"/>
    <s v="09 73783 6005490"/>
    <n v="0.4622"/>
    <n v="6"/>
    <n v="1021"/>
    <n v="396"/>
    <n v="112823"/>
    <n v="31055"/>
    <n v="143878"/>
  </r>
  <r>
    <s v="09"/>
    <s v="73783"/>
    <s v="0121566"/>
    <s v="1176"/>
    <s v="L"/>
    <s v="American River Charter"/>
    <x v="1"/>
    <s v="American River Charter"/>
    <s v="09 73783 0121566"/>
    <n v="0.4123"/>
    <n v="1"/>
    <n v="228"/>
    <n v="94"/>
    <n v="25194"/>
    <n v="7371"/>
    <n v="32565"/>
  </r>
  <r>
    <s v="10"/>
    <s v="10108"/>
    <s v="0000000"/>
    <s v="N/A"/>
    <s v="N/A"/>
    <s v="Fresno Co. Office of Education"/>
    <x v="0"/>
    <s v="Cantua Elementary"/>
    <s v="10 75234 6005805"/>
    <n v="1"/>
    <n v="5"/>
    <n v="814"/>
    <n v="604"/>
    <n v="89949"/>
    <n v="47365"/>
    <n v="137314"/>
  </r>
  <r>
    <s v="10"/>
    <s v="10108"/>
    <s v="0109991"/>
    <s v="0746"/>
    <s v="D"/>
    <s v="Crescent View West Public Charter"/>
    <x v="1"/>
    <s v="Crescent View West Public Charter"/>
    <s v="10 10108 0109991"/>
    <n v="0.91069999999999995"/>
    <n v="1"/>
    <n v="1567"/>
    <n v="1427"/>
    <n v="173156"/>
    <n v="111904"/>
    <n v="285060"/>
  </r>
  <r>
    <s v="10"/>
    <s v="10108"/>
    <s v="0111682"/>
    <s v="0787"/>
    <s v="D"/>
    <s v="Hume Lake Charter"/>
    <x v="1"/>
    <s v="Hume Lake Charter"/>
    <s v="10 10108 0111682"/>
    <n v="0.46429999999999999"/>
    <n v="1"/>
    <n v="56"/>
    <n v="26"/>
    <n v="6188"/>
    <n v="2039"/>
    <n v="8227"/>
  </r>
  <r>
    <s v="10"/>
    <s v="10108"/>
    <s v="0119628"/>
    <s v="1085"/>
    <s v="D"/>
    <s v="Big Picture Educational Academy"/>
    <x v="1"/>
    <s v="Big Picture Educational Academy"/>
    <s v="10 10108 0119628"/>
    <n v="0.59309999999999996"/>
    <n v="1"/>
    <n v="494"/>
    <n v="293"/>
    <n v="54588"/>
    <n v="22977"/>
    <n v="77565"/>
  </r>
  <r>
    <s v="10"/>
    <s v="10108"/>
    <s v="0127514"/>
    <s v="1503"/>
    <s v="D"/>
    <s v="Kepler Neighborhood"/>
    <x v="1"/>
    <s v="Kepler Neighborhood"/>
    <s v="10 10108 0127514"/>
    <n v="0.78859999999999997"/>
    <n v="1"/>
    <n v="369"/>
    <n v="291"/>
    <n v="40775"/>
    <n v="22820"/>
    <n v="63595"/>
  </r>
  <r>
    <s v="10"/>
    <s v="10108"/>
    <s v="0136291"/>
    <s v="1850"/>
    <s v="D"/>
    <s v="Career Technical Education Charter"/>
    <x v="1"/>
    <s v="Cantua Elementary"/>
    <s v="10 75234 6005805"/>
    <n v="1"/>
    <n v="1"/>
    <n v="238"/>
    <n v="118"/>
    <n v="26299"/>
    <n v="9253"/>
    <n v="35552"/>
  </r>
  <r>
    <s v="10"/>
    <s v="10108"/>
    <s v="0140186"/>
    <s v="2101"/>
    <s v="D"/>
    <s v="Clovis Global Academy"/>
    <x v="1"/>
    <s v="Clovis Global Academy"/>
    <s v="10 10108 0140186"/>
    <n v="0.62739999999999996"/>
    <n v="1"/>
    <n v="212"/>
    <n v="133"/>
    <n v="23426"/>
    <n v="10430"/>
    <n v="33856"/>
  </r>
  <r>
    <s v="10"/>
    <s v="10108"/>
    <s v="6085112"/>
    <s v="0195"/>
    <s v="D"/>
    <s v="Edison-Bethune Charter Academy"/>
    <x v="1"/>
    <s v="Edison-Bethune Charter Academy"/>
    <s v="10 10108 6085112"/>
    <n v="0.94710000000000005"/>
    <n v="1"/>
    <n v="416"/>
    <n v="394"/>
    <n v="45969"/>
    <n v="30897"/>
    <n v="76866"/>
  </r>
  <r>
    <s v="10"/>
    <s v="61994"/>
    <s v="0000000"/>
    <s v="N/A"/>
    <s v="N/A"/>
    <s v="Alvina Elementary"/>
    <x v="3"/>
    <s v="Alvina Elementary Charter"/>
    <s v="10 61994 6005730"/>
    <n v="0.76800000000000002"/>
    <n v="2"/>
    <n v="181"/>
    <n v="139"/>
    <n v="20001"/>
    <n v="10900"/>
    <n v="30901"/>
  </r>
  <r>
    <s v="10"/>
    <s v="62026"/>
    <s v="0000000"/>
    <s v="N/A"/>
    <s v="N/A"/>
    <s v="Big Creek Elementary"/>
    <x v="3"/>
    <s v="Big Creek Elementary"/>
    <s v="10 62026 6005763"/>
    <n v="0.46429999999999999"/>
    <n v="2"/>
    <n v="28"/>
    <n v="13"/>
    <n v="3094"/>
    <n v="1019"/>
    <n v="4113"/>
  </r>
  <r>
    <s v="10"/>
    <s v="62042"/>
    <s v="0000000"/>
    <s v="N/A"/>
    <s v="N/A"/>
    <s v="Burrel Union Elementary"/>
    <x v="3"/>
    <s v="Burrel Elementary"/>
    <s v="10 62042 6005797"/>
    <n v="0.85599999999999998"/>
    <n v="2"/>
    <n v="126"/>
    <n v="108"/>
    <n v="13923"/>
    <n v="8469"/>
    <n v="22392"/>
  </r>
  <r>
    <s v="10"/>
    <s v="62109"/>
    <s v="0000000"/>
    <s v="N/A"/>
    <s v="N/A"/>
    <s v="Clay Joint Elementary"/>
    <x v="3"/>
    <s v="Clay Elementary"/>
    <s v="10 62109 6005839"/>
    <n v="0.19919999999999999"/>
    <n v="2"/>
    <n v="241"/>
    <n v="48"/>
    <n v="26631"/>
    <n v="3764"/>
    <n v="30395"/>
  </r>
  <r>
    <s v="10"/>
    <s v="62117"/>
    <s v="0000000"/>
    <s v="N/A"/>
    <s v="N/A"/>
    <s v="Clovis Unified"/>
    <x v="3"/>
    <s v="Sierra Vista Elementary"/>
    <s v="10 62117 6005904"/>
    <n v="0.87080000000000002"/>
    <n v="50"/>
    <n v="43168"/>
    <n v="20764"/>
    <n v="4770135"/>
    <n v="1628289"/>
    <n v="6398424"/>
  </r>
  <r>
    <s v="10"/>
    <s v="62117"/>
    <s v="0118018"/>
    <s v="1006"/>
    <s v="L"/>
    <s v="Clovis Online Charter"/>
    <x v="1"/>
    <s v="Clovis Online Charter"/>
    <s v="10 62117 0118018"/>
    <n v="0.5474"/>
    <n v="1"/>
    <n v="813"/>
    <n v="445"/>
    <n v="89838"/>
    <n v="34896"/>
    <n v="124734"/>
  </r>
  <r>
    <s v="10"/>
    <s v="62125"/>
    <s v="0000000"/>
    <s v="N/A"/>
    <s v="N/A"/>
    <s v="Coalinga-Huron Unified"/>
    <x v="3"/>
    <s v="Huron Elementary"/>
    <s v="10 62125 6005961"/>
    <n v="0.93820000000000003"/>
    <n v="12"/>
    <n v="4514"/>
    <n v="3985"/>
    <n v="498804"/>
    <n v="312501"/>
    <n v="811305"/>
  </r>
  <r>
    <s v="10"/>
    <s v="62158"/>
    <s v="0000000"/>
    <s v="N/A"/>
    <s v="N/A"/>
    <s v="Fowler Unified"/>
    <x v="3"/>
    <s v="Malaga Elementary"/>
    <s v="10 62158 6006043"/>
    <n v="0.95140000000000002"/>
    <n v="10"/>
    <n v="2581"/>
    <n v="2188"/>
    <n v="285207"/>
    <n v="171582"/>
    <n v="456789"/>
  </r>
  <r>
    <s v="10"/>
    <s v="62166"/>
    <s v="0000000"/>
    <s v="N/A"/>
    <s v="N/A"/>
    <s v="Fresno Unified"/>
    <x v="3"/>
    <s v="Mario G. Olmos Elementary"/>
    <s v="10 62166 0113829"/>
    <n v="0.99160000000000004"/>
    <n v="101"/>
    <n v="71852"/>
    <n v="63137"/>
    <n v="7939766"/>
    <n v="4951139"/>
    <n v="12890905"/>
  </r>
  <r>
    <s v="10"/>
    <s v="62166"/>
    <s v="0106740"/>
    <s v="0662"/>
    <s v="D"/>
    <s v="Aspen Valley Prep Academy"/>
    <x v="1"/>
    <s v="Aspen Valley Prep Academy"/>
    <s v="10 62166 0106740"/>
    <n v="0.76849999999999996"/>
    <n v="1"/>
    <n v="324"/>
    <n v="249"/>
    <n v="35803"/>
    <n v="19526"/>
    <n v="55329"/>
  </r>
  <r>
    <s v="10"/>
    <s v="62166"/>
    <s v="0114355"/>
    <s v="0898"/>
    <s v="D"/>
    <s v="Sierra Charter"/>
    <x v="1"/>
    <s v="Sierra Charter"/>
    <s v="10 62166 0114355"/>
    <n v="0.7601"/>
    <n v="1"/>
    <n v="321"/>
    <n v="244"/>
    <n v="35471"/>
    <n v="19134"/>
    <n v="54605"/>
  </r>
  <r>
    <s v="10"/>
    <s v="62166"/>
    <s v="0114553"/>
    <s v="0890"/>
    <s v="D"/>
    <s v="University High"/>
    <x v="1"/>
    <s v="Cantua Elementary"/>
    <s v="10 75234 6005805"/>
    <n v="1"/>
    <n v="1"/>
    <n v="491"/>
    <n v="101"/>
    <n v="54256"/>
    <n v="7920"/>
    <n v="62176"/>
  </r>
  <r>
    <s v="10"/>
    <s v="62166"/>
    <s v="0121533"/>
    <s v="1172"/>
    <s v="L"/>
    <s v="Morris E. Dailey Charter Elementary"/>
    <x v="1"/>
    <s v="Morris E. Dailey Charter Elementary"/>
    <s v="10 62166 0121533"/>
    <n v="0.44280000000000003"/>
    <n v="1"/>
    <n v="341"/>
    <n v="151"/>
    <n v="37681"/>
    <n v="11841"/>
    <n v="49522"/>
  </r>
  <r>
    <s v="10"/>
    <s v="62166"/>
    <s v="0133942"/>
    <s v="1792"/>
    <s v="D"/>
    <s v="Aspen Meadow Public"/>
    <x v="1"/>
    <s v="Aspen Meadow Public"/>
    <s v="10 62166 0133942"/>
    <n v="0.76790000000000003"/>
    <n v="1"/>
    <n v="293"/>
    <n v="225"/>
    <n v="32377"/>
    <n v="17644"/>
    <n v="50021"/>
  </r>
  <r>
    <s v="10"/>
    <s v="62166"/>
    <s v="0140038"/>
    <s v="2099"/>
    <s v="D"/>
    <s v="Endeavor Charter"/>
    <x v="1"/>
    <s v="Endeavor Charter"/>
    <s v="10 62166 0140038"/>
    <n v="0.27760000000000001"/>
    <n v="1"/>
    <n v="335"/>
    <n v="93"/>
    <n v="37018"/>
    <n v="7293"/>
    <n v="44311"/>
  </r>
  <r>
    <s v="10"/>
    <s v="62166"/>
    <s v="0140764"/>
    <s v="2113"/>
    <s v="D"/>
    <s v="Golden Charter Academy"/>
    <x v="1"/>
    <s v="Golden Charter Academy"/>
    <s v="10 62166 0140764"/>
    <n v="0.87790000000000001"/>
    <n v="1"/>
    <n v="262"/>
    <n v="230"/>
    <n v="28951"/>
    <n v="18036"/>
    <n v="46987"/>
  </r>
  <r>
    <s v="10"/>
    <s v="62166"/>
    <s v="0140806"/>
    <s v="2115"/>
    <s v="D"/>
    <s v="Aspen Ridge Public"/>
    <x v="1"/>
    <s v="Cantua Elementary"/>
    <s v="10 75234 6005805"/>
    <n v="1"/>
    <n v="1"/>
    <n v="175"/>
    <n v="134"/>
    <n v="19338"/>
    <n v="10508"/>
    <n v="29846"/>
  </r>
  <r>
    <s v="10"/>
    <s v="62166"/>
    <s v="1030642"/>
    <s v="0149"/>
    <s v="D"/>
    <s v="School of Unlimited Learning"/>
    <x v="1"/>
    <s v="Cantua Elementary"/>
    <s v="10 75234 6005805"/>
    <n v="1"/>
    <n v="1"/>
    <n v="188"/>
    <n v="158"/>
    <n v="20774"/>
    <n v="12390"/>
    <n v="33164"/>
  </r>
  <r>
    <s v="10"/>
    <s v="62166"/>
    <s v="1030840"/>
    <s v="0378"/>
    <s v="D"/>
    <s v="Carter G. Woodson Public Charter"/>
    <x v="1"/>
    <s v="Cantua Elementary"/>
    <s v="10 75234 6005805"/>
    <n v="1"/>
    <n v="1"/>
    <n v="322"/>
    <n v="300"/>
    <n v="35582"/>
    <n v="23526"/>
    <n v="59108"/>
  </r>
  <r>
    <s v="10"/>
    <s v="62240"/>
    <s v="0000000"/>
    <s v="N/A"/>
    <s v="N/A"/>
    <s v="Kingsburg Elementary Charter"/>
    <x v="3"/>
    <s v="Central Valley Home"/>
    <s v="10 62240 6114805"/>
    <n v="0.85599999999999998"/>
    <n v="8"/>
    <n v="2188"/>
    <n v="1589"/>
    <n v="241779"/>
    <n v="124608"/>
    <n v="366387"/>
  </r>
  <r>
    <s v="10"/>
    <s v="62257"/>
    <s v="0000000"/>
    <s v="N/A"/>
    <s v="N/A"/>
    <s v="Kingsburg Joint Union High"/>
    <x v="3"/>
    <s v="Cantua Elementary"/>
    <s v="10 75234 6005805"/>
    <n v="1"/>
    <n v="4"/>
    <n v="1231"/>
    <n v="794"/>
    <n v="136028"/>
    <n v="62264"/>
    <n v="198292"/>
  </r>
  <r>
    <s v="10"/>
    <s v="62265"/>
    <s v="0000000"/>
    <s v="N/A"/>
    <s v="N/A"/>
    <s v="Kings Canyon Joint Unified"/>
    <x v="3"/>
    <s v="A. L. Conner Elementary"/>
    <s v="10 62265 0105692"/>
    <n v="0.98570000000000002"/>
    <n v="22"/>
    <n v="9632"/>
    <n v="8491"/>
    <n v="1064351"/>
    <n v="665856"/>
    <n v="1730207"/>
  </r>
  <r>
    <s v="10"/>
    <s v="62265"/>
    <s v="0116640"/>
    <s v="1074"/>
    <s v="L"/>
    <s v="Kings Canyon Online"/>
    <x v="1"/>
    <s v="Kings Canyon Online"/>
    <s v="10 62265 0116640"/>
    <n v="0.86760000000000004"/>
    <n v="1"/>
    <n v="136"/>
    <n v="118"/>
    <n v="15028"/>
    <n v="9253"/>
    <n v="24281"/>
  </r>
  <r>
    <s v="10"/>
    <s v="62265"/>
    <s v="0126292"/>
    <s v="1513"/>
    <s v="L"/>
    <s v="Reedley Middle College High"/>
    <x v="1"/>
    <s v="Cantua Elementary"/>
    <s v="10 75234 6005805"/>
    <n v="1"/>
    <n v="1"/>
    <n v="233"/>
    <n v="168"/>
    <n v="25747"/>
    <n v="13174"/>
    <n v="38921"/>
  </r>
  <r>
    <s v="10"/>
    <s v="62281"/>
    <s v="0000000"/>
    <s v="N/A"/>
    <s v="N/A"/>
    <s v="Laton Joint Unified"/>
    <x v="3"/>
    <s v="Laton Elementary"/>
    <s v="10 62281 6006902"/>
    <n v="0.82930000000000004"/>
    <n v="5"/>
    <n v="673"/>
    <n v="558"/>
    <n v="74368"/>
    <n v="43759"/>
    <n v="118127"/>
  </r>
  <r>
    <s v="10"/>
    <s v="62323"/>
    <s v="0000000"/>
    <s v="N/A"/>
    <s v="N/A"/>
    <s v="Monroe Elementary"/>
    <x v="3"/>
    <s v="Monroe Elementary"/>
    <s v="10 62323 6006993"/>
    <n v="0.95269999999999999"/>
    <n v="2"/>
    <n v="170"/>
    <n v="162"/>
    <n v="18785"/>
    <n v="12704"/>
    <n v="31489"/>
  </r>
  <r>
    <s v="10"/>
    <s v="62331"/>
    <s v="0000000"/>
    <s v="N/A"/>
    <s v="N/A"/>
    <s v="Orange Center"/>
    <x v="3"/>
    <s v="Orange Center Elementary"/>
    <s v="10 62331 6007009"/>
    <n v="0.85040000000000004"/>
    <n v="2"/>
    <n v="265"/>
    <n v="225"/>
    <n v="29283"/>
    <n v="17644"/>
    <n v="46927"/>
  </r>
  <r>
    <s v="10"/>
    <s v="62331"/>
    <s v="0137661"/>
    <s v="1492"/>
    <s v="D"/>
    <s v="California Virtual Academy @ Fresno"/>
    <x v="1"/>
    <s v="California Virtual Academy @ Fresno"/>
    <s v="10 62331 0137661"/>
    <n v="0.74490000000000001"/>
    <n v="1"/>
    <n v="1184"/>
    <n v="882"/>
    <n v="130834"/>
    <n v="69166"/>
    <n v="200000"/>
  </r>
  <r>
    <s v="10"/>
    <s v="62356"/>
    <s v="0000000"/>
    <s v="N/A"/>
    <s v="N/A"/>
    <s v="Pacific Union Elementary"/>
    <x v="3"/>
    <s v="Pacific Union Elementary"/>
    <s v="10 62356 6007025"/>
    <n v="0.90700000000000003"/>
    <n v="2"/>
    <n v="344"/>
    <n v="312"/>
    <n v="38013"/>
    <n v="24467"/>
    <n v="62480"/>
  </r>
  <r>
    <s v="10"/>
    <s v="62364"/>
    <s v="0000000"/>
    <s v="N/A"/>
    <s v="N/A"/>
    <s v="Parlier Unified"/>
    <x v="3"/>
    <s v="Cesar E Chavez Elementary"/>
    <s v="10 62364 6007058"/>
    <n v="0.98450000000000004"/>
    <n v="8"/>
    <n v="3384"/>
    <n v="3245"/>
    <n v="373939"/>
    <n v="254470"/>
    <n v="628409"/>
  </r>
  <r>
    <s v="10"/>
    <s v="62372"/>
    <s v="0000000"/>
    <s v="N/A"/>
    <s v="N/A"/>
    <s v="Pine Ridge Elementary"/>
    <x v="3"/>
    <s v="Pine Ridge Elementary"/>
    <s v="10 62372 6007066"/>
    <n v="0.27539999999999998"/>
    <n v="2"/>
    <n v="69"/>
    <n v="19"/>
    <n v="7625"/>
    <n v="1490"/>
    <n v="9115"/>
  </r>
  <r>
    <s v="10"/>
    <s v="62380"/>
    <s v="0000000"/>
    <s v="N/A"/>
    <s v="N/A"/>
    <s v="Raisin City Elementary"/>
    <x v="3"/>
    <s v="Raisin City Elementary"/>
    <s v="10 62380 6007074"/>
    <n v="0.76470000000000005"/>
    <n v="2"/>
    <n v="284"/>
    <n v="217"/>
    <n v="31383"/>
    <n v="17017"/>
    <n v="48400"/>
  </r>
  <r>
    <s v="10"/>
    <s v="62380"/>
    <s v="0136499"/>
    <s v="1905"/>
    <s v="D"/>
    <s v="Ambassador Phillip V. Sanchez II Public Charter"/>
    <x v="1"/>
    <s v="Ambassador Phillip V. Sanchez II Public Charter"/>
    <s v="10 62380 0136499"/>
    <n v="0.97899999999999998"/>
    <n v="1"/>
    <n v="238"/>
    <n v="233"/>
    <n v="26299"/>
    <n v="18272"/>
    <n v="44571"/>
  </r>
  <r>
    <s v="10"/>
    <s v="62414"/>
    <s v="0000000"/>
    <s v="N/A"/>
    <s v="N/A"/>
    <s v="Sanger Unified"/>
    <x v="3"/>
    <s v="Wilson Elementary"/>
    <s v="10 62414 6007215"/>
    <n v="0.93389999999999995"/>
    <n v="19"/>
    <n v="12165"/>
    <n v="8672"/>
    <n v="1344254"/>
    <n v="680050"/>
    <n v="2024304"/>
  </r>
  <r>
    <s v="10"/>
    <s v="62414"/>
    <s v="6117865"/>
    <s v="0258"/>
    <s v="L"/>
    <s v="Quail Lake Environmental Charter"/>
    <x v="1"/>
    <s v="Quail Lake Environmental Charter"/>
    <s v="10 62414 6117865"/>
    <n v="0.31209999999999999"/>
    <n v="1"/>
    <n v="596"/>
    <n v="186"/>
    <n v="65859"/>
    <n v="14586"/>
    <n v="80445"/>
  </r>
  <r>
    <s v="10"/>
    <s v="62414"/>
    <s v="6117873"/>
    <s v="0283"/>
    <s v="L"/>
    <s v="Sanger Academy Charter"/>
    <x v="1"/>
    <s v="Sanger Academy Charter"/>
    <s v="10 62414 6117873"/>
    <n v="0.65380000000000005"/>
    <n v="1"/>
    <n v="624"/>
    <n v="408"/>
    <n v="68953"/>
    <n v="31995"/>
    <n v="100948"/>
  </r>
  <r>
    <s v="10"/>
    <s v="62430"/>
    <s v="0000000"/>
    <s v="N/A"/>
    <s v="N/A"/>
    <s v="Selma Unified"/>
    <x v="3"/>
    <s v="Terry Elementary"/>
    <s v="10 62430 6007322"/>
    <n v="0.96919999999999995"/>
    <n v="13"/>
    <n v="5970"/>
    <n v="5377"/>
    <n v="659695"/>
    <n v="421659"/>
    <n v="1081354"/>
  </r>
  <r>
    <s v="10"/>
    <s v="62513"/>
    <s v="0000000"/>
    <s v="N/A"/>
    <s v="N/A"/>
    <s v="Washington Colony Elementary"/>
    <x v="3"/>
    <s v="Washington Colony Elementary"/>
    <s v="10 62513 6007405"/>
    <n v="0.8196"/>
    <n v="2"/>
    <n v="476"/>
    <n v="390"/>
    <n v="52599"/>
    <n v="30583"/>
    <n v="83182"/>
  </r>
  <r>
    <s v="10"/>
    <s v="62539"/>
    <s v="0000000"/>
    <s v="N/A"/>
    <s v="N/A"/>
    <s v="West Park Elementary"/>
    <x v="3"/>
    <s v="West Park Elementary"/>
    <s v="10 62539 6007413"/>
    <n v="0.71009999999999995"/>
    <n v="2"/>
    <n v="331"/>
    <n v="235"/>
    <n v="36577"/>
    <n v="18429"/>
    <n v="55006"/>
  </r>
  <r>
    <s v="10"/>
    <s v="62539"/>
    <s v="6112387"/>
    <s v="0044"/>
    <s v="L"/>
    <s v="West Park Charter Academy"/>
    <x v="1"/>
    <s v="West Park Charter Academy"/>
    <s v="10 62539 6112387"/>
    <n v="0.73040000000000005"/>
    <n v="1"/>
    <n v="204"/>
    <n v="149"/>
    <n v="22542"/>
    <n v="11684"/>
    <n v="34226"/>
  </r>
  <r>
    <s v="10"/>
    <s v="62547"/>
    <s v="0000000"/>
    <s v="N/A"/>
    <s v="N/A"/>
    <s v="Westside Elementary"/>
    <x v="3"/>
    <s v="Westside Elementary"/>
    <s v="10 62547 6007421"/>
    <n v="0.98529999999999995"/>
    <n v="2"/>
    <n v="153"/>
    <n v="151"/>
    <n v="16907"/>
    <n v="11841"/>
    <n v="28748"/>
  </r>
  <r>
    <s v="10"/>
    <s v="62547"/>
    <s v="0135103"/>
    <s v="1841"/>
    <s v="D"/>
    <s v="Yosemite Valley Charter"/>
    <x v="1"/>
    <s v="Yosemite Valley Charter"/>
    <s v="10 62547 0135103"/>
    <n v="0.47789999999999999"/>
    <n v="1"/>
    <n v="2551"/>
    <n v="1219"/>
    <n v="281890"/>
    <n v="95593"/>
    <n v="377483"/>
  </r>
  <r>
    <s v="10"/>
    <s v="62547"/>
    <s v="0136523"/>
    <s v="1893"/>
    <s v="D"/>
    <s v="Crescent View South II"/>
    <x v="1"/>
    <s v="Crescent View South II"/>
    <s v="10 62547 0136523"/>
    <n v="0.87280000000000002"/>
    <n v="1"/>
    <n v="1203"/>
    <n v="1050"/>
    <n v="132933"/>
    <n v="82340"/>
    <n v="215273"/>
  </r>
  <r>
    <s v="10"/>
    <s v="73809"/>
    <s v="0000000"/>
    <s v="N/A"/>
    <s v="N/A"/>
    <s v="Firebaugh-Las Deltas Unified"/>
    <x v="3"/>
    <s v="Hazel M. Bailey Primary"/>
    <s v="10 73809 6006001"/>
    <n v="0.94120000000000004"/>
    <n v="7"/>
    <n v="2297"/>
    <n v="2059"/>
    <n v="253823"/>
    <n v="161464"/>
    <n v="415287"/>
  </r>
  <r>
    <s v="10"/>
    <s v="73965"/>
    <s v="0000000"/>
    <s v="N/A"/>
    <s v="N/A"/>
    <s v="Central Unified"/>
    <x v="3"/>
    <s v="Biola-Pershing Elementary"/>
    <s v="10 73965 6005789"/>
    <n v="0.94199999999999995"/>
    <n v="26"/>
    <n v="15996"/>
    <n v="12756"/>
    <n v="1767586"/>
    <n v="1000311"/>
    <n v="2767897"/>
  </r>
  <r>
    <s v="10"/>
    <s v="73999"/>
    <s v="0000000"/>
    <s v="N/A"/>
    <s v="N/A"/>
    <s v="Kerman Unified"/>
    <x v="3"/>
    <s v="Kerman-Floyd Elementary"/>
    <s v="10 73999 6006688"/>
    <n v="0.86240000000000006"/>
    <n v="9"/>
    <n v="5478"/>
    <n v="4519"/>
    <n v="605327"/>
    <n v="354375"/>
    <n v="959702"/>
  </r>
  <r>
    <s v="10"/>
    <s v="75127"/>
    <s v="0000000"/>
    <s v="N/A"/>
    <s v="N/A"/>
    <s v="Mendota Unified"/>
    <x v="3"/>
    <s v="Washington Elementary"/>
    <s v="10 75127 6006985"/>
    <n v="0.97850000000000004"/>
    <n v="8"/>
    <n v="4023"/>
    <n v="3937"/>
    <n v="444549"/>
    <n v="308734"/>
    <n v="753283"/>
  </r>
  <r>
    <s v="10"/>
    <s v="75234"/>
    <s v="0000000"/>
    <s v="N/A"/>
    <s v="N/A"/>
    <s v="Golden Plains Unified"/>
    <x v="3"/>
    <s v="Cantua Elementary"/>
    <s v="10 75234 6005805"/>
    <n v="1"/>
    <n v="7"/>
    <n v="1391"/>
    <n v="1270"/>
    <n v="153708"/>
    <n v="99593"/>
    <n v="253301"/>
  </r>
  <r>
    <s v="10"/>
    <s v="75275"/>
    <s v="0000000"/>
    <s v="N/A"/>
    <s v="N/A"/>
    <s v="Sierra Unified"/>
    <x v="3"/>
    <s v="Foothill Elementary"/>
    <s v="10 75275 0124586"/>
    <n v="0.46970000000000001"/>
    <n v="7"/>
    <n v="1325"/>
    <n v="557"/>
    <n v="146415"/>
    <n v="43679"/>
    <n v="190094"/>
  </r>
  <r>
    <s v="10"/>
    <s v="75408"/>
    <s v="0000000"/>
    <s v="N/A"/>
    <s v="N/A"/>
    <s v="Riverdale Joint Unified"/>
    <x v="3"/>
    <s v="Fipps Primary"/>
    <s v="10 75408 6007090"/>
    <n v="0.89410000000000001"/>
    <n v="6"/>
    <n v="1547"/>
    <n v="1342"/>
    <n v="170946"/>
    <n v="105237"/>
    <n v="276183"/>
  </r>
  <r>
    <s v="10"/>
    <s v="75598"/>
    <s v="0000000"/>
    <s v="N/A"/>
    <s v="N/A"/>
    <s v="Caruthers Unified"/>
    <x v="3"/>
    <s v="Caruthers Elementary"/>
    <s v="10 75598 6005813"/>
    <n v="0.87309999999999999"/>
    <n v="4"/>
    <n v="1616"/>
    <n v="1429"/>
    <n v="178572"/>
    <n v="112061"/>
    <n v="290633"/>
  </r>
  <r>
    <s v="10"/>
    <s v="76778"/>
    <s v="0000000"/>
    <s v="N/A"/>
    <s v="N/A"/>
    <s v="Washington Unified"/>
    <x v="3"/>
    <s v="West Fresno Elementary"/>
    <s v="10 76778 6006605"/>
    <n v="0.96409999999999996"/>
    <n v="8"/>
    <n v="2617"/>
    <n v="2241"/>
    <n v="289183"/>
    <n v="175736"/>
    <n v="464919"/>
  </r>
  <r>
    <s v="10"/>
    <s v="76778"/>
    <s v="1030774"/>
    <s v="0270"/>
    <s v="D"/>
    <s v="W. E. B. DuBois Public Charter"/>
    <x v="1"/>
    <s v="W. E. B. DuBois Public Charter"/>
    <s v="10 76778 1030774"/>
    <n v="0.98750000000000004"/>
    <n v="1"/>
    <n v="319"/>
    <n v="315"/>
    <n v="35250"/>
    <n v="24702"/>
    <n v="59952"/>
  </r>
  <r>
    <s v="11"/>
    <s v="10116"/>
    <s v="0000000"/>
    <s v="N/A"/>
    <s v="N/A"/>
    <s v="Glenn Co. Office of Education"/>
    <x v="0"/>
    <s v="Hamilton Elementary"/>
    <s v="11 76562 6007447"/>
    <n v="0.92169999999999996"/>
    <n v="2"/>
    <n v="209"/>
    <n v="179"/>
    <n v="23095"/>
    <n v="14037"/>
    <n v="37132"/>
  </r>
  <r>
    <s v="11"/>
    <s v="10116"/>
    <s v="0124909"/>
    <s v="1350"/>
    <s v="D"/>
    <s v="Walden Academy"/>
    <x v="1"/>
    <s v="Walden Academy"/>
    <s v="11 10116 0124909"/>
    <n v="0.55730000000000002"/>
    <n v="1"/>
    <n v="192"/>
    <n v="107"/>
    <n v="21216"/>
    <n v="8391"/>
    <n v="29607"/>
  </r>
  <r>
    <s v="11"/>
    <s v="10116"/>
    <s v="0130724"/>
    <s v="1666"/>
    <s v="L"/>
    <s v="Success One!"/>
    <x v="1"/>
    <s v="Hamilton Elementary"/>
    <s v="11 76562 6007447"/>
    <n v="0.92169999999999996"/>
    <n v="1"/>
    <n v="91"/>
    <n v="24"/>
    <n v="10056"/>
    <n v="1882"/>
    <n v="11938"/>
  </r>
  <r>
    <s v="11"/>
    <s v="10116"/>
    <s v="1130103"/>
    <s v="0634"/>
    <s v="L"/>
    <s v="William Finch"/>
    <x v="1"/>
    <s v="Hamilton Elementary"/>
    <s v="11 76562 6007447"/>
    <n v="0.92169999999999996"/>
    <n v="1"/>
    <n v="153"/>
    <n v="107"/>
    <n v="16907"/>
    <n v="8391"/>
    <n v="25298"/>
  </r>
  <r>
    <s v="11"/>
    <s v="62554"/>
    <s v="0000000"/>
    <s v="N/A"/>
    <s v="N/A"/>
    <s v="Capay Joint Union Elementary"/>
    <x v="3"/>
    <s v="Capay Joint Union Elementary"/>
    <s v="11 62554 6007439"/>
    <n v="0.45950000000000002"/>
    <n v="2"/>
    <n v="185"/>
    <n v="85"/>
    <n v="20443"/>
    <n v="6666"/>
    <n v="27109"/>
  </r>
  <r>
    <s v="11"/>
    <s v="62596"/>
    <s v="0000000"/>
    <s v="N/A"/>
    <s v="N/A"/>
    <s v="Lake Elementary"/>
    <x v="3"/>
    <s v="Lake Elementary"/>
    <s v="11 62596 6007454"/>
    <n v="0.43240000000000001"/>
    <n v="2"/>
    <n v="185"/>
    <n v="80"/>
    <n v="20443"/>
    <n v="6274"/>
    <n v="26717"/>
  </r>
  <r>
    <s v="11"/>
    <s v="62596"/>
    <s v="0139550"/>
    <s v="2069"/>
    <s v="D"/>
    <s v="Lake View Charter"/>
    <x v="1"/>
    <s v="Lake View Charter"/>
    <s v="11 62596 0139550"/>
    <n v="0.55740000000000001"/>
    <n v="1"/>
    <n v="723"/>
    <n v="403"/>
    <n v="79893"/>
    <n v="31603"/>
    <n v="111496"/>
  </r>
  <r>
    <s v="11"/>
    <s v="62638"/>
    <s v="0000000"/>
    <s v="N/A"/>
    <s v="N/A"/>
    <s v="Plaza Elementary"/>
    <x v="3"/>
    <s v="Plaza Elementary"/>
    <s v="11 62638 6007504"/>
    <n v="0.46729999999999999"/>
    <n v="2"/>
    <n v="199"/>
    <n v="93"/>
    <n v="21990"/>
    <n v="7293"/>
    <n v="29283"/>
  </r>
  <r>
    <s v="11"/>
    <s v="62646"/>
    <s v="0000000"/>
    <s v="N/A"/>
    <s v="N/A"/>
    <s v="Princeton Joint Unified"/>
    <x v="3"/>
    <s v="Princeton Elementary"/>
    <s v="11 62646 6089262"/>
    <n v="0.68120000000000003"/>
    <n v="4"/>
    <n v="133"/>
    <n v="90"/>
    <n v="14697"/>
    <n v="7058"/>
    <n v="21755"/>
  </r>
  <r>
    <s v="11"/>
    <s v="62653"/>
    <s v="0000000"/>
    <s v="N/A"/>
    <s v="N/A"/>
    <s v="Stony Creek Joint Unified"/>
    <x v="3"/>
    <s v="Elk Creek Elementary"/>
    <s v="11 62653 6007546"/>
    <n v="0.64100000000000001"/>
    <n v="5"/>
    <n v="88"/>
    <n v="56"/>
    <n v="9725"/>
    <n v="4391"/>
    <n v="14116"/>
  </r>
  <r>
    <s v="11"/>
    <s v="62661"/>
    <s v="0000000"/>
    <s v="N/A"/>
    <s v="N/A"/>
    <s v="Willows Unified"/>
    <x v="3"/>
    <s v="Murdock Elementary"/>
    <s v="11 62661 6007603"/>
    <n v="0.81059999999999999"/>
    <n v="5"/>
    <n v="1391"/>
    <n v="1102"/>
    <n v="153708"/>
    <n v="86417"/>
    <n v="240125"/>
  </r>
  <r>
    <s v="11"/>
    <s v="75481"/>
    <s v="0000000"/>
    <s v="N/A"/>
    <s v="N/A"/>
    <s v="Orland Joint Unified"/>
    <x v="3"/>
    <s v="Fairview Elementary"/>
    <s v="11 75481 6007470"/>
    <n v="0.85250000000000004"/>
    <n v="7"/>
    <n v="2262"/>
    <n v="1796"/>
    <n v="249955"/>
    <n v="140840"/>
    <n v="390795"/>
  </r>
  <r>
    <s v="11"/>
    <s v="76562"/>
    <s v="0000000"/>
    <s v="N/A"/>
    <s v="N/A"/>
    <s v="Hamilton Unified"/>
    <x v="3"/>
    <s v="Hamilton Elementary"/>
    <s v="11 76562 6007447"/>
    <n v="0.92169999999999996"/>
    <n v="5"/>
    <n v="735"/>
    <n v="567"/>
    <n v="81219"/>
    <n v="44463"/>
    <n v="125682"/>
  </r>
  <r>
    <s v="12"/>
    <s v="10124"/>
    <s v="0000000"/>
    <s v="N/A"/>
    <s v="N/A"/>
    <s v="Humboldt Co. Office of Education"/>
    <x v="0"/>
    <s v="Orick Elementary"/>
    <s v="12 62968 6008080"/>
    <n v="1"/>
    <n v="6"/>
    <n v="310"/>
    <n v="299"/>
    <n v="34257"/>
    <n v="23448"/>
    <n v="57705"/>
  </r>
  <r>
    <s v="12"/>
    <s v="10124"/>
    <s v="0134163"/>
    <s v="0930"/>
    <s v="D"/>
    <s v="Northcoast Preparatory and Performing Arts Academy"/>
    <x v="1"/>
    <s v="Northcoast Preparatory and Performing Arts Academy"/>
    <s v="12 10124 0134163"/>
    <n v="0.18179999999999999"/>
    <n v="1"/>
    <n v="154"/>
    <n v="28"/>
    <n v="17017"/>
    <n v="2196"/>
    <n v="19213"/>
  </r>
  <r>
    <s v="12"/>
    <s v="10124"/>
    <s v="0137364"/>
    <s v="1957"/>
    <s v="D"/>
    <s v="Northern United - Humboldt Charter School"/>
    <x v="1"/>
    <s v="Northern United - Humboldt Charter School"/>
    <s v="12 10124 0137364"/>
    <n v="0.76380000000000003"/>
    <n v="1"/>
    <n v="309"/>
    <n v="236"/>
    <n v="34145"/>
    <n v="18507"/>
    <n v="52652"/>
  </r>
  <r>
    <s v="12"/>
    <s v="10124"/>
    <s v="6008221"/>
    <s v="2103"/>
    <s v="D"/>
    <s v="Agnes J Johnson Charter"/>
    <x v="1"/>
    <s v="Agnes J Johnson Charter"/>
    <s v="12 10124 6008221"/>
    <n v="0.59760000000000002"/>
    <n v="1"/>
    <n v="82"/>
    <n v="49"/>
    <n v="9061"/>
    <n v="3843"/>
    <n v="12904"/>
  </r>
  <r>
    <s v="12"/>
    <s v="62679"/>
    <s v="0000000"/>
    <s v="N/A"/>
    <s v="N/A"/>
    <s v="Arcata Elementary"/>
    <x v="3"/>
    <s v="Arcata Elementary"/>
    <s v="12 62679 6007678"/>
    <n v="0.76339999999999997"/>
    <n v="3"/>
    <n v="489"/>
    <n v="339"/>
    <n v="54035"/>
    <n v="26584"/>
    <n v="80619"/>
  </r>
  <r>
    <s v="12"/>
    <s v="62679"/>
    <s v="0109975"/>
    <s v="0744"/>
    <s v="D"/>
    <s v="Fuente Nueva Charter"/>
    <x v="1"/>
    <s v="Fuente Nueva Charter"/>
    <s v="12 62679 0109975"/>
    <n v="0.4088"/>
    <n v="1"/>
    <n v="137"/>
    <n v="56"/>
    <n v="15139"/>
    <n v="4391"/>
    <n v="19530"/>
  </r>
  <r>
    <s v="12"/>
    <s v="62679"/>
    <s v="0111708"/>
    <s v="0769"/>
    <s v="D"/>
    <s v="Union Street Charter"/>
    <x v="1"/>
    <s v="Union Street Charter"/>
    <s v="12 62679 0111708"/>
    <n v="0.41239999999999999"/>
    <n v="1"/>
    <n v="97"/>
    <n v="40"/>
    <n v="10719"/>
    <n v="3137"/>
    <n v="13856"/>
  </r>
  <r>
    <s v="12"/>
    <s v="62679"/>
    <s v="0137653"/>
    <s v="1496"/>
    <s v="D"/>
    <s v="Redwood Coast Montessori"/>
    <x v="1"/>
    <s v="Redwood Coast Montessori"/>
    <s v="12 62679 0137653"/>
    <n v="0.39779999999999999"/>
    <n v="1"/>
    <n v="181"/>
    <n v="72"/>
    <n v="20001"/>
    <n v="5646"/>
    <n v="25647"/>
  </r>
  <r>
    <s v="12"/>
    <s v="62679"/>
    <s v="6120562"/>
    <s v="0466"/>
    <s v="D"/>
    <s v="Coastal Grove Charter"/>
    <x v="1"/>
    <s v="Coastal Grove Charter"/>
    <s v="12 62679 6120562"/>
    <n v="0.63439999999999996"/>
    <n v="1"/>
    <n v="227"/>
    <n v="144"/>
    <n v="25084"/>
    <n v="11292"/>
    <n v="36376"/>
  </r>
  <r>
    <s v="12"/>
    <s v="62687"/>
    <s v="0000000"/>
    <s v="N/A"/>
    <s v="N/A"/>
    <s v="Northern Humboldt Union High"/>
    <x v="3"/>
    <s v="Orick Elementary"/>
    <s v="12 62968 6008080"/>
    <n v="1"/>
    <n v="5"/>
    <n v="1676"/>
    <n v="746"/>
    <n v="185202"/>
    <n v="58501"/>
    <n v="243703"/>
  </r>
  <r>
    <s v="12"/>
    <s v="62687"/>
    <s v="0107110"/>
    <s v="0642"/>
    <s v="L"/>
    <s v="Six Rivers Charter High"/>
    <x v="1"/>
    <s v="Orick Elementary"/>
    <s v="12 62968 6008080"/>
    <n v="1"/>
    <n v="1"/>
    <n v="109"/>
    <n v="39"/>
    <n v="12045"/>
    <n v="3058"/>
    <n v="15103"/>
  </r>
  <r>
    <s v="12"/>
    <s v="62687"/>
    <s v="0124263"/>
    <s v="1320"/>
    <s v="D"/>
    <s v="Laurel Tree Charter"/>
    <x v="1"/>
    <s v="Laurel Tree Charter"/>
    <s v="12 62687 0124263"/>
    <n v="0.4294"/>
    <n v="1"/>
    <n v="177"/>
    <n v="76"/>
    <n v="19559"/>
    <n v="5960"/>
    <n v="25519"/>
  </r>
  <r>
    <s v="12"/>
    <s v="62695"/>
    <s v="0000000"/>
    <s v="N/A"/>
    <s v="N/A"/>
    <s v="Big Lagoon Union Elementary"/>
    <x v="3"/>
    <s v="Big Lagoon Elementary"/>
    <s v="12 62695 6007686"/>
    <n v="0.4667"/>
    <n v="2"/>
    <n v="16"/>
    <n v="7"/>
    <n v="1769"/>
    <n v="549"/>
    <n v="2318"/>
  </r>
  <r>
    <s v="12"/>
    <s v="62703"/>
    <s v="0000000"/>
    <s v="N/A"/>
    <s v="N/A"/>
    <s v="Blue Lake Union Elementary"/>
    <x v="3"/>
    <s v="Blue Lake Union Elementary"/>
    <s v="12 62703 6007694"/>
    <n v="0.6512"/>
    <n v="2"/>
    <n v="174"/>
    <n v="113"/>
    <n v="19227"/>
    <n v="8861"/>
    <n v="28088"/>
  </r>
  <r>
    <s v="12"/>
    <s v="62729"/>
    <s v="0000000"/>
    <s v="N/A"/>
    <s v="N/A"/>
    <s v="Bridgeville Elementary"/>
    <x v="3"/>
    <s v="Bridgeville Elementary"/>
    <s v="12 62729 6007710"/>
    <n v="0.78380000000000005"/>
    <n v="2"/>
    <n v="37"/>
    <n v="29"/>
    <n v="4089"/>
    <n v="2274"/>
    <n v="6363"/>
  </r>
  <r>
    <s v="12"/>
    <s v="62737"/>
    <s v="0000000"/>
    <s v="N/A"/>
    <s v="N/A"/>
    <s v="Cuddeback Union Elementary"/>
    <x v="3"/>
    <s v="Cuddeback Elementary"/>
    <s v="12 62737 6007728"/>
    <n v="0.59209999999999996"/>
    <n v="2"/>
    <n v="153"/>
    <n v="91"/>
    <n v="16907"/>
    <n v="7136"/>
    <n v="24043"/>
  </r>
  <r>
    <s v="12"/>
    <s v="62745"/>
    <s v="0000000"/>
    <s v="N/A"/>
    <s v="N/A"/>
    <s v="Cutten Elementary"/>
    <x v="3"/>
    <s v="Cutten Elementary"/>
    <s v="12 62745 6007736"/>
    <n v="0.45960000000000001"/>
    <n v="3"/>
    <n v="569"/>
    <n v="257"/>
    <n v="62876"/>
    <n v="20153"/>
    <n v="83029"/>
  </r>
  <r>
    <s v="12"/>
    <s v="62794"/>
    <s v="0000000"/>
    <s v="N/A"/>
    <s v="N/A"/>
    <s v="Fieldbrook Elementary"/>
    <x v="3"/>
    <s v="Fieldbrook Elementary"/>
    <s v="12 62794 6007850"/>
    <n v="0.34260000000000002"/>
    <n v="2"/>
    <n v="108"/>
    <n v="37"/>
    <n v="11934"/>
    <n v="2902"/>
    <n v="14836"/>
  </r>
  <r>
    <s v="12"/>
    <s v="62810"/>
    <s v="0000000"/>
    <s v="N/A"/>
    <s v="N/A"/>
    <s v="Fortuna Union High"/>
    <x v="3"/>
    <s v="Orick Elementary"/>
    <s v="12 62968 6008080"/>
    <n v="1"/>
    <n v="4"/>
    <n v="1066"/>
    <n v="481"/>
    <n v="117794"/>
    <n v="37720"/>
    <n v="155514"/>
  </r>
  <r>
    <s v="12"/>
    <s v="62828"/>
    <s v="0000000"/>
    <s v="N/A"/>
    <s v="N/A"/>
    <s v="Freshwater Elementary"/>
    <x v="3"/>
    <s v="Freshwater Elementary"/>
    <s v="12 62828 6007884"/>
    <n v="0.40529999999999999"/>
    <n v="2"/>
    <n v="266"/>
    <n v="108"/>
    <n v="29393"/>
    <n v="8469"/>
    <n v="37862"/>
  </r>
  <r>
    <s v="12"/>
    <s v="62828"/>
    <s v="6116289"/>
    <s v="0173"/>
    <s v="L"/>
    <s v="Freshwater Charter Middle"/>
    <x v="1"/>
    <s v="Orick Elementary"/>
    <s v="12 62968 6008080"/>
    <n v="1"/>
    <n v="1"/>
    <n v="43"/>
    <n v="20"/>
    <n v="4752"/>
    <n v="1568"/>
    <n v="6320"/>
  </r>
  <r>
    <s v="12"/>
    <s v="62836"/>
    <s v="0000000"/>
    <s v="N/A"/>
    <s v="N/A"/>
    <s v="Garfield Elementary"/>
    <x v="3"/>
    <s v="Garfield Elementary"/>
    <s v="12 62836 6007892"/>
    <n v="0.27539999999999998"/>
    <n v="2"/>
    <n v="69"/>
    <n v="19"/>
    <n v="7625"/>
    <n v="1490"/>
    <n v="9115"/>
  </r>
  <r>
    <s v="12"/>
    <s v="62851"/>
    <s v="0000000"/>
    <s v="N/A"/>
    <s v="N/A"/>
    <s v="Green Point Elementary"/>
    <x v="3"/>
    <s v="Green Point Elementary"/>
    <s v="12 62851 6007918"/>
    <n v="0.71430000000000005"/>
    <n v="2"/>
    <n v="14"/>
    <n v="10"/>
    <n v="1547"/>
    <n v="784"/>
    <n v="2331"/>
  </r>
  <r>
    <s v="12"/>
    <s v="62885"/>
    <s v="0000000"/>
    <s v="N/A"/>
    <s v="N/A"/>
    <s v="Hydesville Elementary"/>
    <x v="3"/>
    <s v="Hydesville Elementary"/>
    <s v="12 62885 6007942"/>
    <n v="0.4194"/>
    <n v="2"/>
    <n v="218"/>
    <n v="91"/>
    <n v="24090"/>
    <n v="7136"/>
    <n v="31226"/>
  </r>
  <r>
    <s v="12"/>
    <s v="62893"/>
    <s v="0000000"/>
    <s v="N/A"/>
    <s v="N/A"/>
    <s v="Jacoby Creek Elementary"/>
    <x v="3"/>
    <s v="Jacoby Creek"/>
    <s v="12 62893 6007959"/>
    <n v="0.30070000000000002"/>
    <n v="2"/>
    <n v="461"/>
    <n v="139"/>
    <n v="50941"/>
    <n v="10900"/>
    <n v="61841"/>
  </r>
  <r>
    <s v="12"/>
    <s v="62901"/>
    <s v="0000000"/>
    <s v="N/A"/>
    <s v="N/A"/>
    <s v="Klamath-Trinity Joint Unified"/>
    <x v="3"/>
    <s v="Weitchpec Elementary"/>
    <s v="12 62901 6008007"/>
    <n v="0.88890000000000002"/>
    <n v="8"/>
    <n v="968"/>
    <n v="726"/>
    <n v="106967"/>
    <n v="56932"/>
    <n v="163899"/>
  </r>
  <r>
    <s v="12"/>
    <s v="62919"/>
    <s v="0000000"/>
    <s v="N/A"/>
    <s v="N/A"/>
    <s v="Kneeland Elementary"/>
    <x v="3"/>
    <s v="Kneeland Elementary"/>
    <s v="12 62919 6008015"/>
    <n v="0.5625"/>
    <n v="2"/>
    <n v="32"/>
    <n v="18"/>
    <n v="3536"/>
    <n v="1412"/>
    <n v="4948"/>
  </r>
  <r>
    <s v="12"/>
    <s v="62927"/>
    <s v="0000000"/>
    <s v="N/A"/>
    <s v="N/A"/>
    <s v="Loleta Union Elementary"/>
    <x v="3"/>
    <s v="Loleta Elementary"/>
    <s v="12 62927 6008023"/>
    <n v="0.93200000000000005"/>
    <n v="2"/>
    <n v="106"/>
    <n v="99"/>
    <n v="11714"/>
    <n v="7763"/>
    <n v="19477"/>
  </r>
  <r>
    <s v="12"/>
    <s v="62935"/>
    <s v="0000000"/>
    <s v="N/A"/>
    <s v="N/A"/>
    <s v="Maple Creek Elementary"/>
    <x v="3"/>
    <s v="Maple Creek Elementary"/>
    <s v="12 62935 6008031"/>
    <n v="0.66669999999999996"/>
    <n v="2"/>
    <n v="6"/>
    <n v="4"/>
    <n v="663"/>
    <n v="314"/>
    <n v="977"/>
  </r>
  <r>
    <s v="12"/>
    <s v="62950"/>
    <s v="0000000"/>
    <s v="N/A"/>
    <s v="N/A"/>
    <s v="McKinleyville Union Elementary"/>
    <x v="3"/>
    <s v="Dow's Prairie Elementary"/>
    <s v="12 62950 6008056"/>
    <n v="0.67749999999999999"/>
    <n v="4"/>
    <n v="942"/>
    <n v="562"/>
    <n v="104092"/>
    <n v="44071"/>
    <n v="148163"/>
  </r>
  <r>
    <s v="12"/>
    <s v="62968"/>
    <s v="0000000"/>
    <s v="N/A"/>
    <s v="N/A"/>
    <s v="Orick Elementary"/>
    <x v="3"/>
    <s v="Orick Elementary"/>
    <s v="12 62968 6008080"/>
    <n v="1"/>
    <n v="2"/>
    <n v="10"/>
    <n v="10"/>
    <n v="1105"/>
    <n v="784"/>
    <n v="1889"/>
  </r>
  <r>
    <s v="12"/>
    <s v="62976"/>
    <s v="0000000"/>
    <s v="N/A"/>
    <s v="N/A"/>
    <s v="Pacific Union Elementary"/>
    <x v="3"/>
    <s v="Pacific Union Elementary"/>
    <s v="12 62976 6008098"/>
    <n v="0.51770000000000005"/>
    <n v="2"/>
    <n v="545"/>
    <n v="282"/>
    <n v="60223"/>
    <n v="22114"/>
    <n v="82337"/>
  </r>
  <r>
    <s v="12"/>
    <s v="62976"/>
    <s v="0115154"/>
    <s v="0891"/>
    <s v="D"/>
    <s v="Trillium Charter"/>
    <x v="1"/>
    <s v="Trillium Charter"/>
    <s v="12 62976 0115154"/>
    <n v="0.76470000000000005"/>
    <n v="1"/>
    <n v="34"/>
    <n v="26"/>
    <n v="3757"/>
    <n v="2039"/>
    <n v="5796"/>
  </r>
  <r>
    <s v="12"/>
    <s v="62984"/>
    <s v="0000000"/>
    <s v="N/A"/>
    <s v="N/A"/>
    <s v="Peninsula Union"/>
    <x v="3"/>
    <s v="Peninsula Union"/>
    <s v="12 62984 6008106"/>
    <n v="0.82050000000000001"/>
    <n v="2"/>
    <n v="79"/>
    <n v="65"/>
    <n v="8730"/>
    <n v="5097"/>
    <n v="13827"/>
  </r>
  <r>
    <s v="12"/>
    <s v="63008"/>
    <s v="0000000"/>
    <s v="N/A"/>
    <s v="N/A"/>
    <s v="Rio Dell Elementary"/>
    <x v="3"/>
    <s v="Eagle Prairie Elementary"/>
    <s v="12 63008 6008114"/>
    <n v="0.76690000000000003"/>
    <n v="3"/>
    <n v="343"/>
    <n v="263"/>
    <n v="37902"/>
    <n v="20624"/>
    <n v="58526"/>
  </r>
  <r>
    <s v="12"/>
    <s v="63024"/>
    <s v="0000000"/>
    <s v="N/A"/>
    <s v="N/A"/>
    <s v="Scotia Union Elementary"/>
    <x v="3"/>
    <s v="Stanwood A. Murphy Elementary"/>
    <s v="12 63024 6008155"/>
    <n v="0.72529999999999994"/>
    <n v="2"/>
    <n v="182"/>
    <n v="132"/>
    <n v="20111"/>
    <n v="10351"/>
    <n v="30462"/>
  </r>
  <r>
    <s v="12"/>
    <s v="63032"/>
    <s v="0000000"/>
    <s v="N/A"/>
    <s v="N/A"/>
    <s v="South Bay Union Elementary"/>
    <x v="3"/>
    <s v="South Bay Elementary"/>
    <s v="12 63032 6008171"/>
    <n v="0.75590000000000002"/>
    <n v="3"/>
    <n v="353"/>
    <n v="261"/>
    <n v="39008"/>
    <n v="20467"/>
    <n v="59475"/>
  </r>
  <r>
    <s v="12"/>
    <s v="63032"/>
    <s v="0111203"/>
    <s v="1962"/>
    <s v="D"/>
    <s v="Alder Grove Charter School 2"/>
    <x v="1"/>
    <s v="Alder Grove Charter School 2"/>
    <s v="12 63032 0111203"/>
    <n v="0.70630000000000004"/>
    <n v="1"/>
    <n v="429"/>
    <n v="303"/>
    <n v="47405"/>
    <n v="23761"/>
    <n v="71166"/>
  </r>
  <r>
    <s v="12"/>
    <s v="63032"/>
    <s v="0124289"/>
    <s v="1303"/>
    <s v="L"/>
    <s v="South Bay Charter"/>
    <x v="1"/>
    <s v="South Bay Charter"/>
    <s v="12 63032 0124289"/>
    <n v="0.72599999999999998"/>
    <n v="1"/>
    <n v="73"/>
    <n v="53"/>
    <n v="8067"/>
    <n v="4156"/>
    <n v="12223"/>
  </r>
  <r>
    <s v="12"/>
    <s v="63040"/>
    <s v="0000000"/>
    <s v="N/A"/>
    <s v="N/A"/>
    <s v="Southern Humboldt Joint Unified"/>
    <x v="3"/>
    <s v="Whitethorn Elementary"/>
    <s v="12 63040 6008239"/>
    <n v="1"/>
    <n v="9"/>
    <n v="711"/>
    <n v="459"/>
    <n v="78568"/>
    <n v="35994"/>
    <n v="114562"/>
  </r>
  <r>
    <s v="12"/>
    <s v="63057"/>
    <s v="0000000"/>
    <s v="N/A"/>
    <s v="N/A"/>
    <s v="Trinidad Union Elementary"/>
    <x v="3"/>
    <s v="Trinidad Union"/>
    <s v="12 63057 6008247"/>
    <n v="0.62719999999999998"/>
    <n v="2"/>
    <n v="170"/>
    <n v="107"/>
    <n v="18785"/>
    <n v="8391"/>
    <n v="27176"/>
  </r>
  <r>
    <s v="12"/>
    <s v="75374"/>
    <s v="0000000"/>
    <s v="N/A"/>
    <s v="N/A"/>
    <s v="Ferndale Unified"/>
    <x v="3"/>
    <s v="Ferndale Elementary"/>
    <s v="12 75374 6007843"/>
    <n v="0.48549999999999999"/>
    <n v="3"/>
    <n v="469"/>
    <n v="230"/>
    <n v="51826"/>
    <n v="18036"/>
    <n v="69862"/>
  </r>
  <r>
    <s v="12"/>
    <s v="75382"/>
    <s v="0000000"/>
    <s v="N/A"/>
    <s v="N/A"/>
    <s v="Mattole Unified"/>
    <x v="3"/>
    <s v="Honeydew Elementary"/>
    <s v="12 75382 6107874"/>
    <n v="0.2"/>
    <n v="4"/>
    <n v="34"/>
    <n v="8"/>
    <n v="3758"/>
    <n v="627"/>
    <n v="4385"/>
  </r>
  <r>
    <s v="12"/>
    <s v="75515"/>
    <s v="0000000"/>
    <s v="N/A"/>
    <s v="N/A"/>
    <s v="Eureka City Schools"/>
    <x v="3"/>
    <s v="Alice Birney Elementary"/>
    <s v="12 75515 6007751"/>
    <n v="0.90310000000000001"/>
    <n v="9"/>
    <n v="3681"/>
    <n v="2656"/>
    <n v="406758"/>
    <n v="208280"/>
    <n v="615038"/>
  </r>
  <r>
    <s v="12"/>
    <s v="75515"/>
    <s v="1230150"/>
    <s v="1884"/>
    <s v="D"/>
    <s v="Pacific View Charter 2.0"/>
    <x v="1"/>
    <s v="Pacific View Charter 2.0"/>
    <s v="12 75515 1230150"/>
    <n v="0.79139999999999999"/>
    <n v="1"/>
    <n v="139"/>
    <n v="110"/>
    <n v="15360"/>
    <n v="8626"/>
    <n v="23986"/>
  </r>
  <r>
    <s v="12"/>
    <s v="76802"/>
    <s v="0000000"/>
    <s v="N/A"/>
    <s v="N/A"/>
    <s v="Fortuna Elementary"/>
    <x v="3"/>
    <s v="Linell K. Walker Elementary"/>
    <s v="12 76802 6007876"/>
    <n v="0.82310000000000005"/>
    <n v="5"/>
    <n v="1118"/>
    <n v="899"/>
    <n v="123541"/>
    <n v="70499"/>
    <n v="194040"/>
  </r>
  <r>
    <s v="12"/>
    <s v="76802"/>
    <s v="0124164"/>
    <s v="1304"/>
    <s v="D"/>
    <s v="Redwood Preparatory Charter"/>
    <x v="1"/>
    <s v="Redwood Preparatory Charter"/>
    <s v="12 76802 0124164"/>
    <n v="0.39729999999999999"/>
    <n v="1"/>
    <n v="219"/>
    <n v="87"/>
    <n v="24200"/>
    <n v="6822"/>
    <n v="31022"/>
  </r>
  <r>
    <s v="13"/>
    <s v="10132"/>
    <s v="0000000"/>
    <s v="N/A"/>
    <s v="N/A"/>
    <s v="Imperial Co. Office of Education"/>
    <x v="0"/>
    <s v="Grace Smith Elementary"/>
    <s v="13 63107 6008403"/>
    <n v="0.96"/>
    <n v="4"/>
    <n v="1128"/>
    <n v="894"/>
    <n v="124646"/>
    <n v="70107"/>
    <n v="194753"/>
  </r>
  <r>
    <s v="13"/>
    <s v="10132"/>
    <s v="0134379"/>
    <s v="1815"/>
    <s v="L"/>
    <s v="Imperial Pathways Charter"/>
    <x v="1"/>
    <s v="Grace Smith Elementary"/>
    <s v="13 63107 6008403"/>
    <n v="0.96"/>
    <n v="1"/>
    <n v="206"/>
    <n v="196"/>
    <n v="22763"/>
    <n v="15370"/>
    <n v="38133"/>
  </r>
  <r>
    <s v="13"/>
    <s v="63073"/>
    <s v="0000000"/>
    <s v="N/A"/>
    <s v="N/A"/>
    <s v="Brawley Elementary"/>
    <x v="3"/>
    <s v="Miguel Hidalgo Elementary"/>
    <s v="13 63073 6008270"/>
    <n v="0.92569999999999997"/>
    <n v="6"/>
    <n v="3911"/>
    <n v="3307"/>
    <n v="432171"/>
    <n v="259331"/>
    <n v="691502"/>
  </r>
  <r>
    <s v="13"/>
    <s v="63081"/>
    <s v="0000000"/>
    <s v="N/A"/>
    <s v="N/A"/>
    <s v="Brawley Union High"/>
    <x v="3"/>
    <s v="Grace Smith Elementary"/>
    <s v="13 63107 6008403"/>
    <n v="0.96"/>
    <n v="4"/>
    <n v="2055"/>
    <n v="1483"/>
    <n v="227081"/>
    <n v="116295"/>
    <n v="343376"/>
  </r>
  <r>
    <s v="13"/>
    <s v="63099"/>
    <s v="0000000"/>
    <s v="N/A"/>
    <s v="N/A"/>
    <s v="Calexico Unified"/>
    <x v="3"/>
    <s v="Rockwood Elementary"/>
    <s v="13 63099 6008379"/>
    <n v="0.95340000000000003"/>
    <n v="13"/>
    <n v="8455"/>
    <n v="7255"/>
    <n v="934294"/>
    <n v="568932"/>
    <n v="1503226"/>
  </r>
  <r>
    <s v="13"/>
    <s v="63107"/>
    <s v="0000000"/>
    <s v="N/A"/>
    <s v="N/A"/>
    <s v="Calipatria Unified"/>
    <x v="3"/>
    <s v="Grace Smith Elementary"/>
    <s v="13 63107 6008403"/>
    <n v="0.96"/>
    <n v="5"/>
    <n v="1175"/>
    <n v="1027"/>
    <n v="129840"/>
    <n v="80535"/>
    <n v="210375"/>
  </r>
  <r>
    <s v="13"/>
    <s v="63115"/>
    <s v="0000000"/>
    <s v="N/A"/>
    <s v="N/A"/>
    <s v="Central Union High"/>
    <x v="3"/>
    <s v="Grace Smith Elementary"/>
    <s v="13 63107 6008403"/>
    <n v="0.96"/>
    <n v="6"/>
    <n v="4093"/>
    <n v="3137"/>
    <n v="452284"/>
    <n v="246000"/>
    <n v="698284"/>
  </r>
  <r>
    <s v="13"/>
    <s v="63123"/>
    <s v="0000000"/>
    <s v="N/A"/>
    <s v="N/A"/>
    <s v="El Centro Elementary"/>
    <x v="3"/>
    <s v="Booker T. Washington Elementary"/>
    <s v="13 63123 6008486"/>
    <n v="0.89080000000000004"/>
    <n v="13"/>
    <n v="5184"/>
    <n v="4139"/>
    <n v="572840"/>
    <n v="324575"/>
    <n v="897415"/>
  </r>
  <r>
    <s v="13"/>
    <s v="63123"/>
    <s v="0118455"/>
    <s v="1030"/>
    <s v="D"/>
    <s v="Ballington Academy for the Arts and Sciences"/>
    <x v="1"/>
    <s v="Ballington Academy for the Arts and Sciences"/>
    <s v="13 63123 0118455"/>
    <n v="0.74790000000000001"/>
    <n v="1"/>
    <n v="238"/>
    <n v="178"/>
    <n v="26299"/>
    <n v="13959"/>
    <n v="40258"/>
  </r>
  <r>
    <s v="13"/>
    <s v="63123"/>
    <s v="0122663"/>
    <s v="1249"/>
    <s v="L"/>
    <s v="Imperial Valley Home School Academy"/>
    <x v="1"/>
    <s v="Imperial Valley Home School Academy"/>
    <s v="13 63123 0122663"/>
    <n v="0.51849999999999996"/>
    <n v="1"/>
    <n v="135"/>
    <n v="70"/>
    <n v="14918"/>
    <n v="5489"/>
    <n v="20407"/>
  </r>
  <r>
    <s v="13"/>
    <s v="63131"/>
    <s v="0000000"/>
    <s v="N/A"/>
    <s v="N/A"/>
    <s v="Heber Elementary"/>
    <x v="3"/>
    <s v="Dogwood Elementary"/>
    <s v="13 63131 0135657"/>
    <n v="0.70430000000000004"/>
    <n v="3"/>
    <n v="1191"/>
    <n v="835"/>
    <n v="131607"/>
    <n v="65480"/>
    <n v="197087"/>
  </r>
  <r>
    <s v="13"/>
    <s v="63149"/>
    <s v="0000000"/>
    <s v="N/A"/>
    <s v="N/A"/>
    <s v="Holtville Unified"/>
    <x v="3"/>
    <s v="Emmett S. Finley Elementary"/>
    <s v="13 63149 6008510"/>
    <n v="0.84250000000000003"/>
    <n v="7"/>
    <n v="1578"/>
    <n v="1247"/>
    <n v="174371"/>
    <n v="97787"/>
    <n v="272158"/>
  </r>
  <r>
    <s v="13"/>
    <s v="63164"/>
    <s v="0000000"/>
    <s v="N/A"/>
    <s v="N/A"/>
    <s v="Imperial Unified"/>
    <x v="3"/>
    <s v="Imperial Cross Elementary"/>
    <s v="13 63164 0138917"/>
    <n v="0.60140000000000005"/>
    <n v="7"/>
    <n v="4573"/>
    <n v="2597"/>
    <n v="505324"/>
    <n v="203655"/>
    <n v="708979"/>
  </r>
  <r>
    <s v="13"/>
    <s v="63172"/>
    <s v="0000000"/>
    <s v="N/A"/>
    <s v="N/A"/>
    <s v="Magnolia Union Elementary"/>
    <x v="3"/>
    <s v="Magnolia Union Elementary"/>
    <s v="13 63172 6008585"/>
    <n v="0.128"/>
    <n v="2"/>
    <n v="125"/>
    <n v="16"/>
    <n v="13813"/>
    <n v="1255"/>
    <n v="15068"/>
  </r>
  <r>
    <s v="13"/>
    <s v="63180"/>
    <s v="0000000"/>
    <s v="N/A"/>
    <s v="N/A"/>
    <s v="McCabe Union Elementary"/>
    <x v="3"/>
    <s v="McCabe Elementary"/>
    <s v="13 63180 6008593"/>
    <n v="0.38629999999999998"/>
    <n v="2"/>
    <n v="1211"/>
    <n v="468"/>
    <n v="133818"/>
    <n v="36700"/>
    <n v="170518"/>
  </r>
  <r>
    <s v="13"/>
    <s v="63198"/>
    <s v="0000000"/>
    <s v="N/A"/>
    <s v="N/A"/>
    <s v="Meadows Union Elementary"/>
    <x v="3"/>
    <s v="Meadows Elementary"/>
    <s v="13 63198 6008619"/>
    <n v="0.84109999999999996"/>
    <n v="2"/>
    <n v="386"/>
    <n v="325"/>
    <n v="42654"/>
    <n v="25486"/>
    <n v="68140"/>
  </r>
  <r>
    <s v="13"/>
    <s v="63206"/>
    <s v="0000000"/>
    <s v="N/A"/>
    <s v="N/A"/>
    <s v="Mulberry Elementary"/>
    <x v="3"/>
    <s v="Mulberry Elementary"/>
    <s v="13 63206 6008627"/>
    <n v="0.4"/>
    <n v="2"/>
    <n v="65"/>
    <n v="26"/>
    <n v="7183"/>
    <n v="2039"/>
    <n v="9222"/>
  </r>
  <r>
    <s v="13"/>
    <s v="63214"/>
    <s v="0000000"/>
    <s v="N/A"/>
    <s v="N/A"/>
    <s v="San Pasqual Valley Unified"/>
    <x v="3"/>
    <s v="San Pasqual Valley Elementary"/>
    <s v="13 63214 6008635"/>
    <n v="0.6522"/>
    <n v="6"/>
    <n v="606"/>
    <n v="412"/>
    <n v="66964"/>
    <n v="32308"/>
    <n v="99272"/>
  </r>
  <r>
    <s v="13"/>
    <s v="63222"/>
    <s v="0000000"/>
    <s v="N/A"/>
    <s v="N/A"/>
    <s v="Seeley Union Elementary"/>
    <x v="3"/>
    <s v="Seeley Elementary"/>
    <s v="13 63222 6008643"/>
    <n v="0.94799999999999995"/>
    <n v="2"/>
    <n v="348"/>
    <n v="330"/>
    <n v="38455"/>
    <n v="25878"/>
    <n v="64333"/>
  </r>
  <r>
    <s v="13"/>
    <s v="63230"/>
    <s v="0000000"/>
    <s v="N/A"/>
    <s v="N/A"/>
    <s v="Westmorland Union Elementary"/>
    <x v="3"/>
    <s v="Westmorland Elementary"/>
    <s v="13 63230 6008650"/>
    <n v="0.93730000000000002"/>
    <n v="2"/>
    <n v="341"/>
    <n v="320"/>
    <n v="37681"/>
    <n v="25094"/>
    <n v="62775"/>
  </r>
  <r>
    <s v="14"/>
    <s v="10140"/>
    <s v="0000000"/>
    <s v="N/A"/>
    <s v="N/A"/>
    <s v="Inyo Co. Office of Education"/>
    <x v="0"/>
    <s v="Lo-Inyo Elementary"/>
    <s v="14 63289 6008775"/>
    <n v="0.63029999999999997"/>
    <n v="3"/>
    <n v="131"/>
    <n v="84"/>
    <n v="14476"/>
    <n v="6587"/>
    <n v="21063"/>
  </r>
  <r>
    <s v="14"/>
    <s v="10140"/>
    <s v="0117994"/>
    <s v="1012"/>
    <s v="D"/>
    <s v="YouthBuild Charter School of California"/>
    <x v="1"/>
    <s v="Lo-Inyo Elementary"/>
    <s v="14 63289 6008775"/>
    <n v="0.63029999999999997"/>
    <n v="1"/>
    <n v="667"/>
    <n v="619"/>
    <n v="73705"/>
    <n v="48541"/>
    <n v="122246"/>
  </r>
  <r>
    <s v="14"/>
    <s v="10140"/>
    <s v="0128447"/>
    <s v="1594"/>
    <s v="D"/>
    <s v="The Education Corps"/>
    <x v="1"/>
    <s v="Lo-Inyo Elementary"/>
    <s v="14 63289 6008775"/>
    <n v="0.63029999999999997"/>
    <n v="1"/>
    <n v="202"/>
    <n v="163"/>
    <n v="22321"/>
    <n v="12782"/>
    <n v="35103"/>
  </r>
  <r>
    <s v="14"/>
    <s v="10140"/>
    <s v="0128454"/>
    <s v="1593"/>
    <s v="D"/>
    <s v="College Bridge Academy"/>
    <x v="1"/>
    <s v="Lo-Inyo Elementary"/>
    <s v="14 63289 6008775"/>
    <n v="0.63029999999999997"/>
    <n v="1"/>
    <n v="230"/>
    <n v="218"/>
    <n v="25415"/>
    <n v="17095"/>
    <n v="42510"/>
  </r>
  <r>
    <s v="14"/>
    <s v="63248"/>
    <s v="0000000"/>
    <s v="N/A"/>
    <s v="N/A"/>
    <s v="Big Pine Unified"/>
    <x v="3"/>
    <s v="Big Pine Elementary"/>
    <s v="14 63248 6008692"/>
    <n v="0.59199999999999997"/>
    <n v="3"/>
    <n v="159"/>
    <n v="94"/>
    <n v="17570"/>
    <n v="7371"/>
    <n v="24941"/>
  </r>
  <r>
    <s v="14"/>
    <s v="63271"/>
    <s v="0000000"/>
    <s v="N/A"/>
    <s v="N/A"/>
    <s v="Death Valley Unified"/>
    <x v="3"/>
    <s v="Shoshone Elementary"/>
    <s v="14 63271 6008742"/>
    <n v="0.4118"/>
    <n v="5"/>
    <n v="24"/>
    <n v="10"/>
    <n v="2653"/>
    <n v="784"/>
    <n v="3437"/>
  </r>
  <r>
    <s v="14"/>
    <s v="63289"/>
    <s v="0000000"/>
    <s v="N/A"/>
    <s v="N/A"/>
    <s v="Lone Pine Unified"/>
    <x v="3"/>
    <s v="Lo-Inyo Elementary"/>
    <s v="14 63289 6008775"/>
    <n v="0.63029999999999997"/>
    <n v="4"/>
    <n v="326"/>
    <n v="191"/>
    <n v="36025"/>
    <n v="14978"/>
    <n v="51003"/>
  </r>
  <r>
    <s v="14"/>
    <s v="63297"/>
    <s v="0000000"/>
    <s v="N/A"/>
    <s v="N/A"/>
    <s v="Owens Valley Unified"/>
    <x v="3"/>
    <s v="Owens Valley Elementary"/>
    <s v="14 63297 6008791"/>
    <n v="0.55069999999999997"/>
    <n v="3"/>
    <n v="89"/>
    <n v="48"/>
    <n v="9836"/>
    <n v="3764"/>
    <n v="13600"/>
  </r>
  <r>
    <s v="14"/>
    <s v="63305"/>
    <s v="0000000"/>
    <s v="N/A"/>
    <s v="N/A"/>
    <s v="Round Valley Joint Elementary"/>
    <x v="3"/>
    <s v="Round Valley Elementary"/>
    <s v="14 63305 6008809"/>
    <n v="0.34920000000000001"/>
    <n v="2"/>
    <n v="65"/>
    <n v="23"/>
    <n v="7183"/>
    <n v="1803"/>
    <n v="8986"/>
  </r>
  <r>
    <s v="14"/>
    <s v="76687"/>
    <s v="0000000"/>
    <s v="N/A"/>
    <s v="N/A"/>
    <s v="Bishop Unified"/>
    <x v="3"/>
    <s v="Bishop Elementary"/>
    <s v="14 76687 6008726"/>
    <n v="0.55059999999999998"/>
    <n v="7"/>
    <n v="1943"/>
    <n v="953"/>
    <n v="214706"/>
    <n v="74733"/>
    <n v="289439"/>
  </r>
  <r>
    <s v="15"/>
    <s v="10157"/>
    <s v="0000000"/>
    <s v="N/A"/>
    <s v="N/A"/>
    <s v="Kern Co. Office of Education"/>
    <x v="0"/>
    <s v="Di Giorgio Elementary"/>
    <s v="15 63420 6009419"/>
    <n v="1"/>
    <n v="4"/>
    <n v="1676"/>
    <n v="1522"/>
    <n v="185200"/>
    <n v="119354"/>
    <n v="304554"/>
  </r>
  <r>
    <s v="15"/>
    <s v="10157"/>
    <s v="0119669"/>
    <s v="1078"/>
    <s v="D"/>
    <s v="Wonderful College Prep Academy"/>
    <x v="1"/>
    <s v="Wonderful College Prep Academy"/>
    <s v="15 10157 0119669"/>
    <n v="0.78469999999999995"/>
    <n v="1"/>
    <n v="1900"/>
    <n v="1491"/>
    <n v="209953"/>
    <n v="116923"/>
    <n v="326876"/>
  </r>
  <r>
    <s v="15"/>
    <s v="10157"/>
    <s v="0124040"/>
    <s v="1292"/>
    <s v="D"/>
    <s v="Grow Academy Arvin"/>
    <x v="1"/>
    <s v="Grow Academy Arvin"/>
    <s v="15 10157 0124040"/>
    <n v="0.91749999999999998"/>
    <n v="1"/>
    <n v="824"/>
    <n v="756"/>
    <n v="91053"/>
    <n v="59285"/>
    <n v="150338"/>
  </r>
  <r>
    <s v="15"/>
    <s v="10157"/>
    <s v="0135467"/>
    <s v="1851"/>
    <s v="D"/>
    <s v="Wonderful College Prep Academy - Lost Hills"/>
    <x v="1"/>
    <s v="Wonderful College Prep Academy - Lost Hills"/>
    <s v="15 10157 0135467"/>
    <n v="0.67459999999999998"/>
    <n v="1"/>
    <n v="504"/>
    <n v="340"/>
    <n v="55693"/>
    <n v="26662"/>
    <n v="82355"/>
  </r>
  <r>
    <s v="15"/>
    <s v="10157"/>
    <s v="1530492"/>
    <s v="0332"/>
    <s v="L"/>
    <s v="Valley Oaks Charter"/>
    <x v="1"/>
    <s v="Valley Oaks Charter"/>
    <s v="15 10157 1530492"/>
    <n v="0.38629999999999998"/>
    <n v="1"/>
    <n v="1108"/>
    <n v="428"/>
    <n v="122436"/>
    <n v="33563"/>
    <n v="155999"/>
  </r>
  <r>
    <s v="15"/>
    <s v="10157"/>
    <s v="1530500"/>
    <s v="2050"/>
    <s v="D"/>
    <s v="Ridgecrest Elementary Academy for Language, Music, and Science"/>
    <x v="1"/>
    <s v="Ridgecrest Elementary Academy for Language, Music, and Science"/>
    <s v="15 10157 1530500"/>
    <n v="0.44259999999999999"/>
    <n v="1"/>
    <n v="183"/>
    <n v="81"/>
    <n v="20222"/>
    <n v="6352"/>
    <n v="26574"/>
  </r>
  <r>
    <s v="15"/>
    <s v="63313"/>
    <s v="0000000"/>
    <s v="N/A"/>
    <s v="N/A"/>
    <s v="Arvin Union"/>
    <x v="3"/>
    <s v="Sierra Vista Elementary"/>
    <s v="15 63313 6008833"/>
    <n v="0.95199999999999996"/>
    <n v="5"/>
    <n v="3049"/>
    <n v="2864"/>
    <n v="336920"/>
    <n v="224593"/>
    <n v="561513"/>
  </r>
  <r>
    <s v="15"/>
    <s v="63321"/>
    <s v="0000000"/>
    <s v="N/A"/>
    <s v="N/A"/>
    <s v="Bakersfield City"/>
    <x v="3"/>
    <s v="Williams Elementary"/>
    <s v="15 63321 6009203"/>
    <n v="0.96940000000000004"/>
    <n v="46"/>
    <n v="29559"/>
    <n v="25762"/>
    <n v="3266317"/>
    <n v="2020228"/>
    <n v="5286545"/>
  </r>
  <r>
    <s v="15"/>
    <s v="63339"/>
    <s v="0000000"/>
    <s v="N/A"/>
    <s v="N/A"/>
    <s v="Beardsley Elementary"/>
    <x v="3"/>
    <s v="Beardsley Elementary"/>
    <s v="15 63339 6009211"/>
    <n v="0.98099999999999998"/>
    <n v="5"/>
    <n v="1957"/>
    <n v="1865"/>
    <n v="216252"/>
    <n v="146252"/>
    <n v="362504"/>
  </r>
  <r>
    <s v="15"/>
    <s v="63354"/>
    <s v="0000000"/>
    <s v="N/A"/>
    <s v="N/A"/>
    <s v="Blake Elementary"/>
    <x v="3"/>
    <s v="Blake Elementary"/>
    <s v="15 63354 6009252"/>
    <n v="0.6875"/>
    <n v="2"/>
    <n v="17"/>
    <n v="11"/>
    <n v="1879"/>
    <n v="863"/>
    <n v="2742"/>
  </r>
  <r>
    <s v="15"/>
    <s v="63362"/>
    <s v="0000000"/>
    <s v="N/A"/>
    <s v="N/A"/>
    <s v="Panama-Buena Vista Union"/>
    <x v="3"/>
    <s v="Amy B. Seibert Elementary"/>
    <s v="15 63362 6009922"/>
    <n v="0.93920000000000003"/>
    <n v="26"/>
    <n v="19494"/>
    <n v="14705"/>
    <n v="2154119"/>
    <n v="1153151"/>
    <n v="3307270"/>
  </r>
  <r>
    <s v="15"/>
    <s v="63370"/>
    <s v="0000000"/>
    <s v="N/A"/>
    <s v="N/A"/>
    <s v="Buttonwillow Union Elementary"/>
    <x v="3"/>
    <s v="Buttonwillow Elementary"/>
    <s v="15 63370 6009278"/>
    <n v="0.91369999999999996"/>
    <n v="2"/>
    <n v="334"/>
    <n v="305"/>
    <n v="36908"/>
    <n v="23918"/>
    <n v="60826"/>
  </r>
  <r>
    <s v="15"/>
    <s v="63388"/>
    <s v="0000000"/>
    <s v="N/A"/>
    <s v="N/A"/>
    <s v="Caliente Union Elementary"/>
    <x v="3"/>
    <s v="Piute Mountain Elementary"/>
    <s v="15 63388 6104772"/>
    <n v="0.70269999999999999"/>
    <n v="2"/>
    <n v="74"/>
    <n v="52"/>
    <n v="8177"/>
    <n v="4078"/>
    <n v="12255"/>
  </r>
  <r>
    <s v="15"/>
    <s v="63404"/>
    <s v="0000000"/>
    <s v="N/A"/>
    <s v="N/A"/>
    <s v="Delano Union Elementary"/>
    <x v="3"/>
    <s v="Terrace Elementary"/>
    <s v="15 63404 6009393"/>
    <n v="0.94120000000000004"/>
    <n v="10"/>
    <n v="4740"/>
    <n v="4093"/>
    <n v="523778"/>
    <n v="320970"/>
    <n v="844748"/>
  </r>
  <r>
    <s v="15"/>
    <s v="63404"/>
    <s v="0120139"/>
    <s v="1109"/>
    <s v="L"/>
    <s v="Nueva Vista Language Academy"/>
    <x v="1"/>
    <s v="Nueva Vista Language Academy"/>
    <s v="15 63404 0120139"/>
    <n v="0.87519999999999998"/>
    <n v="1"/>
    <n v="622"/>
    <n v="544"/>
    <n v="68732"/>
    <n v="42660"/>
    <n v="111392"/>
  </r>
  <r>
    <s v="15"/>
    <s v="63404"/>
    <s v="6009351"/>
    <s v="1184"/>
    <s v="L"/>
    <s v="Cecil Avenue Math and Science Academy"/>
    <x v="1"/>
    <s v="Di Giorgio Elementary"/>
    <s v="15 63420 6009419"/>
    <n v="1"/>
    <n v="1"/>
    <n v="604"/>
    <n v="529"/>
    <n v="66743"/>
    <n v="41484"/>
    <n v="108227"/>
  </r>
  <r>
    <s v="15"/>
    <s v="63404"/>
    <s v="6009369"/>
    <s v="1352"/>
    <s v="L"/>
    <s v="Del Vista Math and Science Academy"/>
    <x v="1"/>
    <s v="Del Vista Math and Science Academy"/>
    <s v="15 63404 6009369"/>
    <n v="0.89539999999999997"/>
    <n v="1"/>
    <n v="507"/>
    <n v="454"/>
    <n v="56024"/>
    <n v="35602"/>
    <n v="91626"/>
  </r>
  <r>
    <s v="15"/>
    <s v="63412"/>
    <s v="0000000"/>
    <s v="N/A"/>
    <s v="N/A"/>
    <s v="Delano Joint Union High"/>
    <x v="3"/>
    <s v="Di Giorgio Elementary"/>
    <s v="15 63420 6009419"/>
    <n v="1"/>
    <n v="5"/>
    <n v="4142"/>
    <n v="3727"/>
    <n v="457698"/>
    <n v="292268"/>
    <n v="749966"/>
  </r>
  <r>
    <s v="15"/>
    <s v="63420"/>
    <s v="0000000"/>
    <s v="N/A"/>
    <s v="N/A"/>
    <s v="Di Giorgio Elementary"/>
    <x v="3"/>
    <s v="Di Giorgio Elementary"/>
    <s v="15 63420 6009419"/>
    <n v="1"/>
    <n v="2"/>
    <n v="229"/>
    <n v="229"/>
    <n v="25305"/>
    <n v="17958"/>
    <n v="43263"/>
  </r>
  <r>
    <s v="15"/>
    <s v="63438"/>
    <s v="0000000"/>
    <s v="N/A"/>
    <s v="N/A"/>
    <s v="Edison Elementary"/>
    <x v="3"/>
    <s v="Orangewood Elementary"/>
    <s v="15 63438 6009443"/>
    <n v="0.86909999999999998"/>
    <n v="3"/>
    <n v="1171"/>
    <n v="1011"/>
    <n v="129398"/>
    <n v="79281"/>
    <n v="208679"/>
  </r>
  <r>
    <s v="15"/>
    <s v="63446"/>
    <s v="0000000"/>
    <s v="N/A"/>
    <s v="N/A"/>
    <s v="Elk Hills Elementary"/>
    <x v="3"/>
    <s v="Elk Hills Elementary"/>
    <s v="15 63446 6009450"/>
    <n v="0.77910000000000001"/>
    <n v="2"/>
    <n v="163"/>
    <n v="127"/>
    <n v="18012"/>
    <n v="9959"/>
    <n v="27971"/>
  </r>
  <r>
    <s v="15"/>
    <s v="63461"/>
    <s v="0000000"/>
    <s v="N/A"/>
    <s v="N/A"/>
    <s v="Fairfax Elementary"/>
    <x v="3"/>
    <s v="Virginia Avenue Elementary"/>
    <s v="15 63461 6009500"/>
    <n v="0.95179999999999998"/>
    <n v="5"/>
    <n v="2684"/>
    <n v="2446"/>
    <n v="296587"/>
    <n v="191812"/>
    <n v="488399"/>
  </r>
  <r>
    <s v="15"/>
    <s v="63479"/>
    <s v="0000000"/>
    <s v="N/A"/>
    <s v="N/A"/>
    <s v="Fruitvale Elementary"/>
    <x v="3"/>
    <s v="Quailwood Elementary"/>
    <s v="15 63479 6101588"/>
    <n v="0.59160000000000001"/>
    <n v="6"/>
    <n v="3055"/>
    <n v="1690"/>
    <n v="337583"/>
    <n v="132528"/>
    <n v="470111"/>
  </r>
  <r>
    <s v="15"/>
    <s v="63487"/>
    <s v="0000000"/>
    <s v="N/A"/>
    <s v="N/A"/>
    <s v="General Shafter Elementary"/>
    <x v="3"/>
    <s v="General Shafter Elementary"/>
    <s v="15 63487 6009534"/>
    <n v="0.62570000000000003"/>
    <n v="2"/>
    <n v="180"/>
    <n v="113"/>
    <n v="19890"/>
    <n v="8861"/>
    <n v="28751"/>
  </r>
  <r>
    <s v="15"/>
    <s v="63503"/>
    <s v="0000000"/>
    <s v="N/A"/>
    <s v="N/A"/>
    <s v="Greenfield Union"/>
    <x v="3"/>
    <s v="Fairview Elementary"/>
    <s v="15 63503 6009559"/>
    <n v="0.9476"/>
    <n v="14"/>
    <n v="9319"/>
    <n v="8544"/>
    <n v="1029765"/>
    <n v="670013"/>
    <n v="1699778"/>
  </r>
  <r>
    <s v="15"/>
    <s v="63529"/>
    <s v="0000000"/>
    <s v="N/A"/>
    <s v="N/A"/>
    <s v="Kern High"/>
    <x v="3"/>
    <s v="Di Giorgio Elementary"/>
    <s v="15 63420 6009419"/>
    <n v="1"/>
    <n v="25"/>
    <n v="42462"/>
    <n v="31800"/>
    <n v="4692124"/>
    <n v="2493723"/>
    <n v="7185847"/>
  </r>
  <r>
    <s v="15"/>
    <s v="63529"/>
    <s v="1530435"/>
    <s v="0071"/>
    <s v="L"/>
    <s v="Kern Workforce 2000 Academy"/>
    <x v="1"/>
    <s v="Di Giorgio Elementary"/>
    <s v="15 63420 6009419"/>
    <n v="1"/>
    <n v="1"/>
    <n v="571"/>
    <n v="542"/>
    <n v="63096"/>
    <n v="42503"/>
    <n v="105599"/>
  </r>
  <r>
    <s v="15"/>
    <s v="63545"/>
    <s v="0000000"/>
    <s v="N/A"/>
    <s v="N/A"/>
    <s v="Kernville Union Elementary"/>
    <x v="3"/>
    <s v="Woodrow W. Wallace Elementary"/>
    <s v="15 63545 6009658"/>
    <n v="0.86119999999999997"/>
    <n v="4"/>
    <n v="871"/>
    <n v="713"/>
    <n v="96247"/>
    <n v="55912"/>
    <n v="152159"/>
  </r>
  <r>
    <s v="15"/>
    <s v="63552"/>
    <s v="0000000"/>
    <s v="N/A"/>
    <s v="N/A"/>
    <s v="Lakeside Union"/>
    <x v="3"/>
    <s v="Donald E. Suburu"/>
    <s v="15 63552 6115042"/>
    <n v="0.7077"/>
    <n v="3"/>
    <n v="1577"/>
    <n v="1039"/>
    <n v="174261"/>
    <n v="81478"/>
    <n v="255739"/>
  </r>
  <r>
    <s v="15"/>
    <s v="63560"/>
    <s v="0000000"/>
    <s v="N/A"/>
    <s v="N/A"/>
    <s v="Lamont Elementary"/>
    <x v="3"/>
    <s v="Myrtle Avenue Elementary"/>
    <s v="15 63560 6009708"/>
    <n v="0.874"/>
    <n v="5"/>
    <n v="2783"/>
    <n v="2361"/>
    <n v="307528"/>
    <n v="185146"/>
    <n v="492674"/>
  </r>
  <r>
    <s v="15"/>
    <s v="63578"/>
    <s v="0000000"/>
    <s v="N/A"/>
    <s v="N/A"/>
    <s v="Richland Union Elementary"/>
    <x v="3"/>
    <s v="Golden Oak Elementary"/>
    <s v="15 63578 6090591"/>
    <n v="0.91220000000000001"/>
    <n v="5"/>
    <n v="2590"/>
    <n v="2219"/>
    <n v="286198"/>
    <n v="174012"/>
    <n v="460210"/>
  </r>
  <r>
    <s v="15"/>
    <s v="63578"/>
    <s v="0135186"/>
    <s v="1847"/>
    <s v="D"/>
    <s v="Grow Academy Shafter"/>
    <x v="1"/>
    <s v="Grow Academy Shafter"/>
    <s v="15 63578 0135186"/>
    <n v="0.74660000000000004"/>
    <n v="1"/>
    <n v="801"/>
    <n v="598"/>
    <n v="88512"/>
    <n v="46895"/>
    <n v="135407"/>
  </r>
  <r>
    <s v="15"/>
    <s v="63586"/>
    <s v="0000000"/>
    <s v="N/A"/>
    <s v="N/A"/>
    <s v="Linns Valley-Poso Flat Union"/>
    <x v="3"/>
    <s v="Linns Valley-Poso Flat Elementary"/>
    <s v="15 63586 6009724"/>
    <n v="0.66669999999999996"/>
    <n v="2"/>
    <n v="18"/>
    <n v="12"/>
    <n v="1989"/>
    <n v="941"/>
    <n v="2930"/>
  </r>
  <r>
    <s v="15"/>
    <s v="63594"/>
    <s v="0000000"/>
    <s v="N/A"/>
    <s v="N/A"/>
    <s v="Lost Hills Union Elementary"/>
    <x v="3"/>
    <s v="Lost Hills Elementary"/>
    <s v="15 63594 6060420"/>
    <n v="0.75560000000000005"/>
    <n v="3"/>
    <n v="299"/>
    <n v="225"/>
    <n v="33040"/>
    <n v="17644"/>
    <n v="50684"/>
  </r>
  <r>
    <s v="15"/>
    <s v="63610"/>
    <s v="0000000"/>
    <s v="N/A"/>
    <s v="N/A"/>
    <s v="Maple Elementary"/>
    <x v="3"/>
    <s v="Maple Elementary"/>
    <s v="15 63610 6009732"/>
    <n v="0.53400000000000003"/>
    <n v="2"/>
    <n v="294"/>
    <n v="157"/>
    <n v="32487"/>
    <n v="12312"/>
    <n v="44799"/>
  </r>
  <r>
    <s v="15"/>
    <s v="63628"/>
    <s v="0000000"/>
    <s v="N/A"/>
    <s v="N/A"/>
    <s v="Maricopa Unified"/>
    <x v="3"/>
    <s v="Maricopa Elementary"/>
    <s v="15 63628 6009740"/>
    <n v="1"/>
    <n v="4"/>
    <n v="318"/>
    <n v="316"/>
    <n v="35140"/>
    <n v="24780"/>
    <n v="59920"/>
  </r>
  <r>
    <s v="15"/>
    <s v="63628"/>
    <s v="0127209"/>
    <s v="1491"/>
    <s v="D"/>
    <s v="Insight School of California"/>
    <x v="1"/>
    <s v="Di Giorgio Elementary"/>
    <s v="15 63420 6009419"/>
    <n v="1"/>
    <n v="1"/>
    <n v="306"/>
    <n v="221"/>
    <n v="33814"/>
    <n v="17331"/>
    <n v="51145"/>
  </r>
  <r>
    <s v="15"/>
    <s v="63628"/>
    <s v="0128504"/>
    <s v="1575"/>
    <s v="D"/>
    <s v="Peak to Peak Mountain Charter"/>
    <x v="1"/>
    <s v="Peak to Peak Mountain Charter"/>
    <s v="15 63628 0128504"/>
    <n v="0.19639999999999999"/>
    <n v="1"/>
    <n v="56"/>
    <n v="11"/>
    <n v="6188"/>
    <n v="863"/>
    <n v="7051"/>
  </r>
  <r>
    <s v="15"/>
    <s v="63628"/>
    <s v="0134312"/>
    <s v="1816"/>
    <s v="D"/>
    <s v="Blue Ridge Academy"/>
    <x v="1"/>
    <s v="Blue Ridge Academy"/>
    <s v="15 63628 0134312"/>
    <n v="0.42359999999999998"/>
    <n v="1"/>
    <n v="6751"/>
    <n v="2860"/>
    <n v="745997"/>
    <n v="224278"/>
    <n v="970275"/>
  </r>
  <r>
    <s v="15"/>
    <s v="63628"/>
    <s v="0137687"/>
    <s v="1490"/>
    <s v="D"/>
    <s v="California Virtual Academy @ Maricopa"/>
    <x v="1"/>
    <s v="California Virtual Academy @ Maricopa"/>
    <s v="15 63628 0137687"/>
    <n v="0.74960000000000004"/>
    <n v="1"/>
    <n v="1130"/>
    <n v="847"/>
    <n v="124867"/>
    <n v="66421"/>
    <n v="191288"/>
  </r>
  <r>
    <s v="15"/>
    <s v="63628"/>
    <s v="0138131"/>
    <s v="1998"/>
    <s v="D"/>
    <s v="Heartland Charter"/>
    <x v="1"/>
    <s v="Heartland Charter"/>
    <s v="15 63628 0138131"/>
    <n v="0.43020000000000003"/>
    <n v="1"/>
    <n v="4700"/>
    <n v="2022"/>
    <n v="519358"/>
    <n v="158563"/>
    <n v="677921"/>
  </r>
  <r>
    <s v="15"/>
    <s v="63651"/>
    <s v="0000000"/>
    <s v="N/A"/>
    <s v="N/A"/>
    <s v="McKittrick Elementary"/>
    <x v="3"/>
    <s v="McKittrick Elementary"/>
    <s v="15 63651 6009773"/>
    <n v="0.54430000000000001"/>
    <n v="2"/>
    <n v="80"/>
    <n v="44"/>
    <n v="8840"/>
    <n v="3450"/>
    <n v="12290"/>
  </r>
  <r>
    <s v="15"/>
    <s v="63669"/>
    <s v="0000000"/>
    <s v="N/A"/>
    <s v="N/A"/>
    <s v="Midway Elementary"/>
    <x v="3"/>
    <s v="Midway Elementary"/>
    <s v="15 63669 6009781"/>
    <n v="0.55289999999999995"/>
    <n v="2"/>
    <n v="85"/>
    <n v="47"/>
    <n v="9393"/>
    <n v="3686"/>
    <n v="13079"/>
  </r>
  <r>
    <s v="15"/>
    <s v="63677"/>
    <s v="0000000"/>
    <s v="N/A"/>
    <s v="N/A"/>
    <s v="Mojave Unified"/>
    <x v="3"/>
    <s v="Mojave Elementary"/>
    <s v="15 63677 6009799"/>
    <n v="0.93479999999999996"/>
    <n v="7"/>
    <n v="3015"/>
    <n v="2685"/>
    <n v="333163"/>
    <n v="210556"/>
    <n v="543719"/>
  </r>
  <r>
    <s v="15"/>
    <s v="63685"/>
    <s v="0000000"/>
    <s v="N/A"/>
    <s v="N/A"/>
    <s v="Muroc Joint Unified"/>
    <x v="3"/>
    <s v="West Boron Elementary"/>
    <s v="15 63685 6009906"/>
    <n v="0.68620000000000003"/>
    <n v="7"/>
    <n v="1743"/>
    <n v="488"/>
    <n v="192604"/>
    <n v="38268"/>
    <n v="230872"/>
  </r>
  <r>
    <s v="15"/>
    <s v="63693"/>
    <s v="0000000"/>
    <s v="N/A"/>
    <s v="N/A"/>
    <s v="Norris Elementary"/>
    <x v="3"/>
    <s v="William B. Bimat Elementary"/>
    <s v="15 63693 6118681"/>
    <n v="0.34760000000000002"/>
    <n v="6"/>
    <n v="3892"/>
    <n v="1258"/>
    <n v="430072"/>
    <n v="98651"/>
    <n v="528723"/>
  </r>
  <r>
    <s v="15"/>
    <s v="63719"/>
    <s v="0000000"/>
    <s v="N/A"/>
    <s v="N/A"/>
    <s v="Pond Union Elementary"/>
    <x v="3"/>
    <s v="Pond Elementary"/>
    <s v="15 63719 6009963"/>
    <n v="0.9022"/>
    <n v="2"/>
    <n v="184"/>
    <n v="166"/>
    <n v="20332"/>
    <n v="13018"/>
    <n v="33350"/>
  </r>
  <r>
    <s v="15"/>
    <s v="63750"/>
    <s v="0000000"/>
    <s v="N/A"/>
    <s v="N/A"/>
    <s v="Rosedale Union Elementary"/>
    <x v="3"/>
    <s v="Rosedale-North Elementary"/>
    <s v="15 63750 6096127"/>
    <n v="0.52749999999999997"/>
    <n v="10"/>
    <n v="6121"/>
    <n v="2016"/>
    <n v="676381"/>
    <n v="158091"/>
    <n v="834472"/>
  </r>
  <r>
    <s v="15"/>
    <s v="63768"/>
    <s v="0000000"/>
    <s v="N/A"/>
    <s v="N/A"/>
    <s v="Semitropic Elementary"/>
    <x v="3"/>
    <s v="Semitropic Elementary"/>
    <s v="15 63768 6010037"/>
    <n v="0.62909999999999999"/>
    <n v="2"/>
    <n v="151"/>
    <n v="95"/>
    <n v="16686"/>
    <n v="7450"/>
    <n v="24136"/>
  </r>
  <r>
    <s v="15"/>
    <s v="63776"/>
    <s v="0000000"/>
    <s v="N/A"/>
    <s v="N/A"/>
    <s v="Southern Kern Unified"/>
    <x v="3"/>
    <s v="Rosamond Elementary"/>
    <s v="15 63776 6010045"/>
    <n v="0.94189999999999996"/>
    <n v="7"/>
    <n v="3687"/>
    <n v="3096"/>
    <n v="407419"/>
    <n v="242784"/>
    <n v="650203"/>
  </r>
  <r>
    <s v="15"/>
    <s v="63784"/>
    <s v="0000000"/>
    <s v="N/A"/>
    <s v="N/A"/>
    <s v="South Fork Union"/>
    <x v="3"/>
    <s v="South Fork Elementary"/>
    <s v="15 63784 6010060"/>
    <n v="0.70930000000000004"/>
    <n v="2"/>
    <n v="346"/>
    <n v="245"/>
    <n v="38234"/>
    <n v="19213"/>
    <n v="57447"/>
  </r>
  <r>
    <s v="15"/>
    <s v="63792"/>
    <s v="0000000"/>
    <s v="N/A"/>
    <s v="N/A"/>
    <s v="Standard Elementary"/>
    <x v="3"/>
    <s v="Standard Elementary"/>
    <s v="15 63792 6010086"/>
    <n v="0.95650000000000002"/>
    <n v="5"/>
    <n v="3074"/>
    <n v="2733"/>
    <n v="339682"/>
    <n v="214319"/>
    <n v="554001"/>
  </r>
  <r>
    <s v="15"/>
    <s v="63800"/>
    <s v="0000000"/>
    <s v="N/A"/>
    <s v="N/A"/>
    <s v="Taft City"/>
    <x v="3"/>
    <s v="Jefferson Elementary"/>
    <s v="15 63800 6010128"/>
    <n v="0.98350000000000004"/>
    <n v="7"/>
    <n v="2424"/>
    <n v="2162"/>
    <n v="267857"/>
    <n v="169542"/>
    <n v="437399"/>
  </r>
  <r>
    <s v="15"/>
    <s v="63818"/>
    <s v="0000000"/>
    <s v="N/A"/>
    <s v="N/A"/>
    <s v="Taft Union High"/>
    <x v="3"/>
    <s v="Di Giorgio Elementary"/>
    <s v="15 63420 6009419"/>
    <n v="1"/>
    <n v="3"/>
    <n v="1186"/>
    <n v="727"/>
    <n v="131055"/>
    <n v="57010"/>
    <n v="188065"/>
  </r>
  <r>
    <s v="15"/>
    <s v="63826"/>
    <s v="0000000"/>
    <s v="N/A"/>
    <s v="N/A"/>
    <s v="Tehachapi Unified"/>
    <x v="3"/>
    <s v="Tompkins Elementary"/>
    <s v="15 63826 6010201"/>
    <n v="0.43459999999999999"/>
    <n v="8"/>
    <n v="4187"/>
    <n v="1445"/>
    <n v="462671"/>
    <n v="113316"/>
    <n v="575987"/>
  </r>
  <r>
    <s v="15"/>
    <s v="63834"/>
    <s v="0000000"/>
    <s v="N/A"/>
    <s v="N/A"/>
    <s v="Vineland Elementary"/>
    <x v="3"/>
    <s v="Vineland Elementary"/>
    <s v="15 63834 6010235"/>
    <n v="1"/>
    <n v="3"/>
    <n v="678"/>
    <n v="678"/>
    <n v="74920"/>
    <n v="53168"/>
    <n v="128088"/>
  </r>
  <r>
    <s v="15"/>
    <s v="63842"/>
    <s v="0000000"/>
    <s v="N/A"/>
    <s v="N/A"/>
    <s v="Wasco Union Elementary"/>
    <x v="3"/>
    <s v="Karl F. Clemens Elementary"/>
    <s v="15 63842 6010243"/>
    <n v="0.95420000000000005"/>
    <n v="7"/>
    <n v="3445"/>
    <n v="3188"/>
    <n v="380678"/>
    <n v="250000"/>
    <n v="630678"/>
  </r>
  <r>
    <s v="15"/>
    <s v="63859"/>
    <s v="0000000"/>
    <s v="N/A"/>
    <s v="N/A"/>
    <s v="Wasco Union High"/>
    <x v="3"/>
    <s v="Di Giorgio Elementary"/>
    <s v="15 63420 6009419"/>
    <n v="1"/>
    <n v="3"/>
    <n v="1853"/>
    <n v="1612"/>
    <n v="204759"/>
    <n v="126411"/>
    <n v="331170"/>
  </r>
  <r>
    <s v="15"/>
    <s v="73544"/>
    <s v="0000000"/>
    <s v="N/A"/>
    <s v="N/A"/>
    <s v="Rio Bravo-Greeley Union Elementary"/>
    <x v="3"/>
    <s v="Rio Bravo Elementary"/>
    <s v="15 73544 6117816"/>
    <n v="0.47649999999999998"/>
    <n v="3"/>
    <n v="1018"/>
    <n v="505"/>
    <n v="112491"/>
    <n v="39602"/>
    <n v="152093"/>
  </r>
  <r>
    <s v="15"/>
    <s v="73742"/>
    <s v="0000000"/>
    <s v="N/A"/>
    <s v="N/A"/>
    <s v="Sierra Sands Unified"/>
    <x v="3"/>
    <s v="Pierce Elementary"/>
    <s v="15 73742 6009294"/>
    <n v="0.70479999999999998"/>
    <n v="12"/>
    <n v="5190"/>
    <n v="2433"/>
    <n v="573504"/>
    <n v="190792"/>
    <n v="764296"/>
  </r>
  <r>
    <s v="15"/>
    <s v="73908"/>
    <s v="0000000"/>
    <s v="N/A"/>
    <s v="N/A"/>
    <s v="McFarland Unified"/>
    <x v="3"/>
    <s v="Browning Road STEAM Academy"/>
    <s v="15 73908 6009757"/>
    <n v="0.9395"/>
    <n v="8"/>
    <n v="3417"/>
    <n v="3011"/>
    <n v="377584"/>
    <n v="236119"/>
    <n v="613703"/>
  </r>
  <r>
    <s v="15"/>
    <s v="75168"/>
    <s v="0000000"/>
    <s v="N/A"/>
    <s v="N/A"/>
    <s v="El Tejon Unified"/>
    <x v="3"/>
    <s v="Frazier Park Elementary"/>
    <s v="15 75168 6009476"/>
    <n v="0.75819999999999999"/>
    <n v="4"/>
    <n v="686"/>
    <n v="526"/>
    <n v="75804"/>
    <n v="41249"/>
    <n v="117053"/>
  </r>
  <r>
    <s v="16"/>
    <s v="10165"/>
    <s v="0000000"/>
    <s v="N/A"/>
    <s v="N/A"/>
    <s v="Kings Co. Office of Education"/>
    <x v="0"/>
    <s v="Lincoln Elementary"/>
    <s v="16 63917 6010417"/>
    <n v="0.96230000000000004"/>
    <n v="4"/>
    <n v="573"/>
    <n v="440"/>
    <n v="63318"/>
    <n v="34504"/>
    <n v="97822"/>
  </r>
  <r>
    <s v="16"/>
    <s v="63875"/>
    <s v="0000000"/>
    <s v="N/A"/>
    <s v="N/A"/>
    <s v="Armona Union Elementary"/>
    <x v="3"/>
    <s v="Armona Elementary"/>
    <s v="16 63875 6010276"/>
    <n v="0.877"/>
    <n v="3"/>
    <n v="982"/>
    <n v="864"/>
    <n v="108512"/>
    <n v="67754"/>
    <n v="176266"/>
  </r>
  <r>
    <s v="16"/>
    <s v="63875"/>
    <s v="0101717"/>
    <s v="0571"/>
    <s v="L"/>
    <s v="Crossroads Charter"/>
    <x v="1"/>
    <s v="Crossroads Charter"/>
    <s v="16 63875 0101717"/>
    <n v="0.78849999999999998"/>
    <n v="1"/>
    <n v="156"/>
    <n v="123"/>
    <n v="17238"/>
    <n v="9646"/>
    <n v="26884"/>
  </r>
  <r>
    <s v="16"/>
    <s v="63875"/>
    <s v="0112698"/>
    <s v="0840"/>
    <s v="D"/>
    <s v="California Virtual Academy @ Kings"/>
    <x v="1"/>
    <s v="California Virtual Academy @ Kings"/>
    <s v="16 63875 0112698"/>
    <n v="0.71120000000000005"/>
    <n v="1"/>
    <n v="547"/>
    <n v="389"/>
    <n v="60444"/>
    <n v="30505"/>
    <n v="90949"/>
  </r>
  <r>
    <s v="16"/>
    <s v="63883"/>
    <s v="0000000"/>
    <s v="N/A"/>
    <s v="N/A"/>
    <s v="Central Union Elementary"/>
    <x v="3"/>
    <s v="Stratford Elementary"/>
    <s v="16 63883 6010326"/>
    <n v="0.84750000000000003"/>
    <n v="5"/>
    <n v="1674"/>
    <n v="746"/>
    <n v="184980"/>
    <n v="58501"/>
    <n v="243481"/>
  </r>
  <r>
    <s v="16"/>
    <s v="63891"/>
    <s v="0000000"/>
    <s v="N/A"/>
    <s v="N/A"/>
    <s v="Corcoran Joint Unified"/>
    <x v="3"/>
    <s v="Bret Harte Elementary"/>
    <s v="16 63891 6010334"/>
    <n v="0.9284"/>
    <n v="9"/>
    <n v="3344"/>
    <n v="2939"/>
    <n v="369518"/>
    <n v="230473"/>
    <n v="599991"/>
  </r>
  <r>
    <s v="16"/>
    <s v="63917"/>
    <s v="0000000"/>
    <s v="N/A"/>
    <s v="N/A"/>
    <s v="Hanford Elementary"/>
    <x v="3"/>
    <s v="Lincoln Elementary"/>
    <s v="16 63917 6010417"/>
    <n v="0.96230000000000004"/>
    <n v="13"/>
    <n v="5526"/>
    <n v="4324"/>
    <n v="610632"/>
    <n v="339083"/>
    <n v="949715"/>
  </r>
  <r>
    <s v="16"/>
    <s v="63925"/>
    <s v="0000000"/>
    <s v="N/A"/>
    <s v="N/A"/>
    <s v="Hanford Joint Union High"/>
    <x v="3"/>
    <s v="Lincoln Elementary"/>
    <s v="16 63917 6010417"/>
    <n v="0.96230000000000004"/>
    <n v="6"/>
    <n v="4071"/>
    <n v="2999"/>
    <n v="449853"/>
    <n v="235178"/>
    <n v="685031"/>
  </r>
  <r>
    <s v="16"/>
    <s v="63925"/>
    <s v="0137901"/>
    <s v="1997"/>
    <s v="L"/>
    <s v="Hanford Online Charter"/>
    <x v="1"/>
    <s v="Lincoln Elementary"/>
    <s v="16 63917 6010417"/>
    <n v="0.96230000000000004"/>
    <n v="1"/>
    <n v="166"/>
    <n v="113"/>
    <n v="18343"/>
    <n v="8861"/>
    <n v="27204"/>
  </r>
  <r>
    <s v="16"/>
    <s v="63933"/>
    <s v="0000000"/>
    <s v="N/A"/>
    <s v="N/A"/>
    <s v="Island Union Elementary"/>
    <x v="3"/>
    <s v="Island Elementary"/>
    <s v="16 63933 6010466"/>
    <n v="0.42859999999999998"/>
    <n v="2"/>
    <n v="392"/>
    <n v="168"/>
    <n v="43317"/>
    <n v="13174"/>
    <n v="56491"/>
  </r>
  <r>
    <s v="16"/>
    <s v="63941"/>
    <s v="0000000"/>
    <s v="N/A"/>
    <s v="N/A"/>
    <s v="Kings River-Hardwick Union Elementary"/>
    <x v="3"/>
    <s v="Kings River-Hardwick Elementary"/>
    <s v="16 63941 6010474"/>
    <n v="0.30009999999999998"/>
    <n v="2"/>
    <n v="823"/>
    <n v="247"/>
    <n v="90943"/>
    <n v="19369"/>
    <n v="110312"/>
  </r>
  <r>
    <s v="16"/>
    <s v="63958"/>
    <s v="0000000"/>
    <s v="N/A"/>
    <s v="N/A"/>
    <s v="Kit Carson Union Elementary"/>
    <x v="3"/>
    <s v="Kit Carson Elementary"/>
    <s v="16 63958 6010482"/>
    <n v="0.746"/>
    <n v="2"/>
    <n v="378"/>
    <n v="282"/>
    <n v="41770"/>
    <n v="22114"/>
    <n v="63884"/>
  </r>
  <r>
    <s v="16"/>
    <s v="63958"/>
    <s v="0136556"/>
    <s v="1896"/>
    <s v="D"/>
    <s v="Kings Valley Academy II"/>
    <x v="1"/>
    <s v="Kings Valley Academy II"/>
    <s v="16 63958 0136556"/>
    <n v="0.89080000000000004"/>
    <n v="1"/>
    <n v="1044"/>
    <n v="930"/>
    <n v="115364"/>
    <n v="72930"/>
    <n v="188294"/>
  </r>
  <r>
    <s v="16"/>
    <s v="63958"/>
    <s v="6113120"/>
    <s v="0088"/>
    <s v="L"/>
    <s v="Mid Valley Alternative Charter"/>
    <x v="1"/>
    <s v="Mid Valley Alternative Charter"/>
    <s v="16 63958 6113120"/>
    <n v="0.75"/>
    <n v="1"/>
    <n v="56"/>
    <n v="42"/>
    <n v="6188"/>
    <n v="3294"/>
    <n v="9482"/>
  </r>
  <r>
    <s v="16"/>
    <s v="63966"/>
    <s v="0000000"/>
    <s v="N/A"/>
    <s v="N/A"/>
    <s v="Lakeside Union Elementary"/>
    <x v="3"/>
    <s v="Lakeside Elementary"/>
    <s v="16 63966 6010508"/>
    <n v="0.92859999999999998"/>
    <n v="2"/>
    <n v="238"/>
    <n v="221"/>
    <n v="26299"/>
    <n v="17331"/>
    <n v="43630"/>
  </r>
  <r>
    <s v="16"/>
    <s v="63974"/>
    <s v="0000000"/>
    <s v="N/A"/>
    <s v="N/A"/>
    <s v="Lemoore Union Elementary"/>
    <x v="3"/>
    <s v="Cinnamon Elementary"/>
    <s v="16 63974 6118590"/>
    <n v="0.80379999999999996"/>
    <n v="8"/>
    <n v="3093"/>
    <n v="2403"/>
    <n v="341781"/>
    <n v="188439"/>
    <n v="530220"/>
  </r>
  <r>
    <s v="16"/>
    <s v="63974"/>
    <s v="0100156"/>
    <s v="0489"/>
    <s v="L"/>
    <s v="Lemoore University Elementary Charter"/>
    <x v="1"/>
    <s v="Lincoln Elementary"/>
    <s v="16 63917 6010417"/>
    <n v="0.96230000000000004"/>
    <n v="1"/>
    <n v="136"/>
    <n v="86"/>
    <n v="15028"/>
    <n v="6744"/>
    <n v="21772"/>
  </r>
  <r>
    <s v="16"/>
    <s v="63982"/>
    <s v="0000000"/>
    <s v="N/A"/>
    <s v="N/A"/>
    <s v="Lemoore Union High"/>
    <x v="3"/>
    <s v="Lincoln Elementary"/>
    <s v="16 63917 6010417"/>
    <n v="0.96230000000000004"/>
    <n v="3"/>
    <n v="1946"/>
    <n v="1023"/>
    <n v="215037"/>
    <n v="80223"/>
    <n v="295260"/>
  </r>
  <r>
    <s v="16"/>
    <s v="63982"/>
    <s v="0110205"/>
    <s v="1068"/>
    <s v="D"/>
    <s v="Lemoore Middle College High"/>
    <x v="1"/>
    <s v="Lincoln Elementary"/>
    <s v="16 63917 6010417"/>
    <n v="0.96230000000000004"/>
    <n v="1"/>
    <n v="237"/>
    <n v="70"/>
    <n v="26189"/>
    <n v="5489"/>
    <n v="31678"/>
  </r>
  <r>
    <s v="16"/>
    <s v="63982"/>
    <s v="0136234"/>
    <s v="1877"/>
    <s v="D"/>
    <s v="Lemoore Online College Preparatory High"/>
    <x v="1"/>
    <s v="Lincoln Elementary"/>
    <s v="16 63917 6010417"/>
    <n v="0.96230000000000004"/>
    <n v="1"/>
    <n v="162"/>
    <n v="78"/>
    <n v="17901"/>
    <n v="6117"/>
    <n v="24018"/>
  </r>
  <r>
    <s v="16"/>
    <s v="63990"/>
    <s v="0000000"/>
    <s v="N/A"/>
    <s v="N/A"/>
    <s v="Pioneer Union Elementary"/>
    <x v="3"/>
    <s v="Pioneer Elementary"/>
    <s v="16 63990 6010557"/>
    <n v="0.49"/>
    <n v="4"/>
    <n v="1573"/>
    <n v="717"/>
    <n v="173819"/>
    <n v="56227"/>
    <n v="230046"/>
  </r>
  <r>
    <s v="16"/>
    <s v="73932"/>
    <s v="0000000"/>
    <s v="N/A"/>
    <s v="N/A"/>
    <s v="Reef-Sunset Unified"/>
    <x v="3"/>
    <s v="Tamarack Elementary"/>
    <s v="16 73932 6118566"/>
    <n v="0.95250000000000001"/>
    <n v="10"/>
    <n v="2763"/>
    <n v="2518"/>
    <n v="305317"/>
    <n v="197457"/>
    <n v="502774"/>
  </r>
  <r>
    <s v="17"/>
    <s v="10173"/>
    <s v="0000000"/>
    <s v="N/A"/>
    <s v="N/A"/>
    <s v="Lake Co. Office of Education"/>
    <x v="0"/>
    <s v="Burns Valley"/>
    <s v="17 64022 6010615"/>
    <n v="0.89339999999999997"/>
    <n v="4"/>
    <n v="287"/>
    <n v="255"/>
    <n v="31714"/>
    <n v="19997"/>
    <n v="51711"/>
  </r>
  <r>
    <s v="17"/>
    <s v="64014"/>
    <s v="0000000"/>
    <s v="N/A"/>
    <s v="N/A"/>
    <s v="Kelseyville Unified"/>
    <x v="3"/>
    <s v="Kelseyville Elementary"/>
    <s v="17 64014 6010607"/>
    <n v="0.79290000000000005"/>
    <n v="8"/>
    <n v="1845"/>
    <n v="1293"/>
    <n v="203876"/>
    <n v="101396"/>
    <n v="305272"/>
  </r>
  <r>
    <s v="17"/>
    <s v="64014"/>
    <s v="0141382"/>
    <s v="2125"/>
    <s v="D"/>
    <s v="Shade Canyon"/>
    <x v="1"/>
    <s v="Shade Canyon"/>
    <s v="17 64014 0141382"/>
    <n v="0"/>
    <n v="1"/>
    <n v="0"/>
    <n v="0"/>
    <n v="0"/>
    <n v="0"/>
    <n v="0"/>
  </r>
  <r>
    <s v="17"/>
    <s v="64022"/>
    <s v="0000000"/>
    <s v="N/A"/>
    <s v="N/A"/>
    <s v="Konocti Unified"/>
    <x v="3"/>
    <s v="Burns Valley"/>
    <s v="17 64022 6010615"/>
    <n v="0.89339999999999997"/>
    <n v="12"/>
    <n v="3527"/>
    <n v="2926"/>
    <n v="389739"/>
    <n v="229456"/>
    <n v="619195"/>
  </r>
  <r>
    <s v="17"/>
    <s v="64030"/>
    <s v="0000000"/>
    <s v="N/A"/>
    <s v="N/A"/>
    <s v="Lakeport Unified"/>
    <x v="3"/>
    <s v="Lakeport Elementary"/>
    <s v="17 64030 6010631"/>
    <n v="0.65739999999999998"/>
    <n v="7"/>
    <n v="1349"/>
    <n v="873"/>
    <n v="149068"/>
    <n v="68460"/>
    <n v="217528"/>
  </r>
  <r>
    <s v="17"/>
    <s v="64048"/>
    <s v="0000000"/>
    <s v="N/A"/>
    <s v="N/A"/>
    <s v="Lucerne Elementary"/>
    <x v="3"/>
    <s v="Lucerne Elementary"/>
    <s v="17 64048 6010656"/>
    <n v="0.78600000000000003"/>
    <n v="2"/>
    <n v="299"/>
    <n v="235"/>
    <n v="33040"/>
    <n v="18428"/>
    <n v="51468"/>
  </r>
  <r>
    <s v="17"/>
    <s v="64055"/>
    <s v="0000000"/>
    <s v="N/A"/>
    <s v="N/A"/>
    <s v="Middletown Unified"/>
    <x v="3"/>
    <s v="Minnie Cannon Elementary"/>
    <s v="17 64055 6010672"/>
    <n v="0.66479999999999995"/>
    <n v="7"/>
    <n v="1448"/>
    <n v="684"/>
    <n v="160007"/>
    <n v="53638"/>
    <n v="213645"/>
  </r>
  <r>
    <s v="17"/>
    <s v="64055"/>
    <s v="0108340"/>
    <s v="0681"/>
    <s v="D"/>
    <s v="Lake County International Charter"/>
    <x v="1"/>
    <s v="Lake County International Charter"/>
    <s v="17 64055 0108340"/>
    <n v="0.70669999999999999"/>
    <n v="1"/>
    <n v="75"/>
    <n v="53"/>
    <n v="8288"/>
    <n v="4156"/>
    <n v="12444"/>
  </r>
  <r>
    <s v="17"/>
    <s v="64055"/>
    <s v="0129601"/>
    <s v="1653"/>
    <s v="D"/>
    <s v="California Connections Academy @ North Bay"/>
    <x v="1"/>
    <s v="California Connections Academy @ North Bay"/>
    <s v="17 64055 0129601"/>
    <n v="0.59740000000000004"/>
    <n v="1"/>
    <n v="154"/>
    <n v="92"/>
    <n v="17017"/>
    <n v="7215"/>
    <n v="24232"/>
  </r>
  <r>
    <s v="17"/>
    <s v="76976"/>
    <s v="0000000"/>
    <s v="N/A"/>
    <s v="N/A"/>
    <s v="Upper Lake Unified"/>
    <x v="3"/>
    <s v="Upper Lake Elementary"/>
    <s v="17 76976 6010680"/>
    <n v="0.84660000000000002"/>
    <n v="6"/>
    <n v="893"/>
    <n v="754"/>
    <n v="98678"/>
    <n v="59127"/>
    <n v="157805"/>
  </r>
  <r>
    <s v="18"/>
    <s v="10181"/>
    <s v="0000000"/>
    <s v="N/A"/>
    <s v="N/A"/>
    <s v="Lassen Co. Office of Education"/>
    <x v="0"/>
    <s v="Juniper Ridge Elementary"/>
    <s v="18 64162 6010789"/>
    <n v="1"/>
    <n v="4"/>
    <n v="59"/>
    <n v="49"/>
    <n v="6520"/>
    <n v="3843"/>
    <n v="10363"/>
  </r>
  <r>
    <s v="18"/>
    <s v="64089"/>
    <s v="0000000"/>
    <s v="N/A"/>
    <s v="N/A"/>
    <s v="Big Valley Joint Unified"/>
    <x v="3"/>
    <s v="Big Valley Elementary"/>
    <s v="18 64089 6010698"/>
    <n v="0.70830000000000004"/>
    <n v="3"/>
    <n v="132"/>
    <n v="87"/>
    <n v="14586"/>
    <n v="6822"/>
    <n v="21408"/>
  </r>
  <r>
    <s v="18"/>
    <s v="64105"/>
    <s v="0000000"/>
    <s v="N/A"/>
    <s v="N/A"/>
    <s v="Janesville Union Elementary"/>
    <x v="3"/>
    <s v="Janesville Elementary"/>
    <s v="18 64105 6010730"/>
    <n v="0.41589999999999999"/>
    <n v="2"/>
    <n v="315"/>
    <n v="131"/>
    <n v="34808"/>
    <n v="10273"/>
    <n v="45081"/>
  </r>
  <r>
    <s v="18"/>
    <s v="64113"/>
    <s v="0000000"/>
    <s v="N/A"/>
    <s v="N/A"/>
    <s v="Johnstonville Elementary"/>
    <x v="3"/>
    <s v="Johnstonville Elementary"/>
    <s v="18 64113 6010748"/>
    <n v="0.57069999999999999"/>
    <n v="2"/>
    <n v="198"/>
    <n v="113"/>
    <n v="21879"/>
    <n v="8861"/>
    <n v="30740"/>
  </r>
  <r>
    <s v="18"/>
    <s v="64139"/>
    <s v="0000000"/>
    <s v="N/A"/>
    <s v="N/A"/>
    <s v="Lassen Union High"/>
    <x v="3"/>
    <s v="Juniper Ridge Elementary"/>
    <s v="18 64162 6010789"/>
    <n v="1"/>
    <n v="4"/>
    <n v="864"/>
    <n v="304"/>
    <n v="95473"/>
    <n v="23839"/>
    <n v="119312"/>
  </r>
  <r>
    <s v="18"/>
    <s v="64162"/>
    <s v="0000000"/>
    <s v="N/A"/>
    <s v="N/A"/>
    <s v="Ravendale-Termo Elementary"/>
    <x v="3"/>
    <s v="Juniper Ridge Elementary"/>
    <s v="18 64162 6010789"/>
    <n v="1"/>
    <n v="2"/>
    <n v="9"/>
    <n v="9"/>
    <n v="995"/>
    <n v="706"/>
    <n v="1701"/>
  </r>
  <r>
    <s v="18"/>
    <s v="64170"/>
    <s v="0000000"/>
    <s v="N/A"/>
    <s v="N/A"/>
    <s v="Richmond Elementary"/>
    <x v="3"/>
    <s v="Richmond Elementary"/>
    <s v="18 64170 6010797"/>
    <n v="0.1832"/>
    <n v="2"/>
    <n v="191"/>
    <n v="35"/>
    <n v="21106"/>
    <n v="2745"/>
    <n v="23851"/>
  </r>
  <r>
    <s v="18"/>
    <s v="64188"/>
    <s v="0000000"/>
    <s v="N/A"/>
    <s v="N/A"/>
    <s v="Shaffer Union Elementary"/>
    <x v="3"/>
    <s v="Shaffer Elementary"/>
    <s v="18 64188 6010805"/>
    <n v="0.56520000000000004"/>
    <n v="2"/>
    <n v="207"/>
    <n v="117"/>
    <n v="22874"/>
    <n v="9175"/>
    <n v="32049"/>
  </r>
  <r>
    <s v="18"/>
    <s v="64196"/>
    <s v="0000000"/>
    <s v="N/A"/>
    <s v="N/A"/>
    <s v="Susanville Elementary"/>
    <x v="3"/>
    <s v="Meadow View"/>
    <s v="18 64196 6109748"/>
    <n v="0.65239999999999998"/>
    <n v="4"/>
    <n v="1044"/>
    <n v="672"/>
    <n v="115364"/>
    <n v="52698"/>
    <n v="168062"/>
  </r>
  <r>
    <s v="18"/>
    <s v="64196"/>
    <s v="0135756"/>
    <s v="2066"/>
    <s v="D"/>
    <s v="Thompson Peak Charter"/>
    <x v="1"/>
    <s v="Thompson Peak Charter"/>
    <s v="18 64196 0135756"/>
    <n v="0.60840000000000005"/>
    <n v="1"/>
    <n v="143"/>
    <n v="87"/>
    <n v="15802"/>
    <n v="6822"/>
    <n v="22624"/>
  </r>
  <r>
    <s v="18"/>
    <s v="64204"/>
    <s v="0000000"/>
    <s v="N/A"/>
    <s v="N/A"/>
    <s v="Westwood Unified"/>
    <x v="3"/>
    <s v="Fletcher Walker Elementary"/>
    <s v="18 64204 6010847"/>
    <n v="0.79779999999999995"/>
    <n v="3"/>
    <n v="174"/>
    <n v="130"/>
    <n v="19228"/>
    <n v="10195"/>
    <n v="29423"/>
  </r>
  <r>
    <s v="18"/>
    <s v="75036"/>
    <s v="0000000"/>
    <s v="N/A"/>
    <s v="N/A"/>
    <s v="Fort Sage Unified"/>
    <x v="3"/>
    <s v="Sierra Primary"/>
    <s v="18 75036 6096341"/>
    <n v="0.8478"/>
    <n v="4"/>
    <n v="101"/>
    <n v="85"/>
    <n v="11161"/>
    <n v="6666"/>
    <n v="17827"/>
  </r>
  <r>
    <s v="18"/>
    <s v="75036"/>
    <s v="0121657"/>
    <s v="1185"/>
    <s v="L"/>
    <s v="Mt. Lassen Charter"/>
    <x v="1"/>
    <s v="Mt. Lassen Charter"/>
    <s v="18 75036 0121657"/>
    <n v="0.63270000000000004"/>
    <n v="1"/>
    <n v="147"/>
    <n v="93"/>
    <n v="16244"/>
    <n v="7293"/>
    <n v="23537"/>
  </r>
  <r>
    <s v="18"/>
    <s v="75036"/>
    <s v="6010763"/>
    <s v="2067"/>
    <s v="D"/>
    <s v="Long Valley"/>
    <x v="1"/>
    <s v="Long Valley"/>
    <s v="18 75036 6010763"/>
    <n v="0.62929999999999997"/>
    <n v="1"/>
    <n v="232"/>
    <n v="146"/>
    <n v="25636"/>
    <n v="11449"/>
    <n v="37085"/>
  </r>
  <r>
    <s v="19"/>
    <s v="10199"/>
    <s v="0000000"/>
    <s v="N/A"/>
    <s v="N/A"/>
    <s v="Los Angeles Co. Office of Education"/>
    <x v="0"/>
    <s v="Magnolia Avenue Elementary"/>
    <s v="19 64733 6017990"/>
    <n v="1"/>
    <n v="11"/>
    <n v="2602"/>
    <n v="1761"/>
    <n v="287524"/>
    <n v="138095"/>
    <n v="425619"/>
  </r>
  <r>
    <s v="19"/>
    <s v="10199"/>
    <s v="0100776"/>
    <s v="0540"/>
    <s v="D"/>
    <s v="North Valley Military Institute College Preparatory Academy"/>
    <x v="1"/>
    <s v="North Valley Military Institute College Preparatory Academy"/>
    <s v="19 10199 0100776"/>
    <n v="0"/>
    <n v="1"/>
    <n v="0"/>
    <n v="0"/>
    <n v="0"/>
    <n v="0"/>
    <n v="0"/>
  </r>
  <r>
    <s v="19"/>
    <s v="10199"/>
    <s v="0106880"/>
    <s v="0663"/>
    <s v="D"/>
    <s v="Jardin de la Infancia"/>
    <x v="1"/>
    <s v="Jardin de la Infancia"/>
    <s v="19 10199 0106880"/>
    <n v="1"/>
    <n v="1"/>
    <n v="14"/>
    <n v="14"/>
    <n v="1547"/>
    <n v="1098"/>
    <n v="2645"/>
  </r>
  <r>
    <s v="19"/>
    <s v="10199"/>
    <s v="0109660"/>
    <s v="0694"/>
    <s v="D"/>
    <s v="Aspire Antonio Maria Lugo Academy"/>
    <x v="1"/>
    <s v="Aspire Antonio Maria Lugo Academy"/>
    <s v="19 10199 0109660"/>
    <n v="0.80289999999999995"/>
    <n v="1"/>
    <n v="421"/>
    <n v="338"/>
    <n v="46521"/>
    <n v="26506"/>
    <n v="73027"/>
  </r>
  <r>
    <s v="19"/>
    <s v="10199"/>
    <s v="0112128"/>
    <s v="0693"/>
    <s v="D"/>
    <s v="Aspire Ollin University Preparatory Academy"/>
    <x v="1"/>
    <s v="Aspire Ollin University Preparatory Academy"/>
    <s v="19 10199 0112128"/>
    <n v="0.89049999999999996"/>
    <n v="1"/>
    <n v="557"/>
    <n v="496"/>
    <n v="61549"/>
    <n v="38896"/>
    <n v="100445"/>
  </r>
  <r>
    <s v="19"/>
    <s v="10199"/>
    <s v="0115030"/>
    <s v="0917"/>
    <s v="D"/>
    <s v="Magnolia Science Academy 3"/>
    <x v="1"/>
    <s v="Magnolia Science Academy 3"/>
    <s v="19 10199 0115030"/>
    <n v="0.6623"/>
    <n v="1"/>
    <n v="379"/>
    <n v="251"/>
    <n v="41880"/>
    <n v="19683"/>
    <n v="61563"/>
  </r>
  <r>
    <s v="19"/>
    <s v="10199"/>
    <s v="0115212"/>
    <s v="0906"/>
    <s v="D"/>
    <s v="Magnolia Science Academy 2"/>
    <x v="1"/>
    <s v="Magnolia Science Academy 2"/>
    <s v="19 10199 0115212"/>
    <n v="0.84540000000000004"/>
    <n v="1"/>
    <n v="511"/>
    <n v="432"/>
    <n v="56466"/>
    <n v="33877"/>
    <n v="90343"/>
  </r>
  <r>
    <s v="19"/>
    <s v="10199"/>
    <s v="0121772"/>
    <s v="1204"/>
    <s v="D"/>
    <s v="Environmental Charter Middle"/>
    <x v="1"/>
    <s v="Magnolia Avenue Elementary"/>
    <s v="19 64733 6017990"/>
    <n v="1"/>
    <n v="1"/>
    <n v="349"/>
    <n v="324"/>
    <n v="38565"/>
    <n v="25408"/>
    <n v="63973"/>
  </r>
  <r>
    <s v="19"/>
    <s v="10199"/>
    <s v="0127498"/>
    <s v="1501"/>
    <s v="D"/>
    <s v="Environmental Charter Middle - Inglewood"/>
    <x v="1"/>
    <s v="Magnolia Avenue Elementary"/>
    <s v="19 64733 6017990"/>
    <n v="1"/>
    <n v="1"/>
    <n v="358"/>
    <n v="325"/>
    <n v="39560"/>
    <n v="25486"/>
    <n v="65046"/>
  </r>
  <r>
    <s v="19"/>
    <s v="10199"/>
    <s v="0128025"/>
    <s v="1560"/>
    <s v="D"/>
    <s v="Lashon Academy"/>
    <x v="1"/>
    <s v="Lashon Academy"/>
    <s v="19 10199 0128025"/>
    <n v="0.48480000000000001"/>
    <n v="1"/>
    <n v="526"/>
    <n v="255"/>
    <n v="58124"/>
    <n v="19997"/>
    <n v="78121"/>
  </r>
  <r>
    <s v="19"/>
    <s v="10199"/>
    <s v="0132605"/>
    <s v="1744"/>
    <s v="D"/>
    <s v="Valiente College Preparatory Charter School"/>
    <x v="1"/>
    <s v="Magnolia Avenue Elementary"/>
    <s v="19 64733 6017990"/>
    <n v="1"/>
    <n v="1"/>
    <n v="116"/>
    <n v="114"/>
    <n v="12818"/>
    <n v="8940"/>
    <n v="21758"/>
  </r>
  <r>
    <s v="19"/>
    <s v="10199"/>
    <s v="0134346"/>
    <s v="1814"/>
    <s v="D"/>
    <s v="Intellectual Virtues Academy"/>
    <x v="1"/>
    <s v="Magnolia Avenue Elementary"/>
    <s v="19 64733 6017990"/>
    <n v="1"/>
    <n v="1"/>
    <n v="95"/>
    <n v="55"/>
    <n v="10498"/>
    <n v="4313"/>
    <n v="14811"/>
  </r>
  <r>
    <s v="19"/>
    <s v="10199"/>
    <s v="0134361"/>
    <s v="1818"/>
    <s v="D"/>
    <s v="Russell Westbrook Why Not? Middle"/>
    <x v="1"/>
    <s v="Magnolia Avenue Elementary"/>
    <s v="19 64733 6017990"/>
    <n v="1"/>
    <n v="1"/>
    <n v="133"/>
    <n v="133"/>
    <n v="14697"/>
    <n v="10430"/>
    <n v="25127"/>
  </r>
  <r>
    <s v="19"/>
    <s v="10199"/>
    <s v="0135368"/>
    <s v="1859"/>
    <s v="D"/>
    <s v="Alma Fuerte Public School"/>
    <x v="1"/>
    <s v="Alma Fuerte Public School"/>
    <s v="19 10199 0135368"/>
    <n v="0.68279999999999996"/>
    <n v="1"/>
    <n v="145"/>
    <n v="99"/>
    <n v="16023"/>
    <n v="7763"/>
    <n v="23786"/>
  </r>
  <r>
    <s v="19"/>
    <s v="10199"/>
    <s v="0135582"/>
    <s v="1817"/>
    <s v="D"/>
    <s v="Russell Westbrook Why Not? High"/>
    <x v="1"/>
    <s v="Magnolia Avenue Elementary"/>
    <s v="19 64733 6017990"/>
    <n v="1"/>
    <n v="1"/>
    <n v="224"/>
    <n v="193"/>
    <n v="24752"/>
    <n v="15135"/>
    <n v="39887"/>
  </r>
  <r>
    <s v="19"/>
    <s v="10199"/>
    <s v="0136119"/>
    <s v="1874"/>
    <s v="D"/>
    <s v="Animo City of Champions Charter High"/>
    <x v="1"/>
    <s v="Magnolia Avenue Elementary"/>
    <s v="19 64733 6017990"/>
    <n v="1"/>
    <n v="1"/>
    <n v="315"/>
    <n v="279"/>
    <n v="34808"/>
    <n v="21879"/>
    <n v="56687"/>
  </r>
  <r>
    <s v="19"/>
    <s v="10199"/>
    <s v="0137166"/>
    <s v="1931"/>
    <s v="D"/>
    <s v="Soleil Academy"/>
    <x v="1"/>
    <s v="Soleil Academy"/>
    <s v="19 10199 0137166"/>
    <n v="0.76119999999999999"/>
    <n v="1"/>
    <n v="268"/>
    <n v="204"/>
    <n v="29614"/>
    <n v="15997"/>
    <n v="45611"/>
  </r>
  <r>
    <s v="19"/>
    <s v="10199"/>
    <s v="0137679"/>
    <s v="0987"/>
    <s v="D"/>
    <s v="Magnolia Science Academy 5"/>
    <x v="1"/>
    <s v="Magnolia Science Academy 5"/>
    <s v="19 10199 0137679"/>
    <n v="0.71850000000000003"/>
    <n v="1"/>
    <n v="238"/>
    <n v="171"/>
    <n v="26299"/>
    <n v="13410"/>
    <n v="39709"/>
  </r>
  <r>
    <s v="19"/>
    <s v="10199"/>
    <s v="0138669"/>
    <s v="2017"/>
    <s v="D"/>
    <s v="Da Vinci RISE High"/>
    <x v="1"/>
    <s v="Magnolia Avenue Elementary"/>
    <s v="19 64733 6017990"/>
    <n v="1"/>
    <n v="1"/>
    <n v="187"/>
    <n v="168"/>
    <n v="20664"/>
    <n v="13174"/>
    <n v="33838"/>
  </r>
  <r>
    <s v="19"/>
    <s v="10199"/>
    <s v="0139170"/>
    <s v="2029"/>
    <s v="D"/>
    <s v="Lashon Academy City"/>
    <x v="1"/>
    <s v="Lashon Academy City"/>
    <s v="19 10199 0139170"/>
    <n v="0.58330000000000004"/>
    <n v="1"/>
    <n v="72"/>
    <n v="42"/>
    <n v="7956"/>
    <n v="3294"/>
    <n v="11250"/>
  </r>
  <r>
    <s v="19"/>
    <s v="10199"/>
    <s v="0139345"/>
    <s v="2045"/>
    <s v="D"/>
    <s v="We the People High"/>
    <x v="1"/>
    <s v="Magnolia Avenue Elementary"/>
    <s v="19 64733 6017990"/>
    <n v="1"/>
    <n v="1"/>
    <n v="38"/>
    <n v="30"/>
    <n v="4199"/>
    <n v="2353"/>
    <n v="6552"/>
  </r>
  <r>
    <s v="19"/>
    <s v="10199"/>
    <s v="0140681"/>
    <s v="2098"/>
    <s v="D"/>
    <s v="Environmental Charter High - Gardena"/>
    <x v="1"/>
    <s v="Magnolia Avenue Elementary"/>
    <s v="19 64733 6017990"/>
    <n v="1"/>
    <n v="1"/>
    <n v="221"/>
    <n v="190"/>
    <n v="24421"/>
    <n v="14900"/>
    <n v="39321"/>
  </r>
  <r>
    <s v="19"/>
    <s v="10199"/>
    <s v="0140772"/>
    <s v="2112"/>
    <s v="D"/>
    <s v="KIPP Poder Public"/>
    <x v="1"/>
    <s v="KIPP Poder Public"/>
    <s v="19 10199 0140772"/>
    <n v="0.7722"/>
    <n v="1"/>
    <n v="158"/>
    <n v="122"/>
    <n v="17459"/>
    <n v="9567"/>
    <n v="27026"/>
  </r>
  <r>
    <s v="19"/>
    <s v="10199"/>
    <s v="0140798"/>
    <s v="2114"/>
    <s v="D"/>
    <s v="Bridges Preparatory Academy"/>
    <x v="1"/>
    <s v="Magnolia Avenue Elementary"/>
    <s v="19 64733 6017990"/>
    <n v="1"/>
    <n v="1"/>
    <n v="118"/>
    <n v="73"/>
    <n v="13039"/>
    <n v="5725"/>
    <n v="18764"/>
  </r>
  <r>
    <s v="19"/>
    <s v="10199"/>
    <s v="0140962"/>
    <s v="2108"/>
    <s v="D"/>
    <s v="The SEED School of Los Angeles County"/>
    <x v="1"/>
    <s v="Magnolia Avenue Elementary"/>
    <s v="19 64733 6017990"/>
    <n v="1"/>
    <n v="1"/>
    <n v="67"/>
    <n v="44"/>
    <n v="7404"/>
    <n v="3450"/>
    <n v="10854"/>
  </r>
  <r>
    <s v="19"/>
    <s v="10199"/>
    <s v="6116883"/>
    <s v="0249"/>
    <s v="D"/>
    <s v="Odyssey Charter"/>
    <x v="1"/>
    <s v="Odyssey Charter"/>
    <s v="19 10199 6116883"/>
    <n v="0.23430000000000001"/>
    <n v="1"/>
    <n v="461"/>
    <n v="108"/>
    <n v="50941"/>
    <n v="8469"/>
    <n v="59410"/>
  </r>
  <r>
    <s v="19"/>
    <s v="10199"/>
    <s v="6119945"/>
    <s v="0438"/>
    <s v="D"/>
    <s v="Magnolia Science Academy"/>
    <x v="1"/>
    <s v="Magnolia Science Academy"/>
    <s v="19 10199 6119945"/>
    <n v="0.79110000000000003"/>
    <n v="1"/>
    <n v="694"/>
    <n v="549"/>
    <n v="76688"/>
    <n v="43052"/>
    <n v="119740"/>
  </r>
  <r>
    <s v="19"/>
    <s v="64212"/>
    <s v="0000000"/>
    <s v="N/A"/>
    <s v="N/A"/>
    <s v="ABC Unified"/>
    <x v="3"/>
    <s v="Furgeson (Venn W.) Elementary"/>
    <s v="19 64212 6010979"/>
    <n v="0.96319999999999995"/>
    <n v="32"/>
    <n v="18480"/>
    <n v="10455"/>
    <n v="2042071"/>
    <n v="819872"/>
    <n v="2861943"/>
  </r>
  <r>
    <s v="19"/>
    <s v="64246"/>
    <s v="0000000"/>
    <s v="N/A"/>
    <s v="N/A"/>
    <s v="Antelope Valley Union High"/>
    <x v="3"/>
    <s v="Magnolia Avenue Elementary"/>
    <s v="19 64733 6017990"/>
    <n v="1"/>
    <n v="13"/>
    <n v="21336"/>
    <n v="12901"/>
    <n v="2357664"/>
    <n v="1011682"/>
    <n v="3369346"/>
  </r>
  <r>
    <s v="19"/>
    <s v="64246"/>
    <s v="0126003"/>
    <s v="1415"/>
    <s v="L"/>
    <s v="Academies of the Antelope Valley"/>
    <x v="1"/>
    <s v="Academies of the Antelope Valley"/>
    <s v="19 64246 0126003"/>
    <n v="0.65410000000000001"/>
    <n v="1"/>
    <n v="665"/>
    <n v="435"/>
    <n v="73484"/>
    <n v="34112"/>
    <n v="107596"/>
  </r>
  <r>
    <s v="19"/>
    <s v="64246"/>
    <s v="0142240"/>
    <s v="2139"/>
    <s v="D"/>
    <s v="Synergy School of the Arts and Technology, Antelope Valley"/>
    <x v="1"/>
    <s v="Synergy School of the Arts and Technology, Antelope Valley"/>
    <s v="19 64246 0142240"/>
    <n v="0"/>
    <n v="1"/>
    <n v="0"/>
    <n v="0"/>
    <n v="0"/>
    <n v="0"/>
    <n v="0"/>
  </r>
  <r>
    <s v="19"/>
    <s v="64246"/>
    <s v="1996537"/>
    <s v="0411"/>
    <s v="D"/>
    <s v="Desert Sands Charter"/>
    <x v="1"/>
    <s v="Magnolia Avenue Elementary"/>
    <s v="19 64733 6017990"/>
    <n v="1"/>
    <n v="1"/>
    <n v="742"/>
    <n v="629"/>
    <n v="81992"/>
    <n v="49326"/>
    <n v="131318"/>
  </r>
  <r>
    <s v="19"/>
    <s v="64261"/>
    <s v="0000000"/>
    <s v="N/A"/>
    <s v="N/A"/>
    <s v="Arcadia Unified"/>
    <x v="3"/>
    <s v="Holly Avenue Elementary"/>
    <s v="19 64261 6011175"/>
    <n v="0.4103"/>
    <n v="12"/>
    <n v="8864"/>
    <n v="2795"/>
    <n v="979487"/>
    <n v="219182"/>
    <n v="1198669"/>
  </r>
  <r>
    <s v="19"/>
    <s v="64279"/>
    <s v="0000000"/>
    <s v="N/A"/>
    <s v="N/A"/>
    <s v="Azusa Unified"/>
    <x v="3"/>
    <s v="Clifford D. Murray Elementary"/>
    <s v="19 64279 6011241"/>
    <n v="0.89219999999999999"/>
    <n v="12"/>
    <n v="5569"/>
    <n v="4823"/>
    <n v="615386"/>
    <n v="378215"/>
    <n v="993601"/>
  </r>
  <r>
    <s v="19"/>
    <s v="64287"/>
    <s v="0000000"/>
    <s v="N/A"/>
    <s v="N/A"/>
    <s v="Baldwin Park Unified"/>
    <x v="3"/>
    <s v="Central Elementary"/>
    <s v="19 64287 6011381"/>
    <n v="0.93330000000000002"/>
    <n v="18"/>
    <n v="10419"/>
    <n v="9147"/>
    <n v="1151317"/>
    <n v="717298"/>
    <n v="1868615"/>
  </r>
  <r>
    <s v="19"/>
    <s v="64287"/>
    <s v="1996479"/>
    <s v="0402"/>
    <s v="D"/>
    <s v="Opportunities for Learning - Baldwin Park"/>
    <x v="1"/>
    <s v="Magnolia Avenue Elementary"/>
    <s v="19 64733 6017990"/>
    <n v="1"/>
    <n v="1"/>
    <n v="480"/>
    <n v="383"/>
    <n v="53041"/>
    <n v="30034"/>
    <n v="83075"/>
  </r>
  <r>
    <s v="19"/>
    <s v="64295"/>
    <s v="0000000"/>
    <s v="N/A"/>
    <s v="N/A"/>
    <s v="Bassett Unified"/>
    <x v="3"/>
    <s v="Don Julian Elementary"/>
    <s v="19 64295 6011530"/>
    <n v="0.93659999999999999"/>
    <n v="8"/>
    <n v="3023"/>
    <n v="2733"/>
    <n v="334047"/>
    <n v="214320"/>
    <n v="548367"/>
  </r>
  <r>
    <s v="19"/>
    <s v="64303"/>
    <s v="0000000"/>
    <s v="N/A"/>
    <s v="N/A"/>
    <s v="Bellflower Unified"/>
    <x v="3"/>
    <s v="Frank E. Woodruff Elementary"/>
    <s v="19 64303 6011647"/>
    <n v="0.90259999999999996"/>
    <n v="16"/>
    <n v="10295"/>
    <n v="7939"/>
    <n v="1137612"/>
    <n v="622570"/>
    <n v="1760182"/>
  </r>
  <r>
    <s v="19"/>
    <s v="64311"/>
    <s v="0000000"/>
    <s v="N/A"/>
    <s v="N/A"/>
    <s v="Beverly Hills Unified"/>
    <x v="3"/>
    <s v="Horace Mann Elementary"/>
    <s v="19 64311 6011779"/>
    <n v="0.17699999999999999"/>
    <n v="7"/>
    <n v="3151"/>
    <n v="515"/>
    <n v="348191"/>
    <n v="40386"/>
    <n v="388577"/>
  </r>
  <r>
    <s v="19"/>
    <s v="64329"/>
    <s v="0000000"/>
    <s v="N/A"/>
    <s v="N/A"/>
    <s v="Bonita Unified"/>
    <x v="3"/>
    <s v="Fred Ekstrand Elementary"/>
    <s v="19 64329 6011803"/>
    <n v="0.51319999999999999"/>
    <n v="16"/>
    <n v="9970"/>
    <n v="3383"/>
    <n v="1101703"/>
    <n v="265291"/>
    <n v="1366994"/>
  </r>
  <r>
    <s v="19"/>
    <s v="64337"/>
    <s v="0000000"/>
    <s v="N/A"/>
    <s v="N/A"/>
    <s v="Burbank Unified"/>
    <x v="3"/>
    <s v="George Washington Elementary"/>
    <s v="19 64337 6012025"/>
    <n v="0.5"/>
    <n v="22"/>
    <n v="14494"/>
    <n v="4448"/>
    <n v="1601612"/>
    <n v="348810"/>
    <n v="1950422"/>
  </r>
  <r>
    <s v="19"/>
    <s v="64345"/>
    <s v="0000000"/>
    <s v="N/A"/>
    <s v="N/A"/>
    <s v="Castaic Union"/>
    <x v="3"/>
    <s v="Northlake Hills Elementary"/>
    <s v="19 64345 0101600"/>
    <n v="0.58120000000000005"/>
    <n v="6"/>
    <n v="1959"/>
    <n v="981"/>
    <n v="216473"/>
    <n v="76929"/>
    <n v="293402"/>
  </r>
  <r>
    <s v="19"/>
    <s v="64352"/>
    <s v="0000000"/>
    <s v="N/A"/>
    <s v="N/A"/>
    <s v="Centinela Valley Union High"/>
    <x v="3"/>
    <s v="Magnolia Avenue Elementary"/>
    <s v="19 64733 6017990"/>
    <n v="1"/>
    <n v="6"/>
    <n v="5874"/>
    <n v="4327"/>
    <n v="649087"/>
    <n v="339320"/>
    <n v="988407"/>
  </r>
  <r>
    <s v="19"/>
    <s v="64352"/>
    <s v="0128488"/>
    <s v="1558"/>
    <s v="D"/>
    <s v="Family First Charter"/>
    <x v="1"/>
    <s v="Magnolia Avenue Elementary"/>
    <s v="19 64733 6017990"/>
    <n v="1"/>
    <n v="1"/>
    <n v="461"/>
    <n v="26"/>
    <n v="50941"/>
    <n v="2039"/>
    <n v="52980"/>
  </r>
  <r>
    <s v="19"/>
    <s v="64352"/>
    <s v="0128496"/>
    <s v="1557"/>
    <s v="D"/>
    <s v="New Opportunities Charter"/>
    <x v="1"/>
    <s v="Magnolia Avenue Elementary"/>
    <s v="19 64733 6017990"/>
    <n v="1"/>
    <n v="1"/>
    <n v="348"/>
    <n v="15"/>
    <n v="38455"/>
    <n v="1176"/>
    <n v="39631"/>
  </r>
  <r>
    <s v="19"/>
    <s v="64378"/>
    <s v="0000000"/>
    <s v="N/A"/>
    <s v="N/A"/>
    <s v="Charter Oak Unified"/>
    <x v="3"/>
    <s v="Cedargrove Elementary"/>
    <s v="19 64378 6012066"/>
    <n v="0.67320000000000002"/>
    <n v="11"/>
    <n v="4305"/>
    <n v="2642"/>
    <n v="475711"/>
    <n v="207181"/>
    <n v="682892"/>
  </r>
  <r>
    <s v="19"/>
    <s v="64394"/>
    <s v="0000000"/>
    <s v="N/A"/>
    <s v="N/A"/>
    <s v="Claremont Unified"/>
    <x v="3"/>
    <s v="Vista del Valle Elementary"/>
    <s v="19 64394 6012223"/>
    <n v="0.5"/>
    <n v="12"/>
    <n v="6461"/>
    <n v="2131"/>
    <n v="713953"/>
    <n v="167110"/>
    <n v="881063"/>
  </r>
  <r>
    <s v="19"/>
    <s v="64436"/>
    <s v="0000000"/>
    <s v="N/A"/>
    <s v="N/A"/>
    <s v="Covina-Valley Unified"/>
    <x v="3"/>
    <s v="Merwin Elementary"/>
    <s v="19 64436 6012553"/>
    <n v="0.78290000000000004"/>
    <n v="19"/>
    <n v="11290"/>
    <n v="7382"/>
    <n v="1247563"/>
    <n v="578887"/>
    <n v="1826450"/>
  </r>
  <r>
    <s v="19"/>
    <s v="64444"/>
    <s v="0000000"/>
    <s v="N/A"/>
    <s v="N/A"/>
    <s v="Culver City Unified"/>
    <x v="3"/>
    <s v="La Ballona Elementary"/>
    <s v="19 64444 6012702"/>
    <n v="0.53169999999999995"/>
    <n v="10"/>
    <n v="6900"/>
    <n v="2554"/>
    <n v="762461"/>
    <n v="200282"/>
    <n v="962743"/>
  </r>
  <r>
    <s v="19"/>
    <s v="64451"/>
    <s v="0000000"/>
    <s v="N/A"/>
    <s v="N/A"/>
    <s v="Downey Unified"/>
    <x v="3"/>
    <s v="Gauldin (A.L.) Elementary"/>
    <s v="19 64451 6012736"/>
    <n v="0.80759999999999998"/>
    <n v="23"/>
    <n v="22455"/>
    <n v="15728"/>
    <n v="2481315"/>
    <n v="1233375"/>
    <n v="3714690"/>
  </r>
  <r>
    <s v="19"/>
    <s v="64469"/>
    <s v="0000000"/>
    <s v="N/A"/>
    <s v="N/A"/>
    <s v="Duarte Unified"/>
    <x v="3"/>
    <s v="Maxwell Academy (PK-8)"/>
    <s v="19 64469 6012934"/>
    <n v="0.71499999999999997"/>
    <n v="7"/>
    <n v="3188"/>
    <n v="1772"/>
    <n v="352279"/>
    <n v="138959"/>
    <n v="491238"/>
  </r>
  <r>
    <s v="19"/>
    <s v="64469"/>
    <s v="0128736"/>
    <s v="1599"/>
    <s v="D"/>
    <s v="Opportunities for Learning - Duarte"/>
    <x v="1"/>
    <s v="Opportunities for Learning - Duarte"/>
    <s v="19 64469 0128736"/>
    <n v="0.625"/>
    <n v="1"/>
    <n v="88"/>
    <n v="55"/>
    <n v="9724"/>
    <n v="4313"/>
    <n v="14037"/>
  </r>
  <r>
    <s v="19"/>
    <s v="64469"/>
    <s v="0134858"/>
    <s v="1838"/>
    <s v="D"/>
    <s v="California School of the Arts - San Gabriel Valley"/>
    <x v="1"/>
    <s v="Magnolia Avenue Elementary"/>
    <s v="19 64733 6017990"/>
    <n v="1"/>
    <n v="1"/>
    <n v="945"/>
    <n v="184"/>
    <n v="104424"/>
    <n v="14429"/>
    <n v="118853"/>
  </r>
  <r>
    <s v="19"/>
    <s v="64469"/>
    <s v="0139535"/>
    <s v="2060"/>
    <s v="D"/>
    <s v="Options For Youth - Duarte, Inc"/>
    <x v="1"/>
    <s v="Magnolia Avenue Elementary"/>
    <s v="19 64733 6017990"/>
    <n v="1"/>
    <n v="1"/>
    <n v="2354"/>
    <n v="2057"/>
    <n v="260121"/>
    <n v="161308"/>
    <n v="421429"/>
  </r>
  <r>
    <s v="19"/>
    <s v="64477"/>
    <s v="0000000"/>
    <s v="N/A"/>
    <s v="N/A"/>
    <s v="Eastside Union Elementary"/>
    <x v="3"/>
    <s v="Columbia Elementary"/>
    <s v="19 64477 6106421"/>
    <n v="0.93789999999999996"/>
    <n v="7"/>
    <n v="3143"/>
    <n v="2829"/>
    <n v="347308"/>
    <n v="221847"/>
    <n v="569155"/>
  </r>
  <r>
    <s v="19"/>
    <s v="64485"/>
    <s v="0000000"/>
    <s v="N/A"/>
    <s v="N/A"/>
    <s v="East Whittier City Elementary"/>
    <x v="3"/>
    <s v="Evergreen Elementary"/>
    <s v="19 64485 6013007"/>
    <n v="0.871"/>
    <n v="14"/>
    <n v="7802"/>
    <n v="4431"/>
    <n v="862134"/>
    <n v="347474"/>
    <n v="1209608"/>
  </r>
  <r>
    <s v="19"/>
    <s v="64501"/>
    <s v="0000000"/>
    <s v="N/A"/>
    <s v="N/A"/>
    <s v="El Monte City"/>
    <x v="3"/>
    <s v="Potrero Elementary"/>
    <s v="19 64501 6013247"/>
    <n v="0.95379999999999998"/>
    <n v="16"/>
    <n v="7359"/>
    <n v="6214"/>
    <n v="813183"/>
    <n v="487295"/>
    <n v="1300478"/>
  </r>
  <r>
    <s v="19"/>
    <s v="64519"/>
    <s v="0000000"/>
    <s v="N/A"/>
    <s v="N/A"/>
    <s v="El Monte Union High"/>
    <x v="3"/>
    <s v="Magnolia Avenue Elementary"/>
    <s v="19 64733 6017990"/>
    <n v="1"/>
    <n v="8"/>
    <n v="7860"/>
    <n v="6797"/>
    <n v="868543"/>
    <n v="533013"/>
    <n v="1401556"/>
  </r>
  <r>
    <s v="19"/>
    <s v="64527"/>
    <s v="0000000"/>
    <s v="N/A"/>
    <s v="N/A"/>
    <s v="El Rancho Unified"/>
    <x v="3"/>
    <s v="North Ranchito Elementary"/>
    <s v="19 64527 6013353"/>
    <n v="0.85560000000000003"/>
    <n v="15"/>
    <n v="7537"/>
    <n v="5948"/>
    <n v="832852"/>
    <n v="466436"/>
    <n v="1299288"/>
  </r>
  <r>
    <s v="19"/>
    <s v="64535"/>
    <s v="0000000"/>
    <s v="N/A"/>
    <s v="N/A"/>
    <s v="El Segundo Unified"/>
    <x v="3"/>
    <s v="Center Street Elementary"/>
    <s v="19 64535 6013429"/>
    <n v="9.4399999999999998E-2"/>
    <n v="6"/>
    <n v="3532"/>
    <n v="375"/>
    <n v="390292"/>
    <n v="29408"/>
    <n v="419700"/>
  </r>
  <r>
    <s v="19"/>
    <s v="64550"/>
    <s v="0000000"/>
    <s v="N/A"/>
    <s v="N/A"/>
    <s v="Garvey Elementary"/>
    <x v="3"/>
    <s v="Duff Language Magnet Academy"/>
    <s v="19 64550 0138172"/>
    <n v="0.83489999999999998"/>
    <n v="13"/>
    <n v="4405"/>
    <n v="3034"/>
    <n v="486760"/>
    <n v="237922"/>
    <n v="724682"/>
  </r>
  <r>
    <s v="19"/>
    <s v="64568"/>
    <s v="0000000"/>
    <s v="N/A"/>
    <s v="N/A"/>
    <s v="Glendale Unified"/>
    <x v="3"/>
    <s v="Horace Mann Elementary"/>
    <s v="19 64568 6013767"/>
    <n v="0.75780000000000003"/>
    <n v="35"/>
    <n v="24802"/>
    <n v="11352"/>
    <n v="2740661"/>
    <n v="890213"/>
    <n v="3630874"/>
  </r>
  <r>
    <s v="19"/>
    <s v="64576"/>
    <s v="0000000"/>
    <s v="N/A"/>
    <s v="N/A"/>
    <s v="Glendora Unified"/>
    <x v="3"/>
    <s v="Stanton Elementary"/>
    <s v="19 64576 6013916"/>
    <n v="0.6532"/>
    <n v="11"/>
    <n v="6552"/>
    <n v="2786"/>
    <n v="724006"/>
    <n v="218476"/>
    <n v="942482"/>
  </r>
  <r>
    <s v="19"/>
    <s v="64584"/>
    <s v="0000000"/>
    <s v="N/A"/>
    <s v="N/A"/>
    <s v="Gorman Joint"/>
    <x v="3"/>
    <s v="Gorman Elementary"/>
    <s v="19 64584 6013940"/>
    <n v="0.63859999999999995"/>
    <n v="2"/>
    <n v="83"/>
    <n v="53"/>
    <n v="9172"/>
    <n v="4156"/>
    <n v="13328"/>
  </r>
  <r>
    <s v="19"/>
    <s v="64584"/>
    <s v="1996305"/>
    <s v="0285"/>
    <s v="D"/>
    <s v="Gorman Learning Center"/>
    <x v="1"/>
    <s v="Gorman Learning Center"/>
    <s v="19 64584 1996305"/>
    <n v="0.38300000000000001"/>
    <n v="1"/>
    <n v="1188"/>
    <n v="455"/>
    <n v="131276"/>
    <n v="35681"/>
    <n v="166957"/>
  </r>
  <r>
    <s v="19"/>
    <s v="64592"/>
    <s v="0000000"/>
    <s v="N/A"/>
    <s v="N/A"/>
    <s v="Hawthorne"/>
    <x v="3"/>
    <s v="Kornblum"/>
    <s v="19 64592 6117246"/>
    <n v="0.74180000000000001"/>
    <n v="11"/>
    <n v="6729"/>
    <n v="4296"/>
    <n v="743564"/>
    <n v="336888"/>
    <n v="1080452"/>
  </r>
  <r>
    <s v="19"/>
    <s v="64592"/>
    <s v="0100354"/>
    <s v="0523"/>
    <s v="L"/>
    <s v="Hawthorne Math and Science Academy"/>
    <x v="1"/>
    <s v="Magnolia Avenue Elementary"/>
    <s v="19 64733 6017990"/>
    <n v="1"/>
    <n v="1"/>
    <n v="534"/>
    <n v="266"/>
    <n v="59008"/>
    <n v="20859"/>
    <n v="79867"/>
  </r>
  <r>
    <s v="19"/>
    <s v="64600"/>
    <s v="0000000"/>
    <s v="N/A"/>
    <s v="N/A"/>
    <s v="Hermosa Beach City Elementary"/>
    <x v="3"/>
    <s v="Hermosa View Elementary"/>
    <s v="19 64600 6014047"/>
    <n v="7.4899999999999994E-2"/>
    <n v="4"/>
    <n v="1279"/>
    <n v="92"/>
    <n v="141331"/>
    <n v="7214"/>
    <n v="148545"/>
  </r>
  <r>
    <s v="19"/>
    <s v="64626"/>
    <s v="0000000"/>
    <s v="N/A"/>
    <s v="N/A"/>
    <s v="Hughes-Elizabeth Lakes Union Elementary"/>
    <x v="3"/>
    <s v="Hughes-Elizabeth Lakes"/>
    <s v="19 64626 6014427"/>
    <n v="0.35370000000000001"/>
    <n v="2"/>
    <n v="158"/>
    <n v="53"/>
    <n v="17460"/>
    <n v="4156"/>
    <n v="21616"/>
  </r>
  <r>
    <s v="19"/>
    <s v="64634"/>
    <s v="0000000"/>
    <s v="N/A"/>
    <s v="N/A"/>
    <s v="Inglewood Unified"/>
    <x v="3"/>
    <s v="Worthington TK-6 Elementary"/>
    <s v="19 64634 6014443"/>
    <n v="0.89849999999999997"/>
    <n v="15"/>
    <n v="6582"/>
    <n v="5264"/>
    <n v="727322"/>
    <n v="412797"/>
    <n v="1140119"/>
  </r>
  <r>
    <s v="19"/>
    <s v="64634"/>
    <s v="0101667"/>
    <s v="0582"/>
    <s v="D"/>
    <s v="Wilder's Preparatory Academy Charter"/>
    <x v="1"/>
    <s v="Wilder's Preparatory Academy Charter"/>
    <s v="19 64634 0101667"/>
    <n v="0.62119999999999997"/>
    <n v="1"/>
    <n v="396"/>
    <n v="246"/>
    <n v="43759"/>
    <n v="19291"/>
    <n v="63050"/>
  </r>
  <r>
    <s v="19"/>
    <s v="64634"/>
    <s v="0116822"/>
    <s v="0977"/>
    <s v="D"/>
    <s v="Wilder's Preparatory Academy Charter Middle"/>
    <x v="1"/>
    <s v="Magnolia Avenue Elementary"/>
    <s v="19 64733 6017990"/>
    <n v="1"/>
    <n v="1"/>
    <n v="195"/>
    <n v="86"/>
    <n v="21548"/>
    <n v="6744"/>
    <n v="28292"/>
  </r>
  <r>
    <s v="19"/>
    <s v="64634"/>
    <s v="0120303"/>
    <s v="1121"/>
    <s v="D"/>
    <s v="ICEF Inglewood Elementary Charter Academy"/>
    <x v="1"/>
    <s v="ICEF Inglewood Elementary Charter Academy"/>
    <s v="19 64634 0120303"/>
    <n v="0.96"/>
    <n v="1"/>
    <n v="375"/>
    <n v="360"/>
    <n v="41438"/>
    <n v="28231"/>
    <n v="69669"/>
  </r>
  <r>
    <s v="19"/>
    <s v="64634"/>
    <s v="0128991"/>
    <s v="1612"/>
    <s v="D"/>
    <s v="Grace Hopper STEM Academy"/>
    <x v="1"/>
    <s v="Magnolia Avenue Elementary"/>
    <s v="19 64733 6017990"/>
    <n v="1"/>
    <n v="1"/>
    <n v="70"/>
    <n v="69"/>
    <n v="7735"/>
    <n v="5411"/>
    <n v="13146"/>
  </r>
  <r>
    <s v="19"/>
    <s v="64634"/>
    <s v="1996529"/>
    <s v="2075"/>
    <s v="L"/>
    <s v="City Honors International Preparatory High"/>
    <x v="1"/>
    <s v="Magnolia Avenue Elementary"/>
    <s v="19 64733 6017990"/>
    <n v="1"/>
    <n v="1"/>
    <n v="289"/>
    <n v="260"/>
    <n v="31935"/>
    <n v="20389"/>
    <n v="52324"/>
  </r>
  <r>
    <s v="19"/>
    <s v="64634"/>
    <s v="1996586"/>
    <s v="0432"/>
    <s v="D"/>
    <s v="Animo Inglewood Charter High"/>
    <x v="1"/>
    <s v="Magnolia Avenue Elementary"/>
    <s v="19 64733 6017990"/>
    <n v="1"/>
    <n v="1"/>
    <n v="621"/>
    <n v="574"/>
    <n v="68622"/>
    <n v="45012"/>
    <n v="113634"/>
  </r>
  <r>
    <s v="19"/>
    <s v="64634"/>
    <s v="6014518"/>
    <s v="1591"/>
    <s v="L"/>
    <s v="La Tijera K-8 Academy of Excellence Charter"/>
    <x v="1"/>
    <s v="La Tijera K-8 Academy of Excellence Charter"/>
    <s v="19 64634 6014518"/>
    <n v="0.70530000000000004"/>
    <n v="1"/>
    <n v="604"/>
    <n v="426"/>
    <n v="66743"/>
    <n v="33406"/>
    <n v="100149"/>
  </r>
  <r>
    <s v="19"/>
    <s v="64642"/>
    <s v="0000000"/>
    <s v="N/A"/>
    <s v="N/A"/>
    <s v="Keppel Union Elementary"/>
    <x v="3"/>
    <s v="Antelope Elementary"/>
    <s v="19 64642 6014609"/>
    <n v="0.85399999999999998"/>
    <n v="8"/>
    <n v="2704"/>
    <n v="2122"/>
    <n v="298796"/>
    <n v="166406"/>
    <n v="465202"/>
  </r>
  <r>
    <s v="19"/>
    <s v="64642"/>
    <s v="0136127"/>
    <s v="1886"/>
    <s v="D"/>
    <s v="Sage Oak Charter School- Keppel"/>
    <x v="1"/>
    <s v="Sage Oak Charter School- Keppel"/>
    <s v="19 64642 0136127"/>
    <n v="0.43940000000000001"/>
    <n v="1"/>
    <n v="437"/>
    <n v="192"/>
    <n v="48289"/>
    <n v="15056"/>
    <n v="63345"/>
  </r>
  <r>
    <s v="19"/>
    <s v="64659"/>
    <s v="0000000"/>
    <s v="N/A"/>
    <s v="N/A"/>
    <s v="La Canada Unified"/>
    <x v="3"/>
    <s v="La Canada Elementary"/>
    <s v="19 64659 6014633"/>
    <n v="5.79E-2"/>
    <n v="5"/>
    <n v="3892"/>
    <n v="199"/>
    <n v="430073"/>
    <n v="15605"/>
    <n v="445678"/>
  </r>
  <r>
    <s v="19"/>
    <s v="64667"/>
    <s v="0000000"/>
    <s v="N/A"/>
    <s v="N/A"/>
    <s v="Lancaster Elementary"/>
    <x v="3"/>
    <s v="El Dorado Elementary"/>
    <s v="19 64667 6014682"/>
    <n v="0.95630000000000004"/>
    <n v="25"/>
    <n v="14614"/>
    <n v="13220"/>
    <n v="1614873"/>
    <n v="1036698"/>
    <n v="2651571"/>
  </r>
  <r>
    <s v="19"/>
    <s v="64667"/>
    <s v="0123174"/>
    <s v="1225"/>
    <s v="D"/>
    <s v="Life Source International Charter"/>
    <x v="1"/>
    <s v="Life Source International Charter"/>
    <s v="19 64667 0123174"/>
    <n v="0.71740000000000004"/>
    <n v="1"/>
    <n v="276"/>
    <n v="198"/>
    <n v="30498"/>
    <n v="15527"/>
    <n v="46025"/>
  </r>
  <r>
    <s v="19"/>
    <s v="64667"/>
    <s v="0125559"/>
    <s v="1376"/>
    <s v="D"/>
    <s v="iLEAD Lancaster Charter"/>
    <x v="1"/>
    <s v="iLEAD Lancaster Charter"/>
    <s v="19 64667 0125559"/>
    <n v="0.74219999999999997"/>
    <n v="1"/>
    <n v="741"/>
    <n v="550"/>
    <n v="81882"/>
    <n v="43130"/>
    <n v="125012"/>
  </r>
  <r>
    <s v="19"/>
    <s v="64683"/>
    <s v="0000000"/>
    <s v="N/A"/>
    <s v="N/A"/>
    <s v="Las Virgenes Unified"/>
    <x v="3"/>
    <s v="Sumac Elementary"/>
    <s v="19 64683 6093025"/>
    <n v="0.3861"/>
    <n v="18"/>
    <n v="9760"/>
    <n v="2332"/>
    <n v="1078496"/>
    <n v="182874"/>
    <n v="1261370"/>
  </r>
  <r>
    <s v="19"/>
    <s v="64691"/>
    <s v="0000000"/>
    <s v="N/A"/>
    <s v="N/A"/>
    <s v="Lawndale Elementary"/>
    <x v="3"/>
    <s v="William Anderson Elementary"/>
    <s v="19 64691 6014831"/>
    <n v="0.90149999999999997"/>
    <n v="10"/>
    <n v="4808"/>
    <n v="3823"/>
    <n v="531291"/>
    <n v="299796"/>
    <n v="831087"/>
  </r>
  <r>
    <s v="19"/>
    <s v="64691"/>
    <s v="1996438"/>
    <s v="0353"/>
    <s v="D"/>
    <s v="Environmental Charter High - Lawndale"/>
    <x v="1"/>
    <s v="Magnolia Avenue Elementary"/>
    <s v="19 64733 6017990"/>
    <n v="1"/>
    <n v="1"/>
    <n v="502"/>
    <n v="391"/>
    <n v="55472"/>
    <n v="30662"/>
    <n v="86134"/>
  </r>
  <r>
    <s v="19"/>
    <s v="64709"/>
    <s v="0000000"/>
    <s v="N/A"/>
    <s v="N/A"/>
    <s v="Lennox"/>
    <x v="3"/>
    <s v="Moffett Elementary"/>
    <s v="19 64709 6014971"/>
    <n v="0.92889999999999995"/>
    <n v="7"/>
    <n v="4519"/>
    <n v="4156"/>
    <n v="499357"/>
    <n v="325909"/>
    <n v="825266"/>
  </r>
  <r>
    <s v="19"/>
    <s v="64709"/>
    <s v="0100602"/>
    <s v="0509"/>
    <s v="D"/>
    <s v="Lennox Mathematics, Science and Technology Academy"/>
    <x v="1"/>
    <s v="Magnolia Avenue Elementary"/>
    <s v="19 64733 6017990"/>
    <n v="1"/>
    <n v="1"/>
    <n v="583"/>
    <n v="503"/>
    <n v="64422"/>
    <n v="39445"/>
    <n v="103867"/>
  </r>
  <r>
    <s v="19"/>
    <s v="64709"/>
    <s v="0107508"/>
    <s v="0672"/>
    <s v="D"/>
    <s v="Century Community Charter"/>
    <x v="1"/>
    <s v="Magnolia Avenue Elementary"/>
    <s v="19 64733 6017990"/>
    <n v="1"/>
    <n v="1"/>
    <n v="452"/>
    <n v="375"/>
    <n v="49947"/>
    <n v="29407"/>
    <n v="79354"/>
  </r>
  <r>
    <s v="19"/>
    <s v="64709"/>
    <s v="1996313"/>
    <s v="0281"/>
    <s v="D"/>
    <s v="Animo Leadership High"/>
    <x v="1"/>
    <s v="Magnolia Avenue Elementary"/>
    <s v="19 64733 6017990"/>
    <n v="1"/>
    <n v="1"/>
    <n v="655"/>
    <n v="611"/>
    <n v="72379"/>
    <n v="47914"/>
    <n v="120293"/>
  </r>
  <r>
    <s v="19"/>
    <s v="64717"/>
    <s v="0000000"/>
    <s v="N/A"/>
    <s v="N/A"/>
    <s v="Little Lake City Elementary"/>
    <x v="3"/>
    <s v="Cresson Elementary"/>
    <s v="19 64717 6014997"/>
    <n v="0.84809999999999997"/>
    <n v="10"/>
    <n v="3818"/>
    <n v="2727"/>
    <n v="421897"/>
    <n v="213851"/>
    <n v="635748"/>
  </r>
  <r>
    <s v="19"/>
    <s v="64725"/>
    <s v="0000000"/>
    <s v="N/A"/>
    <s v="N/A"/>
    <s v="Long Beach Unified"/>
    <x v="3"/>
    <s v="Robinson Academy"/>
    <s v="19 64725 6112056"/>
    <n v="0.75860000000000005"/>
    <n v="85"/>
    <n v="66584"/>
    <n v="35601"/>
    <n v="7357640"/>
    <n v="2791793"/>
    <n v="10149433"/>
  </r>
  <r>
    <s v="19"/>
    <s v="64725"/>
    <s v="0127506"/>
    <s v="1504"/>
    <s v="D"/>
    <s v="Intellectual Virtues Academy of Long Beach"/>
    <x v="1"/>
    <s v="Magnolia Avenue Elementary"/>
    <s v="19 64733 6017990"/>
    <n v="1"/>
    <n v="1"/>
    <n v="233"/>
    <n v="63"/>
    <n v="25747"/>
    <n v="4940"/>
    <n v="30687"/>
  </r>
  <r>
    <s v="19"/>
    <s v="64725"/>
    <s v="0131938"/>
    <s v="1682"/>
    <s v="D"/>
    <s v="Clear Passage Educational Center"/>
    <x v="1"/>
    <s v="Magnolia Avenue Elementary"/>
    <s v="19 64733 6017990"/>
    <n v="1"/>
    <n v="1"/>
    <n v="39"/>
    <n v="35"/>
    <n v="4310"/>
    <n v="2745"/>
    <n v="7055"/>
  </r>
  <r>
    <s v="19"/>
    <s v="64733"/>
    <s v="0000000"/>
    <s v="N/A"/>
    <s v="N/A"/>
    <s v="Los Angeles Unified"/>
    <x v="3"/>
    <s v="Magnolia Avenue Elementary"/>
    <s v="19 64733 6017990"/>
    <n v="1"/>
    <n v="735"/>
    <n v="399465"/>
    <n v="343005"/>
    <n v="44141547"/>
    <n v="26898106"/>
    <n v="71039653"/>
  </r>
  <r>
    <s v="19"/>
    <s v="64733"/>
    <s v="0100289"/>
    <s v="0521"/>
    <s v="D"/>
    <s v="N.E.W. Academy of Science and Arts"/>
    <x v="1"/>
    <s v="N.E.W. Academy of Science and Arts"/>
    <s v="19 64733 0100289"/>
    <n v="0.99750000000000005"/>
    <n v="1"/>
    <n v="408"/>
    <n v="407"/>
    <n v="45085"/>
    <n v="31917"/>
    <n v="77002"/>
  </r>
  <r>
    <s v="19"/>
    <s v="64733"/>
    <s v="0100669"/>
    <s v="0535"/>
    <s v="D"/>
    <s v="Stella Middle Charter Academy"/>
    <x v="1"/>
    <s v="Magnolia Avenue Elementary"/>
    <s v="19 64733 6017990"/>
    <n v="1"/>
    <n v="1"/>
    <n v="479"/>
    <n v="460"/>
    <n v="52930"/>
    <n v="36073"/>
    <n v="89003"/>
  </r>
  <r>
    <s v="19"/>
    <s v="64733"/>
    <s v="0100677"/>
    <s v="0537"/>
    <s v="D"/>
    <s v="High Tech LA"/>
    <x v="1"/>
    <s v="Magnolia Avenue Elementary"/>
    <s v="19 64733 6017990"/>
    <n v="1"/>
    <n v="1"/>
    <n v="359"/>
    <n v="172"/>
    <n v="39670"/>
    <n v="13488"/>
    <n v="53158"/>
  </r>
  <r>
    <s v="19"/>
    <s v="64733"/>
    <s v="0100743"/>
    <s v="0539"/>
    <s v="D"/>
    <s v="Accelerated Charter Elementary"/>
    <x v="1"/>
    <s v="Accelerated Charter Elementary"/>
    <s v="19 64733 0100743"/>
    <n v="0.96599999999999997"/>
    <n v="1"/>
    <n v="500"/>
    <n v="483"/>
    <n v="55251"/>
    <n v="37876"/>
    <n v="93127"/>
  </r>
  <r>
    <s v="19"/>
    <s v="64733"/>
    <s v="0100750"/>
    <s v="0538"/>
    <s v="D"/>
    <s v="Wallis Annenberg High"/>
    <x v="1"/>
    <s v="Magnolia Avenue Elementary"/>
    <s v="19 64733 6017990"/>
    <n v="1"/>
    <n v="1"/>
    <n v="464"/>
    <n v="338"/>
    <n v="51273"/>
    <n v="26506"/>
    <n v="77779"/>
  </r>
  <r>
    <s v="19"/>
    <s v="64733"/>
    <s v="0100800"/>
    <s v="0534"/>
    <s v="D"/>
    <s v="Central City Value"/>
    <x v="1"/>
    <s v="Magnolia Avenue Elementary"/>
    <s v="19 64733 6017990"/>
    <n v="1"/>
    <n v="1"/>
    <n v="481"/>
    <n v="408"/>
    <n v="53151"/>
    <n v="31995"/>
    <n v="85146"/>
  </r>
  <r>
    <s v="19"/>
    <s v="64733"/>
    <s v="0100867"/>
    <s v="0531"/>
    <s v="D"/>
    <s v="KIPP Los Angeles College Preparatory"/>
    <x v="1"/>
    <s v="Magnolia Avenue Elementary"/>
    <s v="19 64733 6017990"/>
    <n v="1"/>
    <n v="1"/>
    <n v="513"/>
    <n v="458"/>
    <n v="56687"/>
    <n v="35916"/>
    <n v="92603"/>
  </r>
  <r>
    <s v="19"/>
    <s v="64733"/>
    <s v="0101196"/>
    <s v="0543"/>
    <s v="D"/>
    <s v="ICEF View Park Preparatory Charter High"/>
    <x v="1"/>
    <s v="Magnolia Avenue Elementary"/>
    <s v="19 64733 6017990"/>
    <n v="1"/>
    <n v="1"/>
    <n v="375"/>
    <n v="368"/>
    <n v="41438"/>
    <n v="28858"/>
    <n v="70296"/>
  </r>
  <r>
    <s v="19"/>
    <s v="64733"/>
    <s v="0101444"/>
    <s v="0530"/>
    <s v="D"/>
    <s v="KIPP Academy of Opportunity"/>
    <x v="1"/>
    <s v="Magnolia Avenue Elementary"/>
    <s v="19 64733 6017990"/>
    <n v="1"/>
    <n v="1"/>
    <n v="472"/>
    <n v="447"/>
    <n v="52157"/>
    <n v="35053"/>
    <n v="87210"/>
  </r>
  <r>
    <s v="19"/>
    <s v="64733"/>
    <s v="0101659"/>
    <s v="0570"/>
    <s v="D"/>
    <s v="CATCH Prep Charter High, Inc."/>
    <x v="1"/>
    <s v="Magnolia Avenue Elementary"/>
    <s v="19 64733 6017990"/>
    <n v="1"/>
    <n v="1"/>
    <n v="147"/>
    <n v="145"/>
    <n v="16244"/>
    <n v="11371"/>
    <n v="27615"/>
  </r>
  <r>
    <s v="19"/>
    <s v="64733"/>
    <s v="0101675"/>
    <s v="0581"/>
    <s v="D"/>
    <s v="Oscar De La Hoya Animo Charter High"/>
    <x v="1"/>
    <s v="Magnolia Avenue Elementary"/>
    <s v="19 64733 6017990"/>
    <n v="1"/>
    <n v="1"/>
    <n v="606"/>
    <n v="573"/>
    <n v="66964"/>
    <n v="44934"/>
    <n v="111898"/>
  </r>
  <r>
    <s v="19"/>
    <s v="64733"/>
    <s v="0101683"/>
    <s v="0579"/>
    <s v="D"/>
    <s v="Renaissance Arts Academy"/>
    <x v="1"/>
    <s v="Renaissance Arts Academy"/>
    <s v="19 64733 0101683"/>
    <n v="0.64539999999999997"/>
    <n v="1"/>
    <n v="454"/>
    <n v="293"/>
    <n v="50168"/>
    <n v="22977"/>
    <n v="73145"/>
  </r>
  <r>
    <s v="19"/>
    <s v="64733"/>
    <s v="0102335"/>
    <s v="0569"/>
    <s v="D"/>
    <s v="Ocean Charter"/>
    <x v="1"/>
    <s v="Ocean Charter"/>
    <s v="19 64733 0102335"/>
    <n v="0.16489999999999999"/>
    <n v="1"/>
    <n v="552"/>
    <n v="91"/>
    <n v="60997"/>
    <n v="7136"/>
    <n v="68133"/>
  </r>
  <r>
    <s v="19"/>
    <s v="64733"/>
    <s v="0102426"/>
    <s v="0600"/>
    <s v="D"/>
    <s v="PUC Milagro Charter"/>
    <x v="1"/>
    <s v="PUC Milagro Charter"/>
    <s v="19 64733 0102426"/>
    <n v="0.92279999999999995"/>
    <n v="1"/>
    <n v="272"/>
    <n v="251"/>
    <n v="30056"/>
    <n v="19683"/>
    <n v="49739"/>
  </r>
  <r>
    <s v="19"/>
    <s v="64733"/>
    <s v="0102434"/>
    <s v="0602"/>
    <s v="D"/>
    <s v="Animo South Los Angeles Charter"/>
    <x v="1"/>
    <s v="Magnolia Avenue Elementary"/>
    <s v="19 64733 6017990"/>
    <n v="1"/>
    <n v="1"/>
    <n v="617"/>
    <n v="598"/>
    <n v="68180"/>
    <n v="46895"/>
    <n v="115075"/>
  </r>
  <r>
    <s v="19"/>
    <s v="64733"/>
    <s v="0102442"/>
    <s v="0603"/>
    <s v="D"/>
    <s v="PUC Lakeview Charter Academy"/>
    <x v="1"/>
    <s v="Magnolia Avenue Elementary"/>
    <s v="19 64733 6017990"/>
    <n v="1"/>
    <n v="1"/>
    <n v="298"/>
    <n v="266"/>
    <n v="32929"/>
    <n v="20859"/>
    <n v="53788"/>
  </r>
  <r>
    <s v="19"/>
    <s v="64733"/>
    <s v="0102483"/>
    <s v="0592"/>
    <s v="D"/>
    <s v="N.E.W. Academy Canoga Park"/>
    <x v="1"/>
    <s v="N.E.W. Academy Canoga Park"/>
    <s v="19 64733 0102483"/>
    <n v="0.97340000000000004"/>
    <n v="1"/>
    <n v="414"/>
    <n v="403"/>
    <n v="45748"/>
    <n v="31603"/>
    <n v="77351"/>
  </r>
  <r>
    <s v="19"/>
    <s v="64733"/>
    <s v="0102491"/>
    <s v="0604"/>
    <s v="L"/>
    <s v="Dr. Theodore T. Alexander Jr. Science Center"/>
    <x v="1"/>
    <s v="Dr. Theodore T. Alexander Jr. Science Center"/>
    <s v="19 64733 0102491"/>
    <n v="0.86209999999999998"/>
    <n v="1"/>
    <n v="609"/>
    <n v="525"/>
    <n v="67296"/>
    <n v="41170"/>
    <n v="108466"/>
  </r>
  <r>
    <s v="19"/>
    <s v="64733"/>
    <s v="0102541"/>
    <s v="0601"/>
    <s v="D"/>
    <s v="New Designs Charter"/>
    <x v="1"/>
    <s v="New Designs Charter"/>
    <s v="19 64733 0102541"/>
    <n v="0.82120000000000004"/>
    <n v="1"/>
    <n v="744"/>
    <n v="611"/>
    <n v="82213"/>
    <n v="47914"/>
    <n v="130127"/>
  </r>
  <r>
    <s v="19"/>
    <s v="64733"/>
    <s v="0106351"/>
    <s v="0619"/>
    <s v="D"/>
    <s v="Ivy Academia"/>
    <x v="1"/>
    <s v="Ivy Academia"/>
    <s v="19 64733 0106351"/>
    <n v="0.77590000000000003"/>
    <n v="1"/>
    <n v="522"/>
    <n v="405"/>
    <n v="57682"/>
    <n v="31760"/>
    <n v="89442"/>
  </r>
  <r>
    <s v="19"/>
    <s v="64733"/>
    <s v="0106427"/>
    <s v="0636"/>
    <s v="D"/>
    <s v="Synergy Charter Academy"/>
    <x v="1"/>
    <s v="Synergy Charter Academy"/>
    <s v="19 64733 0106427"/>
    <n v="0.9607"/>
    <n v="1"/>
    <n v="305"/>
    <n v="293"/>
    <n v="33703"/>
    <n v="22977"/>
    <n v="56680"/>
  </r>
  <r>
    <s v="19"/>
    <s v="64733"/>
    <s v="0106831"/>
    <s v="0648"/>
    <s v="D"/>
    <s v="Animo Venice Charter High"/>
    <x v="1"/>
    <s v="Magnolia Avenue Elementary"/>
    <s v="19 64733 6017990"/>
    <n v="1"/>
    <n v="1"/>
    <n v="414"/>
    <n v="380"/>
    <n v="45748"/>
    <n v="29799"/>
    <n v="75547"/>
  </r>
  <r>
    <s v="19"/>
    <s v="64733"/>
    <s v="0106849"/>
    <s v="0649"/>
    <s v="D"/>
    <s v="Animo Pat Brown"/>
    <x v="1"/>
    <s v="Magnolia Avenue Elementary"/>
    <s v="19 64733 6017990"/>
    <n v="1"/>
    <n v="1"/>
    <n v="605"/>
    <n v="590"/>
    <n v="66853"/>
    <n v="46267"/>
    <n v="113120"/>
  </r>
  <r>
    <s v="19"/>
    <s v="64733"/>
    <s v="0106864"/>
    <s v="0645"/>
    <s v="D"/>
    <s v="Alliance Gertz-Ressler Richard Merkin 6-12 Complex"/>
    <x v="1"/>
    <s v="Alliance Gertz-Ressler Richard Merkin 6-12 Complex"/>
    <s v="19 64733 0106864"/>
    <n v="0.93989999999999996"/>
    <n v="1"/>
    <n v="998"/>
    <n v="938"/>
    <n v="110281"/>
    <n v="73557"/>
    <n v="183838"/>
  </r>
  <r>
    <s v="19"/>
    <s v="64733"/>
    <s v="0106872"/>
    <s v="0654"/>
    <s v="D"/>
    <s v="Bert Corona Charter"/>
    <x v="1"/>
    <s v="Magnolia Avenue Elementary"/>
    <s v="19 64733 6017990"/>
    <n v="1"/>
    <n v="1"/>
    <n v="337"/>
    <n v="281"/>
    <n v="37239"/>
    <n v="22036"/>
    <n v="59275"/>
  </r>
  <r>
    <s v="19"/>
    <s v="64733"/>
    <s v="0107755"/>
    <s v="0542"/>
    <s v="D"/>
    <s v="Port of Los Angeles High"/>
    <x v="1"/>
    <s v="Magnolia Avenue Elementary"/>
    <s v="19 64733 6017990"/>
    <n v="1"/>
    <n v="1"/>
    <n v="928"/>
    <n v="620"/>
    <n v="102546"/>
    <n v="48620"/>
    <n v="151166"/>
  </r>
  <r>
    <s v="19"/>
    <s v="64733"/>
    <s v="0108878"/>
    <s v="0712"/>
    <s v="D"/>
    <s v="CHAMPS - Charter HS of Arts-Multimedia &amp; Performing"/>
    <x v="1"/>
    <s v="Magnolia Avenue Elementary"/>
    <s v="19 64733 6017990"/>
    <n v="1"/>
    <n v="1"/>
    <n v="458"/>
    <n v="259"/>
    <n v="50610"/>
    <n v="20311"/>
    <n v="70921"/>
  </r>
  <r>
    <s v="19"/>
    <s v="64733"/>
    <s v="0108886"/>
    <s v="0713"/>
    <s v="D"/>
    <s v="Gabriella Charter"/>
    <x v="1"/>
    <s v="Gabriella Charter"/>
    <s v="19 64733 0108886"/>
    <n v="0.87619999999999998"/>
    <n v="1"/>
    <n v="412"/>
    <n v="361"/>
    <n v="45527"/>
    <n v="28309"/>
    <n v="73836"/>
  </r>
  <r>
    <s v="19"/>
    <s v="64733"/>
    <s v="0108894"/>
    <s v="0714"/>
    <s v="D"/>
    <s v="Alliance Judy Ivie Burton Technology Academy High"/>
    <x v="1"/>
    <s v="Magnolia Avenue Elementary"/>
    <s v="19 64733 6017990"/>
    <n v="1"/>
    <n v="1"/>
    <n v="608"/>
    <n v="596"/>
    <n v="67185"/>
    <n v="46738"/>
    <n v="113923"/>
  </r>
  <r>
    <s v="19"/>
    <s v="64733"/>
    <s v="0108910"/>
    <s v="0716"/>
    <s v="D"/>
    <s v="ISANA Nascent Academy"/>
    <x v="1"/>
    <s v="ISANA Nascent Academy"/>
    <s v="19 64733 0108910"/>
    <n v="0.90080000000000005"/>
    <n v="1"/>
    <n v="524"/>
    <n v="472"/>
    <n v="57903"/>
    <n v="37014"/>
    <n v="94917"/>
  </r>
  <r>
    <s v="19"/>
    <s v="64733"/>
    <s v="0108928"/>
    <s v="0717"/>
    <s v="D"/>
    <s v="Larchmont Charter"/>
    <x v="1"/>
    <s v="Larchmont Charter"/>
    <s v="19 64733 0108928"/>
    <n v="0.4778"/>
    <n v="1"/>
    <n v="1620"/>
    <n v="774"/>
    <n v="179013"/>
    <n v="60696"/>
    <n v="239709"/>
  </r>
  <r>
    <s v="19"/>
    <s v="64733"/>
    <s v="0108936"/>
    <s v="0718"/>
    <s v="D"/>
    <s v="Alliance Collins Family College-Ready High"/>
    <x v="1"/>
    <s v="Magnolia Avenue Elementary"/>
    <s v="19 64733 6017990"/>
    <n v="1"/>
    <n v="1"/>
    <n v="611"/>
    <n v="514"/>
    <n v="67517"/>
    <n v="40307"/>
    <n v="107824"/>
  </r>
  <r>
    <s v="19"/>
    <s v="64733"/>
    <s v="0109884"/>
    <s v="0734"/>
    <s v="D"/>
    <s v="James Jordan Middle"/>
    <x v="1"/>
    <s v="Magnolia Avenue Elementary"/>
    <s v="19 64733 6017990"/>
    <n v="1"/>
    <n v="1"/>
    <n v="449"/>
    <n v="390"/>
    <n v="49615"/>
    <n v="30583"/>
    <n v="80198"/>
  </r>
  <r>
    <s v="19"/>
    <s v="64733"/>
    <s v="0109934"/>
    <s v="0739"/>
    <s v="D"/>
    <s v="Our Community Charter"/>
    <x v="1"/>
    <s v="Our Community Charter"/>
    <s v="19 64733 0109934"/>
    <n v="0.23699999999999999"/>
    <n v="1"/>
    <n v="405"/>
    <n v="96"/>
    <n v="44753"/>
    <n v="7528"/>
    <n v="52281"/>
  </r>
  <r>
    <s v="19"/>
    <s v="64733"/>
    <s v="0110304"/>
    <s v="0675"/>
    <s v="D"/>
    <s v="Los Angeles Academy of Arts &amp; Enterprise Charter"/>
    <x v="1"/>
    <s v="Los Angeles Academy of Arts &amp; Enterprise Charter"/>
    <s v="19 64733 0110304"/>
    <n v="0.79620000000000002"/>
    <n v="1"/>
    <n v="265"/>
    <n v="211"/>
    <n v="29283"/>
    <n v="16546"/>
    <n v="45829"/>
  </r>
  <r>
    <s v="19"/>
    <s v="64733"/>
    <s v="0111211"/>
    <s v="0761"/>
    <s v="D"/>
    <s v="New Heights Charter"/>
    <x v="1"/>
    <s v="New Heights Charter"/>
    <s v="19 64733 0111211"/>
    <n v="0.90369999999999995"/>
    <n v="1"/>
    <n v="405"/>
    <n v="366"/>
    <n v="44753"/>
    <n v="28701"/>
    <n v="73454"/>
  </r>
  <r>
    <s v="19"/>
    <s v="64733"/>
    <s v="0111484"/>
    <s v="0791"/>
    <s v="D"/>
    <s v="New Village Girls Academy"/>
    <x v="1"/>
    <s v="Magnolia Avenue Elementary"/>
    <s v="19 64733 6017990"/>
    <n v="1"/>
    <n v="1"/>
    <n v="79"/>
    <n v="77"/>
    <n v="8730"/>
    <n v="6038"/>
    <n v="14768"/>
  </r>
  <r>
    <s v="19"/>
    <s v="64733"/>
    <s v="0111492"/>
    <s v="0789"/>
    <s v="D"/>
    <s v="Alliance Patti And Peter Neuwirth Leadership Academy"/>
    <x v="1"/>
    <s v="Magnolia Avenue Elementary"/>
    <s v="19 64733 6017990"/>
    <n v="1"/>
    <n v="1"/>
    <n v="614"/>
    <n v="606"/>
    <n v="67848"/>
    <n v="47522"/>
    <n v="115370"/>
  </r>
  <r>
    <s v="19"/>
    <s v="64733"/>
    <s v="0111500"/>
    <s v="0790"/>
    <s v="D"/>
    <s v="Alliance Dr. Olga Mohan High"/>
    <x v="1"/>
    <s v="Magnolia Avenue Elementary"/>
    <s v="19 64733 6017990"/>
    <n v="1"/>
    <n v="1"/>
    <n v="466"/>
    <n v="449"/>
    <n v="51494"/>
    <n v="35210"/>
    <n v="86704"/>
  </r>
  <r>
    <s v="19"/>
    <s v="64733"/>
    <s v="0111518"/>
    <s v="0779"/>
    <s v="D"/>
    <s v="Alliance Jack H. Skirball Middle"/>
    <x v="1"/>
    <s v="Magnolia Avenue Elementary"/>
    <s v="19 64733 6017990"/>
    <n v="1"/>
    <n v="1"/>
    <n v="400"/>
    <n v="393"/>
    <n v="44201"/>
    <n v="30819"/>
    <n v="75020"/>
  </r>
  <r>
    <s v="19"/>
    <s v="64733"/>
    <s v="0111575"/>
    <s v="0781"/>
    <s v="D"/>
    <s v="Animo Ralph Bunche Charter High"/>
    <x v="1"/>
    <s v="Magnolia Avenue Elementary"/>
    <s v="19 64733 6017990"/>
    <n v="1"/>
    <n v="1"/>
    <n v="622"/>
    <n v="609"/>
    <n v="68732"/>
    <n v="47757"/>
    <n v="116489"/>
  </r>
  <r>
    <s v="19"/>
    <s v="64733"/>
    <s v="0111583"/>
    <s v="0793"/>
    <s v="D"/>
    <s v="Animo Jackie Robinson High"/>
    <x v="1"/>
    <s v="Magnolia Avenue Elementary"/>
    <s v="19 64733 6017990"/>
    <n v="1"/>
    <n v="1"/>
    <n v="604"/>
    <n v="582"/>
    <n v="66743"/>
    <n v="45640"/>
    <n v="112383"/>
  </r>
  <r>
    <s v="19"/>
    <s v="64733"/>
    <s v="0111625"/>
    <s v="0783"/>
    <s v="D"/>
    <s v="Animo Watts College Preparatory Academy"/>
    <x v="1"/>
    <s v="Magnolia Avenue Elementary"/>
    <s v="19 64733 6017990"/>
    <n v="1"/>
    <n v="1"/>
    <n v="572"/>
    <n v="547"/>
    <n v="63207"/>
    <n v="42895"/>
    <n v="106102"/>
  </r>
  <r>
    <s v="19"/>
    <s v="64733"/>
    <s v="0111641"/>
    <s v="0784"/>
    <s v="D"/>
    <s v="Alliance Ouchi-O' Donovan 6-12 Complex"/>
    <x v="1"/>
    <s v="Alliance Ouchi-O' Donovan 6-12 Complex"/>
    <s v="19 64733 0111641"/>
    <n v="0.97640000000000005"/>
    <n v="1"/>
    <n v="976"/>
    <n v="953"/>
    <n v="107850"/>
    <n v="74733"/>
    <n v="182583"/>
  </r>
  <r>
    <s v="19"/>
    <s v="64733"/>
    <s v="0111658"/>
    <s v="0788"/>
    <s v="D"/>
    <s v="Alliance Marc &amp; Eva Stern Math and Science"/>
    <x v="1"/>
    <s v="Magnolia Avenue Elementary"/>
    <s v="19 64733 6017990"/>
    <n v="1"/>
    <n v="1"/>
    <n v="570"/>
    <n v="506"/>
    <n v="62986"/>
    <n v="39680"/>
    <n v="102666"/>
  </r>
  <r>
    <s v="19"/>
    <s v="64733"/>
    <s v="0112060"/>
    <s v="1468"/>
    <s v="L"/>
    <s v="Hesby Oaks Leadership Charter"/>
    <x v="1"/>
    <s v="Hesby Oaks Leadership Charter"/>
    <s v="19 64733 0112060"/>
    <n v="0.1477"/>
    <n v="1"/>
    <n v="501"/>
    <n v="74"/>
    <n v="55361"/>
    <n v="5803"/>
    <n v="61164"/>
  </r>
  <r>
    <s v="19"/>
    <s v="64733"/>
    <s v="0112201"/>
    <s v="0798"/>
    <s v="D"/>
    <s v="PUC Excel Charter Academy"/>
    <x v="1"/>
    <s v="Magnolia Avenue Elementary"/>
    <s v="19 64733 6017990"/>
    <n v="1"/>
    <n v="1"/>
    <n v="277"/>
    <n v="258"/>
    <n v="30609"/>
    <n v="20232"/>
    <n v="50841"/>
  </r>
  <r>
    <s v="19"/>
    <s v="64733"/>
    <s v="0112235"/>
    <s v="0827"/>
    <s v="D"/>
    <s v="California Creative Learning Academy"/>
    <x v="1"/>
    <s v="California Creative Learning Academy"/>
    <s v="19 64733 0112235"/>
    <n v="0.46079999999999999"/>
    <n v="1"/>
    <n v="395"/>
    <n v="182"/>
    <n v="43648"/>
    <n v="14272"/>
    <n v="57920"/>
  </r>
  <r>
    <s v="19"/>
    <s v="64733"/>
    <s v="0112508"/>
    <s v="0826"/>
    <s v="D"/>
    <s v="Stella High Charter Academy"/>
    <x v="1"/>
    <s v="Magnolia Avenue Elementary"/>
    <s v="19 64733 6017990"/>
    <n v="1"/>
    <n v="1"/>
    <n v="521"/>
    <n v="491"/>
    <n v="57571"/>
    <n v="38504"/>
    <n v="96075"/>
  </r>
  <r>
    <s v="19"/>
    <s v="64733"/>
    <s v="0114884"/>
    <s v="1551"/>
    <s v="D"/>
    <s v="Aspire Junior Collegiate Academy"/>
    <x v="1"/>
    <s v="Aspire Junior Collegiate Academy"/>
    <s v="19 64733 0114884"/>
    <n v="0.68210000000000004"/>
    <n v="1"/>
    <n v="324"/>
    <n v="221"/>
    <n v="35803"/>
    <n v="17331"/>
    <n v="53134"/>
  </r>
  <r>
    <s v="19"/>
    <s v="64733"/>
    <s v="0114959"/>
    <s v="0931"/>
    <s v="D"/>
    <s v="Monsenor Oscar Romero Charter Middle"/>
    <x v="1"/>
    <s v="Magnolia Avenue Elementary"/>
    <s v="19 64733 6017990"/>
    <n v="1"/>
    <n v="1"/>
    <n v="277"/>
    <n v="247"/>
    <n v="30609"/>
    <n v="19369"/>
    <n v="49978"/>
  </r>
  <r>
    <s v="19"/>
    <s v="64733"/>
    <s v="0114967"/>
    <s v="0934"/>
    <s v="D"/>
    <s v="Global Education Academy"/>
    <x v="1"/>
    <s v="Global Education Academy"/>
    <s v="19 64733 0114967"/>
    <n v="0.67579999999999996"/>
    <n v="1"/>
    <n v="364"/>
    <n v="246"/>
    <n v="40223"/>
    <n v="19291"/>
    <n v="59514"/>
  </r>
  <r>
    <s v="19"/>
    <s v="64733"/>
    <s v="0115048"/>
    <s v="0911"/>
    <s v="D"/>
    <s v="Fenton Primary Center"/>
    <x v="1"/>
    <s v="Fenton Primary Center"/>
    <s v="19 64733 0115048"/>
    <n v="0.85529999999999995"/>
    <n v="1"/>
    <n v="532"/>
    <n v="455"/>
    <n v="58787"/>
    <n v="35681"/>
    <n v="94468"/>
  </r>
  <r>
    <s v="19"/>
    <s v="64733"/>
    <s v="0115113"/>
    <s v="0936"/>
    <s v="D"/>
    <s v="Ivy Bound Academy of Math, Science, and Technology Charter Middle"/>
    <x v="1"/>
    <s v="Magnolia Avenue Elementary"/>
    <s v="19 64733 6017990"/>
    <n v="1"/>
    <n v="1"/>
    <n v="139"/>
    <n v="69"/>
    <n v="15360"/>
    <n v="5411"/>
    <n v="20771"/>
  </r>
  <r>
    <s v="19"/>
    <s v="64733"/>
    <s v="0115139"/>
    <s v="0937"/>
    <s v="D"/>
    <s v="Center for Advanced Learning"/>
    <x v="1"/>
    <s v="Center for Advanced Learning"/>
    <s v="19 64733 0115139"/>
    <n v="0.9385"/>
    <n v="1"/>
    <n v="260"/>
    <n v="244"/>
    <n v="28730"/>
    <n v="19134"/>
    <n v="47864"/>
  </r>
  <r>
    <s v="19"/>
    <s v="64733"/>
    <s v="0115253"/>
    <s v="0949"/>
    <s v="D"/>
    <s v="Discovery Charter Preparatory #2"/>
    <x v="1"/>
    <s v="Magnolia Avenue Elementary"/>
    <s v="19 64733 6017990"/>
    <n v="1"/>
    <n v="1"/>
    <n v="191"/>
    <n v="99"/>
    <n v="21106"/>
    <n v="7763"/>
    <n v="28869"/>
  </r>
  <r>
    <s v="19"/>
    <s v="64733"/>
    <s v="0115287"/>
    <s v="0953"/>
    <s v="D"/>
    <s v="ICEF Vista Middle Academy"/>
    <x v="1"/>
    <s v="Magnolia Avenue Elementary"/>
    <s v="19 64733 6017990"/>
    <n v="1"/>
    <n v="1"/>
    <n v="209"/>
    <n v="200"/>
    <n v="23095"/>
    <n v="15684"/>
    <n v="38779"/>
  </r>
  <r>
    <s v="19"/>
    <s v="64733"/>
    <s v="0116509"/>
    <s v="0928"/>
    <s v="D"/>
    <s v="Alliance Morgan McKinzie High"/>
    <x v="1"/>
    <s v="Magnolia Avenue Elementary"/>
    <s v="19 64733 6017990"/>
    <n v="1"/>
    <n v="1"/>
    <n v="462"/>
    <n v="439"/>
    <n v="51052"/>
    <n v="34426"/>
    <n v="85478"/>
  </r>
  <r>
    <s v="19"/>
    <s v="64733"/>
    <s v="0117036"/>
    <s v="1474"/>
    <s v="L"/>
    <s v="Enadia Way Technology Charter"/>
    <x v="1"/>
    <s v="Enadia Way Technology Charter"/>
    <s v="19 64733 0117036"/>
    <n v="0.72060000000000002"/>
    <n v="1"/>
    <n v="204"/>
    <n v="147"/>
    <n v="22542"/>
    <n v="11528"/>
    <n v="34070"/>
  </r>
  <r>
    <s v="19"/>
    <s v="64733"/>
    <s v="0117598"/>
    <s v="0927"/>
    <s v="D"/>
    <s v="Alliance Piera Barbaglia Shaheen Health Services Academy"/>
    <x v="1"/>
    <s v="Magnolia Avenue Elementary"/>
    <s v="19 64733 6017990"/>
    <n v="1"/>
    <n v="1"/>
    <n v="497"/>
    <n v="480"/>
    <n v="54919"/>
    <n v="37641"/>
    <n v="92560"/>
  </r>
  <r>
    <s v="19"/>
    <s v="64733"/>
    <s v="0117606"/>
    <s v="0929"/>
    <s v="D"/>
    <s v="Alliance Leichtman-Levine Family Foundation Environmental Science High"/>
    <x v="1"/>
    <s v="Magnolia Avenue Elementary"/>
    <s v="19 64733 6017990"/>
    <n v="1"/>
    <n v="1"/>
    <n v="339"/>
    <n v="303"/>
    <n v="37460"/>
    <n v="23761"/>
    <n v="61221"/>
  </r>
  <r>
    <s v="19"/>
    <s v="64733"/>
    <s v="0117614"/>
    <s v="0998"/>
    <s v="D"/>
    <s v="New Los Angeles Charter"/>
    <x v="1"/>
    <s v="Magnolia Avenue Elementary"/>
    <s v="19 64733 6017990"/>
    <n v="1"/>
    <n v="1"/>
    <n v="329"/>
    <n v="291"/>
    <n v="36355"/>
    <n v="22820"/>
    <n v="59175"/>
  </r>
  <r>
    <s v="19"/>
    <s v="64733"/>
    <s v="0117622"/>
    <s v="0986"/>
    <s v="D"/>
    <s v="Magnolia Science Academy 4"/>
    <x v="1"/>
    <s v="Magnolia Science Academy 4"/>
    <s v="19 64733 0117622"/>
    <n v="0.96079999999999999"/>
    <n v="1"/>
    <n v="102"/>
    <n v="98"/>
    <n v="11271"/>
    <n v="7685"/>
    <n v="18956"/>
  </r>
  <r>
    <s v="19"/>
    <s v="64733"/>
    <s v="0117648"/>
    <s v="0988"/>
    <s v="D"/>
    <s v="Magnolia Science Academy 6"/>
    <x v="1"/>
    <s v="Magnolia Avenue Elementary"/>
    <s v="19 64733 6017990"/>
    <n v="1"/>
    <n v="1"/>
    <n v="91"/>
    <n v="85"/>
    <n v="10056"/>
    <n v="6666"/>
    <n v="16722"/>
  </r>
  <r>
    <s v="19"/>
    <s v="64733"/>
    <s v="0117655"/>
    <s v="0989"/>
    <s v="D"/>
    <s v="Magnolia Science Academy 7"/>
    <x v="1"/>
    <s v="Magnolia Science Academy 7"/>
    <s v="19 64733 0117655"/>
    <n v="0.80989999999999995"/>
    <n v="1"/>
    <n v="263"/>
    <n v="213"/>
    <n v="29062"/>
    <n v="16703"/>
    <n v="45765"/>
  </r>
  <r>
    <s v="19"/>
    <s v="64733"/>
    <s v="0117846"/>
    <s v="1007"/>
    <s v="D"/>
    <s v="Para Los Ninos Middle"/>
    <x v="1"/>
    <s v="Magnolia Avenue Elementary"/>
    <s v="19 64733 6017990"/>
    <n v="1"/>
    <n v="1"/>
    <n v="298"/>
    <n v="264"/>
    <n v="32929"/>
    <n v="20703"/>
    <n v="53632"/>
  </r>
  <r>
    <s v="19"/>
    <s v="64733"/>
    <s v="0117895"/>
    <s v="1014"/>
    <s v="D"/>
    <s v="Synergy Kinetic Academy"/>
    <x v="1"/>
    <s v="Magnolia Avenue Elementary"/>
    <s v="19 64733 6017990"/>
    <n v="1"/>
    <n v="1"/>
    <n v="447"/>
    <n v="445"/>
    <n v="49394"/>
    <n v="34896"/>
    <n v="84290"/>
  </r>
  <r>
    <s v="19"/>
    <s v="64733"/>
    <s v="0117903"/>
    <s v="1010"/>
    <s v="D"/>
    <s v="KIPP Raices Academy"/>
    <x v="1"/>
    <s v="KIPP Raices Academy"/>
    <s v="19 64733 0117903"/>
    <n v="0.79139999999999999"/>
    <n v="1"/>
    <n v="561"/>
    <n v="444"/>
    <n v="61991"/>
    <n v="34818"/>
    <n v="96809"/>
  </r>
  <r>
    <s v="19"/>
    <s v="64733"/>
    <s v="0117911"/>
    <s v="1020"/>
    <s v="D"/>
    <s v="New Millennium Secondary"/>
    <x v="1"/>
    <s v="Magnolia Avenue Elementary"/>
    <s v="19 64733 6017990"/>
    <n v="1"/>
    <n v="1"/>
    <n v="151"/>
    <n v="126"/>
    <n v="16686"/>
    <n v="9881"/>
    <n v="26567"/>
  </r>
  <r>
    <s v="19"/>
    <s v="64733"/>
    <s v="0117937"/>
    <s v="1039"/>
    <s v="D"/>
    <s v="ICEF Vista Elementary Academy"/>
    <x v="1"/>
    <s v="ICEF Vista Elementary Academy"/>
    <s v="19 64733 0117937"/>
    <n v="0.97609999999999997"/>
    <n v="1"/>
    <n v="293"/>
    <n v="286"/>
    <n v="32377"/>
    <n v="22428"/>
    <n v="54805"/>
  </r>
  <r>
    <s v="19"/>
    <s v="64733"/>
    <s v="0117952"/>
    <s v="1037"/>
    <s v="D"/>
    <s v="ICEF Innovation Los Angeles Charter"/>
    <x v="1"/>
    <s v="ICEF Innovation Los Angeles Charter"/>
    <s v="19 64733 0117952"/>
    <n v="0.97989999999999999"/>
    <n v="1"/>
    <n v="249"/>
    <n v="244"/>
    <n v="27515"/>
    <n v="19134"/>
    <n v="46649"/>
  </r>
  <r>
    <s v="19"/>
    <s v="64733"/>
    <s v="0117978"/>
    <s v="1036"/>
    <s v="D"/>
    <s v="Goethe International Charter"/>
    <x v="1"/>
    <s v="Goethe International Charter"/>
    <s v="19 64733 0117978"/>
    <n v="0.22650000000000001"/>
    <n v="1"/>
    <n v="393"/>
    <n v="89"/>
    <n v="43427"/>
    <n v="6979"/>
    <n v="50406"/>
  </r>
  <r>
    <s v="19"/>
    <s v="64733"/>
    <s v="0118588"/>
    <s v="1050"/>
    <s v="D"/>
    <s v="Alain Leroy Locke College Preparatory Academy"/>
    <x v="1"/>
    <s v="Magnolia Avenue Elementary"/>
    <s v="19 64733 6017990"/>
    <n v="1"/>
    <n v="1"/>
    <n v="1256"/>
    <n v="1172"/>
    <n v="138790"/>
    <n v="91907"/>
    <n v="230697"/>
  </r>
  <r>
    <s v="19"/>
    <s v="64733"/>
    <s v="0119982"/>
    <s v="1093"/>
    <s v="D"/>
    <s v="Equitas Academy Charter"/>
    <x v="1"/>
    <s v="Equitas Academy Charter"/>
    <s v="19 64733 0119982"/>
    <n v="0.91610000000000003"/>
    <n v="1"/>
    <n v="453"/>
    <n v="415"/>
    <n v="50057"/>
    <n v="32544"/>
    <n v="82601"/>
  </r>
  <r>
    <s v="19"/>
    <s v="64733"/>
    <s v="0120014"/>
    <s v="1094"/>
    <s v="D"/>
    <s v="KIPP Endeavor College Preparatory Charter"/>
    <x v="1"/>
    <s v="KIPP Endeavor College Preparatory Charter"/>
    <s v="19 64733 0120014"/>
    <n v="0.96020000000000005"/>
    <n v="1"/>
    <n v="528"/>
    <n v="507"/>
    <n v="58345"/>
    <n v="39758"/>
    <n v="98103"/>
  </r>
  <r>
    <s v="19"/>
    <s v="64733"/>
    <s v="0120022"/>
    <s v="1095"/>
    <s v="D"/>
    <s v="Valor Academy Middle"/>
    <x v="1"/>
    <s v="Magnolia Avenue Elementary"/>
    <s v="19 64733 6017990"/>
    <n v="1"/>
    <n v="1"/>
    <n v="510"/>
    <n v="487"/>
    <n v="56356"/>
    <n v="38190"/>
    <n v="94546"/>
  </r>
  <r>
    <s v="19"/>
    <s v="64733"/>
    <s v="0120030"/>
    <s v="1096"/>
    <s v="D"/>
    <s v="Alliance College-Ready Middle Academy 4"/>
    <x v="1"/>
    <s v="Magnolia Avenue Elementary"/>
    <s v="19 64733 6017990"/>
    <n v="1"/>
    <n v="1"/>
    <n v="460"/>
    <n v="455"/>
    <n v="50831"/>
    <n v="35681"/>
    <n v="86512"/>
  </r>
  <r>
    <s v="19"/>
    <s v="64733"/>
    <s v="0120071"/>
    <s v="1120"/>
    <s v="D"/>
    <s v="New Designs Charter School-Watts"/>
    <x v="1"/>
    <s v="New Designs Charter School-Watts"/>
    <s v="19 64733 0120071"/>
    <n v="0.63529999999999998"/>
    <n v="1"/>
    <n v="255"/>
    <n v="162"/>
    <n v="28178"/>
    <n v="12704"/>
    <n v="40882"/>
  </r>
  <r>
    <s v="19"/>
    <s v="64733"/>
    <s v="0120097"/>
    <s v="1101"/>
    <s v="D"/>
    <s v="Academia Moderna"/>
    <x v="1"/>
    <s v="Academia Moderna"/>
    <s v="19 64733 0120097"/>
    <n v="0.92720000000000002"/>
    <n v="1"/>
    <n v="453"/>
    <n v="420"/>
    <n v="50057"/>
    <n v="32936"/>
    <n v="82993"/>
  </r>
  <r>
    <s v="19"/>
    <s v="64733"/>
    <s v="0120477"/>
    <s v="1550"/>
    <s v="D"/>
    <s v="Aspire Titan Academy"/>
    <x v="1"/>
    <s v="Aspire Titan Academy"/>
    <s v="19 64733 0120477"/>
    <n v="0.71430000000000005"/>
    <n v="1"/>
    <n v="315"/>
    <n v="225"/>
    <n v="34808"/>
    <n v="17644"/>
    <n v="52452"/>
  </r>
  <r>
    <s v="19"/>
    <s v="64733"/>
    <s v="0120527"/>
    <s v="1141"/>
    <s v="D"/>
    <s v="Watts Learning Center Charter Middle"/>
    <x v="1"/>
    <s v="Magnolia Avenue Elementary"/>
    <s v="19 64733 6017990"/>
    <n v="1"/>
    <n v="1"/>
    <n v="399"/>
    <n v="392"/>
    <n v="44090"/>
    <n v="30740"/>
    <n v="74830"/>
  </r>
  <r>
    <s v="19"/>
    <s v="64733"/>
    <s v="0121079"/>
    <s v="1156"/>
    <s v="D"/>
    <s v="Ararat Charter"/>
    <x v="1"/>
    <s v="Ararat Charter"/>
    <s v="19 64733 0121079"/>
    <n v="0.76619999999999999"/>
    <n v="1"/>
    <n v="325"/>
    <n v="249"/>
    <n v="35913"/>
    <n v="19526"/>
    <n v="55439"/>
  </r>
  <r>
    <s v="19"/>
    <s v="64733"/>
    <s v="0121137"/>
    <s v="1157"/>
    <s v="D"/>
    <s v="Ingenium Charter"/>
    <x v="1"/>
    <s v="Ingenium Charter"/>
    <s v="19 64733 0121137"/>
    <n v="0.87829999999999997"/>
    <n v="1"/>
    <n v="304"/>
    <n v="267"/>
    <n v="33593"/>
    <n v="20938"/>
    <n v="54531"/>
  </r>
  <r>
    <s v="19"/>
    <s v="64733"/>
    <s v="0121285"/>
    <s v="1161"/>
    <s v="D"/>
    <s v="Alliance Cindy and Bill Simon Technology Academy High"/>
    <x v="1"/>
    <s v="Magnolia Avenue Elementary"/>
    <s v="19 64733 6017990"/>
    <n v="1"/>
    <n v="1"/>
    <n v="507"/>
    <n v="491"/>
    <n v="56024"/>
    <n v="38504"/>
    <n v="94528"/>
  </r>
  <r>
    <s v="19"/>
    <s v="64733"/>
    <s v="0121293"/>
    <s v="1162"/>
    <s v="D"/>
    <s v="Alliance Tennenbaum Family Technology High"/>
    <x v="1"/>
    <s v="Magnolia Avenue Elementary"/>
    <s v="19 64733 6017990"/>
    <n v="1"/>
    <n v="1"/>
    <n v="205"/>
    <n v="200"/>
    <n v="22653"/>
    <n v="15684"/>
    <n v="38337"/>
  </r>
  <r>
    <s v="19"/>
    <s v="64733"/>
    <s v="0121699"/>
    <s v="1195"/>
    <s v="D"/>
    <s v="KIPP Empower Academy"/>
    <x v="1"/>
    <s v="KIPP Empower Academy"/>
    <s v="19 64733 0121699"/>
    <n v="0.97699999999999998"/>
    <n v="1"/>
    <n v="564"/>
    <n v="551"/>
    <n v="62323"/>
    <n v="43209"/>
    <n v="105532"/>
  </r>
  <r>
    <s v="19"/>
    <s v="64733"/>
    <s v="0121707"/>
    <s v="1196"/>
    <s v="D"/>
    <s v="KIPP Comienza Community Prep"/>
    <x v="1"/>
    <s v="KIPP Comienza Community Prep"/>
    <s v="19 64733 0121707"/>
    <n v="0.91920000000000002"/>
    <n v="1"/>
    <n v="1077"/>
    <n v="990"/>
    <n v="119010"/>
    <n v="77635"/>
    <n v="196645"/>
  </r>
  <r>
    <s v="19"/>
    <s v="64733"/>
    <s v="0121848"/>
    <s v="1187"/>
    <s v="D"/>
    <s v="Crown Preparatory Academy"/>
    <x v="1"/>
    <s v="Magnolia Avenue Elementary"/>
    <s v="19 64733 6017990"/>
    <n v="1"/>
    <n v="1"/>
    <n v="431"/>
    <n v="409"/>
    <n v="47626"/>
    <n v="32073"/>
    <n v="79699"/>
  </r>
  <r>
    <s v="19"/>
    <s v="64733"/>
    <s v="0122242"/>
    <s v="1206"/>
    <s v="D"/>
    <s v="TEACH Academy of Technologies"/>
    <x v="1"/>
    <s v="Magnolia Avenue Elementary"/>
    <s v="19 64733 6017990"/>
    <n v="1"/>
    <n v="1"/>
    <n v="403"/>
    <n v="395"/>
    <n v="44532"/>
    <n v="30975"/>
    <n v="75507"/>
  </r>
  <r>
    <s v="19"/>
    <s v="64733"/>
    <s v="0122481"/>
    <s v="1216"/>
    <s v="D"/>
    <s v="Animo Jefferson Charter Middle"/>
    <x v="1"/>
    <s v="Magnolia Avenue Elementary"/>
    <s v="19 64733 6017990"/>
    <n v="1"/>
    <n v="1"/>
    <n v="491"/>
    <n v="480"/>
    <n v="54256"/>
    <n v="37641"/>
    <n v="91897"/>
  </r>
  <r>
    <s v="19"/>
    <s v="64733"/>
    <s v="0122556"/>
    <s v="1200"/>
    <s v="D"/>
    <s v="Citizens of the World Charter Hollywood"/>
    <x v="1"/>
    <s v="Citizens of the World Charter Hollywood"/>
    <s v="19 64733 0122556"/>
    <n v="0.49070000000000003"/>
    <n v="1"/>
    <n v="428"/>
    <n v="210"/>
    <n v="47295"/>
    <n v="16468"/>
    <n v="63763"/>
  </r>
  <r>
    <s v="19"/>
    <s v="64733"/>
    <s v="0122564"/>
    <s v="1212"/>
    <s v="D"/>
    <s v="Camino Nuevo Elementary No. 3"/>
    <x v="1"/>
    <s v="Camino Nuevo Elementary No. 3"/>
    <s v="19 64733 0122564"/>
    <n v="0.93610000000000004"/>
    <n v="1"/>
    <n v="736"/>
    <n v="689"/>
    <n v="81329"/>
    <n v="54031"/>
    <n v="135360"/>
  </r>
  <r>
    <s v="19"/>
    <s v="64733"/>
    <s v="0122606"/>
    <s v="1241"/>
    <s v="D"/>
    <s v="PUC Lakeview Charter High"/>
    <x v="1"/>
    <s v="Magnolia Avenue Elementary"/>
    <s v="19 64733 6017990"/>
    <n v="1"/>
    <n v="1"/>
    <n v="432"/>
    <n v="398"/>
    <n v="47737"/>
    <n v="31211"/>
    <n v="78948"/>
  </r>
  <r>
    <s v="19"/>
    <s v="64733"/>
    <s v="0122614"/>
    <s v="1213"/>
    <s v="D"/>
    <s v="Aspire Gateway Academy Charter"/>
    <x v="1"/>
    <s v="Aspire Gateway Academy Charter"/>
    <s v="19 64733 0122614"/>
    <n v="0.7611"/>
    <n v="1"/>
    <n v="339"/>
    <n v="258"/>
    <n v="37460"/>
    <n v="20232"/>
    <n v="57692"/>
  </r>
  <r>
    <s v="19"/>
    <s v="64733"/>
    <s v="0122622"/>
    <s v="1214"/>
    <s v="D"/>
    <s v="Aspire Firestone Academy Charter"/>
    <x v="1"/>
    <s v="Aspire Firestone Academy Charter"/>
    <s v="19 64733 0122622"/>
    <n v="0.82489999999999997"/>
    <n v="1"/>
    <n v="337"/>
    <n v="278"/>
    <n v="37239"/>
    <n v="21800"/>
    <n v="59039"/>
  </r>
  <r>
    <s v="19"/>
    <s v="64733"/>
    <s v="0122630"/>
    <s v="1215"/>
    <s v="D"/>
    <s v="Para Los Ninos - Evelyn Thurman Gratts Primary"/>
    <x v="1"/>
    <s v="Para Los Ninos - Evelyn Thurman Gratts Primary"/>
    <s v="19 64733 0122630"/>
    <n v="0.86880000000000002"/>
    <n v="1"/>
    <n v="161"/>
    <n v="140"/>
    <n v="17791"/>
    <n v="10979"/>
    <n v="28770"/>
  </r>
  <r>
    <s v="19"/>
    <s v="64733"/>
    <s v="0122655"/>
    <s v="1232"/>
    <s v="D"/>
    <s v="ISANA Octavia Academy"/>
    <x v="1"/>
    <s v="ISANA Octavia Academy"/>
    <s v="19 64733 0122655"/>
    <n v="0.77600000000000002"/>
    <n v="1"/>
    <n v="375"/>
    <n v="291"/>
    <n v="41438"/>
    <n v="22820"/>
    <n v="64258"/>
  </r>
  <r>
    <s v="19"/>
    <s v="64733"/>
    <s v="0122721"/>
    <s v="1230"/>
    <s v="D"/>
    <s v="Aspire Pacific Academy"/>
    <x v="1"/>
    <s v="Aspire Pacific Academy"/>
    <s v="19 64733 0122721"/>
    <n v="0.87619999999999998"/>
    <n v="1"/>
    <n v="517"/>
    <n v="453"/>
    <n v="57129"/>
    <n v="35524"/>
    <n v="92653"/>
  </r>
  <r>
    <s v="19"/>
    <s v="64733"/>
    <s v="0122739"/>
    <s v="1234"/>
    <s v="D"/>
    <s v="Vista Charter Middle"/>
    <x v="1"/>
    <s v="Magnolia Avenue Elementary"/>
    <s v="19 64733 6017990"/>
    <n v="1"/>
    <n v="1"/>
    <n v="354"/>
    <n v="330"/>
    <n v="39118"/>
    <n v="25878"/>
    <n v="64996"/>
  </r>
  <r>
    <s v="19"/>
    <s v="64733"/>
    <s v="0122747"/>
    <s v="1236"/>
    <s v="D"/>
    <s v="Magnolia Science Academy Bell"/>
    <x v="1"/>
    <s v="Magnolia Avenue Elementary"/>
    <s v="19 64733 6017990"/>
    <n v="1"/>
    <n v="1"/>
    <n v="384"/>
    <n v="310"/>
    <n v="42433"/>
    <n v="24310"/>
    <n v="66743"/>
  </r>
  <r>
    <s v="19"/>
    <s v="64733"/>
    <s v="0122754"/>
    <s v="1237"/>
    <s v="D"/>
    <s v="Valley Charter Elementary"/>
    <x v="1"/>
    <s v="Valley Charter Elementary"/>
    <s v="19 64733 0122754"/>
    <n v="0.40350000000000003"/>
    <n v="1"/>
    <n v="285"/>
    <n v="115"/>
    <n v="31493"/>
    <n v="9018"/>
    <n v="40511"/>
  </r>
  <r>
    <s v="19"/>
    <s v="64733"/>
    <s v="0122838"/>
    <s v="1238"/>
    <s v="D"/>
    <s v="Valley Charter Middle"/>
    <x v="1"/>
    <s v="Magnolia Avenue Elementary"/>
    <s v="19 64733 6017990"/>
    <n v="1"/>
    <n v="1"/>
    <n v="228"/>
    <n v="156"/>
    <n v="25194"/>
    <n v="12233"/>
    <n v="37427"/>
  </r>
  <r>
    <s v="19"/>
    <s v="64733"/>
    <s v="0122861"/>
    <s v="1231"/>
    <s v="D"/>
    <s v="Camino Nuevo Academy #2"/>
    <x v="1"/>
    <s v="Camino Nuevo Academy #2"/>
    <s v="19 64733 0122861"/>
    <n v="0.90580000000000005"/>
    <n v="1"/>
    <n v="669"/>
    <n v="606"/>
    <n v="73926"/>
    <n v="47522"/>
    <n v="121448"/>
  </r>
  <r>
    <s v="19"/>
    <s v="64733"/>
    <s v="0123133"/>
    <s v="1163"/>
    <s v="D"/>
    <s v="Alliance Susan and Eric Smidt Technology High"/>
    <x v="1"/>
    <s v="Magnolia Avenue Elementary"/>
    <s v="19 64733 6017990"/>
    <n v="1"/>
    <n v="1"/>
    <n v="307"/>
    <n v="294"/>
    <n v="33924"/>
    <n v="23055"/>
    <n v="56979"/>
  </r>
  <r>
    <s v="19"/>
    <s v="64733"/>
    <s v="0123141"/>
    <s v="1164"/>
    <s v="D"/>
    <s v="Alliance Ted K. Tajima High"/>
    <x v="1"/>
    <s v="Magnolia Avenue Elementary"/>
    <s v="19 64733 6017990"/>
    <n v="1"/>
    <n v="1"/>
    <n v="477"/>
    <n v="465"/>
    <n v="52709"/>
    <n v="36465"/>
    <n v="89174"/>
  </r>
  <r>
    <s v="19"/>
    <s v="64733"/>
    <s v="0123158"/>
    <s v="1218"/>
    <s v="D"/>
    <s v="Arts in Action Community Charter"/>
    <x v="1"/>
    <s v="Arts in Action Community Charter"/>
    <s v="19 64733 0123158"/>
    <n v="0.64939999999999998"/>
    <n v="1"/>
    <n v="385"/>
    <n v="250"/>
    <n v="42543"/>
    <n v="19605"/>
    <n v="62148"/>
  </r>
  <r>
    <s v="19"/>
    <s v="64733"/>
    <s v="0123166"/>
    <s v="1246"/>
    <s v="D"/>
    <s v="ISANA Palmati Academy"/>
    <x v="1"/>
    <s v="ISANA Palmati Academy"/>
    <s v="19 64733 0123166"/>
    <n v="0.82540000000000002"/>
    <n v="1"/>
    <n v="355"/>
    <n v="293"/>
    <n v="39228"/>
    <n v="22977"/>
    <n v="62205"/>
  </r>
  <r>
    <s v="19"/>
    <s v="64733"/>
    <s v="0123984"/>
    <s v="1285"/>
    <s v="D"/>
    <s v="ISANA Cardinal Academy"/>
    <x v="1"/>
    <s v="ISANA Cardinal Academy"/>
    <s v="19 64733 0123984"/>
    <n v="0.83220000000000005"/>
    <n v="1"/>
    <n v="298"/>
    <n v="248"/>
    <n v="32929"/>
    <n v="19448"/>
    <n v="52377"/>
  </r>
  <r>
    <s v="19"/>
    <s v="64733"/>
    <s v="0123992"/>
    <s v="1286"/>
    <s v="D"/>
    <s v="Animo Ellen Ochoa Charter Middle"/>
    <x v="1"/>
    <s v="Magnolia Avenue Elementary"/>
    <s v="19 64733 6017990"/>
    <n v="1"/>
    <n v="1"/>
    <n v="306"/>
    <n v="290"/>
    <n v="33814"/>
    <n v="22742"/>
    <n v="56556"/>
  </r>
  <r>
    <s v="19"/>
    <s v="64733"/>
    <s v="0124008"/>
    <s v="1287"/>
    <s v="D"/>
    <s v="Animo James B. Taylor Charter Middle"/>
    <x v="1"/>
    <s v="Magnolia Avenue Elementary"/>
    <s v="19 64733 6017990"/>
    <n v="1"/>
    <n v="1"/>
    <n v="518"/>
    <n v="503"/>
    <n v="57240"/>
    <n v="39445"/>
    <n v="96685"/>
  </r>
  <r>
    <s v="19"/>
    <s v="64733"/>
    <s v="0124016"/>
    <s v="1288"/>
    <s v="D"/>
    <s v="Animo Legacy Charter Middle"/>
    <x v="1"/>
    <s v="Magnolia Avenue Elementary"/>
    <s v="19 64733 6017990"/>
    <n v="1"/>
    <n v="1"/>
    <n v="917"/>
    <n v="867"/>
    <n v="101330"/>
    <n v="67989"/>
    <n v="169319"/>
  </r>
  <r>
    <s v="19"/>
    <s v="64733"/>
    <s v="0124198"/>
    <s v="1300"/>
    <s v="D"/>
    <s v="Extera Public"/>
    <x v="1"/>
    <s v="Extera Public"/>
    <s v="19 64733 0124198"/>
    <n v="0.96230000000000004"/>
    <n v="1"/>
    <n v="345"/>
    <n v="332"/>
    <n v="38123"/>
    <n v="26035"/>
    <n v="64158"/>
  </r>
  <r>
    <s v="19"/>
    <s v="64733"/>
    <s v="0124222"/>
    <s v="1315"/>
    <s v="D"/>
    <s v="Rise Kohyang Middle"/>
    <x v="1"/>
    <s v="Magnolia Avenue Elementary"/>
    <s v="19 64733 6017990"/>
    <n v="1"/>
    <n v="1"/>
    <n v="339"/>
    <n v="316"/>
    <n v="37460"/>
    <n v="24780"/>
    <n v="62240"/>
  </r>
  <r>
    <s v="19"/>
    <s v="64733"/>
    <s v="0124560"/>
    <s v="1299"/>
    <s v="D"/>
    <s v="Synergy Quantum Academy"/>
    <x v="1"/>
    <s v="Magnolia Avenue Elementary"/>
    <s v="19 64733 6017990"/>
    <n v="1"/>
    <n v="1"/>
    <n v="543"/>
    <n v="536"/>
    <n v="60002"/>
    <n v="42033"/>
    <n v="102035"/>
  </r>
  <r>
    <s v="19"/>
    <s v="64733"/>
    <s v="0124784"/>
    <s v="1330"/>
    <s v="D"/>
    <s v="Aspire Slauson Academy Charter"/>
    <x v="1"/>
    <s v="Aspire Slauson Academy Charter"/>
    <s v="19 64733 0124784"/>
    <n v="0.63880000000000003"/>
    <n v="1"/>
    <n v="299"/>
    <n v="191"/>
    <n v="33040"/>
    <n v="14978"/>
    <n v="48018"/>
  </r>
  <r>
    <s v="19"/>
    <s v="64733"/>
    <s v="0124792"/>
    <s v="1331"/>
    <s v="D"/>
    <s v="Aspire Juanita Tate Academy Charter"/>
    <x v="1"/>
    <s v="Aspire Juanita Tate Academy Charter"/>
    <s v="19 64733 0124792"/>
    <n v="0.69620000000000004"/>
    <n v="1"/>
    <n v="339"/>
    <n v="236"/>
    <n v="37460"/>
    <n v="18507"/>
    <n v="55967"/>
  </r>
  <r>
    <s v="19"/>
    <s v="64733"/>
    <s v="0124800"/>
    <s v="1332"/>
    <s v="D"/>
    <s v="Aspire Inskeep Academy Charter"/>
    <x v="1"/>
    <s v="Aspire Inskeep Academy Charter"/>
    <s v="19 64733 0124800"/>
    <n v="0.69510000000000005"/>
    <n v="1"/>
    <n v="328"/>
    <n v="228"/>
    <n v="36245"/>
    <n v="17880"/>
    <n v="54125"/>
  </r>
  <r>
    <s v="19"/>
    <s v="64733"/>
    <s v="0124818"/>
    <s v="1333"/>
    <s v="D"/>
    <s v="Los Angeles Leadership Primary Academy"/>
    <x v="1"/>
    <s v="Los Angeles Leadership Primary Academy"/>
    <s v="19 64733 0124818"/>
    <n v="0.84440000000000004"/>
    <n v="1"/>
    <n v="302"/>
    <n v="255"/>
    <n v="33371"/>
    <n v="19997"/>
    <n v="53368"/>
  </r>
  <r>
    <s v="19"/>
    <s v="64733"/>
    <s v="0124826"/>
    <s v="1334"/>
    <s v="D"/>
    <s v="Camino Nuevo Charter Academy No. 4"/>
    <x v="1"/>
    <s v="Camino Nuevo Charter Academy No. 4"/>
    <s v="19 64733 0124826"/>
    <n v="0.89339999999999997"/>
    <n v="1"/>
    <n v="544"/>
    <n v="486"/>
    <n v="60113"/>
    <n v="38112"/>
    <n v="98225"/>
  </r>
  <r>
    <s v="19"/>
    <s v="64733"/>
    <s v="0124891"/>
    <s v="1343"/>
    <s v="D"/>
    <s v="Alliance Renee and Meyer Luskin Academy High"/>
    <x v="1"/>
    <s v="Magnolia Avenue Elementary"/>
    <s v="19 64733 6017990"/>
    <n v="1"/>
    <n v="1"/>
    <n v="502"/>
    <n v="490"/>
    <n v="55472"/>
    <n v="38425"/>
    <n v="93897"/>
  </r>
  <r>
    <s v="19"/>
    <s v="64733"/>
    <s v="0124933"/>
    <s v="1354"/>
    <s v="D"/>
    <s v="PUC Early College Academy for Leaders and Scholars (ECALS)"/>
    <x v="1"/>
    <s v="Magnolia Avenue Elementary"/>
    <s v="19 64733 6017990"/>
    <n v="1"/>
    <n v="1"/>
    <n v="199"/>
    <n v="187"/>
    <n v="21990"/>
    <n v="14664"/>
    <n v="36654"/>
  </r>
  <r>
    <s v="19"/>
    <s v="64733"/>
    <s v="0124941"/>
    <s v="1356"/>
    <s v="D"/>
    <s v="Alliance Margaret M. Bloomfield Technology Academy High"/>
    <x v="1"/>
    <s v="Magnolia Avenue Elementary"/>
    <s v="19 64733 6017990"/>
    <n v="1"/>
    <n v="1"/>
    <n v="579"/>
    <n v="546"/>
    <n v="63980"/>
    <n v="42817"/>
    <n v="106797"/>
  </r>
  <r>
    <s v="19"/>
    <s v="64733"/>
    <s v="0125609"/>
    <s v="1378"/>
    <s v="D"/>
    <s v="KIPP Philosophers Academy"/>
    <x v="1"/>
    <s v="Magnolia Avenue Elementary"/>
    <s v="19 64733 6017990"/>
    <n v="1"/>
    <n v="1"/>
    <n v="362"/>
    <n v="345"/>
    <n v="40002"/>
    <n v="27055"/>
    <n v="67057"/>
  </r>
  <r>
    <s v="19"/>
    <s v="64733"/>
    <s v="0125625"/>
    <s v="1377"/>
    <s v="D"/>
    <s v="KIPP Scholar Academy"/>
    <x v="1"/>
    <s v="Magnolia Avenue Elementary"/>
    <s v="19 64733 6017990"/>
    <n v="1"/>
    <n v="1"/>
    <n v="362"/>
    <n v="342"/>
    <n v="40002"/>
    <n v="26819"/>
    <n v="66821"/>
  </r>
  <r>
    <s v="19"/>
    <s v="64733"/>
    <s v="0125641"/>
    <s v="1379"/>
    <s v="D"/>
    <s v="KIPP Sol Academy"/>
    <x v="1"/>
    <s v="Magnolia Avenue Elementary"/>
    <s v="19 64733 6017990"/>
    <n v="1"/>
    <n v="1"/>
    <n v="494"/>
    <n v="410"/>
    <n v="54588"/>
    <n v="32152"/>
    <n v="86740"/>
  </r>
  <r>
    <s v="19"/>
    <s v="64733"/>
    <s v="0125864"/>
    <s v="1401"/>
    <s v="D"/>
    <s v="Ednovate - USC Hybrid High College Prep"/>
    <x v="1"/>
    <s v="Magnolia Avenue Elementary"/>
    <s v="19 64733 6017990"/>
    <n v="1"/>
    <n v="1"/>
    <n v="520"/>
    <n v="434"/>
    <n v="57461"/>
    <n v="34034"/>
    <n v="91495"/>
  </r>
  <r>
    <s v="19"/>
    <s v="64733"/>
    <s v="0126136"/>
    <s v="1412"/>
    <s v="D"/>
    <s v="Math and Science College Preparatory"/>
    <x v="1"/>
    <s v="Magnolia Avenue Elementary"/>
    <s v="19 64733 6017990"/>
    <n v="1"/>
    <n v="1"/>
    <n v="539"/>
    <n v="486"/>
    <n v="59560"/>
    <n v="38112"/>
    <n v="97672"/>
  </r>
  <r>
    <s v="19"/>
    <s v="64733"/>
    <s v="0126169"/>
    <s v="1402"/>
    <s v="D"/>
    <s v="Equitas Academy #2 Charter"/>
    <x v="1"/>
    <s v="Magnolia Avenue Elementary"/>
    <s v="19 64733 6017990"/>
    <n v="1"/>
    <n v="1"/>
    <n v="388"/>
    <n v="357"/>
    <n v="42875"/>
    <n v="27996"/>
    <n v="70871"/>
  </r>
  <r>
    <s v="19"/>
    <s v="64733"/>
    <s v="0126177"/>
    <s v="1413"/>
    <s v="D"/>
    <s v="Citizens of the World Charter School Silver Lake"/>
    <x v="1"/>
    <s v="Citizens of the World Charter School Silver Lake"/>
    <s v="19 64733 0126177"/>
    <n v="0.55659999999999998"/>
    <n v="1"/>
    <n v="715"/>
    <n v="398"/>
    <n v="79009"/>
    <n v="31211"/>
    <n v="110220"/>
  </r>
  <r>
    <s v="19"/>
    <s v="64733"/>
    <s v="0126193"/>
    <s v="1414"/>
    <s v="D"/>
    <s v="Citizens of the World Charter School Mar Vista"/>
    <x v="1"/>
    <s v="Citizens of the World Charter School Mar Vista"/>
    <s v="19 64733 0126193"/>
    <n v="0.49630000000000002"/>
    <n v="1"/>
    <n v="536"/>
    <n v="266"/>
    <n v="59229"/>
    <n v="20859"/>
    <n v="80088"/>
  </r>
  <r>
    <s v="19"/>
    <s v="64733"/>
    <s v="0126797"/>
    <s v="1436"/>
    <s v="D"/>
    <s v="Aspire Centennial College Preparatory Academy"/>
    <x v="1"/>
    <s v="Magnolia Avenue Elementary"/>
    <s v="19 64733 6017990"/>
    <n v="1"/>
    <n v="1"/>
    <n v="477"/>
    <n v="412"/>
    <n v="52709"/>
    <n v="32309"/>
    <n v="85018"/>
  </r>
  <r>
    <s v="19"/>
    <s v="64733"/>
    <s v="0127670"/>
    <s v="1508"/>
    <s v="D"/>
    <s v="KIPP Iluminar Academy"/>
    <x v="1"/>
    <s v="KIPP Iluminar Academy"/>
    <s v="19 64733 0127670"/>
    <n v="0.83040000000000003"/>
    <n v="1"/>
    <n v="560"/>
    <n v="465"/>
    <n v="61881"/>
    <n v="36465"/>
    <n v="98346"/>
  </r>
  <r>
    <s v="19"/>
    <s v="64733"/>
    <s v="0127886"/>
    <s v="1538"/>
    <s v="D"/>
    <s v="City Language Immersion Charter"/>
    <x v="1"/>
    <s v="City Language Immersion Charter"/>
    <s v="19 64733 0127886"/>
    <n v="0.54049999999999998"/>
    <n v="1"/>
    <n v="407"/>
    <n v="220"/>
    <n v="44974"/>
    <n v="17252"/>
    <n v="62226"/>
  </r>
  <r>
    <s v="19"/>
    <s v="64733"/>
    <s v="0127894"/>
    <s v="1539"/>
    <s v="D"/>
    <s v="Valor Academy Charter High"/>
    <x v="1"/>
    <s v="Magnolia Avenue Elementary"/>
    <s v="19 64733 6017990"/>
    <n v="1"/>
    <n v="1"/>
    <n v="498"/>
    <n v="471"/>
    <n v="55030"/>
    <n v="36935"/>
    <n v="91965"/>
  </r>
  <r>
    <s v="19"/>
    <s v="64733"/>
    <s v="0127910"/>
    <s v="1540"/>
    <s v="D"/>
    <s v="Camino Nuevo High No. 2"/>
    <x v="1"/>
    <s v="Magnolia Avenue Elementary"/>
    <s v="19 64733 6017990"/>
    <n v="1"/>
    <n v="1"/>
    <n v="465"/>
    <n v="448"/>
    <n v="51383"/>
    <n v="35132"/>
    <n v="86515"/>
  </r>
  <r>
    <s v="19"/>
    <s v="64733"/>
    <s v="0127936"/>
    <s v="1542"/>
    <s v="D"/>
    <s v="PREPA TEC - Los Angeles"/>
    <x v="1"/>
    <s v="Magnolia Avenue Elementary"/>
    <s v="19 64733 6017990"/>
    <n v="1"/>
    <n v="1"/>
    <n v="291"/>
    <n v="286"/>
    <n v="32156"/>
    <n v="22428"/>
    <n v="54584"/>
  </r>
  <r>
    <s v="19"/>
    <s v="64733"/>
    <s v="0127985"/>
    <s v="1536"/>
    <s v="D"/>
    <s v="Ingenium Charter Middle"/>
    <x v="1"/>
    <s v="Magnolia Avenue Elementary"/>
    <s v="19 64733 6017990"/>
    <n v="1"/>
    <n v="1"/>
    <n v="144"/>
    <n v="91"/>
    <n v="15912"/>
    <n v="7136"/>
    <n v="23048"/>
  </r>
  <r>
    <s v="19"/>
    <s v="64733"/>
    <s v="0128009"/>
    <s v="1530"/>
    <s v="D"/>
    <s v="Alliance Virgil Roberts Leadership Academy"/>
    <x v="1"/>
    <s v="Magnolia Avenue Elementary"/>
    <s v="19 64733 6017990"/>
    <n v="1"/>
    <n v="1"/>
    <n v="387"/>
    <n v="377"/>
    <n v="42764"/>
    <n v="29564"/>
    <n v="72328"/>
  </r>
  <r>
    <s v="19"/>
    <s v="64733"/>
    <s v="0128033"/>
    <s v="1531"/>
    <s v="D"/>
    <s v="Alliance College-Ready Middle Academy 8"/>
    <x v="1"/>
    <s v="Magnolia Avenue Elementary"/>
    <s v="19 64733 6017990"/>
    <n v="1"/>
    <n v="1"/>
    <n v="407"/>
    <n v="389"/>
    <n v="44974"/>
    <n v="30505"/>
    <n v="75479"/>
  </r>
  <r>
    <s v="19"/>
    <s v="64733"/>
    <s v="0128041"/>
    <s v="1532"/>
    <s v="D"/>
    <s v="Alliance Kory Hunter Middle"/>
    <x v="1"/>
    <s v="Magnolia Avenue Elementary"/>
    <s v="19 64733 6017990"/>
    <n v="1"/>
    <n v="1"/>
    <n v="463"/>
    <n v="448"/>
    <n v="51162"/>
    <n v="35132"/>
    <n v="86294"/>
  </r>
  <r>
    <s v="19"/>
    <s v="64733"/>
    <s v="0128058"/>
    <s v="1533"/>
    <s v="D"/>
    <s v="Alliance College-Ready Middle Academy 12"/>
    <x v="1"/>
    <s v="Magnolia Avenue Elementary"/>
    <s v="19 64733 6017990"/>
    <n v="1"/>
    <n v="1"/>
    <n v="493"/>
    <n v="486"/>
    <n v="54477"/>
    <n v="38112"/>
    <n v="92589"/>
  </r>
  <r>
    <s v="19"/>
    <s v="64733"/>
    <s v="0128132"/>
    <s v="1562"/>
    <s v="D"/>
    <s v="Extera Public School No. 2"/>
    <x v="1"/>
    <s v="Extera Public School No. 2"/>
    <s v="19 64733 0128132"/>
    <n v="0.99529999999999996"/>
    <n v="1"/>
    <n v="215"/>
    <n v="214"/>
    <n v="23758"/>
    <n v="16782"/>
    <n v="40540"/>
  </r>
  <r>
    <s v="19"/>
    <s v="64733"/>
    <s v="0128371"/>
    <s v="1567"/>
    <s v="D"/>
    <s v="new Horizons Charter Academy"/>
    <x v="1"/>
    <s v="new Horizons Charter Academy"/>
    <s v="19 64733 0128371"/>
    <n v="0.82030000000000003"/>
    <n v="1"/>
    <n v="256"/>
    <n v="210"/>
    <n v="28288"/>
    <n v="16468"/>
    <n v="44756"/>
  </r>
  <r>
    <s v="19"/>
    <s v="64733"/>
    <s v="0128512"/>
    <s v="1586"/>
    <s v="D"/>
    <s v="KIPP Academy of Innovation"/>
    <x v="1"/>
    <s v="Magnolia Avenue Elementary"/>
    <s v="19 64733 6017990"/>
    <n v="1"/>
    <n v="1"/>
    <n v="459"/>
    <n v="411"/>
    <n v="50720"/>
    <n v="32230"/>
    <n v="82950"/>
  </r>
  <r>
    <s v="19"/>
    <s v="64733"/>
    <s v="0129270"/>
    <s v="1624"/>
    <s v="D"/>
    <s v="Animo Mae Jemison Charter Middle"/>
    <x v="1"/>
    <s v="Magnolia Avenue Elementary"/>
    <s v="19 64733 6017990"/>
    <n v="1"/>
    <n v="1"/>
    <n v="472"/>
    <n v="455"/>
    <n v="52157"/>
    <n v="35681"/>
    <n v="87838"/>
  </r>
  <r>
    <s v="19"/>
    <s v="64733"/>
    <s v="0129460"/>
    <s v="1587"/>
    <s v="D"/>
    <s v="KIPP Vida Preparatory Academy"/>
    <x v="1"/>
    <s v="KIPP Vida Preparatory Academy"/>
    <s v="19 64733 0129460"/>
    <n v="0.92779999999999996"/>
    <n v="1"/>
    <n v="568"/>
    <n v="527"/>
    <n v="62765"/>
    <n v="41327"/>
    <n v="104092"/>
  </r>
  <r>
    <s v="19"/>
    <s v="64733"/>
    <s v="0129593"/>
    <s v="1626"/>
    <s v="D"/>
    <s v="PUC Inspire Charter Academy"/>
    <x v="1"/>
    <s v="Magnolia Avenue Elementary"/>
    <s v="19 64733 6017990"/>
    <n v="1"/>
    <n v="1"/>
    <n v="195"/>
    <n v="191"/>
    <n v="21548"/>
    <n v="14978"/>
    <n v="36526"/>
  </r>
  <r>
    <s v="19"/>
    <s v="64733"/>
    <s v="0129619"/>
    <s v="1657"/>
    <s v="D"/>
    <s v="PUC Community Charter Elementary"/>
    <x v="1"/>
    <s v="PUC Community Charter Elementary"/>
    <s v="19 64733 0129619"/>
    <n v="0.87709999999999999"/>
    <n v="1"/>
    <n v="301"/>
    <n v="264"/>
    <n v="33261"/>
    <n v="20703"/>
    <n v="53964"/>
  </r>
  <r>
    <s v="19"/>
    <s v="64733"/>
    <s v="0129627"/>
    <s v="1658"/>
    <s v="D"/>
    <s v="TEACH Tech Charter high"/>
    <x v="1"/>
    <s v="Magnolia Avenue Elementary"/>
    <s v="19 64733 6017990"/>
    <n v="1"/>
    <n v="1"/>
    <n v="410"/>
    <n v="399"/>
    <n v="45306"/>
    <n v="31289"/>
    <n v="76595"/>
  </r>
  <r>
    <s v="19"/>
    <s v="64733"/>
    <s v="0129650"/>
    <s v="1669"/>
    <s v="D"/>
    <s v="Equitas Academy #3 Charter"/>
    <x v="1"/>
    <s v="Equitas Academy #3 Charter"/>
    <s v="19 64733 0129650"/>
    <n v="0.88580000000000003"/>
    <n v="1"/>
    <n v="473"/>
    <n v="419"/>
    <n v="52267"/>
    <n v="32858"/>
    <n v="85125"/>
  </r>
  <r>
    <s v="19"/>
    <s v="64733"/>
    <s v="0129833"/>
    <s v="1641"/>
    <s v="D"/>
    <s v="Global Education Academy 2"/>
    <x v="1"/>
    <s v="Global Education Academy 2"/>
    <s v="19 64733 0129833"/>
    <n v="0.78949999999999998"/>
    <n v="1"/>
    <n v="76"/>
    <n v="60"/>
    <n v="8398"/>
    <n v="4705"/>
    <n v="13103"/>
  </r>
  <r>
    <s v="19"/>
    <s v="64733"/>
    <s v="0129858"/>
    <s v="1638"/>
    <s v="D"/>
    <s v="Everest Value"/>
    <x v="1"/>
    <s v="Everest Value"/>
    <s v="19 64733 0129858"/>
    <n v="0.72389999999999999"/>
    <n v="1"/>
    <n v="326"/>
    <n v="236"/>
    <n v="36024"/>
    <n v="18507"/>
    <n v="54531"/>
  </r>
  <r>
    <s v="19"/>
    <s v="64733"/>
    <s v="0129866"/>
    <s v="1639"/>
    <s v="D"/>
    <s v="Village Charter Academy"/>
    <x v="1"/>
    <s v="Village Charter Academy"/>
    <s v="19 64733 0129866"/>
    <n v="0.77890000000000004"/>
    <n v="1"/>
    <n v="294"/>
    <n v="229"/>
    <n v="32487"/>
    <n v="17958"/>
    <n v="50445"/>
  </r>
  <r>
    <s v="19"/>
    <s v="64733"/>
    <s v="0131466"/>
    <s v="1605"/>
    <s v="D"/>
    <s v="Fenton STEM Academy: Elementary Center for Science, Technology, Engineering, and Math"/>
    <x v="1"/>
    <s v="Fenton STEM Academy: Elementary Center for Science, Technology, Engineering, and Math"/>
    <s v="19 64733 0131466"/>
    <n v="0.80469999999999997"/>
    <n v="1"/>
    <n v="297"/>
    <n v="239"/>
    <n v="32819"/>
    <n v="18742"/>
    <n v="51561"/>
  </r>
  <r>
    <s v="19"/>
    <s v="64733"/>
    <s v="0131722"/>
    <s v="1613"/>
    <s v="D"/>
    <s v="Fenton Charter Leadership Academy"/>
    <x v="1"/>
    <s v="Fenton Charter Leadership Academy"/>
    <s v="19 64733 0131722"/>
    <n v="0.80649999999999999"/>
    <n v="1"/>
    <n v="310"/>
    <n v="250"/>
    <n v="34256"/>
    <n v="19605"/>
    <n v="53861"/>
  </r>
  <r>
    <s v="19"/>
    <s v="64733"/>
    <s v="0131771"/>
    <s v="1720"/>
    <s v="D"/>
    <s v="KIPP Ignite Academy"/>
    <x v="1"/>
    <s v="KIPP Ignite Academy"/>
    <s v="19 64733 0131771"/>
    <n v="0.95640000000000003"/>
    <n v="1"/>
    <n v="413"/>
    <n v="395"/>
    <n v="45637"/>
    <n v="30975"/>
    <n v="76612"/>
  </r>
  <r>
    <s v="19"/>
    <s v="64733"/>
    <s v="0131797"/>
    <s v="1721"/>
    <s v="D"/>
    <s v="KIPP Promesa Prep"/>
    <x v="1"/>
    <s v="KIPP Promesa Prep"/>
    <s v="19 64733 0131797"/>
    <n v="0.86929999999999996"/>
    <n v="1"/>
    <n v="482"/>
    <n v="419"/>
    <n v="53262"/>
    <n v="32858"/>
    <n v="86120"/>
  </r>
  <r>
    <s v="19"/>
    <s v="64733"/>
    <s v="0131821"/>
    <s v="1722"/>
    <s v="D"/>
    <s v="Collegiate Charter High School of Los Angeles"/>
    <x v="1"/>
    <s v="Magnolia Avenue Elementary"/>
    <s v="19 64733 6017990"/>
    <n v="1"/>
    <n v="1"/>
    <n v="162"/>
    <n v="149"/>
    <n v="17901"/>
    <n v="11684"/>
    <n v="29585"/>
  </r>
  <r>
    <s v="19"/>
    <s v="64733"/>
    <s v="0131904"/>
    <s v="1711"/>
    <s v="D"/>
    <s v="Libertas College Preparatory Charter School"/>
    <x v="1"/>
    <s v="Libertas College Preparatory Charter School"/>
    <s v="19 64733 0131904"/>
    <n v="0.81850000000000001"/>
    <n v="1"/>
    <n v="270"/>
    <n v="221"/>
    <n v="29835"/>
    <n v="17331"/>
    <n v="47166"/>
  </r>
  <r>
    <s v="19"/>
    <s v="64733"/>
    <s v="0132027"/>
    <s v="1723"/>
    <s v="D"/>
    <s v="University Preparatory Value High"/>
    <x v="1"/>
    <s v="Magnolia Avenue Elementary"/>
    <s v="19 64733 6017990"/>
    <n v="1"/>
    <n v="1"/>
    <n v="485"/>
    <n v="318"/>
    <n v="53593"/>
    <n v="24937"/>
    <n v="78530"/>
  </r>
  <r>
    <s v="19"/>
    <s v="64733"/>
    <s v="0132084"/>
    <s v="1738"/>
    <s v="D"/>
    <s v="Alliance Marine - Innovation and Technology 6-12 Complex"/>
    <x v="1"/>
    <s v="Alliance Marine - Innovation and Technology 6-12 Complex"/>
    <s v="19 64733 0132084"/>
    <n v="0.92300000000000004"/>
    <n v="1"/>
    <n v="1013"/>
    <n v="935"/>
    <n v="111938"/>
    <n v="73322"/>
    <n v="185260"/>
  </r>
  <r>
    <s v="19"/>
    <s v="64733"/>
    <s v="0132126"/>
    <s v="1724"/>
    <s v="D"/>
    <s v="Bert Corona Charter High"/>
    <x v="1"/>
    <s v="Magnolia Avenue Elementary"/>
    <s v="19 64733 6017990"/>
    <n v="1"/>
    <n v="1"/>
    <n v="200"/>
    <n v="183"/>
    <n v="22100"/>
    <n v="14351"/>
    <n v="36451"/>
  </r>
  <r>
    <s v="19"/>
    <s v="64733"/>
    <s v="0132282"/>
    <s v="1702"/>
    <s v="D"/>
    <s v="Ednovate - East College Prep"/>
    <x v="1"/>
    <s v="Magnolia Avenue Elementary"/>
    <s v="19 64733 6017990"/>
    <n v="1"/>
    <n v="1"/>
    <n v="350"/>
    <n v="276"/>
    <n v="38676"/>
    <n v="21644"/>
    <n v="60320"/>
  </r>
  <r>
    <s v="19"/>
    <s v="64733"/>
    <s v="0132928"/>
    <s v="1685"/>
    <s v="D"/>
    <s v="Anahuacalmecac International University Preparatory of North America"/>
    <x v="1"/>
    <s v="Anahuacalmecac International University Preparatory of North America"/>
    <s v="19 64733 0132928"/>
    <n v="0.86970000000000003"/>
    <n v="1"/>
    <n v="261"/>
    <n v="227"/>
    <n v="28841"/>
    <n v="17801"/>
    <n v="46642"/>
  </r>
  <r>
    <s v="19"/>
    <s v="64733"/>
    <s v="0133272"/>
    <s v="0797"/>
    <s v="D"/>
    <s v="PUC Triumph Charter Academy and PUC Triumph Charter High"/>
    <x v="1"/>
    <s v="PUC Triumph Charter Academy and PUC Triumph Charter High"/>
    <s v="19 64733 0133272"/>
    <n v="0.95850000000000002"/>
    <n v="1"/>
    <n v="796"/>
    <n v="763"/>
    <n v="87959"/>
    <n v="59834"/>
    <n v="147793"/>
  </r>
  <r>
    <s v="19"/>
    <s v="64733"/>
    <s v="0133280"/>
    <s v="1092"/>
    <s v="D"/>
    <s v="PUC Nueva Esperanza Charter Academy"/>
    <x v="1"/>
    <s v="Magnolia Avenue Elementary"/>
    <s v="19 64733 6017990"/>
    <n v="1"/>
    <n v="1"/>
    <n v="346"/>
    <n v="316"/>
    <n v="38234"/>
    <n v="24780"/>
    <n v="63014"/>
  </r>
  <r>
    <s v="19"/>
    <s v="64733"/>
    <s v="0133298"/>
    <s v="0331"/>
    <s v="D"/>
    <s v="PUC CALS Middle and Early College High"/>
    <x v="1"/>
    <s v="PUC CALS Middle and Early College High"/>
    <s v="19 64733 0133298"/>
    <n v="0.89810000000000001"/>
    <n v="1"/>
    <n v="373"/>
    <n v="335"/>
    <n v="41217"/>
    <n v="26270"/>
    <n v="67487"/>
  </r>
  <r>
    <s v="19"/>
    <s v="64733"/>
    <s v="0133686"/>
    <s v="1785"/>
    <s v="D"/>
    <s v="Equitas Academy 4"/>
    <x v="1"/>
    <s v="Magnolia Avenue Elementary"/>
    <s v="19 64733 6017990"/>
    <n v="1"/>
    <n v="1"/>
    <n v="390"/>
    <n v="361"/>
    <n v="43096"/>
    <n v="28309"/>
    <n v="71405"/>
  </r>
  <r>
    <s v="19"/>
    <s v="64733"/>
    <s v="0133694"/>
    <s v="1787"/>
    <s v="D"/>
    <s v="Valor Academy Elementary"/>
    <x v="1"/>
    <s v="Valor Academy Elementary"/>
    <s v="19 64733 0133694"/>
    <n v="0.88949999999999996"/>
    <n v="1"/>
    <n v="371"/>
    <n v="330"/>
    <n v="40996"/>
    <n v="25878"/>
    <n v="66874"/>
  </r>
  <r>
    <s v="19"/>
    <s v="64733"/>
    <s v="0133702"/>
    <s v="1788"/>
    <s v="D"/>
    <s v="New Los Angeles Charter Elementary"/>
    <x v="1"/>
    <s v="New Los Angeles Charter Elementary"/>
    <s v="19 64733 0133702"/>
    <n v="0.80830000000000002"/>
    <n v="1"/>
    <n v="193"/>
    <n v="156"/>
    <n v="21327"/>
    <n v="12233"/>
    <n v="33560"/>
  </r>
  <r>
    <s v="19"/>
    <s v="64733"/>
    <s v="0133710"/>
    <s v="1791"/>
    <s v="D"/>
    <s v="Girls Athletic Leadership School Los Angeles"/>
    <x v="1"/>
    <s v="Magnolia Avenue Elementary"/>
    <s v="19 64733 6017990"/>
    <n v="1"/>
    <n v="1"/>
    <n v="157"/>
    <n v="135"/>
    <n v="17349"/>
    <n v="10587"/>
    <n v="27936"/>
  </r>
  <r>
    <s v="19"/>
    <s v="64733"/>
    <s v="0133868"/>
    <s v="1786"/>
    <s v="D"/>
    <s v="Rise Kohyang High"/>
    <x v="1"/>
    <s v="Magnolia Avenue Elementary"/>
    <s v="19 64733 6017990"/>
    <n v="1"/>
    <n v="1"/>
    <n v="473"/>
    <n v="437"/>
    <n v="52267"/>
    <n v="34269"/>
    <n v="86536"/>
  </r>
  <r>
    <s v="19"/>
    <s v="64733"/>
    <s v="0134023"/>
    <s v="1794"/>
    <s v="D"/>
    <s v="Animo Florence-Firestone Charter Middle"/>
    <x v="1"/>
    <s v="Magnolia Avenue Elementary"/>
    <s v="19 64733 6017990"/>
    <n v="1"/>
    <n v="1"/>
    <n v="443"/>
    <n v="435"/>
    <n v="48952"/>
    <n v="34112"/>
    <n v="83064"/>
  </r>
  <r>
    <s v="19"/>
    <s v="64733"/>
    <s v="0134205"/>
    <s v="1806"/>
    <s v="D"/>
    <s v="Arts in Action Community Middle"/>
    <x v="1"/>
    <s v="Magnolia Avenue Elementary"/>
    <s v="19 64733 6017990"/>
    <n v="1"/>
    <n v="1"/>
    <n v="255"/>
    <n v="243"/>
    <n v="28178"/>
    <n v="19056"/>
    <n v="47234"/>
  </r>
  <r>
    <s v="19"/>
    <s v="64733"/>
    <s v="0135509"/>
    <s v="1853"/>
    <s v="D"/>
    <s v="Gabriella Charter 2"/>
    <x v="1"/>
    <s v="Gabriella Charter 2"/>
    <s v="19 64733 0135509"/>
    <n v="0.96519999999999995"/>
    <n v="1"/>
    <n v="374"/>
    <n v="361"/>
    <n v="41328"/>
    <n v="28309"/>
    <n v="69637"/>
  </r>
  <r>
    <s v="19"/>
    <s v="64733"/>
    <s v="0135517"/>
    <s v="1855"/>
    <s v="D"/>
    <s v="KIPP Corazon Academy"/>
    <x v="1"/>
    <s v="KIPP Corazon Academy"/>
    <s v="19 64733 0135517"/>
    <n v="0.85509999999999997"/>
    <n v="1"/>
    <n v="1056"/>
    <n v="903"/>
    <n v="116690"/>
    <n v="70812"/>
    <n v="187502"/>
  </r>
  <r>
    <s v="19"/>
    <s v="64733"/>
    <s v="0135616"/>
    <s v="1854"/>
    <s v="D"/>
    <s v="Crete Academy"/>
    <x v="1"/>
    <s v="Crete Academy"/>
    <s v="19 64733 0135616"/>
    <n v="0.92120000000000002"/>
    <n v="1"/>
    <n v="330"/>
    <n v="304"/>
    <n v="36466"/>
    <n v="23839"/>
    <n v="60305"/>
  </r>
  <r>
    <s v="19"/>
    <s v="64733"/>
    <s v="0135632"/>
    <s v="1863"/>
    <s v="D"/>
    <s v="WISH Academy High School"/>
    <x v="1"/>
    <s v="Magnolia Avenue Elementary"/>
    <s v="19 64733 6017990"/>
    <n v="1"/>
    <n v="1"/>
    <n v="276"/>
    <n v="92"/>
    <n v="30498"/>
    <n v="7215"/>
    <n v="37713"/>
  </r>
  <r>
    <s v="19"/>
    <s v="64733"/>
    <s v="0135715"/>
    <s v="1842"/>
    <s v="D"/>
    <s v="Ednovate - Esperanza College Prep"/>
    <x v="1"/>
    <s v="Magnolia Avenue Elementary"/>
    <s v="19 64733 6017990"/>
    <n v="1"/>
    <n v="1"/>
    <n v="494"/>
    <n v="377"/>
    <n v="54588"/>
    <n v="29564"/>
    <n v="84152"/>
  </r>
  <r>
    <s v="19"/>
    <s v="64733"/>
    <s v="0135723"/>
    <s v="1843"/>
    <s v="D"/>
    <s v="Ednovate - Brio College Prep"/>
    <x v="1"/>
    <s v="Magnolia Avenue Elementary"/>
    <s v="19 64733 6017990"/>
    <n v="1"/>
    <n v="1"/>
    <n v="484"/>
    <n v="251"/>
    <n v="53483"/>
    <n v="19683"/>
    <n v="73166"/>
  </r>
  <r>
    <s v="19"/>
    <s v="64733"/>
    <s v="0135921"/>
    <s v="1627"/>
    <s v="D"/>
    <s v="WISH Community School"/>
    <x v="1"/>
    <s v="WISH Community School"/>
    <s v="19 64733 0135921"/>
    <n v="0.1976"/>
    <n v="1"/>
    <n v="850"/>
    <n v="168"/>
    <n v="93926"/>
    <n v="13174"/>
    <n v="107100"/>
  </r>
  <r>
    <s v="19"/>
    <s v="64733"/>
    <s v="0135954"/>
    <s v="1858"/>
    <s v="D"/>
    <s v="ISANA Himalia Academy"/>
    <x v="1"/>
    <s v="ISANA Himalia Academy"/>
    <s v="19 64733 0135954"/>
    <n v="0.88100000000000001"/>
    <n v="1"/>
    <n v="630"/>
    <n v="555"/>
    <n v="69616"/>
    <n v="43523"/>
    <n v="113139"/>
  </r>
  <r>
    <s v="19"/>
    <s v="64733"/>
    <s v="0136986"/>
    <s v="1925"/>
    <s v="D"/>
    <s v="STEM Preparatory Elementary"/>
    <x v="1"/>
    <s v="STEM Preparatory Elementary"/>
    <s v="19 64733 0136986"/>
    <n v="0.82150000000000001"/>
    <n v="1"/>
    <n v="325"/>
    <n v="267"/>
    <n v="35913"/>
    <n v="20938"/>
    <n v="56851"/>
  </r>
  <r>
    <s v="19"/>
    <s v="64733"/>
    <s v="0136994"/>
    <s v="1927"/>
    <s v="D"/>
    <s v="Rise Kohyang Elementary School"/>
    <x v="1"/>
    <s v="Rise Kohyang Elementary School"/>
    <s v="19 64733 0136994"/>
    <n v="0.94589999999999996"/>
    <n v="1"/>
    <n v="185"/>
    <n v="175"/>
    <n v="20443"/>
    <n v="13723"/>
    <n v="34166"/>
  </r>
  <r>
    <s v="19"/>
    <s v="64733"/>
    <s v="0137463"/>
    <s v="1960"/>
    <s v="D"/>
    <s v="California Creative Learning Academy MS"/>
    <x v="1"/>
    <s v="Magnolia Avenue Elementary"/>
    <s v="19 64733 6017990"/>
    <n v="1"/>
    <n v="1"/>
    <n v="122"/>
    <n v="61"/>
    <n v="13481"/>
    <n v="4784"/>
    <n v="18265"/>
  </r>
  <r>
    <s v="19"/>
    <s v="64733"/>
    <s v="0137471"/>
    <s v="1929"/>
    <s v="D"/>
    <s v="High Tech LA Middle School"/>
    <x v="1"/>
    <s v="Magnolia Avenue Elementary"/>
    <s v="19 64733 6017990"/>
    <n v="1"/>
    <n v="1"/>
    <n v="235"/>
    <n v="121"/>
    <n v="25968"/>
    <n v="9489"/>
    <n v="35457"/>
  </r>
  <r>
    <s v="19"/>
    <s v="64733"/>
    <s v="0137513"/>
    <s v="1959"/>
    <s v="D"/>
    <s v="Learning by Design Charter School"/>
    <x v="1"/>
    <s v="Learning by Design Charter School"/>
    <s v="19 64733 0137513"/>
    <n v="0.68810000000000004"/>
    <n v="1"/>
    <n v="109"/>
    <n v="75"/>
    <n v="12045"/>
    <n v="5881"/>
    <n v="17926"/>
  </r>
  <r>
    <s v="19"/>
    <s v="64733"/>
    <s v="0137521"/>
    <s v="1917"/>
    <s v="D"/>
    <s v="Vox Collegiate of Los Angeles"/>
    <x v="1"/>
    <s v="Vox Collegiate of Los Angeles"/>
    <s v="19 64733 0137521"/>
    <n v="0.96150000000000002"/>
    <n v="1"/>
    <n v="182"/>
    <n v="175"/>
    <n v="20111"/>
    <n v="13723"/>
    <n v="33834"/>
  </r>
  <r>
    <s v="19"/>
    <s v="64733"/>
    <s v="0137562"/>
    <s v="1961"/>
    <s v="D"/>
    <s v="Matrix For Success Academy"/>
    <x v="1"/>
    <s v="Magnolia Avenue Elementary"/>
    <s v="19 64733 6017990"/>
    <n v="1"/>
    <n v="1"/>
    <n v="170"/>
    <n v="160"/>
    <n v="18785"/>
    <n v="12547"/>
    <n v="31332"/>
  </r>
  <r>
    <s v="19"/>
    <s v="64733"/>
    <s v="0137604"/>
    <s v="1866"/>
    <s v="D"/>
    <s v="Stella Elementary Charter Academy"/>
    <x v="1"/>
    <s v="Stella Elementary Charter Academy"/>
    <s v="19 64733 0137604"/>
    <n v="0.9355"/>
    <n v="1"/>
    <n v="248"/>
    <n v="232"/>
    <n v="27404"/>
    <n v="18193"/>
    <n v="45597"/>
  </r>
  <r>
    <s v="19"/>
    <s v="64733"/>
    <s v="0137612"/>
    <s v="1926"/>
    <s v="D"/>
    <s v="Valley International Preparatory High School"/>
    <x v="1"/>
    <s v="Magnolia Avenue Elementary"/>
    <s v="19 64733 6017990"/>
    <n v="1"/>
    <n v="1"/>
    <n v="275"/>
    <n v="74"/>
    <n v="30388"/>
    <n v="5803"/>
    <n v="36191"/>
  </r>
  <r>
    <s v="19"/>
    <s v="64733"/>
    <s v="0138305"/>
    <s v="2004"/>
    <s v="D"/>
    <s v="TEACH Preparatory Mildred S. Cunningham &amp; Edith H. Morris Elementary"/>
    <x v="1"/>
    <s v="TEACH Preparatory Mildred S. Cunningham &amp; Edith H. Morris Elementary"/>
    <s v="19 64733 0138305"/>
    <n v="0.9718"/>
    <n v="1"/>
    <n v="248"/>
    <n v="241"/>
    <n v="27404"/>
    <n v="18899"/>
    <n v="46303"/>
  </r>
  <r>
    <s v="19"/>
    <s v="64733"/>
    <s v="0138883"/>
    <s v="2030"/>
    <s v="D"/>
    <s v="Equitas Academy 6"/>
    <x v="1"/>
    <s v="Equitas Academy 6"/>
    <s v="19 64733 0138883"/>
    <n v="0.879"/>
    <n v="1"/>
    <n v="124"/>
    <n v="109"/>
    <n v="13702"/>
    <n v="8548"/>
    <n v="22250"/>
  </r>
  <r>
    <s v="19"/>
    <s v="64733"/>
    <s v="0139071"/>
    <s v="2041"/>
    <s v="D"/>
    <s v="KIPP Pueblo Unido"/>
    <x v="1"/>
    <s v="KIPP Pueblo Unido"/>
    <s v="19 64733 0139071"/>
    <n v="0.9446"/>
    <n v="1"/>
    <n v="343"/>
    <n v="324"/>
    <n v="37902"/>
    <n v="25408"/>
    <n v="63310"/>
  </r>
  <r>
    <s v="19"/>
    <s v="64733"/>
    <s v="0139089"/>
    <s v="2043"/>
    <s v="D"/>
    <s v="Vista Horizon Global Academy"/>
    <x v="1"/>
    <s v="Vista Horizon Global Academy"/>
    <s v="19 64733 0139089"/>
    <n v="0.79830000000000001"/>
    <n v="1"/>
    <n v="119"/>
    <n v="95"/>
    <n v="13150"/>
    <n v="7450"/>
    <n v="20600"/>
  </r>
  <r>
    <s v="19"/>
    <s v="64733"/>
    <s v="0139097"/>
    <s v="2042"/>
    <s v="D"/>
    <s v="Scholarship Prep - South Bay"/>
    <x v="1"/>
    <s v="Scholarship Prep - South Bay"/>
    <s v="19 64733 0139097"/>
    <n v="0.9042"/>
    <n v="1"/>
    <n v="407"/>
    <n v="368"/>
    <n v="44974"/>
    <n v="28858"/>
    <n v="73832"/>
  </r>
  <r>
    <s v="19"/>
    <s v="64733"/>
    <s v="0139121"/>
    <s v="2040"/>
    <s v="D"/>
    <s v="Equitas Academy 5"/>
    <x v="1"/>
    <s v="Equitas Academy 5"/>
    <s v="19 64733 0139121"/>
    <n v="0.90290000000000004"/>
    <n v="1"/>
    <n v="175"/>
    <n v="158"/>
    <n v="19338"/>
    <n v="12390"/>
    <n v="31728"/>
  </r>
  <r>
    <s v="19"/>
    <s v="64733"/>
    <s v="0139832"/>
    <s v="2082"/>
    <s v="D"/>
    <s v="Citizens of the World Charter School West Valley"/>
    <x v="1"/>
    <s v="Citizens of the World Charter School West Valley"/>
    <s v="19 64733 0139832"/>
    <n v="0.25530000000000003"/>
    <n v="1"/>
    <n v="282"/>
    <n v="72"/>
    <n v="31161"/>
    <n v="5646"/>
    <n v="36807"/>
  </r>
  <r>
    <s v="19"/>
    <s v="64733"/>
    <s v="0140004"/>
    <s v="2080"/>
    <s v="D"/>
    <s v="El Rio Community"/>
    <x v="1"/>
    <s v="El Rio Community"/>
    <s v="19 64733 0140004"/>
    <n v="0.13789999999999999"/>
    <n v="1"/>
    <n v="203"/>
    <n v="28"/>
    <n v="22432"/>
    <n v="2196"/>
    <n v="24628"/>
  </r>
  <r>
    <s v="19"/>
    <s v="64733"/>
    <s v="0140111"/>
    <s v="2088"/>
    <s v="D"/>
    <s v="Invictus Leadership Academy"/>
    <x v="1"/>
    <s v="Invictus Leadership Academy"/>
    <s v="19 64733 0140111"/>
    <n v="0.94789999999999996"/>
    <n v="1"/>
    <n v="96"/>
    <n v="91"/>
    <n v="10608"/>
    <n v="7136"/>
    <n v="17744"/>
  </r>
  <r>
    <s v="19"/>
    <s v="64733"/>
    <s v="0140129"/>
    <s v="2087"/>
    <s v="D"/>
    <s v="Ednovate - South LA College Prep"/>
    <x v="1"/>
    <s v="Magnolia Avenue Elementary"/>
    <s v="19 64733 6017990"/>
    <n v="1"/>
    <n v="1"/>
    <n v="327"/>
    <n v="237"/>
    <n v="36134"/>
    <n v="18585"/>
    <n v="54719"/>
  </r>
  <r>
    <s v="19"/>
    <s v="64733"/>
    <s v="0140749"/>
    <s v="2081"/>
    <s v="D"/>
    <s v="Citizens of the World Charter School East Valley"/>
    <x v="1"/>
    <s v="Citizens of the World Charter School East Valley"/>
    <s v="19 64733 0140749"/>
    <n v="0.2"/>
    <n v="1"/>
    <n v="305"/>
    <n v="61"/>
    <n v="33703"/>
    <n v="4784"/>
    <n v="38487"/>
  </r>
  <r>
    <s v="19"/>
    <s v="64733"/>
    <s v="0141481"/>
    <s v="2079"/>
    <s v="D"/>
    <s v="KIPP Generations Academy"/>
    <x v="1"/>
    <s v="KIPP Generations Academy"/>
    <s v="19 64733 0141481"/>
    <n v="0.76919999999999999"/>
    <n v="1"/>
    <n v="117"/>
    <n v="90"/>
    <n v="12929"/>
    <n v="7058"/>
    <n v="19987"/>
  </r>
  <r>
    <s v="19"/>
    <s v="64733"/>
    <s v="1931047"/>
    <s v="1119"/>
    <s v="D"/>
    <s v="Birmingham Community Charter High"/>
    <x v="1"/>
    <s v="Magnolia Avenue Elementary"/>
    <s v="19 64733 6017990"/>
    <n v="1"/>
    <n v="1"/>
    <n v="3058"/>
    <n v="2567"/>
    <n v="337914"/>
    <n v="201302"/>
    <n v="539216"/>
  </r>
  <r>
    <s v="19"/>
    <s v="64733"/>
    <s v="1931708"/>
    <s v="1581"/>
    <s v="L"/>
    <s v="Chatsworth Charter High"/>
    <x v="1"/>
    <s v="Magnolia Avenue Elementary"/>
    <s v="19 64733 6017990"/>
    <n v="1"/>
    <n v="1"/>
    <n v="1696"/>
    <n v="1162"/>
    <n v="187411"/>
    <n v="91123"/>
    <n v="278534"/>
  </r>
  <r>
    <s v="19"/>
    <s v="64733"/>
    <s v="1931864"/>
    <s v="1571"/>
    <s v="L"/>
    <s v="Grover Cleveland Charter High"/>
    <x v="1"/>
    <s v="Magnolia Avenue Elementary"/>
    <s v="19 64733 6017990"/>
    <n v="1"/>
    <n v="1"/>
    <n v="2781"/>
    <n v="1897"/>
    <n v="307305"/>
    <n v="148761"/>
    <n v="456066"/>
  </r>
  <r>
    <s v="19"/>
    <s v="64733"/>
    <s v="1932623"/>
    <s v="1314"/>
    <s v="D"/>
    <s v="El Camino Real Charter High"/>
    <x v="1"/>
    <s v="Magnolia Avenue Elementary"/>
    <s v="19 64733 6017990"/>
    <n v="1"/>
    <n v="1"/>
    <n v="3577"/>
    <n v="1114"/>
    <n v="395264"/>
    <n v="87359"/>
    <n v="482623"/>
  </r>
  <r>
    <s v="19"/>
    <s v="64733"/>
    <s v="1933746"/>
    <s v="0572"/>
    <s v="D"/>
    <s v="Granada Hills Charter"/>
    <x v="1"/>
    <s v="Granada Hills Charter"/>
    <s v="19 64733 1933746"/>
    <n v="0.48530000000000001"/>
    <n v="1"/>
    <n v="5869"/>
    <n v="2848"/>
    <n v="648534"/>
    <n v="223337"/>
    <n v="871871"/>
  </r>
  <r>
    <s v="19"/>
    <s v="64733"/>
    <s v="1937226"/>
    <s v="2005"/>
    <s v="L"/>
    <s v="Reseda Charter High"/>
    <x v="1"/>
    <s v="Reseda Charter High"/>
    <s v="19 64733 1937226"/>
    <n v="0.88739999999999997"/>
    <n v="1"/>
    <n v="1403"/>
    <n v="1245"/>
    <n v="155034"/>
    <n v="97632"/>
    <n v="252666"/>
  </r>
  <r>
    <s v="19"/>
    <s v="64733"/>
    <s v="1938554"/>
    <s v="1834"/>
    <s v="L"/>
    <s v="Sylmar Charter High"/>
    <x v="1"/>
    <s v="Magnolia Avenue Elementary"/>
    <s v="19 64733 6017990"/>
    <n v="1"/>
    <n v="1"/>
    <n v="1506"/>
    <n v="1361"/>
    <n v="166415"/>
    <n v="106728"/>
    <n v="273143"/>
  </r>
  <r>
    <s v="19"/>
    <s v="64733"/>
    <s v="1938612"/>
    <s v="1580"/>
    <s v="L"/>
    <s v="Taft Charter High"/>
    <x v="1"/>
    <s v="Magnolia Avenue Elementary"/>
    <s v="19 64733 6017990"/>
    <n v="1"/>
    <n v="1"/>
    <n v="2147"/>
    <n v="1134"/>
    <n v="237247"/>
    <n v="88927"/>
    <n v="326174"/>
  </r>
  <r>
    <s v="19"/>
    <s v="64733"/>
    <s v="1938885"/>
    <s v="2006"/>
    <s v="L"/>
    <s v="University High School Charter"/>
    <x v="1"/>
    <s v="Magnolia Avenue Elementary"/>
    <s v="19 64733 6017990"/>
    <n v="1"/>
    <n v="1"/>
    <n v="1338"/>
    <n v="960"/>
    <n v="147851"/>
    <n v="75282"/>
    <n v="223133"/>
  </r>
  <r>
    <s v="19"/>
    <s v="64733"/>
    <s v="1995836"/>
    <s v="0037"/>
    <s v="D"/>
    <s v="Palisades Charter High"/>
    <x v="1"/>
    <s v="Magnolia Avenue Elementary"/>
    <s v="19 64733 6017990"/>
    <n v="1"/>
    <n v="1"/>
    <n v="2959"/>
    <n v="783"/>
    <n v="326974"/>
    <n v="61402"/>
    <n v="388376"/>
  </r>
  <r>
    <s v="19"/>
    <s v="64733"/>
    <s v="1996610"/>
    <s v="0461"/>
    <s v="D"/>
    <s v="Los Angeles Leadership Academy"/>
    <x v="1"/>
    <s v="Los Angeles Leadership Academy"/>
    <s v="19 64733 1996610"/>
    <n v="0.85529999999999995"/>
    <n v="1"/>
    <n v="387"/>
    <n v="331"/>
    <n v="42764"/>
    <n v="25957"/>
    <n v="68721"/>
  </r>
  <r>
    <s v="19"/>
    <s v="64733"/>
    <s v="6015986"/>
    <s v="1344"/>
    <s v="L"/>
    <s v="Beckford Charter for Enriched Studies"/>
    <x v="1"/>
    <s v="Beckford Charter for Enriched Studies"/>
    <s v="19 64733 6015986"/>
    <n v="0.22559999999999999"/>
    <n v="1"/>
    <n v="594"/>
    <n v="134"/>
    <n v="65638"/>
    <n v="10508"/>
    <n v="76146"/>
  </r>
  <r>
    <s v="19"/>
    <s v="64733"/>
    <s v="6016240"/>
    <s v="1345"/>
    <s v="L"/>
    <s v="Calabash Charter Academy"/>
    <x v="1"/>
    <s v="Calabash Charter Academy"/>
    <s v="19 64733 6016240"/>
    <n v="0.20530000000000001"/>
    <n v="1"/>
    <n v="414"/>
    <n v="85"/>
    <n v="45748"/>
    <n v="6666"/>
    <n v="52414"/>
  </r>
  <r>
    <s v="19"/>
    <s v="64733"/>
    <s v="6016265"/>
    <s v="1585"/>
    <s v="L"/>
    <s v="Calvert Charter For Enriched Studies"/>
    <x v="1"/>
    <s v="Calvert Charter For Enriched Studies"/>
    <s v="19 64733 6016265"/>
    <n v="0.73380000000000001"/>
    <n v="1"/>
    <n v="308"/>
    <n v="226"/>
    <n v="34035"/>
    <n v="17723"/>
    <n v="51758"/>
  </r>
  <r>
    <s v="19"/>
    <s v="64733"/>
    <s v="6016323"/>
    <s v="0226"/>
    <s v="L"/>
    <s v="Canyon Charter Elementary"/>
    <x v="1"/>
    <s v="Canyon Charter Elementary"/>
    <s v="19 64733 6016323"/>
    <n v="8.4199999999999997E-2"/>
    <n v="1"/>
    <n v="392"/>
    <n v="33"/>
    <n v="43317"/>
    <n v="2588"/>
    <n v="45905"/>
  </r>
  <r>
    <s v="19"/>
    <s v="64733"/>
    <s v="6016356"/>
    <s v="1235"/>
    <s v="L"/>
    <s v="Carpenter Community Charter"/>
    <x v="1"/>
    <s v="Carpenter Community Charter"/>
    <s v="19 64733 6016356"/>
    <n v="0.1096"/>
    <n v="1"/>
    <n v="858"/>
    <n v="94"/>
    <n v="94810"/>
    <n v="7371"/>
    <n v="102181"/>
  </r>
  <r>
    <s v="19"/>
    <s v="64733"/>
    <s v="6016562"/>
    <s v="1041"/>
    <s v="L"/>
    <s v="Colfax Charter Elementary"/>
    <x v="1"/>
    <s v="Colfax Charter Elementary"/>
    <s v="19 64733 6016562"/>
    <n v="0.24690000000000001"/>
    <n v="1"/>
    <n v="721"/>
    <n v="178"/>
    <n v="79672"/>
    <n v="13959"/>
    <n v="93631"/>
  </r>
  <r>
    <s v="19"/>
    <s v="64733"/>
    <s v="6016729"/>
    <s v="1481"/>
    <s v="L"/>
    <s v="Dearborn Elementary Charter Academy"/>
    <x v="1"/>
    <s v="Dearborn Elementary Charter Academy"/>
    <s v="19 64733 6016729"/>
    <n v="0.59919999999999995"/>
    <n v="1"/>
    <n v="514"/>
    <n v="308"/>
    <n v="56798"/>
    <n v="24153"/>
    <n v="80951"/>
  </r>
  <r>
    <s v="19"/>
    <s v="64733"/>
    <s v="6016778"/>
    <s v="1469"/>
    <s v="L"/>
    <s v="Dixie Canyon Community Charter"/>
    <x v="1"/>
    <s v="Dixie Canyon Community Charter"/>
    <s v="19 64733 6016778"/>
    <n v="0.25740000000000002"/>
    <n v="1"/>
    <n v="623"/>
    <n v="160"/>
    <n v="68843"/>
    <n v="12547"/>
    <n v="81390"/>
  </r>
  <r>
    <s v="19"/>
    <s v="64733"/>
    <s v="6016869"/>
    <s v="1466"/>
    <s v="L"/>
    <s v="El Oro Way Charter For Enriched Studies"/>
    <x v="1"/>
    <s v="El Oro Way Charter For Enriched Studies"/>
    <s v="19 64733 6016869"/>
    <n v="0.32800000000000001"/>
    <n v="1"/>
    <n v="439"/>
    <n v="144"/>
    <n v="48510"/>
    <n v="11292"/>
    <n v="59802"/>
  </r>
  <r>
    <s v="19"/>
    <s v="64733"/>
    <s v="6016935"/>
    <s v="1471"/>
    <s v="L"/>
    <s v="Encino Charter Elementary"/>
    <x v="1"/>
    <s v="Encino Charter Elementary"/>
    <s v="19 64733 6016935"/>
    <n v="0.32690000000000002"/>
    <n v="1"/>
    <n v="520"/>
    <n v="170"/>
    <n v="57461"/>
    <n v="13331"/>
    <n v="70792"/>
  </r>
  <r>
    <s v="19"/>
    <s v="64733"/>
    <s v="6017016"/>
    <s v="0030"/>
    <s v="D"/>
    <s v="Fenton Avenue Charter"/>
    <x v="1"/>
    <s v="Fenton Avenue Charter"/>
    <s v="19 64733 6017016"/>
    <n v="0.87219999999999998"/>
    <n v="1"/>
    <n v="634"/>
    <n v="553"/>
    <n v="70058"/>
    <n v="43366"/>
    <n v="113424"/>
  </r>
  <r>
    <s v="19"/>
    <s v="64733"/>
    <s v="6017438"/>
    <s v="1472"/>
    <s v="L"/>
    <s v="Hamlin Charter Academy"/>
    <x v="1"/>
    <s v="Hamlin Charter Academy"/>
    <s v="19 64733 6017438"/>
    <n v="0.57520000000000004"/>
    <n v="1"/>
    <n v="319"/>
    <n v="183"/>
    <n v="35250"/>
    <n v="14351"/>
    <n v="49601"/>
  </r>
  <r>
    <s v="19"/>
    <s v="64733"/>
    <s v="6017529"/>
    <s v="1470"/>
    <s v="L"/>
    <s v="Haynes Charter For Enriched Studies"/>
    <x v="1"/>
    <s v="Haynes Charter For Enriched Studies"/>
    <s v="19 64733 6017529"/>
    <n v="0.27860000000000001"/>
    <n v="1"/>
    <n v="411"/>
    <n v="115"/>
    <n v="45416"/>
    <n v="9018"/>
    <n v="54434"/>
  </r>
  <r>
    <s v="19"/>
    <s v="64733"/>
    <s v="6017693"/>
    <s v="1487"/>
    <s v="L"/>
    <s v="Justice Street Academy Charter"/>
    <x v="1"/>
    <s v="Justice Street Academy Charter"/>
    <s v="19 64733 6017693"/>
    <n v="0.3508"/>
    <n v="1"/>
    <n v="382"/>
    <n v="134"/>
    <n v="42212"/>
    <n v="10508"/>
    <n v="52720"/>
  </r>
  <r>
    <s v="19"/>
    <s v="64733"/>
    <s v="6017701"/>
    <s v="0227"/>
    <s v="L"/>
    <s v="Kenter Canyon Elementary Charter"/>
    <x v="1"/>
    <s v="Kenter Canyon Elementary Charter"/>
    <s v="19 64733 6017701"/>
    <n v="8.5900000000000004E-2"/>
    <n v="1"/>
    <n v="454"/>
    <n v="39"/>
    <n v="50168"/>
    <n v="3058"/>
    <n v="53226"/>
  </r>
  <r>
    <s v="19"/>
    <s v="64733"/>
    <s v="6017743"/>
    <s v="1486"/>
    <s v="L"/>
    <s v="Knollwood Preparatory Academy"/>
    <x v="1"/>
    <s v="Knollwood Preparatory Academy"/>
    <s v="19 64733 6017743"/>
    <n v="0.57179999999999997"/>
    <n v="1"/>
    <n v="386"/>
    <n v="221"/>
    <n v="42654"/>
    <n v="17331"/>
    <n v="59985"/>
  </r>
  <r>
    <s v="19"/>
    <s v="64733"/>
    <s v="6017891"/>
    <s v="1478"/>
    <s v="L"/>
    <s v="Lockhurst Drive Charter Elementary"/>
    <x v="1"/>
    <s v="Lockhurst Drive Charter Elementary"/>
    <s v="19 64733 6017891"/>
    <n v="0.2389"/>
    <n v="1"/>
    <n v="474"/>
    <n v="113"/>
    <n v="52378"/>
    <n v="8861"/>
    <n v="61239"/>
  </r>
  <r>
    <s v="19"/>
    <s v="64733"/>
    <s v="6018063"/>
    <s v="0228"/>
    <s v="L"/>
    <s v="Marquez Charter"/>
    <x v="1"/>
    <s v="Marquez Charter"/>
    <s v="19 64733 6018063"/>
    <n v="0.14330000000000001"/>
    <n v="1"/>
    <n v="314"/>
    <n v="45"/>
    <n v="34698"/>
    <n v="3529"/>
    <n v="38227"/>
  </r>
  <r>
    <s v="19"/>
    <s v="64733"/>
    <s v="6018204"/>
    <s v="0115"/>
    <s v="D"/>
    <s v="Montague Charter Academy"/>
    <x v="1"/>
    <s v="Montague Charter Academy"/>
    <s v="19 64733 6018204"/>
    <n v="0.85650000000000004"/>
    <n v="1"/>
    <n v="836"/>
    <n v="716"/>
    <n v="92379"/>
    <n v="56148"/>
    <n v="148527"/>
  </r>
  <r>
    <s v="19"/>
    <s v="64733"/>
    <s v="6018287"/>
    <s v="1465"/>
    <s v="L"/>
    <s v="Nestle Avenue Charter"/>
    <x v="1"/>
    <s v="Nestle Avenue Charter"/>
    <s v="19 64733 6018287"/>
    <n v="0.60470000000000002"/>
    <n v="1"/>
    <n v="387"/>
    <n v="234"/>
    <n v="42764"/>
    <n v="18350"/>
    <n v="61114"/>
  </r>
  <r>
    <s v="19"/>
    <s v="64733"/>
    <s v="6018634"/>
    <s v="0229"/>
    <s v="L"/>
    <s v="Palisades Charter Elementary"/>
    <x v="1"/>
    <s v="Palisades Charter Elementary"/>
    <s v="19 64733 6018634"/>
    <n v="0.10050000000000001"/>
    <n v="1"/>
    <n v="428"/>
    <n v="43"/>
    <n v="47295"/>
    <n v="3372"/>
    <n v="50667"/>
  </r>
  <r>
    <s v="19"/>
    <s v="64733"/>
    <s v="6018642"/>
    <s v="0583"/>
    <s v="D"/>
    <s v="Pacoima Charter Elementary"/>
    <x v="1"/>
    <s v="Pacoima Charter Elementary"/>
    <s v="19 64733 6018642"/>
    <n v="0.81189999999999996"/>
    <n v="1"/>
    <n v="950"/>
    <n v="771"/>
    <n v="104977"/>
    <n v="60461"/>
    <n v="165438"/>
  </r>
  <r>
    <s v="19"/>
    <s v="64733"/>
    <s v="6018725"/>
    <s v="1435"/>
    <s v="L"/>
    <s v="Plainview Academic Charter Academy"/>
    <x v="1"/>
    <s v="Plainview Academic Charter Academy"/>
    <s v="19 64733 6018725"/>
    <n v="0.91930000000000001"/>
    <n v="1"/>
    <n v="296"/>
    <n v="272"/>
    <n v="32708"/>
    <n v="21330"/>
    <n v="54038"/>
  </r>
  <r>
    <s v="19"/>
    <s v="64733"/>
    <s v="6018774"/>
    <s v="1347"/>
    <s v="L"/>
    <s v="Pomelo Community Charter"/>
    <x v="1"/>
    <s v="Pomelo Community Charter"/>
    <s v="19 64733 6018774"/>
    <n v="0.23449999999999999"/>
    <n v="1"/>
    <n v="563"/>
    <n v="132"/>
    <n v="62212"/>
    <n v="10351"/>
    <n v="72563"/>
  </r>
  <r>
    <s v="19"/>
    <s v="64733"/>
    <s v="6018923"/>
    <s v="1362"/>
    <s v="L"/>
    <s v="Riverside Drive Charter"/>
    <x v="1"/>
    <s v="Riverside Drive Charter"/>
    <s v="19 64733 6018923"/>
    <n v="0.372"/>
    <n v="1"/>
    <n v="379"/>
    <n v="141"/>
    <n v="41880"/>
    <n v="11057"/>
    <n v="52937"/>
  </r>
  <r>
    <s v="19"/>
    <s v="64733"/>
    <s v="6019079"/>
    <s v="0446"/>
    <s v="D"/>
    <s v="Santa Monica Boulevard Community Charter"/>
    <x v="1"/>
    <s v="Santa Monica Boulevard Community Charter"/>
    <s v="19 64733 6019079"/>
    <n v="0.96279999999999999"/>
    <n v="1"/>
    <n v="780"/>
    <n v="751"/>
    <n v="86191"/>
    <n v="58893"/>
    <n v="145084"/>
  </r>
  <r>
    <s v="19"/>
    <s v="64733"/>
    <s v="6019111"/>
    <s v="1484"/>
    <s v="L"/>
    <s v="Serrania Avenue Charter For Enriched Studies"/>
    <x v="1"/>
    <s v="Serrania Avenue Charter For Enriched Studies"/>
    <s v="19 64733 6019111"/>
    <n v="0.4536"/>
    <n v="1"/>
    <n v="549"/>
    <n v="249"/>
    <n v="60665"/>
    <n v="19526"/>
    <n v="80191"/>
  </r>
  <r>
    <s v="19"/>
    <s v="64733"/>
    <s v="6019186"/>
    <s v="1348"/>
    <s v="L"/>
    <s v="Sherman Oaks Elementary Charter"/>
    <x v="1"/>
    <s v="Sherman Oaks Elementary Charter"/>
    <s v="19 64733 6019186"/>
    <n v="0.35959999999999998"/>
    <n v="1"/>
    <n v="501"/>
    <n v="180"/>
    <n v="55361"/>
    <n v="14115"/>
    <n v="69476"/>
  </r>
  <r>
    <s v="19"/>
    <s v="64733"/>
    <s v="6019392"/>
    <s v="1476"/>
    <s v="L"/>
    <s v="Superior Street Elementary"/>
    <x v="1"/>
    <s v="Superior Street Elementary"/>
    <s v="19 64733 6019392"/>
    <n v="0.56950000000000001"/>
    <n v="1"/>
    <n v="448"/>
    <n v="255"/>
    <n v="49505"/>
    <n v="19997"/>
    <n v="69502"/>
  </r>
  <r>
    <s v="19"/>
    <s v="64733"/>
    <s v="6019525"/>
    <s v="0230"/>
    <s v="L"/>
    <s v="Topanga Elementary Charter"/>
    <x v="1"/>
    <s v="Topanga Elementary Charter"/>
    <s v="19 64733 6019525"/>
    <n v="0.14960000000000001"/>
    <n v="1"/>
    <n v="234"/>
    <n v="35"/>
    <n v="25857"/>
    <n v="2745"/>
    <n v="28602"/>
  </r>
  <r>
    <s v="19"/>
    <s v="64733"/>
    <s v="6019533"/>
    <s v="1475"/>
    <s v="L"/>
    <s v="Topeka Charter School For Advanced Studies"/>
    <x v="1"/>
    <s v="Topeka Charter School For Advanced Studies"/>
    <s v="19 64733 6019533"/>
    <n v="0.32840000000000003"/>
    <n v="1"/>
    <n v="555"/>
    <n v="182"/>
    <n v="61328"/>
    <n v="14272"/>
    <n v="75600"/>
  </r>
  <r>
    <s v="19"/>
    <s v="64733"/>
    <s v="6019673"/>
    <s v="1479"/>
    <s v="L"/>
    <s v="Van Gogh Charter"/>
    <x v="1"/>
    <s v="Van Gogh Charter"/>
    <s v="19 64733 6019673"/>
    <n v="0.46729999999999999"/>
    <n v="1"/>
    <n v="413"/>
    <n v="193"/>
    <n v="45637"/>
    <n v="15135"/>
    <n v="60772"/>
  </r>
  <r>
    <s v="19"/>
    <s v="64733"/>
    <s v="6019715"/>
    <s v="0016"/>
    <s v="D"/>
    <s v="Vaughn Next Century Learning Center"/>
    <x v="1"/>
    <s v="Vaughn Next Century Learning Center"/>
    <s v="19 64733 6019715"/>
    <n v="0.97709999999999997"/>
    <n v="1"/>
    <n v="2877"/>
    <n v="2811"/>
    <n v="317913"/>
    <n v="220436"/>
    <n v="538349"/>
  </r>
  <r>
    <s v="19"/>
    <s v="64733"/>
    <s v="6019855"/>
    <s v="1349"/>
    <s v="L"/>
    <s v="Welby Way Charter Elementary School And Gifted-High Ability Magnet"/>
    <x v="1"/>
    <s v="Welby Way Charter Elementary School And Gifted-High Ability Magnet"/>
    <s v="19 64733 6019855"/>
    <n v="0.17599999999999999"/>
    <n v="1"/>
    <n v="750"/>
    <n v="132"/>
    <n v="82876"/>
    <n v="10351"/>
    <n v="93227"/>
  </r>
  <r>
    <s v="19"/>
    <s v="64733"/>
    <s v="6019939"/>
    <s v="0031"/>
    <s v="L"/>
    <s v="Westwood Charter Elementary"/>
    <x v="1"/>
    <s v="Westwood Charter Elementary"/>
    <s v="19 64733 6019939"/>
    <n v="0.127"/>
    <n v="1"/>
    <n v="638"/>
    <n v="81"/>
    <n v="70500"/>
    <n v="6352"/>
    <n v="76852"/>
  </r>
  <r>
    <s v="19"/>
    <s v="64733"/>
    <s v="6019954"/>
    <s v="1482"/>
    <s v="L"/>
    <s v="Wilbur Charter For Enriched Academics"/>
    <x v="1"/>
    <s v="Wilbur Charter For Enriched Academics"/>
    <s v="19 64733 6019954"/>
    <n v="0.3009"/>
    <n v="1"/>
    <n v="554"/>
    <n v="167"/>
    <n v="61218"/>
    <n v="13096"/>
    <n v="74314"/>
  </r>
  <r>
    <s v="19"/>
    <s v="64733"/>
    <s v="6020036"/>
    <s v="1483"/>
    <s v="L"/>
    <s v="Woodlake Elementary Community Charter"/>
    <x v="1"/>
    <s v="Woodlake Elementary Community Charter"/>
    <s v="19 64733 6020036"/>
    <n v="0.30740000000000001"/>
    <n v="1"/>
    <n v="592"/>
    <n v="182"/>
    <n v="65417"/>
    <n v="14272"/>
    <n v="79689"/>
  </r>
  <r>
    <s v="19"/>
    <s v="64733"/>
    <s v="6020044"/>
    <s v="1485"/>
    <s v="L"/>
    <s v="Woodland Hills Elementary Charter For Enriched Studies"/>
    <x v="1"/>
    <s v="Woodland Hills Elementary Charter For Enriched Studies"/>
    <s v="19 64733 6020044"/>
    <n v="0.24299999999999999"/>
    <n v="1"/>
    <n v="680"/>
    <n v="165"/>
    <n v="75141"/>
    <n v="12939"/>
    <n v="88080"/>
  </r>
  <r>
    <s v="19"/>
    <s v="64733"/>
    <s v="6057988"/>
    <s v="1688"/>
    <s v="L"/>
    <s v="Emerson Community Charter School"/>
    <x v="1"/>
    <s v="Magnolia Avenue Elementary"/>
    <s v="19 64733 6017990"/>
    <n v="1"/>
    <n v="1"/>
    <n v="492"/>
    <n v="250"/>
    <n v="54367"/>
    <n v="19605"/>
    <n v="73972"/>
  </r>
  <r>
    <s v="19"/>
    <s v="64733"/>
    <s v="6058150"/>
    <s v="1473"/>
    <s v="L"/>
    <s v="Louis Armstrong Middle"/>
    <x v="1"/>
    <s v="Magnolia Avenue Elementary"/>
    <s v="19 64733 6017990"/>
    <n v="1"/>
    <n v="1"/>
    <n v="1329"/>
    <n v="596"/>
    <n v="146857"/>
    <n v="46738"/>
    <n v="193595"/>
  </r>
  <r>
    <s v="19"/>
    <s v="64733"/>
    <s v="6058267"/>
    <s v="0225"/>
    <s v="L"/>
    <s v="Paul Revere Charter Middle"/>
    <x v="1"/>
    <s v="Magnolia Avenue Elementary"/>
    <s v="19 64733 6017990"/>
    <n v="1"/>
    <n v="1"/>
    <n v="1718"/>
    <n v="430"/>
    <n v="189842"/>
    <n v="33720"/>
    <n v="223562"/>
  </r>
  <r>
    <s v="19"/>
    <s v="64733"/>
    <s v="6061477"/>
    <s v="1346"/>
    <s v="L"/>
    <s v="George Ellery Hale Charter Academy"/>
    <x v="1"/>
    <s v="Magnolia Avenue Elementary"/>
    <s v="19 64733 6017990"/>
    <n v="1"/>
    <n v="1"/>
    <n v="1887"/>
    <n v="693"/>
    <n v="208517"/>
    <n v="54344"/>
    <n v="262861"/>
  </r>
  <r>
    <s v="19"/>
    <s v="64733"/>
    <s v="6061543"/>
    <s v="1480"/>
    <s v="L"/>
    <s v="Alfred B. Nobel Charter Middle"/>
    <x v="1"/>
    <s v="Magnolia Avenue Elementary"/>
    <s v="19 64733 6017990"/>
    <n v="1"/>
    <n v="1"/>
    <n v="1940"/>
    <n v="947"/>
    <n v="214373"/>
    <n v="74263"/>
    <n v="288636"/>
  </r>
  <r>
    <s v="19"/>
    <s v="64733"/>
    <s v="6061584"/>
    <s v="2074"/>
    <s v="L"/>
    <s v="Gaspar De Portola Charter Middle"/>
    <x v="1"/>
    <s v="Magnolia Avenue Elementary"/>
    <s v="19 64733 6017990"/>
    <n v="1"/>
    <n v="1"/>
    <n v="1441"/>
    <n v="732"/>
    <n v="159233"/>
    <n v="57403"/>
    <n v="216636"/>
  </r>
  <r>
    <s v="19"/>
    <s v="64733"/>
    <s v="6071435"/>
    <s v="1477"/>
    <s v="L"/>
    <s v="Castlebay Lane Charter"/>
    <x v="1"/>
    <s v="Castlebay Lane Charter"/>
    <s v="19 64733 6071435"/>
    <n v="0.19769999999999999"/>
    <n v="1"/>
    <n v="597"/>
    <n v="118"/>
    <n v="65969"/>
    <n v="9253"/>
    <n v="75222"/>
  </r>
  <r>
    <s v="19"/>
    <s v="64733"/>
    <s v="6094726"/>
    <s v="0957"/>
    <s v="L"/>
    <s v="Community Magnet Charter Elementary"/>
    <x v="1"/>
    <s v="Community Magnet Charter Elementary"/>
    <s v="19 64733 6094726"/>
    <n v="0.21149999999999999"/>
    <n v="1"/>
    <n v="435"/>
    <n v="92"/>
    <n v="48068"/>
    <n v="7215"/>
    <n v="55283"/>
  </r>
  <r>
    <s v="19"/>
    <s v="64733"/>
    <s v="6097927"/>
    <s v="0012"/>
    <s v="L"/>
    <s v="Open Charter Magnet"/>
    <x v="1"/>
    <s v="Open Charter Magnet"/>
    <s v="19 64733 6097927"/>
    <n v="0.1285"/>
    <n v="1"/>
    <n v="397"/>
    <n v="51"/>
    <n v="43869"/>
    <n v="3999"/>
    <n v="47868"/>
  </r>
  <r>
    <s v="19"/>
    <s v="64733"/>
    <s v="6112536"/>
    <s v="0045"/>
    <s v="D"/>
    <s v="Accelerated"/>
    <x v="1"/>
    <s v="Accelerated"/>
    <s v="19 64733 6112536"/>
    <n v="0.83830000000000005"/>
    <n v="1"/>
    <n v="773"/>
    <n v="648"/>
    <n v="85418"/>
    <n v="50815"/>
    <n v="136233"/>
  </r>
  <r>
    <s v="19"/>
    <s v="64733"/>
    <s v="6114912"/>
    <s v="0131"/>
    <s v="D"/>
    <s v="Watts Learning Center"/>
    <x v="1"/>
    <s v="Watts Learning Center"/>
    <s v="19 64733 6114912"/>
    <n v="0.9829"/>
    <n v="1"/>
    <n v="350"/>
    <n v="344"/>
    <n v="38676"/>
    <n v="26976"/>
    <n v="65652"/>
  </r>
  <r>
    <s v="19"/>
    <s v="64733"/>
    <s v="6116750"/>
    <s v="0213"/>
    <s v="D"/>
    <s v="PUC Community Charter Middle and PUC Community Charter Early College High"/>
    <x v="1"/>
    <s v="PUC Community Charter Middle and PUC Community Charter Early College High"/>
    <s v="19 64733 6116750"/>
    <n v="0.89410000000000001"/>
    <n v="1"/>
    <n v="784"/>
    <n v="701"/>
    <n v="86633"/>
    <n v="54972"/>
    <n v="141605"/>
  </r>
  <r>
    <s v="19"/>
    <s v="64733"/>
    <s v="6117048"/>
    <s v="0190"/>
    <s v="D"/>
    <s v="ICEF View Park Preparatory Elementary"/>
    <x v="1"/>
    <s v="ICEF View Park Preparatory Elementary"/>
    <s v="19 64733 6117048"/>
    <n v="0.97660000000000002"/>
    <n v="1"/>
    <n v="427"/>
    <n v="417"/>
    <n v="47184"/>
    <n v="32701"/>
    <n v="79885"/>
  </r>
  <r>
    <s v="19"/>
    <s v="64733"/>
    <s v="6117667"/>
    <s v="0293"/>
    <s v="D"/>
    <s v="Camino Nuevo Charter Academy"/>
    <x v="1"/>
    <s v="Camino Nuevo Charter Academy"/>
    <s v="19 64733 6117667"/>
    <n v="0.99170000000000003"/>
    <n v="1"/>
    <n v="602"/>
    <n v="597"/>
    <n v="66522"/>
    <n v="46816"/>
    <n v="113338"/>
  </r>
  <r>
    <s v="19"/>
    <s v="64733"/>
    <s v="6119044"/>
    <s v="0388"/>
    <s v="D"/>
    <s v="Multicultural Learning Center"/>
    <x v="1"/>
    <s v="Multicultural Learning Center"/>
    <s v="19 64733 6119044"/>
    <n v="0.58440000000000003"/>
    <n v="1"/>
    <n v="474"/>
    <n v="277"/>
    <n v="52378"/>
    <n v="21722"/>
    <n v="74100"/>
  </r>
  <r>
    <s v="19"/>
    <s v="64733"/>
    <s v="6119531"/>
    <s v="0417"/>
    <s v="D"/>
    <s v="CHIME Institute's Schwarzenegger Community"/>
    <x v="1"/>
    <s v="CHIME Institute's Schwarzenegger Community"/>
    <s v="19 64733 6119531"/>
    <n v="0.22270000000000001"/>
    <n v="1"/>
    <n v="741"/>
    <n v="165"/>
    <n v="81882"/>
    <n v="12939"/>
    <n v="94821"/>
  </r>
  <r>
    <s v="19"/>
    <s v="64733"/>
    <s v="6119903"/>
    <s v="0448"/>
    <s v="D"/>
    <s v="Downtown Value"/>
    <x v="1"/>
    <s v="Downtown Value"/>
    <s v="19 64733 6119903"/>
    <n v="0.6865"/>
    <n v="1"/>
    <n v="437"/>
    <n v="300"/>
    <n v="48289"/>
    <n v="23526"/>
    <n v="71815"/>
  </r>
  <r>
    <s v="19"/>
    <s v="64733"/>
    <s v="6120471"/>
    <s v="0473"/>
    <s v="D"/>
    <s v="Puente Charter"/>
    <x v="1"/>
    <s v="Puente Charter"/>
    <s v="19 64733 6120471"/>
    <n v="0.81140000000000001"/>
    <n v="1"/>
    <n v="297"/>
    <n v="241"/>
    <n v="32819"/>
    <n v="18899"/>
    <n v="51718"/>
  </r>
  <r>
    <s v="19"/>
    <s v="64733"/>
    <s v="6120489"/>
    <s v="0475"/>
    <s v="D"/>
    <s v="Para Los Ninos Charter"/>
    <x v="1"/>
    <s v="Para Los Ninos Charter"/>
    <s v="19 64733 6120489"/>
    <n v="0.86499999999999999"/>
    <n v="1"/>
    <n v="274"/>
    <n v="237"/>
    <n v="30277"/>
    <n v="18585"/>
    <n v="48862"/>
  </r>
  <r>
    <s v="19"/>
    <s v="64733"/>
    <s v="6121081"/>
    <s v="0506"/>
    <s v="D"/>
    <s v="ICEF View Park Preparatory Charter Middle"/>
    <x v="1"/>
    <s v="Magnolia Avenue Elementary"/>
    <s v="19 64733 6017990"/>
    <n v="1"/>
    <n v="1"/>
    <n v="271"/>
    <n v="265"/>
    <n v="29946"/>
    <n v="20781"/>
    <n v="50727"/>
  </r>
  <r>
    <s v="19"/>
    <s v="64758"/>
    <s v="0000000"/>
    <s v="N/A"/>
    <s v="N/A"/>
    <s v="Los Nietos"/>
    <x v="3"/>
    <s v="Aeolian Elementary"/>
    <s v="19 64758 6020085"/>
    <n v="0.83179999999999998"/>
    <n v="5"/>
    <n v="1269"/>
    <n v="984"/>
    <n v="140227"/>
    <n v="77164"/>
    <n v="217391"/>
  </r>
  <r>
    <s v="19"/>
    <s v="64774"/>
    <s v="0000000"/>
    <s v="N/A"/>
    <s v="N/A"/>
    <s v="Lynwood Unified"/>
    <x v="3"/>
    <s v="Helen Keller Elementary"/>
    <s v="19 64774 0107912"/>
    <n v="0.96389999999999998"/>
    <n v="19"/>
    <n v="12276"/>
    <n v="11412"/>
    <n v="1356518"/>
    <n v="894919"/>
    <n v="2251437"/>
  </r>
  <r>
    <s v="19"/>
    <s v="64790"/>
    <s v="0000000"/>
    <s v="N/A"/>
    <s v="N/A"/>
    <s v="Monrovia Unified"/>
    <x v="3"/>
    <s v="Wild Rose School of Creative"/>
    <s v="19 64790 6020499"/>
    <n v="0.56089999999999995"/>
    <n v="12"/>
    <n v="5202"/>
    <n v="2555"/>
    <n v="574830"/>
    <n v="200360"/>
    <n v="775190"/>
  </r>
  <r>
    <s v="19"/>
    <s v="64808"/>
    <s v="0000000"/>
    <s v="N/A"/>
    <s v="N/A"/>
    <s v="Montebello Unified"/>
    <x v="3"/>
    <s v="Greenwood Elementary"/>
    <s v="19 64808 6020580"/>
    <n v="0.86270000000000002"/>
    <n v="30"/>
    <n v="20559"/>
    <n v="15087"/>
    <n v="2271804"/>
    <n v="1183107"/>
    <n v="3454911"/>
  </r>
  <r>
    <s v="19"/>
    <s v="64816"/>
    <s v="0000000"/>
    <s v="N/A"/>
    <s v="N/A"/>
    <s v="Mountain View Elementary"/>
    <x v="3"/>
    <s v="Parkview Elementary"/>
    <s v="19 64816 6020770"/>
    <n v="0.85189999999999999"/>
    <n v="9"/>
    <n v="5053"/>
    <n v="4037"/>
    <n v="558364"/>
    <n v="316577"/>
    <n v="874941"/>
  </r>
  <r>
    <s v="19"/>
    <s v="64832"/>
    <s v="0000000"/>
    <s v="N/A"/>
    <s v="N/A"/>
    <s v="Newhall"/>
    <x v="3"/>
    <s v="Newhall Elementary"/>
    <s v="19 64832 6020796"/>
    <n v="0.8619"/>
    <n v="11"/>
    <n v="6106"/>
    <n v="2791"/>
    <n v="674721"/>
    <n v="218868"/>
    <n v="893589"/>
  </r>
  <r>
    <s v="19"/>
    <s v="64840"/>
    <s v="0000000"/>
    <s v="N/A"/>
    <s v="N/A"/>
    <s v="Norwalk-La Mirada Unified"/>
    <x v="3"/>
    <s v="Arturo Sanchez Elementary"/>
    <s v="19 64840 6021091"/>
    <n v="0.89529999999999998"/>
    <n v="27"/>
    <n v="15744"/>
    <n v="10195"/>
    <n v="1739736"/>
    <n v="799481"/>
    <n v="2539217"/>
  </r>
  <r>
    <s v="19"/>
    <s v="64857"/>
    <s v="0000000"/>
    <s v="N/A"/>
    <s v="N/A"/>
    <s v="Palmdale Elementary"/>
    <x v="3"/>
    <s v="Tumbleweed Elementary"/>
    <s v="19 64857 6021190"/>
    <n v="0.95830000000000004"/>
    <n v="29"/>
    <n v="17980"/>
    <n v="15844"/>
    <n v="1986821"/>
    <n v="1242468"/>
    <n v="3229289"/>
  </r>
  <r>
    <s v="19"/>
    <s v="64857"/>
    <s v="0112714"/>
    <s v="0841"/>
    <s v="D"/>
    <s v="Antelope Valley Learning Academy"/>
    <x v="1"/>
    <s v="Antelope Valley Learning Academy"/>
    <s v="19 64857 0112714"/>
    <n v="0.83909999999999996"/>
    <n v="1"/>
    <n v="1013"/>
    <n v="850"/>
    <n v="111938"/>
    <n v="66656"/>
    <n v="178594"/>
  </r>
  <r>
    <s v="19"/>
    <s v="64857"/>
    <s v="0125377"/>
    <s v="1367"/>
    <s v="D"/>
    <s v="Palmdale Aerospace Academy"/>
    <x v="1"/>
    <s v="Palmdale Aerospace Academy"/>
    <s v="19 64857 0125377"/>
    <n v="0.54649999999999999"/>
    <n v="1"/>
    <n v="2278"/>
    <n v="1245"/>
    <n v="251723"/>
    <n v="97632"/>
    <n v="349355"/>
  </r>
  <r>
    <s v="19"/>
    <s v="64857"/>
    <s v="0140889"/>
    <s v="2119"/>
    <s v="L"/>
    <s v="Palmdale Academy Charter"/>
    <x v="1"/>
    <s v="Palmdale Academy Charter"/>
    <s v="19 64857 0140889"/>
    <n v="0.83360000000000001"/>
    <n v="1"/>
    <n v="535"/>
    <n v="446"/>
    <n v="59118"/>
    <n v="34975"/>
    <n v="94093"/>
  </r>
  <r>
    <s v="19"/>
    <s v="64865"/>
    <s v="0000000"/>
    <s v="N/A"/>
    <s v="N/A"/>
    <s v="Palos Verdes Peninsula Unified"/>
    <x v="3"/>
    <s v="Point Vicente Elementary"/>
    <s v="19 64865 6021315"/>
    <n v="0.1348"/>
    <n v="19"/>
    <n v="10439"/>
    <n v="868"/>
    <n v="1153529"/>
    <n v="68068"/>
    <n v="1221597"/>
  </r>
  <r>
    <s v="19"/>
    <s v="64873"/>
    <s v="0000000"/>
    <s v="N/A"/>
    <s v="N/A"/>
    <s v="Paramount Unified"/>
    <x v="3"/>
    <s v="Mark Keppel"/>
    <s v="19 64873 6021455"/>
    <n v="0.95930000000000004"/>
    <n v="21"/>
    <n v="13028"/>
    <n v="12140"/>
    <n v="1439618"/>
    <n v="952009"/>
    <n v="2391627"/>
  </r>
  <r>
    <s v="19"/>
    <s v="64881"/>
    <s v="0000000"/>
    <s v="N/A"/>
    <s v="N/A"/>
    <s v="Pasadena Unified"/>
    <x v="3"/>
    <s v="Madison Elementary"/>
    <s v="19 64881 6021687"/>
    <n v="0.89859999999999995"/>
    <n v="24"/>
    <n v="14550"/>
    <n v="10300"/>
    <n v="1607800"/>
    <n v="807715"/>
    <n v="2415515"/>
  </r>
  <r>
    <s v="19"/>
    <s v="64881"/>
    <s v="0113464"/>
    <s v="0847"/>
    <s v="D"/>
    <s v="Aveson Global Leadership Academy"/>
    <x v="1"/>
    <s v="Aveson Global Leadership Academy"/>
    <s v="19 64881 0113464"/>
    <n v="0.27929999999999999"/>
    <n v="1"/>
    <n v="222"/>
    <n v="62"/>
    <n v="24531"/>
    <n v="4862"/>
    <n v="29393"/>
  </r>
  <r>
    <s v="19"/>
    <s v="64881"/>
    <s v="0113472"/>
    <s v="0848"/>
    <s v="D"/>
    <s v="Aveson School of Leaders"/>
    <x v="1"/>
    <s v="Aveson School of Leaders"/>
    <s v="19 64881 0113472"/>
    <n v="0.20749999999999999"/>
    <n v="1"/>
    <n v="347"/>
    <n v="72"/>
    <n v="38344"/>
    <n v="5646"/>
    <n v="43990"/>
  </r>
  <r>
    <s v="19"/>
    <s v="64881"/>
    <s v="0113894"/>
    <s v="0857"/>
    <s v="D"/>
    <s v="Pasadena Rosebud Academy"/>
    <x v="1"/>
    <s v="Pasadena Rosebud Academy"/>
    <s v="19 64881 0113894"/>
    <n v="0.65129999999999999"/>
    <n v="1"/>
    <n v="152"/>
    <n v="99"/>
    <n v="16796"/>
    <n v="7763"/>
    <n v="24559"/>
  </r>
  <r>
    <s v="19"/>
    <s v="64881"/>
    <s v="0118075"/>
    <s v="1031"/>
    <s v="D"/>
    <s v="Learning Works"/>
    <x v="1"/>
    <s v="Magnolia Avenue Elementary"/>
    <s v="19 64733 6017990"/>
    <n v="1"/>
    <n v="1"/>
    <n v="195"/>
    <n v="175"/>
    <n v="21548"/>
    <n v="13723"/>
    <n v="35271"/>
  </r>
  <r>
    <s v="19"/>
    <s v="64881"/>
    <s v="0136945"/>
    <s v="1921"/>
    <s v="D"/>
    <s v="OCS - South"/>
    <x v="1"/>
    <s v="OCS - South"/>
    <s v="19 64881 0136945"/>
    <n v="0.28949999999999998"/>
    <n v="1"/>
    <n v="342"/>
    <n v="99"/>
    <n v="37792"/>
    <n v="7763"/>
    <n v="45555"/>
  </r>
  <r>
    <s v="19"/>
    <s v="64907"/>
    <s v="0000000"/>
    <s v="N/A"/>
    <s v="N/A"/>
    <s v="Pomona Unified"/>
    <x v="3"/>
    <s v="Lopez Elementary"/>
    <s v="19 64907 0111047"/>
    <n v="0.98409999999999997"/>
    <n v="36"/>
    <n v="20105"/>
    <n v="18230"/>
    <n v="2221637"/>
    <n v="1429579"/>
    <n v="3651216"/>
  </r>
  <r>
    <s v="19"/>
    <s v="64907"/>
    <s v="0115170"/>
    <s v="0914"/>
    <s v="L"/>
    <s v="School of Extended Educational Options"/>
    <x v="1"/>
    <s v="School of Extended Educational Options"/>
    <s v="19 64907 0115170"/>
    <n v="0.73509999999999998"/>
    <n v="1"/>
    <n v="970"/>
    <n v="713"/>
    <n v="107187"/>
    <n v="55913"/>
    <n v="163100"/>
  </r>
  <r>
    <s v="19"/>
    <s v="64907"/>
    <s v="1996693"/>
    <s v="0505"/>
    <s v="D"/>
    <s v="School of Arts and Enterprise"/>
    <x v="1"/>
    <s v="School of Arts and Enterprise"/>
    <s v="19 64907 1996693"/>
    <n v="0.7571"/>
    <n v="1"/>
    <n v="667"/>
    <n v="505"/>
    <n v="73705"/>
    <n v="39602"/>
    <n v="113307"/>
  </r>
  <r>
    <s v="19"/>
    <s v="64907"/>
    <s v="6021984"/>
    <s v="1578"/>
    <s v="L"/>
    <s v="La Verne Science and Technology Charter"/>
    <x v="1"/>
    <s v="La Verne Science and Technology Charter"/>
    <s v="19 64907 6021984"/>
    <n v="0.88629999999999998"/>
    <n v="1"/>
    <n v="344"/>
    <n v="305"/>
    <n v="38013"/>
    <n v="23918"/>
    <n v="61931"/>
  </r>
  <r>
    <s v="19"/>
    <s v="64931"/>
    <s v="0000000"/>
    <s v="N/A"/>
    <s v="N/A"/>
    <s v="Rosemead Elementary"/>
    <x v="3"/>
    <s v="Savannah Elementary"/>
    <s v="19 64931 6022206"/>
    <n v="0.78180000000000005"/>
    <n v="6"/>
    <n v="2499"/>
    <n v="1803"/>
    <n v="276143"/>
    <n v="141389"/>
    <n v="417532"/>
  </r>
  <r>
    <s v="19"/>
    <s v="64964"/>
    <s v="0000000"/>
    <s v="N/A"/>
    <s v="N/A"/>
    <s v="San Marino Unified"/>
    <x v="3"/>
    <s v="Carver Elementary"/>
    <s v="19 64964 6022495"/>
    <n v="0.1061"/>
    <n v="5"/>
    <n v="2753"/>
    <n v="263"/>
    <n v="304212"/>
    <n v="20623"/>
    <n v="324835"/>
  </r>
  <r>
    <s v="19"/>
    <s v="64980"/>
    <s v="0000000"/>
    <s v="N/A"/>
    <s v="N/A"/>
    <s v="Santa Monica-Malibu Unified"/>
    <x v="3"/>
    <s v="Will Rogers Elementary"/>
    <s v="19 64980 6022644"/>
    <n v="0.34970000000000001"/>
    <n v="18"/>
    <n v="8954"/>
    <n v="2324"/>
    <n v="989433"/>
    <n v="182246"/>
    <n v="1171679"/>
  </r>
  <r>
    <s v="19"/>
    <s v="64998"/>
    <s v="0000000"/>
    <s v="N/A"/>
    <s v="N/A"/>
    <s v="Saugus Union"/>
    <x v="3"/>
    <s v="Cedarcreek Elementary"/>
    <s v="19 64998 6022651"/>
    <n v="0.57599999999999996"/>
    <n v="16"/>
    <n v="9277"/>
    <n v="2623"/>
    <n v="1025125"/>
    <n v="205693"/>
    <n v="1230818"/>
  </r>
  <r>
    <s v="19"/>
    <s v="65029"/>
    <s v="0000000"/>
    <s v="N/A"/>
    <s v="N/A"/>
    <s v="South Pasadena Unified"/>
    <x v="3"/>
    <s v="Arroyo Vista Elementary"/>
    <s v="19 65029 6022768"/>
    <n v="0.16639999999999999"/>
    <n v="6"/>
    <n v="4637"/>
    <n v="730"/>
    <n v="512396"/>
    <n v="57245"/>
    <n v="569641"/>
  </r>
  <r>
    <s v="19"/>
    <s v="65037"/>
    <s v="0000000"/>
    <s v="N/A"/>
    <s v="N/A"/>
    <s v="South Whittier Elementary"/>
    <x v="3"/>
    <s v="Loma Vista Elementary"/>
    <s v="19 65037 6022834"/>
    <n v="0.91790000000000005"/>
    <n v="7"/>
    <n v="2354"/>
    <n v="2135"/>
    <n v="260120"/>
    <n v="167424"/>
    <n v="427544"/>
  </r>
  <r>
    <s v="19"/>
    <s v="65045"/>
    <s v="0000000"/>
    <s v="N/A"/>
    <s v="N/A"/>
    <s v="Sulphur Springs Union"/>
    <x v="3"/>
    <s v="Canyon Springs Community Elementary"/>
    <s v="19 65045 6022677"/>
    <n v="0.81069999999999998"/>
    <n v="11"/>
    <n v="5410"/>
    <n v="3190"/>
    <n v="597813"/>
    <n v="250157"/>
    <n v="847970"/>
  </r>
  <r>
    <s v="19"/>
    <s v="65052"/>
    <s v="0000000"/>
    <s v="N/A"/>
    <s v="N/A"/>
    <s v="Temple City Unified"/>
    <x v="3"/>
    <s v="Cloverly Elementary"/>
    <s v="19 65052 6022925"/>
    <n v="0.41760000000000003"/>
    <n v="10"/>
    <n v="5243"/>
    <n v="2032"/>
    <n v="579361"/>
    <n v="159348"/>
    <n v="738709"/>
  </r>
  <r>
    <s v="19"/>
    <s v="65060"/>
    <s v="0000000"/>
    <s v="N/A"/>
    <s v="N/A"/>
    <s v="Torrance Unified"/>
    <x v="3"/>
    <s v="Torrance Elementary"/>
    <s v="19 65060 6023261"/>
    <n v="0.5746"/>
    <n v="33"/>
    <n v="22106"/>
    <n v="6063"/>
    <n v="2442750"/>
    <n v="475456"/>
    <n v="2918206"/>
  </r>
  <r>
    <s v="19"/>
    <s v="65078"/>
    <s v="0000000"/>
    <s v="N/A"/>
    <s v="N/A"/>
    <s v="Valle Lindo Elementary"/>
    <x v="3"/>
    <s v="New Temple"/>
    <s v="19 65078 6023337"/>
    <n v="0.63749999999999996"/>
    <n v="3"/>
    <n v="895"/>
    <n v="584"/>
    <n v="98899"/>
    <n v="45797"/>
    <n v="144696"/>
  </r>
  <r>
    <s v="19"/>
    <s v="65094"/>
    <s v="0000000"/>
    <s v="N/A"/>
    <s v="N/A"/>
    <s v="West Covina Unified"/>
    <x v="3"/>
    <s v="California Elementary"/>
    <s v="19 65094 6023410"/>
    <n v="0.81279999999999997"/>
    <n v="16"/>
    <n v="8013"/>
    <n v="5641"/>
    <n v="885449"/>
    <n v="442362"/>
    <n v="1327811"/>
  </r>
  <r>
    <s v="19"/>
    <s v="65094"/>
    <s v="0112706"/>
    <s v="0838"/>
    <s v="D"/>
    <s v="California Virtual Academy @ Los Angeles"/>
    <x v="1"/>
    <s v="California Virtual Academy @ Los Angeles"/>
    <s v="19 65094 0112706"/>
    <n v="0.73740000000000006"/>
    <n v="1"/>
    <n v="5407"/>
    <n v="3987"/>
    <n v="597482"/>
    <n v="312656"/>
    <n v="910138"/>
  </r>
  <r>
    <s v="19"/>
    <s v="65094"/>
    <s v="6023527"/>
    <s v="0142"/>
    <s v="D"/>
    <s v="San Jose Charter Academy"/>
    <x v="1"/>
    <s v="San Jose Charter Academy"/>
    <s v="19 65094 6023527"/>
    <n v="0.49759999999999999"/>
    <n v="1"/>
    <n v="1258"/>
    <n v="626"/>
    <n v="139011"/>
    <n v="49090"/>
    <n v="188101"/>
  </r>
  <r>
    <s v="19"/>
    <s v="65102"/>
    <s v="0000000"/>
    <s v="N/A"/>
    <s v="N/A"/>
    <s v="Westside Union Elementary"/>
    <x v="3"/>
    <s v="Quartz Hill Elementary"/>
    <s v="19 65102 6023584"/>
    <n v="0.6925"/>
    <n v="13"/>
    <n v="8952"/>
    <n v="5109"/>
    <n v="989210"/>
    <n v="400643"/>
    <n v="1389853"/>
  </r>
  <r>
    <s v="19"/>
    <s v="65110"/>
    <s v="0000000"/>
    <s v="N/A"/>
    <s v="N/A"/>
    <s v="Whittier City Elementary"/>
    <x v="3"/>
    <s v="Lydia Jackson College Preparatory Academy"/>
    <s v="19 65110 6023683"/>
    <n v="0.73780000000000001"/>
    <n v="14"/>
    <n v="5574"/>
    <n v="3655"/>
    <n v="615938"/>
    <n v="286620"/>
    <n v="902558"/>
  </r>
  <r>
    <s v="19"/>
    <s v="65128"/>
    <s v="0000000"/>
    <s v="N/A"/>
    <s v="N/A"/>
    <s v="Whittier Union High"/>
    <x v="3"/>
    <s v="Magnolia Avenue Elementary"/>
    <s v="19 64733 6017990"/>
    <n v="1"/>
    <n v="8"/>
    <n v="10568"/>
    <n v="8117"/>
    <n v="1167782"/>
    <n v="636527"/>
    <n v="1804309"/>
  </r>
  <r>
    <s v="19"/>
    <s v="65136"/>
    <s v="0000000"/>
    <s v="N/A"/>
    <s v="N/A"/>
    <s v="William S. Hart Union High"/>
    <x v="3"/>
    <s v="Magnolia Avenue Elementary"/>
    <s v="19 64733 6017990"/>
    <n v="1"/>
    <n v="17"/>
    <n v="20971"/>
    <n v="5417"/>
    <n v="2317330"/>
    <n v="424795"/>
    <n v="2742125"/>
  </r>
  <r>
    <s v="19"/>
    <s v="65136"/>
    <s v="0114439"/>
    <s v="0888"/>
    <s v="D"/>
    <s v="Mission View Public"/>
    <x v="1"/>
    <s v="Magnolia Avenue Elementary"/>
    <s v="19 64733 6017990"/>
    <n v="1"/>
    <n v="1"/>
    <n v="238"/>
    <n v="164"/>
    <n v="26299"/>
    <n v="12861"/>
    <n v="39160"/>
  </r>
  <r>
    <s v="19"/>
    <s v="65136"/>
    <s v="0117234"/>
    <s v="0981"/>
    <s v="D"/>
    <s v="Santa Clarita Valley International"/>
    <x v="1"/>
    <s v="Santa Clarita Valley International"/>
    <s v="19 65136 0117234"/>
    <n v="0.32250000000000001"/>
    <n v="1"/>
    <n v="766"/>
    <n v="247"/>
    <n v="84644"/>
    <n v="19369"/>
    <n v="104013"/>
  </r>
  <r>
    <s v="19"/>
    <s v="65136"/>
    <s v="1996263"/>
    <s v="0214"/>
    <s v="D"/>
    <s v="Opportunities for Learning - William S. Hart"/>
    <x v="1"/>
    <s v="Magnolia Avenue Elementary"/>
    <s v="19 64733 6017990"/>
    <n v="1"/>
    <n v="1"/>
    <n v="454"/>
    <n v="289"/>
    <n v="50168"/>
    <n v="22663"/>
    <n v="72831"/>
  </r>
  <r>
    <s v="19"/>
    <s v="65151"/>
    <s v="0000000"/>
    <s v="N/A"/>
    <s v="N/A"/>
    <s v="Wilsona Elementary"/>
    <x v="3"/>
    <s v="Vista San Gabriel Elementary"/>
    <s v="19 65151 6106785"/>
    <n v="0.93740000000000001"/>
    <n v="4"/>
    <n v="1236"/>
    <n v="1181"/>
    <n v="136580"/>
    <n v="92613"/>
    <n v="229193"/>
  </r>
  <r>
    <s v="19"/>
    <s v="73437"/>
    <s v="0000000"/>
    <s v="N/A"/>
    <s v="N/A"/>
    <s v="Compton Unified"/>
    <x v="3"/>
    <s v="Martin Luther King Elementary"/>
    <s v="19 73437 6023782"/>
    <n v="0.73619999999999997"/>
    <n v="39"/>
    <n v="18059"/>
    <n v="11522"/>
    <n v="1995548"/>
    <n v="903544"/>
    <n v="2899092"/>
  </r>
  <r>
    <s v="19"/>
    <s v="73437"/>
    <s v="0115725"/>
    <s v="0963"/>
    <s v="D"/>
    <s v="Lifeline Education Charter"/>
    <x v="1"/>
    <s v="Lifeline Education Charter"/>
    <s v="19 73437 0115725"/>
    <n v="0.92049999999999998"/>
    <n v="1"/>
    <n v="704"/>
    <n v="648"/>
    <n v="77793"/>
    <n v="50815"/>
    <n v="128608"/>
  </r>
  <r>
    <s v="19"/>
    <s v="73437"/>
    <s v="0118760"/>
    <s v="1062"/>
    <s v="D"/>
    <s v="Barack Obama Charter"/>
    <x v="1"/>
    <s v="Barack Obama Charter"/>
    <s v="19 73437 0118760"/>
    <n v="0.88009999999999999"/>
    <n v="1"/>
    <n v="417"/>
    <n v="367"/>
    <n v="46079"/>
    <n v="28780"/>
    <n v="74859"/>
  </r>
  <r>
    <s v="19"/>
    <s v="73437"/>
    <s v="0132845"/>
    <s v="1772"/>
    <s v="D"/>
    <s v="Today's Fresh Start Charter Compton"/>
    <x v="1"/>
    <s v="Today's Fresh Start Charter Compton"/>
    <s v="19 73437 0132845"/>
    <n v="0.97070000000000001"/>
    <n v="1"/>
    <n v="444"/>
    <n v="431"/>
    <n v="49063"/>
    <n v="33799"/>
    <n v="82862"/>
  </r>
  <r>
    <s v="19"/>
    <s v="73437"/>
    <s v="0134338"/>
    <s v="1827"/>
    <s v="D"/>
    <s v="ISANA Achernar Academy"/>
    <x v="1"/>
    <s v="ISANA Achernar Academy"/>
    <s v="19 73437 0134338"/>
    <n v="0.93940000000000001"/>
    <n v="1"/>
    <n v="429"/>
    <n v="403"/>
    <n v="47405"/>
    <n v="31603"/>
    <n v="79008"/>
  </r>
  <r>
    <s v="19"/>
    <s v="73437"/>
    <s v="0137240"/>
    <s v="1952"/>
    <s v="D"/>
    <s v="Ingenium Clarion Charter Middle School"/>
    <x v="1"/>
    <s v="Magnolia Avenue Elementary"/>
    <s v="19 64733 6017990"/>
    <n v="1"/>
    <n v="1"/>
    <n v="156"/>
    <n v="122"/>
    <n v="17238"/>
    <n v="9567"/>
    <n v="26805"/>
  </r>
  <r>
    <s v="19"/>
    <s v="73437"/>
    <s v="0137893"/>
    <s v="1996"/>
    <s v="D"/>
    <s v="KIPP Compton Community School"/>
    <x v="1"/>
    <s v="KIPP Compton Community School"/>
    <s v="19 73437 0137893"/>
    <n v="0.86029999999999995"/>
    <n v="1"/>
    <n v="551"/>
    <n v="474"/>
    <n v="60886"/>
    <n v="37171"/>
    <n v="98057"/>
  </r>
  <r>
    <s v="19"/>
    <s v="73437"/>
    <s v="0137984"/>
    <s v="1990"/>
    <s v="D"/>
    <s v="Ãnimo Compton Charter"/>
    <x v="1"/>
    <s v="Ãnimo Compton Charter"/>
    <s v="19 73437 0137984"/>
    <n v="0.91849999999999998"/>
    <n v="1"/>
    <n v="319"/>
    <n v="293"/>
    <n v="35250"/>
    <n v="22977"/>
    <n v="58227"/>
  </r>
  <r>
    <s v="19"/>
    <s v="73445"/>
    <s v="0000000"/>
    <s v="N/A"/>
    <s v="N/A"/>
    <s v="Hacienda la Puente Unified"/>
    <x v="3"/>
    <s v="Bixby Elementary"/>
    <s v="19 73445 6014120"/>
    <n v="0.88619999999999999"/>
    <n v="36"/>
    <n v="16582"/>
    <n v="11519"/>
    <n v="1832337"/>
    <n v="903306"/>
    <n v="2735643"/>
  </r>
  <r>
    <s v="19"/>
    <s v="73452"/>
    <s v="0000000"/>
    <s v="N/A"/>
    <s v="N/A"/>
    <s v="Rowland Unified"/>
    <x v="3"/>
    <s v="Villacorta Elementary"/>
    <s v="19 73452 6022388"/>
    <n v="0.95130000000000003"/>
    <n v="24"/>
    <n v="12055"/>
    <n v="9360"/>
    <n v="1332097"/>
    <n v="733999"/>
    <n v="2066096"/>
  </r>
  <r>
    <s v="19"/>
    <s v="73452"/>
    <s v="0120600"/>
    <s v="1135"/>
    <s v="D"/>
    <s v="iQ Academy California-Los Angeles"/>
    <x v="1"/>
    <s v="iQ Academy California-Los Angeles"/>
    <s v="19 73452 0120600"/>
    <n v="0.74550000000000005"/>
    <n v="1"/>
    <n v="1289"/>
    <n v="961"/>
    <n v="142437"/>
    <n v="75361"/>
    <n v="217798"/>
  </r>
  <r>
    <s v="19"/>
    <s v="73460"/>
    <s v="0000000"/>
    <s v="N/A"/>
    <s v="N/A"/>
    <s v="Walnut Valley Unified"/>
    <x v="3"/>
    <s v="Collegewood Elementary"/>
    <s v="19 73460 6023360"/>
    <n v="0.32129999999999997"/>
    <n v="16"/>
    <n v="13517"/>
    <n v="3492"/>
    <n v="1493653"/>
    <n v="273838"/>
    <n v="1767491"/>
  </r>
  <r>
    <s v="19"/>
    <s v="75291"/>
    <s v="0000000"/>
    <s v="N/A"/>
    <s v="N/A"/>
    <s v="San Gabriel Unified"/>
    <x v="3"/>
    <s v="Roosevelt Elementary"/>
    <s v="19 75291 6022461"/>
    <n v="0.9"/>
    <n v="9"/>
    <n v="4617"/>
    <n v="3128"/>
    <n v="510186"/>
    <n v="245295"/>
    <n v="755481"/>
  </r>
  <r>
    <s v="19"/>
    <s v="75291"/>
    <s v="1996016"/>
    <s v="0117"/>
    <s v="D"/>
    <s v="Options for Youth San Gabriel"/>
    <x v="1"/>
    <s v="Magnolia Avenue Elementary"/>
    <s v="19 64733 6017990"/>
    <n v="1"/>
    <n v="1"/>
    <n v="341"/>
    <n v="258"/>
    <n v="37681"/>
    <n v="20232"/>
    <n v="57913"/>
  </r>
  <r>
    <s v="19"/>
    <s v="75309"/>
    <s v="0000000"/>
    <s v="N/A"/>
    <s v="N/A"/>
    <s v="Acton-Agua Dulce Unified"/>
    <x v="3"/>
    <s v="Meadowlark Elementary"/>
    <s v="19 75309 6115679"/>
    <n v="0.61129999999999995"/>
    <n v="4"/>
    <n v="1004"/>
    <n v="618"/>
    <n v="110944"/>
    <n v="48463"/>
    <n v="159407"/>
  </r>
  <r>
    <s v="19"/>
    <s v="75309"/>
    <s v="0127100"/>
    <s v="1458"/>
    <s v="D"/>
    <s v="Assurance Learning Academy"/>
    <x v="1"/>
    <s v="Assurance Learning Academy"/>
    <s v="19 75309 0127100"/>
    <n v="0.87749999999999995"/>
    <n v="1"/>
    <n v="2915"/>
    <n v="2558"/>
    <n v="322112"/>
    <n v="200596"/>
    <n v="522708"/>
  </r>
  <r>
    <s v="19"/>
    <s v="75309"/>
    <s v="0131383"/>
    <s v="1700"/>
    <s v="D"/>
    <s v="SIATech Academy South"/>
    <x v="1"/>
    <s v="Magnolia Avenue Elementary"/>
    <s v="19 64733 6017990"/>
    <n v="1"/>
    <n v="1"/>
    <n v="148"/>
    <n v="113"/>
    <n v="16354"/>
    <n v="8861"/>
    <n v="25215"/>
  </r>
  <r>
    <s v="19"/>
    <s v="75309"/>
    <s v="0131987"/>
    <s v="1699"/>
    <s v="D"/>
    <s v="iLEAD Hybrid"/>
    <x v="1"/>
    <s v="iLEAD Hybrid"/>
    <s v="19 75309 0131987"/>
    <n v="0.45229999999999998"/>
    <n v="1"/>
    <n v="3575"/>
    <n v="1617"/>
    <n v="395043"/>
    <n v="126803"/>
    <n v="521846"/>
  </r>
  <r>
    <s v="19"/>
    <s v="75309"/>
    <s v="0132654"/>
    <s v="1751"/>
    <s v="D"/>
    <s v="California Pacific Charter- Los Angeles"/>
    <x v="1"/>
    <s v="California Pacific Charter- Los Angeles"/>
    <s v="19 75309 0132654"/>
    <n v="0.66379999999999995"/>
    <n v="1"/>
    <n v="351"/>
    <n v="233"/>
    <n v="38786"/>
    <n v="18272"/>
    <n v="57058"/>
  </r>
  <r>
    <s v="19"/>
    <s v="75309"/>
    <s v="0134619"/>
    <s v="1836"/>
    <s v="D"/>
    <s v="Empower Generations"/>
    <x v="1"/>
    <s v="Magnolia Avenue Elementary"/>
    <s v="19 64733 6017990"/>
    <n v="1"/>
    <n v="1"/>
    <n v="81"/>
    <n v="62"/>
    <n v="8951"/>
    <n v="4862"/>
    <n v="13813"/>
  </r>
  <r>
    <s v="19"/>
    <s v="75309"/>
    <s v="0135145"/>
    <s v="1651"/>
    <s v="D"/>
    <s v="Compass Charter Schools of Los Angeles"/>
    <x v="1"/>
    <s v="Compass Charter Schools of Los Angeles"/>
    <s v="19 75309 0135145"/>
    <n v="0.54390000000000005"/>
    <n v="1"/>
    <n v="888"/>
    <n v="483"/>
    <n v="98125"/>
    <n v="37876"/>
    <n v="136001"/>
  </r>
  <r>
    <s v="19"/>
    <s v="75309"/>
    <s v="0136531"/>
    <s v="1902"/>
    <s v="D"/>
    <s v="iLEAD Online"/>
    <x v="1"/>
    <s v="iLEAD Online"/>
    <s v="19 75309 0136531"/>
    <n v="0.53759999999999997"/>
    <n v="1"/>
    <n v="266"/>
    <n v="143"/>
    <n v="29393"/>
    <n v="11214"/>
    <n v="40607"/>
  </r>
  <r>
    <s v="19"/>
    <s v="75309"/>
    <s v="0136648"/>
    <s v="1911"/>
    <s v="D"/>
    <s v="Options for Youth-Acton"/>
    <x v="1"/>
    <s v="Magnolia Avenue Elementary"/>
    <s v="19 64733 6017990"/>
    <n v="1"/>
    <n v="1"/>
    <n v="1770"/>
    <n v="1449"/>
    <n v="195588"/>
    <n v="113629"/>
    <n v="309217"/>
  </r>
  <r>
    <s v="19"/>
    <s v="75309"/>
    <s v="0137703"/>
    <s v="1697"/>
    <s v="D"/>
    <s v="Method Schools, LA"/>
    <x v="1"/>
    <s v="Method Schools, LA"/>
    <s v="19 75309 0137703"/>
    <n v="0.57220000000000004"/>
    <n v="1"/>
    <n v="194"/>
    <n v="111"/>
    <n v="21437"/>
    <n v="8705"/>
    <n v="30142"/>
  </r>
  <r>
    <s v="19"/>
    <s v="75309"/>
    <s v="0137786"/>
    <s v="1972"/>
    <s v="D"/>
    <s v="Mission Academy"/>
    <x v="1"/>
    <s v="Mission Academy"/>
    <s v="19 75309 0137786"/>
    <n v="0.80469999999999997"/>
    <n v="1"/>
    <n v="384"/>
    <n v="309"/>
    <n v="42433"/>
    <n v="24231"/>
    <n v="66664"/>
  </r>
  <r>
    <s v="19"/>
    <s v="75309"/>
    <s v="0138297"/>
    <s v="2003"/>
    <s v="D"/>
    <s v="iLead Agua Dulce"/>
    <x v="1"/>
    <s v="iLead Agua Dulce"/>
    <s v="19 75309 0138297"/>
    <n v="0.41799999999999998"/>
    <n v="1"/>
    <n v="323"/>
    <n v="135"/>
    <n v="35692"/>
    <n v="10587"/>
    <n v="46279"/>
  </r>
  <r>
    <s v="19"/>
    <s v="75333"/>
    <s v="0000000"/>
    <s v="N/A"/>
    <s v="N/A"/>
    <s v="Manhattan Beach Unified"/>
    <x v="3"/>
    <s v="Meadows Avenue Elementary"/>
    <s v="19 75333 6020390"/>
    <n v="5.6599999999999998E-2"/>
    <n v="9"/>
    <n v="5929"/>
    <n v="272"/>
    <n v="655165"/>
    <n v="21330"/>
    <n v="676495"/>
  </r>
  <r>
    <s v="19"/>
    <s v="75341"/>
    <s v="0000000"/>
    <s v="N/A"/>
    <s v="N/A"/>
    <s v="Redondo Beach Unified"/>
    <x v="3"/>
    <s v="Madison Elementary"/>
    <s v="19 75341 6022115"/>
    <n v="0.20810000000000001"/>
    <n v="15"/>
    <n v="9578"/>
    <n v="1515"/>
    <n v="1058383"/>
    <n v="118805"/>
    <n v="1177188"/>
  </r>
  <r>
    <s v="19"/>
    <s v="75663"/>
    <s v="6120158"/>
    <s v="0431"/>
    <s v="D"/>
    <s v="New West Charter"/>
    <x v="1"/>
    <s v="New West Charter"/>
    <s v="19 75663 6120158"/>
    <n v="0.1615"/>
    <n v="1"/>
    <n v="997"/>
    <n v="161"/>
    <n v="110170"/>
    <n v="12625"/>
    <n v="122795"/>
  </r>
  <r>
    <s v="19"/>
    <s v="75713"/>
    <s v="0000000"/>
    <s v="N/A"/>
    <s v="N/A"/>
    <s v="Alhambra Unified"/>
    <x v="3"/>
    <s v="Ynez Elementary"/>
    <s v="19 75713 6011126"/>
    <n v="0.72160000000000002"/>
    <n v="19"/>
    <n v="15053"/>
    <n v="8127"/>
    <n v="1663383"/>
    <n v="637311"/>
    <n v="2300694"/>
  </r>
  <r>
    <s v="19"/>
    <s v="76869"/>
    <s v="0000000"/>
    <s v="N/A"/>
    <s v="N/A"/>
    <s v="Wiseburn Unified"/>
    <x v="3"/>
    <s v="Aviation Elementary"/>
    <s v="19 76869 6023816"/>
    <n v="0.28110000000000002"/>
    <n v="6"/>
    <n v="2507"/>
    <n v="734"/>
    <n v="277029"/>
    <n v="57560"/>
    <n v="334589"/>
  </r>
  <r>
    <s v="19"/>
    <s v="76869"/>
    <s v="0119016"/>
    <s v="1060"/>
    <s v="D"/>
    <s v="Da Vinci Science"/>
    <x v="1"/>
    <s v="Magnolia Avenue Elementary"/>
    <s v="19 64733 6017990"/>
    <n v="1"/>
    <n v="1"/>
    <n v="560"/>
    <n v="202"/>
    <n v="61881"/>
    <n v="15841"/>
    <n v="77722"/>
  </r>
  <r>
    <s v="19"/>
    <s v="76869"/>
    <s v="0119636"/>
    <s v="1081"/>
    <s v="D"/>
    <s v="Da Vinci Design"/>
    <x v="1"/>
    <s v="Magnolia Avenue Elementary"/>
    <s v="19 64733 6017990"/>
    <n v="1"/>
    <n v="1"/>
    <n v="538"/>
    <n v="287"/>
    <n v="59450"/>
    <n v="22506"/>
    <n v="81956"/>
  </r>
  <r>
    <s v="19"/>
    <s v="76869"/>
    <s v="0128728"/>
    <s v="1597"/>
    <s v="D"/>
    <s v="Da Vinci Connect"/>
    <x v="1"/>
    <s v="Da Vinci Connect"/>
    <s v="19 76869 0128728"/>
    <n v="0.41649999999999998"/>
    <n v="1"/>
    <n v="814"/>
    <n v="339"/>
    <n v="89948"/>
    <n v="26584"/>
    <n v="116532"/>
  </r>
  <r>
    <s v="19"/>
    <s v="76869"/>
    <s v="0131128"/>
    <s v="1689"/>
    <s v="D"/>
    <s v="Da Vinci Communications"/>
    <x v="1"/>
    <s v="Magnolia Avenue Elementary"/>
    <s v="19 64733 6017990"/>
    <n v="1"/>
    <n v="1"/>
    <n v="538"/>
    <n v="271"/>
    <n v="59450"/>
    <n v="21252"/>
    <n v="80702"/>
  </r>
  <r>
    <s v="19"/>
    <s v="76968"/>
    <s v="0109926"/>
    <s v="0738"/>
    <s v="D"/>
    <s v="Academia Avance Charter"/>
    <x v="1"/>
    <s v="Academia Avance Charter"/>
    <s v="19 76968 0109926"/>
    <n v="0.76170000000000004"/>
    <n v="1"/>
    <n v="256"/>
    <n v="195"/>
    <n v="28288"/>
    <n v="15292"/>
    <n v="43580"/>
  </r>
  <r>
    <s v="19"/>
    <s v="77289"/>
    <s v="0109942"/>
    <s v="0741"/>
    <s v="D"/>
    <s v="Los Angeles College Prep Academy"/>
    <x v="1"/>
    <s v="Magnolia Avenue Elementary"/>
    <s v="19 64733 6017990"/>
    <n v="1"/>
    <n v="1"/>
    <n v="41"/>
    <n v="34"/>
    <n v="4531"/>
    <n v="2666"/>
    <n v="7197"/>
  </r>
  <r>
    <s v="20"/>
    <s v="10207"/>
    <s v="0000000"/>
    <s v="N/A"/>
    <s v="N/A"/>
    <s v="Madera County Superintendent of Schools"/>
    <x v="0"/>
    <s v="Millview Elementary"/>
    <s v="20 65243 6024020"/>
    <n v="0.98899999999999999"/>
    <n v="4"/>
    <n v="603"/>
    <n v="514"/>
    <n v="66632"/>
    <n v="40307"/>
    <n v="106939"/>
  </r>
  <r>
    <s v="20"/>
    <s v="10207"/>
    <s v="0117184"/>
    <s v="1001"/>
    <s v="L"/>
    <s v="Madera County Independent Academy"/>
    <x v="1"/>
    <s v="Millview Elementary"/>
    <s v="20 65243 6024020"/>
    <n v="0.98899999999999999"/>
    <n v="1"/>
    <n v="48"/>
    <n v="39"/>
    <n v="5304"/>
    <n v="3058"/>
    <n v="8362"/>
  </r>
  <r>
    <s v="20"/>
    <s v="10207"/>
    <s v="2030229"/>
    <s v="0460"/>
    <s v="L"/>
    <s v="Pioneer Technical Center"/>
    <x v="1"/>
    <s v="Millview Elementary"/>
    <s v="20 65243 6024020"/>
    <n v="0.98899999999999999"/>
    <n v="1"/>
    <n v="243"/>
    <n v="200"/>
    <n v="26852"/>
    <n v="15684"/>
    <n v="42536"/>
  </r>
  <r>
    <s v="20"/>
    <s v="65177"/>
    <s v="0000000"/>
    <s v="N/A"/>
    <s v="N/A"/>
    <s v="Alview-Dairyland Union Elementary"/>
    <x v="3"/>
    <s v="Dairyland Elementary"/>
    <s v="20 65177 6023923"/>
    <n v="0.75929999999999997"/>
    <n v="3"/>
    <n v="397"/>
    <n v="294"/>
    <n v="43869"/>
    <n v="23056"/>
    <n v="66925"/>
  </r>
  <r>
    <s v="20"/>
    <s v="65185"/>
    <s v="0000000"/>
    <s v="N/A"/>
    <s v="N/A"/>
    <s v="Bass Lake Joint Union Elementary"/>
    <x v="3"/>
    <s v="Oakhurst Elementary"/>
    <s v="20 65185 6024087"/>
    <n v="0.63919999999999999"/>
    <n v="5"/>
    <n v="851"/>
    <n v="514"/>
    <n v="94038"/>
    <n v="40307"/>
    <n v="134345"/>
  </r>
  <r>
    <s v="20"/>
    <s v="65185"/>
    <s v="0129015"/>
    <s v="1610"/>
    <s v="D"/>
    <s v="Yosemite-Wawona Elementary Charter"/>
    <x v="1"/>
    <s v="Yosemite-Wawona Elementary Charter"/>
    <s v="20 65185 0129015"/>
    <n v="0.53849999999999998"/>
    <n v="1"/>
    <n v="13"/>
    <n v="7"/>
    <n v="1437"/>
    <n v="549"/>
    <n v="1986"/>
  </r>
  <r>
    <s v="20"/>
    <s v="65193"/>
    <s v="0000000"/>
    <s v="N/A"/>
    <s v="N/A"/>
    <s v="Chowchilla Elementary"/>
    <x v="3"/>
    <s v="Merle L. Fuller Elementary"/>
    <s v="20 65193 6023881"/>
    <n v="0.89749999999999996"/>
    <n v="6"/>
    <n v="2175"/>
    <n v="1912"/>
    <n v="240341"/>
    <n v="149936"/>
    <n v="390277"/>
  </r>
  <r>
    <s v="20"/>
    <s v="65201"/>
    <s v="0000000"/>
    <s v="N/A"/>
    <s v="N/A"/>
    <s v="Chowchilla Union High"/>
    <x v="3"/>
    <s v="Millview Elementary"/>
    <s v="20 65243 6024020"/>
    <n v="0.98899999999999999"/>
    <n v="3"/>
    <n v="1144"/>
    <n v="964"/>
    <n v="126414"/>
    <n v="75596"/>
    <n v="202010"/>
  </r>
  <r>
    <s v="20"/>
    <s v="65243"/>
    <s v="0000000"/>
    <s v="N/A"/>
    <s v="N/A"/>
    <s v="Madera Unified"/>
    <x v="3"/>
    <s v="Millview Elementary"/>
    <s v="20 65243 6024020"/>
    <n v="0.98899999999999999"/>
    <n v="29"/>
    <n v="20615"/>
    <n v="18693"/>
    <n v="2277993"/>
    <n v="1465888"/>
    <n v="3743881"/>
  </r>
  <r>
    <s v="20"/>
    <s v="65243"/>
    <s v="0100016"/>
    <s v="0507"/>
    <s v="D"/>
    <s v="Sherman Thomas Charter"/>
    <x v="1"/>
    <s v="Sherman Thomas Charter"/>
    <s v="20 65243 0100016"/>
    <n v="0.56159999999999999"/>
    <n v="1"/>
    <n v="219"/>
    <n v="123"/>
    <n v="24200"/>
    <n v="9646"/>
    <n v="33846"/>
  </r>
  <r>
    <s v="20"/>
    <s v="65243"/>
    <s v="0107938"/>
    <s v="0676"/>
    <s v="D"/>
    <s v="Ezequiel Tafoya Alvarado Academy"/>
    <x v="1"/>
    <s v="Ezequiel Tafoya Alvarado Academy"/>
    <s v="20 65243 0107938"/>
    <n v="0.92149999999999999"/>
    <n v="1"/>
    <n v="650"/>
    <n v="599"/>
    <n v="71826"/>
    <n v="46973"/>
    <n v="118799"/>
  </r>
  <r>
    <s v="20"/>
    <s v="65243"/>
    <s v="0118950"/>
    <s v="1058"/>
    <s v="D"/>
    <s v="Sherman Thomas Charter High"/>
    <x v="1"/>
    <s v="Millview Elementary"/>
    <s v="20 65243 6024020"/>
    <n v="0.98899999999999999"/>
    <n v="1"/>
    <n v="84"/>
    <n v="45"/>
    <n v="9282"/>
    <n v="3529"/>
    <n v="12811"/>
  </r>
  <r>
    <s v="20"/>
    <s v="65243"/>
    <s v="0134510"/>
    <s v="1780"/>
    <s v="D"/>
    <s v="Sherman Thomas STEM Academy"/>
    <x v="1"/>
    <s v="Millview Elementary"/>
    <s v="20 65243 6024020"/>
    <n v="0.98899999999999999"/>
    <n v="1"/>
    <n v="75"/>
    <n v="28"/>
    <n v="8288"/>
    <n v="2196"/>
    <n v="10484"/>
  </r>
  <r>
    <s v="20"/>
    <s v="65276"/>
    <s v="0000000"/>
    <s v="N/A"/>
    <s v="N/A"/>
    <s v="Raymond-Knowles Union Elementary"/>
    <x v="3"/>
    <s v="Raymond-Knowles Elementary"/>
    <s v="20 65276 6024095"/>
    <n v="0.55700000000000005"/>
    <n v="2"/>
    <n v="79"/>
    <n v="44"/>
    <n v="8730"/>
    <n v="3450"/>
    <n v="12180"/>
  </r>
  <r>
    <s v="20"/>
    <s v="75580"/>
    <s v="0000000"/>
    <s v="N/A"/>
    <s v="N/A"/>
    <s v="Golden Valley Unified"/>
    <x v="3"/>
    <s v="Valley Children's Hospital"/>
    <s v="20 75580 0123315"/>
    <n v="0.5"/>
    <n v="11"/>
    <n v="2578"/>
    <n v="1045"/>
    <n v="284875"/>
    <n v="81947"/>
    <n v="366822"/>
  </r>
  <r>
    <s v="20"/>
    <s v="75606"/>
    <s v="0000000"/>
    <s v="N/A"/>
    <s v="N/A"/>
    <s v="Chawanakee Unified"/>
    <x v="3"/>
    <s v="North Fork Elementary"/>
    <s v="20 75606 6024079"/>
    <n v="0.76190000000000002"/>
    <n v="8"/>
    <n v="1015"/>
    <n v="479"/>
    <n v="112159"/>
    <n v="37563"/>
    <n v="149722"/>
  </r>
  <r>
    <s v="20"/>
    <s v="75606"/>
    <s v="0125021"/>
    <s v="1341"/>
    <s v="L"/>
    <s v="Minarets Charter High"/>
    <x v="1"/>
    <s v="Millview Elementary"/>
    <s v="20 65243 6024020"/>
    <n v="0.98899999999999999"/>
    <n v="1"/>
    <n v="214"/>
    <n v="86"/>
    <n v="23647"/>
    <n v="6744"/>
    <n v="30391"/>
  </r>
  <r>
    <s v="20"/>
    <s v="75606"/>
    <s v="0132936"/>
    <s v="1763"/>
    <s v="L"/>
    <s v="Chawanakee Academy Charter"/>
    <x v="1"/>
    <s v="Chawanakee Academy Charter"/>
    <s v="20 75606 0132936"/>
    <n v="0.50970000000000004"/>
    <n v="1"/>
    <n v="206"/>
    <n v="105"/>
    <n v="22763"/>
    <n v="8234"/>
    <n v="30997"/>
  </r>
  <r>
    <s v="20"/>
    <s v="76414"/>
    <s v="0000000"/>
    <s v="N/A"/>
    <s v="N/A"/>
    <s v="Yosemite Unified"/>
    <x v="3"/>
    <s v="Coarsegold Elementary"/>
    <s v="20 76414 6023915"/>
    <n v="0.69740000000000002"/>
    <n v="10"/>
    <n v="1386"/>
    <n v="797"/>
    <n v="153156"/>
    <n v="62500"/>
    <n v="215656"/>
  </r>
  <r>
    <s v="20"/>
    <s v="76414"/>
    <s v="2030237"/>
    <s v="0479"/>
    <s v="D"/>
    <s v="Glacier High School Charter"/>
    <x v="1"/>
    <s v="Millview Elementary"/>
    <s v="20 65243 6024020"/>
    <n v="0.98899999999999999"/>
    <n v="1"/>
    <n v="86"/>
    <n v="31"/>
    <n v="9503"/>
    <n v="2431"/>
    <n v="11934"/>
  </r>
  <r>
    <s v="20"/>
    <s v="76414"/>
    <s v="6110076"/>
    <s v="0063"/>
    <s v="D"/>
    <s v="Mountain Home Charter (Alternative)"/>
    <x v="1"/>
    <s v="Mountain Home Charter (Alternative)"/>
    <s v="20 76414 6110076"/>
    <n v="0.39319999999999999"/>
    <n v="1"/>
    <n v="206"/>
    <n v="81"/>
    <n v="22763"/>
    <n v="6352"/>
    <n v="29115"/>
  </r>
  <r>
    <s v="21"/>
    <s v="10215"/>
    <s v="0000000"/>
    <s v="N/A"/>
    <s v="N/A"/>
    <s v="Marin Co. Office of Education"/>
    <x v="0"/>
    <s v="Bahia Vista Elementary"/>
    <s v="21 65458 6024756"/>
    <n v="0.98599999999999999"/>
    <n v="4"/>
    <n v="316"/>
    <n v="159"/>
    <n v="34919"/>
    <n v="12469"/>
    <n v="47388"/>
  </r>
  <r>
    <s v="21"/>
    <s v="10215"/>
    <s v="0135350"/>
    <s v="1790"/>
    <s v="D"/>
    <s v="Ross Valley Charter"/>
    <x v="1"/>
    <s v="Ross Valley Charter"/>
    <s v="21 10215 0135350"/>
    <n v="0.25359999999999999"/>
    <n v="1"/>
    <n v="209"/>
    <n v="53"/>
    <n v="23095"/>
    <n v="4156"/>
    <n v="27251"/>
  </r>
  <r>
    <s v="21"/>
    <s v="10215"/>
    <s v="2130102"/>
    <s v="0087"/>
    <s v="L"/>
    <s v="Phoenix Academy"/>
    <x v="1"/>
    <s v="Bahia Vista Elementary"/>
    <s v="21 65458 6024756"/>
    <n v="0.98599999999999999"/>
    <n v="1"/>
    <n v="28"/>
    <n v="18"/>
    <n v="3094"/>
    <n v="1412"/>
    <n v="4506"/>
  </r>
  <r>
    <s v="21"/>
    <s v="65300"/>
    <s v="0000000"/>
    <s v="N/A"/>
    <s v="N/A"/>
    <s v="Bolinas-Stinson Union"/>
    <x v="3"/>
    <s v="Bolinas-Stinson Elementary"/>
    <s v="21 65300 6024137"/>
    <n v="0.43559999999999999"/>
    <n v="2"/>
    <n v="102"/>
    <n v="44"/>
    <n v="11271"/>
    <n v="3450"/>
    <n v="14721"/>
  </r>
  <r>
    <s v="21"/>
    <s v="65318"/>
    <s v="0000000"/>
    <s v="N/A"/>
    <s v="N/A"/>
    <s v="Miller Creek Elementary"/>
    <x v="3"/>
    <s v="Mary E. Silveira Elementary"/>
    <s v="21 65318 6024194"/>
    <n v="0.24940000000000001"/>
    <n v="5"/>
    <n v="1815"/>
    <n v="289"/>
    <n v="200561"/>
    <n v="22662"/>
    <n v="223223"/>
  </r>
  <r>
    <s v="21"/>
    <s v="65334"/>
    <s v="0000000"/>
    <s v="N/A"/>
    <s v="N/A"/>
    <s v="Kentfield Elementary"/>
    <x v="3"/>
    <s v="Anthony G. Bacich Elementary"/>
    <s v="21 65334 6024319"/>
    <n v="0.1331"/>
    <n v="3"/>
    <n v="1054"/>
    <n v="130"/>
    <n v="116468"/>
    <n v="10194"/>
    <n v="126662"/>
  </r>
  <r>
    <s v="21"/>
    <s v="65342"/>
    <s v="0000000"/>
    <s v="N/A"/>
    <s v="N/A"/>
    <s v="Laguna Joint Elementary"/>
    <x v="3"/>
    <s v="Laguna Elementary"/>
    <s v="21 65342 6024327"/>
    <n v="0.77780000000000005"/>
    <n v="3"/>
    <n v="16"/>
    <n v="7"/>
    <n v="1769"/>
    <n v="549"/>
    <n v="2318"/>
  </r>
  <r>
    <s v="21"/>
    <s v="65359"/>
    <s v="0000000"/>
    <s v="N/A"/>
    <s v="N/A"/>
    <s v="Lagunitas Elementary"/>
    <x v="3"/>
    <s v="San Geronimo Valley Elementary"/>
    <s v="21 65359 6024343"/>
    <n v="0.19350000000000001"/>
    <n v="3"/>
    <n v="160"/>
    <n v="24"/>
    <n v="17681"/>
    <n v="1883"/>
    <n v="19564"/>
  </r>
  <r>
    <s v="21"/>
    <s v="65367"/>
    <s v="0000000"/>
    <s v="N/A"/>
    <s v="N/A"/>
    <s v="Larkspur-Corte Madera"/>
    <x v="3"/>
    <s v="Cove"/>
    <s v="21 65367 0129148"/>
    <n v="5.3100000000000001E-2"/>
    <n v="4"/>
    <n v="1269"/>
    <n v="79"/>
    <n v="140227"/>
    <n v="6195"/>
    <n v="146422"/>
  </r>
  <r>
    <s v="21"/>
    <s v="65391"/>
    <s v="0000000"/>
    <s v="N/A"/>
    <s v="N/A"/>
    <s v="Mill Valley Elementary"/>
    <x v="3"/>
    <s v="Strawberry Point Elementary"/>
    <s v="21 65391 6024467"/>
    <n v="7.4800000000000005E-2"/>
    <n v="7"/>
    <n v="2364"/>
    <n v="147"/>
    <n v="261226"/>
    <n v="11528"/>
    <n v="272754"/>
  </r>
  <r>
    <s v="21"/>
    <s v="65409"/>
    <s v="0000000"/>
    <s v="N/A"/>
    <s v="N/A"/>
    <s v="Nicasio"/>
    <x v="3"/>
    <s v="Nicasio"/>
    <s v="21 65409 6024483"/>
    <n v="0.58819999999999995"/>
    <n v="2"/>
    <n v="34"/>
    <n v="20"/>
    <n v="3757"/>
    <n v="1568"/>
    <n v="5325"/>
  </r>
  <r>
    <s v="21"/>
    <s v="65417"/>
    <s v="0000000"/>
    <s v="N/A"/>
    <s v="N/A"/>
    <s v="Novato Unified"/>
    <x v="3"/>
    <s v="Hamilton Meadow Park"/>
    <s v="21 65417 6024491"/>
    <n v="0.57820000000000005"/>
    <n v="16"/>
    <n v="7253"/>
    <n v="2375"/>
    <n v="801469"/>
    <n v="186245"/>
    <n v="987714"/>
  </r>
  <r>
    <s v="21"/>
    <s v="65417"/>
    <s v="6113229"/>
    <s v="0089"/>
    <s v="D"/>
    <s v="Novato Charter"/>
    <x v="1"/>
    <s v="Novato Charter"/>
    <s v="21 65417 6113229"/>
    <n v="0.11650000000000001"/>
    <n v="1"/>
    <n v="266"/>
    <n v="31"/>
    <n v="29393"/>
    <n v="2431"/>
    <n v="31824"/>
  </r>
  <r>
    <s v="21"/>
    <s v="65425"/>
    <s v="0000000"/>
    <s v="N/A"/>
    <s v="N/A"/>
    <s v="Reed Union Elementary"/>
    <x v="3"/>
    <s v="Reed Elementary"/>
    <s v="21 65425 6024657"/>
    <n v="3.8800000000000001E-2"/>
    <n v="4"/>
    <n v="1023"/>
    <n v="45"/>
    <n v="113043"/>
    <n v="3529"/>
    <n v="116572"/>
  </r>
  <r>
    <s v="21"/>
    <s v="65433"/>
    <s v="0000000"/>
    <s v="N/A"/>
    <s v="N/A"/>
    <s v="Ross Elementary"/>
    <x v="3"/>
    <s v="Ross Elementary"/>
    <s v="21 65433 6024673"/>
    <n v="8.3999999999999995E-3"/>
    <n v="2"/>
    <n v="357"/>
    <n v="3"/>
    <n v="39449"/>
    <n v="235"/>
    <n v="39684"/>
  </r>
  <r>
    <s v="21"/>
    <s v="65458"/>
    <s v="0000000"/>
    <s v="N/A"/>
    <s v="N/A"/>
    <s v="San Rafael City Elementary"/>
    <x v="3"/>
    <s v="Bahia Vista Elementary"/>
    <s v="21 65458 6024756"/>
    <n v="0.98599999999999999"/>
    <n v="10"/>
    <n v="4323"/>
    <n v="3170"/>
    <n v="477699"/>
    <n v="248587"/>
    <n v="726286"/>
  </r>
  <r>
    <s v="21"/>
    <s v="65466"/>
    <s v="0000000"/>
    <s v="N/A"/>
    <s v="N/A"/>
    <s v="San Rafael City High"/>
    <x v="3"/>
    <s v="Bahia Vista Elementary"/>
    <s v="21 65458 6024756"/>
    <n v="0.98599999999999999"/>
    <n v="4"/>
    <n v="2644"/>
    <n v="1612"/>
    <n v="292166"/>
    <n v="126412"/>
    <n v="418578"/>
  </r>
  <r>
    <s v="21"/>
    <s v="65474"/>
    <s v="0000000"/>
    <s v="N/A"/>
    <s v="N/A"/>
    <s v="Sausalito Marin City"/>
    <x v="3"/>
    <s v="Dr. Martin Luther King Jr. Academy"/>
    <s v="21 65474 6024889"/>
    <n v="0.46539999999999998"/>
    <n v="2"/>
    <n v="318"/>
    <n v="148"/>
    <n v="35140"/>
    <n v="11606"/>
    <n v="46746"/>
  </r>
  <r>
    <s v="21"/>
    <s v="65482"/>
    <s v="0000000"/>
    <s v="N/A"/>
    <s v="N/A"/>
    <s v="Tamalpais Union High"/>
    <x v="3"/>
    <s v="Bahia Vista Elementary"/>
    <s v="21 65458 6024756"/>
    <n v="0.98599999999999999"/>
    <n v="6"/>
    <n v="4813"/>
    <n v="476"/>
    <n v="531845"/>
    <n v="37328"/>
    <n v="569173"/>
  </r>
  <r>
    <s v="21"/>
    <s v="73361"/>
    <s v="0000000"/>
    <s v="N/A"/>
    <s v="N/A"/>
    <s v="Shoreline Unified"/>
    <x v="3"/>
    <s v="Bodega Bay Elementary"/>
    <s v="21 73361 6051627"/>
    <n v="0.70830000000000004"/>
    <n v="6"/>
    <n v="503"/>
    <n v="298"/>
    <n v="55583"/>
    <n v="23369"/>
    <n v="78952"/>
  </r>
  <r>
    <s v="21"/>
    <s v="75002"/>
    <s v="0000000"/>
    <s v="N/A"/>
    <s v="N/A"/>
    <s v="Ross Valley Elementary"/>
    <x v="3"/>
    <s v="Manor Elementary"/>
    <s v="21 75002 6024277"/>
    <n v="0.16950000000000001"/>
    <n v="6"/>
    <n v="1721"/>
    <n v="174"/>
    <n v="190174"/>
    <n v="13645"/>
    <n v="203819"/>
  </r>
  <r>
    <s v="22"/>
    <s v="10223"/>
    <s v="0000000"/>
    <s v="N/A"/>
    <s v="N/A"/>
    <s v="Mariposa Co. Office of Education"/>
    <x v="0"/>
    <s v="Greeley Hill Elementary"/>
    <s v="22 65532 0132258"/>
    <n v="0.87880000000000003"/>
    <n v="4"/>
    <n v="52"/>
    <n v="39"/>
    <n v="5747"/>
    <n v="3058"/>
    <n v="8805"/>
  </r>
  <r>
    <s v="22"/>
    <s v="65532"/>
    <s v="0000000"/>
    <s v="N/A"/>
    <s v="N/A"/>
    <s v="Mariposa County Unified"/>
    <x v="3"/>
    <s v="Greeley Hill Elementary"/>
    <s v="22 65532 0132258"/>
    <n v="0.87880000000000003"/>
    <n v="12"/>
    <n v="1695"/>
    <n v="1131"/>
    <n v="187302"/>
    <n v="88691"/>
    <n v="275993"/>
  </r>
  <r>
    <s v="22"/>
    <s v="65532"/>
    <s v="0125823"/>
    <s v="1396"/>
    <s v="D"/>
    <s v="Sierra Foothill Charter"/>
    <x v="1"/>
    <s v="Sierra Foothill Charter"/>
    <s v="22 65532 0125823"/>
    <n v="0.42420000000000002"/>
    <n v="1"/>
    <n v="132"/>
    <n v="56"/>
    <n v="14586"/>
    <n v="4391"/>
    <n v="18977"/>
  </r>
  <r>
    <s v="23"/>
    <s v="10231"/>
    <s v="0000000"/>
    <s v="N/A"/>
    <s v="N/A"/>
    <s v="Mendocino Co. Office of Education"/>
    <x v="0"/>
    <s v="Eel River Charter"/>
    <s v="23 65607 2330272"/>
    <n v="0.98109999999999997"/>
    <n v="4"/>
    <n v="434"/>
    <n v="410"/>
    <n v="47959"/>
    <n v="32153"/>
    <n v="80112"/>
  </r>
  <r>
    <s v="23"/>
    <s v="65540"/>
    <s v="0000000"/>
    <s v="N/A"/>
    <s v="N/A"/>
    <s v="Anderson Valley Unified"/>
    <x v="3"/>
    <s v="Anderson Valley Elementary"/>
    <s v="23 65540 6025084"/>
    <n v="0.82140000000000002"/>
    <n v="3"/>
    <n v="423"/>
    <n v="344"/>
    <n v="46742"/>
    <n v="26976"/>
    <n v="73718"/>
  </r>
  <r>
    <s v="23"/>
    <s v="65557"/>
    <s v="0000000"/>
    <s v="N/A"/>
    <s v="N/A"/>
    <s v="Arena Union Elementary"/>
    <x v="3"/>
    <s v="Arena Elementary"/>
    <s v="23 65557 6025092"/>
    <n v="0.63109999999999999"/>
    <n v="2"/>
    <n v="225"/>
    <n v="142"/>
    <n v="24863"/>
    <n v="11135"/>
    <n v="35998"/>
  </r>
  <r>
    <s v="23"/>
    <s v="65557"/>
    <s v="6116669"/>
    <s v="0192"/>
    <s v="D"/>
    <s v="Pacific Community Charter"/>
    <x v="1"/>
    <s v="Pacific Community Charter"/>
    <s v="23 65557 6116669"/>
    <n v="0.44290000000000002"/>
    <n v="1"/>
    <n v="70"/>
    <n v="31"/>
    <n v="7735"/>
    <n v="2431"/>
    <n v="10166"/>
  </r>
  <r>
    <s v="23"/>
    <s v="65565"/>
    <s v="0000000"/>
    <s v="N/A"/>
    <s v="N/A"/>
    <s v="Fort Bragg Unified"/>
    <x v="3"/>
    <s v="Redwood Elementary"/>
    <s v="23 65565 6025126"/>
    <n v="0.81020000000000003"/>
    <n v="8"/>
    <n v="1695"/>
    <n v="1352"/>
    <n v="187302"/>
    <n v="106023"/>
    <n v="293325"/>
  </r>
  <r>
    <s v="23"/>
    <s v="65565"/>
    <s v="0123737"/>
    <s v="1275"/>
    <s v="D"/>
    <s v="Three Rivers Charter"/>
    <x v="1"/>
    <s v="Three Rivers Charter"/>
    <s v="23 65565 0123737"/>
    <n v="0.67069999999999996"/>
    <n v="1"/>
    <n v="82"/>
    <n v="55"/>
    <n v="9061"/>
    <n v="4313"/>
    <n v="13374"/>
  </r>
  <r>
    <s v="23"/>
    <s v="65573"/>
    <s v="0000000"/>
    <s v="N/A"/>
    <s v="N/A"/>
    <s v="Manchester Union Elementary"/>
    <x v="3"/>
    <s v="Manchester Elementary"/>
    <s v="23 65573 6025134"/>
    <n v="0.51429999999999998"/>
    <n v="2"/>
    <n v="35"/>
    <n v="18"/>
    <n v="3868"/>
    <n v="1412"/>
    <n v="5280"/>
  </r>
  <r>
    <s v="23"/>
    <s v="65581"/>
    <s v="0000000"/>
    <s v="N/A"/>
    <s v="N/A"/>
    <s v="Mendocino Unified"/>
    <x v="3"/>
    <s v="Comptche Elementary"/>
    <s v="23 65581 6025142"/>
    <n v="0.82350000000000001"/>
    <n v="7"/>
    <n v="462"/>
    <n v="293"/>
    <n v="51053"/>
    <n v="22977"/>
    <n v="74030"/>
  </r>
  <r>
    <s v="23"/>
    <s v="65599"/>
    <s v="0000000"/>
    <s v="N/A"/>
    <s v="N/A"/>
    <s v="Point Arena Joint Union High"/>
    <x v="3"/>
    <s v="Eel River Charter"/>
    <s v="23 65607 2330272"/>
    <n v="0.98109999999999997"/>
    <n v="3"/>
    <n v="130"/>
    <n v="77"/>
    <n v="14366"/>
    <n v="6038"/>
    <n v="20404"/>
  </r>
  <r>
    <s v="23"/>
    <s v="65607"/>
    <s v="0000000"/>
    <s v="N/A"/>
    <s v="N/A"/>
    <s v="Round Valley Unified"/>
    <x v="3"/>
    <s v="Round Valley Elementary"/>
    <s v="23 65607 6025175"/>
    <n v="0.88490000000000002"/>
    <n v="4"/>
    <n v="438"/>
    <n v="401"/>
    <n v="48400"/>
    <n v="31446"/>
    <n v="79846"/>
  </r>
  <r>
    <s v="23"/>
    <s v="65607"/>
    <s v="2330272"/>
    <s v="0032"/>
    <s v="D"/>
    <s v="Eel River Charter"/>
    <x v="1"/>
    <s v="Eel River Charter"/>
    <s v="23 65607 2330272"/>
    <n v="0.98109999999999997"/>
    <n v="1"/>
    <n v="53"/>
    <n v="52"/>
    <n v="5857"/>
    <n v="4078"/>
    <n v="9935"/>
  </r>
  <r>
    <s v="23"/>
    <s v="65615"/>
    <s v="0000000"/>
    <s v="N/A"/>
    <s v="N/A"/>
    <s v="Ukiah Unified"/>
    <x v="3"/>
    <s v="Nokomis Elementary"/>
    <s v="23 65615 6025217"/>
    <n v="0.96050000000000002"/>
    <n v="12"/>
    <n v="5882"/>
    <n v="4629"/>
    <n v="649972"/>
    <n v="363001"/>
    <n v="1012973"/>
  </r>
  <r>
    <s v="23"/>
    <s v="65615"/>
    <s v="0115055"/>
    <s v="0910"/>
    <s v="D"/>
    <s v="River Oak Charter"/>
    <x v="1"/>
    <s v="River Oak Charter"/>
    <s v="23 65615 0115055"/>
    <n v="0.41949999999999998"/>
    <n v="1"/>
    <n v="236"/>
    <n v="99"/>
    <n v="26078"/>
    <n v="7763"/>
    <n v="33841"/>
  </r>
  <r>
    <s v="23"/>
    <s v="65615"/>
    <s v="0140814"/>
    <s v="2117"/>
    <s v="D"/>
    <s v="Shanel Valley Academy"/>
    <x v="1"/>
    <s v="Shanel Valley Academy"/>
    <s v="23 65615 0140814"/>
    <n v="0.72870000000000001"/>
    <n v="1"/>
    <n v="129"/>
    <n v="94"/>
    <n v="14255"/>
    <n v="7371"/>
    <n v="21626"/>
  </r>
  <r>
    <s v="23"/>
    <s v="65615"/>
    <s v="2330413"/>
    <s v="0271"/>
    <s v="D"/>
    <s v="Redwood Collegiate Academy"/>
    <x v="1"/>
    <s v="Eel River Charter"/>
    <s v="23 65607 2330272"/>
    <n v="0.98109999999999997"/>
    <n v="1"/>
    <n v="125"/>
    <n v="83"/>
    <n v="13813"/>
    <n v="6509"/>
    <n v="20322"/>
  </r>
  <r>
    <s v="23"/>
    <s v="65615"/>
    <s v="2330454"/>
    <s v="0439"/>
    <s v="D"/>
    <s v="Sequoia Career Academy"/>
    <x v="1"/>
    <s v="Sequoia Career Academy"/>
    <s v="23 65615 2330454"/>
    <n v="0.86229999999999996"/>
    <n v="1"/>
    <n v="138"/>
    <n v="119"/>
    <n v="15249"/>
    <n v="9332"/>
    <n v="24581"/>
  </r>
  <r>
    <s v="23"/>
    <s v="65615"/>
    <s v="6117386"/>
    <s v="0276"/>
    <s v="D"/>
    <s v="Tree of Life Charter"/>
    <x v="1"/>
    <s v="Tree of Life Charter"/>
    <s v="23 65615 6117386"/>
    <n v="0.59299999999999997"/>
    <n v="1"/>
    <n v="86"/>
    <n v="51"/>
    <n v="9503"/>
    <n v="3999"/>
    <n v="13502"/>
  </r>
  <r>
    <s v="23"/>
    <s v="65623"/>
    <s v="0000000"/>
    <s v="N/A"/>
    <s v="N/A"/>
    <s v="Willits Unified"/>
    <x v="3"/>
    <s v="Sherwood"/>
    <s v="23 65623 6104590"/>
    <n v="0.69120000000000004"/>
    <n v="7"/>
    <n v="1535"/>
    <n v="928"/>
    <n v="169620"/>
    <n v="72773"/>
    <n v="242393"/>
  </r>
  <r>
    <s v="23"/>
    <s v="65623"/>
    <s v="0112300"/>
    <s v="0822"/>
    <s v="D"/>
    <s v="La Vida Charter"/>
    <x v="1"/>
    <s v="La Vida Charter"/>
    <s v="23 65623 0112300"/>
    <n v="0.7722"/>
    <n v="1"/>
    <n v="79"/>
    <n v="61"/>
    <n v="8730"/>
    <n v="4784"/>
    <n v="13514"/>
  </r>
  <r>
    <s v="23"/>
    <s v="65623"/>
    <s v="0125658"/>
    <s v="1373"/>
    <s v="D"/>
    <s v="Willits Elementary Charter"/>
    <x v="1"/>
    <s v="Willits Elementary Charter"/>
    <s v="23 65623 0125658"/>
    <n v="0.63449999999999995"/>
    <n v="1"/>
    <n v="145"/>
    <n v="92"/>
    <n v="16023"/>
    <n v="7215"/>
    <n v="23238"/>
  </r>
  <r>
    <s v="23"/>
    <s v="65623"/>
    <s v="2330363"/>
    <s v="0166"/>
    <s v="D"/>
    <s v="Willits Charter"/>
    <x v="1"/>
    <s v="Willits Charter"/>
    <s v="23 65623 2330363"/>
    <n v="0.54869999999999997"/>
    <n v="1"/>
    <n v="113"/>
    <n v="62"/>
    <n v="12487"/>
    <n v="4862"/>
    <n v="17349"/>
  </r>
  <r>
    <s v="23"/>
    <s v="73866"/>
    <s v="0000000"/>
    <s v="N/A"/>
    <s v="N/A"/>
    <s v="Potter Valley Community Unified"/>
    <x v="3"/>
    <s v="Potter Valley Elementary"/>
    <s v="23 73866 6025241"/>
    <n v="0.6"/>
    <n v="5"/>
    <n v="276"/>
    <n v="162"/>
    <n v="30499"/>
    <n v="12704"/>
    <n v="43203"/>
  </r>
  <r>
    <s v="23"/>
    <s v="73916"/>
    <s v="0000000"/>
    <s v="N/A"/>
    <s v="N/A"/>
    <s v="Laytonville Unified"/>
    <x v="3"/>
    <s v="Laytonville Elementary"/>
    <s v="23 73916 6025308"/>
    <n v="0.68140000000000001"/>
    <n v="4"/>
    <n v="337"/>
    <n v="231"/>
    <n v="37239"/>
    <n v="18115"/>
    <n v="55354"/>
  </r>
  <r>
    <s v="23"/>
    <s v="75218"/>
    <s v="0000000"/>
    <s v="N/A"/>
    <s v="N/A"/>
    <s v="Leggett Valley Unified"/>
    <x v="3"/>
    <s v="Leggett Valley Elementary"/>
    <s v="23 75218 6025118"/>
    <n v="0.51719999999999999"/>
    <n v="6"/>
    <n v="127"/>
    <n v="56"/>
    <n v="14035"/>
    <n v="4391"/>
    <n v="18426"/>
  </r>
  <r>
    <s v="24"/>
    <s v="10249"/>
    <s v="0000000"/>
    <s v="N/A"/>
    <s v="N/A"/>
    <s v="Merced Co. Office of Education"/>
    <x v="0"/>
    <s v="Planada Elementary"/>
    <s v="24 65821 6025787"/>
    <n v="0.98460000000000003"/>
    <n v="7"/>
    <n v="1509"/>
    <n v="1110"/>
    <n v="166747"/>
    <n v="87044"/>
    <n v="253791"/>
  </r>
  <r>
    <s v="24"/>
    <s v="10249"/>
    <s v="0106518"/>
    <s v="0631"/>
    <s v="L"/>
    <s v="Merced Scholars Charter"/>
    <x v="1"/>
    <s v="Merced Scholars Charter"/>
    <s v="24 10249 0106518"/>
    <n v="0.79720000000000002"/>
    <n v="1"/>
    <n v="281"/>
    <n v="224"/>
    <n v="31051"/>
    <n v="17566"/>
    <n v="48617"/>
  </r>
  <r>
    <s v="24"/>
    <s v="10249"/>
    <s v="0138032"/>
    <s v="2002"/>
    <s v="L"/>
    <s v="Come Back Charter"/>
    <x v="1"/>
    <s v="Planada Elementary"/>
    <s v="24 65821 6025787"/>
    <n v="0.98460000000000003"/>
    <n v="1"/>
    <n v="102"/>
    <n v="90"/>
    <n v="11271"/>
    <n v="7058"/>
    <n v="18329"/>
  </r>
  <r>
    <s v="24"/>
    <s v="65631"/>
    <s v="0000000"/>
    <s v="N/A"/>
    <s v="N/A"/>
    <s v="Atwater Elementary"/>
    <x v="3"/>
    <s v="Aileen Colburn Elementary"/>
    <s v="24 65631 6025316"/>
    <n v="0.90049999999999997"/>
    <n v="12"/>
    <n v="5048"/>
    <n v="3991"/>
    <n v="557813"/>
    <n v="312967"/>
    <n v="870780"/>
  </r>
  <r>
    <s v="24"/>
    <s v="65649"/>
    <s v="0000000"/>
    <s v="N/A"/>
    <s v="N/A"/>
    <s v="Ballico-Cressey Elementary"/>
    <x v="3"/>
    <s v="Cressey Elementary"/>
    <s v="24 65649 6025399"/>
    <n v="0.3125"/>
    <n v="2"/>
    <n v="48"/>
    <n v="15"/>
    <n v="5304"/>
    <n v="1176"/>
    <n v="6480"/>
  </r>
  <r>
    <s v="24"/>
    <s v="65649"/>
    <s v="6025381"/>
    <s v="1980"/>
    <s v="L"/>
    <s v="Ballico-Cressey Community Charter"/>
    <x v="1"/>
    <s v="Ballico-Cressey Community Charter"/>
    <s v="24 65649 6025381"/>
    <n v="0.44240000000000002"/>
    <n v="1"/>
    <n v="321"/>
    <n v="142"/>
    <n v="35471"/>
    <n v="11135"/>
    <n v="46606"/>
  </r>
  <r>
    <s v="24"/>
    <s v="65680"/>
    <s v="0000000"/>
    <s v="N/A"/>
    <s v="N/A"/>
    <s v="El Nido Elementary"/>
    <x v="3"/>
    <s v="El Nido Elementary"/>
    <s v="24 65680 6025456"/>
    <n v="0.93240000000000001"/>
    <n v="3"/>
    <n v="149"/>
    <n v="139"/>
    <n v="16465"/>
    <n v="10900"/>
    <n v="27365"/>
  </r>
  <r>
    <s v="24"/>
    <s v="65698"/>
    <s v="0000000"/>
    <s v="N/A"/>
    <s v="N/A"/>
    <s v="Hilmar Unified"/>
    <x v="3"/>
    <s v="Merquin Elementary"/>
    <s v="24 65698 6025472"/>
    <n v="0.74170000000000003"/>
    <n v="7"/>
    <n v="2321"/>
    <n v="1113"/>
    <n v="256475"/>
    <n v="87280"/>
    <n v="343755"/>
  </r>
  <r>
    <s v="24"/>
    <s v="65722"/>
    <s v="0000000"/>
    <s v="N/A"/>
    <s v="N/A"/>
    <s v="Le Grand Union Elementary"/>
    <x v="3"/>
    <s v="Le Grand Elementary"/>
    <s v="24 65722 6025498"/>
    <n v="0.80710000000000004"/>
    <n v="2"/>
    <n v="337"/>
    <n v="272"/>
    <n v="37239"/>
    <n v="21330"/>
    <n v="58569"/>
  </r>
  <r>
    <s v="24"/>
    <s v="65730"/>
    <s v="0000000"/>
    <s v="N/A"/>
    <s v="N/A"/>
    <s v="Le Grand Union High"/>
    <x v="3"/>
    <s v="Planada Elementary"/>
    <s v="24 65821 6025787"/>
    <n v="0.98460000000000003"/>
    <n v="3"/>
    <n v="502"/>
    <n v="417"/>
    <n v="55472"/>
    <n v="32701"/>
    <n v="88173"/>
  </r>
  <r>
    <s v="24"/>
    <s v="65748"/>
    <s v="0000000"/>
    <s v="N/A"/>
    <s v="N/A"/>
    <s v="Livingston Union"/>
    <x v="3"/>
    <s v="Campus Park Elementary"/>
    <s v="24 65748 6025506"/>
    <n v="0.8458"/>
    <n v="6"/>
    <n v="2595"/>
    <n v="2017"/>
    <n v="286751"/>
    <n v="158170"/>
    <n v="444921"/>
  </r>
  <r>
    <s v="24"/>
    <s v="65755"/>
    <s v="0000000"/>
    <s v="N/A"/>
    <s v="N/A"/>
    <s v="Los Banos Unified"/>
    <x v="3"/>
    <s v="R. M. Miano Elementary"/>
    <s v="24 65755 6025563"/>
    <n v="0.88670000000000004"/>
    <n v="18"/>
    <n v="11205"/>
    <n v="8715"/>
    <n v="1238170"/>
    <n v="683422"/>
    <n v="1921592"/>
  </r>
  <r>
    <s v="24"/>
    <s v="65763"/>
    <s v="0000000"/>
    <s v="N/A"/>
    <s v="N/A"/>
    <s v="McSwain Union Elementary"/>
    <x v="3"/>
    <s v="McSwain Elementary"/>
    <s v="24 65763 6025589"/>
    <n v="0.3896"/>
    <n v="2"/>
    <n v="883"/>
    <n v="344"/>
    <n v="97573"/>
    <n v="26976"/>
    <n v="124549"/>
  </r>
  <r>
    <s v="24"/>
    <s v="65771"/>
    <s v="0000000"/>
    <s v="N/A"/>
    <s v="N/A"/>
    <s v="Merced City Elementary"/>
    <x v="3"/>
    <s v="Don Stowell Elementary"/>
    <s v="24 65771 6115729"/>
    <n v="0.97870000000000001"/>
    <n v="20"/>
    <n v="11532"/>
    <n v="9321"/>
    <n v="1274302"/>
    <n v="730943"/>
    <n v="2005245"/>
  </r>
  <r>
    <s v="24"/>
    <s v="65789"/>
    <s v="0000000"/>
    <s v="N/A"/>
    <s v="N/A"/>
    <s v="Merced Union High"/>
    <x v="3"/>
    <s v="Planada Elementary"/>
    <s v="24 65821 6025787"/>
    <n v="0.98460000000000003"/>
    <n v="10"/>
    <n v="11226"/>
    <n v="8609"/>
    <n v="1240492"/>
    <n v="675109"/>
    <n v="1915601"/>
  </r>
  <r>
    <s v="24"/>
    <s v="65813"/>
    <s v="0000000"/>
    <s v="N/A"/>
    <s v="N/A"/>
    <s v="Plainsburg Union Elementary"/>
    <x v="3"/>
    <s v="Plainsburg Union Elementary"/>
    <s v="24 65813 6025779"/>
    <n v="0.48149999999999998"/>
    <n v="2"/>
    <n v="108"/>
    <n v="52"/>
    <n v="11934"/>
    <n v="4078"/>
    <n v="16012"/>
  </r>
  <r>
    <s v="24"/>
    <s v="65821"/>
    <s v="0000000"/>
    <s v="N/A"/>
    <s v="N/A"/>
    <s v="Planada Elementary"/>
    <x v="3"/>
    <s v="Planada Elementary"/>
    <s v="24 65821 6025787"/>
    <n v="0.98460000000000003"/>
    <n v="3"/>
    <n v="875"/>
    <n v="865"/>
    <n v="96688"/>
    <n v="67832"/>
    <n v="164520"/>
  </r>
  <r>
    <s v="24"/>
    <s v="65839"/>
    <s v="0000000"/>
    <s v="N/A"/>
    <s v="N/A"/>
    <s v="Snelling-Merced Falls Union Elementary"/>
    <x v="3"/>
    <s v="Snelling-Merced Falls Elementary"/>
    <s v="24 65839 6025795"/>
    <n v="0.88680000000000003"/>
    <n v="2"/>
    <n v="53"/>
    <n v="47"/>
    <n v="5857"/>
    <n v="3686"/>
    <n v="9543"/>
  </r>
  <r>
    <s v="24"/>
    <s v="65862"/>
    <s v="0000000"/>
    <s v="N/A"/>
    <s v="N/A"/>
    <s v="Weaver Union"/>
    <x v="3"/>
    <s v="Farmdale Elementary"/>
    <s v="24 65862 0114074"/>
    <n v="0.69330000000000003"/>
    <n v="5"/>
    <n v="3238"/>
    <n v="2169"/>
    <n v="357804"/>
    <n v="170091"/>
    <n v="527895"/>
  </r>
  <r>
    <s v="24"/>
    <s v="65870"/>
    <s v="0000000"/>
    <s v="N/A"/>
    <s v="N/A"/>
    <s v="Winton"/>
    <x v="3"/>
    <s v="Sybil N. Crookham Elementary"/>
    <s v="24 65870 6025837"/>
    <n v="0.9556"/>
    <n v="5"/>
    <n v="1990"/>
    <n v="1842"/>
    <n v="219899"/>
    <n v="144447"/>
    <n v="364346"/>
  </r>
  <r>
    <s v="24"/>
    <s v="73619"/>
    <s v="0000000"/>
    <s v="N/A"/>
    <s v="N/A"/>
    <s v="Gustine Unified"/>
    <x v="3"/>
    <s v="Romero Elementary"/>
    <s v="24 73619 6025746"/>
    <n v="0.82630000000000003"/>
    <n v="7"/>
    <n v="1746"/>
    <n v="1367"/>
    <n v="192936"/>
    <n v="107199"/>
    <n v="300135"/>
  </r>
  <r>
    <s v="24"/>
    <s v="73726"/>
    <s v="0000000"/>
    <s v="N/A"/>
    <s v="N/A"/>
    <s v="Merced River Union Elementary"/>
    <x v="3"/>
    <s v="Washington Elementary"/>
    <s v="24 73726 6025803"/>
    <n v="0.8327"/>
    <n v="2"/>
    <n v="275"/>
    <n v="229"/>
    <n v="30388"/>
    <n v="17958"/>
    <n v="48346"/>
  </r>
  <r>
    <s v="24"/>
    <s v="75317"/>
    <s v="0000000"/>
    <s v="N/A"/>
    <s v="N/A"/>
    <s v="Dos Palos Oro Loma Joint Unified"/>
    <x v="3"/>
    <s v="Bernhard Marks Elementary"/>
    <s v="24 75317 6112940"/>
    <n v="0.91269999999999996"/>
    <n v="9"/>
    <n v="2378"/>
    <n v="2124"/>
    <n v="262774"/>
    <n v="166562"/>
    <n v="429336"/>
  </r>
  <r>
    <s v="24"/>
    <s v="75366"/>
    <s v="0000000"/>
    <s v="N/A"/>
    <s v="N/A"/>
    <s v="Delhi Unified"/>
    <x v="3"/>
    <s v="El Capitan Elementary"/>
    <s v="24 75366 6025407"/>
    <n v="0.90610000000000002"/>
    <n v="6"/>
    <n v="2398"/>
    <n v="1958"/>
    <n v="264983"/>
    <n v="153544"/>
    <n v="418527"/>
  </r>
  <r>
    <s v="25"/>
    <s v="10256"/>
    <s v="0000000"/>
    <s v="N/A"/>
    <s v="N/A"/>
    <s v="Modoc Co. Office of Education"/>
    <x v="0"/>
    <s v="Tulelake Basin Elementary"/>
    <s v="25 73593 6025894"/>
    <n v="0.79749999999999999"/>
    <n v="2"/>
    <n v="83"/>
    <n v="66"/>
    <n v="9172"/>
    <n v="5176"/>
    <n v="14348"/>
  </r>
  <r>
    <s v="25"/>
    <s v="65896"/>
    <s v="0000000"/>
    <s v="N/A"/>
    <s v="N/A"/>
    <s v="Surprise Valley Joint Unified"/>
    <x v="3"/>
    <s v="Surprise Valley Elementary"/>
    <s v="25 65896 6025902"/>
    <n v="0.57689999999999997"/>
    <n v="3"/>
    <n v="96"/>
    <n v="52"/>
    <n v="10608"/>
    <n v="4078"/>
    <n v="14686"/>
  </r>
  <r>
    <s v="25"/>
    <s v="73585"/>
    <s v="0000000"/>
    <s v="N/A"/>
    <s v="N/A"/>
    <s v="Modoc Joint Unified"/>
    <x v="3"/>
    <s v="State Line Elementary"/>
    <s v="25 73585 6025886"/>
    <n v="0.66669999999999996"/>
    <n v="7"/>
    <n v="832"/>
    <n v="542"/>
    <n v="91938"/>
    <n v="42503"/>
    <n v="134441"/>
  </r>
  <r>
    <s v="25"/>
    <s v="73593"/>
    <s v="0000000"/>
    <s v="N/A"/>
    <s v="N/A"/>
    <s v="Tulelake Basin Joint Unified"/>
    <x v="3"/>
    <s v="Tulelake Basin Elementary"/>
    <s v="25 73593 6025894"/>
    <n v="0.79749999999999999"/>
    <n v="4"/>
    <n v="411"/>
    <n v="334"/>
    <n v="45416"/>
    <n v="26192"/>
    <n v="71608"/>
  </r>
  <r>
    <s v="26"/>
    <s v="10264"/>
    <s v="0000000"/>
    <s v="N/A"/>
    <s v="N/A"/>
    <s v="Mono Co. Office of Education"/>
    <x v="0"/>
    <s v="Mammoth Elementary"/>
    <s v="26 73692 6025969"/>
    <n v="0.51039999999999996"/>
    <n v="5"/>
    <n v="70"/>
    <n v="40"/>
    <n v="7736"/>
    <n v="3136"/>
    <n v="10872"/>
  </r>
  <r>
    <s v="26"/>
    <s v="10264"/>
    <s v="0124990"/>
    <s v="1355"/>
    <s v="L"/>
    <s v="Urban Corps of San Diego County Charter"/>
    <x v="1"/>
    <s v="Mammoth Elementary"/>
    <s v="26 73692 6025969"/>
    <n v="0.51039999999999996"/>
    <n v="1"/>
    <n v="183"/>
    <n v="179"/>
    <n v="20222"/>
    <n v="14037"/>
    <n v="34259"/>
  </r>
  <r>
    <s v="26"/>
    <s v="73668"/>
    <s v="0000000"/>
    <s v="N/A"/>
    <s v="N/A"/>
    <s v="Eastern Sierra Unified"/>
    <x v="3"/>
    <s v="Antelope Elementary"/>
    <s v="26 73668 6025910"/>
    <n v="0.48759999999999998"/>
    <n v="7"/>
    <n v="395"/>
    <n v="165"/>
    <n v="43649"/>
    <n v="12939"/>
    <n v="56588"/>
  </r>
  <r>
    <s v="26"/>
    <s v="73692"/>
    <s v="0000000"/>
    <s v="N/A"/>
    <s v="N/A"/>
    <s v="Mammoth Unified"/>
    <x v="3"/>
    <s v="Mammoth Elementary"/>
    <s v="26 73692 6025969"/>
    <n v="0.51039999999999996"/>
    <n v="5"/>
    <n v="1118"/>
    <n v="619"/>
    <n v="123541"/>
    <n v="48541"/>
    <n v="172082"/>
  </r>
  <r>
    <s v="27"/>
    <s v="10272"/>
    <s v="0000000"/>
    <s v="N/A"/>
    <s v="N/A"/>
    <s v="Monterey Co. Office of Education"/>
    <x v="0"/>
    <s v="Jesse G. Sanchez Elementary"/>
    <s v="27 65961 6026009"/>
    <n v="0.98270000000000002"/>
    <n v="4"/>
    <n v="818"/>
    <n v="650"/>
    <n v="90391"/>
    <n v="50972"/>
    <n v="141363"/>
  </r>
  <r>
    <s v="27"/>
    <s v="10272"/>
    <s v="0112177"/>
    <s v="0799"/>
    <s v="D"/>
    <s v="Monterey Bay Charter"/>
    <x v="1"/>
    <s v="Monterey Bay Charter"/>
    <s v="27 10272 0112177"/>
    <n v="0.18140000000000001"/>
    <n v="1"/>
    <n v="474"/>
    <n v="86"/>
    <n v="52378"/>
    <n v="6744"/>
    <n v="59122"/>
  </r>
  <r>
    <s v="27"/>
    <s v="10272"/>
    <s v="0116491"/>
    <s v="2091"/>
    <s v="L"/>
    <s v="Open Door Charter"/>
    <x v="1"/>
    <s v="Jesse G. Sanchez Elementary"/>
    <s v="27 65961 6026009"/>
    <n v="0.98270000000000002"/>
    <n v="1"/>
    <n v="55"/>
    <n v="54"/>
    <n v="6078"/>
    <n v="4235"/>
    <n v="10313"/>
  </r>
  <r>
    <s v="27"/>
    <s v="10272"/>
    <s v="0124297"/>
    <s v="1306"/>
    <s v="D"/>
    <s v="Bay View Academy"/>
    <x v="1"/>
    <s v="Bay View Academy"/>
    <s v="27 10272 0124297"/>
    <n v="0.46510000000000001"/>
    <n v="1"/>
    <n v="501"/>
    <n v="233"/>
    <n v="55361"/>
    <n v="18272"/>
    <n v="73633"/>
  </r>
  <r>
    <s v="27"/>
    <s v="10272"/>
    <s v="2730232"/>
    <s v="0327"/>
    <s v="L"/>
    <s v="Monterey County Home Charter"/>
    <x v="1"/>
    <s v="Monterey County Home Charter"/>
    <s v="27 10272 2730232"/>
    <n v="0.64729999999999999"/>
    <n v="1"/>
    <n v="241"/>
    <n v="156"/>
    <n v="26631"/>
    <n v="12233"/>
    <n v="38864"/>
  </r>
  <r>
    <s v="27"/>
    <s v="10272"/>
    <s v="6119663"/>
    <s v="0412"/>
    <s v="D"/>
    <s v="Oasis Charter Public"/>
    <x v="1"/>
    <s v="Oasis Charter Public"/>
    <s v="27 10272 6119663"/>
    <n v="0.5"/>
    <n v="1"/>
    <n v="162"/>
    <n v="81"/>
    <n v="17901"/>
    <n v="6352"/>
    <n v="24253"/>
  </r>
  <r>
    <s v="27"/>
    <s v="65961"/>
    <s v="0000000"/>
    <s v="N/A"/>
    <s v="N/A"/>
    <s v="Alisal Union"/>
    <x v="3"/>
    <s v="Jesse G. Sanchez Elementary"/>
    <s v="27 65961 6026009"/>
    <n v="0.98270000000000002"/>
    <n v="14"/>
    <n v="7706"/>
    <n v="6988"/>
    <n v="851525"/>
    <n v="547991"/>
    <n v="1399516"/>
  </r>
  <r>
    <s v="27"/>
    <s v="65979"/>
    <s v="0000000"/>
    <s v="N/A"/>
    <s v="N/A"/>
    <s v="Bradley Union Elementary"/>
    <x v="3"/>
    <s v="Bradley Elementary"/>
    <s v="27 65979 6026017"/>
    <n v="0.2162"/>
    <n v="2"/>
    <n v="37"/>
    <n v="8"/>
    <n v="4089"/>
    <n v="627"/>
    <n v="4716"/>
  </r>
  <r>
    <s v="27"/>
    <s v="65987"/>
    <s v="0000000"/>
    <s v="N/A"/>
    <s v="N/A"/>
    <s v="Carmel Unified"/>
    <x v="3"/>
    <s v="Captain Cooper Elementary"/>
    <s v="27 65987 6026025"/>
    <n v="0.66669999999999996"/>
    <n v="10"/>
    <n v="2307"/>
    <n v="419"/>
    <n v="254928"/>
    <n v="32858"/>
    <n v="287786"/>
  </r>
  <r>
    <s v="27"/>
    <s v="65995"/>
    <s v="0000000"/>
    <s v="N/A"/>
    <s v="N/A"/>
    <s v="Chualar Union"/>
    <x v="3"/>
    <s v="Chualar Elementary"/>
    <s v="27 65995 6026082"/>
    <n v="0.90649999999999997"/>
    <n v="2"/>
    <n v="279"/>
    <n v="253"/>
    <n v="30830"/>
    <n v="19840"/>
    <n v="50670"/>
  </r>
  <r>
    <s v="27"/>
    <s v="66027"/>
    <s v="0000000"/>
    <s v="N/A"/>
    <s v="N/A"/>
    <s v="Graves Elementary"/>
    <x v="3"/>
    <s v="Graves Elementary"/>
    <s v="27 66027 6026108"/>
    <n v="0.2581"/>
    <n v="2"/>
    <n v="31"/>
    <n v="8"/>
    <n v="3426"/>
    <n v="627"/>
    <n v="4053"/>
  </r>
  <r>
    <s v="27"/>
    <s v="66035"/>
    <s v="0000000"/>
    <s v="N/A"/>
    <s v="N/A"/>
    <s v="Greenfield Union Elementary"/>
    <x v="3"/>
    <s v="Mary Chapa Academy"/>
    <s v="27 66035 6026116"/>
    <n v="0.83120000000000005"/>
    <n v="6"/>
    <n v="3425"/>
    <n v="2694"/>
    <n v="378468"/>
    <n v="211261"/>
    <n v="589729"/>
  </r>
  <r>
    <s v="27"/>
    <s v="66050"/>
    <s v="0000000"/>
    <s v="N/A"/>
    <s v="N/A"/>
    <s v="King City Union"/>
    <x v="3"/>
    <s v="Santa Lucia Elementary"/>
    <s v="27 66050 6026132"/>
    <n v="0.89980000000000004"/>
    <n v="7"/>
    <n v="2657"/>
    <n v="2352"/>
    <n v="293603"/>
    <n v="184441"/>
    <n v="478044"/>
  </r>
  <r>
    <s v="27"/>
    <s v="66068"/>
    <s v="0000000"/>
    <s v="N/A"/>
    <s v="N/A"/>
    <s v="South Monterey County Joint Union High"/>
    <x v="3"/>
    <s v="Jesse G. Sanchez Elementary"/>
    <s v="27 65961 6026009"/>
    <n v="0.98270000000000002"/>
    <n v="5"/>
    <n v="2761"/>
    <n v="2334"/>
    <n v="305096"/>
    <n v="183030"/>
    <n v="488126"/>
  </r>
  <r>
    <s v="27"/>
    <s v="66076"/>
    <s v="0000000"/>
    <s v="N/A"/>
    <s v="N/A"/>
    <s v="Lagunita Elementary"/>
    <x v="3"/>
    <s v="Lagunita Elementary"/>
    <s v="27 66076 6026140"/>
    <n v="0.15790000000000001"/>
    <n v="2"/>
    <n v="76"/>
    <n v="12"/>
    <n v="8398"/>
    <n v="941"/>
    <n v="9339"/>
  </r>
  <r>
    <s v="27"/>
    <s v="66084"/>
    <s v="0000000"/>
    <s v="N/A"/>
    <s v="N/A"/>
    <s v="Mission Union Elementary"/>
    <x v="3"/>
    <s v="Mission Elementary"/>
    <s v="27 66084 6026157"/>
    <n v="0.1721"/>
    <n v="2"/>
    <n v="122"/>
    <n v="21"/>
    <n v="13481"/>
    <n v="1647"/>
    <n v="15128"/>
  </r>
  <r>
    <s v="27"/>
    <s v="66092"/>
    <s v="0000000"/>
    <s v="N/A"/>
    <s v="N/A"/>
    <s v="Monterey Peninsula Unified"/>
    <x v="3"/>
    <s v="Ord Terrace Elementary"/>
    <s v="27 66092 6026355"/>
    <n v="0.91200000000000003"/>
    <n v="21"/>
    <n v="9478"/>
    <n v="6265"/>
    <n v="1047336"/>
    <n v="491295"/>
    <n v="1538631"/>
  </r>
  <r>
    <s v="27"/>
    <s v="66092"/>
    <s v="2730240"/>
    <s v="0362"/>
    <s v="D"/>
    <s v="Learning for Life Charter"/>
    <x v="1"/>
    <s v="Jesse G. Sanchez Elementary"/>
    <s v="27 65961 6026009"/>
    <n v="0.98270000000000002"/>
    <n v="1"/>
    <n v="128"/>
    <n v="58"/>
    <n v="14144"/>
    <n v="4548"/>
    <n v="18692"/>
  </r>
  <r>
    <s v="27"/>
    <s v="66092"/>
    <s v="6118962"/>
    <s v="0429"/>
    <s v="D"/>
    <s v="International School of Monterey"/>
    <x v="1"/>
    <s v="International School of Monterey"/>
    <s v="27 66092 6118962"/>
    <n v="0.316"/>
    <n v="1"/>
    <n v="424"/>
    <n v="134"/>
    <n v="46853"/>
    <n v="10508"/>
    <n v="57361"/>
  </r>
  <r>
    <s v="27"/>
    <s v="66134"/>
    <s v="0000000"/>
    <s v="N/A"/>
    <s v="N/A"/>
    <s v="Pacific Grove Unified"/>
    <x v="3"/>
    <s v="Forest Grove Elementary"/>
    <s v="27 66134 6026470"/>
    <n v="0.1938"/>
    <n v="6"/>
    <n v="1800"/>
    <n v="308"/>
    <n v="198903"/>
    <n v="24153"/>
    <n v="223056"/>
  </r>
  <r>
    <s v="27"/>
    <s v="66142"/>
    <s v="0000000"/>
    <s v="N/A"/>
    <s v="N/A"/>
    <s v="Salinas City Elementary"/>
    <x v="3"/>
    <s v="Sherwood Elementary"/>
    <s v="27 66142 6026611"/>
    <n v="0.91990000000000005"/>
    <n v="16"/>
    <n v="8516"/>
    <n v="6154"/>
    <n v="941031"/>
    <n v="482590"/>
    <n v="1423621"/>
  </r>
  <r>
    <s v="27"/>
    <s v="66159"/>
    <s v="0000000"/>
    <s v="N/A"/>
    <s v="N/A"/>
    <s v="Salinas Union High"/>
    <x v="3"/>
    <s v="Jesse G. Sanchez Elementary"/>
    <s v="27 65961 6026009"/>
    <n v="0.98270000000000002"/>
    <n v="13"/>
    <n v="16333"/>
    <n v="14803"/>
    <n v="1804824"/>
    <n v="1160837"/>
    <n v="2965661"/>
  </r>
  <r>
    <s v="27"/>
    <s v="66167"/>
    <s v="0000000"/>
    <s v="N/A"/>
    <s v="N/A"/>
    <s v="San Antonio Union Elementary"/>
    <x v="3"/>
    <s v="San Antonio Elementary"/>
    <s v="27 66167 6026629"/>
    <n v="0.4672"/>
    <n v="2"/>
    <n v="137"/>
    <n v="64"/>
    <n v="15139"/>
    <n v="5019"/>
    <n v="20158"/>
  </r>
  <r>
    <s v="27"/>
    <s v="66175"/>
    <s v="0000000"/>
    <s v="N/A"/>
    <s v="N/A"/>
    <s v="San Ardo Union Elementary"/>
    <x v="3"/>
    <s v="San Ardo Elementary"/>
    <s v="27 66175 6026637"/>
    <n v="0.74680000000000002"/>
    <n v="2"/>
    <n v="79"/>
    <n v="59"/>
    <n v="8730"/>
    <n v="4627"/>
    <n v="13357"/>
  </r>
  <r>
    <s v="27"/>
    <s v="66183"/>
    <s v="0000000"/>
    <s v="N/A"/>
    <s v="N/A"/>
    <s v="San Lucas Union Elementary"/>
    <x v="3"/>
    <s v="San Lucas Elementary"/>
    <s v="27 66183 6026645"/>
    <n v="0.95709999999999995"/>
    <n v="2"/>
    <n v="70"/>
    <n v="67"/>
    <n v="7735"/>
    <n v="5254"/>
    <n v="12989"/>
  </r>
  <r>
    <s v="27"/>
    <s v="66191"/>
    <s v="0000000"/>
    <s v="N/A"/>
    <s v="N/A"/>
    <s v="Santa Rita Union Elementary"/>
    <x v="3"/>
    <s v="La Joya Elementary"/>
    <s v="27 66191 6026652"/>
    <n v="0.84319999999999995"/>
    <n v="8"/>
    <n v="3315"/>
    <n v="2400"/>
    <n v="366313"/>
    <n v="188205"/>
    <n v="554518"/>
  </r>
  <r>
    <s v="27"/>
    <s v="66225"/>
    <s v="0000000"/>
    <s v="N/A"/>
    <s v="N/A"/>
    <s v="Spreckels Union Elementary"/>
    <x v="3"/>
    <s v="Spreckels Elementary"/>
    <s v="27 66225 6026694"/>
    <n v="0.16639999999999999"/>
    <n v="3"/>
    <n v="921"/>
    <n v="146"/>
    <n v="101772"/>
    <n v="11450"/>
    <n v="113222"/>
  </r>
  <r>
    <s v="27"/>
    <s v="66233"/>
    <s v="0000000"/>
    <s v="N/A"/>
    <s v="N/A"/>
    <s v="Washington Union Elementary"/>
    <x v="3"/>
    <s v="Toro Park Elementary"/>
    <s v="27 66233 6092688"/>
    <n v="0.1118"/>
    <n v="5"/>
    <n v="735"/>
    <n v="96"/>
    <n v="81218"/>
    <n v="7529"/>
    <n v="88747"/>
  </r>
  <r>
    <s v="27"/>
    <s v="73825"/>
    <s v="0000000"/>
    <s v="N/A"/>
    <s v="N/A"/>
    <s v="North Monterey County Unified"/>
    <x v="3"/>
    <s v="Castroville Elementary"/>
    <s v="27 73825 6026397"/>
    <n v="0.88870000000000005"/>
    <n v="9"/>
    <n v="4625"/>
    <n v="3696"/>
    <n v="511069"/>
    <n v="289836"/>
    <n v="800905"/>
  </r>
  <r>
    <s v="27"/>
    <s v="75150"/>
    <s v="0000000"/>
    <s v="N/A"/>
    <s v="N/A"/>
    <s v="Big Sur Unified"/>
    <x v="3"/>
    <s v="Pacific Valley (K-12)"/>
    <s v="27 75150 2730133"/>
    <n v="0.73680000000000001"/>
    <n v="2"/>
    <n v="19"/>
    <n v="14"/>
    <n v="2100"/>
    <n v="1098"/>
    <n v="3198"/>
  </r>
  <r>
    <s v="27"/>
    <s v="75150"/>
    <s v="0118349"/>
    <s v="1000"/>
    <s v="D"/>
    <s v="Big Sur Charter"/>
    <x v="1"/>
    <s v="Big Sur Charter"/>
    <s v="27 75150 0118349"/>
    <n v="0.29409999999999997"/>
    <n v="1"/>
    <n v="85"/>
    <n v="25"/>
    <n v="9393"/>
    <n v="1960"/>
    <n v="11353"/>
  </r>
  <r>
    <s v="27"/>
    <s v="75440"/>
    <s v="0000000"/>
    <s v="N/A"/>
    <s v="N/A"/>
    <s v="Soledad Unified"/>
    <x v="3"/>
    <s v="San Vicente Elementary"/>
    <s v="27 75440 6026686"/>
    <n v="0.86650000000000005"/>
    <n v="12"/>
    <n v="4874"/>
    <n v="3747"/>
    <n v="538587"/>
    <n v="293837"/>
    <n v="832424"/>
  </r>
  <r>
    <s v="27"/>
    <s v="75473"/>
    <s v="0000000"/>
    <s v="N/A"/>
    <s v="N/A"/>
    <s v="Gonzales Unified"/>
    <x v="3"/>
    <s v="La Gloria Elementary"/>
    <s v="27 75473 6066955"/>
    <n v="0.81669999999999998"/>
    <n v="4"/>
    <n v="2153"/>
    <n v="1902"/>
    <n v="237910"/>
    <n v="149152"/>
    <n v="387062"/>
  </r>
  <r>
    <s v="28"/>
    <s v="10280"/>
    <s v="0000000"/>
    <s v="N/A"/>
    <s v="N/A"/>
    <s v="Napa Co. Office of Education"/>
    <x v="0"/>
    <s v="McPherson Elementary"/>
    <s v="28 66266 6026850"/>
    <n v="0.9083"/>
    <n v="4"/>
    <n v="533"/>
    <n v="478"/>
    <n v="58898"/>
    <n v="37484"/>
    <n v="96382"/>
  </r>
  <r>
    <s v="28"/>
    <s v="10280"/>
    <s v="0142034"/>
    <s v="2134"/>
    <s v="D"/>
    <s v="Mayacamas Charter Middle School"/>
    <x v="1"/>
    <s v="McPherson Elementary"/>
    <s v="28 66266 6026850"/>
    <n v="0.9083"/>
    <n v="1"/>
    <n v="0"/>
    <n v="0"/>
    <n v="0"/>
    <n v="0"/>
    <n v="0"/>
  </r>
  <r>
    <s v="28"/>
    <s v="66241"/>
    <s v="0000000"/>
    <s v="N/A"/>
    <s v="N/A"/>
    <s v="Calistoga Joint Unified"/>
    <x v="3"/>
    <s v="Calistoga Elementary"/>
    <s v="28 66241 6026744"/>
    <n v="0.82279999999999998"/>
    <n v="4"/>
    <n v="805"/>
    <n v="655"/>
    <n v="88955"/>
    <n v="51364"/>
    <n v="140319"/>
  </r>
  <r>
    <s v="28"/>
    <s v="66258"/>
    <s v="0000000"/>
    <s v="N/A"/>
    <s v="N/A"/>
    <s v="Howell Mountain Elementary"/>
    <x v="3"/>
    <s v="Howell Mountain Elementary"/>
    <s v="28 66258 6026751"/>
    <n v="0.58819999999999995"/>
    <n v="2"/>
    <n v="102"/>
    <n v="60"/>
    <n v="11271"/>
    <n v="4705"/>
    <n v="15976"/>
  </r>
  <r>
    <s v="28"/>
    <s v="66266"/>
    <s v="0000000"/>
    <s v="N/A"/>
    <s v="N/A"/>
    <s v="Napa Valley Unified"/>
    <x v="3"/>
    <s v="McPherson Elementary"/>
    <s v="28 66266 6026850"/>
    <n v="0.9083"/>
    <n v="27"/>
    <n v="16162"/>
    <n v="10187"/>
    <n v="1785926"/>
    <n v="798853"/>
    <n v="2584779"/>
  </r>
  <r>
    <s v="28"/>
    <s v="66266"/>
    <s v="0108605"/>
    <s v="0679"/>
    <s v="D"/>
    <s v="Stone Bridge"/>
    <x v="1"/>
    <s v="Stone Bridge"/>
    <s v="28 66266 0108605"/>
    <n v="0.1273"/>
    <n v="1"/>
    <n v="267"/>
    <n v="34"/>
    <n v="29504"/>
    <n v="2666"/>
    <n v="32170"/>
  </r>
  <r>
    <s v="28"/>
    <s v="66282"/>
    <s v="0000000"/>
    <s v="N/A"/>
    <s v="N/A"/>
    <s v="Pope Valley Union Elementary"/>
    <x v="3"/>
    <s v="Pope Valley Elementary"/>
    <s v="28 66282 6027015"/>
    <n v="0.76359999999999995"/>
    <n v="2"/>
    <n v="55"/>
    <n v="42"/>
    <n v="6078"/>
    <n v="3294"/>
    <n v="9372"/>
  </r>
  <r>
    <s v="28"/>
    <s v="66290"/>
    <s v="0000000"/>
    <s v="N/A"/>
    <s v="N/A"/>
    <s v="Saint Helena Unified"/>
    <x v="3"/>
    <s v="Saint Helena Primary"/>
    <s v="28 66290 6117964"/>
    <n v="0.36840000000000001"/>
    <n v="6"/>
    <n v="1120"/>
    <n v="394"/>
    <n v="123761"/>
    <n v="30897"/>
    <n v="154658"/>
  </r>
  <r>
    <s v="29"/>
    <s v="10298"/>
    <s v="0000000"/>
    <s v="N/A"/>
    <s v="N/A"/>
    <s v="Nevada Co. Office of Education"/>
    <x v="0"/>
    <s v="John Muir Charter"/>
    <s v="29 10298 2930147"/>
    <n v="0.94979999999999998"/>
    <n v="4"/>
    <n v="115"/>
    <n v="73"/>
    <n v="12708"/>
    <n v="5725"/>
    <n v="18433"/>
  </r>
  <r>
    <s v="29"/>
    <s v="10298"/>
    <s v="0114314"/>
    <s v="0871"/>
    <s v="L"/>
    <s v="Bitney Prep High"/>
    <x v="1"/>
    <s v="John Muir Charter"/>
    <s v="29 10298 2930147"/>
    <n v="0.94979999999999998"/>
    <n v="1"/>
    <n v="87"/>
    <n v="38"/>
    <n v="9614"/>
    <n v="2980"/>
    <n v="12594"/>
  </r>
  <r>
    <s v="29"/>
    <s v="10298"/>
    <s v="0114322"/>
    <s v="0870"/>
    <s v="D"/>
    <s v="Yuba River Charter"/>
    <x v="1"/>
    <s v="Yuba River Charter"/>
    <s v="29 10298 0114322"/>
    <n v="0.46350000000000002"/>
    <n v="1"/>
    <n v="315"/>
    <n v="146"/>
    <n v="34808"/>
    <n v="11449"/>
    <n v="46257"/>
  </r>
  <r>
    <s v="29"/>
    <s v="10298"/>
    <s v="0114330"/>
    <s v="0869"/>
    <s v="D"/>
    <s v="Nevada City School of the Arts"/>
    <x v="1"/>
    <s v="Nevada City School of the Arts"/>
    <s v="29 10298 0114330"/>
    <n v="0.4849"/>
    <n v="1"/>
    <n v="431"/>
    <n v="209"/>
    <n v="47626"/>
    <n v="16390"/>
    <n v="64016"/>
  </r>
  <r>
    <s v="29"/>
    <s v="10298"/>
    <s v="0126219"/>
    <s v="1427"/>
    <s v="L"/>
    <s v="Forest Charter"/>
    <x v="1"/>
    <s v="Forest Charter"/>
    <s v="29 10298 0126219"/>
    <n v="0.42249999999999999"/>
    <n v="1"/>
    <n v="774"/>
    <n v="327"/>
    <n v="85528"/>
    <n v="25643"/>
    <n v="111171"/>
  </r>
  <r>
    <s v="29"/>
    <s v="10298"/>
    <s v="0126227"/>
    <s v="1428"/>
    <s v="L"/>
    <s v="Twin Ridges Home Study Charter"/>
    <x v="1"/>
    <s v="Twin Ridges Home Study Charter"/>
    <s v="29 10298 0126227"/>
    <n v="0.27229999999999999"/>
    <n v="1"/>
    <n v="202"/>
    <n v="55"/>
    <n v="22321"/>
    <n v="4313"/>
    <n v="26634"/>
  </r>
  <r>
    <s v="29"/>
    <s v="10298"/>
    <s v="0130823"/>
    <s v="1680"/>
    <s v="D"/>
    <s v="EPIC de Cesar Chavez"/>
    <x v="1"/>
    <s v="John Muir Charter"/>
    <s v="29 10298 2930147"/>
    <n v="0.94979999999999998"/>
    <n v="1"/>
    <n v="461"/>
    <n v="296"/>
    <n v="50941"/>
    <n v="23212"/>
    <n v="74153"/>
  </r>
  <r>
    <s v="29"/>
    <s v="10298"/>
    <s v="2930147"/>
    <s v="0255"/>
    <s v="D"/>
    <s v="John Muir Charter"/>
    <x v="1"/>
    <s v="John Muir Charter"/>
    <s v="29 10298 2930147"/>
    <n v="0.94979999999999998"/>
    <n v="1"/>
    <n v="558"/>
    <n v="530"/>
    <n v="61660"/>
    <n v="41562"/>
    <n v="103222"/>
  </r>
  <r>
    <s v="29"/>
    <s v="66316"/>
    <s v="0000000"/>
    <s v="N/A"/>
    <s v="N/A"/>
    <s v="Chicago Park Elementary"/>
    <x v="3"/>
    <s v="Chicago Park Elementary"/>
    <s v="29 66316 6027080"/>
    <n v="0.56200000000000006"/>
    <n v="2"/>
    <n v="122"/>
    <n v="69"/>
    <n v="13481"/>
    <n v="5411"/>
    <n v="18892"/>
  </r>
  <r>
    <s v="29"/>
    <s v="66316"/>
    <s v="0125013"/>
    <s v="1339"/>
    <s v="L"/>
    <s v="Chicago Park Community Charter"/>
    <x v="1"/>
    <s v="Chicago Park Community Charter"/>
    <s v="29 66316 0125013"/>
    <n v="0.5"/>
    <n v="1"/>
    <n v="32"/>
    <n v="16"/>
    <n v="3536"/>
    <n v="1255"/>
    <n v="4791"/>
  </r>
  <r>
    <s v="29"/>
    <s v="66324"/>
    <s v="0000000"/>
    <s v="N/A"/>
    <s v="N/A"/>
    <s v="Clear Creek Elementary"/>
    <x v="3"/>
    <s v="Clear Creek Elementary"/>
    <s v="29 66324 6027098"/>
    <n v="0.39739999999999998"/>
    <n v="2"/>
    <n v="156"/>
    <n v="62"/>
    <n v="17238"/>
    <n v="4862"/>
    <n v="22100"/>
  </r>
  <r>
    <s v="29"/>
    <s v="66332"/>
    <s v="0000000"/>
    <s v="N/A"/>
    <s v="N/A"/>
    <s v="Grass Valley Elementary"/>
    <x v="3"/>
    <s v="Margaret G. Scotten Elementary"/>
    <s v="29 66332 6106157"/>
    <n v="0.72319999999999995"/>
    <n v="5"/>
    <n v="1132"/>
    <n v="781"/>
    <n v="125088"/>
    <n v="61245"/>
    <n v="186333"/>
  </r>
  <r>
    <s v="29"/>
    <s v="66332"/>
    <s v="6111140"/>
    <s v="0022"/>
    <s v="L"/>
    <s v="Grass Valley Charter"/>
    <x v="1"/>
    <s v="Grass Valley Charter"/>
    <s v="29 66332 6111140"/>
    <n v="0.34210000000000002"/>
    <n v="1"/>
    <n v="535"/>
    <n v="183"/>
    <n v="59118"/>
    <n v="14351"/>
    <n v="73469"/>
  </r>
  <r>
    <s v="29"/>
    <s v="66340"/>
    <s v="0000000"/>
    <s v="N/A"/>
    <s v="N/A"/>
    <s v="Nevada City Elementary"/>
    <x v="3"/>
    <s v="Deer Creek Elementary"/>
    <s v="29 66340 6097315"/>
    <n v="0.3579"/>
    <n v="3"/>
    <n v="687"/>
    <n v="237"/>
    <n v="75914"/>
    <n v="18585"/>
    <n v="94499"/>
  </r>
  <r>
    <s v="29"/>
    <s v="66357"/>
    <s v="0000000"/>
    <s v="N/A"/>
    <s v="N/A"/>
    <s v="Nevada Joint Union High"/>
    <x v="3"/>
    <s v="John Muir Charter"/>
    <s v="29 10298 2930147"/>
    <n v="0.94979999999999998"/>
    <n v="6"/>
    <n v="2481"/>
    <n v="940"/>
    <n v="274155"/>
    <n v="73714"/>
    <n v="347869"/>
  </r>
  <r>
    <s v="29"/>
    <s v="66357"/>
    <s v="0124834"/>
    <s v="1336"/>
    <s v="D"/>
    <s v="Sierra Academy of Expeditionary Learning"/>
    <x v="1"/>
    <s v="John Muir Charter"/>
    <s v="29 10298 2930147"/>
    <n v="0.94979999999999998"/>
    <n v="1"/>
    <n v="164"/>
    <n v="82"/>
    <n v="18122"/>
    <n v="6430"/>
    <n v="24552"/>
  </r>
  <r>
    <s v="29"/>
    <s v="66373"/>
    <s v="0000000"/>
    <s v="N/A"/>
    <s v="N/A"/>
    <s v="Pleasant Ridge Union Elementary"/>
    <x v="3"/>
    <s v="Alta Sierra Elementary"/>
    <s v="29 66373 6105811"/>
    <n v="0.3448"/>
    <n v="5"/>
    <n v="1156"/>
    <n v="390"/>
    <n v="127740"/>
    <n v="30583"/>
    <n v="158323"/>
  </r>
  <r>
    <s v="29"/>
    <s v="66373"/>
    <s v="0136424"/>
    <s v="1898"/>
    <s v="L"/>
    <s v="Arete Charter Academy"/>
    <x v="1"/>
    <s v="Arete Charter Academy"/>
    <s v="29 66373 0136424"/>
    <n v="0.2823"/>
    <n v="1"/>
    <n v="248"/>
    <n v="70"/>
    <n v="27404"/>
    <n v="5489"/>
    <n v="32893"/>
  </r>
  <r>
    <s v="29"/>
    <s v="66407"/>
    <s v="0000000"/>
    <s v="N/A"/>
    <s v="N/A"/>
    <s v="Union Hill Elementary"/>
    <x v="3"/>
    <s v="John Muir Charter"/>
    <s v="29 10298 2930147"/>
    <n v="0.94979999999999998"/>
    <n v="2"/>
    <n v="173"/>
    <n v="82"/>
    <n v="19117"/>
    <n v="6431"/>
    <n v="25548"/>
  </r>
  <r>
    <s v="29"/>
    <s v="66407"/>
    <s v="6027197"/>
    <s v="1576"/>
    <s v="L"/>
    <s v="Union Hill Elementary"/>
    <x v="1"/>
    <s v="Union Hill Elementary"/>
    <s v="29 66407 6027197"/>
    <n v="0.4325"/>
    <n v="1"/>
    <n v="541"/>
    <n v="234"/>
    <n v="59781"/>
    <n v="18350"/>
    <n v="78131"/>
  </r>
  <r>
    <s v="29"/>
    <s v="66415"/>
    <s v="0000000"/>
    <s v="N/A"/>
    <s v="N/A"/>
    <s v="Twin Ridges Elementary"/>
    <x v="3"/>
    <s v="Grizzly Hill"/>
    <s v="29 66415 6089403"/>
    <n v="0.81910000000000005"/>
    <n v="3"/>
    <n v="94"/>
    <n v="77"/>
    <n v="10387"/>
    <n v="6038"/>
    <n v="16425"/>
  </r>
  <r>
    <s v="29"/>
    <s v="76877"/>
    <s v="0000000"/>
    <s v="N/A"/>
    <s v="N/A"/>
    <s v="Penn Valley Union Elementary"/>
    <x v="3"/>
    <s v="Ready Springs Elementary"/>
    <s v="29 76877 6027189"/>
    <n v="0.4879"/>
    <n v="4"/>
    <n v="573"/>
    <n v="273"/>
    <n v="63318"/>
    <n v="21408"/>
    <n v="84726"/>
  </r>
  <r>
    <s v="29"/>
    <s v="76877"/>
    <s v="6111371"/>
    <s v="0024"/>
    <s v="L"/>
    <s v="Vantage Point Charter"/>
    <x v="1"/>
    <s v="Vantage Point Charter"/>
    <s v="29 76877 6111371"/>
    <n v="0.878"/>
    <n v="1"/>
    <n v="41"/>
    <n v="36"/>
    <n v="4531"/>
    <n v="2823"/>
    <n v="7354"/>
  </r>
  <r>
    <s v="30"/>
    <s v="10306"/>
    <s v="0000000"/>
    <s v="N/A"/>
    <s v="N/A"/>
    <s v="Orange Co. Office of Education"/>
    <x v="0"/>
    <s v="Pomona Elementary"/>
    <s v="30 66597 6029466"/>
    <n v="0.97689999999999999"/>
    <n v="5"/>
    <n v="2193"/>
    <n v="1530"/>
    <n v="242331"/>
    <n v="119981"/>
    <n v="362312"/>
  </r>
  <r>
    <s v="30"/>
    <s v="10306"/>
    <s v="0126037"/>
    <s v="1419"/>
    <s v="D"/>
    <s v="Samueli Academy"/>
    <x v="1"/>
    <s v="Pomona Elementary"/>
    <s v="30 66597 6029466"/>
    <n v="0.97689999999999999"/>
    <n v="1"/>
    <n v="803"/>
    <n v="602"/>
    <n v="88733"/>
    <n v="47208"/>
    <n v="135941"/>
  </r>
  <r>
    <s v="30"/>
    <s v="10306"/>
    <s v="0132613"/>
    <s v="1752"/>
    <s v="D"/>
    <s v="Vista Heritage Global Academy"/>
    <x v="1"/>
    <s v="Pomona Elementary"/>
    <s v="30 66597 6029466"/>
    <n v="0.97689999999999999"/>
    <n v="1"/>
    <n v="425"/>
    <n v="391"/>
    <n v="46963"/>
    <n v="30662"/>
    <n v="77625"/>
  </r>
  <r>
    <s v="30"/>
    <s v="10306"/>
    <s v="0132910"/>
    <s v="1761"/>
    <s v="L"/>
    <s v="College and Career Preparatory Academy"/>
    <x v="1"/>
    <s v="Pomona Elementary"/>
    <s v="30 66597 6029466"/>
    <n v="0.97689999999999999"/>
    <n v="1"/>
    <n v="156"/>
    <n v="143"/>
    <n v="17238"/>
    <n v="11214"/>
    <n v="28452"/>
  </r>
  <r>
    <s v="30"/>
    <s v="10306"/>
    <s v="0133785"/>
    <s v="1784"/>
    <s v="D"/>
    <s v="Oxford Preparatory Academy - Saddleback Valley"/>
    <x v="1"/>
    <s v="Oxford Preparatory Academy - Saddleback Valley"/>
    <s v="30 10306 0133785"/>
    <n v="0.1515"/>
    <n v="1"/>
    <n v="680"/>
    <n v="103"/>
    <n v="75141"/>
    <n v="8077"/>
    <n v="83218"/>
  </r>
  <r>
    <s v="30"/>
    <s v="10306"/>
    <s v="0133959"/>
    <s v="1800"/>
    <s v="D"/>
    <s v="Unity Middle College High"/>
    <x v="1"/>
    <s v="Pomona Elementary"/>
    <s v="30 66597 6029466"/>
    <n v="0.97689999999999999"/>
    <n v="1"/>
    <n v="80"/>
    <n v="42"/>
    <n v="8840"/>
    <n v="3294"/>
    <n v="12134"/>
  </r>
  <r>
    <s v="30"/>
    <s v="10306"/>
    <s v="0133983"/>
    <s v="1798"/>
    <s v="D"/>
    <s v="Ednovate - Legacy College Prep."/>
    <x v="1"/>
    <s v="Pomona Elementary"/>
    <s v="30 66597 6029466"/>
    <n v="0.97689999999999999"/>
    <n v="1"/>
    <n v="373"/>
    <n v="261"/>
    <n v="41217"/>
    <n v="20467"/>
    <n v="61684"/>
  </r>
  <r>
    <s v="30"/>
    <s v="10306"/>
    <s v="0134056"/>
    <s v="1799"/>
    <s v="D"/>
    <s v="Orange County Academy of Sciences and Arts"/>
    <x v="1"/>
    <s v="Orange County Academy of Sciences and Arts"/>
    <s v="30 10306 0134056"/>
    <n v="0.22489999999999999"/>
    <n v="1"/>
    <n v="249"/>
    <n v="56"/>
    <n v="27515"/>
    <n v="4391"/>
    <n v="31906"/>
  </r>
  <r>
    <s v="30"/>
    <s v="10306"/>
    <s v="0134239"/>
    <s v="1807"/>
    <s v="D"/>
    <s v="EPIC Charter (Excellence Performance Innovation Citizenship)"/>
    <x v="1"/>
    <s v="EPIC Charter (Excellence Performance Innovation Citizenship)"/>
    <s v="30 10306 0134239"/>
    <n v="0.41089999999999999"/>
    <n v="1"/>
    <n v="1005"/>
    <n v="413"/>
    <n v="111054"/>
    <n v="32387"/>
    <n v="143441"/>
  </r>
  <r>
    <s v="30"/>
    <s v="10306"/>
    <s v="0134288"/>
    <s v="1808"/>
    <s v="D"/>
    <s v="Scholarship Prep - Orange County"/>
    <x v="1"/>
    <s v="Scholarship Prep - Orange County"/>
    <s v="30 10306 0134288"/>
    <n v="0.90980000000000005"/>
    <n v="1"/>
    <n v="643"/>
    <n v="585"/>
    <n v="71053"/>
    <n v="45875"/>
    <n v="116928"/>
  </r>
  <r>
    <s v="30"/>
    <s v="10306"/>
    <s v="0134841"/>
    <s v="1833"/>
    <s v="D"/>
    <s v="Orange County Workforce Innovation High"/>
    <x v="1"/>
    <s v="Pomona Elementary"/>
    <s v="30 66597 6029466"/>
    <n v="0.97689999999999999"/>
    <n v="1"/>
    <n v="159"/>
    <n v="144"/>
    <n v="17570"/>
    <n v="11292"/>
    <n v="28862"/>
  </r>
  <r>
    <s v="30"/>
    <s v="10306"/>
    <s v="0134940"/>
    <s v="1831"/>
    <s v="D"/>
    <s v="Citrus Springs Charter"/>
    <x v="1"/>
    <s v="Citrus Springs Charter"/>
    <s v="30 10306 0134940"/>
    <n v="0.61209999999999998"/>
    <n v="1"/>
    <n v="397"/>
    <n v="243"/>
    <n v="43869"/>
    <n v="19056"/>
    <n v="62925"/>
  </r>
  <r>
    <s v="30"/>
    <s v="10306"/>
    <s v="0137000"/>
    <s v="1930"/>
    <s v="D"/>
    <s v="Vista Condor Global Academy"/>
    <x v="1"/>
    <s v="Vista Condor Global Academy"/>
    <s v="30 10306 0137000"/>
    <n v="0.87880000000000003"/>
    <n v="1"/>
    <n v="330"/>
    <n v="290"/>
    <n v="36466"/>
    <n v="22742"/>
    <n v="59208"/>
  </r>
  <r>
    <s v="30"/>
    <s v="10306"/>
    <s v="0137976"/>
    <s v="1987"/>
    <s v="D"/>
    <s v="Tomorrow's Leadership Collaborative (TLC) Charter"/>
    <x v="1"/>
    <s v="Tomorrow's Leadership Collaborative (TLC) Charter"/>
    <s v="30 10306 0137976"/>
    <n v="0.63639999999999997"/>
    <n v="1"/>
    <n v="187"/>
    <n v="119"/>
    <n v="20664"/>
    <n v="9332"/>
    <n v="29996"/>
  </r>
  <r>
    <s v="30"/>
    <s v="10306"/>
    <s v="0138800"/>
    <s v="2025"/>
    <s v="D"/>
    <s v="Suncoast Preparatory Academy"/>
    <x v="1"/>
    <s v="Suncoast Preparatory Academy"/>
    <s v="30 10306 0138800"/>
    <n v="0.57140000000000002"/>
    <n v="1"/>
    <n v="77"/>
    <n v="44"/>
    <n v="8509"/>
    <n v="3450"/>
    <n v="11959"/>
  </r>
  <r>
    <s v="30"/>
    <s v="10306"/>
    <s v="0139352"/>
    <s v="2047"/>
    <s v="D"/>
    <s v="Sycamore Creek Community Charter"/>
    <x v="1"/>
    <s v="Sycamore Creek Community Charter"/>
    <s v="30 10306 0139352"/>
    <n v="0.33119999999999999"/>
    <n v="1"/>
    <n v="157"/>
    <n v="52"/>
    <n v="17349"/>
    <n v="4078"/>
    <n v="21427"/>
  </r>
  <r>
    <s v="30"/>
    <s v="10306"/>
    <s v="0139469"/>
    <s v="2048"/>
    <s v="D"/>
    <s v="International School for Science and Culture"/>
    <x v="1"/>
    <s v="International School for Science and Culture"/>
    <s v="30 10306 0139469"/>
    <n v="0.6"/>
    <n v="1"/>
    <n v="130"/>
    <n v="78"/>
    <n v="14365"/>
    <n v="6117"/>
    <n v="20482"/>
  </r>
  <r>
    <s v="30"/>
    <s v="10306"/>
    <s v="0139964"/>
    <s v="2127"/>
    <s v="D"/>
    <s v="Orange County Classical Academy"/>
    <x v="1"/>
    <s v="Orange County Classical Academy"/>
    <s v="30 10306 0139964"/>
    <n v="0.14560000000000001"/>
    <n v="1"/>
    <n v="529"/>
    <n v="77"/>
    <n v="58455"/>
    <n v="6038"/>
    <n v="64493"/>
  </r>
  <r>
    <s v="30"/>
    <s v="10306"/>
    <s v="0140822"/>
    <s v="2116"/>
    <s v="D"/>
    <s v="Irvine International Academy"/>
    <x v="1"/>
    <s v="Irvine International Academy"/>
    <s v="30 10306 0140822"/>
    <n v="0.14760000000000001"/>
    <n v="1"/>
    <n v="210"/>
    <n v="31"/>
    <n v="23205"/>
    <n v="2431"/>
    <n v="25636"/>
  </r>
  <r>
    <s v="30"/>
    <s v="10306"/>
    <s v="0141978"/>
    <s v="2132"/>
    <s v="D"/>
    <s v="Vista Meridian Global Academy"/>
    <x v="1"/>
    <s v="Pomona Elementary"/>
    <s v="30 66597 6029466"/>
    <n v="0.97689999999999999"/>
    <n v="1"/>
    <n v="0"/>
    <n v="0"/>
    <n v="0"/>
    <n v="0"/>
    <n v="0"/>
  </r>
  <r>
    <s v="30"/>
    <s v="10306"/>
    <s v="0142000"/>
    <s v="2129"/>
    <s v="D"/>
    <s v="Explore Academy"/>
    <x v="1"/>
    <s v="Explore Academy"/>
    <s v="30 10306 0142000"/>
    <n v="0"/>
    <n v="1"/>
    <n v="0"/>
    <n v="0"/>
    <n v="0"/>
    <n v="0"/>
    <n v="0"/>
  </r>
  <r>
    <s v="30"/>
    <s v="10306"/>
    <s v="0142026"/>
    <s v="2135"/>
    <s v="D"/>
    <s v="Oxford Preparatory Academy - Middle School"/>
    <x v="1"/>
    <s v="Pomona Elementary"/>
    <s v="30 66597 6029466"/>
    <n v="0.97689999999999999"/>
    <n v="1"/>
    <n v="0"/>
    <n v="0"/>
    <n v="0"/>
    <n v="0"/>
    <n v="0"/>
  </r>
  <r>
    <s v="30"/>
    <s v="10306"/>
    <s v="0142224"/>
    <s v="2138"/>
    <s v="D"/>
    <s v="California Republic Leadership Academy Capistrano"/>
    <x v="1"/>
    <s v="California Republic Leadership Academy Capistrano"/>
    <s v="30 10306 0142224"/>
    <n v="0"/>
    <n v="1"/>
    <n v="0"/>
    <n v="0"/>
    <n v="0"/>
    <n v="0"/>
    <n v="0"/>
  </r>
  <r>
    <s v="30"/>
    <s v="10306"/>
    <s v="3030723"/>
    <s v="0290"/>
    <s v="D"/>
    <s v="OCSA"/>
    <x v="1"/>
    <s v="Pomona Elementary"/>
    <s v="30 66597 6029466"/>
    <n v="0.97689999999999999"/>
    <n v="1"/>
    <n v="2252"/>
    <n v="280"/>
    <n v="248850"/>
    <n v="21957"/>
    <n v="270807"/>
  </r>
  <r>
    <s v="30"/>
    <s v="64766"/>
    <s v="0000000"/>
    <s v="N/A"/>
    <s v="N/A"/>
    <s v="Lowell Joint"/>
    <x v="3"/>
    <s v="Jordan Elementary"/>
    <s v="30 64766 6020150"/>
    <n v="0.60829999999999995"/>
    <n v="7"/>
    <n v="3095"/>
    <n v="1716"/>
    <n v="342003"/>
    <n v="134567"/>
    <n v="476570"/>
  </r>
  <r>
    <s v="30"/>
    <s v="66423"/>
    <s v="0000000"/>
    <s v="N/A"/>
    <s v="N/A"/>
    <s v="Anaheim Elementary"/>
    <x v="3"/>
    <s v="Loara Elementary"/>
    <s v="30 66423 6027353"/>
    <n v="0.83399999999999996"/>
    <n v="25"/>
    <n v="15593"/>
    <n v="11546"/>
    <n v="1723052"/>
    <n v="905426"/>
    <n v="2628478"/>
  </r>
  <r>
    <s v="30"/>
    <s v="66423"/>
    <s v="0131417"/>
    <s v="1701"/>
    <s v="D"/>
    <s v="Vibrant Minds Charter"/>
    <x v="1"/>
    <s v="Vibrant Minds Charter"/>
    <s v="30 66423 0131417"/>
    <n v="0.66390000000000005"/>
    <n v="1"/>
    <n v="241"/>
    <n v="160"/>
    <n v="26631"/>
    <n v="12547"/>
    <n v="39178"/>
  </r>
  <r>
    <s v="30"/>
    <s v="66423"/>
    <s v="6027379"/>
    <s v="1932"/>
    <s v="D"/>
    <s v="Palm Lane Global Academy"/>
    <x v="1"/>
    <s v="Palm Lane Global Academy"/>
    <s v="30 66423 6027379"/>
    <n v="0.84250000000000003"/>
    <n v="1"/>
    <n v="273"/>
    <n v="230"/>
    <n v="30167"/>
    <n v="18036"/>
    <n v="48203"/>
  </r>
  <r>
    <s v="30"/>
    <s v="66431"/>
    <s v="0000000"/>
    <s v="N/A"/>
    <s v="N/A"/>
    <s v="Anaheim Union High"/>
    <x v="3"/>
    <s v="Pomona Elementary"/>
    <s v="30 66597 6029466"/>
    <n v="0.97689999999999999"/>
    <n v="22"/>
    <n v="27706"/>
    <n v="21541"/>
    <n v="3061560"/>
    <n v="1689221"/>
    <n v="4750781"/>
  </r>
  <r>
    <s v="30"/>
    <s v="66449"/>
    <s v="0000000"/>
    <s v="N/A"/>
    <s v="N/A"/>
    <s v="Brea-Olinda Unified"/>
    <x v="3"/>
    <s v="Laurel Elementary Magnet School of Innovation and Career Exploration"/>
    <s v="30 66449 6027452"/>
    <n v="0.32890000000000003"/>
    <n v="11"/>
    <n v="5841"/>
    <n v="1286"/>
    <n v="645440"/>
    <n v="100847"/>
    <n v="746287"/>
  </r>
  <r>
    <s v="30"/>
    <s v="66456"/>
    <s v="0000000"/>
    <s v="N/A"/>
    <s v="N/A"/>
    <s v="Buena Park Elementary"/>
    <x v="3"/>
    <s v="Carl E. Gilbert Elementary"/>
    <s v="30 66456 6027494"/>
    <n v="0.91139999999999999"/>
    <n v="8"/>
    <n v="4118"/>
    <n v="3236"/>
    <n v="455048"/>
    <n v="253764"/>
    <n v="708812"/>
  </r>
  <r>
    <s v="30"/>
    <s v="66464"/>
    <s v="0000000"/>
    <s v="N/A"/>
    <s v="N/A"/>
    <s v="Capistrano Unified"/>
    <x v="3"/>
    <s v="Kinoshita Elementary"/>
    <s v="30 66464 6117733"/>
    <n v="0.89970000000000006"/>
    <n v="59"/>
    <n v="42164"/>
    <n v="14703"/>
    <n v="4659194"/>
    <n v="1152992"/>
    <n v="5812186"/>
  </r>
  <r>
    <s v="30"/>
    <s v="66464"/>
    <s v="0106765"/>
    <s v="0664"/>
    <s v="D"/>
    <s v="California Connections Academy Southern California"/>
    <x v="1"/>
    <s v="California Connections Academy Southern California"/>
    <s v="30 66464 0106765"/>
    <n v="0.51160000000000005"/>
    <n v="1"/>
    <n v="5142"/>
    <n v="2631"/>
    <n v="568199"/>
    <n v="206320"/>
    <n v="774519"/>
  </r>
  <r>
    <s v="30"/>
    <s v="66464"/>
    <s v="0123729"/>
    <s v="1274"/>
    <s v="D"/>
    <s v="Community Roots Academy"/>
    <x v="1"/>
    <s v="Community Roots Academy"/>
    <s v="30 66464 0123729"/>
    <n v="0.10730000000000001"/>
    <n v="1"/>
    <n v="783"/>
    <n v="84"/>
    <n v="86523"/>
    <n v="6587"/>
    <n v="93110"/>
  </r>
  <r>
    <s v="30"/>
    <s v="66464"/>
    <s v="0124743"/>
    <s v="1324"/>
    <s v="D"/>
    <s v="Oxford Preparatory Academy - South Orange County"/>
    <x v="1"/>
    <s v="Oxford Preparatory Academy - South Orange County"/>
    <s v="30 66464 0124743"/>
    <n v="0.13589999999999999"/>
    <n v="1"/>
    <n v="847"/>
    <n v="115"/>
    <n v="93595"/>
    <n v="9018"/>
    <n v="102613"/>
  </r>
  <r>
    <s v="30"/>
    <s v="66464"/>
    <s v="0140061"/>
    <s v="2084"/>
    <s v="D"/>
    <s v="OCASA College Prep"/>
    <x v="1"/>
    <s v="OCASA College Prep"/>
    <s v="30 66464 0140061"/>
    <n v="0.31309999999999999"/>
    <n v="1"/>
    <n v="99"/>
    <n v="31"/>
    <n v="10940"/>
    <n v="2431"/>
    <n v="13371"/>
  </r>
  <r>
    <s v="30"/>
    <s v="66464"/>
    <s v="6117758"/>
    <s v="0294"/>
    <s v="D"/>
    <s v="Journey"/>
    <x v="1"/>
    <s v="Journey"/>
    <s v="30 66464 6117758"/>
    <n v="0.20100000000000001"/>
    <n v="1"/>
    <n v="582"/>
    <n v="117"/>
    <n v="64312"/>
    <n v="9175"/>
    <n v="73487"/>
  </r>
  <r>
    <s v="30"/>
    <s v="66464"/>
    <s v="6120356"/>
    <s v="0463"/>
    <s v="D"/>
    <s v="Opportunities for Learning - Capistrano"/>
    <x v="1"/>
    <s v="Pomona Elementary"/>
    <s v="30 66597 6029466"/>
    <n v="0.97689999999999999"/>
    <n v="1"/>
    <n v="115"/>
    <n v="56"/>
    <n v="12708"/>
    <n v="4391"/>
    <n v="17099"/>
  </r>
  <r>
    <s v="30"/>
    <s v="66472"/>
    <s v="0000000"/>
    <s v="N/A"/>
    <s v="N/A"/>
    <s v="Centralia Elementary"/>
    <x v="3"/>
    <s v="Danbrook Elementary"/>
    <s v="30 66472 6027684"/>
    <n v="0.93779999999999997"/>
    <n v="9"/>
    <n v="4301"/>
    <n v="2828"/>
    <n v="475268"/>
    <n v="221769"/>
    <n v="697037"/>
  </r>
  <r>
    <s v="30"/>
    <s v="66480"/>
    <s v="0000000"/>
    <s v="N/A"/>
    <s v="N/A"/>
    <s v="Cypress Elementary"/>
    <x v="3"/>
    <s v="Clara J. King Elementary"/>
    <s v="30 66480 6027791"/>
    <n v="0.68600000000000005"/>
    <n v="7"/>
    <n v="3432"/>
    <n v="1465"/>
    <n v="379242"/>
    <n v="114883"/>
    <n v="494125"/>
  </r>
  <r>
    <s v="30"/>
    <s v="66498"/>
    <s v="0000000"/>
    <s v="N/A"/>
    <s v="N/A"/>
    <s v="Fountain Valley Elementary"/>
    <x v="3"/>
    <s v="Plavan (Urbain H.) Elementary"/>
    <s v="30 66498 6085278"/>
    <n v="0.30580000000000002"/>
    <n v="11"/>
    <n v="6085"/>
    <n v="1444"/>
    <n v="672401"/>
    <n v="113238"/>
    <n v="785639"/>
  </r>
  <r>
    <s v="30"/>
    <s v="66506"/>
    <s v="0000000"/>
    <s v="N/A"/>
    <s v="N/A"/>
    <s v="Fullerton Elementary"/>
    <x v="3"/>
    <s v="Valencia Park Elementary"/>
    <s v="30 66506 6028179"/>
    <n v="0.92789999999999995"/>
    <n v="21"/>
    <n v="11991"/>
    <n v="6856"/>
    <n v="1325024"/>
    <n v="537641"/>
    <n v="1862665"/>
  </r>
  <r>
    <s v="30"/>
    <s v="66514"/>
    <s v="0000000"/>
    <s v="N/A"/>
    <s v="N/A"/>
    <s v="Fullerton Joint Union High"/>
    <x v="3"/>
    <s v="Pomona Elementary"/>
    <s v="30 66597 6029466"/>
    <n v="0.97689999999999999"/>
    <n v="9"/>
    <n v="13152"/>
    <n v="7641"/>
    <n v="1453318"/>
    <n v="599200"/>
    <n v="2052518"/>
  </r>
  <r>
    <s v="30"/>
    <s v="66522"/>
    <s v="0000000"/>
    <s v="N/A"/>
    <s v="N/A"/>
    <s v="Garden Grove Unified"/>
    <x v="3"/>
    <s v="Heritage Elementary"/>
    <s v="30 66522 6028443"/>
    <n v="0.93969999999999998"/>
    <n v="67"/>
    <n v="38847"/>
    <n v="30625"/>
    <n v="4292661"/>
    <n v="2401582"/>
    <n v="6694243"/>
  </r>
  <r>
    <s v="30"/>
    <s v="66530"/>
    <s v="0000000"/>
    <s v="N/A"/>
    <s v="N/A"/>
    <s v="Huntington Beach City Elementary"/>
    <x v="3"/>
    <s v="John R. Peterson Elementary"/>
    <s v="30 66530 6028872"/>
    <n v="0.4274"/>
    <n v="9"/>
    <n v="4818"/>
    <n v="1363"/>
    <n v="532397"/>
    <n v="106885"/>
    <n v="639282"/>
  </r>
  <r>
    <s v="30"/>
    <s v="66530"/>
    <s v="0134221"/>
    <s v="1812"/>
    <s v="D"/>
    <s v="Kinetic Academy"/>
    <x v="1"/>
    <s v="Kinetic Academy"/>
    <s v="30 66530 0134221"/>
    <n v="0.28749999999999998"/>
    <n v="1"/>
    <n v="327"/>
    <n v="94"/>
    <n v="36134"/>
    <n v="7371"/>
    <n v="43505"/>
  </r>
  <r>
    <s v="30"/>
    <s v="66548"/>
    <s v="0000000"/>
    <s v="N/A"/>
    <s v="N/A"/>
    <s v="Huntington Beach Union High"/>
    <x v="3"/>
    <s v="Pomona Elementary"/>
    <s v="30 66597 6029466"/>
    <n v="0.97689999999999999"/>
    <n v="9"/>
    <n v="14509"/>
    <n v="7481"/>
    <n v="1603268"/>
    <n v="586652"/>
    <n v="2189920"/>
  </r>
  <r>
    <s v="30"/>
    <s v="66555"/>
    <s v="0000000"/>
    <s v="N/A"/>
    <s v="N/A"/>
    <s v="Laguna Beach Unified"/>
    <x v="3"/>
    <s v="El Morro Elementary"/>
    <s v="30 66555 6028906"/>
    <n v="0.23319999999999999"/>
    <n v="5"/>
    <n v="2448"/>
    <n v="493"/>
    <n v="270509"/>
    <n v="38660"/>
    <n v="309169"/>
  </r>
  <r>
    <s v="30"/>
    <s v="66563"/>
    <s v="0000000"/>
    <s v="N/A"/>
    <s v="N/A"/>
    <s v="La Habra City Elementary"/>
    <x v="3"/>
    <s v="Walnut Elementary"/>
    <s v="30 66563 6029029"/>
    <n v="0.90849999999999997"/>
    <n v="10"/>
    <n v="4417"/>
    <n v="3520"/>
    <n v="488086"/>
    <n v="276036"/>
    <n v="764122"/>
  </r>
  <r>
    <s v="30"/>
    <s v="66589"/>
    <s v="0000000"/>
    <s v="N/A"/>
    <s v="N/A"/>
    <s v="Magnolia Elementary"/>
    <x v="3"/>
    <s v="Esther L. Walter"/>
    <s v="30 66589 6029136"/>
    <n v="0.90790000000000004"/>
    <n v="10"/>
    <n v="5369"/>
    <n v="4351"/>
    <n v="593283"/>
    <n v="341201"/>
    <n v="934484"/>
  </r>
  <r>
    <s v="30"/>
    <s v="66597"/>
    <s v="0000000"/>
    <s v="N/A"/>
    <s v="N/A"/>
    <s v="Newport-Mesa Unified"/>
    <x v="3"/>
    <s v="Pomona Elementary"/>
    <s v="30 66597 6029466"/>
    <n v="0.97689999999999999"/>
    <n v="33"/>
    <n v="18279"/>
    <n v="9677"/>
    <n v="2019861"/>
    <n v="758859"/>
    <n v="2778720"/>
  </r>
  <r>
    <s v="30"/>
    <s v="66613"/>
    <s v="0000000"/>
    <s v="N/A"/>
    <s v="N/A"/>
    <s v="Ocean View"/>
    <x v="3"/>
    <s v="Oak View Elementary"/>
    <s v="30 66613 6029656"/>
    <n v="0.97640000000000005"/>
    <n v="15"/>
    <n v="7022"/>
    <n v="4089"/>
    <n v="775944"/>
    <n v="320655"/>
    <n v="1096599"/>
  </r>
  <r>
    <s v="30"/>
    <s v="66621"/>
    <s v="0000000"/>
    <s v="N/A"/>
    <s v="N/A"/>
    <s v="Orange Unified"/>
    <x v="3"/>
    <s v="Esplanade Elementary"/>
    <s v="30 66621 6029771"/>
    <n v="0.93520000000000003"/>
    <n v="41"/>
    <n v="24090"/>
    <n v="14107"/>
    <n v="2661983"/>
    <n v="1106259"/>
    <n v="3768242"/>
  </r>
  <r>
    <s v="30"/>
    <s v="66621"/>
    <s v="6085328"/>
    <s v="0066"/>
    <s v="D"/>
    <s v="Santiago Middle"/>
    <x v="1"/>
    <s v="Pomona Elementary"/>
    <s v="30 66597 6029466"/>
    <n v="0.97689999999999999"/>
    <n v="1"/>
    <n v="1079"/>
    <n v="713"/>
    <n v="119231"/>
    <n v="55913"/>
    <n v="175144"/>
  </r>
  <r>
    <s v="30"/>
    <s v="66621"/>
    <s v="6094874"/>
    <s v="0445"/>
    <s v="L"/>
    <s v="El Rancho Charter"/>
    <x v="1"/>
    <s v="Pomona Elementary"/>
    <s v="30 66597 6029466"/>
    <n v="0.97689999999999999"/>
    <n v="1"/>
    <n v="1108"/>
    <n v="330"/>
    <n v="122436"/>
    <n v="25878"/>
    <n v="148314"/>
  </r>
  <r>
    <s v="30"/>
    <s v="66647"/>
    <s v="0000000"/>
    <s v="N/A"/>
    <s v="N/A"/>
    <s v="Placentia-Yorba Linda Unified"/>
    <x v="3"/>
    <s v="Melrose Elementary"/>
    <s v="30 66647 0102897"/>
    <n v="0.96440000000000003"/>
    <n v="35"/>
    <n v="23435"/>
    <n v="10697"/>
    <n v="2589606"/>
    <n v="838847"/>
    <n v="3428453"/>
  </r>
  <r>
    <s v="30"/>
    <s v="66670"/>
    <s v="0000000"/>
    <s v="N/A"/>
    <s v="N/A"/>
    <s v="Santa Ana Unified"/>
    <x v="3"/>
    <s v="Pio Pico Elementary"/>
    <s v="30 66670 6109904"/>
    <n v="0.90139999999999998"/>
    <n v="52"/>
    <n v="40639"/>
    <n v="30089"/>
    <n v="4490676"/>
    <n v="2359554"/>
    <n v="6850230"/>
  </r>
  <r>
    <s v="30"/>
    <s v="66670"/>
    <s v="0101626"/>
    <s v="0578"/>
    <s v="D"/>
    <s v="Edward B. Cole Academy"/>
    <x v="1"/>
    <s v="Edward B. Cole Academy"/>
    <s v="30 66670 0101626"/>
    <n v="0.90869999999999995"/>
    <n v="1"/>
    <n v="438"/>
    <n v="398"/>
    <n v="48400"/>
    <n v="31211"/>
    <n v="79611"/>
  </r>
  <r>
    <s v="30"/>
    <s v="66670"/>
    <s v="0106567"/>
    <s v="0632"/>
    <s v="D"/>
    <s v="Nova Academy Early College High"/>
    <x v="1"/>
    <s v="Pomona Elementary"/>
    <s v="30 66597 6029466"/>
    <n v="0.97689999999999999"/>
    <n v="1"/>
    <n v="308"/>
    <n v="278"/>
    <n v="34035"/>
    <n v="21800"/>
    <n v="55835"/>
  </r>
  <r>
    <s v="30"/>
    <s v="66670"/>
    <s v="0109066"/>
    <s v="0701"/>
    <s v="D"/>
    <s v="Orange County Educational Arts Academy"/>
    <x v="1"/>
    <s v="Orange County Educational Arts Academy"/>
    <s v="30 66670 0109066"/>
    <n v="0.66390000000000005"/>
    <n v="1"/>
    <n v="610"/>
    <n v="405"/>
    <n v="67406"/>
    <n v="31760"/>
    <n v="99166"/>
  </r>
  <r>
    <s v="30"/>
    <s v="66670"/>
    <s v="0135897"/>
    <s v="1765"/>
    <s v="L"/>
    <s v="Advanced Learning Academy"/>
    <x v="1"/>
    <s v="Advanced Learning Academy"/>
    <s v="30 66670 0135897"/>
    <n v="0.69279999999999997"/>
    <n v="1"/>
    <n v="332"/>
    <n v="230"/>
    <n v="36687"/>
    <n v="18036"/>
    <n v="54723"/>
  </r>
  <r>
    <s v="30"/>
    <s v="66670"/>
    <s v="6119127"/>
    <s v="0365"/>
    <s v="D"/>
    <s v="El Sol Santa Ana Science and Arts Academy"/>
    <x v="1"/>
    <s v="El Sol Santa Ana Science and Arts Academy"/>
    <s v="30 66670 6119127"/>
    <n v="0.58160000000000001"/>
    <n v="1"/>
    <n v="956"/>
    <n v="556"/>
    <n v="105640"/>
    <n v="43601"/>
    <n v="149241"/>
  </r>
  <r>
    <s v="30"/>
    <s v="66696"/>
    <s v="0000000"/>
    <s v="N/A"/>
    <s v="N/A"/>
    <s v="Savanna Elementary"/>
    <x v="3"/>
    <s v="Twila Reid Elementary"/>
    <s v="30 66696 6030506"/>
    <n v="0.85609999999999997"/>
    <n v="5"/>
    <n v="1838"/>
    <n v="1492"/>
    <n v="203102"/>
    <n v="117000"/>
    <n v="320102"/>
  </r>
  <r>
    <s v="30"/>
    <s v="66746"/>
    <s v="0000000"/>
    <s v="N/A"/>
    <s v="N/A"/>
    <s v="Westminster"/>
    <x v="3"/>
    <s v="Schmitt Elementary"/>
    <s v="30 66746 6030860"/>
    <n v="0.89129999999999998"/>
    <n v="18"/>
    <n v="8413"/>
    <n v="6219"/>
    <n v="929649"/>
    <n v="487689"/>
    <n v="1417338"/>
  </r>
  <r>
    <s v="30"/>
    <s v="73635"/>
    <s v="0000000"/>
    <s v="N/A"/>
    <s v="N/A"/>
    <s v="Saddleback Valley Unified"/>
    <x v="3"/>
    <s v="Linda Vista Magnet Elementary"/>
    <s v="30 73635 6030159"/>
    <n v="0.81020000000000003"/>
    <n v="35"/>
    <n v="23907"/>
    <n v="10448"/>
    <n v="2641761"/>
    <n v="819324"/>
    <n v="3461085"/>
  </r>
  <r>
    <s v="30"/>
    <s v="73643"/>
    <s v="0000000"/>
    <s v="N/A"/>
    <s v="N/A"/>
    <s v="Tustin Unified"/>
    <x v="3"/>
    <s v="Robert Heideman Elementary"/>
    <s v="30 73643 6066898"/>
    <n v="0.92859999999999998"/>
    <n v="29"/>
    <n v="22230"/>
    <n v="9703"/>
    <n v="2456453"/>
    <n v="760904"/>
    <n v="3217357"/>
  </r>
  <r>
    <s v="30"/>
    <s v="73650"/>
    <s v="0000000"/>
    <s v="N/A"/>
    <s v="N/A"/>
    <s v="Irvine Unified"/>
    <x v="3"/>
    <s v="Culverdale Elementary"/>
    <s v="30 73650 6089429"/>
    <n v="0.43830000000000002"/>
    <n v="46"/>
    <n v="36928"/>
    <n v="7296"/>
    <n v="4080605"/>
    <n v="572146"/>
    <n v="4652751"/>
  </r>
  <r>
    <s v="30"/>
    <s v="73650"/>
    <s v="0142232"/>
    <s v="2140"/>
    <s v="D"/>
    <s v="Irvine Chinese Immersion Academy"/>
    <x v="1"/>
    <s v="Irvine Chinese Immersion Academy"/>
    <s v="30 73650 0142232"/>
    <n v="0"/>
    <n v="1"/>
    <n v="0"/>
    <n v="0"/>
    <n v="0"/>
    <n v="0"/>
    <n v="0"/>
  </r>
  <r>
    <s v="30"/>
    <s v="73924"/>
    <s v="0000000"/>
    <s v="N/A"/>
    <s v="N/A"/>
    <s v="Los Alamitos Unified"/>
    <x v="3"/>
    <s v="Los Alamitos Elementary"/>
    <s v="30 73924 6029060"/>
    <n v="0.29060000000000002"/>
    <n v="10"/>
    <n v="8996"/>
    <n v="1398"/>
    <n v="994076"/>
    <n v="109630"/>
    <n v="1103706"/>
  </r>
  <r>
    <s v="30"/>
    <s v="76893"/>
    <s v="0130765"/>
    <s v="1686"/>
    <s v="D"/>
    <s v="Magnolia Science Academy - Santa Ana"/>
    <x v="1"/>
    <s v="Magnolia Science Academy - Santa Ana"/>
    <s v="30 76893 0130765"/>
    <n v="0.81669999999999998"/>
    <n v="1"/>
    <n v="502"/>
    <n v="410"/>
    <n v="55472"/>
    <n v="32152"/>
    <n v="87624"/>
  </r>
  <r>
    <s v="31"/>
    <s v="10314"/>
    <s v="0000000"/>
    <s v="N/A"/>
    <s v="N/A"/>
    <s v="Placer Co. Office of Education"/>
    <x v="0"/>
    <s v="Bradford Woodbridge Fundamental Elementary"/>
    <s v="31 66910 6031280"/>
    <n v="0.87150000000000005"/>
    <n v="4"/>
    <n v="478"/>
    <n v="384"/>
    <n v="52821"/>
    <n v="30113"/>
    <n v="82934"/>
  </r>
  <r>
    <s v="31"/>
    <s v="10314"/>
    <s v="0126904"/>
    <s v="1432"/>
    <s v="L"/>
    <s v="Placer County Pathways Charter"/>
    <x v="1"/>
    <s v="Bradford Woodbridge Fundamental Elementary"/>
    <s v="31 66910 6031280"/>
    <n v="0.87150000000000005"/>
    <n v="1"/>
    <n v="292"/>
    <n v="143"/>
    <n v="32266"/>
    <n v="11214"/>
    <n v="43480"/>
  </r>
  <r>
    <s v="31"/>
    <s v="66761"/>
    <s v="0000000"/>
    <s v="N/A"/>
    <s v="N/A"/>
    <s v="Ackerman Charter"/>
    <x v="3"/>
    <s v="Bowman Charter"/>
    <s v="31 66761 6031009"/>
    <n v="0.25340000000000001"/>
    <n v="2"/>
    <n v="597"/>
    <n v="151"/>
    <n v="65969"/>
    <n v="11841"/>
    <n v="77810"/>
  </r>
  <r>
    <s v="31"/>
    <s v="66779"/>
    <s v="0000000"/>
    <s v="N/A"/>
    <s v="N/A"/>
    <s v="Alta-Dutch Flat Union Elementary"/>
    <x v="3"/>
    <s v="Alta-Dutch Flat Elementary"/>
    <s v="31 66779 6031017"/>
    <n v="0.21110000000000001"/>
    <n v="2"/>
    <n v="91"/>
    <n v="19"/>
    <n v="10056"/>
    <n v="1490"/>
    <n v="11546"/>
  </r>
  <r>
    <s v="31"/>
    <s v="66787"/>
    <s v="0000000"/>
    <s v="N/A"/>
    <s v="N/A"/>
    <s v="Auburn Union Elementary"/>
    <x v="3"/>
    <s v="Auburn Elementary"/>
    <s v="31 66787 6112700"/>
    <n v="0.46850000000000003"/>
    <n v="4"/>
    <n v="1172"/>
    <n v="522"/>
    <n v="129508"/>
    <n v="40935"/>
    <n v="170443"/>
  </r>
  <r>
    <s v="31"/>
    <s v="66787"/>
    <s v="0126664"/>
    <s v="1429"/>
    <s v="L"/>
    <s v="Alta Vista Community Charter"/>
    <x v="1"/>
    <s v="Alta Vista Community Charter"/>
    <s v="31 66787 0126664"/>
    <n v="0"/>
    <n v="1"/>
    <n v="0"/>
    <n v="0"/>
    <n v="0"/>
    <n v="0"/>
    <n v="0"/>
  </r>
  <r>
    <s v="31"/>
    <s v="66795"/>
    <s v="0000000"/>
    <s v="N/A"/>
    <s v="N/A"/>
    <s v="Colfax Elementary"/>
    <x v="3"/>
    <s v="Colfax Elementary"/>
    <s v="31 66795 6031066"/>
    <n v="0.43269999999999997"/>
    <n v="2"/>
    <n v="351"/>
    <n v="152"/>
    <n v="38786"/>
    <n v="11920"/>
    <n v="50706"/>
  </r>
  <r>
    <s v="31"/>
    <s v="66803"/>
    <s v="0000000"/>
    <s v="N/A"/>
    <s v="N/A"/>
    <s v="Dry Creek Joint Elementary"/>
    <x v="3"/>
    <s v="Barrett Ranch Elementary"/>
    <s v="31 66803 0111104"/>
    <n v="0.61760000000000004"/>
    <n v="10"/>
    <n v="6390"/>
    <n v="2486"/>
    <n v="706106"/>
    <n v="194950"/>
    <n v="901056"/>
  </r>
  <r>
    <s v="31"/>
    <s v="66829"/>
    <s v="0000000"/>
    <s v="N/A"/>
    <s v="N/A"/>
    <s v="Eureka Union"/>
    <x v="3"/>
    <s v="Maidu Elementary"/>
    <s v="31 66829 6113971"/>
    <n v="0.2258"/>
    <n v="8"/>
    <n v="3169"/>
    <n v="414"/>
    <n v="350180"/>
    <n v="32465"/>
    <n v="382645"/>
  </r>
  <r>
    <s v="31"/>
    <s v="66837"/>
    <s v="0000000"/>
    <s v="N/A"/>
    <s v="N/A"/>
    <s v="Foresthill Union Elementary"/>
    <x v="3"/>
    <s v="Foresthill Divide"/>
    <s v="31 66837 6031116"/>
    <n v="0.3901"/>
    <n v="2"/>
    <n v="454"/>
    <n v="177"/>
    <n v="50168"/>
    <n v="13880"/>
    <n v="64048"/>
  </r>
  <r>
    <s v="31"/>
    <s v="66845"/>
    <s v="0000000"/>
    <s v="N/A"/>
    <s v="N/A"/>
    <s v="Loomis Union Elementary"/>
    <x v="3"/>
    <s v="Loomis Elementary"/>
    <s v="31 66845 6031132"/>
    <n v="0.27189999999999998"/>
    <n v="7"/>
    <n v="2405"/>
    <n v="348"/>
    <n v="265755"/>
    <n v="27291"/>
    <n v="293046"/>
  </r>
  <r>
    <s v="31"/>
    <s v="66845"/>
    <s v="0117150"/>
    <s v="0979"/>
    <s v="L"/>
    <s v="Loomis Basin Charter"/>
    <x v="1"/>
    <s v="Loomis Basin Charter"/>
    <s v="31 66845 0117150"/>
    <n v="8.43E-2"/>
    <n v="1"/>
    <n v="498"/>
    <n v="42"/>
    <n v="55030"/>
    <n v="3294"/>
    <n v="58324"/>
  </r>
  <r>
    <s v="31"/>
    <s v="66852"/>
    <s v="0000000"/>
    <s v="N/A"/>
    <s v="N/A"/>
    <s v="Newcastle Elementary"/>
    <x v="3"/>
    <s v="Newcastle Elementary"/>
    <s v="31 66852 6031157"/>
    <n v="0.25169999999999998"/>
    <n v="2"/>
    <n v="152"/>
    <n v="38"/>
    <n v="16796"/>
    <n v="2980"/>
    <n v="19776"/>
  </r>
  <r>
    <s v="31"/>
    <s v="66852"/>
    <s v="0109827"/>
    <s v="0727"/>
    <s v="L"/>
    <s v="Newcastle Charter"/>
    <x v="1"/>
    <s v="Newcastle Charter"/>
    <s v="31 66852 0109827"/>
    <n v="0.2596"/>
    <n v="1"/>
    <n v="285"/>
    <n v="74"/>
    <n v="31493"/>
    <n v="5803"/>
    <n v="37296"/>
  </r>
  <r>
    <s v="31"/>
    <s v="66852"/>
    <s v="0120105"/>
    <s v="1102"/>
    <s v="D"/>
    <s v="Creekside Charter"/>
    <x v="1"/>
    <s v="Creekside Charter"/>
    <s v="31 66852 0120105"/>
    <n v="7.6600000000000001E-2"/>
    <n v="1"/>
    <n v="235"/>
    <n v="18"/>
    <n v="25968"/>
    <n v="1412"/>
    <n v="27380"/>
  </r>
  <r>
    <s v="31"/>
    <s v="66852"/>
    <s v="0121608"/>
    <s v="1179"/>
    <s v="D"/>
    <s v="Harvest Ridge Cooperative Charter"/>
    <x v="1"/>
    <s v="Harvest Ridge Cooperative Charter"/>
    <s v="31 66852 0121608"/>
    <n v="0.14099999999999999"/>
    <n v="1"/>
    <n v="305"/>
    <n v="43"/>
    <n v="33703"/>
    <n v="3372"/>
    <n v="37075"/>
  </r>
  <r>
    <s v="31"/>
    <s v="66852"/>
    <s v="0127928"/>
    <s v="1528"/>
    <s v="D"/>
    <s v="Rocklin Academy Gateway"/>
    <x v="1"/>
    <s v="Rocklin Academy Gateway"/>
    <s v="31 66852 0127928"/>
    <n v="0.11219999999999999"/>
    <n v="1"/>
    <n v="1176"/>
    <n v="132"/>
    <n v="129950"/>
    <n v="10351"/>
    <n v="140301"/>
  </r>
  <r>
    <s v="31"/>
    <s v="66886"/>
    <s v="0000000"/>
    <s v="N/A"/>
    <s v="N/A"/>
    <s v="Placer Hills Union Elementary"/>
    <x v="3"/>
    <s v="Weimar Hills"/>
    <s v="31 66886 6031199"/>
    <n v="0.28889999999999999"/>
    <n v="3"/>
    <n v="772"/>
    <n v="223"/>
    <n v="85308"/>
    <n v="17487"/>
    <n v="102795"/>
  </r>
  <r>
    <s v="31"/>
    <s v="66894"/>
    <s v="0000000"/>
    <s v="N/A"/>
    <s v="N/A"/>
    <s v="Placer Union High"/>
    <x v="3"/>
    <s v="Bradford Woodbridge Fundamental Elementary"/>
    <s v="31 66910 6031280"/>
    <n v="0.87150000000000005"/>
    <n v="6"/>
    <n v="3886"/>
    <n v="864"/>
    <n v="429409"/>
    <n v="67756"/>
    <n v="497165"/>
  </r>
  <r>
    <s v="31"/>
    <s v="66894"/>
    <s v="0138081"/>
    <s v="1976"/>
    <s v="L"/>
    <s v="Maidu Virtual Charter Academy"/>
    <x v="1"/>
    <s v="Bradford Woodbridge Fundamental Elementary"/>
    <s v="31 66910 6031280"/>
    <n v="0.87150000000000005"/>
    <n v="1"/>
    <n v="115"/>
    <n v="42"/>
    <n v="12708"/>
    <n v="3294"/>
    <n v="16002"/>
  </r>
  <r>
    <s v="31"/>
    <s v="66910"/>
    <s v="0000000"/>
    <s v="N/A"/>
    <s v="N/A"/>
    <s v="Roseville City Elementary"/>
    <x v="3"/>
    <s v="Bradford Woodbridge Fundamental Elementary"/>
    <s v="31 66910 6031280"/>
    <n v="0.87150000000000005"/>
    <n v="22"/>
    <n v="11735"/>
    <n v="5969"/>
    <n v="1296735"/>
    <n v="468086"/>
    <n v="1764821"/>
  </r>
  <r>
    <s v="31"/>
    <s v="66928"/>
    <s v="0000000"/>
    <s v="N/A"/>
    <s v="N/A"/>
    <s v="Roseville Joint Union High"/>
    <x v="3"/>
    <s v="Bradford Woodbridge Fundamental Elementary"/>
    <s v="31 66910 6031280"/>
    <n v="0.87150000000000005"/>
    <n v="9"/>
    <n v="10557"/>
    <n v="2537"/>
    <n v="1166564"/>
    <n v="198948"/>
    <n v="1365512"/>
  </r>
  <r>
    <s v="31"/>
    <s v="66928"/>
    <s v="0121418"/>
    <s v="2061"/>
    <s v="D"/>
    <s v="John Adams Academy - Roseville"/>
    <x v="1"/>
    <s v="John Adams Academy - Roseville"/>
    <s v="31 66928 0121418"/>
    <n v="0.3327"/>
    <n v="1"/>
    <n v="1590"/>
    <n v="529"/>
    <n v="175698"/>
    <n v="41484"/>
    <n v="217182"/>
  </r>
  <r>
    <s v="31"/>
    <s v="66928"/>
    <s v="0141622"/>
    <s v="2128"/>
    <s v="D"/>
    <s v="New Pacific School - Roseville"/>
    <x v="1"/>
    <s v="New Pacific School - Roseville"/>
    <s v="31 66928 0141622"/>
    <n v="0.51949999999999996"/>
    <n v="1"/>
    <n v="77"/>
    <n v="40"/>
    <n v="8509"/>
    <n v="3137"/>
    <n v="11646"/>
  </r>
  <r>
    <s v="31"/>
    <s v="66944"/>
    <s v="0000000"/>
    <s v="N/A"/>
    <s v="N/A"/>
    <s v="Tahoe-Truckee Unified"/>
    <x v="3"/>
    <s v="Truckee Elementary"/>
    <s v="31 66944 6031322"/>
    <n v="0.51659999999999995"/>
    <n v="12"/>
    <n v="4019"/>
    <n v="1181"/>
    <n v="444106"/>
    <n v="92613"/>
    <n v="536719"/>
  </r>
  <r>
    <s v="31"/>
    <s v="66944"/>
    <s v="0121624"/>
    <s v="1180"/>
    <s v="D"/>
    <s v="Sierra Expeditionary Learning"/>
    <x v="1"/>
    <s v="Sierra Expeditionary Learning"/>
    <s v="31 66944 0121624"/>
    <n v="0.27010000000000001"/>
    <n v="1"/>
    <n v="211"/>
    <n v="57"/>
    <n v="23316"/>
    <n v="4470"/>
    <n v="27786"/>
  </r>
  <r>
    <s v="31"/>
    <s v="66951"/>
    <s v="0000000"/>
    <s v="N/A"/>
    <s v="N/A"/>
    <s v="Western Placer Unified"/>
    <x v="3"/>
    <s v="First Street Elementary"/>
    <s v="31 66951 6117493"/>
    <n v="0.65539999999999998"/>
    <n v="15"/>
    <n v="7634"/>
    <n v="2271"/>
    <n v="843570"/>
    <n v="178089"/>
    <n v="1021659"/>
  </r>
  <r>
    <s v="31"/>
    <s v="66951"/>
    <s v="0135871"/>
    <s v="1715"/>
    <s v="D"/>
    <s v="John Adams Academy - Lincoln"/>
    <x v="1"/>
    <s v="John Adams Academy - Lincoln"/>
    <s v="31 66951 0135871"/>
    <n v="0.16639999999999999"/>
    <n v="1"/>
    <n v="1376"/>
    <n v="229"/>
    <n v="152050"/>
    <n v="17958"/>
    <n v="170008"/>
  </r>
  <r>
    <s v="31"/>
    <s v="66951"/>
    <s v="3130168"/>
    <s v="0015"/>
    <s v="D"/>
    <s v="Horizon Charter"/>
    <x v="1"/>
    <s v="Horizon Charter"/>
    <s v="31 66951 3130168"/>
    <n v="0.53510000000000002"/>
    <n v="1"/>
    <n v="1508"/>
    <n v="807"/>
    <n v="166636"/>
    <n v="63284"/>
    <n v="229920"/>
  </r>
  <r>
    <s v="31"/>
    <s v="75085"/>
    <s v="0000000"/>
    <s v="N/A"/>
    <s v="N/A"/>
    <s v="Rocklin Unified"/>
    <x v="3"/>
    <s v="Antelope Creek Elementary"/>
    <s v="31 75085 6110647"/>
    <n v="0.35170000000000001"/>
    <n v="19"/>
    <n v="11472"/>
    <n v="2160"/>
    <n v="1267676"/>
    <n v="169385"/>
    <n v="1437061"/>
  </r>
  <r>
    <s v="31"/>
    <s v="75085"/>
    <s v="0117879"/>
    <s v="1042"/>
    <s v="D"/>
    <s v="Maria Montessori Charter Academy"/>
    <x v="1"/>
    <s v="Maria Montessori Charter Academy"/>
    <s v="31 75085 0117879"/>
    <n v="0.1231"/>
    <n v="1"/>
    <n v="260"/>
    <n v="32"/>
    <n v="28730"/>
    <n v="2509"/>
    <n v="31239"/>
  </r>
  <r>
    <s v="31"/>
    <s v="75085"/>
    <s v="0119487"/>
    <s v="1071"/>
    <s v="D"/>
    <s v="Western Sierra Collegiate Academy"/>
    <x v="1"/>
    <s v="Western Sierra Collegiate Academy"/>
    <s v="31 75085 0119487"/>
    <n v="0.1371"/>
    <n v="1"/>
    <n v="773"/>
    <n v="106"/>
    <n v="85418"/>
    <n v="8312"/>
    <n v="93730"/>
  </r>
  <r>
    <s v="31"/>
    <s v="75085"/>
    <s v="6118392"/>
    <s v="0308"/>
    <s v="D"/>
    <s v="Rocklin Academy"/>
    <x v="1"/>
    <s v="Rocklin Academy"/>
    <s v="31 75085 6118392"/>
    <n v="0.1106"/>
    <n v="1"/>
    <n v="479"/>
    <n v="53"/>
    <n v="52930"/>
    <n v="4156"/>
    <n v="57086"/>
  </r>
  <r>
    <s v="32"/>
    <s v="10322"/>
    <s v="0000000"/>
    <s v="N/A"/>
    <s v="N/A"/>
    <s v="Plumas Co. Office of Education"/>
    <x v="0"/>
    <s v="C. Roy Carmichael Elementary"/>
    <s v="32 66969 6110308"/>
    <n v="0.72540000000000004"/>
    <n v="4"/>
    <n v="9"/>
    <n v="9"/>
    <n v="996"/>
    <n v="705"/>
    <n v="1701"/>
  </r>
  <r>
    <s v="32"/>
    <s v="66969"/>
    <s v="0000000"/>
    <s v="N/A"/>
    <s v="N/A"/>
    <s v="Plumas Unified"/>
    <x v="3"/>
    <s v="C. Roy Carmichael Elementary"/>
    <s v="32 66969 6110308"/>
    <n v="0.72540000000000004"/>
    <n v="11"/>
    <n v="1769"/>
    <n v="1106"/>
    <n v="195479"/>
    <n v="86732"/>
    <n v="282211"/>
  </r>
  <r>
    <s v="32"/>
    <s v="66969"/>
    <s v="3230083"/>
    <s v="0146"/>
    <s v="D"/>
    <s v="Plumas Charter"/>
    <x v="1"/>
    <s v="Plumas Charter"/>
    <s v="32 66969 3230083"/>
    <n v="0.36709999999999998"/>
    <n v="1"/>
    <n v="346"/>
    <n v="127"/>
    <n v="38234"/>
    <n v="9959"/>
    <n v="48193"/>
  </r>
  <r>
    <s v="33"/>
    <s v="10330"/>
    <s v="0000000"/>
    <s v="N/A"/>
    <s v="N/A"/>
    <s v="Riverside Co. Office of Education"/>
    <x v="0"/>
    <s v="Cathedral City Elementary"/>
    <s v="33 67173 6032403"/>
    <n v="0.98470000000000002"/>
    <n v="5"/>
    <n v="1681"/>
    <n v="1353"/>
    <n v="185753"/>
    <n v="106100"/>
    <n v="291853"/>
  </r>
  <r>
    <s v="33"/>
    <s v="10330"/>
    <s v="0110833"/>
    <s v="0753"/>
    <s v="D"/>
    <s v="River Springs Charter"/>
    <x v="1"/>
    <s v="River Springs Charter"/>
    <s v="33 10330 0110833"/>
    <n v="0.57779999999999998"/>
    <n v="1"/>
    <n v="6886"/>
    <n v="3979"/>
    <n v="760914"/>
    <n v="312029"/>
    <n v="1072943"/>
  </r>
  <r>
    <s v="33"/>
    <s v="10330"/>
    <s v="0125237"/>
    <s v="1366"/>
    <s v="D"/>
    <s v="Leadership Military Academy"/>
    <x v="1"/>
    <s v="Cathedral City Elementary"/>
    <s v="33 67173 6032403"/>
    <n v="0.98470000000000002"/>
    <n v="1"/>
    <n v="143"/>
    <n v="108"/>
    <n v="15802"/>
    <n v="8469"/>
    <n v="24271"/>
  </r>
  <r>
    <s v="33"/>
    <s v="10330"/>
    <s v="0125385"/>
    <s v="1369"/>
    <s v="D"/>
    <s v="Imagine Schools, Riverside County"/>
    <x v="1"/>
    <s v="Imagine Schools, Riverside County"/>
    <s v="33 10330 0125385"/>
    <n v="0.5373"/>
    <n v="1"/>
    <n v="1312"/>
    <n v="705"/>
    <n v="144978"/>
    <n v="55285"/>
    <n v="200263"/>
  </r>
  <r>
    <s v="33"/>
    <s v="10330"/>
    <s v="0128397"/>
    <s v="1568"/>
    <s v="L"/>
    <s v="Come Back Kids"/>
    <x v="1"/>
    <s v="Cathedral City Elementary"/>
    <s v="33 67173 6032403"/>
    <n v="0.98470000000000002"/>
    <n v="1"/>
    <n v="500"/>
    <n v="323"/>
    <n v="55251"/>
    <n v="25329"/>
    <n v="80580"/>
  </r>
  <r>
    <s v="33"/>
    <s v="10330"/>
    <s v="0128777"/>
    <s v="1602"/>
    <s v="D"/>
    <s v="Gateway College and Career Academy"/>
    <x v="1"/>
    <s v="Cathedral City Elementary"/>
    <s v="33 67173 6032403"/>
    <n v="0.98470000000000002"/>
    <n v="1"/>
    <n v="128"/>
    <n v="67"/>
    <n v="14144"/>
    <n v="5254"/>
    <n v="19398"/>
  </r>
  <r>
    <s v="33"/>
    <s v="10330"/>
    <s v="0136168"/>
    <s v="1873"/>
    <s v="D"/>
    <s v="Temecula International Academy"/>
    <x v="1"/>
    <s v="Temecula International Academy"/>
    <s v="33 10330 0136168"/>
    <n v="0.1623"/>
    <n v="1"/>
    <n v="309"/>
    <n v="50"/>
    <n v="34145"/>
    <n v="3921"/>
    <n v="38066"/>
  </r>
  <r>
    <s v="33"/>
    <s v="10330"/>
    <s v="0137836"/>
    <s v="1984"/>
    <s v="D"/>
    <s v="Pivot Charter School Riverside"/>
    <x v="1"/>
    <s v="Pivot Charter School Riverside"/>
    <s v="33 10330 0137836"/>
    <n v="0.52480000000000004"/>
    <n v="1"/>
    <n v="141"/>
    <n v="74"/>
    <n v="15581"/>
    <n v="5803"/>
    <n v="21384"/>
  </r>
  <r>
    <s v="33"/>
    <s v="10330"/>
    <s v="0137851"/>
    <s v="1988"/>
    <s v="D"/>
    <s v="Julia Lee Performing Arts Academy"/>
    <x v="1"/>
    <s v="Julia Lee Performing Arts Academy"/>
    <s v="33 10330 0137851"/>
    <n v="0.58879999999999999"/>
    <n v="1"/>
    <n v="429"/>
    <n v="253"/>
    <n v="47405"/>
    <n v="19840"/>
    <n v="67245"/>
  </r>
  <r>
    <s v="33"/>
    <s v="10330"/>
    <s v="0137869"/>
    <s v="1993"/>
    <s v="D"/>
    <s v="Excelsior Charter School Corona-Norco"/>
    <x v="1"/>
    <s v="Cathedral City Elementary"/>
    <s v="33 67173 6032403"/>
    <n v="0.98470000000000002"/>
    <n v="1"/>
    <n v="129"/>
    <n v="54"/>
    <n v="14255"/>
    <n v="4235"/>
    <n v="18490"/>
  </r>
  <r>
    <s v="33"/>
    <s v="10330"/>
    <s v="0138024"/>
    <s v="1974"/>
    <s v="D"/>
    <s v="Journey"/>
    <x v="1"/>
    <s v="Journey"/>
    <s v="33 10330 0138024"/>
    <n v="0.80910000000000004"/>
    <n v="1"/>
    <n v="550"/>
    <n v="445"/>
    <n v="60776"/>
    <n v="34896"/>
    <n v="95672"/>
  </r>
  <r>
    <s v="33"/>
    <s v="10330"/>
    <s v="0138602"/>
    <s v="2018"/>
    <s v="D"/>
    <s v="JCS - Pine Hills"/>
    <x v="1"/>
    <s v="JCS - Pine Hills"/>
    <s v="33 10330 0138602"/>
    <n v="0.40260000000000001"/>
    <n v="1"/>
    <n v="755"/>
    <n v="304"/>
    <n v="83429"/>
    <n v="23839"/>
    <n v="107268"/>
  </r>
  <r>
    <s v="33"/>
    <s v="10330"/>
    <s v="0139428"/>
    <s v="2058"/>
    <s v="D"/>
    <s v="Garvey/Allen Visual &amp; Performing Arts Academy for STEM"/>
    <x v="1"/>
    <s v="Cathedral City Elementary"/>
    <s v="33 67173 6032403"/>
    <n v="0.98470000000000002"/>
    <n v="1"/>
    <n v="157"/>
    <n v="113"/>
    <n v="17349"/>
    <n v="8861"/>
    <n v="26210"/>
  </r>
  <r>
    <s v="33"/>
    <s v="10330"/>
    <s v="0140780"/>
    <s v="2118"/>
    <s v="D"/>
    <s v="Audeo Valley Charter"/>
    <x v="1"/>
    <s v="Audeo Valley Charter"/>
    <s v="33 10330 0140780"/>
    <n v="0.73219999999999996"/>
    <n v="1"/>
    <n v="239"/>
    <n v="175"/>
    <n v="26410"/>
    <n v="13723"/>
    <n v="40133"/>
  </r>
  <r>
    <s v="33"/>
    <s v="31625"/>
    <s v="3330834"/>
    <s v="N/A"/>
    <s v="N/A"/>
    <s v="California School for the Deaf-Riverside (State Special Schl)"/>
    <x v="2"/>
    <s v="Cathedral City Elementary"/>
    <s v="33 67173 6032403"/>
    <n v="0.98470000000000002"/>
    <n v="1"/>
    <n v="319"/>
    <n v="138"/>
    <n v="35250"/>
    <n v="10822"/>
    <n v="46072"/>
  </r>
  <r>
    <s v="33"/>
    <s v="66977"/>
    <s v="0000000"/>
    <s v="N/A"/>
    <s v="N/A"/>
    <s v="Alvord Unified"/>
    <x v="3"/>
    <s v="Arlanza Elementary"/>
    <s v="33 66977 6031512"/>
    <n v="0.97860000000000003"/>
    <n v="27"/>
    <n v="17160"/>
    <n v="14602"/>
    <n v="1896209"/>
    <n v="1145075"/>
    <n v="3041284"/>
  </r>
  <r>
    <s v="33"/>
    <s v="66985"/>
    <s v="0000000"/>
    <s v="N/A"/>
    <s v="N/A"/>
    <s v="Banning Unified"/>
    <x v="3"/>
    <s v="Cabazon Elementary"/>
    <s v="33 66985 6031603"/>
    <n v="0.91180000000000005"/>
    <n v="12"/>
    <n v="4448"/>
    <n v="3946"/>
    <n v="491512"/>
    <n v="309441"/>
    <n v="800953"/>
  </r>
  <r>
    <s v="33"/>
    <s v="66993"/>
    <s v="0000000"/>
    <s v="N/A"/>
    <s v="N/A"/>
    <s v="Beaumont Unified"/>
    <x v="3"/>
    <s v="Palm Innovation Academy"/>
    <s v="33 66993 6031660"/>
    <n v="0.87450000000000006"/>
    <n v="16"/>
    <n v="11890"/>
    <n v="7614"/>
    <n v="1313868"/>
    <n v="597082"/>
    <n v="1910950"/>
  </r>
  <r>
    <s v="33"/>
    <s v="66993"/>
    <s v="0127142"/>
    <s v="1493"/>
    <s v="D"/>
    <s v="Highland Academy"/>
    <x v="1"/>
    <s v="Highland Academy"/>
    <s v="33 66993 0127142"/>
    <n v="0.39700000000000002"/>
    <n v="1"/>
    <n v="330"/>
    <n v="131"/>
    <n v="36466"/>
    <n v="10273"/>
    <n v="46739"/>
  </r>
  <r>
    <s v="33"/>
    <s v="66993"/>
    <s v="0139360"/>
    <s v="2049"/>
    <s v="D"/>
    <s v="Mission Vista Academy"/>
    <x v="1"/>
    <s v="Mission Vista Academy"/>
    <s v="33 66993 0139360"/>
    <n v="0.41199999999999998"/>
    <n v="1"/>
    <n v="4794"/>
    <n v="1975"/>
    <n v="529745"/>
    <n v="154877"/>
    <n v="684622"/>
  </r>
  <r>
    <s v="33"/>
    <s v="67033"/>
    <s v="0000000"/>
    <s v="N/A"/>
    <s v="N/A"/>
    <s v="Corona-Norco Unified"/>
    <x v="3"/>
    <s v="Parkridge Elementary"/>
    <s v="33 67033 6031850"/>
    <n v="0.95589999999999997"/>
    <n v="54"/>
    <n v="51060"/>
    <n v="36268"/>
    <n v="5642216"/>
    <n v="2844105"/>
    <n v="8486321"/>
  </r>
  <r>
    <s v="33"/>
    <s v="67041"/>
    <s v="0000000"/>
    <s v="N/A"/>
    <s v="N/A"/>
    <s v="Desert Center Unified"/>
    <x v="3"/>
    <s v="Eagle Mountain Elementary"/>
    <s v="33 67041 6031900"/>
    <n v="0.68"/>
    <n v="2"/>
    <n v="26"/>
    <n v="18"/>
    <n v="2874"/>
    <n v="1411"/>
    <n v="4285"/>
  </r>
  <r>
    <s v="33"/>
    <s v="67058"/>
    <s v="0000000"/>
    <s v="N/A"/>
    <s v="N/A"/>
    <s v="Desert Sands Unified"/>
    <x v="3"/>
    <s v="Andrew Jackson Elementary"/>
    <s v="33 67058 6031934"/>
    <n v="0.91310000000000002"/>
    <n v="34"/>
    <n v="24616"/>
    <n v="18706"/>
    <n v="2720106"/>
    <n v="1466906"/>
    <n v="4187012"/>
  </r>
  <r>
    <s v="33"/>
    <s v="67058"/>
    <s v="6031959"/>
    <s v="0052"/>
    <s v="L"/>
    <s v="George Washington Charter"/>
    <x v="1"/>
    <s v="George Washington Charter"/>
    <s v="33 67058 6031959"/>
    <n v="0.49009999999999998"/>
    <n v="1"/>
    <n v="755"/>
    <n v="370"/>
    <n v="83429"/>
    <n v="29015"/>
    <n v="112444"/>
  </r>
  <r>
    <s v="33"/>
    <s v="67058"/>
    <s v="6031991"/>
    <s v="0974"/>
    <s v="L"/>
    <s v="Palm Desert Charter Middle"/>
    <x v="1"/>
    <s v="Cathedral City Elementary"/>
    <s v="33 67173 6032403"/>
    <n v="0.98470000000000002"/>
    <n v="1"/>
    <n v="1347"/>
    <n v="812"/>
    <n v="148846"/>
    <n v="63676"/>
    <n v="212522"/>
  </r>
  <r>
    <s v="33"/>
    <s v="67082"/>
    <s v="0000000"/>
    <s v="N/A"/>
    <s v="N/A"/>
    <s v="Hemet Unified"/>
    <x v="3"/>
    <s v="Jacob Wiens Elementary"/>
    <s v="33 67082 6118731"/>
    <n v="0.95479999999999998"/>
    <n v="27"/>
    <n v="21810"/>
    <n v="18821"/>
    <n v="2410043"/>
    <n v="1475927"/>
    <n v="3885970"/>
  </r>
  <r>
    <s v="33"/>
    <s v="67082"/>
    <s v="0120675"/>
    <s v="1144"/>
    <s v="L"/>
    <s v="Western Center Academy"/>
    <x v="1"/>
    <s v="Western Center Academy"/>
    <s v="33 67082 0120675"/>
    <n v="0.56299999999999994"/>
    <n v="1"/>
    <n v="746"/>
    <n v="420"/>
    <n v="82434"/>
    <n v="32936"/>
    <n v="115370"/>
  </r>
  <r>
    <s v="33"/>
    <s v="67090"/>
    <s v="0000000"/>
    <s v="N/A"/>
    <s v="N/A"/>
    <s v="Jurupa Unified"/>
    <x v="3"/>
    <s v="Ina Arbuckle Elementary"/>
    <s v="33 67090 6032171"/>
    <n v="0.95309999999999995"/>
    <n v="26"/>
    <n v="18539"/>
    <n v="14418"/>
    <n v="2048590"/>
    <n v="1130645"/>
    <n v="3179235"/>
  </r>
  <r>
    <s v="33"/>
    <s v="67116"/>
    <s v="0000000"/>
    <s v="N/A"/>
    <s v="N/A"/>
    <s v="Menifee Union Elementary"/>
    <x v="3"/>
    <s v="Quail Valley Elementary"/>
    <s v="33 67116 0116756"/>
    <n v="0.81210000000000004"/>
    <n v="18"/>
    <n v="11986"/>
    <n v="7105"/>
    <n v="1324474"/>
    <n v="557168"/>
    <n v="1881642"/>
  </r>
  <r>
    <s v="33"/>
    <s v="67116"/>
    <s v="0109843"/>
    <s v="0730"/>
    <s v="D"/>
    <s v="Santa Rosa Academy"/>
    <x v="1"/>
    <s v="Santa Rosa Academy"/>
    <s v="33 67116 0109843"/>
    <n v="0.26829999999999998"/>
    <n v="1"/>
    <n v="1569"/>
    <n v="421"/>
    <n v="173377"/>
    <n v="33014"/>
    <n v="206391"/>
  </r>
  <r>
    <s v="33"/>
    <s v="67124"/>
    <s v="0000000"/>
    <s v="N/A"/>
    <s v="N/A"/>
    <s v="Moreno Valley Unified"/>
    <x v="3"/>
    <s v="Edgemont Elementary"/>
    <s v="33 67124 6032304"/>
    <n v="0.87429999999999997"/>
    <n v="40"/>
    <n v="31841"/>
    <n v="22340"/>
    <n v="3518485"/>
    <n v="1751881"/>
    <n v="5270366"/>
  </r>
  <r>
    <s v="33"/>
    <s v="67157"/>
    <s v="0000000"/>
    <s v="N/A"/>
    <s v="N/A"/>
    <s v="Nuview Union"/>
    <x v="3"/>
    <s v="Nuview Elementary"/>
    <s v="33 67157 6032353"/>
    <n v="0.85150000000000003"/>
    <n v="4"/>
    <n v="1620"/>
    <n v="1300"/>
    <n v="179014"/>
    <n v="101945"/>
    <n v="280959"/>
  </r>
  <r>
    <s v="33"/>
    <s v="67157"/>
    <s v="3331014"/>
    <s v="0368"/>
    <s v="L"/>
    <s v="Nuview Bridge Early College High"/>
    <x v="1"/>
    <s v="Cathedral City Elementary"/>
    <s v="33 67173 6032403"/>
    <n v="0.98470000000000002"/>
    <n v="1"/>
    <n v="661"/>
    <n v="459"/>
    <n v="73042"/>
    <n v="35994"/>
    <n v="109036"/>
  </r>
  <r>
    <s v="33"/>
    <s v="67173"/>
    <s v="0000000"/>
    <s v="N/A"/>
    <s v="N/A"/>
    <s v="Palm Springs Unified"/>
    <x v="3"/>
    <s v="Cathedral City Elementary"/>
    <s v="33 67173 6032403"/>
    <n v="0.98470000000000002"/>
    <n v="28"/>
    <n v="20511"/>
    <n v="19918"/>
    <n v="2266503"/>
    <n v="1561951"/>
    <n v="3828454"/>
  </r>
  <r>
    <s v="33"/>
    <s v="67173"/>
    <s v="6032411"/>
    <s v="1173"/>
    <s v="L"/>
    <s v="Cielo Vista Charter"/>
    <x v="1"/>
    <s v="Cielo Vista Charter"/>
    <s v="33 67173 6032411"/>
    <n v="0.94269999999999998"/>
    <n v="1"/>
    <n v="872"/>
    <n v="822"/>
    <n v="96357"/>
    <n v="64460"/>
    <n v="160817"/>
  </r>
  <r>
    <s v="33"/>
    <s v="67181"/>
    <s v="0000000"/>
    <s v="N/A"/>
    <s v="N/A"/>
    <s v="Palo Verde Unified"/>
    <x v="3"/>
    <s v="Ruth Brown Elementary"/>
    <s v="33 67181 6032494"/>
    <n v="0.87460000000000004"/>
    <n v="7"/>
    <n v="2834"/>
    <n v="2317"/>
    <n v="313162"/>
    <n v="181697"/>
    <n v="494859"/>
  </r>
  <r>
    <s v="33"/>
    <s v="67181"/>
    <s v="0138610"/>
    <s v="2019"/>
    <s v="D"/>
    <s v="Scale Leadership Academy - East"/>
    <x v="1"/>
    <s v="Scale Leadership Academy - East"/>
    <s v="33 67181 0138610"/>
    <n v="0.58789999999999998"/>
    <n v="1"/>
    <n v="956"/>
    <n v="562"/>
    <n v="105640"/>
    <n v="44071"/>
    <n v="149711"/>
  </r>
  <r>
    <s v="33"/>
    <s v="67199"/>
    <s v="0000000"/>
    <s v="N/A"/>
    <s v="N/A"/>
    <s v="Perris Elementary"/>
    <x v="3"/>
    <s v="Perris Elementary"/>
    <s v="33 67199 6032510"/>
    <n v="0.86839999999999995"/>
    <n v="9"/>
    <n v="4904"/>
    <n v="4147"/>
    <n v="541899"/>
    <n v="325203"/>
    <n v="867102"/>
  </r>
  <r>
    <s v="33"/>
    <s v="67199"/>
    <s v="6105571"/>
    <s v="1294"/>
    <s v="L"/>
    <s v="Innovative Horizons Charter"/>
    <x v="1"/>
    <s v="Innovative Horizons Charter"/>
    <s v="33 67199 6105571"/>
    <n v="0.84179999999999999"/>
    <n v="1"/>
    <n v="904"/>
    <n v="761"/>
    <n v="99893"/>
    <n v="59677"/>
    <n v="159570"/>
  </r>
  <r>
    <s v="33"/>
    <s v="67207"/>
    <s v="0000000"/>
    <s v="N/A"/>
    <s v="N/A"/>
    <s v="Perris Union High"/>
    <x v="3"/>
    <s v="Cathedral City Elementary"/>
    <s v="33 67173 6032403"/>
    <n v="0.98470000000000002"/>
    <n v="9"/>
    <n v="10706"/>
    <n v="7788"/>
    <n v="1183030"/>
    <n v="610727"/>
    <n v="1793757"/>
  </r>
  <r>
    <s v="33"/>
    <s v="67207"/>
    <s v="0101170"/>
    <s v="0529"/>
    <s v="L"/>
    <s v="California Military Institute"/>
    <x v="1"/>
    <s v="California Military Institute"/>
    <s v="33 67207 0101170"/>
    <n v="0.89259999999999995"/>
    <n v="1"/>
    <n v="1006"/>
    <n v="898"/>
    <n v="111165"/>
    <n v="70420"/>
    <n v="181585"/>
  </r>
  <r>
    <s v="33"/>
    <s v="67215"/>
    <s v="0000000"/>
    <s v="N/A"/>
    <s v="N/A"/>
    <s v="Riverside Unified"/>
    <x v="3"/>
    <s v="Longfellow Elementary"/>
    <s v="33 67215 6032692"/>
    <n v="0.92669999999999997"/>
    <n v="50"/>
    <n v="40068"/>
    <n v="29123"/>
    <n v="4427579"/>
    <n v="2283796"/>
    <n v="6711375"/>
  </r>
  <r>
    <s v="33"/>
    <s v="67215"/>
    <s v="0126128"/>
    <s v="1409"/>
    <s v="D"/>
    <s v="REACH Leadership STEAM Academy"/>
    <x v="1"/>
    <s v="REACH Leadership STEAM Academy"/>
    <s v="33 67215 0126128"/>
    <n v="0.53039999999999998"/>
    <n v="1"/>
    <n v="624"/>
    <n v="331"/>
    <n v="68953"/>
    <n v="25957"/>
    <n v="94910"/>
  </r>
  <r>
    <s v="33"/>
    <s v="67231"/>
    <s v="0000000"/>
    <s v="N/A"/>
    <s v="N/A"/>
    <s v="Romoland Elementary"/>
    <x v="3"/>
    <s v="Romoland Elementary"/>
    <s v="33 67231 6032791"/>
    <n v="0.91190000000000004"/>
    <n v="7"/>
    <n v="4577"/>
    <n v="3272"/>
    <n v="505767"/>
    <n v="256586"/>
    <n v="762353"/>
  </r>
  <r>
    <s v="33"/>
    <s v="67249"/>
    <s v="0000000"/>
    <s v="N/A"/>
    <s v="N/A"/>
    <s v="San Jacinto Unified"/>
    <x v="3"/>
    <s v="San Jacinto Elementary"/>
    <s v="33 67249 6032817"/>
    <n v="0.93100000000000005"/>
    <n v="17"/>
    <n v="10334"/>
    <n v="8779"/>
    <n v="1141922"/>
    <n v="688439"/>
    <n v="1830361"/>
  </r>
  <r>
    <s v="33"/>
    <s v="67249"/>
    <s v="6114748"/>
    <s v="0129"/>
    <s v="D"/>
    <s v="San Jacinto Valley Academy"/>
    <x v="1"/>
    <s v="San Jacinto Valley Academy"/>
    <s v="33 67249 6114748"/>
    <n v="0.58499999999999996"/>
    <n v="1"/>
    <n v="1571"/>
    <n v="919"/>
    <n v="173598"/>
    <n v="72067"/>
    <n v="245665"/>
  </r>
  <r>
    <s v="33"/>
    <s v="73676"/>
    <s v="0000000"/>
    <s v="N/A"/>
    <s v="N/A"/>
    <s v="Coachella Valley Unified"/>
    <x v="3"/>
    <s v="Mecca Elementary"/>
    <s v="33 73676 6032254"/>
    <n v="0.96889999999999998"/>
    <n v="23"/>
    <n v="16611"/>
    <n v="15167"/>
    <n v="1835544"/>
    <n v="1189379"/>
    <n v="3024923"/>
  </r>
  <r>
    <s v="33"/>
    <s v="73676"/>
    <s v="0121673"/>
    <s v="1188"/>
    <s v="D"/>
    <s v="NOVA Academy - Coachella"/>
    <x v="1"/>
    <s v="Cathedral City Elementary"/>
    <s v="33 67173 6032403"/>
    <n v="0.98470000000000002"/>
    <n v="1"/>
    <n v="231"/>
    <n v="211"/>
    <n v="25526"/>
    <n v="16546"/>
    <n v="42072"/>
  </r>
  <r>
    <s v="33"/>
    <s v="75176"/>
    <s v="0000000"/>
    <s v="N/A"/>
    <s v="N/A"/>
    <s v="Lake Elsinore Unified"/>
    <x v="3"/>
    <s v="Elsinore Elementary"/>
    <s v="33 75176 6032031"/>
    <n v="0.94789999999999996"/>
    <n v="26"/>
    <n v="21249"/>
    <n v="15153"/>
    <n v="2348052"/>
    <n v="1188282"/>
    <n v="3536334"/>
  </r>
  <r>
    <s v="33"/>
    <s v="75176"/>
    <s v="0120204"/>
    <s v="1118"/>
    <s v="D"/>
    <s v="Sycamore Academy of Science and Cultural Arts"/>
    <x v="1"/>
    <s v="Sycamore Academy of Science and Cultural Arts"/>
    <s v="33 75176 0120204"/>
    <n v="0.36880000000000002"/>
    <n v="1"/>
    <n v="507"/>
    <n v="187"/>
    <n v="56024"/>
    <n v="14664"/>
    <n v="70688"/>
  </r>
  <r>
    <s v="33"/>
    <s v="75192"/>
    <s v="0000000"/>
    <s v="N/A"/>
    <s v="N/A"/>
    <s v="Temecula Valley Unified"/>
    <x v="3"/>
    <s v="Temecula Elementary"/>
    <s v="33 75192 6108427"/>
    <n v="0.64659999999999995"/>
    <n v="31"/>
    <n v="26704"/>
    <n v="7200"/>
    <n v="2950836"/>
    <n v="564615"/>
    <n v="3515451"/>
  </r>
  <r>
    <s v="33"/>
    <s v="75192"/>
    <s v="3330917"/>
    <s v="0284"/>
    <s v="D"/>
    <s v="Temecula Preparatory"/>
    <x v="1"/>
    <s v="Temecula Preparatory"/>
    <s v="33 75192 3330917"/>
    <n v="0.1668"/>
    <n v="1"/>
    <n v="1079"/>
    <n v="180"/>
    <n v="119231"/>
    <n v="14115"/>
    <n v="133346"/>
  </r>
  <r>
    <s v="33"/>
    <s v="75192"/>
    <s v="6112551"/>
    <s v="0065"/>
    <s v="D"/>
    <s v="Temecula Valley Charter"/>
    <x v="1"/>
    <s v="Temecula Valley Charter"/>
    <s v="33 75192 6112551"/>
    <n v="0.1585"/>
    <n v="1"/>
    <n v="530"/>
    <n v="84"/>
    <n v="58566"/>
    <n v="6587"/>
    <n v="65153"/>
  </r>
  <r>
    <s v="33"/>
    <s v="75200"/>
    <s v="0000000"/>
    <s v="N/A"/>
    <s v="N/A"/>
    <s v="Murrieta Valley Unified"/>
    <x v="3"/>
    <s v="Avaxat Elementary"/>
    <s v="33 75200 6106868"/>
    <n v="0.64639999999999997"/>
    <n v="22"/>
    <n v="22722"/>
    <n v="11036"/>
    <n v="2510819"/>
    <n v="865429"/>
    <n v="3376248"/>
  </r>
  <r>
    <s v="33"/>
    <s v="75242"/>
    <s v="0000000"/>
    <s v="N/A"/>
    <s v="N/A"/>
    <s v="Val Verde Unified"/>
    <x v="3"/>
    <s v="Columbia Elementary"/>
    <s v="33 75242 0106096"/>
    <n v="0.97270000000000001"/>
    <n v="24"/>
    <n v="19701"/>
    <n v="17240"/>
    <n v="2176993"/>
    <n v="1351943"/>
    <n v="3528936"/>
  </r>
  <r>
    <s v="34"/>
    <s v="10348"/>
    <s v="0000000"/>
    <s v="N/A"/>
    <s v="N/A"/>
    <s v="Sacramento Co. Office of Education"/>
    <x v="0"/>
    <s v="Oak Ridge Elementary"/>
    <s v="34 67439 6034185"/>
    <n v="0.96040000000000003"/>
    <n v="7"/>
    <n v="961"/>
    <n v="606"/>
    <n v="106192"/>
    <n v="47521"/>
    <n v="153713"/>
  </r>
  <r>
    <s v="34"/>
    <s v="10348"/>
    <s v="0136275"/>
    <s v="1313"/>
    <s v="D"/>
    <s v="Fortune"/>
    <x v="1"/>
    <s v="Fortune"/>
    <s v="34 10348 0136275"/>
    <n v="0.72940000000000005"/>
    <n v="1"/>
    <n v="1866"/>
    <n v="1361"/>
    <n v="206196"/>
    <n v="106728"/>
    <n v="312924"/>
  </r>
  <r>
    <s v="34"/>
    <s v="10348"/>
    <s v="0140160"/>
    <s v="2100"/>
    <s v="D"/>
    <s v="American River Collegiate Academy"/>
    <x v="1"/>
    <s v="American River Collegiate Academy"/>
    <s v="34 10348 0140160"/>
    <n v="0.33750000000000002"/>
    <n v="1"/>
    <n v="80"/>
    <n v="27"/>
    <n v="8840"/>
    <n v="2117"/>
    <n v="10957"/>
  </r>
  <r>
    <s v="34"/>
    <s v="10348"/>
    <s v="0142091"/>
    <s v="2133"/>
    <s v="D"/>
    <s v="Capital College and Career Academy"/>
    <x v="1"/>
    <s v="Oak Ridge Elementary"/>
    <s v="34 67439 6034185"/>
    <n v="0.96040000000000003"/>
    <n v="1"/>
    <n v="0"/>
    <n v="0"/>
    <n v="0"/>
    <n v="0"/>
    <n v="0"/>
  </r>
  <r>
    <s v="34"/>
    <s v="67280"/>
    <s v="0000000"/>
    <s v="N/A"/>
    <s v="N/A"/>
    <s v="Arcohe Union Elementary"/>
    <x v="3"/>
    <s v="Arcohe Elementary"/>
    <s v="34 67280 6032890"/>
    <n v="0.36859999999999998"/>
    <n v="2"/>
    <n v="491"/>
    <n v="181"/>
    <n v="54256"/>
    <n v="14194"/>
    <n v="68450"/>
  </r>
  <r>
    <s v="34"/>
    <s v="67314"/>
    <s v="0000000"/>
    <s v="N/A"/>
    <s v="N/A"/>
    <s v="Elk Grove Unified"/>
    <x v="3"/>
    <s v="Samuel Kennedy Elementary"/>
    <s v="34 67314 6033104"/>
    <n v="0.72460000000000002"/>
    <n v="67"/>
    <n v="62162"/>
    <n v="26401"/>
    <n v="6869007"/>
    <n v="2070342"/>
    <n v="8939349"/>
  </r>
  <r>
    <s v="34"/>
    <s v="67314"/>
    <s v="0111732"/>
    <s v="0777"/>
    <s v="D"/>
    <s v="California Montessori Project - Elk Grove Campus"/>
    <x v="1"/>
    <s v="California Montessori Project - Elk Grove Campus"/>
    <s v="34 67314 0111732"/>
    <n v="0.2407"/>
    <n v="1"/>
    <n v="536"/>
    <n v="129"/>
    <n v="59229"/>
    <n v="10116"/>
    <n v="69345"/>
  </r>
  <r>
    <s v="34"/>
    <s v="67314"/>
    <s v="0137281"/>
    <s v="1949"/>
    <s v="D"/>
    <s v="SAVA - Sacramento Academic and Vocational Academy - EGUSD"/>
    <x v="1"/>
    <s v="Oak Ridge Elementary"/>
    <s v="34 67439 6034185"/>
    <n v="0.96040000000000003"/>
    <n v="1"/>
    <n v="360"/>
    <n v="227"/>
    <n v="39781"/>
    <n v="17801"/>
    <n v="57582"/>
  </r>
  <r>
    <s v="34"/>
    <s v="67314"/>
    <s v="6112254"/>
    <s v="0027"/>
    <s v="L"/>
    <s v="Elk Grove Charter"/>
    <x v="1"/>
    <s v="Oak Ridge Elementary"/>
    <s v="34 67439 6034185"/>
    <n v="0.96040000000000003"/>
    <n v="1"/>
    <n v="295"/>
    <n v="136"/>
    <n v="32598"/>
    <n v="10665"/>
    <n v="43263"/>
  </r>
  <r>
    <s v="34"/>
    <s v="67322"/>
    <s v="0000000"/>
    <s v="N/A"/>
    <s v="N/A"/>
    <s v="Elverta Joint Elementary"/>
    <x v="3"/>
    <s v="Elverta Elementary"/>
    <s v="34 67322 6033138"/>
    <n v="0.6794"/>
    <n v="3"/>
    <n v="212"/>
    <n v="150"/>
    <n v="23427"/>
    <n v="11763"/>
    <n v="35190"/>
  </r>
  <r>
    <s v="34"/>
    <s v="67330"/>
    <s v="0000000"/>
    <s v="N/A"/>
    <s v="N/A"/>
    <s v="Folsom-Cordova Unified"/>
    <x v="3"/>
    <s v="Cordova Gardens Elementary"/>
    <s v="34 67330 6033153"/>
    <n v="0.91610000000000003"/>
    <n v="36"/>
    <n v="20799"/>
    <n v="7100"/>
    <n v="2298326"/>
    <n v="556776"/>
    <n v="2855102"/>
  </r>
  <r>
    <s v="34"/>
    <s v="67330"/>
    <s v="0106757"/>
    <s v="0650"/>
    <s v="L"/>
    <s v="Folsom Cordova K-8 Community Charter"/>
    <x v="1"/>
    <s v="Folsom Cordova K-8 Community Charter"/>
    <s v="34 67330 0106757"/>
    <n v="0.26219999999999999"/>
    <n v="1"/>
    <n v="164"/>
    <n v="43"/>
    <n v="18122"/>
    <n v="3372"/>
    <n v="21494"/>
  </r>
  <r>
    <s v="34"/>
    <s v="67330"/>
    <s v="0142208"/>
    <s v="2137"/>
    <s v="D"/>
    <s v="New Pacific School - Rancho Cordova"/>
    <x v="1"/>
    <s v="New Pacific School - Rancho Cordova"/>
    <s v="34 67330 0142208"/>
    <n v="0"/>
    <n v="1"/>
    <n v="0"/>
    <n v="0"/>
    <n v="0"/>
    <n v="0"/>
    <n v="0"/>
  </r>
  <r>
    <s v="34"/>
    <s v="67348"/>
    <s v="0000000"/>
    <s v="N/A"/>
    <s v="N/A"/>
    <s v="Galt Joint Union Elementary"/>
    <x v="3"/>
    <s v="Valley Oaks Elementary"/>
    <s v="34 67348 6033310"/>
    <n v="0.79559999999999997"/>
    <n v="8"/>
    <n v="3505"/>
    <n v="2021"/>
    <n v="387307"/>
    <n v="158484"/>
    <n v="545791"/>
  </r>
  <r>
    <s v="34"/>
    <s v="67355"/>
    <s v="0000000"/>
    <s v="N/A"/>
    <s v="N/A"/>
    <s v="Galt Joint Union High"/>
    <x v="3"/>
    <s v="Oak Ridge Elementary"/>
    <s v="34 67439 6034185"/>
    <n v="0.96040000000000003"/>
    <n v="4"/>
    <n v="2063"/>
    <n v="1086"/>
    <n v="227966"/>
    <n v="85163"/>
    <n v="313129"/>
  </r>
  <r>
    <s v="34"/>
    <s v="67413"/>
    <s v="0000000"/>
    <s v="N/A"/>
    <s v="N/A"/>
    <s v="River Delta Joint Unified"/>
    <x v="3"/>
    <s v="Bates Elementary"/>
    <s v="34 67413 6033641"/>
    <n v="0.79520000000000002"/>
    <n v="12"/>
    <n v="1806"/>
    <n v="1051"/>
    <n v="199566"/>
    <n v="82419"/>
    <n v="281985"/>
  </r>
  <r>
    <s v="34"/>
    <s v="67413"/>
    <s v="0114660"/>
    <s v="0853"/>
    <s v="D"/>
    <s v="Delta Elementary Charter"/>
    <x v="1"/>
    <s v="Delta Elementary Charter"/>
    <s v="34 67413 0114660"/>
    <n v="0.24529999999999999"/>
    <n v="1"/>
    <n v="371"/>
    <n v="91"/>
    <n v="40996"/>
    <n v="7136"/>
    <n v="48132"/>
  </r>
  <r>
    <s v="34"/>
    <s v="67421"/>
    <s v="0000000"/>
    <s v="N/A"/>
    <s v="N/A"/>
    <s v="Robla Elementary"/>
    <x v="3"/>
    <s v="Taylor Street Elementary"/>
    <s v="34 67421 6033757"/>
    <n v="0.92589999999999995"/>
    <n v="7"/>
    <n v="2116"/>
    <n v="1814"/>
    <n v="233823"/>
    <n v="142252"/>
    <n v="376075"/>
  </r>
  <r>
    <s v="34"/>
    <s v="67421"/>
    <s v="0132019"/>
    <s v="1727"/>
    <s v="D"/>
    <s v="Paseo Grande Charter School"/>
    <x v="1"/>
    <s v="Paseo Grande Charter School"/>
    <s v="34 67421 0132019"/>
    <n v="0.82609999999999995"/>
    <n v="1"/>
    <n v="46"/>
    <n v="38"/>
    <n v="5083"/>
    <n v="2980"/>
    <n v="8063"/>
  </r>
  <r>
    <s v="34"/>
    <s v="67421"/>
    <s v="0137950"/>
    <s v="1970"/>
    <s v="D"/>
    <s v="Marconi Learning Academy"/>
    <x v="1"/>
    <s v="Marconi Learning Academy"/>
    <s v="34 67421 0137950"/>
    <n v="0.85980000000000001"/>
    <n v="1"/>
    <n v="328"/>
    <n v="282"/>
    <n v="36245"/>
    <n v="22114"/>
    <n v="58359"/>
  </r>
  <r>
    <s v="34"/>
    <s v="67421"/>
    <s v="0140178"/>
    <s v="2092"/>
    <s v="D"/>
    <s v="New Hope Charter"/>
    <x v="1"/>
    <s v="New Hope Charter"/>
    <s v="34 67421 0140178"/>
    <n v="0.86470000000000002"/>
    <n v="1"/>
    <n v="207"/>
    <n v="179"/>
    <n v="22874"/>
    <n v="14037"/>
    <n v="36911"/>
  </r>
  <r>
    <s v="34"/>
    <s v="67439"/>
    <s v="0000000"/>
    <s v="N/A"/>
    <s v="N/A"/>
    <s v="Sacramento City Unified"/>
    <x v="3"/>
    <s v="Oak Ridge Elementary"/>
    <s v="34 67439 6034185"/>
    <n v="0.96040000000000003"/>
    <n v="69"/>
    <n v="38130"/>
    <n v="26317"/>
    <n v="4213430"/>
    <n v="2063752"/>
    <n v="6277182"/>
  </r>
  <r>
    <s v="34"/>
    <s v="67439"/>
    <s v="0101048"/>
    <s v="0491"/>
    <s v="D"/>
    <s v="St. HOPE Public School 7"/>
    <x v="1"/>
    <s v="St. HOPE Public School 7"/>
    <s v="34 67439 0101048"/>
    <n v="0.82940000000000003"/>
    <n v="1"/>
    <n v="557"/>
    <n v="462"/>
    <n v="61549"/>
    <n v="36230"/>
    <n v="97779"/>
  </r>
  <r>
    <s v="34"/>
    <s v="67439"/>
    <s v="0101295"/>
    <s v="0552"/>
    <s v="D"/>
    <s v="Sol Aureus College Preparatory"/>
    <x v="1"/>
    <s v="Sol Aureus College Preparatory"/>
    <s v="34 67439 0101295"/>
    <n v="0.46200000000000002"/>
    <n v="1"/>
    <n v="355"/>
    <n v="164"/>
    <n v="39228"/>
    <n v="12861"/>
    <n v="52089"/>
  </r>
  <r>
    <s v="34"/>
    <s v="67439"/>
    <s v="0101881"/>
    <s v="0585"/>
    <s v="L"/>
    <s v="New Technology High"/>
    <x v="1"/>
    <s v="Oak Ridge Elementary"/>
    <s v="34 67439 6034185"/>
    <n v="0.96040000000000003"/>
    <n v="1"/>
    <n v="154"/>
    <n v="118"/>
    <n v="17017"/>
    <n v="9253"/>
    <n v="26270"/>
  </r>
  <r>
    <s v="34"/>
    <s v="67439"/>
    <s v="0101899"/>
    <s v="0588"/>
    <s v="L"/>
    <s v="George Washington Carver School of Arts and Science"/>
    <x v="1"/>
    <s v="Oak Ridge Elementary"/>
    <s v="34 67439 6034185"/>
    <n v="0.96040000000000003"/>
    <n v="1"/>
    <n v="195"/>
    <n v="85"/>
    <n v="21548"/>
    <n v="6666"/>
    <n v="28214"/>
  </r>
  <r>
    <s v="34"/>
    <s v="67439"/>
    <s v="0101907"/>
    <s v="0586"/>
    <s v="L"/>
    <s v="The MET"/>
    <x v="1"/>
    <s v="Oak Ridge Elementary"/>
    <s v="34 67439 6034185"/>
    <n v="0.96040000000000003"/>
    <n v="1"/>
    <n v="222"/>
    <n v="119"/>
    <n v="24531"/>
    <n v="9332"/>
    <n v="33863"/>
  </r>
  <r>
    <s v="34"/>
    <s v="67439"/>
    <s v="0102038"/>
    <s v="0596"/>
    <s v="D"/>
    <s v="Sacramento Charter High"/>
    <x v="1"/>
    <s v="Oak Ridge Elementary"/>
    <s v="34 67439 6034185"/>
    <n v="0.96040000000000003"/>
    <n v="1"/>
    <n v="365"/>
    <n v="257"/>
    <n v="40333"/>
    <n v="20154"/>
    <n v="60487"/>
  </r>
  <r>
    <s v="34"/>
    <s v="67439"/>
    <s v="0102343"/>
    <s v="0598"/>
    <s v="D"/>
    <s v="Aspire Capitol Heights Academy"/>
    <x v="1"/>
    <s v="Aspire Capitol Heights Academy"/>
    <s v="34 67439 0102343"/>
    <n v="0.88239999999999996"/>
    <n v="1"/>
    <n v="170"/>
    <n v="150"/>
    <n v="18785"/>
    <n v="11763"/>
    <n v="30548"/>
  </r>
  <r>
    <s v="34"/>
    <s v="67439"/>
    <s v="0106898"/>
    <s v="0640"/>
    <s v="D"/>
    <s v="The Language Academy of Sacramento"/>
    <x v="1"/>
    <s v="The Language Academy of Sacramento"/>
    <s v="34 67439 0106898"/>
    <n v="0.73860000000000003"/>
    <n v="1"/>
    <n v="616"/>
    <n v="455"/>
    <n v="68069"/>
    <n v="35681"/>
    <n v="103750"/>
  </r>
  <r>
    <s v="34"/>
    <s v="67439"/>
    <s v="0111757"/>
    <s v="0775"/>
    <s v="D"/>
    <s v="California Montessori Project - Capitol Campus"/>
    <x v="1"/>
    <s v="California Montessori Project - Capitol Campus"/>
    <s v="34 67439 0111757"/>
    <n v="0.21879999999999999"/>
    <n v="1"/>
    <n v="352"/>
    <n v="77"/>
    <n v="38897"/>
    <n v="6038"/>
    <n v="44935"/>
  </r>
  <r>
    <s v="34"/>
    <s v="67439"/>
    <s v="0121665"/>
    <s v="1186"/>
    <s v="D"/>
    <s v="Yav Pem Suab Academy - Preparing for the Future Charter"/>
    <x v="1"/>
    <s v="Yav Pem Suab Academy - Preparing for the Future Charter"/>
    <s v="34 67439 0121665"/>
    <n v="0.57509999999999994"/>
    <n v="1"/>
    <n v="426"/>
    <n v="245"/>
    <n v="47074"/>
    <n v="19213"/>
    <n v="66287"/>
  </r>
  <r>
    <s v="34"/>
    <s v="67439"/>
    <s v="0123901"/>
    <s v="1273"/>
    <s v="D"/>
    <s v="Capitol Collegiate Academy"/>
    <x v="1"/>
    <s v="Capitol Collegiate Academy"/>
    <s v="34 67439 0123901"/>
    <n v="0.83209999999999995"/>
    <n v="1"/>
    <n v="417"/>
    <n v="347"/>
    <n v="46079"/>
    <n v="27211"/>
    <n v="73290"/>
  </r>
  <r>
    <s v="34"/>
    <s v="67439"/>
    <s v="0131136"/>
    <s v="1690"/>
    <s v="L"/>
    <s v="New Joseph Bonnheim (NJB) Community Charter"/>
    <x v="1"/>
    <s v="New Joseph Bonnheim (NJB) Community Charter"/>
    <s v="34 67439 0131136"/>
    <n v="0.90129999999999999"/>
    <n v="1"/>
    <n v="233"/>
    <n v="210"/>
    <n v="25747"/>
    <n v="16468"/>
    <n v="42215"/>
  </r>
  <r>
    <s v="34"/>
    <s v="67439"/>
    <s v="0135343"/>
    <s v="1848"/>
    <s v="D"/>
    <s v="Growth Public"/>
    <x v="1"/>
    <s v="Growth Public"/>
    <s v="34 67439 0135343"/>
    <n v="0.57909999999999995"/>
    <n v="1"/>
    <n v="278"/>
    <n v="161"/>
    <n v="30719"/>
    <n v="12625"/>
    <n v="43344"/>
  </r>
  <r>
    <s v="34"/>
    <s v="67439"/>
    <s v="0137406"/>
    <s v="1948"/>
    <s v="D"/>
    <s v="SAVA - Sacramento Academic and Vocational Academy - SCUSD"/>
    <x v="1"/>
    <s v="Oak Ridge Elementary"/>
    <s v="34 67439 6034185"/>
    <n v="0.96040000000000003"/>
    <n v="1"/>
    <n v="709"/>
    <n v="624"/>
    <n v="78346"/>
    <n v="48933"/>
    <n v="127279"/>
  </r>
  <r>
    <s v="34"/>
    <s v="67439"/>
    <s v="6033799"/>
    <s v="0018"/>
    <s v="L"/>
    <s v="Bowling Green Elementary"/>
    <x v="1"/>
    <s v="Bowling Green Elementary"/>
    <s v="34 67439 6033799"/>
    <n v="0.89290000000000003"/>
    <n v="1"/>
    <n v="731"/>
    <n v="653"/>
    <n v="80777"/>
    <n v="51208"/>
    <n v="131985"/>
  </r>
  <r>
    <s v="34"/>
    <s v="67447"/>
    <s v="0000000"/>
    <s v="N/A"/>
    <s v="N/A"/>
    <s v="San Juan Unified"/>
    <x v="3"/>
    <s v="Dyer-Kelly Elementary"/>
    <s v="34 67447 6034524"/>
    <n v="0.94269999999999998"/>
    <n v="69"/>
    <n v="38632"/>
    <n v="21099"/>
    <n v="4268899"/>
    <n v="1654566"/>
    <n v="5923465"/>
  </r>
  <r>
    <s v="34"/>
    <s v="67447"/>
    <s v="0112169"/>
    <s v="0776"/>
    <s v="D"/>
    <s v="California Montessori Project-San Juan Campuses"/>
    <x v="1"/>
    <s v="California Montessori Project-San Juan Campuses"/>
    <s v="34 67447 0112169"/>
    <n v="0.27839999999999998"/>
    <n v="1"/>
    <n v="1426"/>
    <n v="397"/>
    <n v="157575"/>
    <n v="31132"/>
    <n v="188707"/>
  </r>
  <r>
    <s v="34"/>
    <s v="67447"/>
    <s v="0114983"/>
    <s v="0946"/>
    <s v="D"/>
    <s v="Golden Valley River"/>
    <x v="1"/>
    <s v="Golden Valley River"/>
    <s v="34 67447 0114983"/>
    <n v="0.33119999999999999"/>
    <n v="1"/>
    <n v="314"/>
    <n v="104"/>
    <n v="34698"/>
    <n v="8156"/>
    <n v="42854"/>
  </r>
  <r>
    <s v="34"/>
    <s v="67447"/>
    <s v="0120469"/>
    <s v="1554"/>
    <s v="D"/>
    <s v="Aspire Alexander Twilight College Preparatory Academy"/>
    <x v="1"/>
    <s v="Aspire Alexander Twilight College Preparatory Academy"/>
    <s v="34 67447 0120469"/>
    <n v="0.83450000000000002"/>
    <n v="1"/>
    <n v="429"/>
    <n v="358"/>
    <n v="47405"/>
    <n v="28074"/>
    <n v="75479"/>
  </r>
  <r>
    <s v="34"/>
    <s v="67447"/>
    <s v="0121467"/>
    <s v="1555"/>
    <s v="D"/>
    <s v="Aspire Alexander Twilight Secondary Academy"/>
    <x v="1"/>
    <s v="Aspire Alexander Twilight Secondary Academy"/>
    <s v="34 67447 0121467"/>
    <n v="0.8911"/>
    <n v="1"/>
    <n v="505"/>
    <n v="450"/>
    <n v="55803"/>
    <n v="35289"/>
    <n v="91092"/>
  </r>
  <r>
    <s v="34"/>
    <s v="67447"/>
    <s v="0128124"/>
    <s v="1563"/>
    <s v="D"/>
    <s v="Gateway International"/>
    <x v="1"/>
    <s v="Gateway International"/>
    <s v="34 67447 0128124"/>
    <n v="0.77470000000000006"/>
    <n v="1"/>
    <n v="577"/>
    <n v="447"/>
    <n v="63759"/>
    <n v="35053"/>
    <n v="98812"/>
  </r>
  <r>
    <s v="34"/>
    <s v="67447"/>
    <s v="0132399"/>
    <s v="1728"/>
    <s v="D"/>
    <s v="Golden Valley Orchard"/>
    <x v="1"/>
    <s v="Golden Valley Orchard"/>
    <s v="34 67447 0132399"/>
    <n v="0.29749999999999999"/>
    <n v="1"/>
    <n v="279"/>
    <n v="83"/>
    <n v="30830"/>
    <n v="6509"/>
    <n v="37339"/>
  </r>
  <r>
    <s v="34"/>
    <s v="67447"/>
    <s v="3430691"/>
    <s v="0217"/>
    <s v="D"/>
    <s v="Options for Youth-San Juan"/>
    <x v="1"/>
    <s v="Oak Ridge Elementary"/>
    <s v="34 67439 6034185"/>
    <n v="0.96040000000000003"/>
    <n v="1"/>
    <n v="796"/>
    <n v="627"/>
    <n v="87959"/>
    <n v="49169"/>
    <n v="137128"/>
  </r>
  <r>
    <s v="34"/>
    <s v="67447"/>
    <s v="3430717"/>
    <s v="0248"/>
    <s v="D"/>
    <s v="Visions In Education"/>
    <x v="1"/>
    <s v="Visions In Education"/>
    <s v="34 67447 3430717"/>
    <n v="0.54920000000000002"/>
    <n v="1"/>
    <n v="6591"/>
    <n v="3620"/>
    <n v="728316"/>
    <n v="283877"/>
    <n v="1012193"/>
  </r>
  <r>
    <s v="34"/>
    <s v="67447"/>
    <s v="3430758"/>
    <s v="0275"/>
    <s v="L"/>
    <s v="San Juan Choices Charter"/>
    <x v="1"/>
    <s v="San Juan Choices Charter"/>
    <s v="34 67447 3430758"/>
    <n v="0.53920000000000001"/>
    <n v="1"/>
    <n v="217"/>
    <n v="117"/>
    <n v="23979"/>
    <n v="9175"/>
    <n v="33154"/>
  </r>
  <r>
    <s v="34"/>
    <s v="73973"/>
    <s v="0000000"/>
    <s v="N/A"/>
    <s v="N/A"/>
    <s v="Center Joint Unified"/>
    <x v="3"/>
    <s v="Cyril Spinelli Elementary"/>
    <s v="34 73973 6032924"/>
    <n v="0.70279999999999998"/>
    <n v="9"/>
    <n v="4233"/>
    <n v="2503"/>
    <n v="467754"/>
    <n v="196282"/>
    <n v="664036"/>
  </r>
  <r>
    <s v="34"/>
    <s v="75283"/>
    <s v="0000000"/>
    <s v="N/A"/>
    <s v="N/A"/>
    <s v="Natomas Unified"/>
    <x v="3"/>
    <s v="Bannon Creek"/>
    <s v="34 75283 6107981"/>
    <n v="0.80089999999999995"/>
    <n v="16"/>
    <n v="11273"/>
    <n v="6179"/>
    <n v="1245685"/>
    <n v="484549"/>
    <n v="1730234"/>
  </r>
  <r>
    <s v="34"/>
    <s v="75283"/>
    <s v="0108860"/>
    <s v="0711"/>
    <s v="L"/>
    <s v="Westlake Charter"/>
    <x v="1"/>
    <s v="Westlake Charter"/>
    <s v="34 75283 0108860"/>
    <n v="0.33600000000000002"/>
    <n v="1"/>
    <n v="1247"/>
    <n v="419"/>
    <n v="137796"/>
    <n v="32858"/>
    <n v="170654"/>
  </r>
  <r>
    <s v="34"/>
    <s v="75283"/>
    <s v="0112425"/>
    <s v="0823"/>
    <s v="L"/>
    <s v="Natomas Pacific Pathways Prep"/>
    <x v="1"/>
    <s v="Oak Ridge Elementary"/>
    <s v="34 67439 6034185"/>
    <n v="0.96040000000000003"/>
    <n v="1"/>
    <n v="621"/>
    <n v="223"/>
    <n v="68622"/>
    <n v="17487"/>
    <n v="86109"/>
  </r>
  <r>
    <s v="34"/>
    <s v="75283"/>
    <s v="0120113"/>
    <s v="1106"/>
    <s v="L"/>
    <s v="Natomas Pacific Pathways Prep Middle"/>
    <x v="1"/>
    <s v="Oak Ridge Elementary"/>
    <s v="34 67439 6034185"/>
    <n v="0.96040000000000003"/>
    <n v="1"/>
    <n v="513"/>
    <n v="196"/>
    <n v="56687"/>
    <n v="15370"/>
    <n v="72057"/>
  </r>
  <r>
    <s v="34"/>
    <s v="75283"/>
    <s v="0126060"/>
    <s v="1405"/>
    <s v="L"/>
    <s v="Leroy Greene Academy"/>
    <x v="1"/>
    <s v="Leroy Greene Academy"/>
    <s v="34 75283 0126060"/>
    <n v="0.44429999999999997"/>
    <n v="1"/>
    <n v="754"/>
    <n v="335"/>
    <n v="83318"/>
    <n v="26270"/>
    <n v="109588"/>
  </r>
  <r>
    <s v="34"/>
    <s v="75283"/>
    <s v="0134049"/>
    <s v="1803"/>
    <s v="L"/>
    <s v="Natomas Pacific Pathways Prep Elementary"/>
    <x v="1"/>
    <s v="Natomas Pacific Pathways Prep Elementary"/>
    <s v="34 75283 0134049"/>
    <n v="0.32269999999999999"/>
    <n v="1"/>
    <n v="440"/>
    <n v="142"/>
    <n v="48621"/>
    <n v="11135"/>
    <n v="59756"/>
  </r>
  <r>
    <s v="34"/>
    <s v="75283"/>
    <s v="3430659"/>
    <s v="0019"/>
    <s v="D"/>
    <s v="Natomas Charter"/>
    <x v="1"/>
    <s v="Natomas Charter"/>
    <s v="34 75283 3430659"/>
    <n v="0.21510000000000001"/>
    <n v="1"/>
    <n v="1869"/>
    <n v="402"/>
    <n v="206528"/>
    <n v="31524"/>
    <n v="238052"/>
  </r>
  <r>
    <s v="34"/>
    <s v="76505"/>
    <s v="0000000"/>
    <s v="N/A"/>
    <s v="N/A"/>
    <s v="Twin Rivers Unified"/>
    <x v="3"/>
    <s v="Madison Elementary"/>
    <s v="34 76505 6033542"/>
    <n v="0.95330000000000004"/>
    <n v="41"/>
    <n v="22497"/>
    <n v="19910"/>
    <n v="2485958"/>
    <n v="1561320"/>
    <n v="4047278"/>
  </r>
  <r>
    <s v="34"/>
    <s v="76505"/>
    <s v="0101766"/>
    <s v="0561"/>
    <s v="D"/>
    <s v="Community Outreach Academy"/>
    <x v="1"/>
    <s v="Community Outreach Academy"/>
    <s v="34 76505 0101766"/>
    <n v="0.82499999999999996"/>
    <n v="1"/>
    <n v="1714"/>
    <n v="1414"/>
    <n v="189400"/>
    <n v="110884"/>
    <n v="300284"/>
  </r>
  <r>
    <s v="34"/>
    <s v="76505"/>
    <s v="0101832"/>
    <s v="0560"/>
    <s v="D"/>
    <s v="Futures High"/>
    <x v="1"/>
    <s v="Oak Ridge Elementary"/>
    <s v="34 67439 6034185"/>
    <n v="0.96040000000000003"/>
    <n v="1"/>
    <n v="459"/>
    <n v="422"/>
    <n v="50720"/>
    <n v="33093"/>
    <n v="83813"/>
  </r>
  <r>
    <s v="34"/>
    <s v="76505"/>
    <s v="0108415"/>
    <s v="0687"/>
    <s v="D"/>
    <s v="Heritage Peak Charter"/>
    <x v="1"/>
    <s v="Heritage Peak Charter"/>
    <s v="34 76505 0108415"/>
    <n v="0.4647"/>
    <n v="1"/>
    <n v="1106"/>
    <n v="514"/>
    <n v="122215"/>
    <n v="40307"/>
    <n v="162522"/>
  </r>
  <r>
    <s v="34"/>
    <s v="76505"/>
    <s v="0108795"/>
    <s v="0686"/>
    <s v="L"/>
    <s v="Creative Connections Arts Academy"/>
    <x v="1"/>
    <s v="Creative Connections Arts Academy"/>
    <s v="34 76505 0108795"/>
    <n v="0.75980000000000003"/>
    <n v="1"/>
    <n v="691"/>
    <n v="525"/>
    <n v="76357"/>
    <n v="41170"/>
    <n v="117527"/>
  </r>
  <r>
    <s v="34"/>
    <s v="76505"/>
    <s v="0108837"/>
    <s v="0699"/>
    <s v="D"/>
    <s v="Community Collaborative Charter"/>
    <x v="1"/>
    <s v="Community Collaborative Charter"/>
    <s v="34 76505 0108837"/>
    <n v="0.82840000000000003"/>
    <n v="1"/>
    <n v="606"/>
    <n v="502"/>
    <n v="66964"/>
    <n v="39366"/>
    <n v="106330"/>
  </r>
  <r>
    <s v="34"/>
    <s v="76505"/>
    <s v="0113878"/>
    <s v="0862"/>
    <s v="D"/>
    <s v="Higher Learning Academy"/>
    <x v="1"/>
    <s v="Higher Learning Academy"/>
    <s v="34 76505 0113878"/>
    <n v="0.86119999999999997"/>
    <n v="1"/>
    <n v="533"/>
    <n v="459"/>
    <n v="58897"/>
    <n v="35994"/>
    <n v="94891"/>
  </r>
  <r>
    <s v="34"/>
    <s v="76505"/>
    <s v="0114272"/>
    <s v="0878"/>
    <s v="D"/>
    <s v="SAVA: Sacramento Academic and Vocational Academy"/>
    <x v="1"/>
    <s v="Oak Ridge Elementary"/>
    <s v="34 67439 6034185"/>
    <n v="0.96040000000000003"/>
    <n v="1"/>
    <n v="176"/>
    <n v="142"/>
    <n v="19448"/>
    <n v="11135"/>
    <n v="30583"/>
  </r>
  <r>
    <s v="34"/>
    <s v="76505"/>
    <s v="0130757"/>
    <s v="1674"/>
    <s v="D"/>
    <s v="Highlands Community Charter"/>
    <x v="1"/>
    <s v="Highlands Community Charter"/>
    <s v="34 76505 0130757"/>
    <n v="0.85489999999999999"/>
    <n v="1"/>
    <n v="6749"/>
    <n v="5770"/>
    <n v="745776"/>
    <n v="452477"/>
    <n v="1198253"/>
  </r>
  <r>
    <s v="34"/>
    <s v="76505"/>
    <s v="0139584"/>
    <s v="2072"/>
    <s v="D"/>
    <s v="California Innovative Career Academy"/>
    <x v="1"/>
    <s v="California Innovative Career Academy"/>
    <s v="34 76505 0139584"/>
    <n v="0.84740000000000004"/>
    <n v="1"/>
    <n v="2202"/>
    <n v="1866"/>
    <n v="243325"/>
    <n v="146330"/>
    <n v="389655"/>
  </r>
  <r>
    <s v="34"/>
    <s v="76505"/>
    <s v="6033336"/>
    <s v="0796"/>
    <s v="L"/>
    <s v="Smythe Academy of Arts and Sciences"/>
    <x v="1"/>
    <s v="Smythe Academy of Arts and Sciences"/>
    <s v="34 76505 6033336"/>
    <n v="0.90339999999999998"/>
    <n v="1"/>
    <n v="1077"/>
    <n v="973"/>
    <n v="119010"/>
    <n v="76302"/>
    <n v="195312"/>
  </r>
  <r>
    <s v="34"/>
    <s v="76505"/>
    <s v="6112643"/>
    <s v="0073"/>
    <s v="L"/>
    <s v="Westside Preparatory Charter"/>
    <x v="1"/>
    <s v="Oak Ridge Elementary"/>
    <s v="34 67439 6034185"/>
    <n v="0.96040000000000003"/>
    <n v="1"/>
    <n v="392"/>
    <n v="294"/>
    <n v="43317"/>
    <n v="23055"/>
    <n v="66372"/>
  </r>
  <r>
    <s v="35"/>
    <s v="10355"/>
    <s v="0000000"/>
    <s v="N/A"/>
    <s v="N/A"/>
    <s v="San Benito Co. Office of Education"/>
    <x v="0"/>
    <s v="Jefferson Elementary"/>
    <s v="35 67488 6035059"/>
    <n v="1"/>
    <n v="5"/>
    <n v="134"/>
    <n v="130"/>
    <n v="14808"/>
    <n v="10195"/>
    <n v="25003"/>
  </r>
  <r>
    <s v="35"/>
    <s v="67454"/>
    <s v="0000000"/>
    <s v="N/A"/>
    <s v="N/A"/>
    <s v="Bitterwater-Tully Elementary"/>
    <x v="3"/>
    <s v="Bitterwater-Tully Elementary"/>
    <s v="35 67454 6035000"/>
    <n v="0.36670000000000003"/>
    <n v="2"/>
    <n v="30"/>
    <n v="11"/>
    <n v="3315"/>
    <n v="863"/>
    <n v="4178"/>
  </r>
  <r>
    <s v="35"/>
    <s v="67462"/>
    <s v="0000000"/>
    <s v="N/A"/>
    <s v="N/A"/>
    <s v="Cienega Union Elementary"/>
    <x v="3"/>
    <s v="Cienega Elementary"/>
    <s v="35 67462 6035018"/>
    <n v="0.52380000000000004"/>
    <n v="2"/>
    <n v="21"/>
    <n v="11"/>
    <n v="2321"/>
    <n v="863"/>
    <n v="3184"/>
  </r>
  <r>
    <s v="35"/>
    <s v="67470"/>
    <s v="0000000"/>
    <s v="N/A"/>
    <s v="N/A"/>
    <s v="Hollister"/>
    <x v="3"/>
    <s v="R. O. Hardin Elementary"/>
    <s v="35 67470 6035034"/>
    <n v="0.73519999999999996"/>
    <n v="11"/>
    <n v="5670"/>
    <n v="2970"/>
    <n v="626543"/>
    <n v="232904"/>
    <n v="859447"/>
  </r>
  <r>
    <s v="35"/>
    <s v="67470"/>
    <s v="0127688"/>
    <s v="1507"/>
    <s v="D"/>
    <s v="Hollister Prep"/>
    <x v="1"/>
    <s v="Hollister Prep"/>
    <s v="35 67470 0127688"/>
    <n v="0.50090000000000001"/>
    <n v="1"/>
    <n v="539"/>
    <n v="270"/>
    <n v="59560"/>
    <n v="21173"/>
    <n v="80733"/>
  </r>
  <r>
    <s v="35"/>
    <s v="67488"/>
    <s v="0000000"/>
    <s v="N/A"/>
    <s v="N/A"/>
    <s v="Jefferson Elementary"/>
    <x v="3"/>
    <s v="Jefferson Elementary"/>
    <s v="35 67488 6035059"/>
    <n v="1"/>
    <n v="2"/>
    <n v="3"/>
    <n v="3"/>
    <n v="332"/>
    <n v="235"/>
    <n v="567"/>
  </r>
  <r>
    <s v="35"/>
    <s v="67504"/>
    <s v="0000000"/>
    <s v="N/A"/>
    <s v="N/A"/>
    <s v="North County Joint Union Elementary"/>
    <x v="3"/>
    <s v="Spring Grove Elementary"/>
    <s v="35 67504 6095202"/>
    <n v="0.39700000000000002"/>
    <n v="2"/>
    <n v="743"/>
    <n v="295"/>
    <n v="82103"/>
    <n v="23134"/>
    <n v="105237"/>
  </r>
  <r>
    <s v="35"/>
    <s v="67520"/>
    <s v="0000000"/>
    <s v="N/A"/>
    <s v="N/A"/>
    <s v="Panoche Elementary"/>
    <x v="3"/>
    <s v="Panoche Elementary"/>
    <s v="35 67520 6035109"/>
    <n v="0.75"/>
    <n v="2"/>
    <n v="8"/>
    <n v="6"/>
    <n v="884"/>
    <n v="471"/>
    <n v="1355"/>
  </r>
  <r>
    <s v="35"/>
    <s v="67538"/>
    <s v="0000000"/>
    <s v="N/A"/>
    <s v="N/A"/>
    <s v="San Benito High"/>
    <x v="3"/>
    <s v="Jefferson Elementary"/>
    <s v="35 67488 6035059"/>
    <n v="1"/>
    <n v="3"/>
    <n v="3556"/>
    <n v="1604"/>
    <n v="392944"/>
    <n v="125784"/>
    <n v="518728"/>
  </r>
  <r>
    <s v="35"/>
    <s v="67553"/>
    <s v="0000000"/>
    <s v="N/A"/>
    <s v="N/A"/>
    <s v="Southside Elementary"/>
    <x v="3"/>
    <s v="Southside Elementary"/>
    <s v="35 67553 6035133"/>
    <n v="0.42059999999999997"/>
    <n v="2"/>
    <n v="233"/>
    <n v="98"/>
    <n v="25747"/>
    <n v="7685"/>
    <n v="33432"/>
  </r>
  <r>
    <s v="35"/>
    <s v="67561"/>
    <s v="0000000"/>
    <s v="N/A"/>
    <s v="N/A"/>
    <s v="Tres Pinos Union Elementary"/>
    <x v="3"/>
    <s v="Tres Pinos Elementary"/>
    <s v="35 67561 6035141"/>
    <n v="0.54900000000000004"/>
    <n v="2"/>
    <n v="51"/>
    <n v="28"/>
    <n v="5636"/>
    <n v="2196"/>
    <n v="7832"/>
  </r>
  <r>
    <s v="35"/>
    <s v="67579"/>
    <s v="0000000"/>
    <s v="N/A"/>
    <s v="N/A"/>
    <s v="Willow Grove Union Elementary"/>
    <x v="3"/>
    <s v="Willow Grove Elementary"/>
    <s v="35 67579 6035158"/>
    <n v="0.85"/>
    <n v="2"/>
    <n v="20"/>
    <n v="17"/>
    <n v="2210"/>
    <n v="1333"/>
    <n v="3543"/>
  </r>
  <r>
    <s v="35"/>
    <s v="75259"/>
    <s v="0000000"/>
    <s v="N/A"/>
    <s v="N/A"/>
    <s v="Aromas - San Juan Unified"/>
    <x v="3"/>
    <s v="San Juan"/>
    <s v="35 75259 6035117"/>
    <n v="0.48060000000000003"/>
    <n v="4"/>
    <n v="1032"/>
    <n v="503"/>
    <n v="114037"/>
    <n v="39444"/>
    <n v="153481"/>
  </r>
  <r>
    <s v="36"/>
    <s v="10363"/>
    <s v="0000000"/>
    <s v="N/A"/>
    <s v="N/A"/>
    <s v="San Bernardino Co. Office of Education"/>
    <x v="0"/>
    <s v="Woodward Leadership Academy"/>
    <s v="36 67876 0126714"/>
    <n v="0.98809999999999998"/>
    <n v="4"/>
    <n v="4054"/>
    <n v="3635"/>
    <n v="447974"/>
    <n v="285053"/>
    <n v="733027"/>
  </r>
  <r>
    <s v="36"/>
    <s v="10363"/>
    <s v="0115808"/>
    <s v="0903"/>
    <s v="D"/>
    <s v="Norton Science and Language Academy"/>
    <x v="1"/>
    <s v="Norton Science and Language Academy"/>
    <s v="36 10363 0115808"/>
    <n v="0.77400000000000002"/>
    <n v="1"/>
    <n v="1106"/>
    <n v="856"/>
    <n v="122215"/>
    <n v="67127"/>
    <n v="189342"/>
  </r>
  <r>
    <s v="36"/>
    <s v="10363"/>
    <s v="0139147"/>
    <s v="2036"/>
    <s v="D"/>
    <s v="Sycamore Academy of Science and Cultural Arts - Chino Valley"/>
    <x v="1"/>
    <s v="Sycamore Academy of Science and Cultural Arts - Chino Valley"/>
    <s v="36 10363 0139147"/>
    <n v="0.40839999999999999"/>
    <n v="1"/>
    <n v="311"/>
    <n v="127"/>
    <n v="34366"/>
    <n v="9959"/>
    <n v="44325"/>
  </r>
  <r>
    <s v="36"/>
    <s v="10363"/>
    <s v="0140012"/>
    <s v="2095"/>
    <s v="D"/>
    <s v="Entrepreneur High Fontana"/>
    <x v="1"/>
    <s v="Woodward Leadership Academy"/>
    <s v="36 67876 0126714"/>
    <n v="0.98809999999999998"/>
    <n v="1"/>
    <n v="286"/>
    <n v="213"/>
    <n v="31603"/>
    <n v="16703"/>
    <n v="48306"/>
  </r>
  <r>
    <s v="36"/>
    <s v="10363"/>
    <s v="3630761"/>
    <s v="1910"/>
    <s v="D"/>
    <s v="Excelsior Charter"/>
    <x v="1"/>
    <s v="Woodward Leadership Academy"/>
    <s v="36 67876 0126714"/>
    <n v="0.98809999999999998"/>
    <n v="1"/>
    <n v="2180"/>
    <n v="1376"/>
    <n v="240894"/>
    <n v="107905"/>
    <n v="348799"/>
  </r>
  <r>
    <s v="36"/>
    <s v="10363"/>
    <s v="6111918"/>
    <s v="1522"/>
    <s v="D"/>
    <s v="Desert Trails Preparatory Academy"/>
    <x v="1"/>
    <s v="Desert Trails Preparatory Academy"/>
    <s v="36 10363 6111918"/>
    <n v="0.80459999999999998"/>
    <n v="1"/>
    <n v="527"/>
    <n v="424"/>
    <n v="58234"/>
    <n v="33250"/>
    <n v="91484"/>
  </r>
  <r>
    <s v="36"/>
    <s v="67587"/>
    <s v="0000000"/>
    <s v="N/A"/>
    <s v="N/A"/>
    <s v="Adelanto Elementary"/>
    <x v="3"/>
    <s v="Adelanto Elementary"/>
    <s v="36 67587 6035174"/>
    <n v="0.91290000000000004"/>
    <n v="16"/>
    <n v="7742"/>
    <n v="5915"/>
    <n v="855503"/>
    <n v="463848"/>
    <n v="1319351"/>
  </r>
  <r>
    <s v="36"/>
    <s v="67587"/>
    <s v="0128462"/>
    <s v="1520"/>
    <s v="D"/>
    <s v="Taylion High Desert Academy/Adelanto"/>
    <x v="1"/>
    <s v="Taylion High Desert Academy/Adelanto"/>
    <s v="36 67587 0128462"/>
    <n v="0.85350000000000004"/>
    <n v="1"/>
    <n v="471"/>
    <n v="402"/>
    <n v="52046"/>
    <n v="31524"/>
    <n v="83570"/>
  </r>
  <r>
    <s v="36"/>
    <s v="67595"/>
    <s v="0000000"/>
    <s v="N/A"/>
    <s v="N/A"/>
    <s v="Alta Loma Elementary"/>
    <x v="3"/>
    <s v="Alta Loma Elementary"/>
    <s v="36 67595 6035216"/>
    <n v="0.50890000000000002"/>
    <n v="11"/>
    <n v="5528"/>
    <n v="2004"/>
    <n v="610852"/>
    <n v="157151"/>
    <n v="768003"/>
  </r>
  <r>
    <s v="36"/>
    <s v="67611"/>
    <s v="0000000"/>
    <s v="N/A"/>
    <s v="N/A"/>
    <s v="Barstow Unified"/>
    <x v="3"/>
    <s v="Cameron Elementary"/>
    <s v="36 67611 6035299"/>
    <n v="0.89490000000000003"/>
    <n v="15"/>
    <n v="6394"/>
    <n v="4792"/>
    <n v="706547"/>
    <n v="375785"/>
    <n v="1082332"/>
  </r>
  <r>
    <s v="36"/>
    <s v="67637"/>
    <s v="0000000"/>
    <s v="N/A"/>
    <s v="N/A"/>
    <s v="Bear Valley Unified"/>
    <x v="3"/>
    <s v="North Shore Elementary"/>
    <s v="36 67637 6067052"/>
    <n v="0.70940000000000003"/>
    <n v="7"/>
    <n v="2146"/>
    <n v="1476"/>
    <n v="237136"/>
    <n v="115747"/>
    <n v="352883"/>
  </r>
  <r>
    <s v="36"/>
    <s v="67645"/>
    <s v="0000000"/>
    <s v="N/A"/>
    <s v="N/A"/>
    <s v="Central Elementary"/>
    <x v="3"/>
    <s v="Bear Gulch Elementary"/>
    <s v="36 67645 6104525"/>
    <n v="0.81599999999999995"/>
    <n v="8"/>
    <n v="4269"/>
    <n v="2823"/>
    <n v="471732"/>
    <n v="221377"/>
    <n v="693109"/>
  </r>
  <r>
    <s v="36"/>
    <s v="67652"/>
    <s v="0000000"/>
    <s v="N/A"/>
    <s v="N/A"/>
    <s v="Chaffey Joint Union High"/>
    <x v="3"/>
    <s v="Woodward Leadership Academy"/>
    <s v="36 67876 0126714"/>
    <n v="0.98809999999999998"/>
    <n v="12"/>
    <n v="23058"/>
    <n v="14078"/>
    <n v="2547948"/>
    <n v="1103980"/>
    <n v="3651928"/>
  </r>
  <r>
    <s v="36"/>
    <s v="67678"/>
    <s v="0000000"/>
    <s v="N/A"/>
    <s v="N/A"/>
    <s v="Chino Valley Unified"/>
    <x v="3"/>
    <s v="Anna A. Borba Fundamental Elementary"/>
    <s v="36 67678 6098362"/>
    <n v="0.93310000000000004"/>
    <n v="35"/>
    <n v="25723"/>
    <n v="12375"/>
    <n v="2842436"/>
    <n v="970434"/>
    <n v="3812870"/>
  </r>
  <r>
    <s v="36"/>
    <s v="67678"/>
    <s v="0137547"/>
    <s v="1945"/>
    <s v="D"/>
    <s v="Allegiance STEAM Academy - Thrive"/>
    <x v="1"/>
    <s v="Allegiance STEAM Academy - Thrive"/>
    <s v="36 67678 0137547"/>
    <n v="0.32529999999999998"/>
    <n v="1"/>
    <n v="956"/>
    <n v="311"/>
    <n v="105640"/>
    <n v="24388"/>
    <n v="130028"/>
  </r>
  <r>
    <s v="36"/>
    <s v="67686"/>
    <s v="0000000"/>
    <s v="N/A"/>
    <s v="N/A"/>
    <s v="Colton Joint Unified"/>
    <x v="3"/>
    <s v="Walter Zimmerman Elementary"/>
    <s v="36 67686 6035729"/>
    <n v="0.94989999999999997"/>
    <n v="29"/>
    <n v="19640"/>
    <n v="16291"/>
    <n v="2170251"/>
    <n v="1277525"/>
    <n v="3447776"/>
  </r>
  <r>
    <s v="36"/>
    <s v="67694"/>
    <s v="0000000"/>
    <s v="N/A"/>
    <s v="N/A"/>
    <s v="Cucamonga Elementary"/>
    <x v="3"/>
    <s v="Cucamonga Elementary"/>
    <s v="36 67694 6035752"/>
    <n v="0.69440000000000002"/>
    <n v="5"/>
    <n v="2342"/>
    <n v="1536"/>
    <n v="258794"/>
    <n v="120451"/>
    <n v="379245"/>
  </r>
  <r>
    <s v="36"/>
    <s v="67702"/>
    <s v="0000000"/>
    <s v="N/A"/>
    <s v="N/A"/>
    <s v="Etiwanda Elementary"/>
    <x v="3"/>
    <s v="West Heritage Elementary"/>
    <s v="36 67702 6108005"/>
    <n v="0.66769999999999996"/>
    <n v="19"/>
    <n v="13476"/>
    <n v="6940"/>
    <n v="1489120"/>
    <n v="544227"/>
    <n v="2033347"/>
  </r>
  <r>
    <s v="36"/>
    <s v="67710"/>
    <s v="0000000"/>
    <s v="N/A"/>
    <s v="N/A"/>
    <s v="Fontana Unified"/>
    <x v="3"/>
    <s v="Juniper Elementary"/>
    <s v="36 67710 6035794"/>
    <n v="0.90810000000000002"/>
    <n v="45"/>
    <n v="35219"/>
    <n v="27398"/>
    <n v="3891759"/>
    <n v="2148526"/>
    <n v="6040285"/>
  </r>
  <r>
    <s v="36"/>
    <s v="67710"/>
    <s v="0141952"/>
    <s v="2130"/>
    <s v="D"/>
    <s v="Allegiance STEAM Academy - Thrive, Fontana"/>
    <x v="1"/>
    <s v="Allegiance STEAM Academy - Thrive, Fontana"/>
    <s v="36 67710 0141952"/>
    <n v="0"/>
    <n v="1"/>
    <n v="0"/>
    <n v="0"/>
    <n v="0"/>
    <n v="0"/>
    <n v="0"/>
  </r>
  <r>
    <s v="36"/>
    <s v="67736"/>
    <s v="0000000"/>
    <s v="N/A"/>
    <s v="N/A"/>
    <s v="Helendale Elementary"/>
    <x v="3"/>
    <s v="Helendale Elementary"/>
    <s v="36 67736 6035935"/>
    <n v="0.55769999999999997"/>
    <n v="3"/>
    <n v="678"/>
    <n v="374"/>
    <n v="74920"/>
    <n v="29329"/>
    <n v="104249"/>
  </r>
  <r>
    <s v="36"/>
    <s v="67736"/>
    <s v="0116723"/>
    <s v="0968"/>
    <s v="L"/>
    <s v="Academy of Careers and Exploration"/>
    <x v="1"/>
    <s v="Woodward Leadership Academy"/>
    <s v="36 67876 0126714"/>
    <n v="0.98809999999999998"/>
    <n v="1"/>
    <n v="294"/>
    <n v="137"/>
    <n v="32487"/>
    <n v="10743"/>
    <n v="43230"/>
  </r>
  <r>
    <s v="36"/>
    <s v="67736"/>
    <s v="0128439"/>
    <s v="1592"/>
    <s v="D"/>
    <s v="Empire Springs Charter"/>
    <x v="1"/>
    <s v="Empire Springs Charter"/>
    <s v="36 67736 0128439"/>
    <n v="0.51570000000000005"/>
    <n v="1"/>
    <n v="1497"/>
    <n v="772"/>
    <n v="165421"/>
    <n v="60539"/>
    <n v="225960"/>
  </r>
  <r>
    <s v="36"/>
    <s v="67736"/>
    <s v="0130948"/>
    <s v="1679"/>
    <s v="L"/>
    <s v="Independence Charter Academy"/>
    <x v="1"/>
    <s v="Independence Charter Academy"/>
    <s v="36 67736 0130948"/>
    <n v="0.68700000000000006"/>
    <n v="1"/>
    <n v="131"/>
    <n v="90"/>
    <n v="14476"/>
    <n v="7058"/>
    <n v="21534"/>
  </r>
  <r>
    <s v="36"/>
    <s v="67736"/>
    <s v="0136069"/>
    <s v="1885"/>
    <s v="D"/>
    <s v="Sage Oak Charter"/>
    <x v="1"/>
    <s v="Sage Oak Charter"/>
    <s v="36 67736 0136069"/>
    <n v="0.38119999999999998"/>
    <n v="1"/>
    <n v="3048"/>
    <n v="1162"/>
    <n v="336809"/>
    <n v="91123"/>
    <n v="427932"/>
  </r>
  <r>
    <s v="36"/>
    <s v="67736"/>
    <s v="0136937"/>
    <s v="1919"/>
    <s v="D"/>
    <s v="Vista Norte Public Charter School"/>
    <x v="1"/>
    <s v="Vista Norte Public Charter School"/>
    <s v="36 67736 0136937"/>
    <n v="0.76859999999999995"/>
    <n v="1"/>
    <n v="631"/>
    <n v="485"/>
    <n v="69727"/>
    <n v="38033"/>
    <n v="107760"/>
  </r>
  <r>
    <s v="36"/>
    <s v="67736"/>
    <s v="0139576"/>
    <s v="2073"/>
    <s v="D"/>
    <s v="Excel Academy Charter"/>
    <x v="1"/>
    <s v="Excel Academy Charter"/>
    <s v="36 67736 0139576"/>
    <n v="0.49719999999999998"/>
    <n v="1"/>
    <n v="545"/>
    <n v="271"/>
    <n v="60223"/>
    <n v="21252"/>
    <n v="81475"/>
  </r>
  <r>
    <s v="36"/>
    <s v="67777"/>
    <s v="0000000"/>
    <s v="N/A"/>
    <s v="N/A"/>
    <s v="Morongo Unified"/>
    <x v="3"/>
    <s v="Palm Vista Elementary"/>
    <s v="36 67777 6036016"/>
    <n v="0.80159999999999998"/>
    <n v="18"/>
    <n v="7464"/>
    <n v="4914"/>
    <n v="824786"/>
    <n v="385349"/>
    <n v="1210135"/>
  </r>
  <r>
    <s v="36"/>
    <s v="67785"/>
    <s v="0000000"/>
    <s v="N/A"/>
    <s v="N/A"/>
    <s v="Mountain View Elementary"/>
    <x v="3"/>
    <s v="Mountain View Elementary"/>
    <s v="36 67785 6036057"/>
    <n v="0.63129999999999997"/>
    <n v="6"/>
    <n v="3046"/>
    <n v="1546"/>
    <n v="336587"/>
    <n v="121237"/>
    <n v="457824"/>
  </r>
  <r>
    <s v="36"/>
    <s v="67793"/>
    <s v="0000000"/>
    <s v="N/A"/>
    <s v="N/A"/>
    <s v="Mt. Baldy Joint Elementary"/>
    <x v="3"/>
    <s v="Mt. Baldy Joint Elementary"/>
    <s v="36 67793 6036065"/>
    <n v="0.3871"/>
    <n v="2"/>
    <n v="93"/>
    <n v="36"/>
    <n v="10277"/>
    <n v="2823"/>
    <n v="13100"/>
  </r>
  <r>
    <s v="36"/>
    <s v="67801"/>
    <s v="0000000"/>
    <s v="N/A"/>
    <s v="N/A"/>
    <s v="Needles Unified"/>
    <x v="3"/>
    <s v="Chemehuevi Valley Elementary"/>
    <s v="36 67801 0131888"/>
    <n v="0.85"/>
    <n v="8"/>
    <n v="955"/>
    <n v="754"/>
    <n v="105529"/>
    <n v="59128"/>
    <n v="164657"/>
  </r>
  <r>
    <s v="36"/>
    <s v="67819"/>
    <s v="0000000"/>
    <s v="N/A"/>
    <s v="N/A"/>
    <s v="Ontario-Montclair"/>
    <x v="3"/>
    <s v="Del Norte Elementary"/>
    <s v="36 67819 6036214"/>
    <n v="0.93520000000000003"/>
    <n v="34"/>
    <n v="19266"/>
    <n v="16297"/>
    <n v="2128923"/>
    <n v="1277995"/>
    <n v="3406918"/>
  </r>
  <r>
    <s v="36"/>
    <s v="67827"/>
    <s v="0000000"/>
    <s v="N/A"/>
    <s v="N/A"/>
    <s v="Oro Grande"/>
    <x v="3"/>
    <s v="Oro Grande Elementary"/>
    <s v="36 67827 6036453"/>
    <n v="0.91490000000000005"/>
    <n v="2"/>
    <n v="94"/>
    <n v="86"/>
    <n v="10387"/>
    <n v="6744"/>
    <n v="17131"/>
  </r>
  <r>
    <s v="36"/>
    <s v="67827"/>
    <s v="0113928"/>
    <s v="0855"/>
    <s v="D"/>
    <s v="Riverside Preparatory"/>
    <x v="1"/>
    <s v="Riverside Preparatory"/>
    <s v="36 67827 0113928"/>
    <n v="0.80820000000000003"/>
    <n v="1"/>
    <n v="2508"/>
    <n v="2027"/>
    <n v="277138"/>
    <n v="158955"/>
    <n v="436093"/>
  </r>
  <r>
    <s v="36"/>
    <s v="67827"/>
    <s v="0137174"/>
    <s v="1937"/>
    <s v="D"/>
    <s v="Mojave River Academy Gold Canyon"/>
    <x v="1"/>
    <s v="Mojave River Academy Gold Canyon"/>
    <s v="36 67827 0137174"/>
    <n v="0.88319999999999999"/>
    <n v="1"/>
    <n v="214"/>
    <n v="189"/>
    <n v="23647"/>
    <n v="14821"/>
    <n v="38468"/>
  </r>
  <r>
    <s v="36"/>
    <s v="67827"/>
    <s v="0137182"/>
    <s v="1938"/>
    <s v="D"/>
    <s v="Mojave River Academy National Trails"/>
    <x v="1"/>
    <s v="Mojave River Academy National Trails"/>
    <s v="36 67827 0137182"/>
    <n v="0.78320000000000001"/>
    <n v="1"/>
    <n v="655"/>
    <n v="513"/>
    <n v="72379"/>
    <n v="40229"/>
    <n v="112608"/>
  </r>
  <r>
    <s v="36"/>
    <s v="67827"/>
    <s v="0137190"/>
    <s v="1939"/>
    <s v="D"/>
    <s v="Mojave River Academy Oro Grande"/>
    <x v="1"/>
    <s v="Mojave River Academy Oro Grande"/>
    <s v="36 67827 0137190"/>
    <n v="0.84060000000000001"/>
    <n v="1"/>
    <n v="734"/>
    <n v="617"/>
    <n v="81108"/>
    <n v="48385"/>
    <n v="129493"/>
  </r>
  <r>
    <s v="36"/>
    <s v="67827"/>
    <s v="0137208"/>
    <s v="1940"/>
    <s v="D"/>
    <s v="Mojave River Academy Route 66"/>
    <x v="1"/>
    <s v="Mojave River Academy Route 66"/>
    <s v="36 67827 0137208"/>
    <n v="0.91579999999999995"/>
    <n v="1"/>
    <n v="368"/>
    <n v="337"/>
    <n v="40665"/>
    <n v="26427"/>
    <n v="67092"/>
  </r>
  <r>
    <s v="36"/>
    <s v="67827"/>
    <s v="0137216"/>
    <s v="1941"/>
    <s v="D"/>
    <s v="Mojave River Academy Rockview Park"/>
    <x v="1"/>
    <s v="Mojave River Academy Rockview Park"/>
    <s v="36 67827 0137216"/>
    <n v="0.8851"/>
    <n v="1"/>
    <n v="322"/>
    <n v="285"/>
    <n v="35582"/>
    <n v="22349"/>
    <n v="57931"/>
  </r>
  <r>
    <s v="36"/>
    <s v="67827"/>
    <s v="0137224"/>
    <s v="1942"/>
    <s v="D"/>
    <s v="Mojave River Academy Silver Mountain"/>
    <x v="1"/>
    <s v="Mojave River Academy Silver Mountain"/>
    <s v="36 67827 0137224"/>
    <n v="0.81599999999999995"/>
    <n v="1"/>
    <n v="538"/>
    <n v="439"/>
    <n v="59450"/>
    <n v="34426"/>
    <n v="93876"/>
  </r>
  <r>
    <s v="36"/>
    <s v="67827"/>
    <s v="0137232"/>
    <s v="1943"/>
    <s v="D"/>
    <s v="Mojave River Academy Marble City"/>
    <x v="1"/>
    <s v="Mojave River Academy Marble City"/>
    <s v="36 67827 0137232"/>
    <n v="0.8306"/>
    <n v="1"/>
    <n v="183"/>
    <n v="152"/>
    <n v="20222"/>
    <n v="11920"/>
    <n v="32142"/>
  </r>
  <r>
    <s v="36"/>
    <s v="67843"/>
    <s v="0000000"/>
    <s v="N/A"/>
    <s v="N/A"/>
    <s v="Redlands Unified"/>
    <x v="3"/>
    <s v="Victoria Elementary"/>
    <s v="36 67843 6036594"/>
    <n v="0.91449999999999998"/>
    <n v="26"/>
    <n v="19882"/>
    <n v="13368"/>
    <n v="2196994"/>
    <n v="1048305"/>
    <n v="3245299"/>
  </r>
  <r>
    <s v="36"/>
    <s v="67843"/>
    <s v="3630928"/>
    <s v="0180"/>
    <s v="D"/>
    <s v="Grove"/>
    <x v="1"/>
    <s v="Woodward Leadership Academy"/>
    <s v="36 67876 0126714"/>
    <n v="0.98809999999999998"/>
    <n v="1"/>
    <n v="246"/>
    <n v="53"/>
    <n v="27183"/>
    <n v="4156"/>
    <n v="31339"/>
  </r>
  <r>
    <s v="36"/>
    <s v="67850"/>
    <s v="0000000"/>
    <s v="N/A"/>
    <s v="N/A"/>
    <s v="Rialto Unified"/>
    <x v="3"/>
    <s v="Merle S. Casey Elementary"/>
    <s v="36 67850 6036628"/>
    <n v="0.89859999999999995"/>
    <n v="31"/>
    <n v="24930"/>
    <n v="20338"/>
    <n v="2754806"/>
    <n v="1594884"/>
    <n v="4349690"/>
  </r>
  <r>
    <s v="36"/>
    <s v="67868"/>
    <s v="0000000"/>
    <s v="N/A"/>
    <s v="N/A"/>
    <s v="Rim of the World Unified"/>
    <x v="3"/>
    <s v="Valley of Enchantment Elementary"/>
    <s v="36 67868 6036743"/>
    <n v="0.66969999999999996"/>
    <n v="8"/>
    <n v="2885"/>
    <n v="1647"/>
    <n v="318797"/>
    <n v="129156"/>
    <n v="447953"/>
  </r>
  <r>
    <s v="36"/>
    <s v="67876"/>
    <s v="0000000"/>
    <s v="N/A"/>
    <s v="N/A"/>
    <s v="San Bernardino City Unified"/>
    <x v="3"/>
    <s v="Juanita Blakely Jones Elementary"/>
    <s v="36 67876 0110783"/>
    <n v="0.95740000000000003"/>
    <n v="77"/>
    <n v="47072"/>
    <n v="41772"/>
    <n v="5201534"/>
    <n v="3275713"/>
    <n v="8477247"/>
  </r>
  <r>
    <s v="36"/>
    <s v="67876"/>
    <s v="0107730"/>
    <s v="0677"/>
    <s v="D"/>
    <s v="ASA Charter"/>
    <x v="1"/>
    <s v="ASA Charter"/>
    <s v="36 67876 0107730"/>
    <n v="0.90910000000000002"/>
    <n v="1"/>
    <n v="319"/>
    <n v="290"/>
    <n v="35250"/>
    <n v="22742"/>
    <n v="57992"/>
  </r>
  <r>
    <s v="36"/>
    <s v="67876"/>
    <s v="0109850"/>
    <s v="0731"/>
    <s v="D"/>
    <s v="Public Safety Academy"/>
    <x v="1"/>
    <s v="Public Safety Academy"/>
    <s v="36 67876 0109850"/>
    <n v="0.96879999999999999"/>
    <n v="1"/>
    <n v="385"/>
    <n v="373"/>
    <n v="42543"/>
    <n v="29250"/>
    <n v="71793"/>
  </r>
  <r>
    <s v="36"/>
    <s v="67876"/>
    <s v="0117192"/>
    <s v="0982"/>
    <s v="D"/>
    <s v="SOAR Charter Academy"/>
    <x v="1"/>
    <s v="SOAR Charter Academy"/>
    <s v="36 67876 0117192"/>
    <n v="0.85609999999999997"/>
    <n v="1"/>
    <n v="431"/>
    <n v="369"/>
    <n v="47626"/>
    <n v="28937"/>
    <n v="76563"/>
  </r>
  <r>
    <s v="36"/>
    <s v="67876"/>
    <s v="0120006"/>
    <s v="1089"/>
    <s v="D"/>
    <s v="New Vision Middle"/>
    <x v="1"/>
    <s v="Woodward Leadership Academy"/>
    <s v="36 67876 0126714"/>
    <n v="0.98809999999999998"/>
    <n v="1"/>
    <n v="363"/>
    <n v="338"/>
    <n v="40112"/>
    <n v="26506"/>
    <n v="66618"/>
  </r>
  <r>
    <s v="36"/>
    <s v="67876"/>
    <s v="0120568"/>
    <s v="1132"/>
    <s v="D"/>
    <s v="Options for Youth-San Bernardino"/>
    <x v="1"/>
    <s v="Woodward Leadership Academy"/>
    <s v="36 67876 0126714"/>
    <n v="0.98809999999999998"/>
    <n v="1"/>
    <n v="910"/>
    <n v="810"/>
    <n v="100557"/>
    <n v="63519"/>
    <n v="164076"/>
  </r>
  <r>
    <s v="36"/>
    <s v="67876"/>
    <s v="0121343"/>
    <s v="1153"/>
    <s v="D"/>
    <s v="iEmpire Academy"/>
    <x v="1"/>
    <s v="iEmpire Academy"/>
    <s v="36 67876 0121343"/>
    <n v="0.93169999999999997"/>
    <n v="1"/>
    <n v="454"/>
    <n v="423"/>
    <n v="50168"/>
    <n v="33171"/>
    <n v="83339"/>
  </r>
  <r>
    <s v="36"/>
    <s v="67876"/>
    <s v="0122317"/>
    <s v="1155"/>
    <s v="D"/>
    <s v="Hardy Brown College Prep"/>
    <x v="1"/>
    <s v="Hardy Brown College Prep"/>
    <s v="36 67876 0122317"/>
    <n v="0.86750000000000005"/>
    <n v="1"/>
    <n v="317"/>
    <n v="275"/>
    <n v="35029"/>
    <n v="21565"/>
    <n v="56594"/>
  </r>
  <r>
    <s v="36"/>
    <s v="67876"/>
    <s v="0126714"/>
    <s v="1438"/>
    <s v="D"/>
    <s v="Woodward Leadership Academy"/>
    <x v="1"/>
    <s v="Woodward Leadership Academy"/>
    <s v="36 67876 0126714"/>
    <n v="0.98809999999999998"/>
    <n v="1"/>
    <n v="84"/>
    <n v="83"/>
    <n v="9282"/>
    <n v="6509"/>
    <n v="15791"/>
  </r>
  <r>
    <s v="36"/>
    <s v="67876"/>
    <s v="0133892"/>
    <s v="1795"/>
    <s v="D"/>
    <s v="Ballington Academy for the Arts and Sciences, San Bernardino"/>
    <x v="1"/>
    <s v="Ballington Academy for the Arts and Sciences, San Bernardino"/>
    <s v="36 67876 0133892"/>
    <n v="0.85709999999999997"/>
    <n v="1"/>
    <n v="168"/>
    <n v="144"/>
    <n v="18564"/>
    <n v="11292"/>
    <n v="29856"/>
  </r>
  <r>
    <s v="36"/>
    <s v="67876"/>
    <s v="0136952"/>
    <s v="1922"/>
    <s v="D"/>
    <s v="Entrepreneur High School"/>
    <x v="1"/>
    <s v="Woodward Leadership Academy"/>
    <s v="36 67876 0126714"/>
    <n v="0.98809999999999998"/>
    <n v="1"/>
    <n v="579"/>
    <n v="458"/>
    <n v="63980"/>
    <n v="35916"/>
    <n v="99896"/>
  </r>
  <r>
    <s v="36"/>
    <s v="67876"/>
    <s v="0137935"/>
    <s v="1971"/>
    <s v="D"/>
    <s v="Savant Preparatory Academy of Business"/>
    <x v="1"/>
    <s v="Savant Preparatory Academy of Business"/>
    <s v="36 67876 0137935"/>
    <n v="0.77249999999999996"/>
    <n v="1"/>
    <n v="212"/>
    <n v="164"/>
    <n v="23426"/>
    <n v="12861"/>
    <n v="36287"/>
  </r>
  <r>
    <s v="36"/>
    <s v="67876"/>
    <s v="3630993"/>
    <s v="0335"/>
    <s v="D"/>
    <s v="Provisional Accelerated Learning Academy"/>
    <x v="1"/>
    <s v="Provisional Accelerated Learning Academy"/>
    <s v="36 67876 3630993"/>
    <n v="0.80579999999999996"/>
    <n v="1"/>
    <n v="242"/>
    <n v="195"/>
    <n v="26741"/>
    <n v="15292"/>
    <n v="42033"/>
  </r>
  <r>
    <s v="36"/>
    <s v="67892"/>
    <s v="0000000"/>
    <s v="N/A"/>
    <s v="N/A"/>
    <s v="Trona Joint Unified"/>
    <x v="3"/>
    <s v="Trona Elementary"/>
    <s v="36 67892 6037188"/>
    <n v="0.70989999999999998"/>
    <n v="3"/>
    <n v="248"/>
    <n v="182"/>
    <n v="27404"/>
    <n v="14272"/>
    <n v="41676"/>
  </r>
  <r>
    <s v="36"/>
    <s v="67918"/>
    <s v="0000000"/>
    <s v="N/A"/>
    <s v="N/A"/>
    <s v="Victor Elementary"/>
    <x v="3"/>
    <s v="Del Rey Elementary"/>
    <s v="36 67918 6037329"/>
    <n v="0.96799999999999997"/>
    <n v="18"/>
    <n v="11961"/>
    <n v="10201"/>
    <n v="1321710"/>
    <n v="799952"/>
    <n v="2121662"/>
  </r>
  <r>
    <s v="36"/>
    <s v="67918"/>
    <s v="6101927"/>
    <s v="0309"/>
    <s v="L"/>
    <s v="Sixth Street Prep"/>
    <x v="1"/>
    <s v="Sixth Street Prep"/>
    <s v="36 67918 6101927"/>
    <n v="0.74570000000000003"/>
    <n v="1"/>
    <n v="232"/>
    <n v="173"/>
    <n v="25636"/>
    <n v="13566"/>
    <n v="39202"/>
  </r>
  <r>
    <s v="36"/>
    <s v="67918"/>
    <s v="6118350"/>
    <s v="0296"/>
    <s v="L"/>
    <s v="Mountain View Montessori Charter"/>
    <x v="1"/>
    <s v="Mountain View Montessori Charter"/>
    <s v="36 67918 6118350"/>
    <n v="0.47299999999999998"/>
    <n v="1"/>
    <n v="222"/>
    <n v="105"/>
    <n v="24531"/>
    <n v="8234"/>
    <n v="32765"/>
  </r>
  <r>
    <s v="36"/>
    <s v="67934"/>
    <s v="0000000"/>
    <s v="N/A"/>
    <s v="N/A"/>
    <s v="Victor Valley Union High"/>
    <x v="3"/>
    <s v="Woodward Leadership Academy"/>
    <s v="36 67876 0126714"/>
    <n v="0.98809999999999998"/>
    <n v="12"/>
    <n v="11340"/>
    <n v="7381"/>
    <n v="1253088"/>
    <n v="578811"/>
    <n v="1831899"/>
  </r>
  <r>
    <s v="36"/>
    <s v="67934"/>
    <s v="3630670"/>
    <s v="0013"/>
    <s v="D"/>
    <s v="Options for Youth-Victor Valley Charter"/>
    <x v="1"/>
    <s v="Woodward Leadership Academy"/>
    <s v="36 67876 0126714"/>
    <n v="0.98809999999999998"/>
    <n v="1"/>
    <n v="748"/>
    <n v="665"/>
    <n v="82655"/>
    <n v="52149"/>
    <n v="134804"/>
  </r>
  <r>
    <s v="36"/>
    <s v="67959"/>
    <s v="0000000"/>
    <s v="N/A"/>
    <s v="N/A"/>
    <s v="Yucaipa-Calimesa Joint Unified"/>
    <x v="3"/>
    <s v="Valley Elementary"/>
    <s v="36 67959 6037428"/>
    <n v="0.80600000000000005"/>
    <n v="14"/>
    <n v="7915"/>
    <n v="5048"/>
    <n v="874622"/>
    <n v="395860"/>
    <n v="1270482"/>
  </r>
  <r>
    <s v="36"/>
    <s v="67959"/>
    <s v="0114256"/>
    <s v="0889"/>
    <s v="D"/>
    <s v="Inland Leaders Charter"/>
    <x v="1"/>
    <s v="Inland Leaders Charter"/>
    <s v="36 67959 0114256"/>
    <n v="0.26829999999999998"/>
    <n v="1"/>
    <n v="984"/>
    <n v="264"/>
    <n v="108734"/>
    <n v="20703"/>
    <n v="129437"/>
  </r>
  <r>
    <s v="36"/>
    <s v="67959"/>
    <s v="0124032"/>
    <s v="1291"/>
    <s v="L"/>
    <s v="Competitive Edge Charter Academy (CECA)"/>
    <x v="1"/>
    <s v="Competitive Edge Charter Academy (CECA)"/>
    <s v="36 67959 0124032"/>
    <n v="0.35010000000000002"/>
    <n v="1"/>
    <n v="697"/>
    <n v="244"/>
    <n v="77020"/>
    <n v="19134"/>
    <n v="96154"/>
  </r>
  <r>
    <s v="36"/>
    <s v="73858"/>
    <s v="0000000"/>
    <s v="N/A"/>
    <s v="N/A"/>
    <s v="Baker Valley Unified"/>
    <x v="3"/>
    <s v="Baker Elementary"/>
    <s v="36 73858 6035273"/>
    <n v="0.67159999999999997"/>
    <n v="4"/>
    <n v="134"/>
    <n v="75"/>
    <n v="14808"/>
    <n v="5882"/>
    <n v="20690"/>
  </r>
  <r>
    <s v="36"/>
    <s v="73890"/>
    <s v="0000000"/>
    <s v="N/A"/>
    <s v="N/A"/>
    <s v="Silver Valley Unified"/>
    <x v="3"/>
    <s v="Newberry Springs Elementary"/>
    <s v="36 73890 6035406"/>
    <n v="0.91510000000000002"/>
    <n v="10"/>
    <n v="1965"/>
    <n v="1141"/>
    <n v="217137"/>
    <n v="89477"/>
    <n v="306614"/>
  </r>
  <r>
    <s v="36"/>
    <s v="73957"/>
    <s v="0000000"/>
    <s v="N/A"/>
    <s v="N/A"/>
    <s v="Snowline Joint Unified"/>
    <x v="3"/>
    <s v="Pinon Hills Elementary"/>
    <s v="36 73957 6108260"/>
    <n v="0.84599999999999997"/>
    <n v="13"/>
    <n v="7962"/>
    <n v="5427"/>
    <n v="879815"/>
    <n v="425580"/>
    <n v="1305395"/>
  </r>
  <r>
    <s v="36"/>
    <s v="75044"/>
    <s v="0000000"/>
    <s v="N/A"/>
    <s v="N/A"/>
    <s v="Hesperia Unified"/>
    <x v="3"/>
    <s v="Joshua Circle Elementary"/>
    <s v="36 75044 6035943"/>
    <n v="0.77790000000000004"/>
    <n v="26"/>
    <n v="23015"/>
    <n v="13360"/>
    <n v="2543194"/>
    <n v="1047679"/>
    <n v="3590873"/>
  </r>
  <r>
    <s v="36"/>
    <s v="75044"/>
    <s v="0107516"/>
    <s v="0671"/>
    <s v="D"/>
    <s v="Summit Leadership Academy-High Desert"/>
    <x v="1"/>
    <s v="Woodward Leadership Academy"/>
    <s v="36 67876 0126714"/>
    <n v="0.98809999999999998"/>
    <n v="1"/>
    <n v="224"/>
    <n v="183"/>
    <n v="24752"/>
    <n v="14351"/>
    <n v="39103"/>
  </r>
  <r>
    <s v="36"/>
    <s v="75044"/>
    <s v="0112441"/>
    <s v="0801"/>
    <s v="D"/>
    <s v="Pathways to College K8"/>
    <x v="1"/>
    <s v="Pathways to College K8"/>
    <s v="36 75044 0112441"/>
    <n v="0.59950000000000003"/>
    <n v="1"/>
    <n v="372"/>
    <n v="223"/>
    <n v="41107"/>
    <n v="17487"/>
    <n v="58594"/>
  </r>
  <r>
    <s v="36"/>
    <s v="75044"/>
    <s v="0114389"/>
    <s v="0885"/>
    <s v="D"/>
    <s v="Mirus Secondary"/>
    <x v="1"/>
    <s v="Woodward Leadership Academy"/>
    <s v="36 67876 0126714"/>
    <n v="0.98809999999999998"/>
    <n v="1"/>
    <n v="287"/>
    <n v="215"/>
    <n v="31714"/>
    <n v="16860"/>
    <n v="48574"/>
  </r>
  <r>
    <s v="36"/>
    <s v="75044"/>
    <s v="0116707"/>
    <s v="0971"/>
    <s v="D"/>
    <s v="Encore Jr./Sr. High School for the Performing and Visual Arts"/>
    <x v="1"/>
    <s v="Woodward Leadership Academy"/>
    <s v="36 67876 0126714"/>
    <n v="0.98809999999999998"/>
    <n v="1"/>
    <n v="630"/>
    <n v="326"/>
    <n v="69616"/>
    <n v="25565"/>
    <n v="95181"/>
  </r>
  <r>
    <s v="36"/>
    <s v="75044"/>
    <s v="0118059"/>
    <s v="1034"/>
    <s v="D"/>
    <s v="LaVerne Elementary Preparatory Academy"/>
    <x v="1"/>
    <s v="LaVerne Elementary Preparatory Academy"/>
    <s v="36 75044 0118059"/>
    <n v="0.64600000000000002"/>
    <n v="1"/>
    <n v="531"/>
    <n v="343"/>
    <n v="58676"/>
    <n v="26898"/>
    <n v="85574"/>
  </r>
  <r>
    <s v="36"/>
    <s v="75051"/>
    <s v="0000000"/>
    <s v="N/A"/>
    <s v="N/A"/>
    <s v="Lucerne Valley Unified"/>
    <x v="3"/>
    <s v="Lucerne Valley Elementary"/>
    <s v="36 75051 6035976"/>
    <n v="0.91279999999999994"/>
    <n v="5"/>
    <n v="1029"/>
    <n v="934"/>
    <n v="113707"/>
    <n v="73244"/>
    <n v="186951"/>
  </r>
  <r>
    <s v="36"/>
    <s v="75051"/>
    <s v="0115089"/>
    <s v="0905"/>
    <s v="D"/>
    <s v="Sky Mountain Charter"/>
    <x v="1"/>
    <s v="Sky Mountain Charter"/>
    <s v="36 75051 0115089"/>
    <n v="0.34889999999999999"/>
    <n v="1"/>
    <n v="2138"/>
    <n v="746"/>
    <n v="236253"/>
    <n v="58501"/>
    <n v="294754"/>
  </r>
  <r>
    <s v="36"/>
    <s v="75051"/>
    <s v="0136432"/>
    <s v="1895"/>
    <s v="D"/>
    <s v="Alta Vista Innovation High"/>
    <x v="1"/>
    <s v="Woodward Leadership Academy"/>
    <s v="36 67876 0126714"/>
    <n v="0.98809999999999998"/>
    <n v="1"/>
    <n v="2023"/>
    <n v="1763"/>
    <n v="223545"/>
    <n v="138253"/>
    <n v="361798"/>
  </r>
  <r>
    <s v="36"/>
    <s v="75051"/>
    <s v="0136960"/>
    <s v="1923"/>
    <s v="D"/>
    <s v="Elite Academic Academy - Lucerne"/>
    <x v="1"/>
    <s v="Elite Academic Academy - Lucerne"/>
    <s v="36 75051 0136960"/>
    <n v="0.51229999999999998"/>
    <n v="1"/>
    <n v="693"/>
    <n v="355"/>
    <n v="76578"/>
    <n v="27839"/>
    <n v="104417"/>
  </r>
  <r>
    <s v="36"/>
    <s v="75051"/>
    <s v="0137794"/>
    <s v="1977"/>
    <s v="D"/>
    <s v="Gorman Learning Center San Bernardino/Santa Clarita"/>
    <x v="1"/>
    <s v="Gorman Learning Center San Bernardino/Santa Clarita"/>
    <s v="36 75051 0137794"/>
    <n v="0.40239999999999998"/>
    <n v="1"/>
    <n v="1260"/>
    <n v="507"/>
    <n v="139232"/>
    <n v="39758"/>
    <n v="178990"/>
  </r>
  <r>
    <s v="36"/>
    <s v="75051"/>
    <s v="0138107"/>
    <s v="1975"/>
    <s v="D"/>
    <s v="Virtual Preparatory Academy at Lucerne"/>
    <x v="1"/>
    <s v="Virtual Preparatory Academy at Lucerne"/>
    <s v="36 75051 0138107"/>
    <n v="0.58169999999999999"/>
    <n v="1"/>
    <n v="569"/>
    <n v="331"/>
    <n v="62875"/>
    <n v="25957"/>
    <n v="88832"/>
  </r>
  <r>
    <s v="36"/>
    <s v="75051"/>
    <s v="0139188"/>
    <s v="2033"/>
    <s v="D"/>
    <s v="Granite Mountain Charter"/>
    <x v="1"/>
    <s v="Granite Mountain Charter"/>
    <s v="36 75051 0139188"/>
    <n v="0.441"/>
    <n v="1"/>
    <n v="3433"/>
    <n v="1514"/>
    <n v="379352"/>
    <n v="118726"/>
    <n v="498078"/>
  </r>
  <r>
    <s v="36"/>
    <s v="75069"/>
    <s v="0000000"/>
    <s v="N/A"/>
    <s v="N/A"/>
    <s v="Upland Unified"/>
    <x v="3"/>
    <s v="Upland Elementary"/>
    <s v="36 75069 6037287"/>
    <n v="0.87109999999999999"/>
    <n v="15"/>
    <n v="10125"/>
    <n v="6835"/>
    <n v="1118828"/>
    <n v="535993"/>
    <n v="1654821"/>
  </r>
  <r>
    <s v="36"/>
    <s v="75077"/>
    <s v="0000000"/>
    <s v="N/A"/>
    <s v="N/A"/>
    <s v="Apple Valley Unified"/>
    <x v="3"/>
    <s v="Sandia Elementary"/>
    <s v="36 75077 6107346"/>
    <n v="0.85699999999999998"/>
    <n v="16"/>
    <n v="13961"/>
    <n v="10143"/>
    <n v="1542713"/>
    <n v="795405"/>
    <n v="2338118"/>
  </r>
  <r>
    <s v="36"/>
    <s v="75077"/>
    <s v="3631207"/>
    <s v="0127"/>
    <s v="D"/>
    <s v="Academy for Academic Excellence"/>
    <x v="1"/>
    <s v="Academy for Academic Excellence"/>
    <s v="36 75077 3631207"/>
    <n v="0.43130000000000002"/>
    <n v="1"/>
    <n v="1484"/>
    <n v="640"/>
    <n v="163984"/>
    <n v="50188"/>
    <n v="214172"/>
  </r>
  <r>
    <s v="37"/>
    <s v="10371"/>
    <s v="0000000"/>
    <s v="N/A"/>
    <s v="N/A"/>
    <s v="San Diego Co. Office of Education"/>
    <x v="0"/>
    <s v="All Tribes Elementary Charter"/>
    <s v="37 75416 0122796"/>
    <n v="1"/>
    <n v="9"/>
    <n v="1110"/>
    <n v="1001"/>
    <n v="122658"/>
    <n v="78497"/>
    <n v="201155"/>
  </r>
  <r>
    <s v="37"/>
    <s v="10371"/>
    <s v="0108548"/>
    <s v="0680"/>
    <s v="D"/>
    <s v="Iftin Charter"/>
    <x v="1"/>
    <s v="Iftin Charter"/>
    <s v="37 10371 0108548"/>
    <n v="0.85140000000000005"/>
    <n v="1"/>
    <n v="424"/>
    <n v="361"/>
    <n v="46853"/>
    <n v="28309"/>
    <n v="75162"/>
  </r>
  <r>
    <s v="37"/>
    <s v="10371"/>
    <s v="0124321"/>
    <s v="1308"/>
    <s v="D"/>
    <s v="Howard Gardner Community Charter"/>
    <x v="1"/>
    <s v="Howard Gardner Community Charter"/>
    <s v="37 10371 0124321"/>
    <n v="0.83260000000000001"/>
    <n v="1"/>
    <n v="239"/>
    <n v="199"/>
    <n v="26410"/>
    <n v="15605"/>
    <n v="42015"/>
  </r>
  <r>
    <s v="37"/>
    <s v="10371"/>
    <s v="0134577"/>
    <s v="1835"/>
    <s v="D"/>
    <s v="Audeo Charter II"/>
    <x v="1"/>
    <s v="Audeo Charter II"/>
    <s v="37 10371 0134577"/>
    <n v="0.55249999999999999"/>
    <n v="1"/>
    <n v="219"/>
    <n v="121"/>
    <n v="24200"/>
    <n v="9489"/>
    <n v="33689"/>
  </r>
  <r>
    <s v="37"/>
    <s v="10371"/>
    <s v="0136085"/>
    <s v="1883"/>
    <s v="D"/>
    <s v="Scholarship Prep Charter School - Oceanside"/>
    <x v="1"/>
    <s v="Scholarship Prep Charter School - Oceanside"/>
    <s v="37 10371 0136085"/>
    <n v="0.73660000000000003"/>
    <n v="1"/>
    <n v="543"/>
    <n v="400"/>
    <n v="60002"/>
    <n v="31368"/>
    <n v="91370"/>
  </r>
  <r>
    <s v="37"/>
    <s v="10371"/>
    <s v="0137695"/>
    <s v="1947"/>
    <s v="D"/>
    <s v="Community Montessori"/>
    <x v="1"/>
    <s v="Community Montessori"/>
    <s v="37 10371 0137695"/>
    <n v="0.27029999999999998"/>
    <n v="1"/>
    <n v="762"/>
    <n v="206"/>
    <n v="84202"/>
    <n v="16154"/>
    <n v="100356"/>
  </r>
  <r>
    <s v="37"/>
    <s v="10371"/>
    <s v="0137752"/>
    <s v="1946"/>
    <s v="D"/>
    <s v="Dimensions Collaborative"/>
    <x v="1"/>
    <s v="Dimensions Collaborative"/>
    <s v="37 10371 0137752"/>
    <n v="0.51919999999999999"/>
    <n v="1"/>
    <n v="468"/>
    <n v="243"/>
    <n v="51715"/>
    <n v="19056"/>
    <n v="70771"/>
  </r>
  <r>
    <s v="37"/>
    <s v="10371"/>
    <s v="0138016"/>
    <s v="1989"/>
    <s v="D"/>
    <s v="Pacific Springs Charter"/>
    <x v="1"/>
    <s v="Pacific Springs Charter"/>
    <s v="37 10371 0138016"/>
    <n v="0.43969999999999998"/>
    <n v="1"/>
    <n v="514"/>
    <n v="226"/>
    <n v="56798"/>
    <n v="17723"/>
    <n v="74521"/>
  </r>
  <r>
    <s v="37"/>
    <s v="10371"/>
    <s v="0138404"/>
    <s v="2016"/>
    <s v="D"/>
    <s v="Classical Academy Vista"/>
    <x v="1"/>
    <s v="Classical Academy Vista"/>
    <s v="37 10371 0138404"/>
    <n v="0.25829999999999997"/>
    <n v="1"/>
    <n v="573"/>
    <n v="148"/>
    <n v="63317"/>
    <n v="11606"/>
    <n v="74923"/>
  </r>
  <r>
    <s v="37"/>
    <s v="10371"/>
    <s v="0138594"/>
    <s v="2023"/>
    <s v="D"/>
    <s v="Dual Language Immersion North County"/>
    <x v="1"/>
    <s v="Dual Language Immersion North County"/>
    <s v="37 10371 0138594"/>
    <n v="0.4667"/>
    <n v="1"/>
    <n v="240"/>
    <n v="112"/>
    <n v="26520"/>
    <n v="8783"/>
    <n v="35303"/>
  </r>
  <r>
    <s v="37"/>
    <s v="10371"/>
    <s v="0138792"/>
    <s v="2024"/>
    <s v="D"/>
    <s v="JCS - Manzanita"/>
    <x v="1"/>
    <s v="JCS - Manzanita"/>
    <s v="37 10371 0138792"/>
    <n v="0.56579999999999997"/>
    <n v="1"/>
    <n v="228"/>
    <n v="129"/>
    <n v="25194"/>
    <n v="10116"/>
    <n v="35310"/>
  </r>
  <r>
    <s v="37"/>
    <s v="10371"/>
    <s v="6119119"/>
    <s v="0405"/>
    <s v="D"/>
    <s v="Literacy First Charter"/>
    <x v="1"/>
    <s v="Literacy First Charter"/>
    <s v="37 10371 6119119"/>
    <n v="0.51980000000000004"/>
    <n v="1"/>
    <n v="1972"/>
    <n v="1025"/>
    <n v="217909"/>
    <n v="80379"/>
    <n v="298288"/>
  </r>
  <r>
    <s v="37"/>
    <s v="67967"/>
    <s v="0000000"/>
    <s v="N/A"/>
    <s v="N/A"/>
    <s v="Alpine Union Elementary"/>
    <x v="3"/>
    <s v="Shadow Hills Elementary"/>
    <s v="37 67967 6106256"/>
    <n v="0.45779999999999998"/>
    <n v="6"/>
    <n v="1546"/>
    <n v="611"/>
    <n v="170836"/>
    <n v="47914"/>
    <n v="218750"/>
  </r>
  <r>
    <s v="37"/>
    <s v="67983"/>
    <s v="0000000"/>
    <s v="N/A"/>
    <s v="N/A"/>
    <s v="Borrego Springs Unified"/>
    <x v="3"/>
    <s v="Borrego Springs Elementary"/>
    <s v="37 67983 6037550"/>
    <n v="0.8377"/>
    <n v="4"/>
    <n v="376"/>
    <n v="326"/>
    <n v="41549"/>
    <n v="25564"/>
    <n v="67113"/>
  </r>
  <r>
    <s v="37"/>
    <s v="67983"/>
    <s v="0134890"/>
    <s v="1832"/>
    <s v="D"/>
    <s v="San Diego Workforce Innovation High"/>
    <x v="1"/>
    <s v="All Tribes Elementary Charter"/>
    <s v="37 75416 0122796"/>
    <n v="1"/>
    <n v="1"/>
    <n v="2332"/>
    <n v="1760"/>
    <n v="257690"/>
    <n v="138017"/>
    <n v="395707"/>
  </r>
  <r>
    <s v="37"/>
    <s v="67991"/>
    <s v="0000000"/>
    <s v="N/A"/>
    <s v="N/A"/>
    <s v="Cajon Valley Union"/>
    <x v="3"/>
    <s v="Johnson Elementary"/>
    <s v="37 67991 6037675"/>
    <n v="0.89349999999999996"/>
    <n v="27"/>
    <n v="16014"/>
    <n v="11580"/>
    <n v="1769574"/>
    <n v="908091"/>
    <n v="2677665"/>
  </r>
  <r>
    <s v="37"/>
    <s v="67991"/>
    <s v="0108563"/>
    <s v="0683"/>
    <s v="D"/>
    <s v="EJE Elementary Academy Charter"/>
    <x v="1"/>
    <s v="EJE Elementary Academy Charter"/>
    <s v="37 67991 0108563"/>
    <n v="0.65429999999999999"/>
    <n v="1"/>
    <n v="564"/>
    <n v="369"/>
    <n v="62323"/>
    <n v="28937"/>
    <n v="91260"/>
  </r>
  <r>
    <s v="37"/>
    <s v="67991"/>
    <s v="0119255"/>
    <s v="1063"/>
    <s v="D"/>
    <s v="EJE Middle Academy"/>
    <x v="1"/>
    <s v="All Tribes Elementary Charter"/>
    <s v="37 75416 0122796"/>
    <n v="1"/>
    <n v="1"/>
    <n v="254"/>
    <n v="170"/>
    <n v="28067"/>
    <n v="13331"/>
    <n v="41398"/>
  </r>
  <r>
    <s v="37"/>
    <s v="67991"/>
    <s v="0139394"/>
    <s v="2054"/>
    <s v="D"/>
    <s v="Kidinnu Academy"/>
    <x v="1"/>
    <s v="Kidinnu Academy"/>
    <s v="37 67991 0139394"/>
    <n v="0.89429999999999998"/>
    <n v="1"/>
    <n v="227"/>
    <n v="203"/>
    <n v="25084"/>
    <n v="15919"/>
    <n v="41003"/>
  </r>
  <r>
    <s v="37"/>
    <s v="67991"/>
    <s v="0140558"/>
    <s v="2105"/>
    <s v="D"/>
    <s v="Bostonia Global"/>
    <x v="1"/>
    <s v="Bostonia Global"/>
    <s v="37 67991 0140558"/>
    <n v="0.63639999999999997"/>
    <n v="1"/>
    <n v="1144"/>
    <n v="728"/>
    <n v="126414"/>
    <n v="57089"/>
    <n v="183503"/>
  </r>
  <r>
    <s v="37"/>
    <s v="68007"/>
    <s v="0000000"/>
    <s v="N/A"/>
    <s v="N/A"/>
    <s v="Cardiff Elementary"/>
    <x v="3"/>
    <s v="Ada W. Harris Elementary"/>
    <s v="37 68007 6037758"/>
    <n v="0.14799999999999999"/>
    <n v="3"/>
    <n v="654"/>
    <n v="87"/>
    <n v="72269"/>
    <n v="6822"/>
    <n v="79091"/>
  </r>
  <r>
    <s v="37"/>
    <s v="68023"/>
    <s v="0000000"/>
    <s v="N/A"/>
    <s v="N/A"/>
    <s v="Chula Vista Elementary"/>
    <x v="3"/>
    <s v="Montgomery (John J.) Elementary"/>
    <s v="37 68023 6037915"/>
    <n v="0.90159999999999996"/>
    <n v="44"/>
    <n v="23237"/>
    <n v="11493"/>
    <n v="2567726"/>
    <n v="901268"/>
    <n v="3468994"/>
  </r>
  <r>
    <s v="37"/>
    <s v="68023"/>
    <s v="0119594"/>
    <s v="1082"/>
    <s v="D"/>
    <s v="Leonardo da Vinci Health Sciences Charter"/>
    <x v="1"/>
    <s v="Leonardo da Vinci Health Sciences Charter"/>
    <s v="37 68023 0119594"/>
    <n v="0.55430000000000001"/>
    <n v="1"/>
    <n v="258"/>
    <n v="143"/>
    <n v="28509"/>
    <n v="11214"/>
    <n v="39723"/>
  </r>
  <r>
    <s v="37"/>
    <s v="68023"/>
    <s v="0138073"/>
    <s v="2001"/>
    <s v="D"/>
    <s v="Learning Choice Academy - Chula Vista"/>
    <x v="1"/>
    <s v="Learning Choice Academy - Chula Vista"/>
    <s v="37 68023 0138073"/>
    <n v="0.48089999999999999"/>
    <n v="1"/>
    <n v="393"/>
    <n v="189"/>
    <n v="43427"/>
    <n v="14821"/>
    <n v="58248"/>
  </r>
  <r>
    <s v="37"/>
    <s v="68023"/>
    <s v="6037956"/>
    <s v="0121"/>
    <s v="D"/>
    <s v="Feaster (Mae L.) Charter"/>
    <x v="1"/>
    <s v="Feaster (Mae L.) Charter"/>
    <s v="37 68023 6037956"/>
    <n v="0.7984"/>
    <n v="1"/>
    <n v="1121"/>
    <n v="895"/>
    <n v="123872"/>
    <n v="70185"/>
    <n v="194057"/>
  </r>
  <r>
    <s v="37"/>
    <s v="68023"/>
    <s v="6037980"/>
    <s v="0064"/>
    <s v="D"/>
    <s v="Mueller Charter (Robert L.)"/>
    <x v="1"/>
    <s v="Mueller Charter (Robert L.)"/>
    <s v="37 68023 6037980"/>
    <n v="0.7702"/>
    <n v="1"/>
    <n v="1607"/>
    <n v="1238"/>
    <n v="177576"/>
    <n v="97083"/>
    <n v="274659"/>
  </r>
  <r>
    <s v="37"/>
    <s v="68023"/>
    <s v="6111322"/>
    <s v="0054"/>
    <s v="D"/>
    <s v="Discovery Charter"/>
    <x v="1"/>
    <s v="Discovery Charter"/>
    <s v="37 68023 6111322"/>
    <n v="0.33500000000000002"/>
    <n v="1"/>
    <n v="982"/>
    <n v="329"/>
    <n v="108513"/>
    <n v="25800"/>
    <n v="134313"/>
  </r>
  <r>
    <s v="37"/>
    <s v="68023"/>
    <s v="6115778"/>
    <s v="0135"/>
    <s v="D"/>
    <s v="Chula Vista Learning Community Charter"/>
    <x v="1"/>
    <s v="Chula Vista Learning Community Charter"/>
    <s v="37 68023 6115778"/>
    <n v="0.59289999999999998"/>
    <n v="1"/>
    <n v="1429"/>
    <n v="847"/>
    <n v="157907"/>
    <n v="66421"/>
    <n v="224328"/>
  </r>
  <r>
    <s v="37"/>
    <s v="68023"/>
    <s v="6116859"/>
    <s v="0483"/>
    <s v="D"/>
    <s v="Arroyo Vista Charter"/>
    <x v="1"/>
    <s v="Arroyo Vista Charter"/>
    <s v="37 68023 6116859"/>
    <n v="0.20019999999999999"/>
    <n v="1"/>
    <n v="939"/>
    <n v="188"/>
    <n v="103761"/>
    <n v="14743"/>
    <n v="118504"/>
  </r>
  <r>
    <s v="37"/>
    <s v="68031"/>
    <s v="0000000"/>
    <s v="N/A"/>
    <s v="N/A"/>
    <s v="Coronado Unified"/>
    <x v="3"/>
    <s v="Silver Strand Elementary"/>
    <s v="37 68031 6038087"/>
    <n v="0.21299999999999999"/>
    <n v="6"/>
    <n v="2863"/>
    <n v="463"/>
    <n v="316367"/>
    <n v="36308"/>
    <n v="352675"/>
  </r>
  <r>
    <s v="37"/>
    <s v="68049"/>
    <s v="0000000"/>
    <s v="N/A"/>
    <s v="N/A"/>
    <s v="Dehesa Elementary"/>
    <x v="3"/>
    <s v="Dehesa Elementary"/>
    <s v="37 68049 6038095"/>
    <n v="0.36899999999999999"/>
    <n v="2"/>
    <n v="84"/>
    <n v="31"/>
    <n v="9282"/>
    <n v="2431"/>
    <n v="11713"/>
  </r>
  <r>
    <s v="37"/>
    <s v="68049"/>
    <s v="0127118"/>
    <s v="1488"/>
    <s v="D"/>
    <s v="The Heights Charter"/>
    <x v="1"/>
    <s v="The Heights Charter"/>
    <s v="37 68049 0127118"/>
    <n v="0.1358"/>
    <n v="1"/>
    <n v="265"/>
    <n v="36"/>
    <n v="29283"/>
    <n v="2823"/>
    <n v="32106"/>
  </r>
  <r>
    <s v="37"/>
    <s v="68049"/>
    <s v="0129221"/>
    <s v="1617"/>
    <s v="D"/>
    <s v="MethodSchools"/>
    <x v="1"/>
    <s v="MethodSchools"/>
    <s v="37 68049 0129221"/>
    <n v="0.3977"/>
    <n v="1"/>
    <n v="342"/>
    <n v="136"/>
    <n v="37792"/>
    <n v="10665"/>
    <n v="48457"/>
  </r>
  <r>
    <s v="37"/>
    <s v="68049"/>
    <s v="0132506"/>
    <s v="1748"/>
    <s v="D"/>
    <s v="Cabrillo Point Academy"/>
    <x v="1"/>
    <s v="Cabrillo Point Academy"/>
    <s v="37 68049 0132506"/>
    <n v="0.34200000000000003"/>
    <n v="1"/>
    <n v="4283"/>
    <n v="1465"/>
    <n v="473279"/>
    <n v="114884"/>
    <n v="588163"/>
  </r>
  <r>
    <s v="37"/>
    <s v="68049"/>
    <s v="0136416"/>
    <s v="1892"/>
    <s v="D"/>
    <s v="Pacific Coast Academy"/>
    <x v="1"/>
    <s v="Pacific Coast Academy"/>
    <s v="37 68049 0136416"/>
    <n v="0.37780000000000002"/>
    <n v="1"/>
    <n v="4891"/>
    <n v="1848"/>
    <n v="540464"/>
    <n v="144918"/>
    <n v="685382"/>
  </r>
  <r>
    <s v="37"/>
    <s v="68049"/>
    <s v="0136614"/>
    <s v="1909"/>
    <s v="D"/>
    <s v="Diego Hills Central Public Charter"/>
    <x v="1"/>
    <s v="Diego Hills Central Public Charter"/>
    <s v="37 68049 0136614"/>
    <n v="0.87170000000000003"/>
    <n v="1"/>
    <n v="304"/>
    <n v="265"/>
    <n v="33593"/>
    <n v="20781"/>
    <n v="54374"/>
  </r>
  <r>
    <s v="37"/>
    <s v="68056"/>
    <s v="0000000"/>
    <s v="N/A"/>
    <s v="N/A"/>
    <s v="Del Mar Union Elementary"/>
    <x v="3"/>
    <s v="Sycamore Ridge"/>
    <s v="37 68056 0110114"/>
    <n v="0.21959999999999999"/>
    <n v="10"/>
    <n v="3791"/>
    <n v="315"/>
    <n v="418912"/>
    <n v="24702"/>
    <n v="443614"/>
  </r>
  <r>
    <s v="37"/>
    <s v="68080"/>
    <s v="0000000"/>
    <s v="N/A"/>
    <s v="N/A"/>
    <s v="Encinitas Union Elementary"/>
    <x v="3"/>
    <s v="Ocean Knoll Elementary"/>
    <s v="37 68080 6038152"/>
    <n v="0.31169999999999998"/>
    <n v="10"/>
    <n v="4695"/>
    <n v="851"/>
    <n v="518805"/>
    <n v="66733"/>
    <n v="585538"/>
  </r>
  <r>
    <s v="37"/>
    <s v="68098"/>
    <s v="0000000"/>
    <s v="N/A"/>
    <s v="N/A"/>
    <s v="Escondido Union"/>
    <x v="3"/>
    <s v="Pioneer Elementary"/>
    <s v="37 68098 6110381"/>
    <n v="0.91320000000000001"/>
    <n v="25"/>
    <n v="14779"/>
    <n v="11363"/>
    <n v="1633104"/>
    <n v="891074"/>
    <n v="2524178"/>
  </r>
  <r>
    <s v="37"/>
    <s v="68098"/>
    <s v="0101535"/>
    <s v="0556"/>
    <s v="D"/>
    <s v="Heritage K-8 Charter"/>
    <x v="1"/>
    <s v="Heritage K-8 Charter"/>
    <s v="37 68098 0101535"/>
    <n v="0.41039999999999999"/>
    <n v="1"/>
    <n v="1328"/>
    <n v="545"/>
    <n v="146746"/>
    <n v="42738"/>
    <n v="189484"/>
  </r>
  <r>
    <s v="37"/>
    <s v="68098"/>
    <s v="6116776"/>
    <s v="0199"/>
    <s v="D"/>
    <s v="Classical Academy"/>
    <x v="1"/>
    <s v="Classical Academy"/>
    <s v="37 68098 6116776"/>
    <n v="0.24099999999999999"/>
    <n v="1"/>
    <n v="1531"/>
    <n v="369"/>
    <n v="169178"/>
    <n v="28937"/>
    <n v="198115"/>
  </r>
  <r>
    <s v="37"/>
    <s v="68106"/>
    <s v="0000000"/>
    <s v="N/A"/>
    <s v="N/A"/>
    <s v="Escondido Union High"/>
    <x v="3"/>
    <s v="All Tribes Elementary Charter"/>
    <s v="37 75416 0122796"/>
    <n v="1"/>
    <n v="6"/>
    <n v="6862"/>
    <n v="5567"/>
    <n v="758262"/>
    <n v="436558"/>
    <n v="1194820"/>
  </r>
  <r>
    <s v="37"/>
    <s v="68106"/>
    <s v="0111195"/>
    <s v="0759"/>
    <s v="D"/>
    <s v="Classical Academy High"/>
    <x v="1"/>
    <s v="All Tribes Elementary Charter"/>
    <s v="37 75416 0122796"/>
    <n v="1"/>
    <n v="1"/>
    <n v="1283"/>
    <n v="274"/>
    <n v="141774"/>
    <n v="21487"/>
    <n v="163261"/>
  </r>
  <r>
    <s v="37"/>
    <s v="68106"/>
    <s v="0137034"/>
    <s v="1935"/>
    <s v="D"/>
    <s v="Audeo Charter School III"/>
    <x v="1"/>
    <s v="Audeo Charter School III"/>
    <s v="37 68106 0137034"/>
    <n v="0.60360000000000003"/>
    <n v="1"/>
    <n v="111"/>
    <n v="67"/>
    <n v="12266"/>
    <n v="5254"/>
    <n v="17520"/>
  </r>
  <r>
    <s v="37"/>
    <s v="68106"/>
    <s v="3731023"/>
    <s v="0109"/>
    <s v="D"/>
    <s v="Escondido Charter High"/>
    <x v="1"/>
    <s v="All Tribes Elementary Charter"/>
    <s v="37 75416 0122796"/>
    <n v="1"/>
    <n v="1"/>
    <n v="927"/>
    <n v="435"/>
    <n v="102435"/>
    <n v="34112"/>
    <n v="136547"/>
  </r>
  <r>
    <s v="37"/>
    <s v="68114"/>
    <s v="0000000"/>
    <s v="N/A"/>
    <s v="N/A"/>
    <s v="Fallbrook Union Elementary"/>
    <x v="3"/>
    <s v="Fallbrook STEM Academy"/>
    <s v="37 68114 6038285"/>
    <n v="0.89259999999999995"/>
    <n v="12"/>
    <n v="5186"/>
    <n v="3889"/>
    <n v="573062"/>
    <n v="304971"/>
    <n v="878033"/>
  </r>
  <r>
    <s v="37"/>
    <s v="68122"/>
    <s v="0000000"/>
    <s v="N/A"/>
    <s v="N/A"/>
    <s v="Fallbrook Union High"/>
    <x v="3"/>
    <s v="All Tribes Elementary Charter"/>
    <s v="37 75416 0122796"/>
    <n v="1"/>
    <n v="4"/>
    <n v="2093"/>
    <n v="1498"/>
    <n v="231280"/>
    <n v="117471"/>
    <n v="348751"/>
  </r>
  <r>
    <s v="37"/>
    <s v="68130"/>
    <s v="0000000"/>
    <s v="N/A"/>
    <s v="N/A"/>
    <s v="Grossmont Union High"/>
    <x v="3"/>
    <s v="All Tribes Elementary Charter"/>
    <s v="37 75416 0122796"/>
    <n v="1"/>
    <n v="16"/>
    <n v="16675"/>
    <n v="10445"/>
    <n v="1842617"/>
    <n v="819087"/>
    <n v="2661704"/>
  </r>
  <r>
    <s v="37"/>
    <s v="68130"/>
    <s v="0139063"/>
    <s v="2039"/>
    <s v="D"/>
    <s v="The Learning Choice Academy - East County"/>
    <x v="1"/>
    <s v="The Learning Choice Academy - East County"/>
    <s v="37 68130 0139063"/>
    <n v="0.59460000000000002"/>
    <n v="1"/>
    <n v="407"/>
    <n v="242"/>
    <n v="44974"/>
    <n v="18977"/>
    <n v="63951"/>
  </r>
  <r>
    <s v="37"/>
    <s v="68130"/>
    <s v="3731262"/>
    <s v="0893"/>
    <s v="D"/>
    <s v="Steele Canyon High"/>
    <x v="1"/>
    <s v="All Tribes Elementary Charter"/>
    <s v="37 75416 0122796"/>
    <n v="1"/>
    <n v="1"/>
    <n v="2168"/>
    <n v="1009"/>
    <n v="239568"/>
    <n v="79125"/>
    <n v="318693"/>
  </r>
  <r>
    <s v="37"/>
    <s v="68130"/>
    <s v="3732732"/>
    <s v="0150"/>
    <s v="D"/>
    <s v="Helix High"/>
    <x v="1"/>
    <s v="All Tribes Elementary Charter"/>
    <s v="37 75416 0122796"/>
    <n v="1"/>
    <n v="1"/>
    <n v="2502"/>
    <n v="1538"/>
    <n v="276475"/>
    <n v="120608"/>
    <n v="397083"/>
  </r>
  <r>
    <s v="37"/>
    <s v="68155"/>
    <s v="0000000"/>
    <s v="N/A"/>
    <s v="N/A"/>
    <s v="Jamul-Dulzura Union Elementary"/>
    <x v="3"/>
    <s v="Jamul Elementary"/>
    <s v="37 68155 6038319"/>
    <n v="0.58899999999999997"/>
    <n v="3"/>
    <n v="571"/>
    <n v="320"/>
    <n v="63096"/>
    <n v="25095"/>
    <n v="88191"/>
  </r>
  <r>
    <s v="37"/>
    <s v="68155"/>
    <s v="6117303"/>
    <s v="0261"/>
    <s v="D"/>
    <s v="Greater San Diego Academy"/>
    <x v="1"/>
    <s v="Greater San Diego Academy"/>
    <s v="37 68155 6117303"/>
    <n v="0.4481"/>
    <n v="1"/>
    <n v="183"/>
    <n v="82"/>
    <n v="20222"/>
    <n v="6430"/>
    <n v="26652"/>
  </r>
  <r>
    <s v="37"/>
    <s v="68163"/>
    <s v="0000000"/>
    <s v="N/A"/>
    <s v="N/A"/>
    <s v="Julian Union Elementary"/>
    <x v="3"/>
    <s v="Julian Elementary"/>
    <s v="37 68163 6038327"/>
    <n v="0.64710000000000001"/>
    <n v="3"/>
    <n v="279"/>
    <n v="183"/>
    <n v="30830"/>
    <n v="14351"/>
    <n v="45181"/>
  </r>
  <r>
    <s v="37"/>
    <s v="68163"/>
    <s v="0128421"/>
    <s v="1589"/>
    <s v="D"/>
    <s v="Harbor Springs Charter"/>
    <x v="1"/>
    <s v="Harbor Springs Charter"/>
    <s v="37 68163 0128421"/>
    <n v="0.53790000000000004"/>
    <n v="1"/>
    <n v="277"/>
    <n v="149"/>
    <n v="30609"/>
    <n v="11684"/>
    <n v="42293"/>
  </r>
  <r>
    <s v="37"/>
    <s v="68163"/>
    <s v="0137109"/>
    <s v="1934"/>
    <s v="D"/>
    <s v="Diego Valley East Public Charter School"/>
    <x v="1"/>
    <s v="Diego Valley East Public Charter School"/>
    <s v="37 68163 0137109"/>
    <n v="0.82479999999999998"/>
    <n v="1"/>
    <n v="411"/>
    <n v="339"/>
    <n v="45416"/>
    <n v="26584"/>
    <n v="72000"/>
  </r>
  <r>
    <s v="37"/>
    <s v="68163"/>
    <s v="0138156"/>
    <s v="1992"/>
    <s v="D"/>
    <s v="JCS - Mountain Oaks"/>
    <x v="1"/>
    <s v="JCS - Mountain Oaks"/>
    <s v="37 68163 0138156"/>
    <n v="0.14349999999999999"/>
    <n v="1"/>
    <n v="237"/>
    <n v="34"/>
    <n v="26189"/>
    <n v="2666"/>
    <n v="28855"/>
  </r>
  <r>
    <s v="37"/>
    <s v="68163"/>
    <s v="0138628"/>
    <s v="2022"/>
    <s v="D"/>
    <s v="JCS - Cedar Cove"/>
    <x v="1"/>
    <s v="JCS - Cedar Cove"/>
    <s v="37 68163 0138628"/>
    <n v="0.375"/>
    <n v="1"/>
    <n v="136"/>
    <n v="51"/>
    <n v="15028"/>
    <n v="3999"/>
    <n v="19027"/>
  </r>
  <r>
    <s v="37"/>
    <s v="68163"/>
    <s v="0139402"/>
    <s v="2055"/>
    <s v="D"/>
    <s v="Brookfield Engineering Science Technology Academy"/>
    <x v="1"/>
    <s v="Brookfield Engineering Science Technology Academy"/>
    <s v="37 68163 0139402"/>
    <n v="0.70450000000000002"/>
    <n v="1"/>
    <n v="379"/>
    <n v="267"/>
    <n v="41880"/>
    <n v="20938"/>
    <n v="62818"/>
  </r>
  <r>
    <s v="37"/>
    <s v="68163"/>
    <s v="3731239"/>
    <s v="0267"/>
    <s v="D"/>
    <s v="Julian Charter"/>
    <x v="1"/>
    <s v="Julian Charter"/>
    <s v="37 68163 3731239"/>
    <n v="0.38419999999999999"/>
    <n v="1"/>
    <n v="203"/>
    <n v="78"/>
    <n v="22432"/>
    <n v="6117"/>
    <n v="28549"/>
  </r>
  <r>
    <s v="37"/>
    <s v="68171"/>
    <s v="0000000"/>
    <s v="N/A"/>
    <s v="N/A"/>
    <s v="Julian Union High"/>
    <x v="3"/>
    <s v="All Tribes Elementary Charter"/>
    <s v="37 75416 0122796"/>
    <n v="1"/>
    <n v="2"/>
    <n v="100"/>
    <n v="53"/>
    <n v="11050"/>
    <n v="4156"/>
    <n v="15206"/>
  </r>
  <r>
    <s v="37"/>
    <s v="68189"/>
    <s v="0000000"/>
    <s v="N/A"/>
    <s v="N/A"/>
    <s v="Lakeside Union Elementary"/>
    <x v="3"/>
    <s v="Lindo Park Elementary"/>
    <s v="37 68189 6038376"/>
    <n v="0.66890000000000005"/>
    <n v="11"/>
    <n v="4640"/>
    <n v="1637"/>
    <n v="512730"/>
    <n v="128372"/>
    <n v="641102"/>
  </r>
  <r>
    <s v="37"/>
    <s v="68189"/>
    <s v="3731072"/>
    <s v="0120"/>
    <s v="D"/>
    <s v="River Valley Charter"/>
    <x v="1"/>
    <s v="All Tribes Elementary Charter"/>
    <s v="37 75416 0122796"/>
    <n v="1"/>
    <n v="1"/>
    <n v="228"/>
    <n v="37"/>
    <n v="25194"/>
    <n v="2902"/>
    <n v="28096"/>
  </r>
  <r>
    <s v="37"/>
    <s v="68189"/>
    <s v="6120901"/>
    <s v="0469"/>
    <s v="D"/>
    <s v="Barona Indian Charter"/>
    <x v="1"/>
    <s v="Barona Indian Charter"/>
    <s v="37 68189 6120901"/>
    <n v="0.46910000000000002"/>
    <n v="1"/>
    <n v="81"/>
    <n v="38"/>
    <n v="8951"/>
    <n v="2980"/>
    <n v="11931"/>
  </r>
  <r>
    <s v="37"/>
    <s v="68197"/>
    <s v="0000000"/>
    <s v="N/A"/>
    <s v="N/A"/>
    <s v="La Mesa-Spring Valley"/>
    <x v="3"/>
    <s v="La Presa Elementary"/>
    <s v="37 68197 6038509"/>
    <n v="0.89249999999999996"/>
    <n v="23"/>
    <n v="10990"/>
    <n v="7094"/>
    <n v="1214412"/>
    <n v="556302"/>
    <n v="1770714"/>
  </r>
  <r>
    <s v="37"/>
    <s v="68197"/>
    <s v="0136408"/>
    <s v="1901"/>
    <s v="D"/>
    <s v="Sparrow Academy"/>
    <x v="1"/>
    <s v="Sparrow Academy"/>
    <s v="37 68197 0136408"/>
    <n v="0.28820000000000001"/>
    <n v="1"/>
    <n v="399"/>
    <n v="115"/>
    <n v="44090"/>
    <n v="9018"/>
    <n v="53108"/>
  </r>
  <r>
    <s v="37"/>
    <s v="68205"/>
    <s v="0000000"/>
    <s v="N/A"/>
    <s v="N/A"/>
    <s v="Lemon Grove"/>
    <x v="3"/>
    <s v="Lemon Grove Academy Elementary"/>
    <s v="37 68205 0141499"/>
    <n v="0.66739999999999999"/>
    <n v="9"/>
    <n v="3301"/>
    <n v="1901"/>
    <n v="364767"/>
    <n v="149076"/>
    <n v="513843"/>
  </r>
  <r>
    <s v="37"/>
    <s v="68213"/>
    <s v="0000000"/>
    <s v="N/A"/>
    <s v="N/A"/>
    <s v="Mountain Empire Unified"/>
    <x v="3"/>
    <s v="Potrero Elementary"/>
    <s v="37 68213 6097190"/>
    <n v="0.72729999999999995"/>
    <n v="11"/>
    <n v="1728"/>
    <n v="990"/>
    <n v="190948"/>
    <n v="77635"/>
    <n v="268583"/>
  </r>
  <r>
    <s v="37"/>
    <s v="68213"/>
    <s v="0123224"/>
    <s v="1264"/>
    <s v="D"/>
    <s v="San Diego Virtual"/>
    <x v="1"/>
    <s v="San Diego Virtual"/>
    <s v="37 68213 0123224"/>
    <n v="0.6482"/>
    <n v="1"/>
    <n v="398"/>
    <n v="258"/>
    <n v="43980"/>
    <n v="20232"/>
    <n v="64212"/>
  </r>
  <r>
    <s v="37"/>
    <s v="68213"/>
    <s v="0127084"/>
    <s v="1454"/>
    <s v="D"/>
    <s v="Compass Charter Schools of San Diego"/>
    <x v="1"/>
    <s v="Compass Charter Schools of San Diego"/>
    <s v="37 68213 0127084"/>
    <n v="0.51280000000000003"/>
    <n v="1"/>
    <n v="819"/>
    <n v="420"/>
    <n v="90501"/>
    <n v="32936"/>
    <n v="123437"/>
  </r>
  <r>
    <s v="37"/>
    <s v="68213"/>
    <s v="0129668"/>
    <s v="1628"/>
    <s v="D"/>
    <s v="Motivated Youth Academy"/>
    <x v="1"/>
    <s v="Motivated Youth Academy"/>
    <s v="37 68213 0129668"/>
    <n v="0.73199999999999998"/>
    <n v="1"/>
    <n v="194"/>
    <n v="142"/>
    <n v="21437"/>
    <n v="11135"/>
    <n v="32572"/>
  </r>
  <r>
    <s v="37"/>
    <s v="68213"/>
    <s v="0136978"/>
    <s v="1924"/>
    <s v="D"/>
    <s v="Elite Academic Academy - Mountain Empire"/>
    <x v="1"/>
    <s v="Elite Academic Academy - Mountain Empire"/>
    <s v="37 68213 0136978"/>
    <n v="0.41"/>
    <n v="1"/>
    <n v="817"/>
    <n v="335"/>
    <n v="90280"/>
    <n v="26270"/>
    <n v="116550"/>
  </r>
  <r>
    <s v="37"/>
    <s v="68213"/>
    <s v="0138636"/>
    <s v="2021"/>
    <s v="D"/>
    <s v="JCS - Pine Valley"/>
    <x v="1"/>
    <s v="JCS - Pine Valley"/>
    <s v="37 68213 0138636"/>
    <n v="0.56640000000000001"/>
    <n v="1"/>
    <n v="143"/>
    <n v="81"/>
    <n v="15802"/>
    <n v="6352"/>
    <n v="22154"/>
  </r>
  <r>
    <s v="37"/>
    <s v="68221"/>
    <s v="0000000"/>
    <s v="N/A"/>
    <s v="N/A"/>
    <s v="National Elementary"/>
    <x v="3"/>
    <s v="Rancho de la Nacion"/>
    <s v="37 68221 6108559"/>
    <n v="0.88360000000000005"/>
    <n v="12"/>
    <n v="4492"/>
    <n v="3456"/>
    <n v="496373"/>
    <n v="271017"/>
    <n v="767390"/>
  </r>
  <r>
    <s v="37"/>
    <s v="68221"/>
    <s v="0101360"/>
    <s v="0553"/>
    <s v="D"/>
    <s v="Integrity Charter"/>
    <x v="1"/>
    <s v="Integrity Charter"/>
    <s v="37 68221 0101360"/>
    <n v="0.84860000000000002"/>
    <n v="1"/>
    <n v="383"/>
    <n v="325"/>
    <n v="42322"/>
    <n v="25486"/>
    <n v="67808"/>
  </r>
  <r>
    <s v="37"/>
    <s v="68296"/>
    <s v="0000000"/>
    <s v="N/A"/>
    <s v="N/A"/>
    <s v="Poway Unified"/>
    <x v="3"/>
    <s v="Valley Elementary"/>
    <s v="37 68296 6039010"/>
    <n v="0.40720000000000001"/>
    <n v="40"/>
    <n v="35229"/>
    <n v="5353"/>
    <n v="3892866"/>
    <n v="419775"/>
    <n v="4312641"/>
  </r>
  <r>
    <s v="37"/>
    <s v="68304"/>
    <s v="0000000"/>
    <s v="N/A"/>
    <s v="N/A"/>
    <s v="Ramona City Unified"/>
    <x v="3"/>
    <s v="Ramona Elementary"/>
    <s v="37 68304 6039036"/>
    <n v="0.85640000000000005"/>
    <n v="12"/>
    <n v="5103"/>
    <n v="3019"/>
    <n v="563890"/>
    <n v="236747"/>
    <n v="800637"/>
  </r>
  <r>
    <s v="37"/>
    <s v="68312"/>
    <s v="0000000"/>
    <s v="N/A"/>
    <s v="N/A"/>
    <s v="Rancho Santa Fe Elementary"/>
    <x v="3"/>
    <s v="R. Roger Rowe Elementary"/>
    <s v="37 68312 6039051"/>
    <n v="4.8599999999999997E-2"/>
    <n v="3"/>
    <n v="580"/>
    <n v="24"/>
    <n v="64091"/>
    <n v="1882"/>
    <n v="65973"/>
  </r>
  <r>
    <s v="37"/>
    <s v="68338"/>
    <s v="0000000"/>
    <s v="N/A"/>
    <s v="N/A"/>
    <s v="San Diego Unified"/>
    <x v="3"/>
    <s v="Horton Elementary"/>
    <s v="37 68338 6039754"/>
    <n v="0.98709999999999998"/>
    <n v="176"/>
    <n v="95250"/>
    <n v="54190"/>
    <n v="10525289"/>
    <n v="4249529"/>
    <n v="14774818"/>
  </r>
  <r>
    <s v="37"/>
    <s v="68338"/>
    <s v="0101204"/>
    <s v="0546"/>
    <s v="D"/>
    <s v="High Tech Middle"/>
    <x v="1"/>
    <s v="All Tribes Elementary Charter"/>
    <s v="37 75416 0122796"/>
    <n v="1"/>
    <n v="1"/>
    <n v="330"/>
    <n v="146"/>
    <n v="36466"/>
    <n v="11449"/>
    <n v="47915"/>
  </r>
  <r>
    <s v="37"/>
    <s v="68338"/>
    <s v="0101345"/>
    <s v="0550"/>
    <s v="D"/>
    <s v="KIPP Adelante Preparatory Academy"/>
    <x v="1"/>
    <s v="All Tribes Elementary Charter"/>
    <s v="37 75416 0122796"/>
    <n v="1"/>
    <n v="1"/>
    <n v="352"/>
    <n v="319"/>
    <n v="38897"/>
    <n v="25016"/>
    <n v="63913"/>
  </r>
  <r>
    <s v="37"/>
    <s v="68338"/>
    <s v="0106732"/>
    <s v="0623"/>
    <s v="D"/>
    <s v="High Tech High International"/>
    <x v="1"/>
    <s v="All Tribes Elementary Charter"/>
    <s v="37 75416 0122796"/>
    <n v="1"/>
    <n v="1"/>
    <n v="396"/>
    <n v="141"/>
    <n v="43759"/>
    <n v="11057"/>
    <n v="54816"/>
  </r>
  <r>
    <s v="37"/>
    <s v="68338"/>
    <s v="0106799"/>
    <s v="0659"/>
    <s v="D"/>
    <s v="Learning Choice Academy"/>
    <x v="1"/>
    <s v="Learning Choice Academy"/>
    <s v="37 68338 0106799"/>
    <n v="0.3"/>
    <n v="1"/>
    <n v="170"/>
    <n v="51"/>
    <n v="18785"/>
    <n v="3999"/>
    <n v="22784"/>
  </r>
  <r>
    <s v="37"/>
    <s v="68338"/>
    <s v="0107573"/>
    <s v="0660"/>
    <s v="D"/>
    <s v="High Tech Middle Media Arts"/>
    <x v="1"/>
    <s v="All Tribes Elementary Charter"/>
    <s v="37 75416 0122796"/>
    <n v="1"/>
    <n v="1"/>
    <n v="341"/>
    <n v="128"/>
    <n v="37681"/>
    <n v="10038"/>
    <n v="47719"/>
  </r>
  <r>
    <s v="37"/>
    <s v="68338"/>
    <s v="0108787"/>
    <s v="0622"/>
    <s v="D"/>
    <s v="High Tech High Media Arts"/>
    <x v="1"/>
    <s v="All Tribes Elementary Charter"/>
    <s v="37 75416 0122796"/>
    <n v="1"/>
    <n v="1"/>
    <n v="389"/>
    <n v="135"/>
    <n v="42985"/>
    <n v="10587"/>
    <n v="53572"/>
  </r>
  <r>
    <s v="37"/>
    <s v="68338"/>
    <s v="0109033"/>
    <s v="0704"/>
    <s v="D"/>
    <s v="King-Chavez Arts and Athletics Academy"/>
    <x v="1"/>
    <s v="King-Chavez Arts and Athletics Academy"/>
    <s v="37 68338 0109033"/>
    <n v="0.93920000000000003"/>
    <n v="1"/>
    <n v="181"/>
    <n v="170"/>
    <n v="20001"/>
    <n v="13331"/>
    <n v="33332"/>
  </r>
  <r>
    <s v="37"/>
    <s v="68338"/>
    <s v="0109157"/>
    <s v="0698"/>
    <s v="D"/>
    <s v="Magnolia Science Academy San Diego"/>
    <x v="1"/>
    <s v="All Tribes Elementary Charter"/>
    <s v="37 75416 0122796"/>
    <n v="1"/>
    <n v="1"/>
    <n v="422"/>
    <n v="149"/>
    <n v="46632"/>
    <n v="11684"/>
    <n v="58316"/>
  </r>
  <r>
    <s v="37"/>
    <s v="68338"/>
    <s v="0111898"/>
    <s v="0773"/>
    <s v="D"/>
    <s v="Albert Einstein Academies"/>
    <x v="1"/>
    <s v="Albert Einstein Academies"/>
    <s v="37 68338 0111898"/>
    <n v="0.36809999999999998"/>
    <n v="1"/>
    <n v="1440"/>
    <n v="530"/>
    <n v="159122"/>
    <n v="41562"/>
    <n v="200684"/>
  </r>
  <r>
    <s v="37"/>
    <s v="68338"/>
    <s v="0111906"/>
    <s v="0772"/>
    <s v="D"/>
    <s v="King-Chavez Preparatory Academy"/>
    <x v="1"/>
    <s v="All Tribes Elementary Charter"/>
    <s v="37 75416 0122796"/>
    <n v="1"/>
    <n v="1"/>
    <n v="262"/>
    <n v="254"/>
    <n v="28951"/>
    <n v="19918"/>
    <n v="48869"/>
  </r>
  <r>
    <s v="37"/>
    <s v="68338"/>
    <s v="0114462"/>
    <s v="0876"/>
    <s v="D"/>
    <s v="Health Sciences High and Middle College"/>
    <x v="1"/>
    <s v="All Tribes Elementary Charter"/>
    <s v="37 75416 0122796"/>
    <n v="1"/>
    <n v="1"/>
    <n v="525"/>
    <n v="412"/>
    <n v="58013"/>
    <n v="32309"/>
    <n v="90322"/>
  </r>
  <r>
    <s v="37"/>
    <s v="68338"/>
    <s v="0118083"/>
    <s v="1024"/>
    <s v="D"/>
    <s v="Innovations Academy"/>
    <x v="1"/>
    <s v="Innovations Academy"/>
    <s v="37 68338 0118083"/>
    <n v="0.19700000000000001"/>
    <n v="1"/>
    <n v="467"/>
    <n v="92"/>
    <n v="51604"/>
    <n v="7215"/>
    <n v="58819"/>
  </r>
  <r>
    <s v="37"/>
    <s v="68338"/>
    <s v="0118851"/>
    <s v="1015"/>
    <s v="D"/>
    <s v="King-Chavez Community High"/>
    <x v="1"/>
    <s v="All Tribes Elementary Charter"/>
    <s v="37 75416 0122796"/>
    <n v="1"/>
    <n v="1"/>
    <n v="258"/>
    <n v="246"/>
    <n v="28509"/>
    <n v="19291"/>
    <n v="47800"/>
  </r>
  <r>
    <s v="37"/>
    <s v="68338"/>
    <s v="0119610"/>
    <s v="1080"/>
    <s v="D"/>
    <s v="Gompers Preparatory Academy"/>
    <x v="1"/>
    <s v="Gompers Preparatory Academy"/>
    <s v="37 68338 0119610"/>
    <n v="0.83740000000000003"/>
    <n v="1"/>
    <n v="1279"/>
    <n v="1071"/>
    <n v="141332"/>
    <n v="83987"/>
    <n v="225319"/>
  </r>
  <r>
    <s v="37"/>
    <s v="68338"/>
    <s v="0121681"/>
    <s v="1190"/>
    <s v="D"/>
    <s v="San Diego Global Vision Academy"/>
    <x v="1"/>
    <s v="San Diego Global Vision Academy"/>
    <s v="37 68338 0121681"/>
    <n v="0.6139"/>
    <n v="1"/>
    <n v="417"/>
    <n v="256"/>
    <n v="46079"/>
    <n v="20075"/>
    <n v="66154"/>
  </r>
  <r>
    <s v="37"/>
    <s v="68338"/>
    <s v="0122788"/>
    <s v="1253"/>
    <s v="D"/>
    <s v="School for Entrepreneurship and Technology"/>
    <x v="1"/>
    <s v="All Tribes Elementary Charter"/>
    <s v="37 75416 0122796"/>
    <n v="1"/>
    <n v="1"/>
    <n v="228"/>
    <n v="56"/>
    <n v="25194"/>
    <n v="4391"/>
    <n v="29585"/>
  </r>
  <r>
    <s v="37"/>
    <s v="68338"/>
    <s v="0123778"/>
    <s v="1279"/>
    <s v="D"/>
    <s v="Old Town Academy K-8 Charter"/>
    <x v="1"/>
    <s v="Old Town Academy K-8 Charter"/>
    <s v="37 68338 0123778"/>
    <n v="0.1757"/>
    <n v="1"/>
    <n v="240"/>
    <n v="42"/>
    <n v="26520"/>
    <n v="3294"/>
    <n v="29814"/>
  </r>
  <r>
    <s v="37"/>
    <s v="68338"/>
    <s v="0124347"/>
    <s v="1312"/>
    <s v="D"/>
    <s v="City Heights Preparatory Charter"/>
    <x v="1"/>
    <s v="City Heights Preparatory Charter"/>
    <s v="37 68338 0124347"/>
    <n v="0.92910000000000004"/>
    <n v="1"/>
    <n v="141"/>
    <n v="131"/>
    <n v="15581"/>
    <n v="10273"/>
    <n v="25854"/>
  </r>
  <r>
    <s v="37"/>
    <s v="68338"/>
    <s v="0126730"/>
    <s v="1447"/>
    <s v="D"/>
    <s v="Kavod Charter"/>
    <x v="1"/>
    <s v="Kavod Charter"/>
    <s v="37 68338 0126730"/>
    <n v="0.29580000000000001"/>
    <n v="1"/>
    <n v="382"/>
    <n v="113"/>
    <n v="42212"/>
    <n v="8861"/>
    <n v="51073"/>
  </r>
  <r>
    <s v="37"/>
    <s v="68338"/>
    <s v="0127647"/>
    <s v="1302"/>
    <s v="D"/>
    <s v="E3 Civic High"/>
    <x v="1"/>
    <s v="All Tribes Elementary Charter"/>
    <s v="37 75416 0122796"/>
    <n v="1"/>
    <n v="1"/>
    <n v="398"/>
    <n v="278"/>
    <n v="43980"/>
    <n v="21800"/>
    <n v="65780"/>
  </r>
  <r>
    <s v="37"/>
    <s v="68338"/>
    <s v="0129387"/>
    <s v="1634"/>
    <s v="D"/>
    <s v="Empower Language Academy"/>
    <x v="1"/>
    <s v="Empower Language Academy"/>
    <s v="37 68338 0129387"/>
    <n v="0.65069999999999995"/>
    <n v="1"/>
    <n v="146"/>
    <n v="95"/>
    <n v="16133"/>
    <n v="7450"/>
    <n v="23583"/>
  </r>
  <r>
    <s v="37"/>
    <s v="68338"/>
    <s v="0129395"/>
    <s v="1633"/>
    <s v="D"/>
    <s v="Elevate Charter"/>
    <x v="1"/>
    <s v="Elevate Charter"/>
    <s v="37 68338 0129395"/>
    <n v="0.34060000000000001"/>
    <n v="1"/>
    <n v="461"/>
    <n v="157"/>
    <n v="50941"/>
    <n v="12312"/>
    <n v="63253"/>
  </r>
  <r>
    <s v="37"/>
    <s v="68338"/>
    <s v="0131565"/>
    <s v="1709"/>
    <s v="D"/>
    <s v="High Tech Elementary"/>
    <x v="1"/>
    <s v="High Tech Elementary"/>
    <s v="37 68338 0131565"/>
    <n v="0.46529999999999999"/>
    <n v="1"/>
    <n v="432"/>
    <n v="201"/>
    <n v="47737"/>
    <n v="15762"/>
    <n v="63499"/>
  </r>
  <r>
    <s v="37"/>
    <s v="68338"/>
    <s v="0131979"/>
    <s v="1719"/>
    <s v="D"/>
    <s v="Ingenuity Charter School"/>
    <x v="1"/>
    <s v="Ingenuity Charter School"/>
    <s v="37 68338 0131979"/>
    <n v="0.90259999999999996"/>
    <n v="1"/>
    <n v="154"/>
    <n v="139"/>
    <n v="17017"/>
    <n v="10900"/>
    <n v="27917"/>
  </r>
  <r>
    <s v="37"/>
    <s v="68338"/>
    <s v="0135913"/>
    <s v="1008"/>
    <s v="D"/>
    <s v="Urban Discovery Academy Charter"/>
    <x v="1"/>
    <s v="Urban Discovery Academy Charter"/>
    <s v="37 68338 0135913"/>
    <n v="0.49740000000000001"/>
    <n v="1"/>
    <n v="382"/>
    <n v="190"/>
    <n v="42212"/>
    <n v="14900"/>
    <n v="57112"/>
  </r>
  <r>
    <s v="37"/>
    <s v="68338"/>
    <s v="0136663"/>
    <s v="1301"/>
    <s v="D"/>
    <s v="America's Finest Charter"/>
    <x v="1"/>
    <s v="America's Finest Charter"/>
    <s v="37 68338 0136663"/>
    <n v="0.95050000000000001"/>
    <n v="1"/>
    <n v="444"/>
    <n v="422"/>
    <n v="49063"/>
    <n v="33093"/>
    <n v="82156"/>
  </r>
  <r>
    <s v="37"/>
    <s v="68338"/>
    <s v="3730959"/>
    <s v="0028"/>
    <s v="D"/>
    <s v="Charter School of San Diego"/>
    <x v="1"/>
    <s v="Charter School of San Diego"/>
    <s v="37 68338 3730959"/>
    <n v="0.72440000000000004"/>
    <n v="1"/>
    <n v="1415"/>
    <n v="1025"/>
    <n v="156360"/>
    <n v="80379"/>
    <n v="236739"/>
  </r>
  <r>
    <s v="37"/>
    <s v="68338"/>
    <s v="3731189"/>
    <s v="0169"/>
    <s v="D"/>
    <s v="Preuss School UCSD"/>
    <x v="1"/>
    <s v="Preuss School UCSD"/>
    <s v="37 68338 3731189"/>
    <n v="0.90820000000000001"/>
    <n v="1"/>
    <n v="839"/>
    <n v="762"/>
    <n v="92711"/>
    <n v="59755"/>
    <n v="152466"/>
  </r>
  <r>
    <s v="37"/>
    <s v="68338"/>
    <s v="3731247"/>
    <s v="0269"/>
    <s v="D"/>
    <s v="High Tech High"/>
    <x v="1"/>
    <s v="All Tribes Elementary Charter"/>
    <s v="37 75416 0122796"/>
    <n v="1"/>
    <n v="1"/>
    <n v="521"/>
    <n v="188"/>
    <n v="57571"/>
    <n v="14743"/>
    <n v="72314"/>
  </r>
  <r>
    <s v="37"/>
    <s v="68338"/>
    <s v="3731395"/>
    <s v="0406"/>
    <s v="D"/>
    <s v="Audeo Charter"/>
    <x v="1"/>
    <s v="Audeo Charter"/>
    <s v="37 68338 3731395"/>
    <n v="0.62780000000000002"/>
    <n v="1"/>
    <n v="309"/>
    <n v="194"/>
    <n v="34145"/>
    <n v="15213"/>
    <n v="49358"/>
  </r>
  <r>
    <s v="37"/>
    <s v="68338"/>
    <s v="6039457"/>
    <s v="0033"/>
    <s v="D"/>
    <s v="Darnall Charter"/>
    <x v="1"/>
    <s v="Darnall Charter"/>
    <s v="37 68338 6039457"/>
    <n v="0.7752"/>
    <n v="1"/>
    <n v="467"/>
    <n v="362"/>
    <n v="51604"/>
    <n v="28388"/>
    <n v="79992"/>
  </r>
  <r>
    <s v="37"/>
    <s v="68338"/>
    <s v="6039812"/>
    <s v="0695"/>
    <s v="D"/>
    <s v="Keiller Leadership Academy"/>
    <x v="1"/>
    <s v="Keiller Leadership Academy"/>
    <s v="37 68338 6039812"/>
    <n v="0.84250000000000003"/>
    <n v="1"/>
    <n v="603"/>
    <n v="508"/>
    <n v="66632"/>
    <n v="39837"/>
    <n v="106469"/>
  </r>
  <r>
    <s v="37"/>
    <s v="68338"/>
    <s v="6040018"/>
    <s v="0046"/>
    <s v="D"/>
    <s v="Harriet Tubman Village Charter"/>
    <x v="1"/>
    <s v="Harriet Tubman Village Charter"/>
    <s v="37 68338 6040018"/>
    <n v="0.8841"/>
    <n v="1"/>
    <n v="440"/>
    <n v="389"/>
    <n v="48621"/>
    <n v="30505"/>
    <n v="79126"/>
  </r>
  <r>
    <s v="37"/>
    <s v="68338"/>
    <s v="6040190"/>
    <s v="0705"/>
    <s v="D"/>
    <s v="King-Chavez Primary Academy"/>
    <x v="1"/>
    <s v="King-Chavez Primary Academy"/>
    <s v="37 68338 6040190"/>
    <n v="0.96540000000000004"/>
    <n v="1"/>
    <n v="347"/>
    <n v="335"/>
    <n v="38344"/>
    <n v="26270"/>
    <n v="64614"/>
  </r>
  <r>
    <s v="37"/>
    <s v="68338"/>
    <s v="6061964"/>
    <s v="0048"/>
    <s v="D"/>
    <s v="The O'Farrell Charter"/>
    <x v="1"/>
    <s v="The O'Farrell Charter"/>
    <s v="37 68338 6061964"/>
    <n v="0.50719999999999998"/>
    <n v="1"/>
    <n v="1818"/>
    <n v="922"/>
    <n v="200892"/>
    <n v="72302"/>
    <n v="273194"/>
  </r>
  <r>
    <s v="37"/>
    <s v="68338"/>
    <s v="6113211"/>
    <s v="0095"/>
    <s v="D"/>
    <s v="McGill School of Success"/>
    <x v="1"/>
    <s v="McGill School of Success"/>
    <s v="37 68338 6113211"/>
    <n v="0.76"/>
    <n v="1"/>
    <n v="125"/>
    <n v="95"/>
    <n v="13813"/>
    <n v="7450"/>
    <n v="21263"/>
  </r>
  <r>
    <s v="37"/>
    <s v="68338"/>
    <s v="6115570"/>
    <s v="0081"/>
    <s v="D"/>
    <s v="Museum"/>
    <x v="1"/>
    <s v="Museum"/>
    <s v="37 68338 6115570"/>
    <n v="0.30180000000000001"/>
    <n v="1"/>
    <n v="222"/>
    <n v="67"/>
    <n v="24531"/>
    <n v="5254"/>
    <n v="29785"/>
  </r>
  <r>
    <s v="37"/>
    <s v="68338"/>
    <s v="6117279"/>
    <s v="0264"/>
    <s v="D"/>
    <s v="Holly Drive Leadership Academy"/>
    <x v="1"/>
    <s v="Holly Drive Leadership Academy"/>
    <s v="37 68338 6117279"/>
    <n v="0.89900000000000002"/>
    <n v="1"/>
    <n v="99"/>
    <n v="89"/>
    <n v="10940"/>
    <n v="6979"/>
    <n v="17919"/>
  </r>
  <r>
    <s v="37"/>
    <s v="68338"/>
    <s v="6117683"/>
    <s v="0278"/>
    <s v="D"/>
    <s v="High Tech Elementary Explorer"/>
    <x v="1"/>
    <s v="High Tech Elementary Explorer"/>
    <s v="37 68338 6117683"/>
    <n v="0.40960000000000002"/>
    <n v="1"/>
    <n v="376"/>
    <n v="154"/>
    <n v="41549"/>
    <n v="12077"/>
    <n v="53626"/>
  </r>
  <r>
    <s v="37"/>
    <s v="68338"/>
    <s v="6119168"/>
    <s v="0396"/>
    <s v="D"/>
    <s v="San Diego Cooperative Charter"/>
    <x v="1"/>
    <s v="San Diego Cooperative Charter"/>
    <s v="37 68338 6119168"/>
    <n v="0.50229999999999997"/>
    <n v="1"/>
    <n v="428"/>
    <n v="215"/>
    <n v="47295"/>
    <n v="16860"/>
    <n v="64155"/>
  </r>
  <r>
    <s v="37"/>
    <s v="68338"/>
    <s v="6119598"/>
    <s v="0420"/>
    <s v="D"/>
    <s v="King-Chavez Academy of Excellence"/>
    <x v="1"/>
    <s v="King-Chavez Academy of Excellence"/>
    <s v="37 68338 6119598"/>
    <n v="0.96340000000000003"/>
    <n v="1"/>
    <n v="246"/>
    <n v="237"/>
    <n v="27183"/>
    <n v="18585"/>
    <n v="45768"/>
  </r>
  <r>
    <s v="37"/>
    <s v="68346"/>
    <s v="0000000"/>
    <s v="N/A"/>
    <s v="N/A"/>
    <s v="San Dieguito Union High"/>
    <x v="3"/>
    <s v="All Tribes Elementary Charter"/>
    <s v="37 75416 0122796"/>
    <n v="1"/>
    <n v="11"/>
    <n v="12593"/>
    <n v="2046"/>
    <n v="1391546"/>
    <n v="160445"/>
    <n v="1551991"/>
  </r>
  <r>
    <s v="37"/>
    <s v="68353"/>
    <s v="0000000"/>
    <s v="N/A"/>
    <s v="N/A"/>
    <s v="San Pasqual Union Elementary"/>
    <x v="3"/>
    <s v="San Pasqual Union Elementary"/>
    <s v="37 68353 6040331"/>
    <n v="0.23250000000000001"/>
    <n v="2"/>
    <n v="488"/>
    <n v="113"/>
    <n v="53925"/>
    <n v="8861"/>
    <n v="62786"/>
  </r>
  <r>
    <s v="37"/>
    <s v="68361"/>
    <s v="0000000"/>
    <s v="N/A"/>
    <s v="N/A"/>
    <s v="Santee"/>
    <x v="3"/>
    <s v="Pepper Drive Elementary"/>
    <s v="37 68361 6040372"/>
    <n v="0.55900000000000005"/>
    <n v="12"/>
    <n v="6315"/>
    <n v="2421"/>
    <n v="697818"/>
    <n v="189852"/>
    <n v="887670"/>
  </r>
  <r>
    <s v="37"/>
    <s v="68379"/>
    <s v="0000000"/>
    <s v="N/A"/>
    <s v="N/A"/>
    <s v="San Ysidro Elementary"/>
    <x v="3"/>
    <s v="Smythe Elementary"/>
    <s v="37 68379 6085146"/>
    <n v="0.67130000000000001"/>
    <n v="8"/>
    <n v="4514"/>
    <n v="2445"/>
    <n v="498804"/>
    <n v="191736"/>
    <n v="690540"/>
  </r>
  <r>
    <s v="37"/>
    <s v="68387"/>
    <s v="0000000"/>
    <s v="N/A"/>
    <s v="N/A"/>
    <s v="Solana Beach Elementary"/>
    <x v="3"/>
    <s v="Solana Vista Elementary"/>
    <s v="37 68387 6070882"/>
    <n v="0.25979999999999998"/>
    <n v="8"/>
    <n v="2752"/>
    <n v="351"/>
    <n v="304100"/>
    <n v="27525"/>
    <n v="331625"/>
  </r>
  <r>
    <s v="37"/>
    <s v="68395"/>
    <s v="0000000"/>
    <s v="N/A"/>
    <s v="N/A"/>
    <s v="South Bay Union"/>
    <x v="3"/>
    <s v="Godfrey G. Berry Elementary"/>
    <s v="37 68395 6067029"/>
    <n v="0.75449999999999995"/>
    <n v="12"/>
    <n v="4349"/>
    <n v="3019"/>
    <n v="480572"/>
    <n v="236747"/>
    <n v="717319"/>
  </r>
  <r>
    <s v="37"/>
    <s v="68395"/>
    <s v="6040505"/>
    <s v="1418"/>
    <s v="L"/>
    <s v="Imperial Beach Charter"/>
    <x v="1"/>
    <s v="Imperial Beach Charter"/>
    <s v="37 68395 6040505"/>
    <n v="0.56089999999999995"/>
    <n v="1"/>
    <n v="792"/>
    <n v="444"/>
    <n v="87517"/>
    <n v="34818"/>
    <n v="122335"/>
  </r>
  <r>
    <s v="37"/>
    <s v="68395"/>
    <s v="6040513"/>
    <s v="1252"/>
    <s v="L"/>
    <s v="Nestor Language Academy Charter"/>
    <x v="1"/>
    <s v="Nestor Language Academy Charter"/>
    <s v="37 68395 6040513"/>
    <n v="0.52990000000000004"/>
    <n v="1"/>
    <n v="1036"/>
    <n v="549"/>
    <n v="114480"/>
    <n v="43052"/>
    <n v="157532"/>
  </r>
  <r>
    <s v="37"/>
    <s v="68403"/>
    <s v="0000000"/>
    <s v="N/A"/>
    <s v="N/A"/>
    <s v="Spencer Valley Elementary"/>
    <x v="3"/>
    <s v="Spencer Valley Elementary"/>
    <s v="37 68403 6040554"/>
    <n v="0.43180000000000002"/>
    <n v="2"/>
    <n v="44"/>
    <n v="19"/>
    <n v="4862"/>
    <n v="1490"/>
    <n v="6352"/>
  </r>
  <r>
    <s v="37"/>
    <s v="68403"/>
    <s v="0125401"/>
    <s v="1371"/>
    <s v="D"/>
    <s v="Insight @ San Diego"/>
    <x v="1"/>
    <s v="Insight @ San Diego"/>
    <s v="37 68403 0125401"/>
    <n v="0.65029999999999999"/>
    <n v="1"/>
    <n v="143"/>
    <n v="93"/>
    <n v="15802"/>
    <n v="7293"/>
    <n v="23095"/>
  </r>
  <r>
    <s v="37"/>
    <s v="68403"/>
    <s v="6120893"/>
    <s v="0493"/>
    <s v="D"/>
    <s v="California Virtual Academy @ San Diego"/>
    <x v="1"/>
    <s v="California Virtual Academy @ San Diego"/>
    <s v="37 68403 6120893"/>
    <n v="0.63749999999999996"/>
    <n v="1"/>
    <n v="3294"/>
    <n v="2100"/>
    <n v="363992"/>
    <n v="164680"/>
    <n v="528672"/>
  </r>
  <r>
    <s v="37"/>
    <s v="68411"/>
    <s v="0000000"/>
    <s v="N/A"/>
    <s v="N/A"/>
    <s v="Sweetwater Union High"/>
    <x v="3"/>
    <s v="All Tribes Elementary Charter"/>
    <s v="37 75416 0122796"/>
    <n v="1"/>
    <n v="30"/>
    <n v="36040"/>
    <n v="21404"/>
    <n v="3982479"/>
    <n v="1678477"/>
    <n v="5660956"/>
  </r>
  <r>
    <s v="37"/>
    <s v="68411"/>
    <s v="0126086"/>
    <s v="1407"/>
    <s v="D"/>
    <s v="Hawking S.T.E.A.M. Charter"/>
    <x v="1"/>
    <s v="Hawking S.T.E.A.M. Charter"/>
    <s v="37 68411 0126086"/>
    <n v="0.66769999999999996"/>
    <n v="1"/>
    <n v="1297"/>
    <n v="866"/>
    <n v="143321"/>
    <n v="67911"/>
    <n v="211232"/>
  </r>
  <r>
    <s v="37"/>
    <s v="68411"/>
    <s v="3731304"/>
    <s v="0303"/>
    <s v="D"/>
    <s v="MAAC Community Charter"/>
    <x v="1"/>
    <s v="All Tribes Elementary Charter"/>
    <s v="37 75416 0122796"/>
    <n v="1"/>
    <n v="1"/>
    <n v="236"/>
    <n v="209"/>
    <n v="26078"/>
    <n v="16390"/>
    <n v="42468"/>
  </r>
  <r>
    <s v="37"/>
    <s v="68437"/>
    <s v="0000000"/>
    <s v="N/A"/>
    <s v="N/A"/>
    <s v="Vallecitos Elementary"/>
    <x v="3"/>
    <s v="Vallecitos Elementary"/>
    <s v="37 68437 6040562"/>
    <n v="0.80320000000000003"/>
    <n v="2"/>
    <n v="188"/>
    <n v="151"/>
    <n v="20774"/>
    <n v="11841"/>
    <n v="32615"/>
  </r>
  <r>
    <s v="37"/>
    <s v="68452"/>
    <s v="0000000"/>
    <s v="N/A"/>
    <s v="N/A"/>
    <s v="Vista Unified"/>
    <x v="3"/>
    <s v="Maryland Elementary"/>
    <s v="37 68452 0111237"/>
    <n v="0.89959999999999996"/>
    <n v="29"/>
    <n v="19020"/>
    <n v="11949"/>
    <n v="2101741"/>
    <n v="937029"/>
    <n v="3038770"/>
  </r>
  <r>
    <s v="37"/>
    <s v="68452"/>
    <s v="0106120"/>
    <s v="0627"/>
    <s v="D"/>
    <s v="SIATech"/>
    <x v="1"/>
    <s v="All Tribes Elementary Charter"/>
    <s v="37 75416 0122796"/>
    <n v="1"/>
    <n v="1"/>
    <n v="743"/>
    <n v="672"/>
    <n v="82103"/>
    <n v="52698"/>
    <n v="134801"/>
  </r>
  <r>
    <s v="37"/>
    <s v="68452"/>
    <s v="0114264"/>
    <s v="0884"/>
    <s v="D"/>
    <s v="North County Trade Tech High"/>
    <x v="1"/>
    <s v="All Tribes Elementary Charter"/>
    <s v="37 75416 0122796"/>
    <n v="1"/>
    <n v="1"/>
    <n v="173"/>
    <n v="86"/>
    <n v="19117"/>
    <n v="6744"/>
    <n v="25861"/>
  </r>
  <r>
    <s v="37"/>
    <s v="68452"/>
    <s v="0124917"/>
    <s v="1351"/>
    <s v="D"/>
    <s v="Guajome Learning Center"/>
    <x v="1"/>
    <s v="Guajome Learning Center"/>
    <s v="37 68452 0124917"/>
    <n v="0.36359999999999998"/>
    <n v="1"/>
    <n v="55"/>
    <n v="20"/>
    <n v="6078"/>
    <n v="1568"/>
    <n v="7646"/>
  </r>
  <r>
    <s v="37"/>
    <s v="68452"/>
    <s v="0128223"/>
    <s v="1515"/>
    <s v="D"/>
    <s v="Bella Mente Montessori Academy"/>
    <x v="1"/>
    <s v="Bella Mente Montessori Academy"/>
    <s v="37 68452 0128223"/>
    <n v="0.55530000000000002"/>
    <n v="1"/>
    <n v="398"/>
    <n v="221"/>
    <n v="43980"/>
    <n v="17331"/>
    <n v="61311"/>
  </r>
  <r>
    <s v="37"/>
    <s v="68452"/>
    <s v="3730942"/>
    <s v="0050"/>
    <s v="D"/>
    <s v="Guajome Park Academy Charter"/>
    <x v="1"/>
    <s v="Guajome Park Academy Charter"/>
    <s v="37 68452 3730942"/>
    <n v="0.57430000000000003"/>
    <n v="1"/>
    <n v="1346"/>
    <n v="773"/>
    <n v="148735"/>
    <n v="60618"/>
    <n v="209353"/>
  </r>
  <r>
    <s v="37"/>
    <s v="73551"/>
    <s v="0000000"/>
    <s v="N/A"/>
    <s v="N/A"/>
    <s v="Carlsbad Unified"/>
    <x v="3"/>
    <s v="Jefferson Elementary"/>
    <s v="37 73551 6037782"/>
    <n v="0.48270000000000002"/>
    <n v="17"/>
    <n v="11029"/>
    <n v="2361"/>
    <n v="1218724"/>
    <n v="185147"/>
    <n v="1403871"/>
  </r>
  <r>
    <s v="37"/>
    <s v="73569"/>
    <s v="0000000"/>
    <s v="N/A"/>
    <s v="N/A"/>
    <s v="Oceanside Unified"/>
    <x v="3"/>
    <s v="Laurel Elementary"/>
    <s v="37 73569 6038848"/>
    <n v="0.94989999999999997"/>
    <n v="24"/>
    <n v="15560"/>
    <n v="11141"/>
    <n v="1719406"/>
    <n v="873666"/>
    <n v="2593072"/>
  </r>
  <r>
    <s v="37"/>
    <s v="73569"/>
    <s v="0136267"/>
    <s v="0516"/>
    <s v="D"/>
    <s v="Coastal Academy"/>
    <x v="1"/>
    <s v="Coastal Academy"/>
    <s v="37 73569 0136267"/>
    <n v="0.28170000000000001"/>
    <n v="1"/>
    <n v="1789"/>
    <n v="504"/>
    <n v="197687"/>
    <n v="39523"/>
    <n v="237210"/>
  </r>
  <r>
    <s v="37"/>
    <s v="73569"/>
    <s v="3731221"/>
    <s v="0247"/>
    <s v="D"/>
    <s v="Pacific View Charter"/>
    <x v="1"/>
    <s v="Pacific View Charter"/>
    <s v="37 73569 3731221"/>
    <n v="0.7077"/>
    <n v="1"/>
    <n v="633"/>
    <n v="448"/>
    <n v="69948"/>
    <n v="35132"/>
    <n v="105080"/>
  </r>
  <r>
    <s v="37"/>
    <s v="73791"/>
    <s v="0000000"/>
    <s v="N/A"/>
    <s v="N/A"/>
    <s v="San Marcos Unified"/>
    <x v="3"/>
    <s v="San Marcos Elementary"/>
    <s v="37 73791 6039085"/>
    <n v="0.76919999999999999"/>
    <n v="20"/>
    <n v="19668"/>
    <n v="7346"/>
    <n v="2173347"/>
    <n v="576066"/>
    <n v="2749413"/>
  </r>
  <r>
    <s v="37"/>
    <s v="73791"/>
    <s v="0138222"/>
    <s v="1983"/>
    <s v="D"/>
    <s v="Pivot Charter School - San Diego II"/>
    <x v="1"/>
    <s v="Pivot Charter School - San Diego II"/>
    <s v="37 73791 0138222"/>
    <n v="0.45779999999999998"/>
    <n v="1"/>
    <n v="83"/>
    <n v="38"/>
    <n v="9172"/>
    <n v="2980"/>
    <n v="12152"/>
  </r>
  <r>
    <s v="37"/>
    <s v="75416"/>
    <s v="0000000"/>
    <s v="N/A"/>
    <s v="N/A"/>
    <s v="Warner Unified"/>
    <x v="3"/>
    <s v="Warner Elementary"/>
    <s v="37 75416 6040661"/>
    <n v="0.76149999999999995"/>
    <n v="4"/>
    <n v="217"/>
    <n v="159"/>
    <n v="23979"/>
    <n v="12469"/>
    <n v="36448"/>
  </r>
  <r>
    <s v="37"/>
    <s v="75416"/>
    <s v="0122796"/>
    <s v="1262"/>
    <s v="D"/>
    <s v="All Tribes Elementary Charter"/>
    <x v="1"/>
    <s v="All Tribes Elementary Charter"/>
    <s v="37 75416 0122796"/>
    <n v="1"/>
    <n v="1"/>
    <n v="51"/>
    <n v="51"/>
    <n v="5636"/>
    <n v="3999"/>
    <n v="9635"/>
  </r>
  <r>
    <s v="37"/>
    <s v="75416"/>
    <s v="0132472"/>
    <s v="1758"/>
    <s v="D"/>
    <s v="California Pacific Charter Schools - San Diego"/>
    <x v="1"/>
    <s v="California Pacific Charter Schools - San Diego"/>
    <s v="37 75416 0132472"/>
    <n v="0.5837"/>
    <n v="1"/>
    <n v="245"/>
    <n v="143"/>
    <n v="27073"/>
    <n v="11214"/>
    <n v="38287"/>
  </r>
  <r>
    <s v="37"/>
    <s v="75416"/>
    <s v="0138651"/>
    <s v="2020"/>
    <s v="D"/>
    <s v="San Diego Mission Academy"/>
    <x v="1"/>
    <s v="San Diego Mission Academy"/>
    <s v="37 75416 0138651"/>
    <n v="0.63580000000000003"/>
    <n v="1"/>
    <n v="151"/>
    <n v="96"/>
    <n v="16686"/>
    <n v="7528"/>
    <n v="24214"/>
  </r>
  <r>
    <s v="37"/>
    <s v="75416"/>
    <s v="0139378"/>
    <s v="2051"/>
    <s v="D"/>
    <s v="Sage Oak Charter - South"/>
    <x v="1"/>
    <s v="Sage Oak Charter - South"/>
    <s v="37 75416 0139378"/>
    <n v="0.31809999999999999"/>
    <n v="1"/>
    <n v="371"/>
    <n v="118"/>
    <n v="40996"/>
    <n v="9253"/>
    <n v="50249"/>
  </r>
  <r>
    <s v="37"/>
    <s v="75416"/>
    <s v="0139386"/>
    <s v="2053"/>
    <s v="D"/>
    <s v="Excel Academy Charter"/>
    <x v="1"/>
    <s v="Excel Academy Charter"/>
    <s v="37 75416 0139386"/>
    <n v="0.39029999999999998"/>
    <n v="1"/>
    <n v="1048"/>
    <n v="409"/>
    <n v="115806"/>
    <n v="32073"/>
    <n v="147879"/>
  </r>
  <r>
    <s v="37"/>
    <s v="75416"/>
    <s v="0139451"/>
    <s v="2052"/>
    <s v="D"/>
    <s v="Pathways Academy Charter - Adult Education"/>
    <x v="1"/>
    <s v="All Tribes Elementary Charter"/>
    <s v="37 75416 0122796"/>
    <n v="1"/>
    <n v="1"/>
    <n v="179"/>
    <n v="59"/>
    <n v="19780"/>
    <n v="4627"/>
    <n v="24407"/>
  </r>
  <r>
    <s v="37"/>
    <s v="75416"/>
    <s v="6119275"/>
    <s v="1057"/>
    <s v="D"/>
    <s v="All Tribes Charter"/>
    <x v="1"/>
    <s v="All Tribes Charter"/>
    <s v="37 75416 6119275"/>
    <n v="1"/>
    <n v="1"/>
    <n v="59"/>
    <n v="59"/>
    <n v="6520"/>
    <n v="4627"/>
    <n v="11147"/>
  </r>
  <r>
    <s v="37"/>
    <s v="75614"/>
    <s v="0000000"/>
    <s v="N/A"/>
    <s v="N/A"/>
    <s v="Valley Center-Pauma Unified"/>
    <x v="3"/>
    <s v="Pauma Elementary"/>
    <s v="37 75614 6038962"/>
    <n v="0.76949999999999996"/>
    <n v="9"/>
    <n v="3798"/>
    <n v="1897"/>
    <n v="419684"/>
    <n v="148763"/>
    <n v="568447"/>
  </r>
  <r>
    <s v="37"/>
    <s v="76471"/>
    <s v="0114678"/>
    <s v="0756"/>
    <s v="D"/>
    <s v="High Tech High Chula Vista"/>
    <x v="1"/>
    <s v="All Tribes Elementary Charter"/>
    <s v="37 75416 0122796"/>
    <n v="1"/>
    <n v="1"/>
    <n v="639"/>
    <n v="237"/>
    <n v="70611"/>
    <n v="18585"/>
    <n v="89196"/>
  </r>
  <r>
    <s v="37"/>
    <s v="76471"/>
    <s v="0114694"/>
    <s v="0756"/>
    <s v="D"/>
    <s v="High Tech High North County"/>
    <x v="1"/>
    <s v="All Tribes Elementary Charter"/>
    <s v="37 75416 0122796"/>
    <n v="1"/>
    <n v="1"/>
    <n v="418"/>
    <n v="164"/>
    <n v="46190"/>
    <n v="12861"/>
    <n v="59051"/>
  </r>
  <r>
    <s v="37"/>
    <s v="76471"/>
    <s v="0119271"/>
    <s v="0756"/>
    <s v="D"/>
    <s v="High Tech Middle North County"/>
    <x v="1"/>
    <s v="All Tribes Elementary Charter"/>
    <s v="37 75416 0122796"/>
    <n v="1"/>
    <n v="1"/>
    <n v="336"/>
    <n v="155"/>
    <n v="37129"/>
    <n v="12155"/>
    <n v="49284"/>
  </r>
  <r>
    <s v="37"/>
    <s v="76471"/>
    <s v="0123042"/>
    <s v="0756"/>
    <s v="D"/>
    <s v="High Tech Middle Chula Vista"/>
    <x v="1"/>
    <s v="All Tribes Elementary Charter"/>
    <s v="37 75416 0122796"/>
    <n v="1"/>
    <n v="1"/>
    <n v="334"/>
    <n v="140"/>
    <n v="36908"/>
    <n v="10979"/>
    <n v="47887"/>
  </r>
  <r>
    <s v="37"/>
    <s v="76471"/>
    <s v="0123059"/>
    <s v="0756"/>
    <s v="D"/>
    <s v="High Tech Elementary Chula Vista"/>
    <x v="1"/>
    <s v="High Tech Elementary Chula Vista"/>
    <s v="37 76471 0123059"/>
    <n v="0.53600000000000003"/>
    <n v="1"/>
    <n v="431"/>
    <n v="231"/>
    <n v="47626"/>
    <n v="18115"/>
    <n v="65741"/>
  </r>
  <r>
    <s v="37"/>
    <s v="76471"/>
    <s v="0127605"/>
    <s v="0756"/>
    <s v="D"/>
    <s v="High Tech Elementary North County"/>
    <x v="1"/>
    <s v="High Tech Elementary North County"/>
    <s v="37 76471 0127605"/>
    <n v="0.50229999999999997"/>
    <n v="1"/>
    <n v="442"/>
    <n v="222"/>
    <n v="48842"/>
    <n v="17409"/>
    <n v="66251"/>
  </r>
  <r>
    <s v="37"/>
    <s v="76471"/>
    <s v="0137067"/>
    <s v="0756"/>
    <s v="D"/>
    <s v="High Tech High Mesa"/>
    <x v="1"/>
    <s v="All Tribes Elementary Charter"/>
    <s v="37 75416 0122796"/>
    <n v="1"/>
    <n v="1"/>
    <n v="434"/>
    <n v="143"/>
    <n v="47958"/>
    <n v="11214"/>
    <n v="59172"/>
  </r>
  <r>
    <s v="37"/>
    <s v="76471"/>
    <s v="0138768"/>
    <s v="0756"/>
    <s v="D"/>
    <s v="High Tech Middle Mesa"/>
    <x v="1"/>
    <s v="All Tribes Elementary Charter"/>
    <s v="37 75416 0122796"/>
    <n v="1"/>
    <n v="1"/>
    <n v="337"/>
    <n v="121"/>
    <n v="37239"/>
    <n v="9489"/>
    <n v="46728"/>
  </r>
  <r>
    <s v="37"/>
    <s v="76471"/>
    <s v="0138776"/>
    <s v="0756"/>
    <s v="D"/>
    <s v="High Tech Elementary Mesa"/>
    <x v="1"/>
    <s v="High Tech Elementary Mesa"/>
    <s v="37 76471 0138776"/>
    <n v="0.36359999999999998"/>
    <n v="1"/>
    <n v="440"/>
    <n v="160"/>
    <n v="48621"/>
    <n v="12547"/>
    <n v="61168"/>
  </r>
  <r>
    <s v="37"/>
    <s v="76851"/>
    <s v="0000000"/>
    <s v="N/A"/>
    <s v="N/A"/>
    <s v="Bonsall Unified"/>
    <x v="3"/>
    <s v="Bonsall Elementary"/>
    <s v="37 76851 6037543"/>
    <n v="0.35349999999999998"/>
    <n v="5"/>
    <n v="2089"/>
    <n v="765"/>
    <n v="230838"/>
    <n v="59990"/>
    <n v="290828"/>
  </r>
  <r>
    <s v="37"/>
    <s v="76851"/>
    <s v="6113468"/>
    <s v="0104"/>
    <s v="L"/>
    <s v="Vivian Banks Charter"/>
    <x v="1"/>
    <s v="Vivian Banks Charter"/>
    <s v="37 76851 6113468"/>
    <n v="0.59550000000000003"/>
    <n v="1"/>
    <n v="89"/>
    <n v="53"/>
    <n v="9835"/>
    <n v="4156"/>
    <n v="13991"/>
  </r>
  <r>
    <s v="37"/>
    <s v="77099"/>
    <s v="0136077"/>
    <s v="1889"/>
    <s v="D"/>
    <s v="Grossmont Secondary School"/>
    <x v="1"/>
    <s v="All Tribes Elementary Charter"/>
    <s v="37 75416 0122796"/>
    <n v="1"/>
    <n v="1"/>
    <n v="257"/>
    <n v="178"/>
    <n v="28399"/>
    <n v="13959"/>
    <n v="42358"/>
  </r>
  <r>
    <s v="37"/>
    <s v="77107"/>
    <s v="0136473"/>
    <s v="1903"/>
    <s v="D"/>
    <s v="Sweetwater Secondary"/>
    <x v="1"/>
    <s v="All Tribes Elementary Charter"/>
    <s v="37 75416 0122796"/>
    <n v="1"/>
    <n v="1"/>
    <n v="369"/>
    <n v="270"/>
    <n v="40775"/>
    <n v="21173"/>
    <n v="61948"/>
  </r>
  <r>
    <s v="37"/>
    <s v="77156"/>
    <s v="0137323"/>
    <s v="1968"/>
    <s v="D"/>
    <s v="Vista Springs Charter"/>
    <x v="1"/>
    <s v="Vista Springs Charter"/>
    <s v="37 77156 0137323"/>
    <n v="0.68289999999999995"/>
    <n v="1"/>
    <n v="246"/>
    <n v="168"/>
    <n v="27183"/>
    <n v="13174"/>
    <n v="40357"/>
  </r>
  <r>
    <s v="37"/>
    <s v="77164"/>
    <s v="0137356"/>
    <s v="1967"/>
    <s v="D"/>
    <s v="College Preparatory Middle"/>
    <x v="1"/>
    <s v="All Tribes Elementary Charter"/>
    <s v="37 75416 0122796"/>
    <n v="1"/>
    <n v="1"/>
    <n v="394"/>
    <n v="132"/>
    <n v="43538"/>
    <n v="10351"/>
    <n v="53889"/>
  </r>
  <r>
    <s v="37"/>
    <s v="77172"/>
    <s v="0138099"/>
    <s v="1966"/>
    <s v="D"/>
    <s v="Baypoint Preparatory Academy - San Diego"/>
    <x v="1"/>
    <s v="Baypoint Preparatory Academy - San Diego"/>
    <s v="37 77172 0138099"/>
    <n v="0.41710000000000003"/>
    <n v="1"/>
    <n v="199"/>
    <n v="83"/>
    <n v="21990"/>
    <n v="6509"/>
    <n v="28499"/>
  </r>
  <r>
    <s v="38"/>
    <s v="10389"/>
    <s v="0000000"/>
    <s v="N/A"/>
    <s v="N/A"/>
    <s v="San Francisco Co. Office of Education"/>
    <x v="0"/>
    <s v="Lee (Edwin and Anita) Newcomer"/>
    <s v="38 68478 6089569"/>
    <n v="1"/>
    <n v="5"/>
    <n v="276"/>
    <n v="166"/>
    <n v="30499"/>
    <n v="13018"/>
    <n v="43517"/>
  </r>
  <r>
    <s v="38"/>
    <s v="68478"/>
    <s v="0000000"/>
    <s v="N/A"/>
    <s v="N/A"/>
    <s v="San Francisco Unified"/>
    <x v="3"/>
    <s v="Lee (Edwin and Anita) Newcomer"/>
    <s v="38 68478 6089569"/>
    <n v="1"/>
    <n v="114"/>
    <n v="49816"/>
    <n v="26271"/>
    <n v="5504752"/>
    <n v="2060146"/>
    <n v="7564898"/>
  </r>
  <r>
    <s v="38"/>
    <s v="68478"/>
    <s v="0101337"/>
    <s v="0549"/>
    <s v="D"/>
    <s v="KIPP Bayview Academy"/>
    <x v="1"/>
    <s v="Lee (Edwin and Anita) Newcomer"/>
    <s v="38 68478 6089569"/>
    <n v="1"/>
    <n v="1"/>
    <n v="199"/>
    <n v="176"/>
    <n v="21990"/>
    <n v="13802"/>
    <n v="35792"/>
  </r>
  <r>
    <s v="38"/>
    <s v="68478"/>
    <s v="0101352"/>
    <s v="0551"/>
    <s v="D"/>
    <s v="KIPP San Francisco Bay Academy"/>
    <x v="1"/>
    <s v="Lee (Edwin and Anita) Newcomer"/>
    <s v="38 68478 6089569"/>
    <n v="1"/>
    <n v="1"/>
    <n v="278"/>
    <n v="264"/>
    <n v="30719"/>
    <n v="20703"/>
    <n v="51422"/>
  </r>
  <r>
    <s v="38"/>
    <s v="68478"/>
    <s v="0101774"/>
    <s v="0567"/>
    <s v="D"/>
    <s v="Five Keys Charter (SF Sheriff's)"/>
    <x v="1"/>
    <s v="Lee (Edwin and Anita) Newcomer"/>
    <s v="38 68478 6089569"/>
    <n v="1"/>
    <n v="1"/>
    <n v="135"/>
    <n v="40"/>
    <n v="14918"/>
    <n v="3137"/>
    <n v="18055"/>
  </r>
  <r>
    <s v="38"/>
    <s v="68478"/>
    <s v="0107300"/>
    <s v="0599"/>
    <s v="D"/>
    <s v="City Arts &amp; Leadership Academy"/>
    <x v="1"/>
    <s v="Lee (Edwin and Anita) Newcomer"/>
    <s v="38 68478 6089569"/>
    <n v="1"/>
    <n v="1"/>
    <n v="473"/>
    <n v="324"/>
    <n v="52267"/>
    <n v="25408"/>
    <n v="77675"/>
  </r>
  <r>
    <s v="38"/>
    <s v="68478"/>
    <s v="0118141"/>
    <s v="1028"/>
    <s v="D"/>
    <s v="Five Keys Independence HS (SF Sheriff's)"/>
    <x v="1"/>
    <s v="Lee (Edwin and Anita) Newcomer"/>
    <s v="38 68478 6089569"/>
    <n v="1"/>
    <n v="1"/>
    <n v="3019"/>
    <n v="766"/>
    <n v="333604"/>
    <n v="60069"/>
    <n v="393673"/>
  </r>
  <r>
    <s v="38"/>
    <s v="68478"/>
    <s v="0123265"/>
    <s v="1267"/>
    <s v="D"/>
    <s v="Gateway Middle"/>
    <x v="1"/>
    <s v="Lee (Edwin and Anita) Newcomer"/>
    <s v="38 68478 6089569"/>
    <n v="1"/>
    <n v="1"/>
    <n v="302"/>
    <n v="145"/>
    <n v="33371"/>
    <n v="11371"/>
    <n v="44742"/>
  </r>
  <r>
    <s v="38"/>
    <s v="68478"/>
    <s v="0123505"/>
    <s v="1270"/>
    <s v="D"/>
    <s v="Mission Preparatory"/>
    <x v="1"/>
    <s v="Mission Preparatory"/>
    <s v="38 68478 0123505"/>
    <n v="0.68440000000000001"/>
    <n v="1"/>
    <n v="469"/>
    <n v="321"/>
    <n v="51825"/>
    <n v="25172"/>
    <n v="76997"/>
  </r>
  <r>
    <s v="38"/>
    <s v="68478"/>
    <s v="0127530"/>
    <s v="1502"/>
    <s v="D"/>
    <s v="KIPP San Francisco College Preparatory"/>
    <x v="1"/>
    <s v="Lee (Edwin and Anita) Newcomer"/>
    <s v="38 68478 6089569"/>
    <n v="1"/>
    <n v="1"/>
    <n v="316"/>
    <n v="258"/>
    <n v="34919"/>
    <n v="20232"/>
    <n v="55151"/>
  </r>
  <r>
    <s v="38"/>
    <s v="68478"/>
    <s v="3830429"/>
    <s v="0140"/>
    <s v="D"/>
    <s v="Life Learning Academy Charter"/>
    <x v="1"/>
    <s v="Lee (Edwin and Anita) Newcomer"/>
    <s v="38 68478 6089569"/>
    <n v="1"/>
    <n v="1"/>
    <n v="41"/>
    <n v="36"/>
    <n v="4531"/>
    <n v="2823"/>
    <n v="7354"/>
  </r>
  <r>
    <s v="38"/>
    <s v="68478"/>
    <s v="3830437"/>
    <s v="0141"/>
    <s v="D"/>
    <s v="Gateway High"/>
    <x v="1"/>
    <s v="Lee (Edwin and Anita) Newcomer"/>
    <s v="38 68478 6089569"/>
    <n v="1"/>
    <n v="1"/>
    <n v="489"/>
    <n v="240"/>
    <n v="54035"/>
    <n v="18821"/>
    <n v="72856"/>
  </r>
  <r>
    <s v="38"/>
    <s v="68478"/>
    <s v="6040935"/>
    <s v="0158"/>
    <s v="D"/>
    <s v="Thomas Edison Charter Academy"/>
    <x v="1"/>
    <s v="Thomas Edison Charter Academy"/>
    <s v="38 68478 6040935"/>
    <n v="0.35759999999999997"/>
    <n v="1"/>
    <n v="590"/>
    <n v="211"/>
    <n v="65196"/>
    <n v="16546"/>
    <n v="81742"/>
  </r>
  <r>
    <s v="38"/>
    <s v="68478"/>
    <s v="6112601"/>
    <s v="0040"/>
    <s v="D"/>
    <s v="Creative Arts Charter"/>
    <x v="1"/>
    <s v="Creative Arts Charter"/>
    <s v="38 68478 6112601"/>
    <n v="0.1837"/>
    <n v="1"/>
    <n v="441"/>
    <n v="81"/>
    <n v="48731"/>
    <n v="6352"/>
    <n v="55083"/>
  </r>
  <r>
    <s v="38"/>
    <s v="76927"/>
    <s v="0132183"/>
    <s v="1742"/>
    <s v="D"/>
    <s v="The New School of San Francisco"/>
    <x v="1"/>
    <s v="The New School of San Francisco"/>
    <s v="38 76927 0132183"/>
    <n v="0.33710000000000001"/>
    <n v="1"/>
    <n v="439"/>
    <n v="148"/>
    <n v="48510"/>
    <n v="11606"/>
    <n v="60116"/>
  </r>
  <r>
    <s v="38"/>
    <s v="77131"/>
    <s v="0137307"/>
    <s v="1954"/>
    <s v="D"/>
    <s v="KIPP Bayview Elementary School"/>
    <x v="1"/>
    <s v="KIPP Bayview Elementary School"/>
    <s v="38 77131 0137307"/>
    <n v="0.92549999999999999"/>
    <n v="1"/>
    <n v="161"/>
    <n v="149"/>
    <n v="17791"/>
    <n v="11684"/>
    <n v="29475"/>
  </r>
  <r>
    <s v="39"/>
    <s v="10397"/>
    <s v="0000000"/>
    <s v="N/A"/>
    <s v="N/A"/>
    <s v="San Joaquin Co. Office of Education"/>
    <x v="0"/>
    <s v="Lawrence Elementary"/>
    <s v="39 68585 6042147"/>
    <n v="0.96760000000000002"/>
    <n v="4"/>
    <n v="2609"/>
    <n v="1922"/>
    <n v="288300"/>
    <n v="150722"/>
    <n v="439022"/>
  </r>
  <r>
    <s v="39"/>
    <s v="10397"/>
    <s v="0120717"/>
    <s v="1146"/>
    <s v="D"/>
    <s v="one.Charter"/>
    <x v="1"/>
    <s v="Lawrence Elementary"/>
    <s v="39 68585 6042147"/>
    <n v="0.96760000000000002"/>
    <n v="1"/>
    <n v="846"/>
    <n v="637"/>
    <n v="93484"/>
    <n v="49953"/>
    <n v="143437"/>
  </r>
  <r>
    <s v="39"/>
    <s v="10397"/>
    <s v="0124958"/>
    <s v="1360"/>
    <s v="D"/>
    <s v="TEAM Charter"/>
    <x v="1"/>
    <s v="TEAM Charter"/>
    <s v="39 10397 0124958"/>
    <n v="0.77359999999999995"/>
    <n v="1"/>
    <n v="596"/>
    <n v="461"/>
    <n v="65859"/>
    <n v="36151"/>
    <n v="102010"/>
  </r>
  <r>
    <s v="39"/>
    <s v="10397"/>
    <s v="3930476"/>
    <s v="0423"/>
    <s v="D"/>
    <s v="Venture Academy"/>
    <x v="1"/>
    <s v="Lawrence Elementary"/>
    <s v="39 68585 6042147"/>
    <n v="0.96760000000000002"/>
    <n v="1"/>
    <n v="1644"/>
    <n v="1063"/>
    <n v="181665"/>
    <n v="83359"/>
    <n v="265024"/>
  </r>
  <r>
    <s v="39"/>
    <s v="68502"/>
    <s v="0000000"/>
    <s v="N/A"/>
    <s v="N/A"/>
    <s v="Escalon Unified"/>
    <x v="3"/>
    <s v="Farmington Elementary"/>
    <s v="39 68502 6041800"/>
    <n v="0.71719999999999995"/>
    <n v="8"/>
    <n v="2670"/>
    <n v="1197"/>
    <n v="295041"/>
    <n v="93867"/>
    <n v="388908"/>
  </r>
  <r>
    <s v="39"/>
    <s v="68502"/>
    <s v="0126011"/>
    <s v="1416"/>
    <s v="D"/>
    <s v="Escalon Charter Academy"/>
    <x v="1"/>
    <s v="Escalon Charter Academy"/>
    <s v="39 68502 0126011"/>
    <n v="0.22539999999999999"/>
    <n v="1"/>
    <n v="315"/>
    <n v="71"/>
    <n v="34808"/>
    <n v="5568"/>
    <n v="40376"/>
  </r>
  <r>
    <s v="39"/>
    <s v="68544"/>
    <s v="0000000"/>
    <s v="N/A"/>
    <s v="N/A"/>
    <s v="Jefferson Elementary"/>
    <x v="3"/>
    <s v="Anthony C. Traina Elementary"/>
    <s v="39 68544 0105718"/>
    <n v="0.34189999999999998"/>
    <n v="5"/>
    <n v="2638"/>
    <n v="635"/>
    <n v="291504"/>
    <n v="49797"/>
    <n v="341301"/>
  </r>
  <r>
    <s v="39"/>
    <s v="68569"/>
    <s v="0000000"/>
    <s v="N/A"/>
    <s v="N/A"/>
    <s v="Lincoln Unified"/>
    <x v="3"/>
    <s v="Claudia Landeen"/>
    <s v="39 68569 6104020"/>
    <n v="0.77329999999999999"/>
    <n v="14"/>
    <n v="8613"/>
    <n v="5423"/>
    <n v="951751"/>
    <n v="425267"/>
    <n v="1377018"/>
  </r>
  <r>
    <s v="39"/>
    <s v="68569"/>
    <s v="0132415"/>
    <s v="1732"/>
    <s v="L"/>
    <s v="John McCandless Charter"/>
    <x v="1"/>
    <s v="John McCandless Charter"/>
    <s v="39 68569 0132415"/>
    <n v="0.50439999999999996"/>
    <n v="1"/>
    <n v="458"/>
    <n v="231"/>
    <n v="50610"/>
    <n v="18115"/>
    <n v="68725"/>
  </r>
  <r>
    <s v="39"/>
    <s v="68577"/>
    <s v="0000000"/>
    <s v="N/A"/>
    <s v="N/A"/>
    <s v="Linden Unified"/>
    <x v="3"/>
    <s v="Glenwood Elementary"/>
    <s v="39 68577 6041966"/>
    <n v="0.76829999999999998"/>
    <n v="7"/>
    <n v="2284"/>
    <n v="1530"/>
    <n v="252388"/>
    <n v="119981"/>
    <n v="372369"/>
  </r>
  <r>
    <s v="39"/>
    <s v="68585"/>
    <s v="0000000"/>
    <s v="N/A"/>
    <s v="N/A"/>
    <s v="Lodi Unified"/>
    <x v="3"/>
    <s v="Lawrence Elementary"/>
    <s v="39 68585 6042147"/>
    <n v="0.96760000000000002"/>
    <n v="49"/>
    <n v="27293"/>
    <n v="20221"/>
    <n v="3015920"/>
    <n v="1585712"/>
    <n v="4601632"/>
  </r>
  <r>
    <s v="39"/>
    <s v="68585"/>
    <s v="0101956"/>
    <s v="0565"/>
    <s v="D"/>
    <s v="Aspire Benjamin Holt College Preparatory Academy"/>
    <x v="1"/>
    <s v="Lawrence Elementary"/>
    <s v="39 68585 6042147"/>
    <n v="0.96760000000000002"/>
    <n v="1"/>
    <n v="685"/>
    <n v="338"/>
    <n v="75694"/>
    <n v="26506"/>
    <n v="102200"/>
  </r>
  <r>
    <s v="39"/>
    <s v="68585"/>
    <s v="0122580"/>
    <s v="1229"/>
    <s v="D"/>
    <s v="Rio Valley Charter"/>
    <x v="1"/>
    <s v="Rio Valley Charter"/>
    <s v="39 68585 0122580"/>
    <n v="0.54510000000000003"/>
    <n v="1"/>
    <n v="787"/>
    <n v="429"/>
    <n v="86965"/>
    <n v="33642"/>
    <n v="120607"/>
  </r>
  <r>
    <s v="39"/>
    <s v="68585"/>
    <s v="0133678"/>
    <s v="1782"/>
    <s v="D"/>
    <s v="Aspire Benjamin Holt Middle"/>
    <x v="1"/>
    <s v="Lawrence Elementary"/>
    <s v="39 68585 6042147"/>
    <n v="0.96760000000000002"/>
    <n v="1"/>
    <n v="567"/>
    <n v="326"/>
    <n v="62654"/>
    <n v="25565"/>
    <n v="88219"/>
  </r>
  <r>
    <s v="39"/>
    <s v="68585"/>
    <s v="6116594"/>
    <s v="0178"/>
    <s v="D"/>
    <s v="Aspire Vincent Shalvey Academy"/>
    <x v="1"/>
    <s v="Aspire Vincent Shalvey Academy"/>
    <s v="39 68585 6116594"/>
    <n v="0.54039999999999999"/>
    <n v="1"/>
    <n v="446"/>
    <n v="241"/>
    <n v="49284"/>
    <n v="18899"/>
    <n v="68183"/>
  </r>
  <r>
    <s v="39"/>
    <s v="68585"/>
    <s v="6117675"/>
    <s v="0288"/>
    <s v="L"/>
    <s v="Joe Serna Jr. Charter"/>
    <x v="1"/>
    <s v="Joe Serna Jr. Charter"/>
    <s v="39 68585 6117675"/>
    <n v="0.63590000000000002"/>
    <n v="1"/>
    <n v="358"/>
    <n v="228"/>
    <n v="39560"/>
    <n v="17880"/>
    <n v="57440"/>
  </r>
  <r>
    <s v="39"/>
    <s v="68585"/>
    <s v="6118921"/>
    <s v="0364"/>
    <s v="D"/>
    <s v="Aspire River Oaks Charter"/>
    <x v="1"/>
    <s v="Aspire River Oaks Charter"/>
    <s v="39 68585 6118921"/>
    <n v="0.75719999999999998"/>
    <n v="1"/>
    <n v="453"/>
    <n v="343"/>
    <n v="50057"/>
    <n v="26898"/>
    <n v="76955"/>
  </r>
  <r>
    <s v="39"/>
    <s v="68593"/>
    <s v="0000000"/>
    <s v="N/A"/>
    <s v="N/A"/>
    <s v="Manteca Unified"/>
    <x v="3"/>
    <s v="French Camp Elementary"/>
    <s v="39 68593 6042311"/>
    <n v="0.79139999999999999"/>
    <n v="31"/>
    <n v="24964"/>
    <n v="13632"/>
    <n v="2758563"/>
    <n v="1069009"/>
    <n v="3827572"/>
  </r>
  <r>
    <s v="39"/>
    <s v="68619"/>
    <s v="0000000"/>
    <s v="N/A"/>
    <s v="N/A"/>
    <s v="New Hope Elementary"/>
    <x v="3"/>
    <s v="New Hope Elementary"/>
    <s v="39 68619 6042428"/>
    <n v="0.7571"/>
    <n v="2"/>
    <n v="179"/>
    <n v="136"/>
    <n v="19780"/>
    <n v="10665"/>
    <n v="30445"/>
  </r>
  <r>
    <s v="39"/>
    <s v="68627"/>
    <s v="0000000"/>
    <s v="N/A"/>
    <s v="N/A"/>
    <s v="New Jerusalem Elementary"/>
    <x v="3"/>
    <s v="New Jerusalem Elementary"/>
    <s v="39 68627 6042436"/>
    <n v="0.56520000000000004"/>
    <n v="2"/>
    <n v="23"/>
    <n v="13"/>
    <n v="2542"/>
    <n v="1019"/>
    <n v="3561"/>
  </r>
  <r>
    <s v="39"/>
    <s v="68627"/>
    <s v="0117796"/>
    <s v="1003"/>
    <s v="L"/>
    <s v="New Jerusalem"/>
    <x v="1"/>
    <s v="New Jerusalem"/>
    <s v="39 68627 0117796"/>
    <n v="0.61370000000000002"/>
    <n v="1"/>
    <n v="233"/>
    <n v="143"/>
    <n v="25747"/>
    <n v="11214"/>
    <n v="36961"/>
  </r>
  <r>
    <s v="39"/>
    <s v="68627"/>
    <s v="0126755"/>
    <s v="1448"/>
    <s v="D"/>
    <s v="ABLE Charter"/>
    <x v="1"/>
    <s v="ABLE Charter"/>
    <s v="39 68627 0126755"/>
    <n v="0.72330000000000005"/>
    <n v="1"/>
    <n v="1189"/>
    <n v="860"/>
    <n v="131386"/>
    <n v="67440"/>
    <n v="198826"/>
  </r>
  <r>
    <s v="39"/>
    <s v="68627"/>
    <s v="0127191"/>
    <s v="1489"/>
    <s v="D"/>
    <s v="California Virtual Academy @ San Joaquin"/>
    <x v="1"/>
    <s v="California Virtual Academy @ San Joaquin"/>
    <s v="39 68627 0127191"/>
    <n v="0.63880000000000003"/>
    <n v="1"/>
    <n v="2561"/>
    <n v="1636"/>
    <n v="282995"/>
    <n v="128293"/>
    <n v="411288"/>
  </r>
  <r>
    <s v="39"/>
    <s v="68627"/>
    <s v="0129890"/>
    <s v="1646"/>
    <s v="L"/>
    <s v="Delta Home Charter"/>
    <x v="1"/>
    <s v="Delta Home Charter"/>
    <s v="39 68627 0129890"/>
    <n v="0.48959999999999998"/>
    <n v="1"/>
    <n v="241"/>
    <n v="118"/>
    <n v="26631"/>
    <n v="9253"/>
    <n v="35884"/>
  </r>
  <r>
    <s v="39"/>
    <s v="68627"/>
    <s v="0129916"/>
    <s v="1644"/>
    <s v="D"/>
    <s v="Valley View Charter Prep"/>
    <x v="1"/>
    <s v="Valley View Charter Prep"/>
    <s v="39 68627 0129916"/>
    <n v="0.26100000000000001"/>
    <n v="1"/>
    <n v="613"/>
    <n v="160"/>
    <n v="67738"/>
    <n v="12547"/>
    <n v="80285"/>
  </r>
  <r>
    <s v="39"/>
    <s v="68627"/>
    <s v="0132050"/>
    <s v="1731"/>
    <s v="D"/>
    <s v="Astronaut Jose M. Hernandez Academy"/>
    <x v="1"/>
    <s v="Astronaut Jose M. Hernandez Academy"/>
    <s v="39 68627 0132050"/>
    <n v="0.77569999999999995"/>
    <n v="1"/>
    <n v="214"/>
    <n v="166"/>
    <n v="23647"/>
    <n v="13018"/>
    <n v="36665"/>
  </r>
  <r>
    <s v="39"/>
    <s v="68627"/>
    <s v="0133116"/>
    <s v="1762"/>
    <s v="D"/>
    <s v="Insight @ San Joaquin"/>
    <x v="1"/>
    <s v="Insight @ San Joaquin"/>
    <s v="39 68627 0133116"/>
    <n v="0.58509999999999995"/>
    <n v="1"/>
    <n v="188"/>
    <n v="110"/>
    <n v="20774"/>
    <n v="8626"/>
    <n v="29400"/>
  </r>
  <r>
    <s v="39"/>
    <s v="68627"/>
    <s v="0136028"/>
    <s v="1878"/>
    <s v="L"/>
    <s v="Delta Keys Charter"/>
    <x v="1"/>
    <s v="Delta Keys Charter"/>
    <s v="39 68627 0136028"/>
    <n v="0.70730000000000004"/>
    <n v="1"/>
    <n v="123"/>
    <n v="87"/>
    <n v="13592"/>
    <n v="6822"/>
    <n v="20414"/>
  </r>
  <r>
    <s v="39"/>
    <s v="68627"/>
    <s v="0136135"/>
    <s v="1879"/>
    <s v="L"/>
    <s v="Delta Charter Online"/>
    <x v="1"/>
    <s v="Delta Charter Online"/>
    <s v="39 68627 0136135"/>
    <n v="0.49569999999999997"/>
    <n v="1"/>
    <n v="232"/>
    <n v="115"/>
    <n v="25636"/>
    <n v="9018"/>
    <n v="34654"/>
  </r>
  <r>
    <s v="39"/>
    <s v="68627"/>
    <s v="6119309"/>
    <s v="0393"/>
    <s v="L"/>
    <s v="Delta Charter"/>
    <x v="1"/>
    <s v="Delta Charter"/>
    <s v="39 68627 6119309"/>
    <n v="0.48749999999999999"/>
    <n v="1"/>
    <n v="798"/>
    <n v="389"/>
    <n v="88180"/>
    <n v="30505"/>
    <n v="118685"/>
  </r>
  <r>
    <s v="39"/>
    <s v="68635"/>
    <s v="0000000"/>
    <s v="N/A"/>
    <s v="N/A"/>
    <s v="Oak View Union Elementary"/>
    <x v="3"/>
    <s v="Oak View Elementary"/>
    <s v="39 68635 6042444"/>
    <n v="0.42480000000000001"/>
    <n v="2"/>
    <n v="382"/>
    <n v="162"/>
    <n v="42212"/>
    <n v="12704"/>
    <n v="54916"/>
  </r>
  <r>
    <s v="39"/>
    <s v="68650"/>
    <s v="0000000"/>
    <s v="N/A"/>
    <s v="N/A"/>
    <s v="Ripon Unified"/>
    <x v="3"/>
    <s v="Ripona Elementary"/>
    <s v="39 68650 6042485"/>
    <n v="0.47710000000000002"/>
    <n v="8"/>
    <n v="3322"/>
    <n v="1041"/>
    <n v="367088"/>
    <n v="81634"/>
    <n v="448722"/>
  </r>
  <r>
    <s v="39"/>
    <s v="68650"/>
    <s v="0125849"/>
    <s v="1398"/>
    <s v="D"/>
    <s v="California Connections Academy Northern California"/>
    <x v="1"/>
    <s v="California Connections Academy Northern California"/>
    <s v="39 68650 0125849"/>
    <n v="0.48070000000000002"/>
    <n v="1"/>
    <n v="1766"/>
    <n v="849"/>
    <n v="195146"/>
    <n v="66578"/>
    <n v="261724"/>
  </r>
  <r>
    <s v="39"/>
    <s v="68676"/>
    <s v="0000000"/>
    <s v="N/A"/>
    <s v="N/A"/>
    <s v="Stockton Unified"/>
    <x v="3"/>
    <s v="Spanos (Alex G.) Elementary"/>
    <s v="39 68676 0118752"/>
    <n v="0.92359999999999998"/>
    <n v="50"/>
    <n v="34453"/>
    <n v="26482"/>
    <n v="3807113"/>
    <n v="2076689"/>
    <n v="5883802"/>
  </r>
  <r>
    <s v="39"/>
    <s v="68676"/>
    <s v="0108647"/>
    <s v="0554"/>
    <s v="D"/>
    <s v="Aspire Rosa Parks Academy"/>
    <x v="1"/>
    <s v="Aspire Rosa Parks Academy"/>
    <s v="39 68676 0108647"/>
    <n v="0.84260000000000002"/>
    <n v="1"/>
    <n v="394"/>
    <n v="332"/>
    <n v="43538"/>
    <n v="26035"/>
    <n v="69573"/>
  </r>
  <r>
    <s v="39"/>
    <s v="68676"/>
    <s v="0111336"/>
    <s v="1197"/>
    <s v="L"/>
    <s v="Pittman Charter"/>
    <x v="1"/>
    <s v="Pittman Charter"/>
    <s v="39 68676 0111336"/>
    <n v="0.81589999999999996"/>
    <n v="1"/>
    <n v="682"/>
    <n v="556"/>
    <n v="75362"/>
    <n v="43601"/>
    <n v="118963"/>
  </r>
  <r>
    <s v="39"/>
    <s v="68676"/>
    <s v="0114876"/>
    <s v="1553"/>
    <s v="D"/>
    <s v="Aspire Port City Academy"/>
    <x v="1"/>
    <s v="Aspire Port City Academy"/>
    <s v="39 68676 0114876"/>
    <n v="0.76229999999999998"/>
    <n v="1"/>
    <n v="446"/>
    <n v="340"/>
    <n v="49284"/>
    <n v="26662"/>
    <n v="75946"/>
  </r>
  <r>
    <s v="39"/>
    <s v="68676"/>
    <s v="0117853"/>
    <s v="1027"/>
    <s v="D"/>
    <s v="Dr. Lewis Dolphin Stallworth Sr. Charter"/>
    <x v="1"/>
    <s v="Dr. Lewis Dolphin Stallworth Sr. Charter"/>
    <s v="39 68676 0117853"/>
    <n v="0.96150000000000002"/>
    <n v="1"/>
    <n v="260"/>
    <n v="250"/>
    <n v="28730"/>
    <n v="19605"/>
    <n v="48335"/>
  </r>
  <r>
    <s v="39"/>
    <s v="68676"/>
    <s v="0118497"/>
    <s v="1048"/>
    <s v="D"/>
    <s v="Aspire Langston Hughes Academy"/>
    <x v="1"/>
    <s v="Aspire Langston Hughes Academy"/>
    <s v="39 68676 0118497"/>
    <n v="0.65839999999999999"/>
    <n v="1"/>
    <n v="770"/>
    <n v="507"/>
    <n v="85086"/>
    <n v="39758"/>
    <n v="124844"/>
  </r>
  <r>
    <s v="39"/>
    <s v="68676"/>
    <s v="0119743"/>
    <s v="1083"/>
    <s v="L"/>
    <s v="Stockton Early College Academy"/>
    <x v="1"/>
    <s v="Lawrence Elementary"/>
    <s v="39 68585 6042147"/>
    <n v="0.96760000000000002"/>
    <n v="1"/>
    <n v="428"/>
    <n v="255"/>
    <n v="47295"/>
    <n v="19997"/>
    <n v="67292"/>
  </r>
  <r>
    <s v="39"/>
    <s v="68676"/>
    <s v="0120725"/>
    <s v="1142"/>
    <s v="D"/>
    <s v="Stockton Collegiate International Elementary"/>
    <x v="1"/>
    <s v="Stockton Collegiate International Elementary"/>
    <s v="39 68676 0120725"/>
    <n v="0.5181"/>
    <n v="1"/>
    <n v="386"/>
    <n v="200"/>
    <n v="42654"/>
    <n v="15684"/>
    <n v="58338"/>
  </r>
  <r>
    <s v="39"/>
    <s v="68676"/>
    <s v="0120733"/>
    <s v="1143"/>
    <s v="D"/>
    <s v="Stockton Collegiate International Secondary"/>
    <x v="1"/>
    <s v="Stockton Collegiate International Secondary"/>
    <s v="39 68676 0120733"/>
    <n v="0.32290000000000002"/>
    <n v="1"/>
    <n v="449"/>
    <n v="145"/>
    <n v="49615"/>
    <n v="11371"/>
    <n v="60986"/>
  </r>
  <r>
    <s v="39"/>
    <s v="68676"/>
    <s v="0121541"/>
    <s v="1552"/>
    <s v="D"/>
    <s v="Aspire APEX Academy"/>
    <x v="1"/>
    <s v="Aspire APEX Academy"/>
    <s v="39 68676 0121541"/>
    <n v="0.76870000000000005"/>
    <n v="1"/>
    <n v="307"/>
    <n v="236"/>
    <n v="33924"/>
    <n v="18507"/>
    <n v="52431"/>
  </r>
  <r>
    <s v="39"/>
    <s v="68676"/>
    <s v="0123802"/>
    <s v="1283"/>
    <s v="L"/>
    <s v="Health Careers Academy"/>
    <x v="1"/>
    <s v="Lawrence Elementary"/>
    <s v="39 68585 6042147"/>
    <n v="0.96760000000000002"/>
    <n v="1"/>
    <n v="407"/>
    <n v="296"/>
    <n v="44974"/>
    <n v="23212"/>
    <n v="68186"/>
  </r>
  <r>
    <s v="39"/>
    <s v="68676"/>
    <s v="0124248"/>
    <s v="1316"/>
    <s v="L"/>
    <s v="Pacific Law Academy"/>
    <x v="1"/>
    <s v="Lawrence Elementary"/>
    <s v="39 68585 6042147"/>
    <n v="0.96760000000000002"/>
    <n v="1"/>
    <n v="184"/>
    <n v="100"/>
    <n v="20332"/>
    <n v="7842"/>
    <n v="28174"/>
  </r>
  <r>
    <s v="39"/>
    <s v="68676"/>
    <s v="0136283"/>
    <s v="1890"/>
    <s v="D"/>
    <s v="Team Charter Academy"/>
    <x v="1"/>
    <s v="Lawrence Elementary"/>
    <s v="39 68585 6042147"/>
    <n v="0.96760000000000002"/>
    <n v="1"/>
    <n v="195"/>
    <n v="160"/>
    <n v="21548"/>
    <n v="12547"/>
    <n v="34095"/>
  </r>
  <r>
    <s v="39"/>
    <s v="68676"/>
    <s v="0139865"/>
    <s v="2064"/>
    <s v="D"/>
    <s v="Aspire Stockton 6-12 Secondary Academy"/>
    <x v="1"/>
    <s v="Aspire Stockton 6-12 Secondary Academy"/>
    <s v="39 68676 0139865"/>
    <n v="0.90849999999999997"/>
    <n v="1"/>
    <n v="142"/>
    <n v="129"/>
    <n v="15691"/>
    <n v="10116"/>
    <n v="25807"/>
  </r>
  <r>
    <s v="39"/>
    <s v="68676"/>
    <s v="0139907"/>
    <s v="2077"/>
    <s v="D"/>
    <s v="Voices College Bound Language Academy at Stockton"/>
    <x v="1"/>
    <s v="Voices College Bound Language Academy at Stockton"/>
    <s v="39 68676 0139907"/>
    <n v="0.62139999999999995"/>
    <n v="1"/>
    <n v="103"/>
    <n v="64"/>
    <n v="11382"/>
    <n v="5019"/>
    <n v="16401"/>
  </r>
  <r>
    <s v="39"/>
    <s v="68676"/>
    <s v="0139923"/>
    <s v="2063"/>
    <s v="D"/>
    <s v="Aspire Arts &amp; Sciences Academy"/>
    <x v="1"/>
    <s v="Aspire Arts &amp; Sciences Academy"/>
    <s v="39 68676 0139923"/>
    <n v="0.68510000000000004"/>
    <n v="1"/>
    <n v="181"/>
    <n v="124"/>
    <n v="20001"/>
    <n v="9724"/>
    <n v="29725"/>
  </r>
  <r>
    <s v="39"/>
    <s v="68676"/>
    <s v="0140616"/>
    <s v="2109"/>
    <s v="D"/>
    <s v="KIPP Stockton"/>
    <x v="1"/>
    <s v="KIPP Stockton"/>
    <s v="39 68676 0140616"/>
    <n v="0.89870000000000005"/>
    <n v="1"/>
    <n v="79"/>
    <n v="71"/>
    <n v="8730"/>
    <n v="5568"/>
    <n v="14298"/>
  </r>
  <r>
    <s v="39"/>
    <s v="68676"/>
    <s v="0141358"/>
    <s v="2124"/>
    <s v="D"/>
    <s v="KIPP University Park"/>
    <x v="1"/>
    <s v="KIPP University Park"/>
    <s v="39 68676 0141358"/>
    <n v="0.90910000000000002"/>
    <n v="1"/>
    <n v="33"/>
    <n v="30"/>
    <n v="3647"/>
    <n v="2353"/>
    <n v="6000"/>
  </r>
  <r>
    <s v="39"/>
    <s v="68676"/>
    <s v="6042725"/>
    <s v="1318"/>
    <s v="L"/>
    <s v="Nightingale Charter"/>
    <x v="1"/>
    <s v="Nightingale Charter"/>
    <s v="39 68676 6042725"/>
    <n v="0.77480000000000004"/>
    <n v="1"/>
    <n v="417"/>
    <n v="323"/>
    <n v="46079"/>
    <n v="25329"/>
    <n v="71408"/>
  </r>
  <r>
    <s v="39"/>
    <s v="75499"/>
    <s v="0000000"/>
    <s v="N/A"/>
    <s v="N/A"/>
    <s v="Tracy Joint Unified"/>
    <x v="3"/>
    <s v="Central Elementary"/>
    <s v="39 75499 6042832"/>
    <n v="0.85499999999999998"/>
    <n v="20"/>
    <n v="13749"/>
    <n v="7674"/>
    <n v="1519288"/>
    <n v="601788"/>
    <n v="2121076"/>
  </r>
  <r>
    <s v="39"/>
    <s v="75499"/>
    <s v="0102384"/>
    <s v="0607"/>
    <s v="D"/>
    <s v="Primary Charter"/>
    <x v="1"/>
    <s v="Primary Charter"/>
    <s v="39 75499 0102384"/>
    <n v="0.1915"/>
    <n v="1"/>
    <n v="402"/>
    <n v="77"/>
    <n v="44422"/>
    <n v="6038"/>
    <n v="50460"/>
  </r>
  <r>
    <s v="39"/>
    <s v="75499"/>
    <s v="0102392"/>
    <s v="0606"/>
    <s v="D"/>
    <s v="Millennium Charter"/>
    <x v="1"/>
    <s v="Lawrence Elementary"/>
    <s v="39 68585 6042147"/>
    <n v="0.96760000000000002"/>
    <n v="1"/>
    <n v="478"/>
    <n v="160"/>
    <n v="52820"/>
    <n v="12547"/>
    <n v="65367"/>
  </r>
  <r>
    <s v="39"/>
    <s v="75499"/>
    <s v="0139949"/>
    <s v="2090"/>
    <s v="L"/>
    <s v="Tracy Independent Study Charter"/>
    <x v="1"/>
    <s v="Tracy Independent Study Charter"/>
    <s v="39 75499 0139949"/>
    <n v="0.63"/>
    <n v="1"/>
    <n v="300"/>
    <n v="189"/>
    <n v="33150"/>
    <n v="14821"/>
    <n v="47971"/>
  </r>
  <r>
    <s v="39"/>
    <s v="75499"/>
    <s v="6118665"/>
    <s v="0355"/>
    <s v="D"/>
    <s v="Discovery Charter"/>
    <x v="1"/>
    <s v="Lawrence Elementary"/>
    <s v="39 68585 6042147"/>
    <n v="0.96760000000000002"/>
    <n v="1"/>
    <n v="365"/>
    <n v="84"/>
    <n v="40333"/>
    <n v="6587"/>
    <n v="46920"/>
  </r>
  <r>
    <s v="39"/>
    <s v="76760"/>
    <s v="0000000"/>
    <s v="N/A"/>
    <s v="N/A"/>
    <s v="Lammersville Joint Unified"/>
    <x v="3"/>
    <s v="Lammersville Elementary"/>
    <s v="39 76760 6041883"/>
    <n v="0.31580000000000003"/>
    <n v="10"/>
    <n v="7539"/>
    <n v="922"/>
    <n v="833073"/>
    <n v="72303"/>
    <n v="905376"/>
  </r>
  <r>
    <s v="39"/>
    <s v="77388"/>
    <s v="0000000"/>
    <s v="N/A"/>
    <s v="N/A"/>
    <s v="Banta Unified"/>
    <x v="3"/>
    <s v="Banta Elementary"/>
    <s v="39 77388 6041750"/>
    <n v="0.77390000000000003"/>
    <n v="2"/>
    <n v="204"/>
    <n v="158"/>
    <n v="22542"/>
    <n v="12390"/>
    <n v="34932"/>
  </r>
  <r>
    <s v="39"/>
    <s v="77388"/>
    <s v="0127134"/>
    <s v="1775"/>
    <s v="D"/>
    <s v="River Islands Technology Academy II"/>
    <x v="1"/>
    <s v="River Islands Technology Academy II"/>
    <s v="39 77388 0127134"/>
    <n v="0.34039999999999998"/>
    <n v="1"/>
    <n v="993"/>
    <n v="338"/>
    <n v="109728"/>
    <n v="26506"/>
    <n v="136234"/>
  </r>
  <r>
    <s v="39"/>
    <s v="77388"/>
    <s v="0131789"/>
    <s v="1725"/>
    <s v="D"/>
    <s v="NextGeneration STEAM Academy"/>
    <x v="1"/>
    <s v="NextGeneration STEAM Academy"/>
    <s v="39 77388 0131789"/>
    <n v="0.36299999999999999"/>
    <n v="1"/>
    <n v="765"/>
    <n v="278"/>
    <n v="84534"/>
    <n v="21800"/>
    <n v="106334"/>
  </r>
  <r>
    <s v="39"/>
    <s v="77388"/>
    <s v="0140392"/>
    <s v="2104"/>
    <s v="D"/>
    <s v="Banta Charter"/>
    <x v="1"/>
    <s v="Banta Charter"/>
    <s v="39 77388 0140392"/>
    <n v="0.77610000000000001"/>
    <n v="1"/>
    <n v="67"/>
    <n v="52"/>
    <n v="7404"/>
    <n v="4078"/>
    <n v="11482"/>
  </r>
  <r>
    <s v="39"/>
    <s v="77388"/>
    <s v="0141234"/>
    <s v="2121"/>
    <s v="D"/>
    <s v="EPIC Academy"/>
    <x v="1"/>
    <s v="EPIC Academy"/>
    <s v="39 77388 0141234"/>
    <n v="0.30790000000000001"/>
    <n v="1"/>
    <n v="458"/>
    <n v="141"/>
    <n v="50610"/>
    <n v="11057"/>
    <n v="61667"/>
  </r>
  <r>
    <s v="39"/>
    <s v="77388"/>
    <s v="0141242"/>
    <s v="2122"/>
    <s v="D"/>
    <s v="River Islands High"/>
    <x v="1"/>
    <s v="Lawrence Elementary"/>
    <s v="39 68585 6042147"/>
    <n v="0.96760000000000002"/>
    <n v="1"/>
    <n v="108"/>
    <n v="42"/>
    <n v="11934"/>
    <n v="3294"/>
    <n v="15228"/>
  </r>
  <r>
    <s v="40"/>
    <s v="10405"/>
    <s v="0000000"/>
    <s v="N/A"/>
    <s v="N/A"/>
    <s v="San Luis Obispo Co. Office of Education"/>
    <x v="0"/>
    <s v="Carrisa Plains Elementary"/>
    <s v="40 68700 6042907"/>
    <n v="0.9"/>
    <n v="4"/>
    <n v="245"/>
    <n v="226"/>
    <n v="27074"/>
    <n v="17723"/>
    <n v="44797"/>
  </r>
  <r>
    <s v="40"/>
    <s v="10405"/>
    <s v="0101725"/>
    <s v="0566"/>
    <s v="L"/>
    <s v="Grizzly ChalleNGe Charter"/>
    <x v="1"/>
    <s v="Carrisa Plains Elementary"/>
    <s v="40 68700 6042907"/>
    <n v="0.9"/>
    <n v="1"/>
    <n v="212"/>
    <n v="169"/>
    <n v="23426"/>
    <n v="13253"/>
    <n v="36679"/>
  </r>
  <r>
    <s v="40"/>
    <s v="10405"/>
    <s v="0125807"/>
    <s v="1395"/>
    <s v="D"/>
    <s v="Almond Acres Charter Academy"/>
    <x v="1"/>
    <s v="Almond Acres Charter Academy"/>
    <s v="40 10405 0125807"/>
    <n v="0.34200000000000003"/>
    <n v="1"/>
    <n v="462"/>
    <n v="158"/>
    <n v="51052"/>
    <n v="12390"/>
    <n v="63442"/>
  </r>
  <r>
    <s v="40"/>
    <s v="68700"/>
    <s v="0000000"/>
    <s v="N/A"/>
    <s v="N/A"/>
    <s v="Atascadero Unified"/>
    <x v="3"/>
    <s v="Carrisa Plains Elementary"/>
    <s v="40 68700 6042907"/>
    <n v="0.9"/>
    <n v="13"/>
    <n v="4333"/>
    <n v="2067"/>
    <n v="478804"/>
    <n v="162092"/>
    <n v="640896"/>
  </r>
  <r>
    <s v="40"/>
    <s v="68726"/>
    <s v="0000000"/>
    <s v="N/A"/>
    <s v="N/A"/>
    <s v="Cayucos Elementary"/>
    <x v="3"/>
    <s v="Cayucos Elementary"/>
    <s v="40 68726 6042998"/>
    <n v="0.39179999999999998"/>
    <n v="2"/>
    <n v="172"/>
    <n v="67"/>
    <n v="19006"/>
    <n v="5254"/>
    <n v="24260"/>
  </r>
  <r>
    <s v="40"/>
    <s v="68759"/>
    <s v="0000000"/>
    <s v="N/A"/>
    <s v="N/A"/>
    <s v="Lucia Mar Unified"/>
    <x v="3"/>
    <s v="Oceano Elementary"/>
    <s v="40 68759 6043095"/>
    <n v="0.85240000000000005"/>
    <n v="20"/>
    <n v="9693"/>
    <n v="5738"/>
    <n v="1071092"/>
    <n v="449967"/>
    <n v="1521059"/>
  </r>
  <r>
    <s v="40"/>
    <s v="68791"/>
    <s v="0000000"/>
    <s v="N/A"/>
    <s v="N/A"/>
    <s v="Pleasant Valley Joint Union Elementary"/>
    <x v="3"/>
    <s v="Pleasant Valley Elementary"/>
    <s v="40 68791 6043186"/>
    <n v="0.30909999999999999"/>
    <n v="2"/>
    <n v="56"/>
    <n v="17"/>
    <n v="6188"/>
    <n v="1333"/>
    <n v="7521"/>
  </r>
  <r>
    <s v="40"/>
    <s v="68809"/>
    <s v="0000000"/>
    <s v="N/A"/>
    <s v="N/A"/>
    <s v="San Luis Coastal Unified"/>
    <x v="3"/>
    <s v="Del Mar Elementary"/>
    <s v="40 68809 6043210"/>
    <n v="0.50690000000000002"/>
    <n v="17"/>
    <n v="7629"/>
    <n v="2599"/>
    <n v="843017"/>
    <n v="203812"/>
    <n v="1046829"/>
  </r>
  <r>
    <s v="40"/>
    <s v="68809"/>
    <s v="6043194"/>
    <s v="0093"/>
    <s v="D"/>
    <s v="Bellevue-Santa Fe Charter"/>
    <x v="1"/>
    <s v="Bellevue-Santa Fe Charter"/>
    <s v="40 68809 6043194"/>
    <n v="0.14810000000000001"/>
    <n v="1"/>
    <n v="162"/>
    <n v="24"/>
    <n v="17901"/>
    <n v="1882"/>
    <n v="19783"/>
  </r>
  <r>
    <s v="40"/>
    <s v="68825"/>
    <s v="0000000"/>
    <s v="N/A"/>
    <s v="N/A"/>
    <s v="San Miguel Joint Union"/>
    <x v="3"/>
    <s v="Lillian Larsen Elementary"/>
    <s v="40 68825 6043319"/>
    <n v="0.76939999999999997"/>
    <n v="3"/>
    <n v="661"/>
    <n v="424"/>
    <n v="73041"/>
    <n v="33250"/>
    <n v="106291"/>
  </r>
  <r>
    <s v="40"/>
    <s v="68833"/>
    <s v="0000000"/>
    <s v="N/A"/>
    <s v="N/A"/>
    <s v="Shandon Joint Unified"/>
    <x v="3"/>
    <s v="Shandon Elementary"/>
    <s v="40 68833 6043343"/>
    <n v="0.76570000000000005"/>
    <n v="4"/>
    <n v="272"/>
    <n v="191"/>
    <n v="30056"/>
    <n v="14978"/>
    <n v="45034"/>
  </r>
  <r>
    <s v="40"/>
    <s v="68841"/>
    <s v="0000000"/>
    <s v="N/A"/>
    <s v="N/A"/>
    <s v="Templeton Unified"/>
    <x v="3"/>
    <s v="Templeton Elementary"/>
    <s v="40 68841 6043350"/>
    <n v="0.23499999999999999"/>
    <n v="8"/>
    <n v="2270"/>
    <n v="474"/>
    <n v="250839"/>
    <n v="37171"/>
    <n v="288010"/>
  </r>
  <r>
    <s v="40"/>
    <s v="75457"/>
    <s v="0000000"/>
    <s v="N/A"/>
    <s v="N/A"/>
    <s v="Paso Robles Joint Unified"/>
    <x v="3"/>
    <s v="Glen Speck Elementary"/>
    <s v="40 75457 6043145"/>
    <n v="0.79479999999999995"/>
    <n v="14"/>
    <n v="6393"/>
    <n v="4061"/>
    <n v="706438"/>
    <n v="318458"/>
    <n v="1024896"/>
  </r>
  <r>
    <s v="40"/>
    <s v="75465"/>
    <s v="0000000"/>
    <s v="N/A"/>
    <s v="N/A"/>
    <s v="Coast Unified"/>
    <x v="3"/>
    <s v="Cambria Grammar"/>
    <s v="40 75465 6042972"/>
    <n v="0.64249999999999996"/>
    <n v="5"/>
    <n v="494"/>
    <n v="328"/>
    <n v="54589"/>
    <n v="25721"/>
    <n v="80310"/>
  </r>
  <r>
    <s v="41"/>
    <s v="10413"/>
    <s v="0000000"/>
    <s v="N/A"/>
    <s v="N/A"/>
    <s v="San Mateo Co. Office of Education"/>
    <x v="0"/>
    <s v="KIPP Excelencia Community Preparatory"/>
    <s v="41 69005 0132068"/>
    <n v="0.91410000000000002"/>
    <n v="6"/>
    <n v="705"/>
    <n v="617"/>
    <n v="77905"/>
    <n v="48384"/>
    <n v="126289"/>
  </r>
  <r>
    <s v="41"/>
    <s v="10413"/>
    <s v="0135269"/>
    <s v="1845"/>
    <s v="D"/>
    <s v="Oxford Day Academy"/>
    <x v="1"/>
    <s v="KIPP Excelencia Community Preparatory"/>
    <s v="41 69005 0132068"/>
    <n v="0.91410000000000002"/>
    <n v="1"/>
    <n v="92"/>
    <n v="68"/>
    <n v="10166"/>
    <n v="5332"/>
    <n v="15498"/>
  </r>
  <r>
    <s v="41"/>
    <s v="68858"/>
    <s v="0000000"/>
    <s v="N/A"/>
    <s v="N/A"/>
    <s v="Bayshore Elementary"/>
    <x v="3"/>
    <s v="Bayshore"/>
    <s v="41 68858 6043392"/>
    <n v="0.53420000000000001"/>
    <n v="2"/>
    <n v="326"/>
    <n v="174"/>
    <n v="36024"/>
    <n v="13645"/>
    <n v="49669"/>
  </r>
  <r>
    <s v="41"/>
    <s v="68866"/>
    <s v="0000000"/>
    <s v="N/A"/>
    <s v="N/A"/>
    <s v="Belmont-Redwood Shores Elementary"/>
    <x v="3"/>
    <s v="Nesbit Elementary"/>
    <s v="41 68866 6043475"/>
    <n v="0.17430000000000001"/>
    <n v="8"/>
    <n v="3964"/>
    <n v="288"/>
    <n v="438028"/>
    <n v="22584"/>
    <n v="460612"/>
  </r>
  <r>
    <s v="41"/>
    <s v="68874"/>
    <s v="0000000"/>
    <s v="N/A"/>
    <s v="N/A"/>
    <s v="Brisbane Elementary"/>
    <x v="3"/>
    <s v="Panorama Elementary"/>
    <s v="41 68874 6043517"/>
    <n v="0.29909999999999998"/>
    <n v="4"/>
    <n v="463"/>
    <n v="91"/>
    <n v="51163"/>
    <n v="7136"/>
    <n v="58299"/>
  </r>
  <r>
    <s v="41"/>
    <s v="68882"/>
    <s v="0000000"/>
    <s v="N/A"/>
    <s v="N/A"/>
    <s v="Burlingame Elementary"/>
    <x v="3"/>
    <s v="Roosevelt Elementary"/>
    <s v="41 68882 6043590"/>
    <n v="0.25719999999999998"/>
    <n v="9"/>
    <n v="3289"/>
    <n v="524"/>
    <n v="363441"/>
    <n v="41091"/>
    <n v="404532"/>
  </r>
  <r>
    <s v="41"/>
    <s v="68890"/>
    <s v="0000000"/>
    <s v="N/A"/>
    <s v="N/A"/>
    <s v="Cabrillo Unified"/>
    <x v="3"/>
    <s v="Alvin S. Hatch Elementary"/>
    <s v="41 68890 6043616"/>
    <n v="0.46489999999999998"/>
    <n v="8"/>
    <n v="2760"/>
    <n v="1004"/>
    <n v="304986"/>
    <n v="78732"/>
    <n v="383718"/>
  </r>
  <r>
    <s v="41"/>
    <s v="68908"/>
    <s v="0000000"/>
    <s v="N/A"/>
    <s v="N/A"/>
    <s v="Hillsborough City Elementary"/>
    <x v="3"/>
    <s v="South Hillsborough"/>
    <s v="41 68908 6043681"/>
    <n v="3.04E-2"/>
    <n v="5"/>
    <n v="1297"/>
    <n v="34"/>
    <n v="143320"/>
    <n v="2666"/>
    <n v="145986"/>
  </r>
  <r>
    <s v="41"/>
    <s v="68916"/>
    <s v="0000000"/>
    <s v="N/A"/>
    <s v="N/A"/>
    <s v="Jefferson Elementary"/>
    <x v="3"/>
    <s v="Daniel Webster Elementary"/>
    <s v="41 68916 6043772"/>
    <n v="0.61539999999999995"/>
    <n v="15"/>
    <n v="5123"/>
    <n v="2531"/>
    <n v="566102"/>
    <n v="198479"/>
    <n v="764581"/>
  </r>
  <r>
    <s v="41"/>
    <s v="68916"/>
    <s v="0112284"/>
    <s v="0802"/>
    <s v="D"/>
    <s v="California Virtual Academy @ San Mateo"/>
    <x v="1"/>
    <s v="California Virtual Academy @ San Mateo"/>
    <s v="41 68916 0112284"/>
    <n v="0.50839999999999996"/>
    <n v="1"/>
    <n v="1009"/>
    <n v="513"/>
    <n v="111496"/>
    <n v="40229"/>
    <n v="151725"/>
  </r>
  <r>
    <s v="41"/>
    <s v="68924"/>
    <s v="0000000"/>
    <s v="N/A"/>
    <s v="N/A"/>
    <s v="Jefferson Union High"/>
    <x v="3"/>
    <s v="KIPP Excelencia Community Preparatory"/>
    <s v="41 69005 0132068"/>
    <n v="0.91410000000000002"/>
    <n v="6"/>
    <n v="3866"/>
    <n v="1131"/>
    <n v="427199"/>
    <n v="88691"/>
    <n v="515890"/>
  </r>
  <r>
    <s v="41"/>
    <s v="68924"/>
    <s v="0127548"/>
    <s v="1500"/>
    <s v="D"/>
    <s v="Summit Public School: Shasta"/>
    <x v="1"/>
    <s v="KIPP Excelencia Community Preparatory"/>
    <s v="41 69005 0132068"/>
    <n v="0.91410000000000002"/>
    <n v="1"/>
    <n v="442"/>
    <n v="115"/>
    <n v="48842"/>
    <n v="9018"/>
    <n v="57860"/>
  </r>
  <r>
    <s v="41"/>
    <s v="68932"/>
    <s v="0000000"/>
    <s v="N/A"/>
    <s v="N/A"/>
    <s v="Pacifica"/>
    <x v="3"/>
    <s v="Sunset Ridge Elementary"/>
    <s v="41 68932 6044069"/>
    <n v="0.36549999999999999"/>
    <n v="9"/>
    <n v="2756"/>
    <n v="515"/>
    <n v="304543"/>
    <n v="40386"/>
    <n v="344929"/>
  </r>
  <r>
    <s v="41"/>
    <s v="68940"/>
    <s v="0000000"/>
    <s v="N/A"/>
    <s v="N/A"/>
    <s v="La Honda-Pescadero Unified"/>
    <x v="3"/>
    <s v="Pescadero Elementary and Middle"/>
    <s v="41 68940 6044085"/>
    <n v="0.42280000000000001"/>
    <n v="4"/>
    <n v="262"/>
    <n v="96"/>
    <n v="28951"/>
    <n v="7528"/>
    <n v="36479"/>
  </r>
  <r>
    <s v="41"/>
    <s v="68957"/>
    <s v="0000000"/>
    <s v="N/A"/>
    <s v="N/A"/>
    <s v="Las Lomitas Elementary"/>
    <x v="3"/>
    <s v="Las Lomitas Elementary"/>
    <s v="41 68957 6044127"/>
    <n v="6.1699999999999998E-2"/>
    <n v="3"/>
    <n v="1148"/>
    <n v="71"/>
    <n v="126855"/>
    <n v="5568"/>
    <n v="132423"/>
  </r>
  <r>
    <s v="41"/>
    <s v="68965"/>
    <s v="0000000"/>
    <s v="N/A"/>
    <s v="N/A"/>
    <s v="Menlo Park City Elementary"/>
    <x v="3"/>
    <s v="Encinal Elementary"/>
    <s v="41 68965 6044135"/>
    <n v="0.1196"/>
    <n v="5"/>
    <n v="2719"/>
    <n v="262"/>
    <n v="300454"/>
    <n v="20546"/>
    <n v="321000"/>
  </r>
  <r>
    <s v="41"/>
    <s v="68973"/>
    <s v="0000000"/>
    <s v="N/A"/>
    <s v="N/A"/>
    <s v="Millbrae Elementary"/>
    <x v="3"/>
    <s v="Lomita Park Elementary"/>
    <s v="41 68973 6044226"/>
    <n v="0.45729999999999998"/>
    <n v="6"/>
    <n v="2092"/>
    <n v="502"/>
    <n v="231170"/>
    <n v="39366"/>
    <n v="270536"/>
  </r>
  <r>
    <s v="41"/>
    <s v="68981"/>
    <s v="0000000"/>
    <s v="N/A"/>
    <s v="N/A"/>
    <s v="Portola Valley Elementary"/>
    <x v="3"/>
    <s v="Ormondale Elementary"/>
    <s v="41 68981 6044283"/>
    <n v="0.05"/>
    <n v="3"/>
    <n v="514"/>
    <n v="30"/>
    <n v="56798"/>
    <n v="2353"/>
    <n v="59151"/>
  </r>
  <r>
    <s v="41"/>
    <s v="68999"/>
    <s v="0000000"/>
    <s v="N/A"/>
    <s v="N/A"/>
    <s v="Ravenswood City Elementary"/>
    <x v="3"/>
    <s v="Belle Haven Elementary"/>
    <s v="41 68999 6044309"/>
    <n v="0.86799999999999999"/>
    <n v="5"/>
    <n v="1524"/>
    <n v="1251"/>
    <n v="168405"/>
    <n v="98102"/>
    <n v="266507"/>
  </r>
  <r>
    <s v="41"/>
    <s v="68999"/>
    <s v="0134197"/>
    <s v="0125"/>
    <s v="D"/>
    <s v="Aspire East Palo Alto Charter"/>
    <x v="1"/>
    <s v="Aspire East Palo Alto Charter"/>
    <s v="41 68999 0134197"/>
    <n v="0.74250000000000005"/>
    <n v="1"/>
    <n v="532"/>
    <n v="395"/>
    <n v="58787"/>
    <n v="30975"/>
    <n v="89762"/>
  </r>
  <r>
    <s v="41"/>
    <s v="68999"/>
    <s v="0135608"/>
    <s v="1868"/>
    <s v="D"/>
    <s v="KIPP Valiant Community Prep"/>
    <x v="1"/>
    <s v="KIPP Valiant Community Prep"/>
    <s v="41 68999 0135608"/>
    <n v="0.90790000000000004"/>
    <n v="1"/>
    <n v="619"/>
    <n v="562"/>
    <n v="68401"/>
    <n v="44071"/>
    <n v="112472"/>
  </r>
  <r>
    <s v="41"/>
    <s v="69005"/>
    <s v="0000000"/>
    <s v="N/A"/>
    <s v="N/A"/>
    <s v="Redwood City Elementary"/>
    <x v="3"/>
    <s v="Taft Elementary"/>
    <s v="41 69005 6044598"/>
    <n v="0.88980000000000004"/>
    <n v="13"/>
    <n v="6757"/>
    <n v="3917"/>
    <n v="746660"/>
    <n v="307169"/>
    <n v="1053829"/>
  </r>
  <r>
    <s v="41"/>
    <s v="69005"/>
    <s v="0127282"/>
    <s v="1498"/>
    <s v="D"/>
    <s v="Connect Community Charter"/>
    <x v="1"/>
    <s v="Connect Community Charter"/>
    <s v="41 69005 0127282"/>
    <n v="0.62839999999999996"/>
    <n v="1"/>
    <n v="148"/>
    <n v="93"/>
    <n v="16354"/>
    <n v="7293"/>
    <n v="23647"/>
  </r>
  <r>
    <s v="41"/>
    <s v="69005"/>
    <s v="0132068"/>
    <s v="1735"/>
    <s v="D"/>
    <s v="KIPP Excelencia Community Preparatory"/>
    <x v="1"/>
    <s v="KIPP Excelencia Community Preparatory"/>
    <s v="41 69005 0132068"/>
    <n v="0.91410000000000002"/>
    <n v="1"/>
    <n v="733"/>
    <n v="670"/>
    <n v="80998"/>
    <n v="52541"/>
    <n v="133539"/>
  </r>
  <r>
    <s v="41"/>
    <s v="69005"/>
    <s v="0132076"/>
    <s v="1736"/>
    <s v="D"/>
    <s v="Rocketship Redwood City"/>
    <x v="1"/>
    <s v="Rocketship Redwood City"/>
    <s v="41 69005 0132076"/>
    <n v="0.83650000000000002"/>
    <n v="1"/>
    <n v="312"/>
    <n v="261"/>
    <n v="34477"/>
    <n v="20467"/>
    <n v="54944"/>
  </r>
  <r>
    <s v="41"/>
    <s v="69013"/>
    <s v="0000000"/>
    <s v="N/A"/>
    <s v="N/A"/>
    <s v="San Bruno Park Elementary"/>
    <x v="3"/>
    <s v="Allen (Decima M.) Elementary"/>
    <s v="41 69013 6044648"/>
    <n v="0.61309999999999998"/>
    <n v="6"/>
    <n v="1840"/>
    <n v="748"/>
    <n v="203323"/>
    <n v="58658"/>
    <n v="261981"/>
  </r>
  <r>
    <s v="41"/>
    <s v="69021"/>
    <s v="0000000"/>
    <s v="N/A"/>
    <s v="N/A"/>
    <s v="San Carlos Elementary"/>
    <x v="3"/>
    <s v="Mariposa"/>
    <s v="41 69021 0138685"/>
    <n v="0.1227"/>
    <n v="10"/>
    <n v="2713"/>
    <n v="270"/>
    <n v="299792"/>
    <n v="21173"/>
    <n v="320965"/>
  </r>
  <r>
    <s v="41"/>
    <s v="69021"/>
    <s v="6112213"/>
    <s v="0001"/>
    <s v="D"/>
    <s v="San Carlos Charter Learning Center"/>
    <x v="1"/>
    <s v="San Carlos Charter Learning Center"/>
    <s v="41 69021 6112213"/>
    <n v="3.09E-2"/>
    <n v="1"/>
    <n v="356"/>
    <n v="11"/>
    <n v="39339"/>
    <n v="863"/>
    <n v="40202"/>
  </r>
  <r>
    <s v="41"/>
    <s v="69039"/>
    <s v="0000000"/>
    <s v="N/A"/>
    <s v="N/A"/>
    <s v="San Mateo-Foster City"/>
    <x v="3"/>
    <s v="San Mateo Park Elementary"/>
    <s v="41 69039 6044986"/>
    <n v="0.62749999999999995"/>
    <n v="23"/>
    <n v="10300"/>
    <n v="2932"/>
    <n v="1138168"/>
    <n v="229923"/>
    <n v="1368091"/>
  </r>
  <r>
    <s v="41"/>
    <s v="69047"/>
    <s v="0000000"/>
    <s v="N/A"/>
    <s v="N/A"/>
    <s v="San Mateo Union High"/>
    <x v="3"/>
    <s v="KIPP Excelencia Community Preparatory"/>
    <s v="41 69005 0132068"/>
    <n v="0.91410000000000002"/>
    <n v="8"/>
    <n v="8899"/>
    <n v="1825"/>
    <n v="983353"/>
    <n v="143116"/>
    <n v="1126469"/>
  </r>
  <r>
    <s v="41"/>
    <s v="69047"/>
    <s v="0129759"/>
    <s v="1647"/>
    <s v="D"/>
    <s v="Design Tech High School"/>
    <x v="1"/>
    <s v="KIPP Excelencia Community Preparatory"/>
    <s v="41 69005 0132068"/>
    <n v="0.91410000000000002"/>
    <n v="1"/>
    <n v="545"/>
    <n v="33"/>
    <n v="60223"/>
    <n v="2588"/>
    <n v="62811"/>
  </r>
  <r>
    <s v="41"/>
    <s v="69062"/>
    <s v="0000000"/>
    <s v="N/A"/>
    <s v="N/A"/>
    <s v="Sequoia Union High"/>
    <x v="3"/>
    <s v="KIPP Excelencia Community Preparatory"/>
    <s v="41 69005 0132068"/>
    <n v="0.91410000000000002"/>
    <n v="7"/>
    <n v="8565"/>
    <n v="2159"/>
    <n v="946447"/>
    <n v="169306"/>
    <n v="1115753"/>
  </r>
  <r>
    <s v="41"/>
    <s v="69062"/>
    <s v="0112722"/>
    <s v="0835"/>
    <s v="D"/>
    <s v="Summit Preparatory Charter High"/>
    <x v="1"/>
    <s v="KIPP Excelencia Community Preparatory"/>
    <s v="41 69005 0132068"/>
    <n v="0.91410000000000002"/>
    <n v="1"/>
    <n v="389"/>
    <n v="234"/>
    <n v="42985"/>
    <n v="18350"/>
    <n v="61335"/>
  </r>
  <r>
    <s v="41"/>
    <s v="69062"/>
    <s v="0119503"/>
    <s v="1070"/>
    <s v="D"/>
    <s v="Everest Public High"/>
    <x v="1"/>
    <s v="KIPP Excelencia Community Preparatory"/>
    <s v="41 69005 0132068"/>
    <n v="0.91410000000000002"/>
    <n v="1"/>
    <n v="295"/>
    <n v="214"/>
    <n v="32598"/>
    <n v="16782"/>
    <n v="49380"/>
  </r>
  <r>
    <s v="41"/>
    <s v="69062"/>
    <s v="0126722"/>
    <s v="1446"/>
    <s v="D"/>
    <s v="East Palo Alto Academy"/>
    <x v="1"/>
    <s v="KIPP Excelencia Community Preparatory"/>
    <s v="41 69005 0132068"/>
    <n v="0.91410000000000002"/>
    <n v="1"/>
    <n v="299"/>
    <n v="205"/>
    <n v="33040"/>
    <n v="16076"/>
    <n v="49116"/>
  </r>
  <r>
    <s v="41"/>
    <s v="69062"/>
    <s v="0139915"/>
    <s v="2085"/>
    <s v="D"/>
    <s v="KIPP Esperanza High"/>
    <x v="1"/>
    <s v="KIPP Excelencia Community Preparatory"/>
    <s v="41 69005 0132068"/>
    <n v="0.91410000000000002"/>
    <n v="1"/>
    <n v="220"/>
    <n v="193"/>
    <n v="24310"/>
    <n v="15135"/>
    <n v="39445"/>
  </r>
  <r>
    <s v="41"/>
    <s v="69070"/>
    <s v="0000000"/>
    <s v="N/A"/>
    <s v="N/A"/>
    <s v="South San Francisco Unified"/>
    <x v="3"/>
    <s v="Spruce Elementary"/>
    <s v="41 69070 6045140"/>
    <n v="0.61270000000000002"/>
    <n v="18"/>
    <n v="8001"/>
    <n v="2917"/>
    <n v="884123"/>
    <n v="228750"/>
    <n v="1112873"/>
  </r>
  <r>
    <s v="41"/>
    <s v="69088"/>
    <s v="0000000"/>
    <s v="N/A"/>
    <s v="N/A"/>
    <s v="Woodside Elementary"/>
    <x v="3"/>
    <s v="Woodside Elementary"/>
    <s v="41 69088 6045165"/>
    <n v="7.8200000000000006E-2"/>
    <n v="2"/>
    <n v="373"/>
    <n v="29"/>
    <n v="41218"/>
    <n v="2274"/>
    <n v="43492"/>
  </r>
  <r>
    <s v="42"/>
    <s v="10421"/>
    <s v="0000000"/>
    <s v="N/A"/>
    <s v="N/A"/>
    <s v="Santa Barbara Co. Office of Education"/>
    <x v="0"/>
    <s v="McKinley Elementary"/>
    <s v="42 76786 6045884"/>
    <n v="0.93389999999999995"/>
    <n v="4"/>
    <n v="728"/>
    <n v="671"/>
    <n v="80446"/>
    <n v="52619"/>
    <n v="133065"/>
  </r>
  <r>
    <s v="42"/>
    <s v="69104"/>
    <s v="0000000"/>
    <s v="N/A"/>
    <s v="N/A"/>
    <s v="Ballard Elementary"/>
    <x v="3"/>
    <s v="Ballard Elementary"/>
    <s v="42 69104 6045256"/>
    <n v="0.1017"/>
    <n v="2"/>
    <n v="118"/>
    <n v="12"/>
    <n v="13039"/>
    <n v="941"/>
    <n v="13980"/>
  </r>
  <r>
    <s v="42"/>
    <s v="69112"/>
    <s v="0000000"/>
    <s v="N/A"/>
    <s v="N/A"/>
    <s v="Blochman Union Elementary"/>
    <x v="3"/>
    <s v="Benjamin Foxen Elementary"/>
    <s v="42 69112 6045264"/>
    <n v="0.48149999999999998"/>
    <n v="2"/>
    <n v="189"/>
    <n v="91"/>
    <n v="20885"/>
    <n v="7136"/>
    <n v="28021"/>
  </r>
  <r>
    <s v="42"/>
    <s v="69112"/>
    <s v="0111773"/>
    <s v="0763"/>
    <s v="D"/>
    <s v="Family Partnership Charter"/>
    <x v="1"/>
    <s v="Family Partnership Charter"/>
    <s v="42 69112 0111773"/>
    <n v="0.38319999999999999"/>
    <n v="1"/>
    <n v="368"/>
    <n v="141"/>
    <n v="40665"/>
    <n v="11057"/>
    <n v="51722"/>
  </r>
  <r>
    <s v="42"/>
    <s v="69112"/>
    <s v="0124255"/>
    <s v="1319"/>
    <s v="D"/>
    <s v="Trivium Charter"/>
    <x v="1"/>
    <s v="Trivium Charter"/>
    <s v="42 69112 0124255"/>
    <n v="0.23680000000000001"/>
    <n v="1"/>
    <n v="321"/>
    <n v="76"/>
    <n v="35471"/>
    <n v="5960"/>
    <n v="41431"/>
  </r>
  <r>
    <s v="42"/>
    <s v="69112"/>
    <s v="0137877"/>
    <s v="1994"/>
    <s v="D"/>
    <s v="Trivium Charter School: Adventure"/>
    <x v="1"/>
    <s v="Trivium Charter School: Adventure"/>
    <s v="42 69112 0137877"/>
    <n v="0.2"/>
    <n v="1"/>
    <n v="240"/>
    <n v="48"/>
    <n v="26520"/>
    <n v="3764"/>
    <n v="30284"/>
  </r>
  <r>
    <s v="42"/>
    <s v="69112"/>
    <s v="0137885"/>
    <s v="1995"/>
    <s v="D"/>
    <s v="Trivium Charter School: Voyage"/>
    <x v="1"/>
    <s v="Trivium Charter School: Voyage"/>
    <s v="42 69112 0137885"/>
    <n v="0.18179999999999999"/>
    <n v="1"/>
    <n v="297"/>
    <n v="54"/>
    <n v="32819"/>
    <n v="4235"/>
    <n v="37054"/>
  </r>
  <r>
    <s v="42"/>
    <s v="69120"/>
    <s v="0000000"/>
    <s v="N/A"/>
    <s v="N/A"/>
    <s v="Santa Maria-Bonita"/>
    <x v="3"/>
    <s v="Fairlawn Elementary"/>
    <s v="42 69120 6046007"/>
    <n v="0.93030000000000002"/>
    <n v="22"/>
    <n v="16959"/>
    <n v="13845"/>
    <n v="1873997"/>
    <n v="1085714"/>
    <n v="2959711"/>
  </r>
  <r>
    <s v="42"/>
    <s v="69138"/>
    <s v="0000000"/>
    <s v="N/A"/>
    <s v="N/A"/>
    <s v="Buellton Union Elementary"/>
    <x v="3"/>
    <s v="Oak Valley Elementary"/>
    <s v="42 69138 6119804"/>
    <n v="0.50570000000000004"/>
    <n v="3"/>
    <n v="519"/>
    <n v="267"/>
    <n v="57351"/>
    <n v="20938"/>
    <n v="78289"/>
  </r>
  <r>
    <s v="42"/>
    <s v="69146"/>
    <s v="0000000"/>
    <s v="N/A"/>
    <s v="N/A"/>
    <s v="Carpinteria Unified"/>
    <x v="3"/>
    <s v="Aliso Elementary"/>
    <s v="42 69146 6045298"/>
    <n v="0.76900000000000002"/>
    <n v="7"/>
    <n v="2053"/>
    <n v="1425"/>
    <n v="226861"/>
    <n v="111746"/>
    <n v="338607"/>
  </r>
  <r>
    <s v="42"/>
    <s v="69161"/>
    <s v="0000000"/>
    <s v="N/A"/>
    <s v="N/A"/>
    <s v="Cold Spring Elementary"/>
    <x v="3"/>
    <s v="Cold Spring Elementary"/>
    <s v="42 69161 6045348"/>
    <n v="5.1799999999999999E-2"/>
    <n v="2"/>
    <n v="193"/>
    <n v="10"/>
    <n v="21327"/>
    <n v="784"/>
    <n v="22111"/>
  </r>
  <r>
    <s v="42"/>
    <s v="69179"/>
    <s v="0000000"/>
    <s v="N/A"/>
    <s v="N/A"/>
    <s v="College Elementary"/>
    <x v="3"/>
    <s v="Santa Ynez Elementary"/>
    <s v="42 69179 6045371"/>
    <n v="0.53490000000000004"/>
    <n v="3"/>
    <n v="202"/>
    <n v="106"/>
    <n v="22321"/>
    <n v="8313"/>
    <n v="30634"/>
  </r>
  <r>
    <s v="42"/>
    <s v="69179"/>
    <s v="6118434"/>
    <s v="0337"/>
    <s v="D"/>
    <s v="Santa Ynez Valley Charter"/>
    <x v="1"/>
    <s v="Santa Ynez Valley Charter"/>
    <s v="42 69179 6118434"/>
    <n v="0.21820000000000001"/>
    <n v="1"/>
    <n v="165"/>
    <n v="36"/>
    <n v="18233"/>
    <n v="2823"/>
    <n v="21056"/>
  </r>
  <r>
    <s v="42"/>
    <s v="69195"/>
    <s v="0000000"/>
    <s v="N/A"/>
    <s v="N/A"/>
    <s v="Goleta Union Elementary"/>
    <x v="3"/>
    <s v="El Camino Elementary"/>
    <s v="42 69195 6045405"/>
    <n v="0.47920000000000001"/>
    <n v="11"/>
    <n v="3553"/>
    <n v="1199"/>
    <n v="392615"/>
    <n v="94026"/>
    <n v="486641"/>
  </r>
  <r>
    <s v="42"/>
    <s v="69203"/>
    <s v="0000000"/>
    <s v="N/A"/>
    <s v="N/A"/>
    <s v="Guadalupe Union Elementary"/>
    <x v="3"/>
    <s v="Mary Buren Elementary"/>
    <s v="42 69203 6045512"/>
    <n v="0.87970000000000004"/>
    <n v="4"/>
    <n v="1294"/>
    <n v="1143"/>
    <n v="142990"/>
    <n v="89633"/>
    <n v="232623"/>
  </r>
  <r>
    <s v="42"/>
    <s v="69211"/>
    <s v="0000000"/>
    <s v="N/A"/>
    <s v="N/A"/>
    <s v="Hope Elementary"/>
    <x v="3"/>
    <s v="Hope Elementary"/>
    <s v="42 69211 6045538"/>
    <n v="0.43120000000000003"/>
    <n v="4"/>
    <n v="849"/>
    <n v="265"/>
    <n v="93815"/>
    <n v="20782"/>
    <n v="114597"/>
  </r>
  <r>
    <s v="42"/>
    <s v="69229"/>
    <s v="0000000"/>
    <s v="N/A"/>
    <s v="N/A"/>
    <s v="Lompoc Unified"/>
    <x v="3"/>
    <s v="Clarence Ruth Elementary"/>
    <s v="42 69229 6045587"/>
    <n v="0.83860000000000001"/>
    <n v="17"/>
    <n v="9060"/>
    <n v="5661"/>
    <n v="1001146"/>
    <n v="443929"/>
    <n v="1445075"/>
  </r>
  <r>
    <s v="42"/>
    <s v="69229"/>
    <s v="0116921"/>
    <s v="0973"/>
    <s v="D"/>
    <s v="Manzanita Public Charter"/>
    <x v="1"/>
    <s v="Manzanita Public Charter"/>
    <s v="42 69229 0116921"/>
    <n v="0.49669999999999997"/>
    <n v="1"/>
    <n v="453"/>
    <n v="225"/>
    <n v="50057"/>
    <n v="17644"/>
    <n v="67701"/>
  </r>
  <r>
    <s v="42"/>
    <s v="69245"/>
    <s v="0000000"/>
    <s v="N/A"/>
    <s v="N/A"/>
    <s v="Los Olivos Elementary"/>
    <x v="3"/>
    <s v="Los Olivos Elementary"/>
    <s v="42 69245 6045710"/>
    <n v="0.2515"/>
    <n v="2"/>
    <n v="163"/>
    <n v="41"/>
    <n v="18012"/>
    <n v="3215"/>
    <n v="21227"/>
  </r>
  <r>
    <s v="42"/>
    <s v="69252"/>
    <s v="0000000"/>
    <s v="N/A"/>
    <s v="N/A"/>
    <s v="Montecito Union Elementary"/>
    <x v="3"/>
    <s v="Montecito Union"/>
    <s v="42 69252 6045728"/>
    <n v="5.3800000000000001E-2"/>
    <n v="2"/>
    <n v="353"/>
    <n v="19"/>
    <n v="39007"/>
    <n v="1490"/>
    <n v="40497"/>
  </r>
  <r>
    <s v="42"/>
    <s v="69260"/>
    <s v="0000000"/>
    <s v="N/A"/>
    <s v="N/A"/>
    <s v="Orcutt Union Elementary"/>
    <x v="3"/>
    <s v="Olga L. Reed Elementary"/>
    <s v="42 69260 6045702"/>
    <n v="0.82840000000000003"/>
    <n v="10"/>
    <n v="3998"/>
    <n v="1802"/>
    <n v="441786"/>
    <n v="141311"/>
    <n v="583097"/>
  </r>
  <r>
    <s v="42"/>
    <s v="69260"/>
    <s v="0116434"/>
    <s v="0967"/>
    <s v="L"/>
    <s v="Orcutt Academy Charter"/>
    <x v="1"/>
    <s v="Orcutt Academy Charter"/>
    <s v="42 69260 0116434"/>
    <n v="0.28029999999999999"/>
    <n v="1"/>
    <n v="767"/>
    <n v="215"/>
    <n v="84755"/>
    <n v="16860"/>
    <n v="101615"/>
  </r>
  <r>
    <s v="42"/>
    <s v="69310"/>
    <s v="0000000"/>
    <s v="N/A"/>
    <s v="N/A"/>
    <s v="Santa Maria Joint Union High"/>
    <x v="3"/>
    <s v="McKinley Elementary"/>
    <s v="42 76786 6045884"/>
    <n v="0.93389999999999995"/>
    <n v="5"/>
    <n v="9251"/>
    <n v="6705"/>
    <n v="1022250"/>
    <n v="525800"/>
    <n v="1548050"/>
  </r>
  <r>
    <s v="42"/>
    <s v="69328"/>
    <s v="0000000"/>
    <s v="N/A"/>
    <s v="N/A"/>
    <s v="Santa Ynez Valley Union High"/>
    <x v="3"/>
    <s v="McKinley Elementary"/>
    <s v="42 76786 6045884"/>
    <n v="0.93389999999999995"/>
    <n v="3"/>
    <n v="853"/>
    <n v="210"/>
    <n v="94258"/>
    <n v="16468"/>
    <n v="110726"/>
  </r>
  <r>
    <s v="42"/>
    <s v="69336"/>
    <s v="0000000"/>
    <s v="N/A"/>
    <s v="N/A"/>
    <s v="Solvang Elementary"/>
    <x v="3"/>
    <s v="Solvang Elementary"/>
    <s v="42 69336 6046072"/>
    <n v="0.38619999999999999"/>
    <n v="2"/>
    <n v="593"/>
    <n v="229"/>
    <n v="65527"/>
    <n v="17958"/>
    <n v="83485"/>
  </r>
  <r>
    <s v="42"/>
    <s v="69344"/>
    <s v="0000000"/>
    <s v="N/A"/>
    <s v="N/A"/>
    <s v="Vista del Mar Union"/>
    <x v="3"/>
    <s v="Vista de Las Cruces"/>
    <s v="42 69344 6046080"/>
    <n v="0.43590000000000001"/>
    <n v="2"/>
    <n v="39"/>
    <n v="17"/>
    <n v="4310"/>
    <n v="1333"/>
    <n v="5643"/>
  </r>
  <r>
    <s v="42"/>
    <s v="75010"/>
    <s v="0000000"/>
    <s v="N/A"/>
    <s v="N/A"/>
    <s v="Cuyama Joint Unified"/>
    <x v="3"/>
    <s v="Cuyama Elementary"/>
    <s v="42 75010 6045389"/>
    <n v="0.76029999999999998"/>
    <n v="4"/>
    <n v="182"/>
    <n v="145"/>
    <n v="20112"/>
    <n v="11371"/>
    <n v="31483"/>
  </r>
  <r>
    <s v="42"/>
    <s v="75010"/>
    <s v="0138891"/>
    <s v="2031"/>
    <s v="D"/>
    <s v="California Connections Academy Central Coast"/>
    <x v="1"/>
    <s v="California Connections Academy Central Coast"/>
    <s v="42 75010 0138891"/>
    <n v="0.44919999999999999"/>
    <n v="1"/>
    <n v="118"/>
    <n v="53"/>
    <n v="13039"/>
    <n v="4156"/>
    <n v="17195"/>
  </r>
  <r>
    <s v="42"/>
    <s v="76786"/>
    <s v="0000000"/>
    <s v="N/A"/>
    <s v="N/A"/>
    <s v="Santa Barbara Unified"/>
    <x v="3"/>
    <s v="McKinley Elementary"/>
    <s v="42 76786 6045884"/>
    <n v="0.93389999999999995"/>
    <n v="21"/>
    <n v="12535"/>
    <n v="7608"/>
    <n v="1385139"/>
    <n v="596611"/>
    <n v="1981750"/>
  </r>
  <r>
    <s v="42"/>
    <s v="76786"/>
    <s v="6045918"/>
    <s v="0021"/>
    <s v="D"/>
    <s v="Peabody Charter"/>
    <x v="1"/>
    <s v="Peabody Charter"/>
    <s v="42 76786 6045918"/>
    <n v="0.43680000000000002"/>
    <n v="1"/>
    <n v="767"/>
    <n v="335"/>
    <n v="84755"/>
    <n v="26270"/>
    <n v="111025"/>
  </r>
  <r>
    <s v="42"/>
    <s v="76786"/>
    <s v="6111603"/>
    <s v="0020"/>
    <s v="L"/>
    <s v="Santa Barbara Charter"/>
    <x v="1"/>
    <s v="Santa Barbara Charter"/>
    <s v="42 76786 6111603"/>
    <n v="0.24379999999999999"/>
    <n v="1"/>
    <n v="283"/>
    <n v="69"/>
    <n v="31272"/>
    <n v="5411"/>
    <n v="36683"/>
  </r>
  <r>
    <s v="42"/>
    <s v="76786"/>
    <s v="6118202"/>
    <s v="0326"/>
    <s v="D"/>
    <s v="Adelante Charter"/>
    <x v="1"/>
    <s v="Adelante Charter"/>
    <s v="42 76786 6118202"/>
    <n v="0.72389999999999999"/>
    <n v="1"/>
    <n v="297"/>
    <n v="215"/>
    <n v="32819"/>
    <n v="16860"/>
    <n v="49679"/>
  </r>
  <r>
    <s v="42"/>
    <s v="77198"/>
    <s v="0138362"/>
    <s v="2011"/>
    <s v="D"/>
    <s v="Olive Grove Charter School - Orcutt/Santa Maria"/>
    <x v="1"/>
    <s v="Olive Grove Charter School - Orcutt/Santa Maria"/>
    <s v="42 77198 0138362"/>
    <n v="0.61180000000000001"/>
    <n v="1"/>
    <n v="152"/>
    <n v="93"/>
    <n v="16796"/>
    <n v="7293"/>
    <n v="24089"/>
  </r>
  <r>
    <s v="42"/>
    <s v="77206"/>
    <s v="0138370"/>
    <s v="2012"/>
    <s v="D"/>
    <s v="Olive Grove Charter School - Lompoc"/>
    <x v="1"/>
    <s v="Olive Grove Charter School - Lompoc"/>
    <s v="42 77206 0138370"/>
    <n v="0.75890000000000002"/>
    <n v="1"/>
    <n v="112"/>
    <n v="85"/>
    <n v="12376"/>
    <n v="6666"/>
    <n v="19042"/>
  </r>
  <r>
    <s v="42"/>
    <s v="77214"/>
    <s v="0138388"/>
    <s v="2013"/>
    <s v="D"/>
    <s v="Olive Grove Charter School - Buellton"/>
    <x v="1"/>
    <s v="Olive Grove Charter School - Buellton"/>
    <s v="42 77214 0138388"/>
    <n v="0.3846"/>
    <n v="1"/>
    <n v="39"/>
    <n v="15"/>
    <n v="4310"/>
    <n v="1176"/>
    <n v="5486"/>
  </r>
  <r>
    <s v="42"/>
    <s v="77222"/>
    <s v="0138396"/>
    <s v="2014"/>
    <s v="D"/>
    <s v="Olive Grove Charter School - Santa Barbara"/>
    <x v="1"/>
    <s v="Olive Grove Charter School - Santa Barbara"/>
    <s v="42 77222 0138396"/>
    <n v="0.53749999999999998"/>
    <n v="1"/>
    <n v="80"/>
    <n v="43"/>
    <n v="8840"/>
    <n v="3372"/>
    <n v="12212"/>
  </r>
  <r>
    <s v="43"/>
    <s v="10439"/>
    <s v="0000000"/>
    <s v="N/A"/>
    <s v="N/A"/>
    <s v="Santa Clara Co. Office of Education"/>
    <x v="0"/>
    <s v="Escuela Popular Accelerated Family Learning"/>
    <s v="43 69427 4330726"/>
    <n v="0.91559999999999997"/>
    <n v="4"/>
    <n v="1349"/>
    <n v="799"/>
    <n v="149066"/>
    <n v="62657"/>
    <n v="211723"/>
  </r>
  <r>
    <s v="43"/>
    <s v="10439"/>
    <s v="0106534"/>
    <s v="0615"/>
    <s v="D"/>
    <s v="Bullis Charter"/>
    <x v="1"/>
    <s v="Bullis Charter"/>
    <s v="43 10439 0106534"/>
    <n v="1.89E-2"/>
    <n v="1"/>
    <n v="1058"/>
    <n v="20"/>
    <n v="116911"/>
    <n v="1568"/>
    <n v="118479"/>
  </r>
  <r>
    <s v="43"/>
    <s v="10439"/>
    <s v="0111880"/>
    <s v="0767"/>
    <s v="D"/>
    <s v="Discovery Charter"/>
    <x v="1"/>
    <s v="Discovery Charter"/>
    <s v="43 10439 0111880"/>
    <n v="0.1009"/>
    <n v="1"/>
    <n v="535"/>
    <n v="54"/>
    <n v="59118"/>
    <n v="4235"/>
    <n v="63353"/>
  </r>
  <r>
    <s v="43"/>
    <s v="10439"/>
    <s v="0113431"/>
    <s v="0844"/>
    <s v="D"/>
    <s v="University Preparatory Academy Charter"/>
    <x v="1"/>
    <s v="Escuela Popular Accelerated Family Learning"/>
    <s v="43 69427 4330726"/>
    <n v="0.91559999999999997"/>
    <n v="1"/>
    <n v="713"/>
    <n v="214"/>
    <n v="78788"/>
    <n v="16782"/>
    <n v="95570"/>
  </r>
  <r>
    <s v="43"/>
    <s v="10439"/>
    <s v="0113704"/>
    <s v="0850"/>
    <s v="D"/>
    <s v="Rocketship Mateo Sheedy Elementary"/>
    <x v="1"/>
    <s v="Rocketship Mateo Sheedy Elementary"/>
    <s v="43 10439 0113704"/>
    <n v="0.73429999999999995"/>
    <n v="1"/>
    <n v="493"/>
    <n v="362"/>
    <n v="54477"/>
    <n v="28388"/>
    <n v="82865"/>
  </r>
  <r>
    <s v="43"/>
    <s v="10439"/>
    <s v="0116814"/>
    <s v="0972"/>
    <s v="D"/>
    <s v="ACE Empower Academy"/>
    <x v="1"/>
    <s v="Escuela Popular Accelerated Family Learning"/>
    <s v="43 69427 4330726"/>
    <n v="0.91559999999999997"/>
    <n v="1"/>
    <n v="191"/>
    <n v="162"/>
    <n v="21106"/>
    <n v="12704"/>
    <n v="33810"/>
  </r>
  <r>
    <s v="43"/>
    <s v="10439"/>
    <s v="0119024"/>
    <s v="1061"/>
    <s v="D"/>
    <s v="Rocketship Si Se Puede Academy"/>
    <x v="1"/>
    <s v="Rocketship Si Se Puede Academy"/>
    <s v="43 10439 0119024"/>
    <n v="0.83020000000000005"/>
    <n v="1"/>
    <n v="324"/>
    <n v="269"/>
    <n v="35803"/>
    <n v="21095"/>
    <n v="56898"/>
  </r>
  <r>
    <s v="43"/>
    <s v="10439"/>
    <s v="0120642"/>
    <s v="1127"/>
    <s v="D"/>
    <s v="Rocketship Los Suenos Academy"/>
    <x v="1"/>
    <s v="Rocketship Los Suenos Academy"/>
    <s v="43 10439 0120642"/>
    <n v="0.84279999999999999"/>
    <n v="1"/>
    <n v="369"/>
    <n v="311"/>
    <n v="40775"/>
    <n v="24388"/>
    <n v="65163"/>
  </r>
  <r>
    <s v="43"/>
    <s v="10439"/>
    <s v="0121483"/>
    <s v="1167"/>
    <s v="D"/>
    <s v="Alpha: Cornerstone Academy Preparatory"/>
    <x v="1"/>
    <s v="Alpha: Cornerstone Academy Preparatory"/>
    <s v="43 10439 0121483"/>
    <n v="0.52690000000000003"/>
    <n v="1"/>
    <n v="520"/>
    <n v="274"/>
    <n v="57461"/>
    <n v="21487"/>
    <n v="78948"/>
  </r>
  <r>
    <s v="43"/>
    <s v="10439"/>
    <s v="0123257"/>
    <s v="1268"/>
    <s v="D"/>
    <s v="Downtown College Prep - Alum Rock"/>
    <x v="1"/>
    <s v="Downtown College Prep - Alum Rock"/>
    <s v="43 10439 0123257"/>
    <n v="0.75239999999999996"/>
    <n v="1"/>
    <n v="529"/>
    <n v="398"/>
    <n v="58455"/>
    <n v="31211"/>
    <n v="89666"/>
  </r>
  <r>
    <s v="43"/>
    <s v="10439"/>
    <s v="0123281"/>
    <s v="1193"/>
    <s v="D"/>
    <s v="Rocketship Discovery Prep"/>
    <x v="1"/>
    <s v="Rocketship Discovery Prep"/>
    <s v="43 10439 0123281"/>
    <n v="0.75970000000000004"/>
    <n v="1"/>
    <n v="437"/>
    <n v="332"/>
    <n v="48289"/>
    <n v="26035"/>
    <n v="74324"/>
  </r>
  <r>
    <s v="43"/>
    <s v="10439"/>
    <s v="0123794"/>
    <s v="1282"/>
    <s v="D"/>
    <s v="Summit Public School: Tahoma"/>
    <x v="1"/>
    <s v="Escuela Popular Accelerated Family Learning"/>
    <s v="43 69427 4330726"/>
    <n v="0.91559999999999997"/>
    <n v="1"/>
    <n v="314"/>
    <n v="73"/>
    <n v="34698"/>
    <n v="5725"/>
    <n v="40423"/>
  </r>
  <r>
    <s v="43"/>
    <s v="10439"/>
    <s v="0124065"/>
    <s v="1290"/>
    <s v="D"/>
    <s v="Sunrise Middle"/>
    <x v="1"/>
    <s v="Escuela Popular Accelerated Family Learning"/>
    <s v="43 69427 4330726"/>
    <n v="0.91559999999999997"/>
    <n v="1"/>
    <n v="308"/>
    <n v="247"/>
    <n v="34035"/>
    <n v="19369"/>
    <n v="53404"/>
  </r>
  <r>
    <s v="43"/>
    <s v="10439"/>
    <s v="0125781"/>
    <s v="1393"/>
    <s v="D"/>
    <s v="Rocketship Academy Brilliant Minds"/>
    <x v="1"/>
    <s v="Rocketship Academy Brilliant Minds"/>
    <s v="43 10439 0125781"/>
    <n v="0.75"/>
    <n v="1"/>
    <n v="504"/>
    <n v="378"/>
    <n v="55693"/>
    <n v="29642"/>
    <n v="85335"/>
  </r>
  <r>
    <s v="43"/>
    <s v="10439"/>
    <s v="0125799"/>
    <s v="1394"/>
    <s v="D"/>
    <s v="Rocketship Alma Academy"/>
    <x v="1"/>
    <s v="Rocketship Alma Academy"/>
    <s v="43 10439 0125799"/>
    <n v="0.76890000000000003"/>
    <n v="1"/>
    <n v="515"/>
    <n v="396"/>
    <n v="56908"/>
    <n v="31054"/>
    <n v="87962"/>
  </r>
  <r>
    <s v="43"/>
    <s v="10439"/>
    <s v="0127969"/>
    <s v="1547"/>
    <s v="D"/>
    <s v="Discovery Charter II"/>
    <x v="1"/>
    <s v="Discovery Charter II"/>
    <s v="43 10439 0127969"/>
    <n v="0.13519999999999999"/>
    <n v="1"/>
    <n v="488"/>
    <n v="66"/>
    <n v="53925"/>
    <n v="5176"/>
    <n v="59101"/>
  </r>
  <r>
    <s v="43"/>
    <s v="10439"/>
    <s v="0129213"/>
    <s v="1618"/>
    <s v="D"/>
    <s v="Alpha: Jose Hernandez"/>
    <x v="1"/>
    <s v="Alpha: Jose Hernandez"/>
    <s v="43 10439 0129213"/>
    <n v="0.9002"/>
    <n v="1"/>
    <n v="451"/>
    <n v="406"/>
    <n v="49836"/>
    <n v="31838"/>
    <n v="81674"/>
  </r>
  <r>
    <s v="43"/>
    <s v="10439"/>
    <s v="0131110"/>
    <s v="1687"/>
    <s v="D"/>
    <s v="Rocketship Fuerza Community Prep"/>
    <x v="1"/>
    <s v="Rocketship Fuerza Community Prep"/>
    <s v="43 10439 0131110"/>
    <n v="0.75360000000000005"/>
    <n v="1"/>
    <n v="560"/>
    <n v="422"/>
    <n v="61881"/>
    <n v="33093"/>
    <n v="94974"/>
  </r>
  <r>
    <s v="43"/>
    <s v="10439"/>
    <s v="0131748"/>
    <s v="1716"/>
    <s v="D"/>
    <s v="Voices College-Bound Language Academy at Morgan Hill"/>
    <x v="1"/>
    <s v="Voices College-Bound Language Academy at Morgan Hill"/>
    <s v="43 10439 0131748"/>
    <n v="0.5121"/>
    <n v="1"/>
    <n v="289"/>
    <n v="148"/>
    <n v="31935"/>
    <n v="11606"/>
    <n v="43541"/>
  </r>
  <r>
    <s v="43"/>
    <s v="10439"/>
    <s v="0132530"/>
    <s v="1743"/>
    <s v="D"/>
    <s v="Voices College-Bound Language Academy at Mt. Pleasant"/>
    <x v="1"/>
    <s v="Voices College-Bound Language Academy at Mt. Pleasant"/>
    <s v="43 10439 0132530"/>
    <n v="0.54900000000000004"/>
    <n v="1"/>
    <n v="286"/>
    <n v="157"/>
    <n v="31603"/>
    <n v="12312"/>
    <n v="43915"/>
  </r>
  <r>
    <s v="43"/>
    <s v="10439"/>
    <s v="0133496"/>
    <s v="1778"/>
    <s v="D"/>
    <s v="Rocketship Rising Stars"/>
    <x v="1"/>
    <s v="Rocketship Rising Stars"/>
    <s v="43 10439 0133496"/>
    <n v="0.72509999999999997"/>
    <n v="1"/>
    <n v="593"/>
    <n v="430"/>
    <n v="65527"/>
    <n v="33720"/>
    <n v="99247"/>
  </r>
  <r>
    <s v="43"/>
    <s v="10439"/>
    <s v="0135087"/>
    <s v="1840"/>
    <s v="L"/>
    <s v="Opportunity Youth Academy"/>
    <x v="1"/>
    <s v="Escuela Popular Accelerated Family Learning"/>
    <s v="43 69427 4330726"/>
    <n v="0.91559999999999997"/>
    <n v="1"/>
    <n v="337"/>
    <n v="287"/>
    <n v="37239"/>
    <n v="22506"/>
    <n v="59745"/>
  </r>
  <r>
    <s v="43"/>
    <s v="69369"/>
    <s v="0000000"/>
    <s v="N/A"/>
    <s v="N/A"/>
    <s v="Alum Rock Union Elementary"/>
    <x v="3"/>
    <s v="Aptitud Community Academy at Goss"/>
    <s v="43 69369 6046247"/>
    <n v="0.88859999999999995"/>
    <n v="23"/>
    <n v="7672"/>
    <n v="5790"/>
    <n v="847770"/>
    <n v="454047"/>
    <n v="1301817"/>
  </r>
  <r>
    <s v="43"/>
    <s v="69369"/>
    <s v="0106633"/>
    <s v="0628"/>
    <s v="D"/>
    <s v="KIPP Heartwood Academy"/>
    <x v="1"/>
    <s v="Escuela Popular Accelerated Family Learning"/>
    <s v="43 69427 4330726"/>
    <n v="0.91559999999999997"/>
    <n v="1"/>
    <n v="415"/>
    <n v="292"/>
    <n v="45858"/>
    <n v="22898"/>
    <n v="68756"/>
  </r>
  <r>
    <s v="43"/>
    <s v="69369"/>
    <s v="0125526"/>
    <s v="1375"/>
    <s v="D"/>
    <s v="Alpha: Blanca Alvarado"/>
    <x v="1"/>
    <s v="Alpha: Blanca Alvarado"/>
    <s v="43 69369 0125526"/>
    <n v="0.74570000000000003"/>
    <n v="1"/>
    <n v="468"/>
    <n v="349"/>
    <n v="51715"/>
    <n v="27368"/>
    <n v="79083"/>
  </r>
  <r>
    <s v="43"/>
    <s v="69369"/>
    <s v="0129924"/>
    <s v="1609"/>
    <s v="D"/>
    <s v="KIPP Prize Preparatory Academy"/>
    <x v="1"/>
    <s v="Escuela Popular Accelerated Family Learning"/>
    <s v="43 69427 4330726"/>
    <n v="0.91559999999999997"/>
    <n v="1"/>
    <n v="395"/>
    <n v="311"/>
    <n v="43648"/>
    <n v="24388"/>
    <n v="68036"/>
  </r>
  <r>
    <s v="43"/>
    <s v="69377"/>
    <s v="0000000"/>
    <s v="N/A"/>
    <s v="N/A"/>
    <s v="Berryessa Union Elementary"/>
    <x v="3"/>
    <s v="Toyon Elementary"/>
    <s v="43 69377 6046403"/>
    <n v="0.42920000000000003"/>
    <n v="15"/>
    <n v="5992"/>
    <n v="1610"/>
    <n v="662128"/>
    <n v="126255"/>
    <n v="788383"/>
  </r>
  <r>
    <s v="43"/>
    <s v="69385"/>
    <s v="0000000"/>
    <s v="N/A"/>
    <s v="N/A"/>
    <s v="Cambrian"/>
    <x v="3"/>
    <s v="Bagby Elementary"/>
    <s v="43 69385 6046411"/>
    <n v="0.14910000000000001"/>
    <n v="3"/>
    <n v="974"/>
    <n v="109"/>
    <n v="107629"/>
    <n v="8548"/>
    <n v="116177"/>
  </r>
  <r>
    <s v="43"/>
    <s v="69385"/>
    <s v="6046445"/>
    <s v="0638"/>
    <s v="L"/>
    <s v="Fammatre Elementary"/>
    <x v="1"/>
    <s v="Fammatre Elementary"/>
    <s v="43 69385 6046445"/>
    <n v="0.24560000000000001"/>
    <n v="1"/>
    <n v="465"/>
    <n v="114"/>
    <n v="51383"/>
    <n v="8940"/>
    <n v="60323"/>
  </r>
  <r>
    <s v="43"/>
    <s v="69385"/>
    <s v="6046452"/>
    <s v="0574"/>
    <s v="L"/>
    <s v="Farnham Charter"/>
    <x v="1"/>
    <s v="Farnham Charter"/>
    <s v="43 69385 6046452"/>
    <n v="0.1925"/>
    <n v="1"/>
    <n v="349"/>
    <n v="67"/>
    <n v="38565"/>
    <n v="5254"/>
    <n v="43819"/>
  </r>
  <r>
    <s v="43"/>
    <s v="69385"/>
    <s v="6046486"/>
    <s v="0575"/>
    <s v="L"/>
    <s v="Price Charter Middle"/>
    <x v="1"/>
    <s v="Escuela Popular Accelerated Family Learning"/>
    <s v="43 69427 4330726"/>
    <n v="0.91559999999999997"/>
    <n v="1"/>
    <n v="870"/>
    <n v="156"/>
    <n v="96136"/>
    <n v="12233"/>
    <n v="108369"/>
  </r>
  <r>
    <s v="43"/>
    <s v="69385"/>
    <s v="6046494"/>
    <s v="0497"/>
    <s v="L"/>
    <s v="Sartorette Charter"/>
    <x v="1"/>
    <s v="Sartorette Charter"/>
    <s v="43 69385 6046494"/>
    <n v="0.223"/>
    <n v="1"/>
    <n v="281"/>
    <n v="63"/>
    <n v="31051"/>
    <n v="4940"/>
    <n v="35991"/>
  </r>
  <r>
    <s v="43"/>
    <s v="69393"/>
    <s v="0000000"/>
    <s v="N/A"/>
    <s v="N/A"/>
    <s v="Campbell Union"/>
    <x v="3"/>
    <s v="Rosemary"/>
    <s v="43 69393 6046676"/>
    <n v="0.77200000000000002"/>
    <n v="2"/>
    <n v="567"/>
    <n v="437"/>
    <n v="62654"/>
    <n v="34269"/>
    <n v="96923"/>
  </r>
  <r>
    <s v="43"/>
    <s v="69393"/>
    <s v="0106005"/>
    <s v="0817"/>
    <s v="L"/>
    <s v="Village"/>
    <x v="1"/>
    <s v="Village"/>
    <s v="43 69393 0106005"/>
    <n v="0.1757"/>
    <n v="1"/>
    <n v="222"/>
    <n v="39"/>
    <n v="24531"/>
    <n v="3058"/>
    <n v="27589"/>
  </r>
  <r>
    <s v="43"/>
    <s v="69393"/>
    <s v="0137273"/>
    <s v="1969"/>
    <s v="L"/>
    <s v="Campbell School of Innovation"/>
    <x v="1"/>
    <s v="Campbell School of Innovation"/>
    <s v="43 69393 0137273"/>
    <n v="0.2228"/>
    <n v="1"/>
    <n v="781"/>
    <n v="174"/>
    <n v="86302"/>
    <n v="13645"/>
    <n v="99947"/>
  </r>
  <r>
    <s v="43"/>
    <s v="69393"/>
    <s v="6046510"/>
    <s v="0993"/>
    <s v="L"/>
    <s v="Blackford Elementary"/>
    <x v="1"/>
    <s v="Blackford Elementary"/>
    <s v="43 69393 6046510"/>
    <n v="0.50800000000000001"/>
    <n v="1"/>
    <n v="376"/>
    <n v="191"/>
    <n v="41549"/>
    <n v="14978"/>
    <n v="56527"/>
  </r>
  <r>
    <s v="43"/>
    <s v="69393"/>
    <s v="6046536"/>
    <s v="0886"/>
    <s v="L"/>
    <s v="Capri Elementary"/>
    <x v="1"/>
    <s v="Capri Elementary"/>
    <s v="43 69393 6046536"/>
    <n v="0.31159999999999999"/>
    <n v="1"/>
    <n v="431"/>
    <n v="134"/>
    <n v="47626"/>
    <n v="10508"/>
    <n v="58134"/>
  </r>
  <r>
    <s v="43"/>
    <s v="69393"/>
    <s v="6046544"/>
    <s v="0866"/>
    <s v="L"/>
    <s v="Castlemont Elementary"/>
    <x v="1"/>
    <s v="Castlemont Elementary"/>
    <s v="43 69393 6046544"/>
    <n v="0.42480000000000001"/>
    <n v="1"/>
    <n v="452"/>
    <n v="192"/>
    <n v="49947"/>
    <n v="15056"/>
    <n v="65003"/>
  </r>
  <r>
    <s v="43"/>
    <s v="69393"/>
    <s v="6046577"/>
    <s v="0997"/>
    <s v="L"/>
    <s v="Forest Hill Elementary"/>
    <x v="1"/>
    <s v="Forest Hill Elementary"/>
    <s v="43 69393 6046577"/>
    <n v="0.11550000000000001"/>
    <n v="1"/>
    <n v="563"/>
    <n v="65"/>
    <n v="62212"/>
    <n v="5097"/>
    <n v="67309"/>
  </r>
  <r>
    <s v="43"/>
    <s v="69393"/>
    <s v="6046601"/>
    <s v="0865"/>
    <s v="L"/>
    <s v="Lynhaven Elementary"/>
    <x v="1"/>
    <s v="Lynhaven Elementary"/>
    <s v="43 69393 6046601"/>
    <n v="0.3891"/>
    <n v="1"/>
    <n v="479"/>
    <n v="186"/>
    <n v="52930"/>
    <n v="14586"/>
    <n v="67516"/>
  </r>
  <r>
    <s v="43"/>
    <s v="69393"/>
    <s v="6046619"/>
    <s v="0984"/>
    <s v="L"/>
    <s v="Marshall Lane Elementary"/>
    <x v="1"/>
    <s v="Marshall Lane Elementary"/>
    <s v="43 69393 6046619"/>
    <n v="0.11210000000000001"/>
    <n v="1"/>
    <n v="437"/>
    <n v="49"/>
    <n v="48289"/>
    <n v="3843"/>
    <n v="52132"/>
  </r>
  <r>
    <s v="43"/>
    <s v="69393"/>
    <s v="6046627"/>
    <s v="0899"/>
    <s v="L"/>
    <s v="Monroe Middle"/>
    <x v="1"/>
    <s v="Escuela Popular Accelerated Family Learning"/>
    <s v="43 69427 4330726"/>
    <n v="0.91559999999999997"/>
    <n v="1"/>
    <n v="729"/>
    <n v="335"/>
    <n v="80556"/>
    <n v="26270"/>
    <n v="106826"/>
  </r>
  <r>
    <s v="43"/>
    <s v="69393"/>
    <s v="6046668"/>
    <s v="0887"/>
    <s v="L"/>
    <s v="Rolling Hills Middle"/>
    <x v="1"/>
    <s v="Escuela Popular Accelerated Family Learning"/>
    <s v="43 69427 4330726"/>
    <n v="0.91559999999999997"/>
    <n v="1"/>
    <n v="861"/>
    <n v="156"/>
    <n v="95142"/>
    <n v="12233"/>
    <n v="107375"/>
  </r>
  <r>
    <s v="43"/>
    <s v="69393"/>
    <s v="6046692"/>
    <s v="0304"/>
    <s v="L"/>
    <s v="Sherman Oaks Elementary"/>
    <x v="1"/>
    <s v="Sherman Oaks Elementary"/>
    <s v="43 69393 6046692"/>
    <n v="0.4783"/>
    <n v="1"/>
    <n v="552"/>
    <n v="264"/>
    <n v="60997"/>
    <n v="20703"/>
    <n v="81700"/>
  </r>
  <r>
    <s v="43"/>
    <s v="69401"/>
    <s v="0000000"/>
    <s v="N/A"/>
    <s v="N/A"/>
    <s v="Campbell Union High"/>
    <x v="3"/>
    <s v="Escuela Popular Accelerated Family Learning"/>
    <s v="43 69427 4330726"/>
    <n v="0.91559999999999997"/>
    <n v="7"/>
    <n v="8609"/>
    <n v="3258"/>
    <n v="951309"/>
    <n v="255490"/>
    <n v="1206799"/>
  </r>
  <r>
    <s v="43"/>
    <s v="69419"/>
    <s v="0000000"/>
    <s v="N/A"/>
    <s v="N/A"/>
    <s v="Cupertino Union"/>
    <x v="3"/>
    <s v="Chester W. Nimitz Elementary"/>
    <s v="43 69419 6046742"/>
    <n v="0.48930000000000001"/>
    <n v="24"/>
    <n v="13518"/>
    <n v="2183"/>
    <n v="1493761"/>
    <n v="171189"/>
    <n v="1664950"/>
  </r>
  <r>
    <s v="43"/>
    <s v="69427"/>
    <s v="0000000"/>
    <s v="N/A"/>
    <s v="N/A"/>
    <s v="East Side Union High"/>
    <x v="3"/>
    <s v="Escuela Popular Accelerated Family Learning"/>
    <s v="43 69427 4330726"/>
    <n v="0.91559999999999997"/>
    <n v="17"/>
    <n v="21140"/>
    <n v="6854"/>
    <n v="2336006"/>
    <n v="537482"/>
    <n v="2873488"/>
  </r>
  <r>
    <s v="43"/>
    <s v="69427"/>
    <s v="0107151"/>
    <s v="0646"/>
    <s v="D"/>
    <s v="Escuela Popular/Center for Training and Careers, Family Learning"/>
    <x v="1"/>
    <s v="Escuela Popular Accelerated Family Learning"/>
    <s v="43 69427 4330726"/>
    <n v="0.91559999999999997"/>
    <n v="1"/>
    <n v="528"/>
    <n v="80"/>
    <n v="58345"/>
    <n v="6274"/>
    <n v="64619"/>
  </r>
  <r>
    <s v="43"/>
    <s v="69427"/>
    <s v="0116889"/>
    <s v="0976"/>
    <s v="D"/>
    <s v="KIPP San Jose Collegiate"/>
    <x v="1"/>
    <s v="Escuela Popular Accelerated Family Learning"/>
    <s v="43 69427 4330726"/>
    <n v="0.91559999999999997"/>
    <n v="1"/>
    <n v="516"/>
    <n v="381"/>
    <n v="57019"/>
    <n v="29878"/>
    <n v="86897"/>
  </r>
  <r>
    <s v="43"/>
    <s v="69427"/>
    <s v="0125617"/>
    <s v="1387"/>
    <s v="D"/>
    <s v="ACE Charter High"/>
    <x v="1"/>
    <s v="Escuela Popular Accelerated Family Learning"/>
    <s v="43 69427 4330726"/>
    <n v="0.91559999999999997"/>
    <n v="1"/>
    <n v="370"/>
    <n v="296"/>
    <n v="40886"/>
    <n v="23212"/>
    <n v="64098"/>
  </r>
  <r>
    <s v="43"/>
    <s v="69427"/>
    <s v="0130856"/>
    <s v="1681"/>
    <s v="D"/>
    <s v="Luis Valdez Leadership Academy"/>
    <x v="1"/>
    <s v="Escuela Popular Accelerated Family Learning"/>
    <s v="43 69427 4330726"/>
    <n v="0.91559999999999997"/>
    <n v="1"/>
    <n v="270"/>
    <n v="205"/>
    <n v="29835"/>
    <n v="16076"/>
    <n v="45911"/>
  </r>
  <r>
    <s v="43"/>
    <s v="69427"/>
    <s v="0131995"/>
    <s v="1675"/>
    <s v="D"/>
    <s v="B. Roberto Cruz Leadership Academy"/>
    <x v="1"/>
    <s v="Escuela Popular Accelerated Family Learning"/>
    <s v="43 69427 4330726"/>
    <n v="0.91559999999999997"/>
    <n v="1"/>
    <n v="264"/>
    <n v="216"/>
    <n v="29172"/>
    <n v="16938"/>
    <n v="46110"/>
  </r>
  <r>
    <s v="43"/>
    <s v="69427"/>
    <s v="0132274"/>
    <s v="1737"/>
    <s v="D"/>
    <s v="Alpha: Cindy Avitia High School"/>
    <x v="1"/>
    <s v="Escuela Popular Accelerated Family Learning"/>
    <s v="43 69427 4330726"/>
    <n v="0.91559999999999997"/>
    <n v="1"/>
    <n v="455"/>
    <n v="303"/>
    <n v="50278"/>
    <n v="23761"/>
    <n v="74039"/>
  </r>
  <r>
    <s v="43"/>
    <s v="69427"/>
    <s v="4330668"/>
    <s v="0414"/>
    <s v="D"/>
    <s v="Latino College Preparatory Academy"/>
    <x v="1"/>
    <s v="Escuela Popular Accelerated Family Learning"/>
    <s v="43 69427 4330726"/>
    <n v="0.91559999999999997"/>
    <n v="1"/>
    <n v="408"/>
    <n v="312"/>
    <n v="45085"/>
    <n v="24467"/>
    <n v="69552"/>
  </r>
  <r>
    <s v="43"/>
    <s v="69427"/>
    <s v="4330676"/>
    <s v="0425"/>
    <s v="D"/>
    <s v="San Jose Conservation Corps Charter"/>
    <x v="1"/>
    <s v="Escuela Popular Accelerated Family Learning"/>
    <s v="43 69427 4330726"/>
    <n v="0.91559999999999997"/>
    <n v="1"/>
    <n v="174"/>
    <n v="125"/>
    <n v="19227"/>
    <n v="9802"/>
    <n v="29029"/>
  </r>
  <r>
    <s v="43"/>
    <s v="69427"/>
    <s v="4330726"/>
    <s v="0502"/>
    <s v="D"/>
    <s v="Escuela Popular Accelerated Family Learning"/>
    <x v="1"/>
    <s v="Escuela Popular Accelerated Family Learning"/>
    <s v="43 69427 4330726"/>
    <n v="0.91559999999999997"/>
    <n v="1"/>
    <n v="391"/>
    <n v="358"/>
    <n v="43206"/>
    <n v="28074"/>
    <n v="71280"/>
  </r>
  <r>
    <s v="43"/>
    <s v="69435"/>
    <s v="0000000"/>
    <s v="N/A"/>
    <s v="N/A"/>
    <s v="Evergreen Elementary"/>
    <x v="3"/>
    <s v="Katherine R. Smith Elementary"/>
    <s v="43 69435 6047153"/>
    <n v="0.75129999999999997"/>
    <n v="17"/>
    <n v="8923"/>
    <n v="2782"/>
    <n v="986006"/>
    <n v="218161"/>
    <n v="1204167"/>
  </r>
  <r>
    <s v="43"/>
    <s v="69450"/>
    <s v="0000000"/>
    <s v="N/A"/>
    <s v="N/A"/>
    <s v="Franklin-McKinley Elementary"/>
    <x v="3"/>
    <s v="Jeanne R. Meadows Elementary"/>
    <s v="43 69450 6109433"/>
    <n v="0.67820000000000003"/>
    <n v="17"/>
    <n v="6047"/>
    <n v="3331"/>
    <n v="668203"/>
    <n v="261211"/>
    <n v="929414"/>
  </r>
  <r>
    <s v="43"/>
    <s v="69450"/>
    <s v="0113662"/>
    <s v="0846"/>
    <s v="D"/>
    <s v="Voices College-Bound Language Academy"/>
    <x v="1"/>
    <s v="Voices College-Bound Language Academy"/>
    <s v="43 69450 0113662"/>
    <n v="0.38740000000000002"/>
    <n v="1"/>
    <n v="364"/>
    <n v="141"/>
    <n v="40223"/>
    <n v="11057"/>
    <n v="51280"/>
  </r>
  <r>
    <s v="43"/>
    <s v="69450"/>
    <s v="0123299"/>
    <s v="1192"/>
    <s v="D"/>
    <s v="Rocketship Mosaic Elementary"/>
    <x v="1"/>
    <s v="Rocketship Mosaic Elementary"/>
    <s v="43 69450 0123299"/>
    <n v="0.67789999999999995"/>
    <n v="1"/>
    <n v="565"/>
    <n v="383"/>
    <n v="62433"/>
    <n v="30034"/>
    <n v="92467"/>
  </r>
  <r>
    <s v="43"/>
    <s v="69450"/>
    <s v="0128108"/>
    <s v="1526"/>
    <s v="D"/>
    <s v="Rocketship Spark Academy"/>
    <x v="1"/>
    <s v="Rocketship Spark Academy"/>
    <s v="43 69450 0128108"/>
    <n v="0.56810000000000005"/>
    <n v="1"/>
    <n v="558"/>
    <n v="317"/>
    <n v="61660"/>
    <n v="24859"/>
    <n v="86519"/>
  </r>
  <r>
    <s v="43"/>
    <s v="69450"/>
    <s v="0129205"/>
    <s v="1608"/>
    <s v="D"/>
    <s v="KIPP Heritage Academy"/>
    <x v="1"/>
    <s v="Escuela Popular Accelerated Family Learning"/>
    <s v="43 69427 4330726"/>
    <n v="0.91559999999999997"/>
    <n v="1"/>
    <n v="447"/>
    <n v="310"/>
    <n v="49394"/>
    <n v="24310"/>
    <n v="73704"/>
  </r>
  <r>
    <s v="43"/>
    <s v="69450"/>
    <s v="0129247"/>
    <s v="1545"/>
    <s v="D"/>
    <s v="ACE Esperanza Middle"/>
    <x v="1"/>
    <s v="Escuela Popular Accelerated Family Learning"/>
    <s v="43 69427 4330726"/>
    <n v="0.91559999999999997"/>
    <n v="1"/>
    <n v="221"/>
    <n v="177"/>
    <n v="24421"/>
    <n v="13880"/>
    <n v="38301"/>
  </r>
  <r>
    <s v="43"/>
    <s v="69468"/>
    <s v="0000000"/>
    <s v="N/A"/>
    <s v="N/A"/>
    <s v="Fremont Union High"/>
    <x v="3"/>
    <s v="Escuela Popular Accelerated Family Learning"/>
    <s v="43 69427 4330726"/>
    <n v="0.91559999999999997"/>
    <n v="7"/>
    <n v="9978"/>
    <n v="1118"/>
    <n v="1102585"/>
    <n v="87673"/>
    <n v="1190258"/>
  </r>
  <r>
    <s v="43"/>
    <s v="69484"/>
    <s v="0000000"/>
    <s v="N/A"/>
    <s v="N/A"/>
    <s v="Gilroy Unified"/>
    <x v="3"/>
    <s v="Eliot Elementary"/>
    <s v="43 69484 6047302"/>
    <n v="0.82940000000000003"/>
    <n v="16"/>
    <n v="10609"/>
    <n v="5337"/>
    <n v="1172312"/>
    <n v="418522"/>
    <n v="1590834"/>
  </r>
  <r>
    <s v="43"/>
    <s v="69484"/>
    <s v="0123760"/>
    <s v="1278"/>
    <s v="D"/>
    <s v="Gilroy Prep (a Navigator School)"/>
    <x v="1"/>
    <s v="Gilroy Prep (a Navigator School)"/>
    <s v="43 69484 0123760"/>
    <n v="0.37869999999999998"/>
    <n v="1"/>
    <n v="544"/>
    <n v="206"/>
    <n v="60113"/>
    <n v="16154"/>
    <n v="76267"/>
  </r>
  <r>
    <s v="43"/>
    <s v="69492"/>
    <s v="0000000"/>
    <s v="N/A"/>
    <s v="N/A"/>
    <s v="Lakeside Joint"/>
    <x v="3"/>
    <s v="Lakeside Elementary"/>
    <s v="43 69492 6047351"/>
    <n v="0.13700000000000001"/>
    <n v="2"/>
    <n v="74"/>
    <n v="10"/>
    <n v="8177"/>
    <n v="784"/>
    <n v="8961"/>
  </r>
  <r>
    <s v="43"/>
    <s v="69500"/>
    <s v="0000000"/>
    <s v="N/A"/>
    <s v="N/A"/>
    <s v="Loma Prieta Joint Union Elementary"/>
    <x v="3"/>
    <s v="Loma Prieta Elementary"/>
    <s v="43 69500 6047369"/>
    <n v="0.10150000000000001"/>
    <n v="3"/>
    <n v="434"/>
    <n v="39"/>
    <n v="47958"/>
    <n v="3058"/>
    <n v="51016"/>
  </r>
  <r>
    <s v="43"/>
    <s v="69518"/>
    <s v="0000000"/>
    <s v="N/A"/>
    <s v="N/A"/>
    <s v="Los Altos Elementary"/>
    <x v="3"/>
    <s v="Santa Rita Elementary"/>
    <s v="43 69518 6047492"/>
    <n v="0.1636"/>
    <n v="11"/>
    <n v="3372"/>
    <n v="225"/>
    <n v="372612"/>
    <n v="17644"/>
    <n v="390256"/>
  </r>
  <r>
    <s v="43"/>
    <s v="69526"/>
    <s v="0000000"/>
    <s v="N/A"/>
    <s v="N/A"/>
    <s v="Los Gatos Union Elementary"/>
    <x v="3"/>
    <s v="Blossom Hill Elementary"/>
    <s v="43 69526 6047518"/>
    <n v="4.9000000000000002E-2"/>
    <n v="6"/>
    <n v="2627"/>
    <n v="102"/>
    <n v="290288"/>
    <n v="8000"/>
    <n v="298288"/>
  </r>
  <r>
    <s v="43"/>
    <s v="69534"/>
    <s v="0000000"/>
    <s v="N/A"/>
    <s v="N/A"/>
    <s v="Los Gatos-Saratoga Union High"/>
    <x v="3"/>
    <s v="Escuela Popular Accelerated Family Learning"/>
    <s v="43 69427 4330726"/>
    <n v="0.91559999999999997"/>
    <n v="3"/>
    <n v="3261"/>
    <n v="357"/>
    <n v="360346"/>
    <n v="27995"/>
    <n v="388341"/>
  </r>
  <r>
    <s v="43"/>
    <s v="69542"/>
    <s v="0000000"/>
    <s v="N/A"/>
    <s v="N/A"/>
    <s v="Luther Burbank"/>
    <x v="3"/>
    <s v="Luther Burbank Elementary"/>
    <s v="43 69542 6047575"/>
    <n v="0.82940000000000003"/>
    <n v="2"/>
    <n v="457"/>
    <n v="379"/>
    <n v="50500"/>
    <n v="29721"/>
    <n v="80221"/>
  </r>
  <r>
    <s v="43"/>
    <s v="69575"/>
    <s v="0000000"/>
    <s v="N/A"/>
    <s v="N/A"/>
    <s v="Moreland"/>
    <x v="3"/>
    <s v="Leroy Anderson Elementary"/>
    <s v="43 69575 6047831"/>
    <n v="0.84750000000000003"/>
    <n v="8"/>
    <n v="4013"/>
    <n v="1375"/>
    <n v="443444"/>
    <n v="107826"/>
    <n v="551270"/>
  </r>
  <r>
    <s v="43"/>
    <s v="69583"/>
    <s v="0000000"/>
    <s v="N/A"/>
    <s v="N/A"/>
    <s v="Morgan Hill Unified"/>
    <x v="3"/>
    <s v="P. A. Walsh STEAM Academy"/>
    <s v="43 69583 6047922"/>
    <n v="0.68089999999999995"/>
    <n v="14"/>
    <n v="8054"/>
    <n v="3105"/>
    <n v="889982"/>
    <n v="243491"/>
    <n v="1133473"/>
  </r>
  <r>
    <s v="43"/>
    <s v="69583"/>
    <s v="6118541"/>
    <s v="0363"/>
    <s v="D"/>
    <s v="Charter School of Morgan Hill"/>
    <x v="1"/>
    <s v="Charter School of Morgan Hill"/>
    <s v="43 69583 6118541"/>
    <n v="8.1000000000000003E-2"/>
    <n v="1"/>
    <n v="654"/>
    <n v="53"/>
    <n v="72268"/>
    <n v="4156"/>
    <n v="76424"/>
  </r>
  <r>
    <s v="43"/>
    <s v="69591"/>
    <s v="0000000"/>
    <s v="N/A"/>
    <s v="N/A"/>
    <s v="Mountain View Whisman"/>
    <x v="3"/>
    <s v="Mariano Castro Elementary"/>
    <s v="43 69591 6048003"/>
    <n v="0.80649999999999999"/>
    <n v="13"/>
    <n v="4680"/>
    <n v="1416"/>
    <n v="517149"/>
    <n v="111042"/>
    <n v="628191"/>
  </r>
  <r>
    <s v="43"/>
    <s v="69609"/>
    <s v="0000000"/>
    <s v="N/A"/>
    <s v="N/A"/>
    <s v="Mountain View-Los Altos Union High"/>
    <x v="3"/>
    <s v="Escuela Popular Accelerated Family Learning"/>
    <s v="43 69427 4330726"/>
    <n v="0.91559999999999997"/>
    <n v="4"/>
    <n v="4430"/>
    <n v="588"/>
    <n v="489523"/>
    <n v="46111"/>
    <n v="535634"/>
  </r>
  <r>
    <s v="43"/>
    <s v="69617"/>
    <s v="0000000"/>
    <s v="N/A"/>
    <s v="N/A"/>
    <s v="Mount Pleasant Elementary"/>
    <x v="3"/>
    <s v="Robert Sanders Elementary"/>
    <s v="43 69617 6048078"/>
    <n v="0.76619999999999999"/>
    <n v="5"/>
    <n v="1243"/>
    <n v="892"/>
    <n v="137354"/>
    <n v="69949"/>
    <n v="207303"/>
  </r>
  <r>
    <s v="43"/>
    <s v="69617"/>
    <s v="6048045"/>
    <s v="1243"/>
    <s v="L"/>
    <s v="Ida Jew Academies"/>
    <x v="1"/>
    <s v="Ida Jew Academies"/>
    <s v="43 69617 6048045"/>
    <n v="0.56210000000000004"/>
    <n v="1"/>
    <n v="427"/>
    <n v="240"/>
    <n v="47184"/>
    <n v="18821"/>
    <n v="66005"/>
  </r>
  <r>
    <s v="43"/>
    <s v="69625"/>
    <s v="0000000"/>
    <s v="N/A"/>
    <s v="N/A"/>
    <s v="Oak Grove Elementary"/>
    <x v="3"/>
    <s v="Christopher Elementary"/>
    <s v="43 69625 6048102"/>
    <n v="0.61199999999999999"/>
    <n v="19"/>
    <n v="8731"/>
    <n v="3148"/>
    <n v="964791"/>
    <n v="246863"/>
    <n v="1211654"/>
  </r>
  <r>
    <s v="43"/>
    <s v="69633"/>
    <s v="0000000"/>
    <s v="N/A"/>
    <s v="N/A"/>
    <s v="Orchard Elementary"/>
    <x v="3"/>
    <s v="Orchard Elementary"/>
    <s v="43 69633 6048185"/>
    <n v="0.43909999999999999"/>
    <n v="2"/>
    <n v="777"/>
    <n v="341"/>
    <n v="85860"/>
    <n v="26741"/>
    <n v="112601"/>
  </r>
  <r>
    <s v="43"/>
    <s v="69641"/>
    <s v="0000000"/>
    <s v="N/A"/>
    <s v="N/A"/>
    <s v="Palo Alto Unified"/>
    <x v="3"/>
    <s v="Packard Children's Hospital/Stanford"/>
    <s v="43 69641 6048375"/>
    <n v="0.4"/>
    <n v="20"/>
    <n v="10363"/>
    <n v="1201"/>
    <n v="1145128"/>
    <n v="94181"/>
    <n v="1239309"/>
  </r>
  <r>
    <s v="43"/>
    <s v="69666"/>
    <s v="0000000"/>
    <s v="N/A"/>
    <s v="N/A"/>
    <s v="San Jose Unified"/>
    <x v="3"/>
    <s v="Washington Elementary"/>
    <s v="43 69666 6048748"/>
    <n v="0.83860000000000001"/>
    <n v="43"/>
    <n v="25441"/>
    <n v="10529"/>
    <n v="2811273"/>
    <n v="825676"/>
    <n v="3636949"/>
  </r>
  <r>
    <s v="43"/>
    <s v="69666"/>
    <s v="0129718"/>
    <s v="1623"/>
    <s v="D"/>
    <s v="Downtown College Preparatory Middle"/>
    <x v="1"/>
    <s v="Escuela Popular Accelerated Family Learning"/>
    <s v="43 69427 4330726"/>
    <n v="0.91559999999999997"/>
    <n v="1"/>
    <n v="294"/>
    <n v="233"/>
    <n v="32487"/>
    <n v="18272"/>
    <n v="50759"/>
  </r>
  <r>
    <s v="43"/>
    <s v="69666"/>
    <s v="0131656"/>
    <s v="1546"/>
    <s v="D"/>
    <s v="ACE Inspire Academy"/>
    <x v="1"/>
    <s v="Escuela Popular Accelerated Family Learning"/>
    <s v="43 69427 4330726"/>
    <n v="0.91559999999999997"/>
    <n v="1"/>
    <n v="239"/>
    <n v="193"/>
    <n v="26410"/>
    <n v="15135"/>
    <n v="41545"/>
  </r>
  <r>
    <s v="43"/>
    <s v="69666"/>
    <s v="4330585"/>
    <s v="0287"/>
    <s v="D"/>
    <s v="Downtown College Preparatory"/>
    <x v="1"/>
    <s v="Escuela Popular Accelerated Family Learning"/>
    <s v="43 69427 4330726"/>
    <n v="0.91559999999999997"/>
    <n v="1"/>
    <n v="495"/>
    <n v="380"/>
    <n v="54698"/>
    <n v="29799"/>
    <n v="84497"/>
  </r>
  <r>
    <s v="43"/>
    <s v="69674"/>
    <s v="0000000"/>
    <s v="N/A"/>
    <s v="N/A"/>
    <s v="Santa Clara Unified"/>
    <x v="3"/>
    <s v="Scott Lane Elementary"/>
    <s v="43 69674 6049019"/>
    <n v="0.71209999999999996"/>
    <n v="31"/>
    <n v="14220"/>
    <n v="5832"/>
    <n v="1571339"/>
    <n v="457341"/>
    <n v="2028680"/>
  </r>
  <r>
    <s v="43"/>
    <s v="69682"/>
    <s v="0000000"/>
    <s v="N/A"/>
    <s v="N/A"/>
    <s v="Saratoga Union Elementary"/>
    <x v="3"/>
    <s v="Foothill Elementary"/>
    <s v="43 69682 6049084"/>
    <n v="4.9700000000000001E-2"/>
    <n v="6"/>
    <n v="1630"/>
    <n v="53"/>
    <n v="180117"/>
    <n v="4156"/>
    <n v="184273"/>
  </r>
  <r>
    <s v="43"/>
    <s v="69690"/>
    <s v="0000000"/>
    <s v="N/A"/>
    <s v="N/A"/>
    <s v="Sunnyvale"/>
    <x v="3"/>
    <s v="Bishop Elementary"/>
    <s v="43 69690 6049142"/>
    <n v="0.56420000000000003"/>
    <n v="11"/>
    <n v="5603"/>
    <n v="1715"/>
    <n v="619142"/>
    <n v="134489"/>
    <n v="753631"/>
  </r>
  <r>
    <s v="43"/>
    <s v="69708"/>
    <s v="0000000"/>
    <s v="N/A"/>
    <s v="N/A"/>
    <s v="Union Elementary"/>
    <x v="3"/>
    <s v="Lietz Elementary"/>
    <s v="43 69708 6049373"/>
    <n v="0.17599999999999999"/>
    <n v="9"/>
    <n v="5393"/>
    <n v="500"/>
    <n v="595935"/>
    <n v="39211"/>
    <n v="635146"/>
  </r>
  <r>
    <s v="43"/>
    <s v="73387"/>
    <s v="0000000"/>
    <s v="N/A"/>
    <s v="N/A"/>
    <s v="Milpitas Unified"/>
    <x v="3"/>
    <s v="Robert Randall World Languages"/>
    <s v="43 73387 6047674"/>
    <n v="0.5423"/>
    <n v="16"/>
    <n v="10051"/>
    <n v="2848"/>
    <n v="1110652"/>
    <n v="223339"/>
    <n v="1333991"/>
  </r>
  <r>
    <s v="43"/>
    <s v="77149"/>
    <s v="0137315"/>
    <s v="1955"/>
    <s v="D"/>
    <s v="KIPP Navigate College Prep"/>
    <x v="1"/>
    <s v="Escuela Popular Accelerated Family Learning"/>
    <s v="43 69427 4330726"/>
    <n v="0.91559999999999997"/>
    <n v="1"/>
    <n v="338"/>
    <n v="250"/>
    <n v="37350"/>
    <n v="19605"/>
    <n v="56955"/>
  </r>
  <r>
    <s v="44"/>
    <s v="10447"/>
    <s v="0000000"/>
    <s v="N/A"/>
    <s v="N/A"/>
    <s v="Santa Cruz Co. Office of Education"/>
    <x v="0"/>
    <s v="Radcliff Elementary"/>
    <s v="44 69799 0102665"/>
    <n v="0.97509999999999997"/>
    <n v="4"/>
    <n v="917"/>
    <n v="449"/>
    <n v="101331"/>
    <n v="35210"/>
    <n v="136541"/>
  </r>
  <r>
    <s v="44"/>
    <s v="10447"/>
    <s v="0136572"/>
    <s v="1904"/>
    <s v="L"/>
    <s v="Santa Cruz County Career Advancement Charter"/>
    <x v="1"/>
    <s v="Radcliff Elementary"/>
    <s v="44 69799 0102665"/>
    <n v="0.97509999999999997"/>
    <n v="1"/>
    <n v="163"/>
    <n v="22"/>
    <n v="18012"/>
    <n v="1725"/>
    <n v="19737"/>
  </r>
  <r>
    <s v="44"/>
    <s v="10447"/>
    <s v="4430252"/>
    <s v="0210"/>
    <s v="D"/>
    <s v="Pacific Collegiate Charter"/>
    <x v="1"/>
    <s v="Radcliff Elementary"/>
    <s v="44 69799 0102665"/>
    <n v="0.97509999999999997"/>
    <n v="1"/>
    <n v="533"/>
    <n v="48"/>
    <n v="58897"/>
    <n v="3764"/>
    <n v="62661"/>
  </r>
  <r>
    <s v="44"/>
    <s v="69732"/>
    <s v="0000000"/>
    <s v="N/A"/>
    <s v="N/A"/>
    <s v="Bonny Doon Union Elementary"/>
    <x v="3"/>
    <s v="Bonny Doon Elementary"/>
    <s v="44 69732 6049563"/>
    <n v="0.13039999999999999"/>
    <n v="2"/>
    <n v="115"/>
    <n v="15"/>
    <n v="12708"/>
    <n v="1176"/>
    <n v="13884"/>
  </r>
  <r>
    <s v="44"/>
    <s v="69757"/>
    <s v="0000000"/>
    <s v="N/A"/>
    <s v="N/A"/>
    <s v="Happy Valley Elementary"/>
    <x v="3"/>
    <s v="Happy Valley Elementary"/>
    <s v="44 69757 6049571"/>
    <n v="0.1"/>
    <n v="2"/>
    <n v="120"/>
    <n v="12"/>
    <n v="13260"/>
    <n v="941"/>
    <n v="14201"/>
  </r>
  <r>
    <s v="44"/>
    <s v="69765"/>
    <s v="0000000"/>
    <s v="N/A"/>
    <s v="N/A"/>
    <s v="Live Oak Elementary"/>
    <x v="3"/>
    <s v="Del Mar Elementary"/>
    <s v="44 69765 6114102"/>
    <n v="0.50290000000000001"/>
    <n v="7"/>
    <n v="1599"/>
    <n v="840"/>
    <n v="176692"/>
    <n v="65871"/>
    <n v="242563"/>
  </r>
  <r>
    <s v="44"/>
    <s v="69765"/>
    <s v="0100388"/>
    <s v="0513"/>
    <s v="L"/>
    <s v="Tierra Pacifica Charter"/>
    <x v="1"/>
    <s v="Tierra Pacifica Charter"/>
    <s v="44 69765 0100388"/>
    <n v="0.28389999999999999"/>
    <n v="1"/>
    <n v="155"/>
    <n v="44"/>
    <n v="17128"/>
    <n v="3450"/>
    <n v="20578"/>
  </r>
  <r>
    <s v="44"/>
    <s v="69773"/>
    <s v="0000000"/>
    <s v="N/A"/>
    <s v="N/A"/>
    <s v="Mountain Elementary"/>
    <x v="3"/>
    <s v="Mountain Elementary"/>
    <s v="44 69773 6049613"/>
    <n v="0.1938"/>
    <n v="2"/>
    <n v="161"/>
    <n v="31"/>
    <n v="17791"/>
    <n v="2431"/>
    <n v="20222"/>
  </r>
  <r>
    <s v="44"/>
    <s v="69781"/>
    <s v="0000000"/>
    <s v="N/A"/>
    <s v="N/A"/>
    <s v="Pacific Elementary"/>
    <x v="3"/>
    <s v="Pacific Elementary"/>
    <s v="44 69781 6049621"/>
    <n v="0.35060000000000002"/>
    <n v="2"/>
    <n v="165"/>
    <n v="58"/>
    <n v="18233"/>
    <n v="4549"/>
    <n v="22782"/>
  </r>
  <r>
    <s v="44"/>
    <s v="69799"/>
    <s v="0000000"/>
    <s v="N/A"/>
    <s v="N/A"/>
    <s v="Pajaro Valley Unified"/>
    <x v="3"/>
    <s v="Radcliff Elementary"/>
    <s v="44 69799 0102665"/>
    <n v="0.97509999999999997"/>
    <n v="30"/>
    <n v="16292"/>
    <n v="13410"/>
    <n v="1800295"/>
    <n v="1051598"/>
    <n v="2851893"/>
  </r>
  <r>
    <s v="44"/>
    <s v="69799"/>
    <s v="0117804"/>
    <s v="1004"/>
    <s v="D"/>
    <s v="Ceiba College Preparatory Academy"/>
    <x v="1"/>
    <s v="Ceiba College Preparatory Academy"/>
    <s v="44 69799 0117804"/>
    <n v="0.7671"/>
    <n v="1"/>
    <n v="511"/>
    <n v="392"/>
    <n v="56466"/>
    <n v="30740"/>
    <n v="87206"/>
  </r>
  <r>
    <s v="44"/>
    <s v="69799"/>
    <s v="4430229"/>
    <s v="0170"/>
    <s v="L"/>
    <s v="Pacific Coast Charter"/>
    <x v="1"/>
    <s v="Pacific Coast Charter"/>
    <s v="44 69799 4430229"/>
    <n v="0.59389999999999998"/>
    <n v="1"/>
    <n v="165"/>
    <n v="98"/>
    <n v="18233"/>
    <n v="7685"/>
    <n v="25918"/>
  </r>
  <r>
    <s v="44"/>
    <s v="69799"/>
    <s v="4430245"/>
    <s v="0265"/>
    <s v="L"/>
    <s v="Diamond Technology Institute"/>
    <x v="1"/>
    <s v="Radcliff Elementary"/>
    <s v="44 69799 0102665"/>
    <n v="0.97509999999999997"/>
    <n v="1"/>
    <n v="83"/>
    <n v="63"/>
    <n v="9172"/>
    <n v="4940"/>
    <n v="14112"/>
  </r>
  <r>
    <s v="44"/>
    <s v="69799"/>
    <s v="6049720"/>
    <s v="0041"/>
    <s v="L"/>
    <s v="Linscott Charter"/>
    <x v="1"/>
    <s v="Linscott Charter"/>
    <s v="44 69799 6049720"/>
    <n v="0.61780000000000002"/>
    <n v="1"/>
    <n v="259"/>
    <n v="160"/>
    <n v="28620"/>
    <n v="12547"/>
    <n v="41167"/>
  </r>
  <r>
    <s v="44"/>
    <s v="69799"/>
    <s v="6049829"/>
    <s v="0164"/>
    <s v="L"/>
    <s v="Alianza Charter"/>
    <x v="1"/>
    <s v="Alianza Charter"/>
    <s v="44 69799 6049829"/>
    <n v="0.79530000000000001"/>
    <n v="1"/>
    <n v="640"/>
    <n v="509"/>
    <n v="70721"/>
    <n v="39915"/>
    <n v="110636"/>
  </r>
  <r>
    <s v="44"/>
    <s v="69799"/>
    <s v="6119077"/>
    <s v="0373"/>
    <s v="L"/>
    <s v="Watsonville Charter School of the Arts"/>
    <x v="1"/>
    <s v="Watsonville Charter School of the Arts"/>
    <s v="44 69799 6119077"/>
    <n v="0.5948"/>
    <n v="1"/>
    <n v="385"/>
    <n v="229"/>
    <n v="42543"/>
    <n v="17958"/>
    <n v="60501"/>
  </r>
  <r>
    <s v="44"/>
    <s v="69807"/>
    <s v="0000000"/>
    <s v="N/A"/>
    <s v="N/A"/>
    <s v="San Lorenzo Valley Unified"/>
    <x v="3"/>
    <s v="Boulder Creek Elementary"/>
    <s v="44 69807 6049837"/>
    <n v="0.3261"/>
    <n v="6"/>
    <n v="2097"/>
    <n v="516"/>
    <n v="231723"/>
    <n v="40464"/>
    <n v="272187"/>
  </r>
  <r>
    <s v="44"/>
    <s v="69807"/>
    <s v="0110007"/>
    <s v="0747"/>
    <s v="D"/>
    <s v="Ocean Grove Charter"/>
    <x v="1"/>
    <s v="Ocean Grove Charter"/>
    <s v="44 69807 0110007"/>
    <n v="0.24640000000000001"/>
    <n v="1"/>
    <n v="3023"/>
    <n v="745"/>
    <n v="334046"/>
    <n v="58422"/>
    <n v="392468"/>
  </r>
  <r>
    <s v="44"/>
    <s v="69807"/>
    <s v="4430179"/>
    <s v="0025"/>
    <s v="L"/>
    <s v="SLVUSD Charter"/>
    <x v="1"/>
    <s v="SLVUSD Charter"/>
    <s v="44 69807 4430179"/>
    <n v="0.25929999999999997"/>
    <n v="1"/>
    <n v="297"/>
    <n v="77"/>
    <n v="32819"/>
    <n v="6038"/>
    <n v="38857"/>
  </r>
  <r>
    <s v="44"/>
    <s v="69815"/>
    <s v="0000000"/>
    <s v="N/A"/>
    <s v="N/A"/>
    <s v="Santa Cruz City Elementary"/>
    <x v="3"/>
    <s v="Gault Elementary"/>
    <s v="44 69815 6049894"/>
    <n v="0.63549999999999995"/>
    <n v="6"/>
    <n v="1764"/>
    <n v="635"/>
    <n v="194926"/>
    <n v="49797"/>
    <n v="244723"/>
  </r>
  <r>
    <s v="44"/>
    <s v="69823"/>
    <s v="0000000"/>
    <s v="N/A"/>
    <s v="N/A"/>
    <s v="Santa Cruz City High"/>
    <x v="3"/>
    <s v="Radcliff Elementary"/>
    <s v="44 69799 0102665"/>
    <n v="0.97509999999999997"/>
    <n v="9"/>
    <n v="4267"/>
    <n v="1359"/>
    <n v="471511"/>
    <n v="106571"/>
    <n v="578082"/>
  </r>
  <r>
    <s v="44"/>
    <s v="69823"/>
    <s v="4430187"/>
    <s v="0059"/>
    <s v="L"/>
    <s v="Delta Charter"/>
    <x v="1"/>
    <s v="Radcliff Elementary"/>
    <s v="44 69799 0102665"/>
    <n v="0.97509999999999997"/>
    <n v="1"/>
    <n v="116"/>
    <n v="40"/>
    <n v="12818"/>
    <n v="3137"/>
    <n v="15955"/>
  </r>
  <r>
    <s v="44"/>
    <s v="69849"/>
    <s v="0000000"/>
    <s v="N/A"/>
    <s v="N/A"/>
    <s v="Soquel Union Elementary"/>
    <x v="3"/>
    <s v="Soquel Elementary"/>
    <s v="44 69849 6049985"/>
    <n v="0.3911"/>
    <n v="6"/>
    <n v="1667"/>
    <n v="513"/>
    <n v="184207"/>
    <n v="40229"/>
    <n v="224436"/>
  </r>
  <r>
    <s v="44"/>
    <s v="75432"/>
    <s v="0000000"/>
    <s v="N/A"/>
    <s v="N/A"/>
    <s v="Scotts Valley Unified"/>
    <x v="3"/>
    <s v="Brook Knoll Elementary"/>
    <s v="44 75432 6049936"/>
    <n v="0.11849999999999999"/>
    <n v="5"/>
    <n v="2173"/>
    <n v="230"/>
    <n v="240120"/>
    <n v="18035"/>
    <n v="258155"/>
  </r>
  <r>
    <s v="44"/>
    <s v="75432"/>
    <s v="0139410"/>
    <s v="2056"/>
    <s v="D"/>
    <s v="California Connections Academy Monterey Bay"/>
    <x v="1"/>
    <s v="California Connections Academy Monterey Bay"/>
    <s v="44 75432 0139410"/>
    <n v="0.36130000000000001"/>
    <n v="1"/>
    <n v="476"/>
    <n v="172"/>
    <n v="52599"/>
    <n v="13488"/>
    <n v="66087"/>
  </r>
  <r>
    <s v="44"/>
    <s v="77248"/>
    <s v="0138909"/>
    <s v="2032"/>
    <s v="D"/>
    <s v="Watsonville Prep"/>
    <x v="1"/>
    <s v="Watsonville Prep"/>
    <s v="44 77248 0138909"/>
    <n v="0.66920000000000002"/>
    <n v="1"/>
    <n v="396"/>
    <n v="265"/>
    <n v="43759"/>
    <n v="20781"/>
    <n v="64540"/>
  </r>
  <r>
    <s v="45"/>
    <s v="10454"/>
    <s v="0000000"/>
    <s v="N/A"/>
    <s v="N/A"/>
    <s v="Shasta Co. Office of Education"/>
    <x v="0"/>
    <s v="PACE Academy"/>
    <s v="45 69971 0135830"/>
    <n v="0.9"/>
    <n v="5"/>
    <n v="426"/>
    <n v="381"/>
    <n v="47074"/>
    <n v="29878"/>
    <n v="76952"/>
  </r>
  <r>
    <s v="45"/>
    <s v="10454"/>
    <s v="0111674"/>
    <s v="0778"/>
    <s v="D"/>
    <s v="Chrysalis Charter"/>
    <x v="1"/>
    <s v="Chrysalis Charter"/>
    <s v="45 10454 0111674"/>
    <n v="0.36820000000000003"/>
    <n v="1"/>
    <n v="239"/>
    <n v="88"/>
    <n v="26410"/>
    <n v="6901"/>
    <n v="33311"/>
  </r>
  <r>
    <s v="45"/>
    <s v="10454"/>
    <s v="0129957"/>
    <s v="2076"/>
    <s v="D"/>
    <s v="Northern Summit Academy Shasta"/>
    <x v="1"/>
    <s v="Northern Summit Academy Shasta"/>
    <s v="45 10454 0129957"/>
    <n v="0.59240000000000004"/>
    <n v="1"/>
    <n v="184"/>
    <n v="109"/>
    <n v="20332"/>
    <n v="8548"/>
    <n v="28880"/>
  </r>
  <r>
    <s v="45"/>
    <s v="10454"/>
    <s v="0132944"/>
    <s v="1770"/>
    <s v="D"/>
    <s v="Redding STEM Academy"/>
    <x v="1"/>
    <s v="Redding STEM Academy"/>
    <s v="45 10454 0132944"/>
    <n v="0.6"/>
    <n v="1"/>
    <n v="245"/>
    <n v="147"/>
    <n v="27073"/>
    <n v="11528"/>
    <n v="38601"/>
  </r>
  <r>
    <s v="45"/>
    <s v="69856"/>
    <s v="0000000"/>
    <s v="N/A"/>
    <s v="N/A"/>
    <s v="Anderson Union High"/>
    <x v="3"/>
    <s v="PACE Academy"/>
    <s v="45 69971 0135830"/>
    <n v="0.9"/>
    <n v="6"/>
    <n v="1534"/>
    <n v="959"/>
    <n v="169510"/>
    <n v="75204"/>
    <n v="244714"/>
  </r>
  <r>
    <s v="45"/>
    <s v="69856"/>
    <s v="4530333"/>
    <s v="0452"/>
    <s v="L"/>
    <s v="Anderson New Technology High"/>
    <x v="1"/>
    <s v="PACE Academy"/>
    <s v="45 69971 0135830"/>
    <n v="0.9"/>
    <n v="1"/>
    <n v="87"/>
    <n v="59"/>
    <n v="9614"/>
    <n v="4627"/>
    <n v="14241"/>
  </r>
  <r>
    <s v="45"/>
    <s v="69872"/>
    <s v="0000000"/>
    <s v="N/A"/>
    <s v="N/A"/>
    <s v="Bella Vista Elementary"/>
    <x v="3"/>
    <s v="Bella Vista Elementary"/>
    <s v="45 69872 6050074"/>
    <n v="0.64439999999999997"/>
    <n v="2"/>
    <n v="331"/>
    <n v="213"/>
    <n v="36576"/>
    <n v="16703"/>
    <n v="53279"/>
  </r>
  <r>
    <s v="45"/>
    <s v="69880"/>
    <s v="0000000"/>
    <s v="N/A"/>
    <s v="N/A"/>
    <s v="Black Butte Union Elementary"/>
    <x v="3"/>
    <s v="Black Butte Elementary"/>
    <s v="45 69880 6050082"/>
    <n v="0.745"/>
    <n v="3"/>
    <n v="226"/>
    <n v="161"/>
    <n v="24974"/>
    <n v="12626"/>
    <n v="37600"/>
  </r>
  <r>
    <s v="45"/>
    <s v="69914"/>
    <s v="0000000"/>
    <s v="N/A"/>
    <s v="N/A"/>
    <s v="Cascade Union Elementary"/>
    <x v="3"/>
    <s v="Anderson Heights Elementary"/>
    <s v="45 69914 6050132"/>
    <n v="0.85870000000000002"/>
    <n v="5"/>
    <n v="1181"/>
    <n v="927"/>
    <n v="130503"/>
    <n v="72694"/>
    <n v="203197"/>
  </r>
  <r>
    <s v="45"/>
    <s v="69914"/>
    <s v="0135624"/>
    <s v="1869"/>
    <s v="D"/>
    <s v="Tree of Life International Charter School"/>
    <x v="1"/>
    <s v="Tree of Life International Charter School"/>
    <s v="45 69914 0135624"/>
    <n v="0.61960000000000004"/>
    <n v="1"/>
    <n v="326"/>
    <n v="202"/>
    <n v="36024"/>
    <n v="15841"/>
    <n v="51865"/>
  </r>
  <r>
    <s v="45"/>
    <s v="69922"/>
    <s v="0000000"/>
    <s v="N/A"/>
    <s v="N/A"/>
    <s v="Castle Rock Union Elementary"/>
    <x v="3"/>
    <s v="Castle Rock Elementary"/>
    <s v="45 69922 6050165"/>
    <n v="0.71430000000000005"/>
    <n v="2"/>
    <n v="42"/>
    <n v="29"/>
    <n v="4642"/>
    <n v="2274"/>
    <n v="6916"/>
  </r>
  <r>
    <s v="45"/>
    <s v="69948"/>
    <s v="0000000"/>
    <s v="N/A"/>
    <s v="N/A"/>
    <s v="Columbia Elementary"/>
    <x v="3"/>
    <s v="Columbia Elementary"/>
    <s v="45 69948 6050181"/>
    <n v="0.42630000000000001"/>
    <n v="4"/>
    <n v="758"/>
    <n v="330"/>
    <n v="83761"/>
    <n v="25878"/>
    <n v="109639"/>
  </r>
  <r>
    <s v="45"/>
    <s v="69948"/>
    <s v="0134122"/>
    <s v="1793"/>
    <s v="D"/>
    <s v="Redding School of the Arts"/>
    <x v="1"/>
    <s v="Redding School of the Arts"/>
    <s v="45 69948 0134122"/>
    <n v="0.30559999999999998"/>
    <n v="1"/>
    <n v="602"/>
    <n v="184"/>
    <n v="66522"/>
    <n v="14429"/>
    <n v="80951"/>
  </r>
  <r>
    <s v="45"/>
    <s v="69948"/>
    <s v="0139543"/>
    <s v="2065"/>
    <s v="D"/>
    <s v="Shasta View Academy"/>
    <x v="1"/>
    <s v="Shasta View Academy"/>
    <s v="45 69948 0139543"/>
    <n v="0.47739999999999999"/>
    <n v="1"/>
    <n v="509"/>
    <n v="243"/>
    <n v="56245"/>
    <n v="19056"/>
    <n v="75301"/>
  </r>
  <r>
    <s v="45"/>
    <s v="69948"/>
    <s v="0141580"/>
    <s v="2126"/>
    <s v="D"/>
    <s v="Phoenix Charter Academy College View"/>
    <x v="1"/>
    <s v="Phoenix Charter Academy College View"/>
    <s v="45 69948 0141580"/>
    <n v="0.59260000000000002"/>
    <n v="1"/>
    <n v="270"/>
    <n v="160"/>
    <n v="29835"/>
    <n v="12547"/>
    <n v="42382"/>
  </r>
  <r>
    <s v="45"/>
    <s v="69955"/>
    <s v="0000000"/>
    <s v="N/A"/>
    <s v="N/A"/>
    <s v="Cottonwood Union Elementary"/>
    <x v="3"/>
    <s v="North Cottonwood"/>
    <s v="45 69955 0111393"/>
    <n v="0.46260000000000001"/>
    <n v="4"/>
    <n v="892"/>
    <n v="420"/>
    <n v="98568"/>
    <n v="32936"/>
    <n v="131504"/>
  </r>
  <r>
    <s v="45"/>
    <s v="69955"/>
    <s v="0121640"/>
    <s v="1183"/>
    <s v="D"/>
    <s v="Cottonwood Creek Charter"/>
    <x v="1"/>
    <s v="Cottonwood Creek Charter"/>
    <s v="45 69955 0121640"/>
    <n v="0.318"/>
    <n v="1"/>
    <n v="261"/>
    <n v="83"/>
    <n v="28841"/>
    <n v="6509"/>
    <n v="35350"/>
  </r>
  <r>
    <s v="45"/>
    <s v="69971"/>
    <s v="0000000"/>
    <s v="N/A"/>
    <s v="N/A"/>
    <s v="Enterprise Elementary"/>
    <x v="3"/>
    <s v="PACE Academy"/>
    <s v="45 69971 0135830"/>
    <n v="0.9"/>
    <n v="9"/>
    <n v="3523"/>
    <n v="2538"/>
    <n v="389297"/>
    <n v="199028"/>
    <n v="588325"/>
  </r>
  <r>
    <s v="45"/>
    <s v="69971"/>
    <s v="0135848"/>
    <s v="1864"/>
    <s v="L"/>
    <s v="Redding Collegiate Academy"/>
    <x v="1"/>
    <s v="Redding Collegiate Academy"/>
    <s v="45 69971 0135848"/>
    <n v="0.64359999999999995"/>
    <n v="1"/>
    <n v="188"/>
    <n v="121"/>
    <n v="20774"/>
    <n v="9489"/>
    <n v="30263"/>
  </r>
  <r>
    <s v="45"/>
    <s v="69989"/>
    <s v="0000000"/>
    <s v="N/A"/>
    <s v="N/A"/>
    <s v="Fall River Joint Unified"/>
    <x v="3"/>
    <s v="Burney Elementary"/>
    <s v="45 69989 6050272"/>
    <n v="0.64639999999999997"/>
    <n v="12"/>
    <n v="1192"/>
    <n v="635"/>
    <n v="131718"/>
    <n v="49796"/>
    <n v="181514"/>
  </r>
  <r>
    <s v="45"/>
    <s v="69997"/>
    <s v="0000000"/>
    <s v="N/A"/>
    <s v="N/A"/>
    <s v="French Gulch-Whiskeytown Elementary"/>
    <x v="3"/>
    <s v="French Gulch-Whiskeytown Elementary"/>
    <s v="45 69997 6050322"/>
    <n v="0.72219999999999995"/>
    <n v="2"/>
    <n v="18"/>
    <n v="13"/>
    <n v="1989"/>
    <n v="1019"/>
    <n v="3008"/>
  </r>
  <r>
    <s v="45"/>
    <s v="70003"/>
    <s v="0000000"/>
    <s v="N/A"/>
    <s v="N/A"/>
    <s v="Grant Elementary"/>
    <x v="3"/>
    <s v="Grant Elementary"/>
    <s v="45 70003 6050330"/>
    <n v="0.1835"/>
    <n v="2"/>
    <n v="643"/>
    <n v="118"/>
    <n v="71053"/>
    <n v="9253"/>
    <n v="80306"/>
  </r>
  <r>
    <s v="45"/>
    <s v="70011"/>
    <s v="0000000"/>
    <s v="N/A"/>
    <s v="N/A"/>
    <s v="Happy Valley Union Elementary"/>
    <x v="3"/>
    <s v="Happy Valley Primary"/>
    <s v="45 70011 6097703"/>
    <n v="0.65349999999999997"/>
    <n v="4"/>
    <n v="495"/>
    <n v="318"/>
    <n v="54699"/>
    <n v="24937"/>
    <n v="79636"/>
  </r>
  <r>
    <s v="45"/>
    <s v="70029"/>
    <s v="0000000"/>
    <s v="N/A"/>
    <s v="N/A"/>
    <s v="Igo, Ono, Platina Union Elementary"/>
    <x v="3"/>
    <s v="Igo-Ono Elementary"/>
    <s v="45 70029 6050355"/>
    <n v="0.9"/>
    <n v="2"/>
    <n v="33"/>
    <n v="30"/>
    <n v="3647"/>
    <n v="2352"/>
    <n v="5999"/>
  </r>
  <r>
    <s v="45"/>
    <s v="70045"/>
    <s v="0000000"/>
    <s v="N/A"/>
    <s v="N/A"/>
    <s v="Junction Elementary"/>
    <x v="3"/>
    <s v="Junction Elementary"/>
    <s v="45 70045 6050397"/>
    <n v="0.30180000000000001"/>
    <n v="2"/>
    <n v="393"/>
    <n v="118"/>
    <n v="43427"/>
    <n v="9253"/>
    <n v="52680"/>
  </r>
  <r>
    <s v="45"/>
    <s v="70052"/>
    <s v="0000000"/>
    <s v="N/A"/>
    <s v="N/A"/>
    <s v="Millville Elementary"/>
    <x v="3"/>
    <s v="Millville Elementary"/>
    <s v="45 70052 6050405"/>
    <n v="0.32369999999999999"/>
    <n v="2"/>
    <n v="241"/>
    <n v="78"/>
    <n v="26631"/>
    <n v="6117"/>
    <n v="32748"/>
  </r>
  <r>
    <s v="45"/>
    <s v="70078"/>
    <s v="0000000"/>
    <s v="N/A"/>
    <s v="N/A"/>
    <s v="North Cow Creek Elementary"/>
    <x v="3"/>
    <s v="North Cow Creek Elementary"/>
    <s v="45 70078 6050421"/>
    <n v="0.16800000000000001"/>
    <n v="2"/>
    <n v="258"/>
    <n v="43"/>
    <n v="28509"/>
    <n v="3372"/>
    <n v="31881"/>
  </r>
  <r>
    <s v="45"/>
    <s v="70086"/>
    <s v="0000000"/>
    <s v="N/A"/>
    <s v="N/A"/>
    <s v="Oak Run Elementary"/>
    <x v="3"/>
    <s v="Oak Run Elementary"/>
    <s v="45 70086 6050439"/>
    <n v="0.82220000000000004"/>
    <n v="2"/>
    <n v="45"/>
    <n v="37"/>
    <n v="4973"/>
    <n v="2902"/>
    <n v="7875"/>
  </r>
  <r>
    <s v="45"/>
    <s v="70094"/>
    <s v="0000000"/>
    <s v="N/A"/>
    <s v="N/A"/>
    <s v="Pacheco Union Elementary"/>
    <x v="3"/>
    <s v="Prairie Elementary"/>
    <s v="45 70094 6050454"/>
    <n v="0.51100000000000001"/>
    <n v="3"/>
    <n v="680"/>
    <n v="344"/>
    <n v="75142"/>
    <n v="26975"/>
    <n v="102117"/>
  </r>
  <r>
    <s v="45"/>
    <s v="70110"/>
    <s v="0000000"/>
    <s v="N/A"/>
    <s v="N/A"/>
    <s v="Redding Elementary"/>
    <x v="3"/>
    <s v="Cypress Elementary"/>
    <s v="45 70110 6050470"/>
    <n v="0.87829999999999997"/>
    <n v="9"/>
    <n v="2772"/>
    <n v="1894"/>
    <n v="306310"/>
    <n v="148526"/>
    <n v="454836"/>
  </r>
  <r>
    <s v="45"/>
    <s v="70110"/>
    <s v="0135889"/>
    <s v="0490"/>
    <s v="L"/>
    <s v="Stellar Charter"/>
    <x v="1"/>
    <s v="Stellar Charter"/>
    <s v="45 70110 0135889"/>
    <n v="0.44"/>
    <n v="1"/>
    <n v="200"/>
    <n v="88"/>
    <n v="22100"/>
    <n v="6901"/>
    <n v="29001"/>
  </r>
  <r>
    <s v="45"/>
    <s v="70110"/>
    <s v="6117931"/>
    <s v="0307"/>
    <s v="D"/>
    <s v="Monarch Learning Center"/>
    <x v="1"/>
    <s v="Monarch Learning Center"/>
    <s v="45 70110 6117931"/>
    <n v="0.69410000000000005"/>
    <n v="1"/>
    <n v="85"/>
    <n v="59"/>
    <n v="9393"/>
    <n v="4627"/>
    <n v="14020"/>
  </r>
  <r>
    <s v="45"/>
    <s v="70128"/>
    <s v="0000000"/>
    <s v="N/A"/>
    <s v="N/A"/>
    <s v="Shasta Union Elementary"/>
    <x v="3"/>
    <s v="Shasta Elementary"/>
    <s v="45 70128 6050546"/>
    <n v="0.62070000000000003"/>
    <n v="2"/>
    <n v="88"/>
    <n v="55"/>
    <n v="9725"/>
    <n v="4313"/>
    <n v="14038"/>
  </r>
  <r>
    <s v="45"/>
    <s v="70136"/>
    <s v="0000000"/>
    <s v="N/A"/>
    <s v="N/A"/>
    <s v="Shasta Union High"/>
    <x v="3"/>
    <s v="PACE Academy"/>
    <s v="45 69971 0135830"/>
    <n v="0.9"/>
    <n v="6"/>
    <n v="4263"/>
    <n v="2076"/>
    <n v="471068"/>
    <n v="162797"/>
    <n v="633865"/>
  </r>
  <r>
    <s v="45"/>
    <s v="70136"/>
    <s v="0106013"/>
    <s v="0612"/>
    <s v="D"/>
    <s v="University Preparatory"/>
    <x v="1"/>
    <s v="University Preparatory"/>
    <s v="45 70136 0106013"/>
    <n v="0.32379999999999998"/>
    <n v="1"/>
    <n v="1013"/>
    <n v="328"/>
    <n v="111938"/>
    <n v="25721"/>
    <n v="137659"/>
  </r>
  <r>
    <s v="45"/>
    <s v="70136"/>
    <s v="4530267"/>
    <s v="0256"/>
    <s v="D"/>
    <s v="Shasta Charter Academy"/>
    <x v="1"/>
    <s v="PACE Academy"/>
    <s v="45 69971 0135830"/>
    <n v="0.9"/>
    <n v="1"/>
    <n v="274"/>
    <n v="136"/>
    <n v="30277"/>
    <n v="10665"/>
    <n v="40942"/>
  </r>
  <r>
    <s v="45"/>
    <s v="70169"/>
    <s v="0000000"/>
    <s v="N/A"/>
    <s v="N/A"/>
    <s v="Whitmore Union Elementary"/>
    <x v="3"/>
    <s v="Whitmore Elementary"/>
    <s v="45 70169 6050595"/>
    <n v="0.30159999999999998"/>
    <n v="2"/>
    <n v="63"/>
    <n v="19"/>
    <n v="6962"/>
    <n v="1490"/>
    <n v="8452"/>
  </r>
  <r>
    <s v="45"/>
    <s v="73700"/>
    <s v="0000000"/>
    <s v="N/A"/>
    <s v="N/A"/>
    <s v="Mountain Union Elementary"/>
    <x v="3"/>
    <s v="Montgomery Creek Elementary"/>
    <s v="45 73700 6050413"/>
    <n v="0.8659"/>
    <n v="2"/>
    <n v="83"/>
    <n v="72"/>
    <n v="9172"/>
    <n v="5646"/>
    <n v="14818"/>
  </r>
  <r>
    <s v="45"/>
    <s v="75267"/>
    <s v="0000000"/>
    <s v="N/A"/>
    <s v="N/A"/>
    <s v="Gateway Unified"/>
    <x v="3"/>
    <s v="Grand Oaks Elementary"/>
    <s v="45 75267 6050579"/>
    <n v="0.8145"/>
    <n v="8"/>
    <n v="2187"/>
    <n v="1576"/>
    <n v="241669"/>
    <n v="123589"/>
    <n v="365258"/>
  </r>
  <r>
    <s v="45"/>
    <s v="75267"/>
    <s v="0113407"/>
    <s v="0849"/>
    <s v="D"/>
    <s v="Rocky Point Charter"/>
    <x v="1"/>
    <s v="Rocky Point Charter"/>
    <s v="45 75267 0113407"/>
    <n v="0.74209999999999998"/>
    <n v="1"/>
    <n v="159"/>
    <n v="118"/>
    <n v="17570"/>
    <n v="9253"/>
    <n v="26823"/>
  </r>
  <r>
    <s v="46"/>
    <s v="10462"/>
    <s v="0000000"/>
    <s v="N/A"/>
    <s v="N/A"/>
    <s v="Sierra Co. Office of Education"/>
    <x v="0"/>
    <s v="Downieville Elementary"/>
    <s v="46 70177 6050611"/>
    <n v="0.59089999999999998"/>
    <n v="2"/>
    <n v="0"/>
    <n v="0"/>
    <n v="0"/>
    <n v="0"/>
    <n v="0"/>
  </r>
  <r>
    <s v="46"/>
    <s v="70177"/>
    <s v="0000000"/>
    <s v="N/A"/>
    <s v="N/A"/>
    <s v="Sierra-Plumas Joint Unified"/>
    <x v="3"/>
    <s v="Downieville Elementary"/>
    <s v="46 70177 6050611"/>
    <n v="0.59089999999999998"/>
    <n v="6"/>
    <n v="400"/>
    <n v="148"/>
    <n v="44201"/>
    <n v="11606"/>
    <n v="55807"/>
  </r>
  <r>
    <s v="47"/>
    <s v="10470"/>
    <s v="0000000"/>
    <s v="N/A"/>
    <s v="N/A"/>
    <s v="Siskiyou Co. Office of Education"/>
    <x v="0"/>
    <s v="Klamath River Elementary"/>
    <s v="47 70375 6050827"/>
    <n v="1"/>
    <n v="2"/>
    <n v="128"/>
    <n v="83"/>
    <n v="14145"/>
    <n v="6509"/>
    <n v="20654"/>
  </r>
  <r>
    <s v="47"/>
    <s v="10470"/>
    <s v="0117168"/>
    <s v="0983"/>
    <s v="D"/>
    <s v="Golden Eagle Charter"/>
    <x v="1"/>
    <s v="Golden Eagle Charter"/>
    <s v="47 10470 0117168"/>
    <n v="0.73780000000000001"/>
    <n v="1"/>
    <n v="431"/>
    <n v="318"/>
    <n v="47626"/>
    <n v="24937"/>
    <n v="72563"/>
  </r>
  <r>
    <s v="47"/>
    <s v="10470"/>
    <s v="0137372"/>
    <s v="1958"/>
    <s v="D"/>
    <s v="Northern United - Siskiyou Charter School"/>
    <x v="1"/>
    <s v="Northern United - Siskiyou Charter School"/>
    <s v="47 10470 0137372"/>
    <n v="0.86180000000000001"/>
    <n v="1"/>
    <n v="123"/>
    <n v="106"/>
    <n v="13592"/>
    <n v="8312"/>
    <n v="21904"/>
  </r>
  <r>
    <s v="47"/>
    <s v="70185"/>
    <s v="0000000"/>
    <s v="N/A"/>
    <s v="N/A"/>
    <s v="Big Springs Union Elementary"/>
    <x v="3"/>
    <s v="Big Springs Elementary"/>
    <s v="47 70185 6050652"/>
    <n v="0.61439999999999995"/>
    <n v="2"/>
    <n v="153"/>
    <n v="94"/>
    <n v="16907"/>
    <n v="7371"/>
    <n v="24278"/>
  </r>
  <r>
    <s v="47"/>
    <s v="70193"/>
    <s v="0000000"/>
    <s v="N/A"/>
    <s v="N/A"/>
    <s v="Bogus Elementary"/>
    <x v="3"/>
    <s v="Bogus Elementary"/>
    <s v="47 70193 6050660"/>
    <n v="0.6875"/>
    <n v="2"/>
    <n v="16"/>
    <n v="11"/>
    <n v="1768"/>
    <n v="863"/>
    <n v="2631"/>
  </r>
  <r>
    <s v="47"/>
    <s v="70201"/>
    <s v="0000000"/>
    <s v="N/A"/>
    <s v="N/A"/>
    <s v="Butteville Union Elementary"/>
    <x v="3"/>
    <s v="Butteville Elementary"/>
    <s v="47 70201 6050678"/>
    <n v="0.42170000000000002"/>
    <n v="2"/>
    <n v="166"/>
    <n v="70"/>
    <n v="18343"/>
    <n v="5489"/>
    <n v="23832"/>
  </r>
  <r>
    <s v="47"/>
    <s v="70227"/>
    <s v="0000000"/>
    <s v="N/A"/>
    <s v="N/A"/>
    <s v="Delphic Elementary"/>
    <x v="3"/>
    <s v="Delphic Elementary"/>
    <s v="47 70227 6050694"/>
    <n v="0.71930000000000005"/>
    <n v="2"/>
    <n v="57"/>
    <n v="41"/>
    <n v="6299"/>
    <n v="3215"/>
    <n v="9514"/>
  </r>
  <r>
    <s v="47"/>
    <s v="70243"/>
    <s v="0000000"/>
    <s v="N/A"/>
    <s v="N/A"/>
    <s v="Dunsmuir Elementary"/>
    <x v="3"/>
    <s v="Dunsmuir Elementary"/>
    <s v="47 70243 6050710"/>
    <n v="0.89249999999999996"/>
    <n v="2"/>
    <n v="93"/>
    <n v="83"/>
    <n v="10277"/>
    <n v="6509"/>
    <n v="16786"/>
  </r>
  <r>
    <s v="47"/>
    <s v="70250"/>
    <s v="0000000"/>
    <s v="N/A"/>
    <s v="N/A"/>
    <s v="Dunsmuir Joint Union High"/>
    <x v="3"/>
    <s v="Klamath River Elementary"/>
    <s v="47 70375 6050827"/>
    <n v="1"/>
    <n v="3"/>
    <n v="66"/>
    <n v="49"/>
    <n v="7293"/>
    <n v="3843"/>
    <n v="11136"/>
  </r>
  <r>
    <s v="47"/>
    <s v="70318"/>
    <s v="0000000"/>
    <s v="N/A"/>
    <s v="N/A"/>
    <s v="Gazelle Union Elementary"/>
    <x v="3"/>
    <s v="Gazelle Elementary"/>
    <s v="47 70318 6050769"/>
    <n v="0.51429999999999998"/>
    <n v="2"/>
    <n v="35"/>
    <n v="18"/>
    <n v="3868"/>
    <n v="1412"/>
    <n v="5280"/>
  </r>
  <r>
    <s v="47"/>
    <s v="70326"/>
    <s v="0000000"/>
    <s v="N/A"/>
    <s v="N/A"/>
    <s v="Grenada Elementary"/>
    <x v="3"/>
    <s v="Grenada Elementary"/>
    <s v="47 70326 6050777"/>
    <n v="0.47920000000000001"/>
    <n v="2"/>
    <n v="193"/>
    <n v="92"/>
    <n v="21327"/>
    <n v="7215"/>
    <n v="28542"/>
  </r>
  <r>
    <s v="47"/>
    <s v="70334"/>
    <s v="0000000"/>
    <s v="N/A"/>
    <s v="N/A"/>
    <s v="Happy Camp Union Elementary"/>
    <x v="3"/>
    <s v="Happy Camp Union Elementary"/>
    <s v="47 70334 6050785"/>
    <n v="0.68220000000000003"/>
    <n v="2"/>
    <n v="108"/>
    <n v="73"/>
    <n v="11935"/>
    <n v="5725"/>
    <n v="17660"/>
  </r>
  <r>
    <s v="47"/>
    <s v="70359"/>
    <s v="0000000"/>
    <s v="N/A"/>
    <s v="N/A"/>
    <s v="Hornbrook Elementary"/>
    <x v="3"/>
    <s v="Hornbrook Elementary"/>
    <s v="47 70359 6050801"/>
    <n v="0.97140000000000004"/>
    <n v="2"/>
    <n v="35"/>
    <n v="34"/>
    <n v="3868"/>
    <n v="2666"/>
    <n v="6534"/>
  </r>
  <r>
    <s v="47"/>
    <s v="70367"/>
    <s v="0000000"/>
    <s v="N/A"/>
    <s v="N/A"/>
    <s v="Junction Elementary"/>
    <x v="3"/>
    <s v="Junction Elementary"/>
    <s v="47 70367 6050819"/>
    <n v="0.84619999999999995"/>
    <n v="3"/>
    <n v="13"/>
    <n v="11"/>
    <n v="1437"/>
    <n v="863"/>
    <n v="2300"/>
  </r>
  <r>
    <s v="47"/>
    <s v="70375"/>
    <s v="0000000"/>
    <s v="N/A"/>
    <s v="N/A"/>
    <s v="Klamath River Union Elementary"/>
    <x v="3"/>
    <s v="Klamath River Elementary"/>
    <s v="47 70375 6050827"/>
    <n v="1"/>
    <n v="2"/>
    <n v="6"/>
    <n v="6"/>
    <n v="664"/>
    <n v="470"/>
    <n v="1134"/>
  </r>
  <r>
    <s v="47"/>
    <s v="70383"/>
    <s v="0000000"/>
    <s v="N/A"/>
    <s v="N/A"/>
    <s v="Little Shasta Elementary"/>
    <x v="3"/>
    <s v="Little Shasta Elementary"/>
    <s v="47 70383 6050835"/>
    <n v="0.33329999999999999"/>
    <n v="2"/>
    <n v="12"/>
    <n v="4"/>
    <n v="1326"/>
    <n v="314"/>
    <n v="1640"/>
  </r>
  <r>
    <s v="47"/>
    <s v="70409"/>
    <s v="0000000"/>
    <s v="N/A"/>
    <s v="N/A"/>
    <s v="McCloud Union Elementary"/>
    <x v="3"/>
    <s v="McCloud Elementary"/>
    <s v="47 70409 6050850"/>
    <n v="0.79169999999999996"/>
    <n v="2"/>
    <n v="48"/>
    <n v="38"/>
    <n v="5304"/>
    <n v="2980"/>
    <n v="8284"/>
  </r>
  <r>
    <s v="47"/>
    <s v="70417"/>
    <s v="0000000"/>
    <s v="N/A"/>
    <s v="N/A"/>
    <s v="Montague Elementary"/>
    <x v="3"/>
    <s v="Montague Elementary"/>
    <s v="47 70417 6050876"/>
    <n v="0.65090000000000003"/>
    <n v="2"/>
    <n v="185"/>
    <n v="120"/>
    <n v="20443"/>
    <n v="9410"/>
    <n v="29853"/>
  </r>
  <r>
    <s v="47"/>
    <s v="70425"/>
    <s v="0000000"/>
    <s v="N/A"/>
    <s v="N/A"/>
    <s v="Mt. Shasta Union Elementary"/>
    <x v="3"/>
    <s v="Mt. Shasta Elementary"/>
    <s v="47 70425 6050884"/>
    <n v="0.51029999999999998"/>
    <n v="3"/>
    <n v="465"/>
    <n v="218"/>
    <n v="51383"/>
    <n v="17095"/>
    <n v="68478"/>
  </r>
  <r>
    <s v="47"/>
    <s v="70458"/>
    <s v="0000000"/>
    <s v="N/A"/>
    <s v="N/A"/>
    <s v="Seiad Elementary"/>
    <x v="3"/>
    <s v="Seiad Elementary"/>
    <s v="47 70458 6050926"/>
    <n v="0.52629999999999999"/>
    <n v="2"/>
    <n v="19"/>
    <n v="10"/>
    <n v="2100"/>
    <n v="784"/>
    <n v="2884"/>
  </r>
  <r>
    <s v="47"/>
    <s v="70466"/>
    <s v="0000000"/>
    <s v="N/A"/>
    <s v="N/A"/>
    <s v="Siskiyou Union High"/>
    <x v="3"/>
    <s v="Klamath River Elementary"/>
    <s v="47 70375 6050827"/>
    <n v="1"/>
    <n v="5"/>
    <n v="531"/>
    <n v="221"/>
    <n v="58676"/>
    <n v="17331"/>
    <n v="76007"/>
  </r>
  <r>
    <s v="47"/>
    <s v="70482"/>
    <s v="0000000"/>
    <s v="N/A"/>
    <s v="N/A"/>
    <s v="Weed Union Elementary"/>
    <x v="3"/>
    <s v="Weed Elementary"/>
    <s v="47 70482 6050942"/>
    <n v="0.7802"/>
    <n v="2"/>
    <n v="323"/>
    <n v="252"/>
    <n v="35692"/>
    <n v="19762"/>
    <n v="55454"/>
  </r>
  <r>
    <s v="47"/>
    <s v="70490"/>
    <s v="0000000"/>
    <s v="N/A"/>
    <s v="N/A"/>
    <s v="Willow Creek Elementary"/>
    <x v="3"/>
    <s v="Willow Creek Elementary"/>
    <s v="47 70490 6050959"/>
    <n v="0.84089999999999998"/>
    <n v="2"/>
    <n v="44"/>
    <n v="37"/>
    <n v="4862"/>
    <n v="2902"/>
    <n v="7764"/>
  </r>
  <r>
    <s v="47"/>
    <s v="70508"/>
    <s v="0000000"/>
    <s v="N/A"/>
    <s v="N/A"/>
    <s v="Yreka Union Elementary"/>
    <x v="3"/>
    <s v="Evergreen Elementary"/>
    <s v="47 70508 6067136"/>
    <n v="0.70920000000000005"/>
    <n v="5"/>
    <n v="889"/>
    <n v="626"/>
    <n v="98236"/>
    <n v="49090"/>
    <n v="147326"/>
  </r>
  <r>
    <s v="47"/>
    <s v="70516"/>
    <s v="0000000"/>
    <s v="N/A"/>
    <s v="N/A"/>
    <s v="Yreka Union High"/>
    <x v="3"/>
    <s v="Klamath River Elementary"/>
    <s v="47 70375 6050827"/>
    <n v="1"/>
    <n v="4"/>
    <n v="733"/>
    <n v="402"/>
    <n v="80999"/>
    <n v="31524"/>
    <n v="112523"/>
  </r>
  <r>
    <s v="47"/>
    <s v="73684"/>
    <s v="0000000"/>
    <s v="N/A"/>
    <s v="N/A"/>
    <s v="Butte Valley Unified"/>
    <x v="3"/>
    <s v="Butte Valley Elementary"/>
    <s v="47 73684 6050843"/>
    <n v="0.86070000000000002"/>
    <n v="5"/>
    <n v="309"/>
    <n v="253"/>
    <n v="34145"/>
    <n v="19840"/>
    <n v="53985"/>
  </r>
  <r>
    <s v="47"/>
    <s v="76455"/>
    <s v="0000000"/>
    <s v="N/A"/>
    <s v="N/A"/>
    <s v="Scott Valley Unified"/>
    <x v="3"/>
    <s v="Etna Elementary"/>
    <s v="47 76455 6050728"/>
    <n v="0.64100000000000001"/>
    <n v="7"/>
    <n v="622"/>
    <n v="363"/>
    <n v="68732"/>
    <n v="28465"/>
    <n v="97197"/>
  </r>
  <r>
    <s v="48"/>
    <s v="10488"/>
    <s v="0000000"/>
    <s v="N/A"/>
    <s v="N/A"/>
    <s v="Solano Co. Office of Education"/>
    <x v="0"/>
    <s v="Lincoln Elementary"/>
    <s v="48 70581 6051494"/>
    <n v="0.97219999999999995"/>
    <n v="4"/>
    <n v="392"/>
    <n v="168"/>
    <n v="43318"/>
    <n v="13174"/>
    <n v="56492"/>
  </r>
  <r>
    <s v="48"/>
    <s v="10488"/>
    <s v="0139030"/>
    <s v="2034"/>
    <s v="D"/>
    <s v="Elite Public"/>
    <x v="1"/>
    <s v="Elite Public"/>
    <s v="48 10488 0139030"/>
    <n v="0.61850000000000005"/>
    <n v="1"/>
    <n v="671"/>
    <n v="415"/>
    <n v="74147"/>
    <n v="32544"/>
    <n v="106691"/>
  </r>
  <r>
    <s v="48"/>
    <s v="70524"/>
    <s v="0000000"/>
    <s v="N/A"/>
    <s v="N/A"/>
    <s v="Benicia Unified"/>
    <x v="3"/>
    <s v="Robert Semple Elementary"/>
    <s v="48 70524 6051015"/>
    <n v="0.40089999999999998"/>
    <n v="9"/>
    <n v="4426"/>
    <n v="1101"/>
    <n v="489081"/>
    <n v="86339"/>
    <n v="575420"/>
  </r>
  <r>
    <s v="48"/>
    <s v="70532"/>
    <s v="0000000"/>
    <s v="N/A"/>
    <s v="N/A"/>
    <s v="Dixon Unified"/>
    <x v="3"/>
    <s v="Anderson (Linford L.) Elementary"/>
    <s v="48 70532 6051049"/>
    <n v="0.61439999999999995"/>
    <n v="8"/>
    <n v="3031"/>
    <n v="1459"/>
    <n v="334931"/>
    <n v="114413"/>
    <n v="449344"/>
  </r>
  <r>
    <s v="48"/>
    <s v="70532"/>
    <s v="0122267"/>
    <s v="1210"/>
    <s v="D"/>
    <s v="Dixon Montessori Charter"/>
    <x v="1"/>
    <s v="Dixon Montessori Charter"/>
    <s v="48 70532 0122267"/>
    <n v="0.2349"/>
    <n v="1"/>
    <n v="447"/>
    <n v="105"/>
    <n v="49394"/>
    <n v="8234"/>
    <n v="57628"/>
  </r>
  <r>
    <s v="48"/>
    <s v="70540"/>
    <s v="0000000"/>
    <s v="N/A"/>
    <s v="N/A"/>
    <s v="Fairfield-Suisun Unified"/>
    <x v="3"/>
    <s v="Anna Kyle Elementary"/>
    <s v="48 70540 6051064"/>
    <n v="0.8579"/>
    <n v="32"/>
    <n v="21006"/>
    <n v="10412"/>
    <n v="2321198"/>
    <n v="816498"/>
    <n v="3137696"/>
  </r>
  <r>
    <s v="48"/>
    <s v="70565"/>
    <s v="0000000"/>
    <s v="N/A"/>
    <s v="N/A"/>
    <s v="Travis Unified"/>
    <x v="3"/>
    <s v="Scandia Elementary"/>
    <s v="48 70565 6068290"/>
    <n v="0.55210000000000004"/>
    <n v="11"/>
    <n v="5368"/>
    <n v="2294"/>
    <n v="593173"/>
    <n v="179892"/>
    <n v="773065"/>
  </r>
  <r>
    <s v="48"/>
    <s v="70573"/>
    <s v="0000000"/>
    <s v="N/A"/>
    <s v="N/A"/>
    <s v="Vacaville Unified"/>
    <x v="3"/>
    <s v="Edwin Markham Elementary"/>
    <s v="48 70573 6051296"/>
    <n v="0.5998"/>
    <n v="16"/>
    <n v="11374"/>
    <n v="4933"/>
    <n v="1256847"/>
    <n v="386843"/>
    <n v="1643690"/>
  </r>
  <r>
    <s v="48"/>
    <s v="70573"/>
    <s v="0129494"/>
    <s v="1635"/>
    <s v="D"/>
    <s v="Kairos Public"/>
    <x v="1"/>
    <s v="Kairos Public"/>
    <s v="48 70573 0129494"/>
    <n v="0.12559999999999999"/>
    <n v="1"/>
    <n v="645"/>
    <n v="81"/>
    <n v="71274"/>
    <n v="6352"/>
    <n v="77626"/>
  </r>
  <r>
    <s v="48"/>
    <s v="70573"/>
    <s v="0135095"/>
    <s v="1839"/>
    <s v="L"/>
    <s v="Ernest Kimme Charter Academy"/>
    <x v="1"/>
    <s v="Lincoln Elementary"/>
    <s v="48 70581 6051494"/>
    <n v="0.97219999999999995"/>
    <n v="1"/>
    <n v="358"/>
    <n v="205"/>
    <n v="39560"/>
    <n v="16076"/>
    <n v="55636"/>
  </r>
  <r>
    <s v="48"/>
    <s v="70573"/>
    <s v="4830113"/>
    <s v="0056"/>
    <s v="L"/>
    <s v="Buckingham Collegiate Charter Academy"/>
    <x v="1"/>
    <s v="Lincoln Elementary"/>
    <s v="48 70581 6051494"/>
    <n v="0.97219999999999995"/>
    <n v="1"/>
    <n v="455"/>
    <n v="134"/>
    <n v="50278"/>
    <n v="10508"/>
    <n v="60786"/>
  </r>
  <r>
    <s v="48"/>
    <s v="70573"/>
    <s v="6051338"/>
    <s v="0913"/>
    <s v="L"/>
    <s v="Fairmont Charter Elementary"/>
    <x v="1"/>
    <s v="Fairmont Charter Elementary"/>
    <s v="48 70573 6051338"/>
    <n v="0.51910000000000001"/>
    <n v="1"/>
    <n v="614"/>
    <n v="319"/>
    <n v="67848"/>
    <n v="25016"/>
    <n v="92864"/>
  </r>
  <r>
    <s v="48"/>
    <s v="70581"/>
    <s v="0000000"/>
    <s v="N/A"/>
    <s v="N/A"/>
    <s v="Vallejo City Unified"/>
    <x v="3"/>
    <s v="Lincoln Elementary"/>
    <s v="48 70581 6051494"/>
    <n v="0.97219999999999995"/>
    <n v="20"/>
    <n v="9962"/>
    <n v="7767"/>
    <n v="1100818"/>
    <n v="609082"/>
    <n v="1709900"/>
  </r>
  <r>
    <s v="48"/>
    <s v="70581"/>
    <s v="0115469"/>
    <s v="0940"/>
    <s v="L"/>
    <s v="Vallejo Charter"/>
    <x v="1"/>
    <s v="Vallejo Charter"/>
    <s v="48 70581 0115469"/>
    <n v="0.72950000000000004"/>
    <n v="1"/>
    <n v="414"/>
    <n v="302"/>
    <n v="45748"/>
    <n v="23683"/>
    <n v="69431"/>
  </r>
  <r>
    <s v="48"/>
    <s v="70581"/>
    <s v="0134262"/>
    <s v="1779"/>
    <s v="D"/>
    <s v="Caliber: ChangeMakers Academy"/>
    <x v="1"/>
    <s v="Caliber: ChangeMakers Academy"/>
    <s v="48 70581 0134262"/>
    <n v="0.69210000000000005"/>
    <n v="1"/>
    <n v="919"/>
    <n v="636"/>
    <n v="101551"/>
    <n v="49874"/>
    <n v="151425"/>
  </r>
  <r>
    <s v="48"/>
    <s v="70581"/>
    <s v="0137380"/>
    <s v="1912"/>
    <s v="D"/>
    <s v="MIT Griffin Academy Middle"/>
    <x v="1"/>
    <s v="Lincoln Elementary"/>
    <s v="48 70581 6051494"/>
    <n v="0.97219999999999995"/>
    <n v="1"/>
    <n v="102"/>
    <n v="58"/>
    <n v="11271"/>
    <n v="4548"/>
    <n v="15819"/>
  </r>
  <r>
    <s v="48"/>
    <s v="70581"/>
    <s v="0139816"/>
    <s v="2083"/>
    <s v="D"/>
    <s v="Griffin Academy High"/>
    <x v="1"/>
    <s v="Lincoln Elementary"/>
    <s v="48 70581 6051494"/>
    <n v="0.97219999999999995"/>
    <n v="1"/>
    <n v="153"/>
    <n v="91"/>
    <n v="16907"/>
    <n v="7136"/>
    <n v="24043"/>
  </r>
  <r>
    <s v="48"/>
    <s v="70581"/>
    <s v="4830196"/>
    <s v="0372"/>
    <s v="D"/>
    <s v="MIT Academy"/>
    <x v="1"/>
    <s v="Lincoln Elementary"/>
    <s v="48 70581 6051494"/>
    <n v="0.97219999999999995"/>
    <n v="1"/>
    <n v="433"/>
    <n v="216"/>
    <n v="47847"/>
    <n v="16938"/>
    <n v="64785"/>
  </r>
  <r>
    <s v="48"/>
    <s v="70581"/>
    <s v="6116255"/>
    <s v="0181"/>
    <s v="D"/>
    <s v="Mare Island Technology Academy"/>
    <x v="1"/>
    <s v="Lincoln Elementary"/>
    <s v="48 70581 6051494"/>
    <n v="0.97219999999999995"/>
    <n v="1"/>
    <n v="278"/>
    <n v="147"/>
    <n v="30719"/>
    <n v="11528"/>
    <n v="42247"/>
  </r>
  <r>
    <s v="49"/>
    <s v="10496"/>
    <s v="0000000"/>
    <s v="N/A"/>
    <s v="N/A"/>
    <s v="Sonoma Co. Office of Education"/>
    <x v="0"/>
    <s v="Kashia Elementary"/>
    <s v="49 70888 6052013"/>
    <n v="1"/>
    <n v="4"/>
    <n v="312"/>
    <n v="159"/>
    <n v="34476"/>
    <n v="12469"/>
    <n v="46945"/>
  </r>
  <r>
    <s v="49"/>
    <s v="70599"/>
    <s v="0000000"/>
    <s v="N/A"/>
    <s v="N/A"/>
    <s v="Alexander Valley Union Elementary"/>
    <x v="3"/>
    <s v="Alexander Valley Elementary"/>
    <s v="49 70599 6051577"/>
    <n v="0.22320000000000001"/>
    <n v="2"/>
    <n v="112"/>
    <n v="25"/>
    <n v="12376"/>
    <n v="1960"/>
    <n v="14336"/>
  </r>
  <r>
    <s v="49"/>
    <s v="70607"/>
    <s v="0000000"/>
    <s v="N/A"/>
    <s v="N/A"/>
    <s v="West Sonoma County Union High"/>
    <x v="3"/>
    <s v="Kashia Elementary"/>
    <s v="49 70888 6052013"/>
    <n v="1"/>
    <n v="4"/>
    <n v="1604"/>
    <n v="694"/>
    <n v="177245"/>
    <n v="54423"/>
    <n v="231668"/>
  </r>
  <r>
    <s v="49"/>
    <s v="70615"/>
    <s v="0000000"/>
    <s v="N/A"/>
    <s v="N/A"/>
    <s v="Bellevue Union"/>
    <x v="3"/>
    <s v="Bellevue Elementary"/>
    <s v="49 70615 6051585"/>
    <n v="0.83930000000000005"/>
    <n v="5"/>
    <n v="1677"/>
    <n v="1335"/>
    <n v="185312"/>
    <n v="104689"/>
    <n v="290001"/>
  </r>
  <r>
    <s v="49"/>
    <s v="70623"/>
    <s v="0000000"/>
    <s v="N/A"/>
    <s v="N/A"/>
    <s v="Bennett Valley Union Elementary"/>
    <x v="3"/>
    <s v="Strawberry Elementary"/>
    <s v="49 70623 6098248"/>
    <n v="0.22309999999999999"/>
    <n v="3"/>
    <n v="951"/>
    <n v="206"/>
    <n v="105087"/>
    <n v="16155"/>
    <n v="121242"/>
  </r>
  <r>
    <s v="49"/>
    <s v="70649"/>
    <s v="0000000"/>
    <s v="N/A"/>
    <s v="N/A"/>
    <s v="Cinnabar Elementary"/>
    <x v="3"/>
    <s v="Cinnabar Elementary"/>
    <s v="49 70649 0125724"/>
    <n v="0.90480000000000005"/>
    <n v="2"/>
    <n v="21"/>
    <n v="19"/>
    <n v="2321"/>
    <n v="1490"/>
    <n v="3811"/>
  </r>
  <r>
    <s v="49"/>
    <s v="70649"/>
    <s v="6051635"/>
    <s v="1310"/>
    <s v="L"/>
    <s v="Cinnabar Charter"/>
    <x v="1"/>
    <s v="Cinnabar Charter"/>
    <s v="49 70649 6051635"/>
    <n v="0.66669999999999996"/>
    <n v="1"/>
    <n v="186"/>
    <n v="124"/>
    <n v="20553"/>
    <n v="9724"/>
    <n v="30277"/>
  </r>
  <r>
    <s v="49"/>
    <s v="70656"/>
    <s v="0000000"/>
    <s v="N/A"/>
    <s v="N/A"/>
    <s v="Cloverdale Unified"/>
    <x v="3"/>
    <s v="Jefferson Elementary"/>
    <s v="49 70656 6051643"/>
    <n v="0.622"/>
    <n v="7"/>
    <n v="1323"/>
    <n v="714"/>
    <n v="146194"/>
    <n v="55991"/>
    <n v="202185"/>
  </r>
  <r>
    <s v="49"/>
    <s v="70672"/>
    <s v="0000000"/>
    <s v="N/A"/>
    <s v="N/A"/>
    <s v="Dunham Elementary"/>
    <x v="3"/>
    <s v="Dunham Elementary"/>
    <s v="49 70672 6051700"/>
    <n v="0.1111"/>
    <n v="2"/>
    <n v="9"/>
    <n v="1"/>
    <n v="995"/>
    <n v="78"/>
    <n v="1073"/>
  </r>
  <r>
    <s v="49"/>
    <s v="70672"/>
    <s v="0122440"/>
    <s v="1194"/>
    <s v="L"/>
    <s v="Dunham Charter"/>
    <x v="1"/>
    <s v="Dunham Charter"/>
    <s v="49 70672 0122440"/>
    <n v="0.19570000000000001"/>
    <n v="1"/>
    <n v="138"/>
    <n v="27"/>
    <n v="15249"/>
    <n v="2117"/>
    <n v="17366"/>
  </r>
  <r>
    <s v="49"/>
    <s v="70680"/>
    <s v="0000000"/>
    <s v="N/A"/>
    <s v="N/A"/>
    <s v="Forestville Union Elementary"/>
    <x v="3"/>
    <s v="Forestville Elementary"/>
    <s v="49 70680 6051718"/>
    <n v="0.29630000000000001"/>
    <n v="2"/>
    <n v="54"/>
    <n v="16"/>
    <n v="5967"/>
    <n v="1255"/>
    <n v="7222"/>
  </r>
  <r>
    <s v="49"/>
    <s v="70680"/>
    <s v="0112987"/>
    <s v="0842"/>
    <s v="L"/>
    <s v="Forestville Academy"/>
    <x v="1"/>
    <s v="Forestville Academy"/>
    <s v="49 70680 0112987"/>
    <n v="0.4"/>
    <n v="1"/>
    <n v="170"/>
    <n v="68"/>
    <n v="18785"/>
    <n v="5332"/>
    <n v="24117"/>
  </r>
  <r>
    <s v="49"/>
    <s v="70698"/>
    <s v="0000000"/>
    <s v="N/A"/>
    <s v="N/A"/>
    <s v="Fort Ross Elementary"/>
    <x v="3"/>
    <s v="Fort Ross Elementary"/>
    <s v="49 70698 6051726"/>
    <n v="0.64290000000000003"/>
    <n v="2"/>
    <n v="14"/>
    <n v="9"/>
    <n v="1547"/>
    <n v="706"/>
    <n v="2253"/>
  </r>
  <r>
    <s v="49"/>
    <s v="70706"/>
    <s v="0000000"/>
    <s v="N/A"/>
    <s v="N/A"/>
    <s v="Geyserville Unified"/>
    <x v="3"/>
    <s v="Geyserville Elementary"/>
    <s v="49 70706 6051734"/>
    <n v="0.60419999999999996"/>
    <n v="4"/>
    <n v="211"/>
    <n v="119"/>
    <n v="23316"/>
    <n v="9331"/>
    <n v="32647"/>
  </r>
  <r>
    <s v="49"/>
    <s v="70714"/>
    <s v="0000000"/>
    <s v="N/A"/>
    <s v="N/A"/>
    <s v="Gravenstein Union Elementary"/>
    <x v="3"/>
    <s v="Gravenstein First"/>
    <s v="49 70714 0126888"/>
    <n v="0.26829999999999998"/>
    <n v="3"/>
    <n v="41"/>
    <n v="11"/>
    <n v="4531"/>
    <n v="863"/>
    <n v="5394"/>
  </r>
  <r>
    <s v="49"/>
    <s v="70714"/>
    <s v="6051742"/>
    <s v="1445"/>
    <s v="L"/>
    <s v="Gravenstein Elementary"/>
    <x v="1"/>
    <s v="Gravenstein Elementary"/>
    <s v="49 70714 6051742"/>
    <n v="0.31469999999999998"/>
    <n v="1"/>
    <n v="448"/>
    <n v="141"/>
    <n v="49505"/>
    <n v="11057"/>
    <n v="60562"/>
  </r>
  <r>
    <s v="49"/>
    <s v="70714"/>
    <s v="6051759"/>
    <s v="1444"/>
    <s v="L"/>
    <s v="Hillcrest Middle"/>
    <x v="1"/>
    <s v="Kashia Elementary"/>
    <s v="49 70888 6052013"/>
    <n v="1"/>
    <n v="1"/>
    <n v="278"/>
    <n v="111"/>
    <n v="30719"/>
    <n v="8705"/>
    <n v="39424"/>
  </r>
  <r>
    <s v="49"/>
    <s v="70722"/>
    <s v="0000000"/>
    <s v="N/A"/>
    <s v="N/A"/>
    <s v="Guerneville Elementary"/>
    <x v="3"/>
    <s v="Guerneville Primary"/>
    <s v="49 70722 0138248"/>
    <n v="0.44440000000000002"/>
    <n v="2"/>
    <n v="18"/>
    <n v="8"/>
    <n v="1989"/>
    <n v="627"/>
    <n v="2616"/>
  </r>
  <r>
    <s v="49"/>
    <s v="70722"/>
    <s v="0139048"/>
    <s v="2037"/>
    <s v="D"/>
    <s v="California Pacific Charter - Sonoma"/>
    <x v="1"/>
    <s v="California Pacific Charter - Sonoma"/>
    <s v="49 70722 0139048"/>
    <n v="0.58589999999999998"/>
    <n v="1"/>
    <n v="128"/>
    <n v="75"/>
    <n v="14144"/>
    <n v="5881"/>
    <n v="20025"/>
  </r>
  <r>
    <s v="49"/>
    <s v="70722"/>
    <s v="6051767"/>
    <s v="1978"/>
    <s v="L"/>
    <s v="Guerneville Elementary (Charter)"/>
    <x v="1"/>
    <s v="Guerneville Elementary (Charter)"/>
    <s v="49 70722 6051767"/>
    <n v="0.62439999999999996"/>
    <n v="1"/>
    <n v="213"/>
    <n v="133"/>
    <n v="23537"/>
    <n v="10430"/>
    <n v="33967"/>
  </r>
  <r>
    <s v="49"/>
    <s v="70730"/>
    <s v="0000000"/>
    <s v="N/A"/>
    <s v="N/A"/>
    <s v="Harmony Union Elementary"/>
    <x v="3"/>
    <s v="Harmony Elementary"/>
    <s v="49 70730 6051775"/>
    <n v="0.15690000000000001"/>
    <n v="2"/>
    <n v="51"/>
    <n v="8"/>
    <n v="5636"/>
    <n v="627"/>
    <n v="6263"/>
  </r>
  <r>
    <s v="49"/>
    <s v="70730"/>
    <s v="6110639"/>
    <s v="0941"/>
    <s v="L"/>
    <s v="Salmon Creek School - A Charter"/>
    <x v="1"/>
    <s v="Salmon Creek School - A Charter"/>
    <s v="49 70730 6110639"/>
    <n v="0.27079999999999999"/>
    <n v="1"/>
    <n v="144"/>
    <n v="39"/>
    <n v="15912"/>
    <n v="3058"/>
    <n v="18970"/>
  </r>
  <r>
    <s v="49"/>
    <s v="70730"/>
    <s v="6120588"/>
    <s v="0492"/>
    <s v="D"/>
    <s v="Pathways Charter"/>
    <x v="1"/>
    <s v="Pathways Charter"/>
    <s v="49 70730 6120588"/>
    <n v="0.46279999999999999"/>
    <n v="1"/>
    <n v="309"/>
    <n v="143"/>
    <n v="34145"/>
    <n v="11214"/>
    <n v="45359"/>
  </r>
  <r>
    <s v="49"/>
    <s v="70763"/>
    <s v="0000000"/>
    <s v="N/A"/>
    <s v="N/A"/>
    <s v="Horicon Elementary"/>
    <x v="3"/>
    <s v="Horicon Elementary"/>
    <s v="49 70763 6051809"/>
    <n v="0.78569999999999995"/>
    <n v="2"/>
    <n v="57"/>
    <n v="45"/>
    <n v="6299"/>
    <n v="3529"/>
    <n v="9828"/>
  </r>
  <r>
    <s v="49"/>
    <s v="70789"/>
    <s v="0000000"/>
    <s v="N/A"/>
    <s v="N/A"/>
    <s v="Kenwood"/>
    <x v="3"/>
    <s v="Kenwood Elementary"/>
    <s v="49 70789 6051825"/>
    <n v="0.2389"/>
    <n v="2"/>
    <n v="113"/>
    <n v="27"/>
    <n v="12487"/>
    <n v="2117"/>
    <n v="14604"/>
  </r>
  <r>
    <s v="49"/>
    <s v="70797"/>
    <s v="0000000"/>
    <s v="N/A"/>
    <s v="N/A"/>
    <s v="Liberty Elementary"/>
    <x v="3"/>
    <s v="Liberty Primary"/>
    <s v="49 70797 0123422"/>
    <n v="0.1429"/>
    <n v="2"/>
    <n v="56"/>
    <n v="8"/>
    <n v="6188"/>
    <n v="627"/>
    <n v="6815"/>
  </r>
  <r>
    <s v="49"/>
    <s v="70797"/>
    <s v="0107284"/>
    <s v="0653"/>
    <s v="D"/>
    <s v="California Virtual Academy @ Sonoma"/>
    <x v="1"/>
    <s v="California Virtual Academy @ Sonoma"/>
    <s v="49 70797 0107284"/>
    <n v="0.61180000000000001"/>
    <n v="1"/>
    <n v="814"/>
    <n v="498"/>
    <n v="89948"/>
    <n v="39053"/>
    <n v="129001"/>
  </r>
  <r>
    <s v="49"/>
    <s v="70797"/>
    <s v="0139568"/>
    <s v="2071"/>
    <s v="D"/>
    <s v="Heartwood Charter"/>
    <x v="1"/>
    <s v="Heartwood Charter"/>
    <s v="49 70797 0139568"/>
    <n v="0.33329999999999999"/>
    <n v="1"/>
    <n v="528"/>
    <n v="176"/>
    <n v="58345"/>
    <n v="13802"/>
    <n v="72147"/>
  </r>
  <r>
    <s v="49"/>
    <s v="70797"/>
    <s v="0140228"/>
    <s v="2102"/>
    <s v="L"/>
    <s v="Liberty Independent Study"/>
    <x v="1"/>
    <s v="Liberty Independent Study"/>
    <s v="49 70797 0140228"/>
    <n v="0"/>
    <n v="1"/>
    <n v="0"/>
    <n v="0"/>
    <n v="0"/>
    <n v="0"/>
    <n v="0"/>
  </r>
  <r>
    <s v="49"/>
    <s v="70797"/>
    <s v="6051833"/>
    <s v="1260"/>
    <s v="L"/>
    <s v="Liberty Elementary"/>
    <x v="1"/>
    <s v="Liberty Elementary"/>
    <s v="49 70797 6051833"/>
    <n v="0.2112"/>
    <n v="1"/>
    <n v="162"/>
    <n v="34"/>
    <n v="17901"/>
    <n v="2666"/>
    <n v="20567"/>
  </r>
  <r>
    <s v="49"/>
    <s v="70805"/>
    <s v="0000000"/>
    <s v="N/A"/>
    <s v="N/A"/>
    <s v="Mark West Union Elementary"/>
    <x v="3"/>
    <s v="Mark West Elementary"/>
    <s v="49 70805 6051841"/>
    <n v="0.46850000000000003"/>
    <n v="2"/>
    <n v="397"/>
    <n v="186"/>
    <n v="43869"/>
    <n v="14586"/>
    <n v="58455"/>
  </r>
  <r>
    <s v="49"/>
    <s v="70805"/>
    <s v="0105890"/>
    <s v="0616"/>
    <s v="L"/>
    <s v="Mark West Charter"/>
    <x v="1"/>
    <s v="Mark West Charter"/>
    <s v="49 70805 0105890"/>
    <n v="0.35339999999999999"/>
    <n v="1"/>
    <n v="116"/>
    <n v="41"/>
    <n v="12818"/>
    <n v="3215"/>
    <n v="16033"/>
  </r>
  <r>
    <s v="49"/>
    <s v="70805"/>
    <s v="6051858"/>
    <s v="1417"/>
    <s v="L"/>
    <s v="San Miguel Elementary"/>
    <x v="1"/>
    <s v="San Miguel Elementary"/>
    <s v="49 70805 6051858"/>
    <n v="0.43240000000000001"/>
    <n v="1"/>
    <n v="407"/>
    <n v="176"/>
    <n v="44974"/>
    <n v="13802"/>
    <n v="58776"/>
  </r>
  <r>
    <s v="49"/>
    <s v="70805"/>
    <s v="6111066"/>
    <s v="1422"/>
    <s v="L"/>
    <s v="John B. Riebli Elementary"/>
    <x v="1"/>
    <s v="John B. Riebli Elementary"/>
    <s v="49 70805 6111066"/>
    <n v="0.3281"/>
    <n v="1"/>
    <n v="384"/>
    <n v="126"/>
    <n v="42433"/>
    <n v="9881"/>
    <n v="52314"/>
  </r>
  <r>
    <s v="49"/>
    <s v="70813"/>
    <s v="0000000"/>
    <s v="N/A"/>
    <s v="N/A"/>
    <s v="Monte Rio Union Elementary"/>
    <x v="3"/>
    <s v="Monte Rio Elementary"/>
    <s v="49 70813 6051866"/>
    <n v="0.69489999999999996"/>
    <n v="2"/>
    <n v="59"/>
    <n v="41"/>
    <n v="6520"/>
    <n v="3215"/>
    <n v="9735"/>
  </r>
  <r>
    <s v="49"/>
    <s v="70821"/>
    <s v="0000000"/>
    <s v="N/A"/>
    <s v="N/A"/>
    <s v="Montgomery Elementary"/>
    <x v="3"/>
    <s v="Montgomery Elementary"/>
    <s v="49 70821 6051874"/>
    <n v="0.57140000000000002"/>
    <n v="2"/>
    <n v="21"/>
    <n v="12"/>
    <n v="2321"/>
    <n v="941"/>
    <n v="3262"/>
  </r>
  <r>
    <s v="49"/>
    <s v="70839"/>
    <s v="0000000"/>
    <s v="N/A"/>
    <s v="N/A"/>
    <s v="Oak Grove Union Elementary"/>
    <x v="3"/>
    <s v="Oak Grove Elementary"/>
    <s v="49 70839 6051882"/>
    <n v="0.17949999999999999"/>
    <n v="2"/>
    <n v="78"/>
    <n v="14"/>
    <n v="8619"/>
    <n v="1098"/>
    <n v="9717"/>
  </r>
  <r>
    <s v="49"/>
    <s v="70839"/>
    <s v="0138065"/>
    <s v="1985"/>
    <s v="D"/>
    <s v="Pivot Charter School - North Bay"/>
    <x v="1"/>
    <s v="Pivot Charter School - North Bay"/>
    <s v="49 70839 0138065"/>
    <n v="0.54820000000000002"/>
    <n v="1"/>
    <n v="394"/>
    <n v="216"/>
    <n v="43538"/>
    <n v="16938"/>
    <n v="60476"/>
  </r>
  <r>
    <s v="49"/>
    <s v="70839"/>
    <s v="6051890"/>
    <s v="0655"/>
    <s v="L"/>
    <s v="Oak Grove Elementary/Willowside Middle"/>
    <x v="1"/>
    <s v="Oak Grove Elementary/Willowside Middle"/>
    <s v="49 70839 6051890"/>
    <n v="0.25879999999999997"/>
    <n v="1"/>
    <n v="742"/>
    <n v="192"/>
    <n v="81992"/>
    <n v="15056"/>
    <n v="97048"/>
  </r>
  <r>
    <s v="49"/>
    <s v="70847"/>
    <s v="0000000"/>
    <s v="N/A"/>
    <s v="N/A"/>
    <s v="Old Adobe Union"/>
    <x v="3"/>
    <s v="La Tercera Elementary"/>
    <s v="49 70847 6051916"/>
    <n v="0.36919999999999997"/>
    <n v="2"/>
    <n v="349"/>
    <n v="129"/>
    <n v="38565"/>
    <n v="10116"/>
    <n v="48681"/>
  </r>
  <r>
    <s v="49"/>
    <s v="70847"/>
    <s v="0119750"/>
    <s v="1086"/>
    <s v="D"/>
    <s v="River Montessori Elementary Charter"/>
    <x v="1"/>
    <s v="River Montessori Elementary Charter"/>
    <s v="49 70847 0119750"/>
    <n v="0.1971"/>
    <n v="1"/>
    <n v="137"/>
    <n v="27"/>
    <n v="15139"/>
    <n v="2117"/>
    <n v="17256"/>
  </r>
  <r>
    <s v="49"/>
    <s v="70847"/>
    <s v="0127555"/>
    <s v="1579"/>
    <s v="L"/>
    <s v="Loma Vista Immersion Academy"/>
    <x v="1"/>
    <s v="Loma Vista Immersion Academy"/>
    <s v="49 70847 0127555"/>
    <n v="0.36609999999999998"/>
    <n v="1"/>
    <n v="489"/>
    <n v="179"/>
    <n v="54035"/>
    <n v="14037"/>
    <n v="68072"/>
  </r>
  <r>
    <s v="49"/>
    <s v="70847"/>
    <s v="6051924"/>
    <s v="1423"/>
    <s v="L"/>
    <s v="Old Adobe Elementary Charter"/>
    <x v="1"/>
    <s v="Old Adobe Elementary Charter"/>
    <s v="49 70847 6051924"/>
    <n v="0.25"/>
    <n v="1"/>
    <n v="288"/>
    <n v="72"/>
    <n v="31824"/>
    <n v="5646"/>
    <n v="37470"/>
  </r>
  <r>
    <s v="49"/>
    <s v="70847"/>
    <s v="6072136"/>
    <s v="1424"/>
    <s v="L"/>
    <s v="Miwok Valley Elementary Charter"/>
    <x v="1"/>
    <s v="Miwok Valley Elementary Charter"/>
    <s v="49 70847 6072136"/>
    <n v="0.70989999999999998"/>
    <n v="1"/>
    <n v="293"/>
    <n v="208"/>
    <n v="32377"/>
    <n v="16311"/>
    <n v="48688"/>
  </r>
  <r>
    <s v="49"/>
    <s v="70847"/>
    <s v="6114755"/>
    <s v="1450"/>
    <s v="L"/>
    <s v="Sonoma Mountain Elementary"/>
    <x v="1"/>
    <s v="Sonoma Mountain Elementary"/>
    <s v="49 70847 6114755"/>
    <n v="0.13039999999999999"/>
    <n v="1"/>
    <n v="437"/>
    <n v="57"/>
    <n v="48289"/>
    <n v="4470"/>
    <n v="52759"/>
  </r>
  <r>
    <s v="49"/>
    <s v="70854"/>
    <s v="0000000"/>
    <s v="N/A"/>
    <s v="N/A"/>
    <s v="Petaluma City Elementary"/>
    <x v="3"/>
    <s v="McDowell Elementary"/>
    <s v="49 70854 6051957"/>
    <n v="0.84079999999999999"/>
    <n v="8"/>
    <n v="1759"/>
    <n v="804"/>
    <n v="194372"/>
    <n v="63050"/>
    <n v="257422"/>
  </r>
  <r>
    <s v="49"/>
    <s v="70854"/>
    <s v="6051981"/>
    <s v="1512"/>
    <s v="L"/>
    <s v="Penngrove Elementary"/>
    <x v="1"/>
    <s v="Penngrove Elementary"/>
    <s v="49 70854 6051981"/>
    <n v="0.35139999999999999"/>
    <n v="1"/>
    <n v="481"/>
    <n v="169"/>
    <n v="53151"/>
    <n v="13253"/>
    <n v="66404"/>
  </r>
  <r>
    <s v="49"/>
    <s v="70854"/>
    <s v="6119036"/>
    <s v="0382"/>
    <s v="D"/>
    <s v="Live Oak Charter"/>
    <x v="1"/>
    <s v="Live Oak Charter"/>
    <s v="49 70854 6119036"/>
    <n v="0.15870000000000001"/>
    <n v="1"/>
    <n v="252"/>
    <n v="40"/>
    <n v="27846"/>
    <n v="3137"/>
    <n v="30983"/>
  </r>
  <r>
    <s v="49"/>
    <s v="70862"/>
    <s v="0000000"/>
    <s v="N/A"/>
    <s v="N/A"/>
    <s v="Petaluma Joint Union High"/>
    <x v="3"/>
    <s v="Kashia Elementary"/>
    <s v="49 70888 6052013"/>
    <n v="1"/>
    <n v="9"/>
    <n v="4325"/>
    <n v="1892"/>
    <n v="477921"/>
    <n v="148369"/>
    <n v="626290"/>
  </r>
  <r>
    <s v="49"/>
    <s v="70862"/>
    <s v="0131961"/>
    <s v="1726"/>
    <s v="L"/>
    <s v="Petaluma Accelerated Charter School"/>
    <x v="1"/>
    <s v="Kashia Elementary"/>
    <s v="49 70888 6052013"/>
    <n v="1"/>
    <n v="1"/>
    <n v="123"/>
    <n v="15"/>
    <n v="13592"/>
    <n v="1176"/>
    <n v="14768"/>
  </r>
  <r>
    <s v="49"/>
    <s v="70862"/>
    <s v="6051932"/>
    <s v="0480"/>
    <s v="L"/>
    <s v="Mary Collins Charter School at Cherry Valley"/>
    <x v="1"/>
    <s v="Mary Collins Charter School at Cherry Valley"/>
    <s v="49 70862 6051932"/>
    <n v="0.26550000000000001"/>
    <n v="1"/>
    <n v="452"/>
    <n v="120"/>
    <n v="49947"/>
    <n v="9410"/>
    <n v="59357"/>
  </r>
  <r>
    <s v="49"/>
    <s v="70870"/>
    <s v="0000000"/>
    <s v="N/A"/>
    <s v="N/A"/>
    <s v="Piner-Olivet Union Elementary"/>
    <x v="3"/>
    <s v="Jack London Elementary"/>
    <s v="49 70870 0101253"/>
    <n v="0.59640000000000004"/>
    <n v="2"/>
    <n v="275"/>
    <n v="164"/>
    <n v="30388"/>
    <n v="12861"/>
    <n v="43249"/>
  </r>
  <r>
    <s v="49"/>
    <s v="70870"/>
    <s v="0106344"/>
    <s v="0526"/>
    <s v="D"/>
    <s v="Northwest Prep Charter"/>
    <x v="1"/>
    <s v="Northwest Prep Charter"/>
    <s v="49 70870 0106344"/>
    <n v="0.4919"/>
    <n v="1"/>
    <n v="124"/>
    <n v="61"/>
    <n v="13702"/>
    <n v="4784"/>
    <n v="18486"/>
  </r>
  <r>
    <s v="49"/>
    <s v="70870"/>
    <s v="6066344"/>
    <s v="1440"/>
    <s v="D"/>
    <s v="Olivet Elementary Charter"/>
    <x v="1"/>
    <s v="Olivet Elementary Charter"/>
    <s v="49 70870 6066344"/>
    <n v="0.4516"/>
    <n v="1"/>
    <n v="310"/>
    <n v="140"/>
    <n v="34256"/>
    <n v="10979"/>
    <n v="45235"/>
  </r>
  <r>
    <s v="49"/>
    <s v="70870"/>
    <s v="6109144"/>
    <s v="1439"/>
    <s v="D"/>
    <s v="Morrice Schaefer Charter"/>
    <x v="1"/>
    <s v="Morrice Schaefer Charter"/>
    <s v="49 70870 6109144"/>
    <n v="0.63700000000000001"/>
    <n v="1"/>
    <n v="303"/>
    <n v="193"/>
    <n v="33482"/>
    <n v="15135"/>
    <n v="48617"/>
  </r>
  <r>
    <s v="49"/>
    <s v="70870"/>
    <s v="6113492"/>
    <s v="0098"/>
    <s v="D"/>
    <s v="Piner-Olivet Charter"/>
    <x v="1"/>
    <s v="Kashia Elementary"/>
    <s v="49 70888 6052013"/>
    <n v="1"/>
    <n v="1"/>
    <n v="216"/>
    <n v="96"/>
    <n v="23868"/>
    <n v="7528"/>
    <n v="31396"/>
  </r>
  <r>
    <s v="49"/>
    <s v="70888"/>
    <s v="0000000"/>
    <s v="N/A"/>
    <s v="N/A"/>
    <s v="Kashia Elementary"/>
    <x v="3"/>
    <s v="Kashia Elementary"/>
    <s v="49 70888 6052013"/>
    <n v="1"/>
    <n v="2"/>
    <n v="8"/>
    <n v="8"/>
    <n v="884"/>
    <n v="627"/>
    <n v="1511"/>
  </r>
  <r>
    <s v="49"/>
    <s v="70896"/>
    <s v="0000000"/>
    <s v="N/A"/>
    <s v="N/A"/>
    <s v="Rincon Valley Union Elementary"/>
    <x v="3"/>
    <s v="Madrone Elementary"/>
    <s v="49 70896 6052021"/>
    <n v="0.41289999999999999"/>
    <n v="5"/>
    <n v="1280"/>
    <n v="338"/>
    <n v="141443"/>
    <n v="26506"/>
    <n v="167949"/>
  </r>
  <r>
    <s v="49"/>
    <s v="70896"/>
    <s v="0102525"/>
    <s v="0525"/>
    <s v="L"/>
    <s v="Spring Lake Charter"/>
    <x v="1"/>
    <s v="Spring Lake Charter"/>
    <s v="49 70896 0102525"/>
    <n v="0.28349999999999997"/>
    <n v="1"/>
    <n v="328"/>
    <n v="93"/>
    <n v="36245"/>
    <n v="7293"/>
    <n v="43538"/>
  </r>
  <r>
    <s v="49"/>
    <s v="70896"/>
    <s v="6052039"/>
    <s v="1105"/>
    <s v="L"/>
    <s v="Manzanita Elementary Charter"/>
    <x v="1"/>
    <s v="Manzanita Elementary Charter"/>
    <s v="49 70896 6052039"/>
    <n v="0.43930000000000002"/>
    <n v="1"/>
    <n v="412"/>
    <n v="181"/>
    <n v="45527"/>
    <n v="14194"/>
    <n v="59721"/>
  </r>
  <r>
    <s v="49"/>
    <s v="70896"/>
    <s v="6052047"/>
    <s v="1259"/>
    <s v="L"/>
    <s v="Whited Elementary Charter"/>
    <x v="1"/>
    <s v="Whited Elementary Charter"/>
    <s v="49 70896 6052047"/>
    <n v="0.4914"/>
    <n v="1"/>
    <n v="348"/>
    <n v="171"/>
    <n v="38455"/>
    <n v="13410"/>
    <n v="51865"/>
  </r>
  <r>
    <s v="49"/>
    <s v="70896"/>
    <s v="6052070"/>
    <s v="1257"/>
    <s v="L"/>
    <s v="Village Elementary Charter"/>
    <x v="1"/>
    <s v="Village Elementary Charter"/>
    <s v="49 70896 6052070"/>
    <n v="0.48349999999999999"/>
    <n v="1"/>
    <n v="393"/>
    <n v="190"/>
    <n v="43427"/>
    <n v="14900"/>
    <n v="58327"/>
  </r>
  <r>
    <s v="49"/>
    <s v="70896"/>
    <s v="6085229"/>
    <s v="1258"/>
    <s v="L"/>
    <s v="Binkley Elementary Charter"/>
    <x v="1"/>
    <s v="Binkley Elementary Charter"/>
    <s v="49 70896 6085229"/>
    <n v="0.4027"/>
    <n v="1"/>
    <n v="365"/>
    <n v="147"/>
    <n v="40333"/>
    <n v="11528"/>
    <n v="51861"/>
  </r>
  <r>
    <s v="49"/>
    <s v="70904"/>
    <s v="0000000"/>
    <s v="N/A"/>
    <s v="N/A"/>
    <s v="Roseland"/>
    <x v="3"/>
    <s v="Roseland Elementary"/>
    <s v="49 70904 6052088"/>
    <n v="0.86080000000000001"/>
    <n v="4"/>
    <n v="1554"/>
    <n v="1252"/>
    <n v="171719"/>
    <n v="98181"/>
    <n v="269900"/>
  </r>
  <r>
    <s v="49"/>
    <s v="70904"/>
    <s v="0101923"/>
    <s v="0558"/>
    <s v="D"/>
    <s v="Roseland Charter"/>
    <x v="1"/>
    <s v="Roseland Charter"/>
    <s v="49 70904 0101923"/>
    <n v="0.70220000000000005"/>
    <n v="1"/>
    <n v="1293"/>
    <n v="908"/>
    <n v="142879"/>
    <n v="71204"/>
    <n v="214083"/>
  </r>
  <r>
    <s v="49"/>
    <s v="70912"/>
    <s v="0000000"/>
    <s v="N/A"/>
    <s v="N/A"/>
    <s v="Santa Rosa Elementary"/>
    <x v="3"/>
    <s v="Brook Hill Elementary"/>
    <s v="49 70912 6052104"/>
    <n v="0.7591"/>
    <n v="11"/>
    <n v="3216"/>
    <n v="1864"/>
    <n v="355375"/>
    <n v="146172"/>
    <n v="501547"/>
  </r>
  <r>
    <s v="49"/>
    <s v="70912"/>
    <s v="0113530"/>
    <s v="0845"/>
    <s v="L"/>
    <s v="Santa Rosa Charter School for the Arts"/>
    <x v="1"/>
    <s v="Santa Rosa Charter School for the Arts"/>
    <s v="49 70912 0113530"/>
    <n v="0.3453"/>
    <n v="1"/>
    <n v="391"/>
    <n v="135"/>
    <n v="43206"/>
    <n v="10587"/>
    <n v="53793"/>
  </r>
  <r>
    <s v="49"/>
    <s v="70912"/>
    <s v="0125831"/>
    <s v="1397"/>
    <s v="L"/>
    <s v="Santa Rosa French-American Charter (SRFACS)"/>
    <x v="1"/>
    <s v="Santa Rosa French-American Charter (SRFACS)"/>
    <s v="49 70912 0125831"/>
    <n v="0.18809999999999999"/>
    <n v="1"/>
    <n v="436"/>
    <n v="82"/>
    <n v="48179"/>
    <n v="6430"/>
    <n v="54609"/>
  </r>
  <r>
    <s v="49"/>
    <s v="70912"/>
    <s v="0128074"/>
    <s v="1523"/>
    <s v="L"/>
    <s v="Cesar Chavez Language Academy"/>
    <x v="1"/>
    <s v="Cesar Chavez Language Academy"/>
    <s v="49 70912 0128074"/>
    <n v="0.54039999999999999"/>
    <n v="1"/>
    <n v="853"/>
    <n v="461"/>
    <n v="94258"/>
    <n v="36151"/>
    <n v="130409"/>
  </r>
  <r>
    <s v="49"/>
    <s v="70912"/>
    <s v="6116958"/>
    <s v="0215"/>
    <s v="D"/>
    <s v="Kid Street Learning Center Charter"/>
    <x v="1"/>
    <s v="Kid Street Learning Center Charter"/>
    <s v="49 70912 6116958"/>
    <n v="0.68520000000000003"/>
    <n v="1"/>
    <n v="108"/>
    <n v="74"/>
    <n v="11934"/>
    <n v="5803"/>
    <n v="17737"/>
  </r>
  <r>
    <s v="49"/>
    <s v="70920"/>
    <s v="0000000"/>
    <s v="N/A"/>
    <s v="N/A"/>
    <s v="Santa Rosa High"/>
    <x v="3"/>
    <s v="Learning House"/>
    <s v="49 70920 0140855"/>
    <n v="0.28000000000000003"/>
    <n v="12"/>
    <n v="9921"/>
    <n v="4106"/>
    <n v="1096288"/>
    <n v="321989"/>
    <n v="1418277"/>
  </r>
  <r>
    <s v="49"/>
    <s v="70920"/>
    <s v="0102533"/>
    <s v="0522"/>
    <s v="L"/>
    <s v="Santa Rosa Accelerated Charter"/>
    <x v="1"/>
    <s v="Kashia Elementary"/>
    <s v="49 70888 6052013"/>
    <n v="1"/>
    <n v="1"/>
    <n v="128"/>
    <n v="13"/>
    <n v="14144"/>
    <n v="1019"/>
    <n v="15163"/>
  </r>
  <r>
    <s v="49"/>
    <s v="70938"/>
    <s v="0000000"/>
    <s v="N/A"/>
    <s v="N/A"/>
    <s v="Sebastopol Union Elementary"/>
    <x v="3"/>
    <s v="Park Side Elementary"/>
    <s v="49 70938 6052229"/>
    <n v="0.56710000000000005"/>
    <n v="3"/>
    <n v="424"/>
    <n v="235"/>
    <n v="46853"/>
    <n v="18429"/>
    <n v="65282"/>
  </r>
  <r>
    <s v="49"/>
    <s v="70938"/>
    <s v="6113039"/>
    <s v="0078"/>
    <s v="D"/>
    <s v="Sebastopol Independent Charter"/>
    <x v="1"/>
    <s v="Sebastopol Independent Charter"/>
    <s v="49 70938 6113039"/>
    <n v="0.30480000000000002"/>
    <n v="1"/>
    <n v="269"/>
    <n v="82"/>
    <n v="29725"/>
    <n v="6430"/>
    <n v="36155"/>
  </r>
  <r>
    <s v="49"/>
    <s v="70953"/>
    <s v="0000000"/>
    <s v="N/A"/>
    <s v="N/A"/>
    <s v="Sonoma Valley Unified"/>
    <x v="3"/>
    <s v="Sassarini Elementary"/>
    <s v="49 70953 6052294"/>
    <n v="0.5857"/>
    <n v="9"/>
    <n v="3134"/>
    <n v="1411"/>
    <n v="346312"/>
    <n v="110649"/>
    <n v="456961"/>
  </r>
  <r>
    <s v="49"/>
    <s v="70953"/>
    <s v="0105866"/>
    <s v="0613"/>
    <s v="D"/>
    <s v="Woodland Star Charter"/>
    <x v="1"/>
    <s v="Woodland Star Charter"/>
    <s v="49 70953 0105866"/>
    <n v="0.40450000000000003"/>
    <n v="1"/>
    <n v="220"/>
    <n v="89"/>
    <n v="24310"/>
    <n v="6979"/>
    <n v="31289"/>
  </r>
  <r>
    <s v="49"/>
    <s v="70953"/>
    <s v="6111678"/>
    <s v="0009"/>
    <s v="D"/>
    <s v="Sonoma Charter"/>
    <x v="1"/>
    <s v="Sonoma Charter"/>
    <s v="49 70953 6111678"/>
    <n v="0.34599999999999997"/>
    <n v="1"/>
    <n v="211"/>
    <n v="73"/>
    <n v="23316"/>
    <n v="5725"/>
    <n v="29041"/>
  </r>
  <r>
    <s v="49"/>
    <s v="70961"/>
    <s v="0000000"/>
    <s v="N/A"/>
    <s v="N/A"/>
    <s v="Twin Hills Union Elementary"/>
    <x v="3"/>
    <s v="Apple Blossom"/>
    <s v="49 70961 6093140"/>
    <n v="0.223"/>
    <n v="2"/>
    <n v="296"/>
    <n v="66"/>
    <n v="32708"/>
    <n v="5176"/>
    <n v="37884"/>
  </r>
  <r>
    <s v="49"/>
    <s v="70961"/>
    <s v="4930319"/>
    <s v="0310"/>
    <s v="L"/>
    <s v="Orchard View"/>
    <x v="1"/>
    <s v="Orchard View"/>
    <s v="49 70961 4930319"/>
    <n v="0.20369999999999999"/>
    <n v="1"/>
    <n v="216"/>
    <n v="44"/>
    <n v="23868"/>
    <n v="3450"/>
    <n v="27318"/>
  </r>
  <r>
    <s v="49"/>
    <s v="70961"/>
    <s v="4930350"/>
    <s v="0481"/>
    <s v="L"/>
    <s v="Sunridge Charter"/>
    <x v="1"/>
    <s v="Sunridge Charter"/>
    <s v="49 70961 4930350"/>
    <n v="0.34160000000000001"/>
    <n v="1"/>
    <n v="243"/>
    <n v="83"/>
    <n v="26852"/>
    <n v="6509"/>
    <n v="33361"/>
  </r>
  <r>
    <s v="49"/>
    <s v="70961"/>
    <s v="6052302"/>
    <s v="0904"/>
    <s v="L"/>
    <s v="Twin Hills Charter Middle"/>
    <x v="1"/>
    <s v="Kashia Elementary"/>
    <s v="49 70888 6052013"/>
    <n v="1"/>
    <n v="1"/>
    <n v="204"/>
    <n v="55"/>
    <n v="22542"/>
    <n v="4313"/>
    <n v="26855"/>
  </r>
  <r>
    <s v="49"/>
    <s v="70979"/>
    <s v="0000000"/>
    <s v="N/A"/>
    <s v="N/A"/>
    <s v="Two Rock Union"/>
    <x v="3"/>
    <s v="Two Rock Elementary"/>
    <s v="49 70979 6052310"/>
    <n v="0.46210000000000001"/>
    <n v="2"/>
    <n v="132"/>
    <n v="61"/>
    <n v="14586"/>
    <n v="4784"/>
    <n v="19370"/>
  </r>
  <r>
    <s v="49"/>
    <s v="70995"/>
    <s v="0000000"/>
    <s v="N/A"/>
    <s v="N/A"/>
    <s v="Waugh Elementary"/>
    <x v="3"/>
    <s v="Corona Creek Elementary"/>
    <s v="49 70995 6114409"/>
    <n v="0.18640000000000001"/>
    <n v="3"/>
    <n v="774"/>
    <n v="120"/>
    <n v="85528"/>
    <n v="9410"/>
    <n v="94938"/>
  </r>
  <r>
    <s v="49"/>
    <s v="71001"/>
    <s v="0000000"/>
    <s v="N/A"/>
    <s v="N/A"/>
    <s v="West Side Union Elementary"/>
    <x v="3"/>
    <s v="West Side Elementary"/>
    <s v="49 71001 6052336"/>
    <n v="0.2482"/>
    <n v="2"/>
    <n v="137"/>
    <n v="34"/>
    <n v="15139"/>
    <n v="2666"/>
    <n v="17805"/>
  </r>
  <r>
    <s v="49"/>
    <s v="71019"/>
    <s v="0000000"/>
    <s v="N/A"/>
    <s v="N/A"/>
    <s v="Wilmar Union Elementary"/>
    <x v="3"/>
    <s v="Wilson Elementary"/>
    <s v="49 71019 6052344"/>
    <n v="0.2064"/>
    <n v="2"/>
    <n v="219"/>
    <n v="45"/>
    <n v="24200"/>
    <n v="3529"/>
    <n v="27729"/>
  </r>
  <r>
    <s v="49"/>
    <s v="71035"/>
    <s v="0000000"/>
    <s v="N/A"/>
    <s v="N/A"/>
    <s v="Wright Elementary"/>
    <x v="3"/>
    <s v="J. X. Wilson Elementary"/>
    <s v="49 71035 6096721"/>
    <n v="0.77629999999999999"/>
    <n v="3"/>
    <n v="826"/>
    <n v="565"/>
    <n v="91274"/>
    <n v="44307"/>
    <n v="135581"/>
  </r>
  <r>
    <s v="49"/>
    <s v="71035"/>
    <s v="6052377"/>
    <s v="1087"/>
    <s v="L"/>
    <s v="Wright Charter"/>
    <x v="1"/>
    <s v="Wright Charter"/>
    <s v="49 71035 6052377"/>
    <n v="0.68269999999999997"/>
    <n v="1"/>
    <n v="457"/>
    <n v="312"/>
    <n v="50499"/>
    <n v="24467"/>
    <n v="74966"/>
  </r>
  <r>
    <s v="49"/>
    <s v="73882"/>
    <s v="0000000"/>
    <s v="N/A"/>
    <s v="N/A"/>
    <s v="Cotati-Rohnert Park Unified"/>
    <x v="3"/>
    <s v="John Reed Primary"/>
    <s v="49 73882 6051676"/>
    <n v="0.79630000000000001"/>
    <n v="14"/>
    <n v="6040"/>
    <n v="2512"/>
    <n v="667431"/>
    <n v="196987"/>
    <n v="864418"/>
  </r>
  <r>
    <s v="49"/>
    <s v="73882"/>
    <s v="0123786"/>
    <s v="1281"/>
    <s v="D"/>
    <s v="Credo High"/>
    <x v="1"/>
    <s v="Kashia Elementary"/>
    <s v="49 70888 6052013"/>
    <n v="1"/>
    <n v="1"/>
    <n v="439"/>
    <n v="140"/>
    <n v="48510"/>
    <n v="10979"/>
    <n v="59489"/>
  </r>
  <r>
    <s v="49"/>
    <s v="75358"/>
    <s v="0000000"/>
    <s v="N/A"/>
    <s v="N/A"/>
    <s v="Windsor Unified"/>
    <x v="3"/>
    <s v="Brooks Elementary"/>
    <s v="49 75358 6107221"/>
    <n v="0.54969999999999997"/>
    <n v="8"/>
    <n v="3482"/>
    <n v="1700"/>
    <n v="384767"/>
    <n v="133313"/>
    <n v="518080"/>
  </r>
  <r>
    <s v="49"/>
    <s v="75358"/>
    <s v="0114934"/>
    <s v="0912"/>
    <s v="D"/>
    <s v="Village Charter"/>
    <x v="1"/>
    <s v="Village Charter"/>
    <s v="49 75358 0114934"/>
    <n v="0.47310000000000002"/>
    <n v="1"/>
    <n v="93"/>
    <n v="44"/>
    <n v="10277"/>
    <n v="3450"/>
    <n v="13727"/>
  </r>
  <r>
    <s v="49"/>
    <s v="75358"/>
    <s v="6052369"/>
    <s v="0162"/>
    <s v="L"/>
    <s v="Cali Calmecac Language Academy"/>
    <x v="1"/>
    <s v="Cali Calmecac Language Academy"/>
    <s v="49 75358 6052369"/>
    <n v="0.58220000000000005"/>
    <n v="1"/>
    <n v="1168"/>
    <n v="680"/>
    <n v="129066"/>
    <n v="53325"/>
    <n v="182391"/>
  </r>
  <r>
    <s v="49"/>
    <s v="75390"/>
    <s v="0000000"/>
    <s v="N/A"/>
    <s v="N/A"/>
    <s v="Healdsburg Unified"/>
    <x v="3"/>
    <s v="Healdsburg Elementary"/>
    <s v="49 75390 6051791"/>
    <n v="0.67249999999999999"/>
    <n v="5"/>
    <n v="1278"/>
    <n v="729"/>
    <n v="141221"/>
    <n v="57168"/>
    <n v="198389"/>
  </r>
  <r>
    <s v="50"/>
    <s v="10504"/>
    <s v="0000000"/>
    <s v="N/A"/>
    <s v="N/A"/>
    <s v="Stanislaus Co. Office of Education"/>
    <x v="0"/>
    <s v="Robertson Road Elementary"/>
    <s v="50 71167 6052799"/>
    <n v="0.95469999999999999"/>
    <n v="5"/>
    <n v="1266"/>
    <n v="1046"/>
    <n v="139895"/>
    <n v="82027"/>
    <n v="221922"/>
  </r>
  <r>
    <s v="50"/>
    <s v="10504"/>
    <s v="0117457"/>
    <s v="0985"/>
    <s v="D"/>
    <s v="Great Valley Academy"/>
    <x v="1"/>
    <s v="Great Valley Academy"/>
    <s v="50 10504 0117457"/>
    <n v="0.38840000000000002"/>
    <n v="1"/>
    <n v="847"/>
    <n v="329"/>
    <n v="93595"/>
    <n v="25800"/>
    <n v="119395"/>
  </r>
  <r>
    <s v="50"/>
    <s v="10504"/>
    <s v="0129023"/>
    <s v="1607"/>
    <s v="D"/>
    <s v="Stanislaus Alternative Charter"/>
    <x v="1"/>
    <s v="Robertson Road Elementary"/>
    <s v="50 71167 6052799"/>
    <n v="0.95469999999999999"/>
    <n v="1"/>
    <n v="552"/>
    <n v="305"/>
    <n v="60997"/>
    <n v="23918"/>
    <n v="84915"/>
  </r>
  <r>
    <s v="50"/>
    <s v="71043"/>
    <s v="0000000"/>
    <s v="N/A"/>
    <s v="N/A"/>
    <s v="Ceres Unified"/>
    <x v="3"/>
    <s v="Don Pedro Elementary"/>
    <s v="50 71043 6052443"/>
    <n v="0.91679999999999995"/>
    <n v="23"/>
    <n v="13744"/>
    <n v="11384"/>
    <n v="1518734"/>
    <n v="892723"/>
    <n v="2411457"/>
  </r>
  <r>
    <s v="50"/>
    <s v="71043"/>
    <s v="0107128"/>
    <s v="0657"/>
    <s v="L"/>
    <s v="Whitmore Charter School of Art &amp; Technology"/>
    <x v="1"/>
    <s v="Whitmore Charter School of Art &amp; Technology"/>
    <s v="50 71043 0107128"/>
    <n v="0.51339999999999997"/>
    <n v="1"/>
    <n v="411"/>
    <n v="211"/>
    <n v="45416"/>
    <n v="16546"/>
    <n v="61962"/>
  </r>
  <r>
    <s v="50"/>
    <s v="71043"/>
    <s v="0107136"/>
    <s v="0658"/>
    <s v="L"/>
    <s v="Whitmore Charter High"/>
    <x v="1"/>
    <s v="Robertson Road Elementary"/>
    <s v="50 71167 6052799"/>
    <n v="0.95469999999999999"/>
    <n v="1"/>
    <n v="98"/>
    <n v="48"/>
    <n v="10829"/>
    <n v="3764"/>
    <n v="14593"/>
  </r>
  <r>
    <s v="50"/>
    <s v="71043"/>
    <s v="0112292"/>
    <s v="0812"/>
    <s v="D"/>
    <s v="Aspire Summit Charter Academy"/>
    <x v="1"/>
    <s v="Aspire Summit Charter Academy"/>
    <s v="50 71043 0112292"/>
    <n v="0.75880000000000003"/>
    <n v="1"/>
    <n v="369"/>
    <n v="280"/>
    <n v="40775"/>
    <n v="21957"/>
    <n v="62732"/>
  </r>
  <r>
    <s v="50"/>
    <s v="71050"/>
    <s v="0000000"/>
    <s v="N/A"/>
    <s v="N/A"/>
    <s v="Chatom Union"/>
    <x v="3"/>
    <s v="Chatom Elementary"/>
    <s v="50 71050 6052484"/>
    <n v="0.73560000000000003"/>
    <n v="3"/>
    <n v="607"/>
    <n v="427"/>
    <n v="67075"/>
    <n v="33485"/>
    <n v="100560"/>
  </r>
  <r>
    <s v="50"/>
    <s v="71068"/>
    <s v="0000000"/>
    <s v="N/A"/>
    <s v="N/A"/>
    <s v="Denair Unified"/>
    <x v="3"/>
    <s v="Robertson Road Elementary"/>
    <s v="50 71167 6052799"/>
    <n v="0.95469999999999999"/>
    <n v="4"/>
    <n v="566"/>
    <n v="315"/>
    <n v="62544"/>
    <n v="24702"/>
    <n v="87246"/>
  </r>
  <r>
    <s v="50"/>
    <s v="71068"/>
    <s v="0132662"/>
    <s v="1750"/>
    <s v="L"/>
    <s v="Denair Elementary Charter Academy"/>
    <x v="1"/>
    <s v="Denair Elementary Charter Academy"/>
    <s v="50 71068 0132662"/>
    <n v="0.5151"/>
    <n v="1"/>
    <n v="600"/>
    <n v="309"/>
    <n v="66301"/>
    <n v="24231"/>
    <n v="90532"/>
  </r>
  <r>
    <s v="50"/>
    <s v="71068"/>
    <s v="5030267"/>
    <s v="0357"/>
    <s v="L"/>
    <s v="Denair Charter Academy"/>
    <x v="1"/>
    <s v="Denair Charter Academy"/>
    <s v="50 71068 5030267"/>
    <n v="0.53290000000000004"/>
    <n v="1"/>
    <n v="167"/>
    <n v="89"/>
    <n v="18454"/>
    <n v="6979"/>
    <n v="25433"/>
  </r>
  <r>
    <s v="50"/>
    <s v="71076"/>
    <s v="0000000"/>
    <s v="N/A"/>
    <s v="N/A"/>
    <s v="Empire Union Elementary"/>
    <x v="3"/>
    <s v="Capistrano Elementary"/>
    <s v="50 71076 6093504"/>
    <n v="0.88160000000000005"/>
    <n v="7"/>
    <n v="2895"/>
    <n v="2293"/>
    <n v="319903"/>
    <n v="179815"/>
    <n v="499718"/>
  </r>
  <r>
    <s v="50"/>
    <s v="71084"/>
    <s v="0000000"/>
    <s v="N/A"/>
    <s v="N/A"/>
    <s v="Gratton Elementary"/>
    <x v="3"/>
    <s v="Gratton Elementary"/>
    <s v="50 71084 6052534"/>
    <n v="0.26090000000000002"/>
    <n v="2"/>
    <n v="23"/>
    <n v="6"/>
    <n v="2542"/>
    <n v="471"/>
    <n v="3013"/>
  </r>
  <r>
    <s v="50"/>
    <s v="71084"/>
    <s v="0120089"/>
    <s v="1099"/>
    <s v="L"/>
    <s v="Gratton Charter"/>
    <x v="1"/>
    <s v="Gratton Charter"/>
    <s v="50 71084 0120089"/>
    <n v="0.15129999999999999"/>
    <n v="1"/>
    <n v="119"/>
    <n v="18"/>
    <n v="13150"/>
    <n v="1412"/>
    <n v="14562"/>
  </r>
  <r>
    <s v="50"/>
    <s v="71092"/>
    <s v="0000000"/>
    <s v="N/A"/>
    <s v="N/A"/>
    <s v="Hart-Ransom Union Elementary"/>
    <x v="3"/>
    <s v="Hart-Ransom Elementary"/>
    <s v="50 71092 6052542"/>
    <n v="0.45050000000000001"/>
    <n v="2"/>
    <n v="737"/>
    <n v="332"/>
    <n v="81440"/>
    <n v="26035"/>
    <n v="107475"/>
  </r>
  <r>
    <s v="50"/>
    <s v="71092"/>
    <s v="6112965"/>
    <s v="0080"/>
    <s v="L"/>
    <s v="Hart-Ransom Academic Charter"/>
    <x v="1"/>
    <s v="Hart-Ransom Academic Charter"/>
    <s v="50 71092 6112965"/>
    <n v="0.41970000000000002"/>
    <n v="1"/>
    <n v="436"/>
    <n v="183"/>
    <n v="48179"/>
    <n v="14351"/>
    <n v="62530"/>
  </r>
  <r>
    <s v="50"/>
    <s v="71100"/>
    <s v="0000000"/>
    <s v="N/A"/>
    <s v="N/A"/>
    <s v="Hickman Community Charter"/>
    <x v="3"/>
    <s v="Hickman Elementary"/>
    <s v="50 71100 6052559"/>
    <n v="0.37369999999999998"/>
    <n v="4"/>
    <n v="986"/>
    <n v="341"/>
    <n v="108955"/>
    <n v="26741"/>
    <n v="135696"/>
  </r>
  <r>
    <s v="50"/>
    <s v="71134"/>
    <s v="0000000"/>
    <s v="N/A"/>
    <s v="N/A"/>
    <s v="Keyes Union"/>
    <x v="3"/>
    <s v="Keyes Elementary"/>
    <s v="50 71134 6052591"/>
    <n v="0.84989999999999999"/>
    <n v="3"/>
    <n v="741"/>
    <n v="639"/>
    <n v="81882"/>
    <n v="50109"/>
    <n v="131991"/>
  </r>
  <r>
    <s v="50"/>
    <s v="71134"/>
    <s v="6113286"/>
    <s v="0085"/>
    <s v="L"/>
    <s v="Keyes to Learning Charter"/>
    <x v="1"/>
    <s v="Keyes to Learning Charter"/>
    <s v="50 71134 6113286"/>
    <n v="0.38800000000000001"/>
    <n v="1"/>
    <n v="317"/>
    <n v="123"/>
    <n v="35029"/>
    <n v="9646"/>
    <n v="44675"/>
  </r>
  <r>
    <s v="50"/>
    <s v="71142"/>
    <s v="0000000"/>
    <s v="N/A"/>
    <s v="N/A"/>
    <s v="Knights Ferry Elementary"/>
    <x v="3"/>
    <s v="Knights Ferry Elementary"/>
    <s v="50 71142 6052609"/>
    <n v="0.18640000000000001"/>
    <n v="2"/>
    <n v="118"/>
    <n v="22"/>
    <n v="13039"/>
    <n v="1725"/>
    <n v="14764"/>
  </r>
  <r>
    <s v="50"/>
    <s v="71167"/>
    <s v="0000000"/>
    <s v="N/A"/>
    <s v="N/A"/>
    <s v="Modesto City Elementary"/>
    <x v="3"/>
    <s v="Robertson Road Elementary"/>
    <s v="50 71167 6052799"/>
    <n v="0.95469999999999999"/>
    <n v="27"/>
    <n v="14784"/>
    <n v="12434"/>
    <n v="1633659"/>
    <n v="975062"/>
    <n v="2608721"/>
  </r>
  <r>
    <s v="50"/>
    <s v="71167"/>
    <s v="0137265"/>
    <s v="1963"/>
    <s v="D"/>
    <s v="Aspire University Charter School"/>
    <x v="1"/>
    <s v="Aspire University Charter School"/>
    <s v="50 71167 0137265"/>
    <n v="0.77329999999999999"/>
    <n v="1"/>
    <n v="419"/>
    <n v="324"/>
    <n v="46300"/>
    <n v="25408"/>
    <n v="71708"/>
  </r>
  <r>
    <s v="50"/>
    <s v="71167"/>
    <s v="0138057"/>
    <s v="1973"/>
    <s v="D"/>
    <s v="Connecting Waters Charter School - Central Valley"/>
    <x v="1"/>
    <s v="Connecting Waters Charter School - Central Valley"/>
    <s v="50 71167 0138057"/>
    <n v="0.51280000000000003"/>
    <n v="1"/>
    <n v="624"/>
    <n v="320"/>
    <n v="68953"/>
    <n v="25094"/>
    <n v="94047"/>
  </r>
  <r>
    <s v="50"/>
    <s v="71175"/>
    <s v="0000000"/>
    <s v="N/A"/>
    <s v="N/A"/>
    <s v="Modesto City High"/>
    <x v="3"/>
    <s v="Robertson Road Elementary"/>
    <s v="50 71167 6052799"/>
    <n v="0.95469999999999999"/>
    <n v="9"/>
    <n v="15547"/>
    <n v="10272"/>
    <n v="1717969"/>
    <n v="805520"/>
    <n v="2523489"/>
  </r>
  <r>
    <s v="50"/>
    <s v="71175"/>
    <s v="0120212"/>
    <s v="1125"/>
    <s v="D"/>
    <s v="Aspire Vanguard College Preparatory Academy"/>
    <x v="1"/>
    <s v="Aspire Vanguard College Preparatory Academy"/>
    <s v="50 71175 0120212"/>
    <n v="0.72650000000000003"/>
    <n v="1"/>
    <n v="596"/>
    <n v="433"/>
    <n v="65859"/>
    <n v="33955"/>
    <n v="99814"/>
  </r>
  <r>
    <s v="50"/>
    <s v="71209"/>
    <s v="0000000"/>
    <s v="N/A"/>
    <s v="N/A"/>
    <s v="Paradise Elementary"/>
    <x v="3"/>
    <s v="Paradise Elementary"/>
    <s v="50 71209 6052914"/>
    <n v="0.66200000000000003"/>
    <n v="2"/>
    <n v="71"/>
    <n v="47"/>
    <n v="7846"/>
    <n v="3686"/>
    <n v="11532"/>
  </r>
  <r>
    <s v="50"/>
    <s v="71209"/>
    <s v="0112383"/>
    <s v="0803"/>
    <s v="L"/>
    <s v="Paradise Charter"/>
    <x v="1"/>
    <s v="Paradise Charter"/>
    <s v="50 71209 0112383"/>
    <n v="0.65569999999999995"/>
    <n v="1"/>
    <n v="122"/>
    <n v="80"/>
    <n v="13481"/>
    <n v="6274"/>
    <n v="19755"/>
  </r>
  <r>
    <s v="50"/>
    <s v="71217"/>
    <s v="0000000"/>
    <s v="N/A"/>
    <s v="N/A"/>
    <s v="Patterson Joint Unified"/>
    <x v="3"/>
    <s v="Grayson Elementary"/>
    <s v="50 71217 6052922"/>
    <n v="0.94740000000000002"/>
    <n v="12"/>
    <n v="6353"/>
    <n v="4733"/>
    <n v="702018"/>
    <n v="371158"/>
    <n v="1073176"/>
  </r>
  <r>
    <s v="50"/>
    <s v="71233"/>
    <s v="0000000"/>
    <s v="N/A"/>
    <s v="N/A"/>
    <s v="Roberts Ferry Union Elementary"/>
    <x v="3"/>
    <s v="Roberts Ferry Union Elementary"/>
    <s v="50 71233 6053011"/>
    <n v="0.62960000000000005"/>
    <n v="2"/>
    <n v="27"/>
    <n v="17"/>
    <n v="2984"/>
    <n v="1333"/>
    <n v="4317"/>
  </r>
  <r>
    <s v="50"/>
    <s v="71233"/>
    <s v="0121525"/>
    <s v="1171"/>
    <s v="L"/>
    <s v="Roberts Ferry Charter School Academy"/>
    <x v="1"/>
    <s v="Roberts Ferry Charter School Academy"/>
    <s v="50 71233 0121525"/>
    <n v="0.53800000000000003"/>
    <n v="1"/>
    <n v="171"/>
    <n v="92"/>
    <n v="18896"/>
    <n v="7215"/>
    <n v="26111"/>
  </r>
  <r>
    <s v="50"/>
    <s v="71266"/>
    <s v="0000000"/>
    <s v="N/A"/>
    <s v="N/A"/>
    <s v="Salida Union Elementary"/>
    <x v="3"/>
    <s v="Salida Elementary"/>
    <s v="50 71266 6053037"/>
    <n v="0.84"/>
    <n v="6"/>
    <n v="2259"/>
    <n v="1648"/>
    <n v="249623"/>
    <n v="129234"/>
    <n v="378857"/>
  </r>
  <r>
    <s v="50"/>
    <s v="71266"/>
    <s v="0124768"/>
    <s v="1819"/>
    <s v="D"/>
    <s v="Great Valley Academy - Salida"/>
    <x v="1"/>
    <s v="Great Valley Academy - Salida"/>
    <s v="50 71266 0124768"/>
    <n v="0.29530000000000001"/>
    <n v="1"/>
    <n v="823"/>
    <n v="243"/>
    <n v="90943"/>
    <n v="19056"/>
    <n v="109999"/>
  </r>
  <r>
    <s v="50"/>
    <s v="71274"/>
    <s v="0000000"/>
    <s v="N/A"/>
    <s v="N/A"/>
    <s v="Shiloh Elementary"/>
    <x v="3"/>
    <s v="Shiloh Elementary"/>
    <s v="50 71274 6053045"/>
    <n v="0.56669999999999998"/>
    <n v="2"/>
    <n v="30"/>
    <n v="17"/>
    <n v="3315"/>
    <n v="1333"/>
    <n v="4648"/>
  </r>
  <r>
    <s v="50"/>
    <s v="71274"/>
    <s v="0121558"/>
    <s v="1175"/>
    <s v="L"/>
    <s v="Shiloh Charter"/>
    <x v="1"/>
    <s v="Shiloh Charter"/>
    <s v="50 71274 0121558"/>
    <n v="0.72860000000000003"/>
    <n v="1"/>
    <n v="140"/>
    <n v="102"/>
    <n v="15470"/>
    <n v="7999"/>
    <n v="23469"/>
  </r>
  <r>
    <s v="50"/>
    <s v="71282"/>
    <s v="0000000"/>
    <s v="N/A"/>
    <s v="N/A"/>
    <s v="Stanislaus Union Elementary"/>
    <x v="3"/>
    <s v="Josephine Chrysler Elementary"/>
    <s v="50 71282 6053060"/>
    <n v="0.89700000000000002"/>
    <n v="7"/>
    <n v="3389"/>
    <n v="2566"/>
    <n v="374491"/>
    <n v="201224"/>
    <n v="575715"/>
  </r>
  <r>
    <s v="50"/>
    <s v="71290"/>
    <s v="0000000"/>
    <s v="N/A"/>
    <s v="N/A"/>
    <s v="Sylvan Union Elementary"/>
    <x v="3"/>
    <s v="Coleman F. Brown Elementary"/>
    <s v="50 71290 6071583"/>
    <n v="0.82779999999999998"/>
    <n v="14"/>
    <n v="8083"/>
    <n v="4805"/>
    <n v="893186"/>
    <n v="376802"/>
    <n v="1269988"/>
  </r>
  <r>
    <s v="50"/>
    <s v="71324"/>
    <s v="0000000"/>
    <s v="N/A"/>
    <s v="N/A"/>
    <s v="Valley Home Joint Elementary"/>
    <x v="3"/>
    <s v="Valley Home Elementary"/>
    <s v="50 71324 6053201"/>
    <n v="0.31359999999999999"/>
    <n v="2"/>
    <n v="169"/>
    <n v="53"/>
    <n v="18675"/>
    <n v="4156"/>
    <n v="22831"/>
  </r>
  <r>
    <s v="50"/>
    <s v="73601"/>
    <s v="0000000"/>
    <s v="N/A"/>
    <s v="N/A"/>
    <s v="Newman-Crows Landing Unified"/>
    <x v="3"/>
    <s v="Hunt Elementary"/>
    <s v="50 73601 0101188"/>
    <n v="0.62929999999999997"/>
    <n v="10"/>
    <n v="3191"/>
    <n v="1837"/>
    <n v="352610"/>
    <n v="144056"/>
    <n v="496666"/>
  </r>
  <r>
    <s v="50"/>
    <s v="75549"/>
    <s v="0000000"/>
    <s v="N/A"/>
    <s v="N/A"/>
    <s v="Hughson Unified"/>
    <x v="3"/>
    <s v="Fox Road Elementary"/>
    <s v="50 75549 0101030"/>
    <n v="0.50370000000000004"/>
    <n v="7"/>
    <n v="2214"/>
    <n v="1084"/>
    <n v="244651"/>
    <n v="85006"/>
    <n v="329657"/>
  </r>
  <r>
    <s v="50"/>
    <s v="75556"/>
    <s v="0000000"/>
    <s v="N/A"/>
    <s v="N/A"/>
    <s v="Riverbank Unified"/>
    <x v="3"/>
    <s v="Mesa Verde Elementary"/>
    <s v="50 75556 0118810"/>
    <n v="0.62260000000000004"/>
    <n v="6"/>
    <n v="2410"/>
    <n v="1419"/>
    <n v="266309"/>
    <n v="111276"/>
    <n v="377585"/>
  </r>
  <r>
    <s v="50"/>
    <s v="75556"/>
    <s v="0113852"/>
    <s v="0856"/>
    <s v="L"/>
    <s v="Riverbank Language Academy"/>
    <x v="1"/>
    <s v="Riverbank Language Academy"/>
    <s v="50 75556 0113852"/>
    <n v="0.37259999999999999"/>
    <n v="1"/>
    <n v="569"/>
    <n v="212"/>
    <n v="62875"/>
    <n v="16625"/>
    <n v="79500"/>
  </r>
  <r>
    <s v="50"/>
    <s v="75564"/>
    <s v="0000000"/>
    <s v="N/A"/>
    <s v="N/A"/>
    <s v="Oakdale Joint Unified"/>
    <x v="3"/>
    <s v="Magnolia Elementary"/>
    <s v="50 75564 6100390"/>
    <n v="0.52359999999999995"/>
    <n v="9"/>
    <n v="5190"/>
    <n v="2147"/>
    <n v="573504"/>
    <n v="168366"/>
    <n v="741870"/>
  </r>
  <r>
    <s v="50"/>
    <s v="75564"/>
    <s v="5030176"/>
    <s v="0103"/>
    <s v="L"/>
    <s v="Oakdale Charter"/>
    <x v="1"/>
    <s v="Robertson Road Elementary"/>
    <s v="50 71167 6052799"/>
    <n v="0.95469999999999999"/>
    <n v="1"/>
    <n v="53"/>
    <n v="19"/>
    <n v="5857"/>
    <n v="1490"/>
    <n v="7347"/>
  </r>
  <r>
    <s v="50"/>
    <s v="75572"/>
    <s v="0000000"/>
    <s v="N/A"/>
    <s v="N/A"/>
    <s v="Waterford Unified"/>
    <x v="3"/>
    <s v="Lucille Whitehead Intermediate"/>
    <s v="50 75572 0117770"/>
    <n v="0.91710000000000003"/>
    <n v="6"/>
    <n v="1837"/>
    <n v="1608"/>
    <n v="202992"/>
    <n v="126097"/>
    <n v="329089"/>
  </r>
  <r>
    <s v="50"/>
    <s v="75572"/>
    <s v="5030317"/>
    <s v="0477"/>
    <s v="D"/>
    <s v="Connecting Waters Charter"/>
    <x v="1"/>
    <s v="Connecting Waters Charter"/>
    <s v="50 75572 5030317"/>
    <n v="0.52890000000000004"/>
    <n v="1"/>
    <n v="762"/>
    <n v="403"/>
    <n v="84202"/>
    <n v="31603"/>
    <n v="115805"/>
  </r>
  <r>
    <s v="50"/>
    <s v="75739"/>
    <s v="0000000"/>
    <s v="N/A"/>
    <s v="N/A"/>
    <s v="Turlock Unified"/>
    <x v="3"/>
    <s v="Crowell Elementary"/>
    <s v="50 75739 6053151"/>
    <n v="0.81399999999999995"/>
    <n v="15"/>
    <n v="13626"/>
    <n v="8063"/>
    <n v="1505696"/>
    <n v="632292"/>
    <n v="2137988"/>
  </r>
  <r>
    <s v="50"/>
    <s v="75739"/>
    <s v="0124669"/>
    <s v="1309"/>
    <s v="D"/>
    <s v="eCademy Charter at Crane"/>
    <x v="1"/>
    <s v="eCademy Charter at Crane"/>
    <s v="50 75739 0124669"/>
    <n v="0.68320000000000003"/>
    <n v="1"/>
    <n v="161"/>
    <n v="110"/>
    <n v="17791"/>
    <n v="8626"/>
    <n v="26417"/>
  </r>
  <r>
    <s v="50"/>
    <s v="75739"/>
    <s v="0131185"/>
    <s v="1695"/>
    <s v="D"/>
    <s v="Fusion Charter"/>
    <x v="1"/>
    <s v="Robertson Road Elementary"/>
    <s v="50 71167 6052799"/>
    <n v="0.95469999999999999"/>
    <n v="1"/>
    <n v="126"/>
    <n v="103"/>
    <n v="13923"/>
    <n v="8077"/>
    <n v="22000"/>
  </r>
  <r>
    <s v="51"/>
    <s v="10512"/>
    <s v="0000000"/>
    <s v="N/A"/>
    <s v="N/A"/>
    <s v="Sutter Co. Office of Education"/>
    <x v="0"/>
    <s v="Park Avenue Elementary"/>
    <s v="51 71464 6053425"/>
    <n v="0.9647"/>
    <n v="3"/>
    <n v="385"/>
    <n v="333"/>
    <n v="42544"/>
    <n v="26114"/>
    <n v="68658"/>
  </r>
  <r>
    <s v="51"/>
    <s v="10512"/>
    <s v="0138040"/>
    <s v="2000"/>
    <s v="D"/>
    <s v="AeroSTEM Academy"/>
    <x v="1"/>
    <s v="AeroSTEM Academy"/>
    <s v="51 10512 0138040"/>
    <n v="0.72929999999999995"/>
    <n v="1"/>
    <n v="133"/>
    <n v="97"/>
    <n v="14697"/>
    <n v="7607"/>
    <n v="22304"/>
  </r>
  <r>
    <s v="51"/>
    <s v="10512"/>
    <s v="0140152"/>
    <s v="2089"/>
    <s v="L"/>
    <s v="Pathways Charter Academy"/>
    <x v="1"/>
    <s v="Park Avenue Elementary"/>
    <s v="51 71464 6053425"/>
    <n v="0.9647"/>
    <n v="1"/>
    <n v="22"/>
    <n v="18"/>
    <n v="2431"/>
    <n v="1412"/>
    <n v="3843"/>
  </r>
  <r>
    <s v="51"/>
    <s v="71357"/>
    <s v="0000000"/>
    <s v="N/A"/>
    <s v="N/A"/>
    <s v="Brittan Elementary"/>
    <x v="3"/>
    <s v="Brittan Elementary"/>
    <s v="51 71357 6053235"/>
    <n v="0.53910000000000002"/>
    <n v="2"/>
    <n v="460"/>
    <n v="248"/>
    <n v="50831"/>
    <n v="19448"/>
    <n v="70279"/>
  </r>
  <r>
    <s v="51"/>
    <s v="71365"/>
    <s v="0000000"/>
    <s v="N/A"/>
    <s v="N/A"/>
    <s v="Browns Elementary"/>
    <x v="3"/>
    <s v="Browns Elementary"/>
    <s v="51 71365 6053243"/>
    <n v="0.4098"/>
    <n v="2"/>
    <n v="122"/>
    <n v="50"/>
    <n v="13481"/>
    <n v="3921"/>
    <n v="17402"/>
  </r>
  <r>
    <s v="51"/>
    <s v="71373"/>
    <s v="0000000"/>
    <s v="N/A"/>
    <s v="N/A"/>
    <s v="East Nicolaus Joint Union High"/>
    <x v="3"/>
    <s v="Park Avenue Elementary"/>
    <s v="51 71464 6053425"/>
    <n v="0.9647"/>
    <n v="2"/>
    <n v="310"/>
    <n v="86"/>
    <n v="34256"/>
    <n v="6744"/>
    <n v="41000"/>
  </r>
  <r>
    <s v="51"/>
    <s v="71373"/>
    <s v="0141226"/>
    <s v="2123"/>
    <s v="L"/>
    <s v="Spartan Academy"/>
    <x v="1"/>
    <s v="Park Avenue Elementary"/>
    <s v="51 71464 6053425"/>
    <n v="0.9647"/>
    <n v="1"/>
    <n v="0"/>
    <n v="0"/>
    <n v="0"/>
    <n v="0"/>
    <n v="0"/>
  </r>
  <r>
    <s v="51"/>
    <s v="71381"/>
    <s v="0000000"/>
    <s v="N/A"/>
    <s v="N/A"/>
    <s v="Franklin Elementary"/>
    <x v="3"/>
    <s v="Franklin Elementary"/>
    <s v="51 71381 6053250"/>
    <n v="0.3"/>
    <n v="2"/>
    <n v="490"/>
    <n v="147"/>
    <n v="54146"/>
    <n v="11528"/>
    <n v="65674"/>
  </r>
  <r>
    <s v="51"/>
    <s v="71399"/>
    <s v="0000000"/>
    <s v="N/A"/>
    <s v="N/A"/>
    <s v="Live Oak Unified"/>
    <x v="3"/>
    <s v="Luther Elementary"/>
    <s v="51 71399 6053284"/>
    <n v="0.75890000000000002"/>
    <n v="7"/>
    <n v="1970"/>
    <n v="1415"/>
    <n v="217688"/>
    <n v="110962"/>
    <n v="328650"/>
  </r>
  <r>
    <s v="51"/>
    <s v="71407"/>
    <s v="0000000"/>
    <s v="N/A"/>
    <s v="N/A"/>
    <s v="Marcum-Illinois Union Elementary"/>
    <x v="3"/>
    <s v="Marcum-Illinois Union Elementary"/>
    <s v="51 71407 6053292"/>
    <n v="0.34200000000000003"/>
    <n v="2"/>
    <n v="205"/>
    <n v="70"/>
    <n v="22653"/>
    <n v="5490"/>
    <n v="28143"/>
  </r>
  <r>
    <s v="51"/>
    <s v="71407"/>
    <s v="0109793"/>
    <s v="0724"/>
    <s v="D"/>
    <s v="South Sutter Charter"/>
    <x v="1"/>
    <s v="South Sutter Charter"/>
    <s v="51 71407 0109793"/>
    <n v="0.37780000000000002"/>
    <n v="1"/>
    <n v="2295"/>
    <n v="867"/>
    <n v="253601"/>
    <n v="67989"/>
    <n v="321590"/>
  </r>
  <r>
    <s v="51"/>
    <s v="71415"/>
    <s v="0000000"/>
    <s v="N/A"/>
    <s v="N/A"/>
    <s v="Meridian Elementary"/>
    <x v="3"/>
    <s v="Meridian Elementary"/>
    <s v="51 71415 6053300"/>
    <n v="0.65710000000000002"/>
    <n v="2"/>
    <n v="70"/>
    <n v="46"/>
    <n v="7735"/>
    <n v="3607"/>
    <n v="11342"/>
  </r>
  <r>
    <s v="51"/>
    <s v="71415"/>
    <s v="0129007"/>
    <s v="1606"/>
    <s v="D"/>
    <s v="California Virtual Academy @ Sutter"/>
    <x v="1"/>
    <s v="California Virtual Academy @ Sutter"/>
    <s v="51 71415 0129007"/>
    <n v="0.6714"/>
    <n v="1"/>
    <n v="1394"/>
    <n v="936"/>
    <n v="154039"/>
    <n v="73400"/>
    <n v="227439"/>
  </r>
  <r>
    <s v="51"/>
    <s v="71423"/>
    <s v="0000000"/>
    <s v="N/A"/>
    <s v="N/A"/>
    <s v="Nuestro Elementary"/>
    <x v="3"/>
    <s v="Nuestro Elementary"/>
    <s v="51 71423 6053318"/>
    <n v="0.41849999999999998"/>
    <n v="2"/>
    <n v="184"/>
    <n v="77"/>
    <n v="20332"/>
    <n v="6038"/>
    <n v="26370"/>
  </r>
  <r>
    <s v="51"/>
    <s v="71423"/>
    <s v="0132977"/>
    <s v="1764"/>
    <s v="D"/>
    <s v="Sutter Peak Charter Academy"/>
    <x v="1"/>
    <s v="Sutter Peak Charter Academy"/>
    <s v="51 71423 0132977"/>
    <n v="0.37359999999999999"/>
    <n v="1"/>
    <n v="613"/>
    <n v="229"/>
    <n v="67738"/>
    <n v="17958"/>
    <n v="85696"/>
  </r>
  <r>
    <s v="51"/>
    <s v="71431"/>
    <s v="0000000"/>
    <s v="N/A"/>
    <s v="N/A"/>
    <s v="Pleasant Grove Joint Union"/>
    <x v="3"/>
    <s v="Pleasant Grove"/>
    <s v="51 71431 6053326"/>
    <n v="0.29659999999999997"/>
    <n v="2"/>
    <n v="145"/>
    <n v="43"/>
    <n v="16023"/>
    <n v="3372"/>
    <n v="19395"/>
  </r>
  <r>
    <s v="51"/>
    <s v="71449"/>
    <s v="0000000"/>
    <s v="N/A"/>
    <s v="N/A"/>
    <s v="Sutter Union High"/>
    <x v="3"/>
    <s v="Park Avenue Elementary"/>
    <s v="51 71464 6053425"/>
    <n v="0.9647"/>
    <n v="3"/>
    <n v="802"/>
    <n v="206"/>
    <n v="88622"/>
    <n v="16154"/>
    <n v="104776"/>
  </r>
  <r>
    <s v="51"/>
    <s v="71456"/>
    <s v="0000000"/>
    <s v="N/A"/>
    <s v="N/A"/>
    <s v="Winship-Robbins"/>
    <x v="3"/>
    <s v="Robbins Elementary"/>
    <s v="51 71456 6053433"/>
    <n v="0.82079999999999997"/>
    <n v="2"/>
    <n v="106"/>
    <n v="87"/>
    <n v="11713"/>
    <n v="6822"/>
    <n v="18535"/>
  </r>
  <r>
    <s v="51"/>
    <s v="71456"/>
    <s v="0133934"/>
    <s v="1801"/>
    <s v="D"/>
    <s v="Feather River Charter"/>
    <x v="1"/>
    <s v="Feather River Charter"/>
    <s v="51 71456 0133934"/>
    <n v="0.41270000000000001"/>
    <n v="1"/>
    <n v="2365"/>
    <n v="976"/>
    <n v="261336"/>
    <n v="76537"/>
    <n v="337873"/>
  </r>
  <r>
    <s v="51"/>
    <s v="71464"/>
    <s v="0000000"/>
    <s v="N/A"/>
    <s v="N/A"/>
    <s v="Yuba City Unified"/>
    <x v="3"/>
    <s v="Park Avenue Elementary"/>
    <s v="51 71464 6053425"/>
    <n v="0.9647"/>
    <n v="18"/>
    <n v="12290"/>
    <n v="9132"/>
    <n v="1358063"/>
    <n v="716120"/>
    <n v="2074183"/>
  </r>
  <r>
    <s v="51"/>
    <s v="71464"/>
    <s v="0107318"/>
    <s v="0639"/>
    <s v="D"/>
    <s v="Twin Rivers Charter"/>
    <x v="1"/>
    <s v="Twin Rivers Charter"/>
    <s v="51 71464 0107318"/>
    <n v="0.36249999999999999"/>
    <n v="1"/>
    <n v="480"/>
    <n v="174"/>
    <n v="53041"/>
    <n v="13645"/>
    <n v="66686"/>
  </r>
  <r>
    <s v="51"/>
    <s v="71464"/>
    <s v="5130125"/>
    <s v="0289"/>
    <s v="D"/>
    <s v="Yuba City Charter"/>
    <x v="1"/>
    <s v="Yuba City Charter"/>
    <s v="51 71464 5130125"/>
    <n v="0.81340000000000001"/>
    <n v="1"/>
    <n v="268"/>
    <n v="218"/>
    <n v="29614"/>
    <n v="17095"/>
    <n v="46709"/>
  </r>
  <r>
    <s v="52"/>
    <s v="10520"/>
    <s v="0000000"/>
    <s v="N/A"/>
    <s v="N/A"/>
    <s v="Tehama Co. Office of Education"/>
    <x v="0"/>
    <s v="Rancho Tehama Elementary"/>
    <s v="52 71498 6112486"/>
    <n v="0.9889"/>
    <n v="3"/>
    <n v="277"/>
    <n v="252"/>
    <n v="30609"/>
    <n v="19762"/>
    <n v="50371"/>
  </r>
  <r>
    <s v="52"/>
    <s v="10520"/>
    <s v="6119606"/>
    <s v="1667"/>
    <s v="L"/>
    <s v="Lincoln Street"/>
    <x v="1"/>
    <s v="Lincoln Street"/>
    <s v="52 10520 6119606"/>
    <n v="0.77459999999999996"/>
    <n v="1"/>
    <n v="71"/>
    <n v="55"/>
    <n v="7846"/>
    <n v="4313"/>
    <n v="12159"/>
  </r>
  <r>
    <s v="52"/>
    <s v="10520"/>
    <s v="6119671"/>
    <s v="0430"/>
    <s v="D"/>
    <s v="Tehama eLearning Academy"/>
    <x v="1"/>
    <s v="Rancho Tehama Elementary"/>
    <s v="52 71498 6112486"/>
    <n v="0.9889"/>
    <n v="1"/>
    <n v="116"/>
    <n v="88"/>
    <n v="12818"/>
    <n v="6901"/>
    <n v="19719"/>
  </r>
  <r>
    <s v="52"/>
    <s v="71472"/>
    <s v="0000000"/>
    <s v="N/A"/>
    <s v="N/A"/>
    <s v="Antelope Elementary"/>
    <x v="3"/>
    <s v="Plum Valley Elementary"/>
    <s v="52 71472 6053615"/>
    <n v="0.94740000000000002"/>
    <n v="4"/>
    <n v="721"/>
    <n v="422"/>
    <n v="79673"/>
    <n v="33093"/>
    <n v="112766"/>
  </r>
  <r>
    <s v="52"/>
    <s v="71472"/>
    <s v="0134403"/>
    <s v="1813"/>
    <s v="L"/>
    <s v="Lassen-Antelope Volcanic Academy (LAVA) Charter"/>
    <x v="1"/>
    <s v="Rancho Tehama Elementary"/>
    <s v="52 71498 6112486"/>
    <n v="0.9889"/>
    <n v="1"/>
    <n v="94"/>
    <n v="71"/>
    <n v="10387"/>
    <n v="5568"/>
    <n v="15955"/>
  </r>
  <r>
    <s v="52"/>
    <s v="71498"/>
    <s v="0000000"/>
    <s v="N/A"/>
    <s v="N/A"/>
    <s v="Corning Union Elementary"/>
    <x v="3"/>
    <s v="Rancho Tehama Elementary"/>
    <s v="52 71498 6112486"/>
    <n v="0.9889"/>
    <n v="7"/>
    <n v="2011"/>
    <n v="1783"/>
    <n v="222220"/>
    <n v="139821"/>
    <n v="362041"/>
  </r>
  <r>
    <s v="52"/>
    <s v="71506"/>
    <s v="0000000"/>
    <s v="N/A"/>
    <s v="N/A"/>
    <s v="Corning Union High"/>
    <x v="3"/>
    <s v="Rancho Tehama Elementary"/>
    <s v="52 71498 6112486"/>
    <n v="0.9889"/>
    <n v="4"/>
    <n v="1138"/>
    <n v="840"/>
    <n v="125751"/>
    <n v="65872"/>
    <n v="191623"/>
  </r>
  <r>
    <s v="52"/>
    <s v="71522"/>
    <s v="0000000"/>
    <s v="N/A"/>
    <s v="N/A"/>
    <s v="Evergreen Union"/>
    <x v="3"/>
    <s v="Evergreen Elementary"/>
    <s v="52 71522 6053516"/>
    <n v="0.59240000000000004"/>
    <n v="6"/>
    <n v="1084"/>
    <n v="626"/>
    <n v="119784"/>
    <n v="49090"/>
    <n v="168874"/>
  </r>
  <r>
    <s v="52"/>
    <s v="71522"/>
    <s v="0132597"/>
    <s v="1754"/>
    <s v="L"/>
    <s v="Evergreen Institute of Excellence"/>
    <x v="1"/>
    <s v="Evergreen Institute of Excellence"/>
    <s v="52 71522 0132597"/>
    <n v="0.54790000000000005"/>
    <n v="1"/>
    <n v="146"/>
    <n v="80"/>
    <n v="16133"/>
    <n v="6274"/>
    <n v="22407"/>
  </r>
  <r>
    <s v="52"/>
    <s v="71530"/>
    <s v="0000000"/>
    <s v="N/A"/>
    <s v="N/A"/>
    <s v="Flournoy Union Elementary"/>
    <x v="3"/>
    <s v="Flournoy Elementary"/>
    <s v="52 71530 6053524"/>
    <n v="0.6"/>
    <n v="2"/>
    <n v="45"/>
    <n v="27"/>
    <n v="4973"/>
    <n v="2117"/>
    <n v="7090"/>
  </r>
  <r>
    <s v="52"/>
    <s v="71548"/>
    <s v="0000000"/>
    <s v="N/A"/>
    <s v="N/A"/>
    <s v="Gerber Union Elementary"/>
    <x v="3"/>
    <s v="Gerber Elementary"/>
    <s v="52 71548 6053532"/>
    <n v="0.8246"/>
    <n v="2"/>
    <n v="405"/>
    <n v="334"/>
    <n v="44753"/>
    <n v="26192"/>
    <n v="70945"/>
  </r>
  <r>
    <s v="52"/>
    <s v="71555"/>
    <s v="0000000"/>
    <s v="N/A"/>
    <s v="N/A"/>
    <s v="Kirkwood Elementary"/>
    <x v="3"/>
    <s v="Kirkwood Elementary"/>
    <s v="52 71555 6053540"/>
    <n v="0.45100000000000001"/>
    <n v="2"/>
    <n v="102"/>
    <n v="46"/>
    <n v="11271"/>
    <n v="3607"/>
    <n v="14878"/>
  </r>
  <r>
    <s v="52"/>
    <s v="71563"/>
    <s v="0000000"/>
    <s v="N/A"/>
    <s v="N/A"/>
    <s v="Lassen View Union Elementary"/>
    <x v="3"/>
    <s v="Lassen View Elementary"/>
    <s v="52 71563 6053557"/>
    <n v="0.48039999999999999"/>
    <n v="2"/>
    <n v="360"/>
    <n v="173"/>
    <n v="39781"/>
    <n v="13566"/>
    <n v="53347"/>
  </r>
  <r>
    <s v="52"/>
    <s v="71571"/>
    <s v="0000000"/>
    <s v="N/A"/>
    <s v="N/A"/>
    <s v="Los Molinos Unified"/>
    <x v="3"/>
    <s v="Los Molinos Elementary"/>
    <s v="52 71571 6053565"/>
    <n v="0.81779999999999997"/>
    <n v="4"/>
    <n v="531"/>
    <n v="386"/>
    <n v="58677"/>
    <n v="30270"/>
    <n v="88947"/>
  </r>
  <r>
    <s v="52"/>
    <s v="71621"/>
    <s v="0000000"/>
    <s v="N/A"/>
    <s v="N/A"/>
    <s v="Red Bluff Union Elementary"/>
    <x v="3"/>
    <s v="William M. Metteer Elementary"/>
    <s v="52 71621 6106686"/>
    <n v="0.87470000000000003"/>
    <n v="6"/>
    <n v="1866"/>
    <n v="1535"/>
    <n v="206195"/>
    <n v="120373"/>
    <n v="326568"/>
  </r>
  <r>
    <s v="52"/>
    <s v="71639"/>
    <s v="0000000"/>
    <s v="N/A"/>
    <s v="N/A"/>
    <s v="Red Bluff Joint Union High"/>
    <x v="3"/>
    <s v="Rancho Tehama Elementary"/>
    <s v="52 71498 6112486"/>
    <n v="0.9889"/>
    <n v="3"/>
    <n v="1747"/>
    <n v="1143"/>
    <n v="193047"/>
    <n v="89633"/>
    <n v="282680"/>
  </r>
  <r>
    <s v="52"/>
    <s v="71647"/>
    <s v="0000000"/>
    <s v="N/A"/>
    <s v="N/A"/>
    <s v="Reeds Creek Elementary"/>
    <x v="3"/>
    <s v="Reeds Creek Elementary"/>
    <s v="52 71647 6053664"/>
    <n v="0.58009999999999995"/>
    <n v="2"/>
    <n v="182"/>
    <n v="106"/>
    <n v="20112"/>
    <n v="8312"/>
    <n v="28424"/>
  </r>
  <r>
    <s v="52"/>
    <s v="71654"/>
    <s v="0000000"/>
    <s v="N/A"/>
    <s v="N/A"/>
    <s v="Richfield Elementary"/>
    <x v="3"/>
    <s v="Richfield Elementary"/>
    <s v="52 71654 6053672"/>
    <n v="0.42020000000000002"/>
    <n v="2"/>
    <n v="238"/>
    <n v="100"/>
    <n v="26299"/>
    <n v="7842"/>
    <n v="34141"/>
  </r>
  <r>
    <s v="53"/>
    <s v="10538"/>
    <s v="0000000"/>
    <s v="N/A"/>
    <s v="N/A"/>
    <s v="Trinity Co. Office of Education"/>
    <x v="0"/>
    <s v="Trinity Center Elementary"/>
    <s v="53 71761 6053813"/>
    <n v="0.84619999999999995"/>
    <n v="2"/>
    <n v="37"/>
    <n v="30"/>
    <n v="4089"/>
    <n v="2353"/>
    <n v="6442"/>
  </r>
  <r>
    <s v="53"/>
    <s v="10538"/>
    <s v="0125633"/>
    <s v="1809"/>
    <s v="D"/>
    <s v="California Heritage Youthbuild Academy II"/>
    <x v="1"/>
    <s v="Trinity Center Elementary"/>
    <s v="53 71761 6053813"/>
    <n v="0.84619999999999995"/>
    <n v="1"/>
    <n v="98"/>
    <n v="85"/>
    <n v="10829"/>
    <n v="6666"/>
    <n v="17495"/>
  </r>
  <r>
    <s v="53"/>
    <s v="71662"/>
    <s v="0000000"/>
    <s v="N/A"/>
    <s v="N/A"/>
    <s v="Burnt Ranch Elementary"/>
    <x v="3"/>
    <s v="Burnt Ranch Elementary"/>
    <s v="53 71662 6053680"/>
    <n v="0.57140000000000002"/>
    <n v="2"/>
    <n v="91"/>
    <n v="52"/>
    <n v="10056"/>
    <n v="4078"/>
    <n v="14134"/>
  </r>
  <r>
    <s v="53"/>
    <s v="71670"/>
    <s v="0000000"/>
    <s v="N/A"/>
    <s v="N/A"/>
    <s v="Coffee Creek Elementary"/>
    <x v="3"/>
    <s v="Coffee Creek Elementary"/>
    <s v="53 71670 6053706"/>
    <n v="0.77780000000000005"/>
    <n v="2"/>
    <n v="9"/>
    <n v="7"/>
    <n v="995"/>
    <n v="549"/>
    <n v="1544"/>
  </r>
  <r>
    <s v="53"/>
    <s v="71696"/>
    <s v="0000000"/>
    <s v="N/A"/>
    <s v="N/A"/>
    <s v="Douglas City Elementary"/>
    <x v="3"/>
    <s v="Douglas City Elementary"/>
    <s v="53 71696 6053722"/>
    <n v="0.48770000000000002"/>
    <n v="2"/>
    <n v="162"/>
    <n v="79"/>
    <n v="17901"/>
    <n v="6195"/>
    <n v="24096"/>
  </r>
  <r>
    <s v="53"/>
    <s v="71738"/>
    <s v="0000000"/>
    <s v="N/A"/>
    <s v="N/A"/>
    <s v="Junction City Elementary"/>
    <x v="3"/>
    <s v="Junction City Elementary"/>
    <s v="53 71738 6053771"/>
    <n v="0.58730000000000004"/>
    <n v="2"/>
    <n v="63"/>
    <n v="37"/>
    <n v="6962"/>
    <n v="2902"/>
    <n v="9864"/>
  </r>
  <r>
    <s v="53"/>
    <s v="71746"/>
    <s v="0000000"/>
    <s v="N/A"/>
    <s v="N/A"/>
    <s v="Lewiston Elementary"/>
    <x v="3"/>
    <s v="Lewiston Elementary"/>
    <s v="53 71746 6053789"/>
    <n v="0.66669999999999996"/>
    <n v="2"/>
    <n v="75"/>
    <n v="50"/>
    <n v="8288"/>
    <n v="3921"/>
    <n v="12209"/>
  </r>
  <r>
    <s v="53"/>
    <s v="71761"/>
    <s v="0000000"/>
    <s v="N/A"/>
    <s v="N/A"/>
    <s v="Trinity Center Elementary"/>
    <x v="3"/>
    <s v="Trinity Center Elementary"/>
    <s v="53 71761 6053813"/>
    <n v="0.84619999999999995"/>
    <n v="2"/>
    <n v="13"/>
    <n v="11"/>
    <n v="1437"/>
    <n v="863"/>
    <n v="2300"/>
  </r>
  <r>
    <s v="53"/>
    <s v="73833"/>
    <s v="0000000"/>
    <s v="N/A"/>
    <s v="N/A"/>
    <s v="Southern Trinity Joint Unified"/>
    <x v="3"/>
    <s v="Van Duzen Elementary"/>
    <s v="53 73833 6053805"/>
    <n v="0.60780000000000001"/>
    <n v="5"/>
    <n v="84"/>
    <n v="47"/>
    <n v="9283"/>
    <n v="3686"/>
    <n v="12969"/>
  </r>
  <r>
    <s v="53"/>
    <s v="75028"/>
    <s v="0000000"/>
    <s v="N/A"/>
    <s v="N/A"/>
    <s v="Mountain Valley Unified"/>
    <x v="3"/>
    <s v="Hayfork Elementary"/>
    <s v="53 75028 6053730"/>
    <n v="0.80669999999999997"/>
    <n v="4"/>
    <n v="329"/>
    <n v="272"/>
    <n v="36355"/>
    <n v="21329"/>
    <n v="57684"/>
  </r>
  <r>
    <s v="53"/>
    <s v="76513"/>
    <s v="0000000"/>
    <s v="N/A"/>
    <s v="N/A"/>
    <s v="Trinity Alps Unified"/>
    <x v="3"/>
    <s v="Weaverville Elementary"/>
    <s v="53 76513 6053821"/>
    <n v="0.69369999999999998"/>
    <n v="6"/>
    <n v="672"/>
    <n v="441"/>
    <n v="74258"/>
    <n v="34583"/>
    <n v="108841"/>
  </r>
  <r>
    <s v="54"/>
    <s v="10546"/>
    <s v="0000000"/>
    <s v="N/A"/>
    <s v="N/A"/>
    <s v="Tulare Co. Office of Education"/>
    <x v="0"/>
    <s v="Allensworth Elementary"/>
    <s v="54 71795 6053839"/>
    <n v="1"/>
    <n v="4"/>
    <n v="1628"/>
    <n v="1345"/>
    <n v="179897"/>
    <n v="105474"/>
    <n v="285371"/>
  </r>
  <r>
    <s v="54"/>
    <s v="10546"/>
    <s v="0119602"/>
    <s v="1076"/>
    <s v="L"/>
    <s v="University Preparatory High"/>
    <x v="1"/>
    <s v="Allensworth Elementary"/>
    <s v="54 71795 6053839"/>
    <n v="1"/>
    <n v="1"/>
    <n v="240"/>
    <n v="67"/>
    <n v="26520"/>
    <n v="5254"/>
    <n v="31774"/>
  </r>
  <r>
    <s v="54"/>
    <s v="10546"/>
    <s v="0124057"/>
    <s v="1293"/>
    <s v="D"/>
    <s v="Valley Life Charter"/>
    <x v="1"/>
    <s v="Valley Life Charter"/>
    <s v="54 10546 0124057"/>
    <n v="0.30659999999999998"/>
    <n v="1"/>
    <n v="662"/>
    <n v="203"/>
    <n v="73152"/>
    <n v="15919"/>
    <n v="89071"/>
  </r>
  <r>
    <s v="54"/>
    <s v="10546"/>
    <s v="0125542"/>
    <s v="1382"/>
    <s v="D"/>
    <s v="Sycamore Valley Academy"/>
    <x v="1"/>
    <s v="Sycamore Valley Academy"/>
    <s v="54 10546 0125542"/>
    <n v="0.37240000000000001"/>
    <n v="1"/>
    <n v="392"/>
    <n v="146"/>
    <n v="43317"/>
    <n v="11449"/>
    <n v="54766"/>
  </r>
  <r>
    <s v="54"/>
    <s v="10546"/>
    <s v="0135459"/>
    <s v="1860"/>
    <s v="D"/>
    <s v="Blue Oak Academy"/>
    <x v="1"/>
    <s v="Blue Oak Academy"/>
    <s v="54 10546 0135459"/>
    <n v="0.45029999999999998"/>
    <n v="1"/>
    <n v="342"/>
    <n v="154"/>
    <n v="37792"/>
    <n v="12077"/>
    <n v="49869"/>
  </r>
  <r>
    <s v="54"/>
    <s v="10546"/>
    <s v="5430327"/>
    <s v="0341"/>
    <s v="L"/>
    <s v="La Sierra High"/>
    <x v="1"/>
    <s v="Allensworth Elementary"/>
    <s v="54 71795 6053839"/>
    <n v="1"/>
    <n v="1"/>
    <n v="254"/>
    <n v="191"/>
    <n v="28067"/>
    <n v="14978"/>
    <n v="43045"/>
  </r>
  <r>
    <s v="54"/>
    <s v="10546"/>
    <s v="6119291"/>
    <s v="0395"/>
    <s v="D"/>
    <s v="Eleanor Roosevelt Community Learning Center"/>
    <x v="1"/>
    <s v="Eleanor Roosevelt Community Learning Center"/>
    <s v="54 10546 6119291"/>
    <n v="0.441"/>
    <n v="1"/>
    <n v="390"/>
    <n v="172"/>
    <n v="43096"/>
    <n v="13488"/>
    <n v="56584"/>
  </r>
  <r>
    <s v="54"/>
    <s v="71795"/>
    <s v="0000000"/>
    <s v="N/A"/>
    <s v="N/A"/>
    <s v="Allensworth Elementary"/>
    <x v="3"/>
    <s v="Allensworth Elementary"/>
    <s v="54 71795 6053839"/>
    <n v="1"/>
    <n v="2"/>
    <n v="91"/>
    <n v="91"/>
    <n v="10056"/>
    <n v="7136"/>
    <n v="17192"/>
  </r>
  <r>
    <s v="54"/>
    <s v="71803"/>
    <s v="0000000"/>
    <s v="N/A"/>
    <s v="N/A"/>
    <s v="Alpaugh Unified"/>
    <x v="3"/>
    <s v="Alpaugh Elementary"/>
    <s v="54 71803 6053847"/>
    <n v="0.84130000000000005"/>
    <n v="3"/>
    <n v="395"/>
    <n v="332"/>
    <n v="43649"/>
    <n v="26035"/>
    <n v="69684"/>
  </r>
  <r>
    <s v="54"/>
    <s v="71803"/>
    <s v="0112458"/>
    <s v="0804"/>
    <s v="D"/>
    <s v="California Connections Academy Central Valley"/>
    <x v="1"/>
    <s v="California Connections Academy Central Valley"/>
    <s v="54 71803 0112458"/>
    <n v="0.65090000000000003"/>
    <n v="1"/>
    <n v="696"/>
    <n v="453"/>
    <n v="76909"/>
    <n v="35524"/>
    <n v="112433"/>
  </r>
  <r>
    <s v="54"/>
    <s v="71811"/>
    <s v="0000000"/>
    <s v="N/A"/>
    <s v="N/A"/>
    <s v="Alta Vista Elementary"/>
    <x v="3"/>
    <s v="Alta Vista Elementary"/>
    <s v="54 71811 6053854"/>
    <n v="0.91310000000000002"/>
    <n v="2"/>
    <n v="514"/>
    <n v="470"/>
    <n v="56798"/>
    <n v="36857"/>
    <n v="93655"/>
  </r>
  <r>
    <s v="54"/>
    <s v="71811"/>
    <s v="0139477"/>
    <s v="2057"/>
    <s v="D"/>
    <s v="Monarch River Academy"/>
    <x v="1"/>
    <s v="Monarch River Academy"/>
    <s v="54 71811 0139477"/>
    <n v="0.45329999999999998"/>
    <n v="1"/>
    <n v="1125"/>
    <n v="510"/>
    <n v="124314"/>
    <n v="39994"/>
    <n v="164308"/>
  </r>
  <r>
    <s v="54"/>
    <s v="71829"/>
    <s v="0000000"/>
    <s v="N/A"/>
    <s v="N/A"/>
    <s v="Buena Vista Elementary"/>
    <x v="3"/>
    <s v="Buena Vista Elementary"/>
    <s v="54 71829 6053862"/>
    <n v="0.73099999999999998"/>
    <n v="2"/>
    <n v="197"/>
    <n v="144"/>
    <n v="21769"/>
    <n v="11292"/>
    <n v="33061"/>
  </r>
  <r>
    <s v="54"/>
    <s v="71837"/>
    <s v="0000000"/>
    <s v="N/A"/>
    <s v="N/A"/>
    <s v="Burton Elementary"/>
    <x v="3"/>
    <s v="Jim Maples Academy"/>
    <s v="54 71837 6120232"/>
    <n v="0.86280000000000001"/>
    <n v="7"/>
    <n v="2488"/>
    <n v="1964"/>
    <n v="274928"/>
    <n v="154015"/>
    <n v="428943"/>
  </r>
  <r>
    <s v="54"/>
    <s v="71837"/>
    <s v="0109009"/>
    <s v="0690"/>
    <s v="L"/>
    <s v="Summit Charter Academy"/>
    <x v="1"/>
    <s v="Summit Charter Academy"/>
    <s v="54 71837 0109009"/>
    <n v="0.58789999999999998"/>
    <n v="1"/>
    <n v="2378"/>
    <n v="1398"/>
    <n v="262773"/>
    <n v="109630"/>
    <n v="372403"/>
  </r>
  <r>
    <s v="54"/>
    <s v="71852"/>
    <s v="0000000"/>
    <s v="N/A"/>
    <s v="N/A"/>
    <s v="Columbine Elementary"/>
    <x v="3"/>
    <s v="Columbine Elementary"/>
    <s v="54 71852 6053896"/>
    <n v="0.5081"/>
    <n v="2"/>
    <n v="185"/>
    <n v="94"/>
    <n v="20443"/>
    <n v="7371"/>
    <n v="27814"/>
  </r>
  <r>
    <s v="54"/>
    <s v="71860"/>
    <s v="0000000"/>
    <s v="N/A"/>
    <s v="N/A"/>
    <s v="Cutler-Orosi Joint Unified"/>
    <x v="3"/>
    <s v="Cutler Elementary"/>
    <s v="54 71860 6053904"/>
    <n v="0.96879999999999999"/>
    <n v="9"/>
    <n v="4073"/>
    <n v="3885"/>
    <n v="450075"/>
    <n v="304658"/>
    <n v="754733"/>
  </r>
  <r>
    <s v="54"/>
    <s v="71894"/>
    <s v="0000000"/>
    <s v="N/A"/>
    <s v="N/A"/>
    <s v="Ducor Union Elementary"/>
    <x v="3"/>
    <s v="Ducor Union Elementary"/>
    <s v="54 71894 6054019"/>
    <n v="0.60870000000000002"/>
    <n v="2"/>
    <n v="138"/>
    <n v="84"/>
    <n v="15249"/>
    <n v="6587"/>
    <n v="21836"/>
  </r>
  <r>
    <s v="54"/>
    <s v="71902"/>
    <s v="0000000"/>
    <s v="N/A"/>
    <s v="N/A"/>
    <s v="Earlimart Elementary"/>
    <x v="3"/>
    <s v="Alila"/>
    <s v="54 71902 5430335"/>
    <n v="0.90859999999999996"/>
    <n v="4"/>
    <n v="1473"/>
    <n v="1361"/>
    <n v="162769"/>
    <n v="106727"/>
    <n v="269496"/>
  </r>
  <r>
    <s v="54"/>
    <s v="71944"/>
    <s v="0000000"/>
    <s v="N/A"/>
    <s v="N/A"/>
    <s v="Hope Elementary"/>
    <x v="3"/>
    <s v="Hope Elementary"/>
    <s v="54 71944 6054092"/>
    <n v="0.66810000000000003"/>
    <n v="2"/>
    <n v="229"/>
    <n v="153"/>
    <n v="25305"/>
    <n v="11998"/>
    <n v="37303"/>
  </r>
  <r>
    <s v="54"/>
    <s v="71951"/>
    <s v="0000000"/>
    <s v="N/A"/>
    <s v="N/A"/>
    <s v="Hot Springs Elementary"/>
    <x v="3"/>
    <s v="Hot Springs Elementary"/>
    <s v="54 71951 6054100"/>
    <n v="0.92310000000000003"/>
    <n v="2"/>
    <n v="13"/>
    <n v="12"/>
    <n v="1437"/>
    <n v="941"/>
    <n v="2378"/>
  </r>
  <r>
    <s v="54"/>
    <s v="71969"/>
    <s v="0000000"/>
    <s v="N/A"/>
    <s v="N/A"/>
    <s v="Kings River Union Elementary"/>
    <x v="3"/>
    <s v="Kings River Elementary"/>
    <s v="54 71969 6054126"/>
    <n v="0.88149999999999995"/>
    <n v="2"/>
    <n v="407"/>
    <n v="359"/>
    <n v="44974"/>
    <n v="28152"/>
    <n v="73126"/>
  </r>
  <r>
    <s v="54"/>
    <s v="71985"/>
    <s v="0000000"/>
    <s v="N/A"/>
    <s v="N/A"/>
    <s v="Liberty Elementary"/>
    <x v="3"/>
    <s v="Liberty Elementary"/>
    <s v="54 71985 6054134"/>
    <n v="0.40849999999999997"/>
    <n v="2"/>
    <n v="781"/>
    <n v="319"/>
    <n v="86302"/>
    <n v="25016"/>
    <n v="111318"/>
  </r>
  <r>
    <s v="54"/>
    <s v="71993"/>
    <s v="0000000"/>
    <s v="N/A"/>
    <s v="N/A"/>
    <s v="Lindsay Unified"/>
    <x v="3"/>
    <s v="Jefferson Elementary"/>
    <s v="54 71993 6054142"/>
    <n v="0.90359999999999996"/>
    <n v="11"/>
    <n v="4363"/>
    <n v="3783"/>
    <n v="482120"/>
    <n v="296658"/>
    <n v="778778"/>
  </r>
  <r>
    <s v="54"/>
    <s v="71993"/>
    <s v="0124776"/>
    <s v="1329"/>
    <s v="L"/>
    <s v="Loma Vista Charter"/>
    <x v="1"/>
    <s v="Loma Vista Charter"/>
    <s v="54 71993 0124776"/>
    <n v="0.875"/>
    <n v="1"/>
    <n v="32"/>
    <n v="28"/>
    <n v="3536"/>
    <n v="2196"/>
    <n v="5732"/>
  </r>
  <r>
    <s v="54"/>
    <s v="72009"/>
    <s v="0000000"/>
    <s v="N/A"/>
    <s v="N/A"/>
    <s v="Monson-Sultana Joint Union Elementary"/>
    <x v="3"/>
    <s v="Monson-Sultana Elementary"/>
    <s v="54 72009 6054167"/>
    <n v="0.84379999999999999"/>
    <n v="2"/>
    <n v="430"/>
    <n v="363"/>
    <n v="47516"/>
    <n v="28466"/>
    <n v="75982"/>
  </r>
  <r>
    <s v="54"/>
    <s v="72017"/>
    <s v="0000000"/>
    <s v="N/A"/>
    <s v="N/A"/>
    <s v="Oak Valley Union Elementary"/>
    <x v="3"/>
    <s v="Oak Valley Elementary"/>
    <s v="54 72017 6054175"/>
    <n v="0.70050000000000001"/>
    <n v="2"/>
    <n v="571"/>
    <n v="400"/>
    <n v="63096"/>
    <n v="31368"/>
    <n v="94464"/>
  </r>
  <r>
    <s v="54"/>
    <s v="72025"/>
    <s v="0000000"/>
    <s v="N/A"/>
    <s v="N/A"/>
    <s v="Outside Creek Elementary"/>
    <x v="3"/>
    <s v="Outside Creek Elementary"/>
    <s v="54 72025 6054183"/>
    <n v="0.58460000000000001"/>
    <n v="2"/>
    <n v="132"/>
    <n v="77"/>
    <n v="14586"/>
    <n v="6038"/>
    <n v="20624"/>
  </r>
  <r>
    <s v="54"/>
    <s v="72033"/>
    <s v="0000000"/>
    <s v="N/A"/>
    <s v="N/A"/>
    <s v="Palo Verde Union Elementary"/>
    <x v="3"/>
    <s v="Palo Verde Elementary"/>
    <s v="54 72033 6054191"/>
    <n v="0.53910000000000002"/>
    <n v="2"/>
    <n v="524"/>
    <n v="282"/>
    <n v="57903"/>
    <n v="22114"/>
    <n v="80017"/>
  </r>
  <r>
    <s v="54"/>
    <s v="72041"/>
    <s v="0000000"/>
    <s v="N/A"/>
    <s v="N/A"/>
    <s v="Pixley Union Elementary"/>
    <x v="3"/>
    <s v="Pixley Elementary"/>
    <s v="54 72041 6054209"/>
    <n v="0.9617"/>
    <n v="3"/>
    <n v="880"/>
    <n v="850"/>
    <n v="97242"/>
    <n v="66656"/>
    <n v="163898"/>
  </r>
  <r>
    <s v="54"/>
    <s v="72058"/>
    <s v="0000000"/>
    <s v="N/A"/>
    <s v="N/A"/>
    <s v="Pleasant View Elementary"/>
    <x v="3"/>
    <s v="Pleasant View Elementary"/>
    <s v="54 72058 6054217"/>
    <n v="0.87170000000000003"/>
    <n v="3"/>
    <n v="415"/>
    <n v="362"/>
    <n v="45858"/>
    <n v="28388"/>
    <n v="74246"/>
  </r>
  <r>
    <s v="54"/>
    <s v="72082"/>
    <s v="0000000"/>
    <s v="N/A"/>
    <s v="N/A"/>
    <s v="Richgrove Elementary"/>
    <x v="3"/>
    <s v="Richgrove Elementary"/>
    <s v="54 72082 6114672"/>
    <n v="0.93500000000000005"/>
    <n v="2"/>
    <n v="552"/>
    <n v="516"/>
    <n v="60997"/>
    <n v="40465"/>
    <n v="101462"/>
  </r>
  <r>
    <s v="54"/>
    <s v="72090"/>
    <s v="0000000"/>
    <s v="N/A"/>
    <s v="N/A"/>
    <s v="Rockford Elementary"/>
    <x v="3"/>
    <s v="Rockford Elementary"/>
    <s v="54 72090 6054324"/>
    <n v="0.62580000000000002"/>
    <n v="2"/>
    <n v="311"/>
    <n v="195"/>
    <n v="34367"/>
    <n v="15291"/>
    <n v="49658"/>
  </r>
  <r>
    <s v="54"/>
    <s v="72108"/>
    <s v="0000000"/>
    <s v="N/A"/>
    <s v="N/A"/>
    <s v="Saucelito Elementary"/>
    <x v="3"/>
    <s v="Saucelito Elementary"/>
    <s v="54 72108 6054332"/>
    <n v="0.88060000000000005"/>
    <n v="2"/>
    <n v="67"/>
    <n v="59"/>
    <n v="7404"/>
    <n v="4627"/>
    <n v="12031"/>
  </r>
  <r>
    <s v="54"/>
    <s v="72116"/>
    <s v="0000000"/>
    <s v="N/A"/>
    <s v="N/A"/>
    <s v="Sequoia Union Elementary"/>
    <x v="3"/>
    <s v="Allensworth Elementary"/>
    <s v="54 71795 6053839"/>
    <n v="1"/>
    <n v="2"/>
    <n v="41"/>
    <n v="15"/>
    <n v="4531"/>
    <n v="1176"/>
    <n v="5707"/>
  </r>
  <r>
    <s v="54"/>
    <s v="72116"/>
    <s v="6054340"/>
    <s v="1829"/>
    <s v="L"/>
    <s v="Sequoia Elementary Charter"/>
    <x v="1"/>
    <s v="Sequoia Elementary Charter"/>
    <s v="54 72116 6054340"/>
    <n v="0.43559999999999999"/>
    <n v="1"/>
    <n v="327"/>
    <n v="142"/>
    <n v="36134"/>
    <n v="11135"/>
    <n v="47269"/>
  </r>
  <r>
    <s v="54"/>
    <s v="72132"/>
    <s v="0000000"/>
    <s v="N/A"/>
    <s v="N/A"/>
    <s v="Springville Union Elementary"/>
    <x v="3"/>
    <s v="Springville Elementary"/>
    <s v="54 72132 6054365"/>
    <n v="0.59570000000000001"/>
    <n v="2"/>
    <n v="329"/>
    <n v="196"/>
    <n v="36355"/>
    <n v="15370"/>
    <n v="51725"/>
  </r>
  <r>
    <s v="54"/>
    <s v="72140"/>
    <s v="0000000"/>
    <s v="N/A"/>
    <s v="N/A"/>
    <s v="Stone Corral Elementary"/>
    <x v="3"/>
    <s v="Stone Corral Elementary"/>
    <s v="54 72140 6054373"/>
    <n v="0.98280000000000001"/>
    <n v="2"/>
    <n v="116"/>
    <n v="114"/>
    <n v="12818"/>
    <n v="8940"/>
    <n v="21758"/>
  </r>
  <r>
    <s v="54"/>
    <s v="72140"/>
    <s v="0136507"/>
    <s v="1894"/>
    <s v="D"/>
    <s v="Crescent Valley Public Charter II"/>
    <x v="1"/>
    <s v="Crescent Valley Public Charter II"/>
    <s v="54 72140 0136507"/>
    <n v="0.87629999999999997"/>
    <n v="1"/>
    <n v="663"/>
    <n v="581"/>
    <n v="73263"/>
    <n v="45561"/>
    <n v="118824"/>
  </r>
  <r>
    <s v="54"/>
    <s v="72157"/>
    <s v="0000000"/>
    <s v="N/A"/>
    <s v="N/A"/>
    <s v="Strathmore Union Elementary"/>
    <x v="3"/>
    <s v="Strathmore Elementary"/>
    <s v="54 72157 0114595"/>
    <n v="0.95020000000000004"/>
    <n v="3"/>
    <n v="739"/>
    <n v="702"/>
    <n v="81661"/>
    <n v="55050"/>
    <n v="136711"/>
  </r>
  <r>
    <s v="54"/>
    <s v="72173"/>
    <s v="0000000"/>
    <s v="N/A"/>
    <s v="N/A"/>
    <s v="Sundale Union Elementary"/>
    <x v="3"/>
    <s v="Sundale Elementary"/>
    <s v="54 72173 6054399"/>
    <n v="0.35070000000000001"/>
    <n v="2"/>
    <n v="831"/>
    <n v="291"/>
    <n v="91827"/>
    <n v="22820"/>
    <n v="114647"/>
  </r>
  <r>
    <s v="54"/>
    <s v="72181"/>
    <s v="0000000"/>
    <s v="N/A"/>
    <s v="N/A"/>
    <s v="Sunnyside Union Elementary"/>
    <x v="3"/>
    <s v="Sunnyside Elementary"/>
    <s v="54 72181 6054407"/>
    <n v="0.82189999999999996"/>
    <n v="2"/>
    <n v="345"/>
    <n v="284"/>
    <n v="38123"/>
    <n v="22271"/>
    <n v="60394"/>
  </r>
  <r>
    <s v="54"/>
    <s v="72199"/>
    <s v="0000000"/>
    <s v="N/A"/>
    <s v="N/A"/>
    <s v="Terra Bella Union Elementary"/>
    <x v="3"/>
    <s v="Terra Bella Elementary"/>
    <s v="54 72199 6054415"/>
    <n v="0.94299999999999995"/>
    <n v="3"/>
    <n v="741"/>
    <n v="697"/>
    <n v="81882"/>
    <n v="54658"/>
    <n v="136540"/>
  </r>
  <r>
    <s v="54"/>
    <s v="72207"/>
    <s v="0000000"/>
    <s v="N/A"/>
    <s v="N/A"/>
    <s v="Three Rivers Union Elementary"/>
    <x v="3"/>
    <s v="Three Rivers Elementary"/>
    <s v="54 72207 6054423"/>
    <n v="0.44209999999999999"/>
    <n v="2"/>
    <n v="95"/>
    <n v="42"/>
    <n v="10498"/>
    <n v="3294"/>
    <n v="13792"/>
  </r>
  <r>
    <s v="54"/>
    <s v="72215"/>
    <s v="0000000"/>
    <s v="N/A"/>
    <s v="N/A"/>
    <s v="Tipton Elementary"/>
    <x v="3"/>
    <s v="Tipton Elementary"/>
    <s v="54 72215 6054431"/>
    <n v="0.88629999999999998"/>
    <n v="2"/>
    <n v="524"/>
    <n v="464"/>
    <n v="57903"/>
    <n v="36386"/>
    <n v="94289"/>
  </r>
  <r>
    <s v="54"/>
    <s v="72223"/>
    <s v="0000000"/>
    <s v="N/A"/>
    <s v="N/A"/>
    <s v="Traver Joint Elementary"/>
    <x v="3"/>
    <s v="Traver Elementary"/>
    <s v="54 72223 6054449"/>
    <n v="0.89290000000000003"/>
    <n v="2"/>
    <n v="224"/>
    <n v="200"/>
    <n v="24752"/>
    <n v="15684"/>
    <n v="40436"/>
  </r>
  <r>
    <s v="54"/>
    <s v="72231"/>
    <s v="0000000"/>
    <s v="N/A"/>
    <s v="N/A"/>
    <s v="Tulare City"/>
    <x v="3"/>
    <s v="Lincoln Elementary"/>
    <s v="54 72231 6054498"/>
    <n v="0.93440000000000001"/>
    <n v="19"/>
    <n v="9538"/>
    <n v="7596"/>
    <n v="1053965"/>
    <n v="595669"/>
    <n v="1649634"/>
  </r>
  <r>
    <s v="54"/>
    <s v="72249"/>
    <s v="0000000"/>
    <s v="N/A"/>
    <s v="N/A"/>
    <s v="Tulare Joint Union High"/>
    <x v="3"/>
    <s v="Allensworth Elementary"/>
    <s v="54 71795 6053839"/>
    <n v="1"/>
    <n v="6"/>
    <n v="5376"/>
    <n v="4099"/>
    <n v="594057"/>
    <n v="321440"/>
    <n v="915497"/>
  </r>
  <r>
    <s v="54"/>
    <s v="72249"/>
    <s v="0130708"/>
    <s v="1664"/>
    <s v="L"/>
    <s v="Sierra Vista Charter high"/>
    <x v="1"/>
    <s v="Allensworth Elementary"/>
    <s v="54 71795 6053839"/>
    <n v="1"/>
    <n v="1"/>
    <n v="197"/>
    <n v="170"/>
    <n v="21769"/>
    <n v="13331"/>
    <n v="35100"/>
  </r>
  <r>
    <s v="54"/>
    <s v="72249"/>
    <s v="0133793"/>
    <s v="1781"/>
    <s v="L"/>
    <s v="Accelerated Charter High"/>
    <x v="1"/>
    <s v="Allensworth Elementary"/>
    <s v="54 71795 6053839"/>
    <n v="1"/>
    <n v="1"/>
    <n v="172"/>
    <n v="165"/>
    <n v="19006"/>
    <n v="12939"/>
    <n v="31945"/>
  </r>
  <r>
    <s v="54"/>
    <s v="72256"/>
    <s v="0000000"/>
    <s v="N/A"/>
    <s v="N/A"/>
    <s v="Visalia Unified"/>
    <x v="3"/>
    <s v="Highland Elementary"/>
    <s v="54 72256 6054613"/>
    <n v="0.92810000000000004"/>
    <n v="38"/>
    <n v="28367"/>
    <n v="19051"/>
    <n v="3134601"/>
    <n v="1493959"/>
    <n v="4628560"/>
  </r>
  <r>
    <s v="54"/>
    <s v="72256"/>
    <s v="0109751"/>
    <s v="0720"/>
    <s v="L"/>
    <s v="Visalia Charter Independent Study"/>
    <x v="1"/>
    <s v="Allensworth Elementary"/>
    <s v="54 71795 6053839"/>
    <n v="1"/>
    <n v="1"/>
    <n v="597"/>
    <n v="421"/>
    <n v="65969"/>
    <n v="33014"/>
    <n v="98983"/>
  </r>
  <r>
    <s v="54"/>
    <s v="72256"/>
    <s v="0120659"/>
    <s v="1128"/>
    <s v="L"/>
    <s v="Visalia Technical Early College"/>
    <x v="1"/>
    <s v="Allensworth Elementary"/>
    <s v="54 71795 6053839"/>
    <n v="1"/>
    <n v="1"/>
    <n v="235"/>
    <n v="131"/>
    <n v="25968"/>
    <n v="10273"/>
    <n v="36241"/>
  </r>
  <r>
    <s v="54"/>
    <s v="72256"/>
    <s v="0135863"/>
    <s v="1870"/>
    <s v="L"/>
    <s v="Global Learning Charter School"/>
    <x v="1"/>
    <s v="Global Learning Charter School"/>
    <s v="54 72256 0135863"/>
    <n v="0.81120000000000003"/>
    <n v="1"/>
    <n v="430"/>
    <n v="349"/>
    <n v="47516"/>
    <n v="27368"/>
    <n v="74884"/>
  </r>
  <r>
    <s v="54"/>
    <s v="72256"/>
    <s v="6116909"/>
    <s v="0250"/>
    <s v="L"/>
    <s v="Charter Home School Academy"/>
    <x v="1"/>
    <s v="Charter Home School Academy"/>
    <s v="54 72256 6116909"/>
    <n v="0.745"/>
    <n v="1"/>
    <n v="149"/>
    <n v="111"/>
    <n v="16465"/>
    <n v="8705"/>
    <n v="25170"/>
  </r>
  <r>
    <s v="54"/>
    <s v="72264"/>
    <s v="0000000"/>
    <s v="N/A"/>
    <s v="N/A"/>
    <s v="Waukena Joint Union Elementary"/>
    <x v="3"/>
    <s v="Waukena Joint Union Elementary"/>
    <s v="54 72264 6054753"/>
    <n v="0.77569999999999995"/>
    <n v="2"/>
    <n v="217"/>
    <n v="168"/>
    <n v="23979"/>
    <n v="13174"/>
    <n v="37153"/>
  </r>
  <r>
    <s v="54"/>
    <s v="72298"/>
    <s v="0000000"/>
    <s v="N/A"/>
    <s v="N/A"/>
    <s v="Woodville Union Elementary"/>
    <x v="3"/>
    <s v="Woodville Elementary"/>
    <s v="54 72298 6054779"/>
    <n v="0.83540000000000003"/>
    <n v="2"/>
    <n v="413"/>
    <n v="345"/>
    <n v="45637"/>
    <n v="27055"/>
    <n v="72692"/>
  </r>
  <r>
    <s v="54"/>
    <s v="75325"/>
    <s v="0000000"/>
    <s v="N/A"/>
    <s v="N/A"/>
    <s v="Farmersville Unified"/>
    <x v="3"/>
    <s v="George L. Snowden Elementary"/>
    <s v="54 75325 6054076"/>
    <n v="0.91149999999999998"/>
    <n v="7"/>
    <n v="2463"/>
    <n v="2092"/>
    <n v="272166"/>
    <n v="164053"/>
    <n v="436219"/>
  </r>
  <r>
    <s v="54"/>
    <s v="75523"/>
    <s v="0000000"/>
    <s v="N/A"/>
    <s v="N/A"/>
    <s v="Porterville Unified"/>
    <x v="3"/>
    <s v="John J. Doyle Elementary"/>
    <s v="54 75523 6054241"/>
    <n v="0.95120000000000005"/>
    <n v="20"/>
    <n v="13649"/>
    <n v="11655"/>
    <n v="1508236"/>
    <n v="913973"/>
    <n v="2422209"/>
  </r>
  <r>
    <s v="54"/>
    <s v="75523"/>
    <s v="0114348"/>
    <s v="0867"/>
    <s v="L"/>
    <s v="Butterfield Charter"/>
    <x v="1"/>
    <s v="Butterfield Charter"/>
    <s v="54 75523 0114348"/>
    <n v="0.86460000000000004"/>
    <n v="1"/>
    <n v="384"/>
    <n v="332"/>
    <n v="42433"/>
    <n v="26035"/>
    <n v="68468"/>
  </r>
  <r>
    <s v="54"/>
    <s v="75523"/>
    <s v="0116590"/>
    <s v="0970"/>
    <s v="L"/>
    <s v="Harmony Magnet Academy"/>
    <x v="1"/>
    <s v="Allensworth Elementary"/>
    <s v="54 71795 6053839"/>
    <n v="1"/>
    <n v="1"/>
    <n v="510"/>
    <n v="343"/>
    <n v="56356"/>
    <n v="26898"/>
    <n v="83254"/>
  </r>
  <r>
    <s v="54"/>
    <s v="75523"/>
    <s v="0137968"/>
    <s v="1956"/>
    <s v="L"/>
    <s v="Porterville Military Academy"/>
    <x v="1"/>
    <s v="Allensworth Elementary"/>
    <s v="54 71795 6053839"/>
    <n v="1"/>
    <n v="1"/>
    <n v="288"/>
    <n v="245"/>
    <n v="31824"/>
    <n v="19213"/>
    <n v="51037"/>
  </r>
  <r>
    <s v="54"/>
    <s v="75531"/>
    <s v="0000000"/>
    <s v="N/A"/>
    <s v="N/A"/>
    <s v="Dinuba Unified"/>
    <x v="3"/>
    <s v="John F. Kennedy Elementary"/>
    <s v="54 75531 0102707"/>
    <n v="0.81979999999999997"/>
    <n v="11"/>
    <n v="6494"/>
    <n v="5128"/>
    <n v="717598"/>
    <n v="402132"/>
    <n v="1119730"/>
  </r>
  <r>
    <s v="54"/>
    <s v="76794"/>
    <s v="0000000"/>
    <s v="N/A"/>
    <s v="N/A"/>
    <s v="Woodlake Unified"/>
    <x v="3"/>
    <s v="Castle Rock Elementary"/>
    <s v="54 76794 6108286"/>
    <n v="0.9224"/>
    <n v="7"/>
    <n v="2195"/>
    <n v="1967"/>
    <n v="242551"/>
    <n v="154250"/>
    <n v="396801"/>
  </r>
  <r>
    <s v="54"/>
    <s v="76836"/>
    <s v="0000000"/>
    <s v="N/A"/>
    <s v="N/A"/>
    <s v="Exeter Unified"/>
    <x v="3"/>
    <s v="Lincoln Elementary"/>
    <s v="54 76836 6054043"/>
    <n v="0.75819999999999999"/>
    <n v="8"/>
    <n v="2761"/>
    <n v="1880"/>
    <n v="305095"/>
    <n v="147427"/>
    <n v="452522"/>
  </r>
  <r>
    <s v="55"/>
    <s v="10553"/>
    <s v="0000000"/>
    <s v="N/A"/>
    <s v="N/A"/>
    <s v="Tuolumne County Superintendent of Schools"/>
    <x v="0"/>
    <s v="Jamestown Elementary"/>
    <s v="55 72363 6054902"/>
    <n v="0.75429999999999997"/>
    <n v="5"/>
    <n v="91"/>
    <n v="61"/>
    <n v="10057"/>
    <n v="4782"/>
    <n v="14839"/>
  </r>
  <r>
    <s v="55"/>
    <s v="72306"/>
    <s v="0000000"/>
    <s v="N/A"/>
    <s v="N/A"/>
    <s v="Belleview Elementary"/>
    <x v="3"/>
    <s v="Belleview Elementary"/>
    <s v="55 72306 6054829"/>
    <n v="0.47399999999999998"/>
    <n v="3"/>
    <n v="185"/>
    <n v="88"/>
    <n v="20443"/>
    <n v="6901"/>
    <n v="27344"/>
  </r>
  <r>
    <s v="55"/>
    <s v="72348"/>
    <s v="0000000"/>
    <s v="N/A"/>
    <s v="N/A"/>
    <s v="Columbia Union"/>
    <x v="3"/>
    <s v="Columbia Elementary"/>
    <s v="55 72348 6054860"/>
    <n v="0.55149999999999999"/>
    <n v="2"/>
    <n v="443"/>
    <n v="245"/>
    <n v="48953"/>
    <n v="19213"/>
    <n v="68166"/>
  </r>
  <r>
    <s v="55"/>
    <s v="72355"/>
    <s v="0000000"/>
    <s v="N/A"/>
    <s v="N/A"/>
    <s v="Curtis Creek Elementary"/>
    <x v="3"/>
    <s v="Curtis Creek Elementary"/>
    <s v="55 72355 6054894"/>
    <n v="0.53639999999999999"/>
    <n v="2"/>
    <n v="440"/>
    <n v="236"/>
    <n v="48621"/>
    <n v="18507"/>
    <n v="67128"/>
  </r>
  <r>
    <s v="55"/>
    <s v="72363"/>
    <s v="0000000"/>
    <s v="N/A"/>
    <s v="N/A"/>
    <s v="Jamestown Elementary"/>
    <x v="3"/>
    <s v="Jamestown Elementary"/>
    <s v="55 72363 6054902"/>
    <n v="0.75429999999999997"/>
    <n v="3"/>
    <n v="380"/>
    <n v="278"/>
    <n v="41991"/>
    <n v="21801"/>
    <n v="63792"/>
  </r>
  <r>
    <s v="55"/>
    <s v="72371"/>
    <s v="0000000"/>
    <s v="N/A"/>
    <s v="N/A"/>
    <s v="Sonora Elementary"/>
    <x v="3"/>
    <s v="Sonora Elementary"/>
    <s v="55 72371 6054910"/>
    <n v="0.43369999999999997"/>
    <n v="3"/>
    <n v="724"/>
    <n v="314"/>
    <n v="80003"/>
    <n v="24624"/>
    <n v="104627"/>
  </r>
  <r>
    <s v="55"/>
    <s v="72389"/>
    <s v="0000000"/>
    <s v="N/A"/>
    <s v="N/A"/>
    <s v="Sonora Union High"/>
    <x v="3"/>
    <s v="Jamestown Elementary"/>
    <s v="55 72363 6054902"/>
    <n v="0.75429999999999997"/>
    <n v="4"/>
    <n v="1087"/>
    <n v="424"/>
    <n v="120115"/>
    <n v="33250"/>
    <n v="153365"/>
  </r>
  <r>
    <s v="55"/>
    <s v="72397"/>
    <s v="0000000"/>
    <s v="N/A"/>
    <s v="N/A"/>
    <s v="Soulsbyville Elementary"/>
    <x v="3"/>
    <s v="Soulsbyville Elementary"/>
    <s v="55 72397 6054928"/>
    <n v="0.44009999999999999"/>
    <n v="3"/>
    <n v="484"/>
    <n v="213"/>
    <n v="53483"/>
    <n v="16703"/>
    <n v="70186"/>
  </r>
  <r>
    <s v="55"/>
    <s v="72405"/>
    <s v="0000000"/>
    <s v="N/A"/>
    <s v="N/A"/>
    <s v="Summerville Elementary"/>
    <x v="3"/>
    <s v="Summerville Elementary"/>
    <s v="55 72405 6054936"/>
    <n v="0.55769999999999997"/>
    <n v="2"/>
    <n v="416"/>
    <n v="232"/>
    <n v="45969"/>
    <n v="18193"/>
    <n v="64162"/>
  </r>
  <r>
    <s v="55"/>
    <s v="72413"/>
    <s v="0000000"/>
    <s v="N/A"/>
    <s v="N/A"/>
    <s v="Summerville Union High"/>
    <x v="3"/>
    <s v="Jamestown Elementary"/>
    <s v="55 72363 6054902"/>
    <n v="0.75429999999999997"/>
    <n v="6"/>
    <n v="473"/>
    <n v="231"/>
    <n v="52268"/>
    <n v="18115"/>
    <n v="70383"/>
  </r>
  <r>
    <s v="55"/>
    <s v="72413"/>
    <s v="0112276"/>
    <s v="0807"/>
    <s v="D"/>
    <s v="Gold Rush Home Study Charter"/>
    <x v="1"/>
    <s v="Gold Rush Home Study Charter"/>
    <s v="55 72413 0112276"/>
    <n v="0.42309999999999998"/>
    <n v="1"/>
    <n v="416"/>
    <n v="176"/>
    <n v="45969"/>
    <n v="13802"/>
    <n v="59771"/>
  </r>
  <r>
    <s v="55"/>
    <s v="72413"/>
    <s v="5530191"/>
    <s v="0408"/>
    <s v="L"/>
    <s v="Connections Visual and Performing Arts Academy"/>
    <x v="1"/>
    <s v="Jamestown Elementary"/>
    <s v="55 72363 6054902"/>
    <n v="0.75429999999999997"/>
    <n v="1"/>
    <n v="194"/>
    <n v="74"/>
    <n v="21437"/>
    <n v="5803"/>
    <n v="27240"/>
  </r>
  <r>
    <s v="55"/>
    <s v="72421"/>
    <s v="0000000"/>
    <s v="N/A"/>
    <s v="N/A"/>
    <s v="Twain Harte"/>
    <x v="3"/>
    <s v="Twain Harte"/>
    <s v="55 72421 6115018"/>
    <n v="0.55910000000000004"/>
    <n v="3"/>
    <n v="255"/>
    <n v="143"/>
    <n v="28178"/>
    <n v="11214"/>
    <n v="39392"/>
  </r>
  <r>
    <s v="55"/>
    <s v="75184"/>
    <s v="0000000"/>
    <s v="N/A"/>
    <s v="N/A"/>
    <s v="Big Oak Flat-Groveland Unified"/>
    <x v="3"/>
    <s v="Tenaya Elementary"/>
    <s v="55 75184 6054837"/>
    <n v="0.58099999999999996"/>
    <n v="4"/>
    <n v="276"/>
    <n v="136"/>
    <n v="30499"/>
    <n v="10665"/>
    <n v="41164"/>
  </r>
  <r>
    <s v="56"/>
    <s v="10561"/>
    <s v="0000000"/>
    <s v="N/A"/>
    <s v="N/A"/>
    <s v="Ventura Co. Office of Education"/>
    <x v="0"/>
    <s v="Art Haycox Elementary"/>
    <s v="56 72462 6055024"/>
    <n v="0.96970000000000001"/>
    <n v="6"/>
    <n v="658"/>
    <n v="322"/>
    <n v="72711"/>
    <n v="25251"/>
    <n v="97962"/>
  </r>
  <r>
    <s v="56"/>
    <s v="10561"/>
    <s v="0109900"/>
    <s v="0735"/>
    <s v="D"/>
    <s v="Vista Real Charter High"/>
    <x v="1"/>
    <s v="Art Haycox Elementary"/>
    <s v="56 72462 6055024"/>
    <n v="0.96970000000000001"/>
    <n v="1"/>
    <n v="1311"/>
    <n v="1051"/>
    <n v="144868"/>
    <n v="82418"/>
    <n v="227286"/>
  </r>
  <r>
    <s v="56"/>
    <s v="10561"/>
    <s v="0112417"/>
    <s v="0805"/>
    <s v="D"/>
    <s v="Ventura Charter School of Arts and Global Education"/>
    <x v="1"/>
    <s v="Ventura Charter School of Arts and Global Education"/>
    <s v="56 10561 0112417"/>
    <n v="0.35270000000000001"/>
    <n v="1"/>
    <n v="431"/>
    <n v="152"/>
    <n v="47626"/>
    <n v="11920"/>
    <n v="59546"/>
  </r>
  <r>
    <s v="56"/>
    <s v="10561"/>
    <s v="0121756"/>
    <s v="1203"/>
    <s v="D"/>
    <s v="BRIDGES Charter"/>
    <x v="1"/>
    <s v="BRIDGES Charter"/>
    <s v="56 10561 0121756"/>
    <n v="0.18229999999999999"/>
    <n v="1"/>
    <n v="351"/>
    <n v="64"/>
    <n v="38786"/>
    <n v="5019"/>
    <n v="43805"/>
  </r>
  <r>
    <s v="56"/>
    <s v="10561"/>
    <s v="0122713"/>
    <s v="1256"/>
    <s v="D"/>
    <s v="River Oaks Academy"/>
    <x v="1"/>
    <s v="River Oaks Academy"/>
    <s v="56 10561 0122713"/>
    <n v="0.24479999999999999"/>
    <n v="1"/>
    <n v="339"/>
    <n v="83"/>
    <n v="37460"/>
    <n v="6509"/>
    <n v="43969"/>
  </r>
  <r>
    <s v="56"/>
    <s v="10561"/>
    <s v="6055974"/>
    <s v="1072"/>
    <s v="D"/>
    <s v="Meadows Arts and Technology Elementary"/>
    <x v="1"/>
    <s v="Meadows Arts and Technology Elementary"/>
    <s v="56 10561 6055974"/>
    <n v="5.3699999999999998E-2"/>
    <n v="1"/>
    <n v="410"/>
    <n v="22"/>
    <n v="45306"/>
    <n v="1725"/>
    <n v="47031"/>
  </r>
  <r>
    <s v="56"/>
    <s v="72447"/>
    <s v="0000000"/>
    <s v="N/A"/>
    <s v="N/A"/>
    <s v="Briggs Elementary"/>
    <x v="3"/>
    <s v="Olivelands Elementary"/>
    <s v="56 72447 6054977"/>
    <n v="0.67479999999999996"/>
    <n v="3"/>
    <n v="474"/>
    <n v="316"/>
    <n v="52378"/>
    <n v="24780"/>
    <n v="77158"/>
  </r>
  <r>
    <s v="56"/>
    <s v="72454"/>
    <s v="0000000"/>
    <s v="N/A"/>
    <s v="N/A"/>
    <s v="Fillmore Unified"/>
    <x v="3"/>
    <s v="Piru Elementary"/>
    <s v="56 72454 6054985"/>
    <n v="0.84619999999999995"/>
    <n v="10"/>
    <n v="3974"/>
    <n v="3104"/>
    <n v="439133"/>
    <n v="243412"/>
    <n v="682545"/>
  </r>
  <r>
    <s v="56"/>
    <s v="72462"/>
    <s v="0000000"/>
    <s v="N/A"/>
    <s v="N/A"/>
    <s v="Hueneme Elementary"/>
    <x v="3"/>
    <s v="Art Haycox Elementary"/>
    <s v="56 72462 6055024"/>
    <n v="0.96970000000000001"/>
    <n v="12"/>
    <n v="7254"/>
    <n v="6012"/>
    <n v="801578"/>
    <n v="471457"/>
    <n v="1273035"/>
  </r>
  <r>
    <s v="56"/>
    <s v="72470"/>
    <s v="0000000"/>
    <s v="N/A"/>
    <s v="N/A"/>
    <s v="Mesa Union Elementary"/>
    <x v="3"/>
    <s v="Mesa Elementary"/>
    <s v="56 72470 6055123"/>
    <n v="0.3599"/>
    <n v="2"/>
    <n v="567"/>
    <n v="204"/>
    <n v="62654"/>
    <n v="15997"/>
    <n v="78651"/>
  </r>
  <r>
    <s v="56"/>
    <s v="72470"/>
    <s v="5630363"/>
    <s v="0356"/>
    <s v="D"/>
    <s v="Golden Valley Charter"/>
    <x v="1"/>
    <s v="Golden Valley Charter"/>
    <s v="56 72470 5630363"/>
    <n v="0.30980000000000002"/>
    <n v="1"/>
    <n v="439"/>
    <n v="136"/>
    <n v="48510"/>
    <n v="10665"/>
    <n v="59175"/>
  </r>
  <r>
    <s v="56"/>
    <s v="72504"/>
    <s v="0000000"/>
    <s v="N/A"/>
    <s v="N/A"/>
    <s v="Mupu Elementary"/>
    <x v="3"/>
    <s v="Mupu Elementary"/>
    <s v="56 72504 6055156"/>
    <n v="0.46960000000000002"/>
    <n v="2"/>
    <n v="182"/>
    <n v="85"/>
    <n v="20111"/>
    <n v="6666"/>
    <n v="26777"/>
  </r>
  <r>
    <s v="56"/>
    <s v="72512"/>
    <s v="0000000"/>
    <s v="N/A"/>
    <s v="N/A"/>
    <s v="Ocean View"/>
    <x v="3"/>
    <s v="Mar Vista Elementary"/>
    <s v="56 72512 6055172"/>
    <n v="0.79620000000000002"/>
    <n v="6"/>
    <n v="2274"/>
    <n v="1612"/>
    <n v="251281"/>
    <n v="126411"/>
    <n v="377692"/>
  </r>
  <r>
    <s v="56"/>
    <s v="72520"/>
    <s v="0000000"/>
    <s v="N/A"/>
    <s v="N/A"/>
    <s v="Ojai Unified"/>
    <x v="3"/>
    <s v="Meiners Oaks Elementary"/>
    <s v="56 72520 6055198"/>
    <n v="0.48549999999999999"/>
    <n v="9"/>
    <n v="2088"/>
    <n v="868"/>
    <n v="230729"/>
    <n v="68066"/>
    <n v="298795"/>
  </r>
  <r>
    <s v="56"/>
    <s v="72520"/>
    <s v="5630405"/>
    <s v="0501"/>
    <s v="D"/>
    <s v="Valley Oak Charter"/>
    <x v="1"/>
    <s v="Valley Oak Charter"/>
    <s v="56 72520 5630405"/>
    <n v="0.3"/>
    <n v="1"/>
    <n v="50"/>
    <n v="15"/>
    <n v="5525"/>
    <n v="1176"/>
    <n v="6701"/>
  </r>
  <r>
    <s v="56"/>
    <s v="72538"/>
    <s v="0000000"/>
    <s v="N/A"/>
    <s v="N/A"/>
    <s v="Oxnard"/>
    <x v="3"/>
    <s v="Kamala Elementary"/>
    <s v="56 72538 6055339"/>
    <n v="0.96740000000000004"/>
    <n v="22"/>
    <n v="14319"/>
    <n v="12722"/>
    <n v="1582274"/>
    <n v="997649"/>
    <n v="2579923"/>
  </r>
  <r>
    <s v="56"/>
    <s v="72546"/>
    <s v="0000000"/>
    <s v="N/A"/>
    <s v="N/A"/>
    <s v="Oxnard Union High"/>
    <x v="3"/>
    <s v="Art Haycox Elementary"/>
    <s v="56 72462 6055024"/>
    <n v="0.96970000000000001"/>
    <n v="13"/>
    <n v="16910"/>
    <n v="11063"/>
    <n v="1868583"/>
    <n v="867549"/>
    <n v="2736132"/>
  </r>
  <r>
    <s v="56"/>
    <s v="72546"/>
    <s v="0115105"/>
    <s v="0943"/>
    <s v="D"/>
    <s v="Camarillo Academy of Progressive Education"/>
    <x v="1"/>
    <s v="Camarillo Academy of Progressive Education"/>
    <s v="56 72546 0115105"/>
    <n v="0.21440000000000001"/>
    <n v="1"/>
    <n v="583"/>
    <n v="125"/>
    <n v="64422"/>
    <n v="9802"/>
    <n v="74224"/>
  </r>
  <r>
    <s v="56"/>
    <s v="72546"/>
    <s v="0120634"/>
    <s v="1126"/>
    <s v="D"/>
    <s v="Architecture, Construction &amp; Engineering Charter High (ACE)"/>
    <x v="1"/>
    <s v="Art Haycox Elementary"/>
    <s v="56 72462 6055024"/>
    <n v="0.96970000000000001"/>
    <n v="1"/>
    <n v="249"/>
    <n v="105"/>
    <n v="27515"/>
    <n v="8234"/>
    <n v="35749"/>
  </r>
  <r>
    <s v="56"/>
    <s v="72553"/>
    <s v="0000000"/>
    <s v="N/A"/>
    <s v="N/A"/>
    <s v="Pleasant Valley"/>
    <x v="3"/>
    <s v="Pleasant Valley School of Engineering and Arts"/>
    <s v="56 72553 6055412"/>
    <n v="0.57089999999999996"/>
    <n v="13"/>
    <n v="5939"/>
    <n v="1938"/>
    <n v="656269"/>
    <n v="151976"/>
    <n v="808245"/>
  </r>
  <r>
    <s v="56"/>
    <s v="72553"/>
    <s v="0139592"/>
    <s v="2062"/>
    <s v="D"/>
    <s v="Peak Prep Pleasant Valley"/>
    <x v="1"/>
    <s v="Peak Prep Pleasant Valley"/>
    <s v="56 72553 0139592"/>
    <n v="0.76329999999999998"/>
    <n v="1"/>
    <n v="300"/>
    <n v="229"/>
    <n v="33150"/>
    <n v="17958"/>
    <n v="51108"/>
  </r>
  <r>
    <s v="56"/>
    <s v="72553"/>
    <s v="6120620"/>
    <s v="0464"/>
    <s v="D"/>
    <s v="University Preparation Charter School at CSU Channel Islands"/>
    <x v="1"/>
    <s v="University Preparation Charter School at CSU Channel Islands"/>
    <s v="56 72553 6120620"/>
    <n v="0.42280000000000001"/>
    <n v="1"/>
    <n v="695"/>
    <n v="294"/>
    <n v="76799"/>
    <n v="23055"/>
    <n v="99854"/>
  </r>
  <r>
    <s v="56"/>
    <s v="72561"/>
    <s v="0000000"/>
    <s v="N/A"/>
    <s v="N/A"/>
    <s v="Rio Elementary"/>
    <x v="3"/>
    <s v="Rio Plaza Elementary"/>
    <s v="56 72561 6055511"/>
    <n v="0.81610000000000005"/>
    <n v="10"/>
    <n v="5258"/>
    <n v="3161"/>
    <n v="581017"/>
    <n v="247882"/>
    <n v="828899"/>
  </r>
  <r>
    <s v="56"/>
    <s v="72579"/>
    <s v="0000000"/>
    <s v="N/A"/>
    <s v="N/A"/>
    <s v="Santa Clara Elementary"/>
    <x v="3"/>
    <s v="Santa Clara Elementary"/>
    <s v="56 72579 6055537"/>
    <n v="0.1111"/>
    <n v="2"/>
    <n v="56"/>
    <n v="6"/>
    <n v="6188"/>
    <n v="471"/>
    <n v="6659"/>
  </r>
  <r>
    <s v="56"/>
    <s v="72603"/>
    <s v="0000000"/>
    <s v="N/A"/>
    <s v="N/A"/>
    <s v="Simi Valley Unified"/>
    <x v="3"/>
    <s v="Park View Elementary"/>
    <s v="56 72603 6055768"/>
    <n v="0.83979999999999999"/>
    <n v="28"/>
    <n v="15944"/>
    <n v="6752"/>
    <n v="1761839"/>
    <n v="529483"/>
    <n v="2291322"/>
  </r>
  <r>
    <s v="56"/>
    <s v="72611"/>
    <s v="0000000"/>
    <s v="N/A"/>
    <s v="N/A"/>
    <s v="Somis Union"/>
    <x v="3"/>
    <s v="Somis Elementary"/>
    <s v="56 72611 6055834"/>
    <n v="0.75829999999999997"/>
    <n v="2"/>
    <n v="241"/>
    <n v="183"/>
    <n v="26631"/>
    <n v="14351"/>
    <n v="40982"/>
  </r>
  <r>
    <s v="56"/>
    <s v="72652"/>
    <s v="0000000"/>
    <s v="N/A"/>
    <s v="N/A"/>
    <s v="Ventura Unified"/>
    <x v="3"/>
    <s v="Sheridan Way Elementary"/>
    <s v="56 72652 6056212"/>
    <n v="0.93379999999999996"/>
    <n v="28"/>
    <n v="15325"/>
    <n v="8321"/>
    <n v="1693439"/>
    <n v="652521"/>
    <n v="2345960"/>
  </r>
  <r>
    <s v="56"/>
    <s v="73759"/>
    <s v="0000000"/>
    <s v="N/A"/>
    <s v="N/A"/>
    <s v="Conejo Valley Unified"/>
    <x v="3"/>
    <s v="Conejo Elementary"/>
    <s v="56 73759 6055933"/>
    <n v="0.67510000000000003"/>
    <n v="28"/>
    <n v="16520"/>
    <n v="3909"/>
    <n v="1825485"/>
    <n v="306540"/>
    <n v="2132025"/>
  </r>
  <r>
    <s v="56"/>
    <s v="73874"/>
    <s v="0000000"/>
    <s v="N/A"/>
    <s v="N/A"/>
    <s v="Oak Park Unified"/>
    <x v="3"/>
    <s v="Oak Hills Elementary"/>
    <s v="56 73874 6107528"/>
    <n v="0.1555"/>
    <n v="9"/>
    <n v="4244"/>
    <n v="612"/>
    <n v="468970"/>
    <n v="47992"/>
    <n v="516962"/>
  </r>
  <r>
    <s v="56"/>
    <s v="73940"/>
    <s v="0000000"/>
    <s v="N/A"/>
    <s v="N/A"/>
    <s v="Moorpark Unified"/>
    <x v="3"/>
    <s v="Flory Academy of Sciences and Technology"/>
    <s v="56 73940 6055131"/>
    <n v="0.41049999999999998"/>
    <n v="11"/>
    <n v="5954"/>
    <n v="1856"/>
    <n v="657927"/>
    <n v="145545"/>
    <n v="803472"/>
  </r>
  <r>
    <s v="56"/>
    <s v="73940"/>
    <s v="0121426"/>
    <s v="1202"/>
    <s v="D"/>
    <s v="IvyTech Charter"/>
    <x v="1"/>
    <s v="Art Haycox Elementary"/>
    <s v="56 72462 6055024"/>
    <n v="0.96970000000000001"/>
    <n v="1"/>
    <n v="71"/>
    <n v="18"/>
    <n v="7846"/>
    <n v="1412"/>
    <n v="9258"/>
  </r>
  <r>
    <s v="56"/>
    <s v="76828"/>
    <s v="0000000"/>
    <s v="N/A"/>
    <s v="N/A"/>
    <s v="Santa Paula Unified"/>
    <x v="3"/>
    <s v="Barbara Webster Elementary"/>
    <s v="56 76828 6055545"/>
    <n v="0.91969999999999996"/>
    <n v="11"/>
    <n v="4901"/>
    <n v="3595"/>
    <n v="541568"/>
    <n v="281916"/>
    <n v="823484"/>
  </r>
  <r>
    <s v="57"/>
    <s v="10579"/>
    <s v="0000000"/>
    <s v="N/A"/>
    <s v="N/A"/>
    <s v="Yolo Co. Office of Education"/>
    <x v="0"/>
    <s v="Westfield Village Elementary"/>
    <s v="57 72694 6056394"/>
    <n v="0.94889999999999997"/>
    <n v="4"/>
    <n v="437"/>
    <n v="305"/>
    <n v="48290"/>
    <n v="23918"/>
    <n v="72208"/>
  </r>
  <r>
    <s v="57"/>
    <s v="10579"/>
    <s v="0132464"/>
    <s v="1746"/>
    <s v="D"/>
    <s v="Empowering Possibilities International Charter"/>
    <x v="1"/>
    <s v="Empowering Possibilities International Charter"/>
    <s v="57 10579 0132464"/>
    <n v="0.66039999999999999"/>
    <n v="1"/>
    <n v="374"/>
    <n v="247"/>
    <n v="41328"/>
    <n v="19369"/>
    <n v="60697"/>
  </r>
  <r>
    <s v="57"/>
    <s v="72678"/>
    <s v="0000000"/>
    <s v="N/A"/>
    <s v="N/A"/>
    <s v="Davis Joint Unified"/>
    <x v="3"/>
    <s v="Marguerite Montgomery Elementary"/>
    <s v="57 72678 6118905"/>
    <n v="0.3357"/>
    <n v="17"/>
    <n v="7896"/>
    <n v="1573"/>
    <n v="872521"/>
    <n v="123354"/>
    <n v="995875"/>
  </r>
  <r>
    <s v="57"/>
    <s v="72678"/>
    <s v="0119578"/>
    <s v="1079"/>
    <s v="L"/>
    <s v="Da Vinci Charter Academy"/>
    <x v="1"/>
    <s v="Westfield Village Elementary"/>
    <s v="57 72694 6056394"/>
    <n v="0.94889999999999997"/>
    <n v="1"/>
    <n v="611"/>
    <n v="97"/>
    <n v="67517"/>
    <n v="7607"/>
    <n v="75124"/>
  </r>
  <r>
    <s v="57"/>
    <s v="72686"/>
    <s v="0000000"/>
    <s v="N/A"/>
    <s v="N/A"/>
    <s v="Esparto Unified"/>
    <x v="3"/>
    <s v="Esparto Elementary"/>
    <s v="57 72686 6056311"/>
    <n v="0.78539999999999999"/>
    <n v="5"/>
    <n v="978"/>
    <n v="752"/>
    <n v="108071"/>
    <n v="58970"/>
    <n v="167041"/>
  </r>
  <r>
    <s v="57"/>
    <s v="72694"/>
    <s v="0000000"/>
    <s v="N/A"/>
    <s v="N/A"/>
    <s v="Washington Unified"/>
    <x v="3"/>
    <s v="Westfield Village Elementary"/>
    <s v="57 72694 6056394"/>
    <n v="0.94889999999999997"/>
    <n v="14"/>
    <n v="7468"/>
    <n v="5042"/>
    <n v="825227"/>
    <n v="395389"/>
    <n v="1220616"/>
  </r>
  <r>
    <s v="57"/>
    <s v="72694"/>
    <s v="0124875"/>
    <s v="1338"/>
    <s v="D"/>
    <s v="Sacramento Valley Charter"/>
    <x v="1"/>
    <s v="Sacramento Valley Charter"/>
    <s v="57 72694 0124875"/>
    <n v="0.85289999999999999"/>
    <n v="1"/>
    <n v="306"/>
    <n v="261"/>
    <n v="33814"/>
    <n v="20467"/>
    <n v="54281"/>
  </r>
  <r>
    <s v="57"/>
    <s v="72694"/>
    <s v="0131706"/>
    <s v="1659"/>
    <s v="D"/>
    <s v="River Charter Schools-Lighthouse Charter"/>
    <x v="1"/>
    <s v="River Charter Schools-Lighthouse Charter"/>
    <s v="57 72694 0131706"/>
    <n v="0.50139999999999996"/>
    <n v="1"/>
    <n v="369"/>
    <n v="185"/>
    <n v="40775"/>
    <n v="14508"/>
    <n v="55283"/>
  </r>
  <r>
    <s v="57"/>
    <s v="72694"/>
    <s v="0135939"/>
    <s v="0907"/>
    <s v="L"/>
    <s v="Washington Middle College High"/>
    <x v="1"/>
    <s v="Westfield Village Elementary"/>
    <s v="57 72694 6056394"/>
    <n v="0.94889999999999997"/>
    <n v="1"/>
    <n v="151"/>
    <n v="122"/>
    <n v="16686"/>
    <n v="9567"/>
    <n v="26253"/>
  </r>
  <r>
    <s v="57"/>
    <s v="72702"/>
    <s v="0000000"/>
    <s v="N/A"/>
    <s v="N/A"/>
    <s v="Winters Joint Unified"/>
    <x v="3"/>
    <s v="Shirley Rominger Intermediate"/>
    <s v="57 72702 6056410"/>
    <n v="0.62429999999999997"/>
    <n v="6"/>
    <n v="1596"/>
    <n v="989"/>
    <n v="176362"/>
    <n v="77556"/>
    <n v="253918"/>
  </r>
  <r>
    <s v="57"/>
    <s v="72702"/>
    <s v="0139436"/>
    <s v="2059"/>
    <s v="D"/>
    <s v="Compass Charter School of Yolo"/>
    <x v="1"/>
    <s v="Compass Charter School of Yolo"/>
    <s v="57 72702 0139436"/>
    <n v="0.39200000000000002"/>
    <n v="1"/>
    <n v="671"/>
    <n v="263"/>
    <n v="74147"/>
    <n v="20624"/>
    <n v="94771"/>
  </r>
  <r>
    <s v="57"/>
    <s v="72710"/>
    <s v="0000000"/>
    <s v="N/A"/>
    <s v="N/A"/>
    <s v="Woodland Joint Unified"/>
    <x v="3"/>
    <s v="Freeman Elementary"/>
    <s v="57 72710 6056477"/>
    <n v="0.871"/>
    <n v="17"/>
    <n v="9610"/>
    <n v="7166"/>
    <n v="1061921"/>
    <n v="561950"/>
    <n v="1623871"/>
  </r>
  <r>
    <s v="57"/>
    <s v="72710"/>
    <s v="0121749"/>
    <s v="1201"/>
    <s v="L"/>
    <s v="Science &amp; Technology Academy at Knights Landing"/>
    <x v="1"/>
    <s v="Science &amp; Technology Academy at Knights Landing"/>
    <s v="57 72710 0121749"/>
    <n v="0.62260000000000004"/>
    <n v="1"/>
    <n v="212"/>
    <n v="132"/>
    <n v="23426"/>
    <n v="10351"/>
    <n v="33777"/>
  </r>
  <r>
    <s v="58"/>
    <s v="10587"/>
    <s v="0000000"/>
    <s v="N/A"/>
    <s v="N/A"/>
    <s v="Yuba Co. Office of Education"/>
    <x v="0"/>
    <s v="Yuba Environmental Science Charter Academy"/>
    <s v="58 10587 0117242"/>
    <n v="0.93869999999999998"/>
    <n v="4"/>
    <n v="339"/>
    <n v="258"/>
    <n v="37460"/>
    <n v="20232"/>
    <n v="57692"/>
  </r>
  <r>
    <s v="58"/>
    <s v="10587"/>
    <s v="0117242"/>
    <s v="0990"/>
    <s v="D"/>
    <s v="Yuba Environmental Science Charter Academy"/>
    <x v="1"/>
    <s v="Yuba Environmental Science Charter Academy"/>
    <s v="58 10587 0117242"/>
    <n v="0.93869999999999998"/>
    <n v="1"/>
    <n v="163"/>
    <n v="153"/>
    <n v="18012"/>
    <n v="11998"/>
    <n v="30010"/>
  </r>
  <r>
    <s v="58"/>
    <s v="10587"/>
    <s v="5830112"/>
    <s v="0092"/>
    <s v="L"/>
    <s v="Yuba County Career Preparatory Charter"/>
    <x v="1"/>
    <s v="Yuba County Career Preparatory Charter"/>
    <s v="58 10587 5830112"/>
    <n v="0.8821"/>
    <n v="1"/>
    <n v="212"/>
    <n v="187"/>
    <n v="23426"/>
    <n v="14664"/>
    <n v="38090"/>
  </r>
  <r>
    <s v="58"/>
    <s v="72728"/>
    <s v="0000000"/>
    <s v="N/A"/>
    <s v="N/A"/>
    <s v="Camptonville Elementary"/>
    <x v="3"/>
    <s v="Camptonville Elementary"/>
    <s v="58 72728 6056600"/>
    <n v="0.77780000000000005"/>
    <n v="2"/>
    <n v="54"/>
    <n v="42"/>
    <n v="5967"/>
    <n v="3294"/>
    <n v="9261"/>
  </r>
  <r>
    <s v="58"/>
    <s v="72728"/>
    <s v="6115935"/>
    <s v="0165"/>
    <s v="D"/>
    <s v="CORE Charter"/>
    <x v="1"/>
    <s v="CORE Charter"/>
    <s v="58 72728 6115935"/>
    <n v="0.50109999999999999"/>
    <n v="1"/>
    <n v="463"/>
    <n v="232"/>
    <n v="51162"/>
    <n v="18193"/>
    <n v="69355"/>
  </r>
  <r>
    <s v="58"/>
    <s v="72736"/>
    <s v="0000000"/>
    <s v="N/A"/>
    <s v="N/A"/>
    <s v="Marysville Joint Unified"/>
    <x v="3"/>
    <s v="Cedar Lane Elementary"/>
    <s v="58 72736 6056659"/>
    <n v="0.89639999999999997"/>
    <n v="23"/>
    <n v="10124"/>
    <n v="7444"/>
    <n v="1118718"/>
    <n v="583750"/>
    <n v="1702468"/>
  </r>
  <r>
    <s v="58"/>
    <s v="72736"/>
    <s v="0121632"/>
    <s v="1182"/>
    <s v="D"/>
    <s v="Paragon Collegiate Academy"/>
    <x v="1"/>
    <s v="Paragon Collegiate Academy"/>
    <s v="58 72736 0121632"/>
    <n v="0.46800000000000003"/>
    <n v="1"/>
    <n v="203"/>
    <n v="95"/>
    <n v="22432"/>
    <n v="7450"/>
    <n v="29882"/>
  </r>
  <r>
    <s v="58"/>
    <s v="72736"/>
    <s v="5830138"/>
    <s v="0306"/>
    <s v="L"/>
    <s v="Marysville Charter Academy for the Arts"/>
    <x v="1"/>
    <s v="Yuba Environmental Science Charter Academy"/>
    <s v="58 10587 0117242"/>
    <n v="0.93869999999999998"/>
    <n v="1"/>
    <n v="362"/>
    <n v="194"/>
    <n v="40002"/>
    <n v="15213"/>
    <n v="55215"/>
  </r>
  <r>
    <s v="58"/>
    <s v="72744"/>
    <s v="0000000"/>
    <s v="N/A"/>
    <s v="N/A"/>
    <s v="Plumas Lake Elementary"/>
    <x v="3"/>
    <s v="Cobblestone Elementary"/>
    <s v="58 72744 0114652"/>
    <n v="0.37180000000000002"/>
    <n v="4"/>
    <n v="1511"/>
    <n v="561"/>
    <n v="166967"/>
    <n v="43994"/>
    <n v="210961"/>
  </r>
  <r>
    <s v="58"/>
    <s v="72751"/>
    <s v="0000000"/>
    <s v="N/A"/>
    <s v="N/A"/>
    <s v="Wheatland"/>
    <x v="3"/>
    <s v="Wheatland Elementary"/>
    <s v="58 72751 6056840"/>
    <n v="0.55830000000000002"/>
    <n v="4"/>
    <n v="1393"/>
    <n v="692"/>
    <n v="153929"/>
    <n v="54265"/>
    <n v="208194"/>
  </r>
  <r>
    <s v="58"/>
    <s v="72751"/>
    <s v="6118806"/>
    <s v="0370"/>
    <s v="L"/>
    <s v="Wheatland Charter Academy"/>
    <x v="1"/>
    <s v="Wheatland Charter Academy"/>
    <s v="58 72751 6118806"/>
    <n v="0.4138"/>
    <n v="1"/>
    <n v="87"/>
    <n v="36"/>
    <n v="9614"/>
    <n v="2823"/>
    <n v="12437"/>
  </r>
  <r>
    <s v="58"/>
    <s v="72769"/>
    <s v="0000000"/>
    <s v="N/A"/>
    <s v="N/A"/>
    <s v="Wheatland Union High"/>
    <x v="3"/>
    <s v="Yuba Environmental Science Charter Academy"/>
    <s v="58 10587 0117242"/>
    <n v="0.93869999999999998"/>
    <n v="4"/>
    <n v="1096"/>
    <n v="882"/>
    <n v="121110"/>
    <n v="69166"/>
    <n v="190276"/>
  </r>
  <r>
    <s v="TOTAL"/>
    <m/>
    <m/>
    <m/>
    <m/>
    <m/>
    <x v="4"/>
    <m/>
    <m/>
    <m/>
    <n v="11272"/>
    <n v="5942256"/>
    <n v="3588578"/>
    <n v="656629390"/>
    <n v="281412610"/>
    <n v="938042000"/>
  </r>
  <r>
    <s v="Prepared by:"/>
    <m/>
    <m/>
    <m/>
    <m/>
    <m/>
    <x v="4"/>
    <m/>
    <m/>
    <m/>
    <m/>
    <m/>
    <m/>
    <m/>
    <m/>
    <m/>
  </r>
  <r>
    <s v="California Department of Education"/>
    <m/>
    <m/>
    <m/>
    <m/>
    <m/>
    <x v="4"/>
    <m/>
    <m/>
    <m/>
    <m/>
    <m/>
    <m/>
    <m/>
    <m/>
    <m/>
  </r>
  <r>
    <s v="School Fiscal Services Division"/>
    <m/>
    <m/>
    <m/>
    <m/>
    <m/>
    <x v="4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F5CF53-D2E3-DD43-A487-D580CD1F257D}" name="FundingSummaryPivotTable" cacheId="10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:C7" firstHeaderRow="1" firstDataRow="2" firstDataCol="1"/>
  <pivotFields count="16"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3"/>
        <item x="2"/>
        <item h="1"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Total LEA Enrollment" fld="11" subtotal="average" baseField="0" baseItem="0" numFmtId="165"/>
    <dataField name="Sum of Preliminary AMS Entitlement" fld="15" baseField="0" baseItem="0" numFmtId="165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B65230-0B6F-154B-89D9-93DA81560D7B}" name="Table13" displayName="Table13" ref="A1:P2271" totalsRowCount="1" headerRowDxfId="107" dataDxfId="105" totalsRowDxfId="103" headerRowBorderDxfId="106" tableBorderDxfId="104" totalsRowBorderDxfId="102" dataCellStyle="Currency">
  <autoFilter ref="A1:P2270" xr:uid="{C4B65230-0B6F-154B-89D9-93DA81560D7B}"/>
  <tableColumns count="16">
    <tableColumn id="3" xr3:uid="{0E8A2670-7993-4C4B-B4F4-2E7C1A9C9610}" name="County Code" totalsRowLabel="TOTAL" dataDxfId="101" totalsRowDxfId="15"/>
    <tableColumn id="4" xr3:uid="{BCBCCE07-3DF3-F641-A13F-2C419EAC00CA}" name="District Code" dataDxfId="100" totalsRowDxfId="14" dataCellStyle="Currency"/>
    <tableColumn id="5" xr3:uid="{4E871D29-0C95-EF4D-9E41-0EC86A5C86E5}" name="School Code" dataDxfId="99" totalsRowDxfId="13"/>
    <tableColumn id="6" xr3:uid="{0A46B673-1161-094A-8062-8A031DD87408}" name="Charter Number" totalsRowDxfId="12"/>
    <tableColumn id="8" xr3:uid="{B90EC62F-BD4D-1E41-8545-88BEABCE42E3}" name="Charter Fund Type" totalsRowDxfId="11"/>
    <tableColumn id="9" xr3:uid="{F57620A7-7ACD-1A49-B76F-05AE2A551AE7}" name="Local Educational Agency" dataDxfId="98" totalsRowDxfId="10"/>
    <tableColumn id="1" xr3:uid="{D6DB9045-3BD9-1043-91B3-32403DA44C60}" name="LEA Type" dataDxfId="97" totalsRowDxfId="9"/>
    <tableColumn id="11" xr3:uid="{7785F2CF-3636-5A49-BAAA-A44F8374484D}" name="Determinative Elementary School for School Site Calculation of FRPM Eligible Preschool Pupils" dataDxfId="96" totalsRowDxfId="8"/>
    <tableColumn id="12" xr3:uid="{F4F3156D-E434-B54A-A615-30E862B6CC4B}" name="Determinative Elementary School CDS Code" dataDxfId="95" totalsRowDxfId="7"/>
    <tableColumn id="13" xr3:uid="{8053F4DB-FF1F-CA4B-8012-57B29E639F8B}" name="Determinative Elementary School Percentage of FRPM Eligible Pupils" dataDxfId="94" totalsRowDxfId="6"/>
    <tableColumn id="23" xr3:uid="{DCEAE7AE-83D0-D84D-8F0A-95338FE8BD61}" name="Total Number of School Sites in LEA*" totalsRowFunction="sum" dataDxfId="93" totalsRowDxfId="5"/>
    <tableColumn id="14" xr3:uid="{82872BE0-6D0E-534C-93BD-349D92B70023}" name="Total LEA Enrollment" totalsRowFunction="sum" dataDxfId="92" totalsRowDxfId="4"/>
    <tableColumn id="15" xr3:uid="{C9740BF0-7094-984B-B89F-87A1774D4999}" name="Total LEA FRPM Eligible Pupil Count" totalsRowFunction="sum" dataDxfId="91" totalsRowDxfId="3" dataCellStyle="Currency"/>
    <tableColumn id="16" xr3:uid="{1B31869D-CFFE-AA4A-8A34-DE73BBBB5CDB}" name="AMS Funding Based on Share of Enrollment" totalsRowFunction="sum" dataDxfId="90" totalsRowDxfId="2" dataCellStyle="Currency"/>
    <tableColumn id="17" xr3:uid="{399CBA75-ED29-5043-B1D7-8F7828319D06}" name="AMS Funding Based on Share of FRPM Eligible Pupils" totalsRowFunction="sum" dataDxfId="89" totalsRowDxfId="1" dataCellStyle="Currency"/>
    <tableColumn id="18" xr3:uid="{5EA593C9-1C67-284D-85F3-1EB61A2610B0}" name="Preliminary AMS Entitlement" totalsRowFunction="sum" dataDxfId="88" totalsRowDxfId="0" dataCellStyle="Currency"/>
  </tableColumns>
  <tableStyleInfo showFirstColumn="0" showLastColumn="0" showRowStripes="1" showColumnStripes="0"/>
  <extLst>
    <ext xmlns:x14="http://schemas.microsoft.com/office/spreadsheetml/2009/9/main" uri="{504A1905-F514-4f6f-8877-14C23A59335A}">
      <x14:table altTextSummary="This table provides the 2023–24 preliminary entitlement data by local education agency for the Proposition 28: Arts and Music in Schools program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70F5C3-A42E-9048-93A0-C872A14279AE}" name="Table134" displayName="Table134" ref="A1:P2271" totalsRowCount="1" headerRowDxfId="87" dataDxfId="85" totalsRowDxfId="83" headerRowBorderDxfId="86" tableBorderDxfId="84" totalsRowBorderDxfId="82" dataCellStyle="Currency">
  <autoFilter ref="A1:P2270" xr:uid="{2F60E26D-2E37-C14B-AD9E-88A1D430FD13}"/>
  <tableColumns count="16">
    <tableColumn id="3" xr3:uid="{7C150535-4827-5344-926D-0DE8B6712E3C}" name="County Code" totalsRowLabel="TOTAL" dataDxfId="81" totalsRowDxfId="80"/>
    <tableColumn id="4" xr3:uid="{39721EA7-6B37-D14D-B6B0-E1112DFE288D}" name="District Code" dataDxfId="79" totalsRowDxfId="78" dataCellStyle="Currency"/>
    <tableColumn id="5" xr3:uid="{72FA6759-BC27-8448-91C9-74D9906FE885}" name="School Code" dataDxfId="77" totalsRowDxfId="76"/>
    <tableColumn id="6" xr3:uid="{04157D31-FFDB-0244-B93D-BC66603A6467}" name="Charter Number" totalsRowDxfId="75"/>
    <tableColumn id="8" xr3:uid="{C860A84C-B5E3-144C-BB54-A013FC149D4A}" name="Charter Fund Type" totalsRowDxfId="74"/>
    <tableColumn id="9" xr3:uid="{C5BB2292-D7D0-B24C-891C-819ACB7C67FD}" name="Local Educational Agency" dataDxfId="73" totalsRowDxfId="72"/>
    <tableColumn id="1" xr3:uid="{D76E9689-D835-F841-B2A4-31C0C93B7542}" name="LEA Type" dataDxfId="71" totalsRowDxfId="70"/>
    <tableColumn id="11" xr3:uid="{016A7B29-18A6-A94D-AFD9-F8FABF068A94}" name="Determinative Elementary School for School Site Calculation of FRPM Eligible Preschool Pupils_x000a_A-1" dataDxfId="69" totalsRowDxfId="68"/>
    <tableColumn id="12" xr3:uid="{AC0D8073-52A5-9E4E-B2E0-7A4DF1CF6047}" name="Determinative Elementary School CDS Code_x000a_A-2" dataDxfId="67" totalsRowDxfId="66"/>
    <tableColumn id="13" xr3:uid="{AB65ECAD-0E01-2642-AD71-EF2E623D2345}" name="Determinative Elementary School Percentage of FRPM Eligible Pupils_x000a_A-3" dataDxfId="65" totalsRowDxfId="64"/>
    <tableColumn id="23" xr3:uid="{221C39AE-529E-464B-B072-FE45FDFADC28}" name="Total Number of School Sites in LEA*_x000a_B-1" totalsRowFunction="sum" dataDxfId="63" totalsRowDxfId="62"/>
    <tableColumn id="14" xr3:uid="{9B3EEB6D-0DCD-3349-87C0-7C7740C2B061}" name="Total LEA Enrollment_x000a_B-2" totalsRowFunction="sum" dataDxfId="61" totalsRowDxfId="60"/>
    <tableColumn id="15" xr3:uid="{D625A722-015D-DF45-8DEE-BFD5CDA905D0}" name="Total LEA FRPM Eligible Pupil Count_x000a_B-3" totalsRowFunction="sum" dataDxfId="59" totalsRowDxfId="58" dataCellStyle="Currency"/>
    <tableColumn id="16" xr3:uid="{9B66F2F2-A14A-7E44-879D-F056F2E74262}" name="AMS Funding Based on Share of Enrollment_x000a_C-1" totalsRowFunction="sum" dataDxfId="57" totalsRowDxfId="56" dataCellStyle="Currency"/>
    <tableColumn id="17" xr3:uid="{210E9B51-FF06-804D-8AFB-43B66E19E8FE}" name="AMS Funding Based on Share of FRPM Eligible Pupils_x000a_C-2" totalsRowFunction="sum" dataDxfId="55" totalsRowDxfId="54" dataCellStyle="Currency"/>
    <tableColumn id="18" xr3:uid="{60778D12-343A-D947-BD3D-7083030DF735}" name="Preliminary AMS Entitlement_x000a_C-3" totalsRowFunction="sum" dataDxfId="53" totalsRowDxfId="52" dataCellStyle="Currency"/>
  </tableColumns>
  <tableStyleInfo showFirstColumn="0" showLastColumn="0" showRowStripes="1" showColumnStripes="0"/>
  <extLst>
    <ext xmlns:x14="http://schemas.microsoft.com/office/spreadsheetml/2009/9/main" uri="{504A1905-F514-4f6f-8877-14C23A59335A}">
      <x14:table altTextSummary="This table provides the 2023–24 preliminary entitlement data by local education agency for the Proposition 28: Arts and Music in Schools program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FD7046-240A-E44F-9D5B-6BAA44A71B3E}" name="Table135" displayName="Table135" ref="A1:P2271" totalsRowCount="1" headerRowDxfId="51" dataDxfId="49" totalsRowDxfId="47" headerRowBorderDxfId="50" tableBorderDxfId="48" totalsRowBorderDxfId="46" dataCellStyle="Currency">
  <autoFilter ref="A1:P2270" xr:uid="{2F60E26D-2E37-C14B-AD9E-88A1D430FD13}"/>
  <tableColumns count="16">
    <tableColumn id="3" xr3:uid="{56034AFC-5C38-E34F-97D3-43C8DD655D0F}" name="County Code" totalsRowLabel="TOTAL" dataDxfId="45" totalsRowDxfId="44"/>
    <tableColumn id="4" xr3:uid="{FA571074-21B1-384E-854F-D6D29C7E80C5}" name="District Code" dataDxfId="43" totalsRowDxfId="42" dataCellStyle="Currency"/>
    <tableColumn id="5" xr3:uid="{23DDE1EF-4FD6-CA48-873A-A9E435C75E09}" name="School Code" dataDxfId="41" totalsRowDxfId="40"/>
    <tableColumn id="6" xr3:uid="{BD8BBD57-0FCD-FB4E-AC30-45EA970BD508}" name="Charter Number" totalsRowDxfId="39"/>
    <tableColumn id="8" xr3:uid="{CE4307ED-83F2-CE42-9019-9B979B152232}" name="Charter Fund Type" totalsRowDxfId="38"/>
    <tableColumn id="9" xr3:uid="{5E4F09A1-2EC1-5740-BF87-A600E85D89AF}" name="Local Educational Agency" dataDxfId="37" totalsRowDxfId="36"/>
    <tableColumn id="1" xr3:uid="{197FBAA5-E259-E343-A9DD-BA16126CC744}" name="LEA Type" dataDxfId="35" totalsRowDxfId="34"/>
    <tableColumn id="11" xr3:uid="{277ED4D3-6A15-4347-B544-828207271B0C}" name="Determinative Elementary School for School Site Calculation of FRPM Eligible Preschool Pupils_x000a_A-1" dataDxfId="33" totalsRowDxfId="32"/>
    <tableColumn id="12" xr3:uid="{7DA8F6AA-0EC3-554E-A0B3-39AB726B58A8}" name="Determinative Elementary School CDS Code_x000a_A-2" dataDxfId="31" totalsRowDxfId="30"/>
    <tableColumn id="13" xr3:uid="{8C3A08D8-6470-B14F-BC86-3BF5045A0365}" name="Determinative Elementary School Percentage of FRPM Eligible Pupils_x000a_A-3" dataDxfId="29" totalsRowDxfId="28"/>
    <tableColumn id="23" xr3:uid="{137CA528-3F48-8846-9374-5AF982A686EC}" name="Total Number of School Sites in LEA*_x000a_B-1" totalsRowFunction="sum" dataDxfId="27" totalsRowDxfId="26"/>
    <tableColumn id="14" xr3:uid="{88618730-7D9D-0A4C-9381-2FF07680E85C}" name="Total LEA Enrollment_x000a_B-2" totalsRowFunction="sum" dataDxfId="25" totalsRowDxfId="24"/>
    <tableColumn id="15" xr3:uid="{92595F1E-2BF7-BD41-90C4-A4C83C031825}" name="Total LEA FRPM Eligible Pupil Count_x000a_B-3" totalsRowFunction="sum" dataDxfId="23" totalsRowDxfId="22" dataCellStyle="Currency"/>
    <tableColumn id="16" xr3:uid="{E207D99C-3D22-3146-9EE9-29655B6157C9}" name="AMS Funding Based on Share of Enrollment_x000a_C-1" totalsRowFunction="sum" dataDxfId="21" totalsRowDxfId="20" dataCellStyle="Currency"/>
    <tableColumn id="17" xr3:uid="{EE7A3A22-CAEA-4943-96B7-E30A23602233}" name="AMS Funding Based on Share of FRPM Eligible Pupils_x000a_C-2" totalsRowFunction="sum" dataDxfId="19" totalsRowDxfId="18" dataCellStyle="Currency"/>
    <tableColumn id="18" xr3:uid="{45AE08EC-36CB-7A41-9350-F1EE907A7074}" name="Preliminary AMS Entitlement_x000a_C-3" totalsRowFunction="sum" dataDxfId="17" totalsRowDxfId="16" dataCellStyle="Currency"/>
  </tableColumns>
  <tableStyleInfo showFirstColumn="0" showLastColumn="0" showRowStripes="1" showColumnStripes="0"/>
  <extLst>
    <ext xmlns:x14="http://schemas.microsoft.com/office/spreadsheetml/2009/9/main" uri="{504A1905-F514-4f6f-8877-14C23A59335A}">
      <x14:table altTextSummary="This table provides the 2023–24 preliminary entitlement data by local education agency for the Proposition 28: Arts and Music in Schools program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0EE9B-66ED-7F46-AD47-0DA8476533AE}">
  <dimension ref="A1:B2271"/>
  <sheetViews>
    <sheetView tabSelected="1" workbookViewId="0">
      <selection activeCell="E19" sqref="E19"/>
    </sheetView>
  </sheetViews>
  <sheetFormatPr baseColWidth="10" defaultRowHeight="16" x14ac:dyDescent="0.2"/>
  <cols>
    <col min="2" max="2" width="12.1640625" bestFit="1" customWidth="1"/>
  </cols>
  <sheetData>
    <row r="1" spans="1:2" x14ac:dyDescent="0.2">
      <c r="A1" t="s">
        <v>6</v>
      </c>
      <c r="B1" t="s">
        <v>8276</v>
      </c>
    </row>
    <row r="2" spans="1:2" x14ac:dyDescent="0.2">
      <c r="A2" t="s">
        <v>21</v>
      </c>
      <c r="B2" s="31">
        <v>6458849</v>
      </c>
    </row>
    <row r="3" spans="1:2" x14ac:dyDescent="0.2">
      <c r="A3" t="s">
        <v>28</v>
      </c>
      <c r="B3" s="31">
        <v>105822566</v>
      </c>
    </row>
    <row r="4" spans="1:2" x14ac:dyDescent="0.2">
      <c r="A4" t="s">
        <v>77</v>
      </c>
      <c r="B4" s="31">
        <v>112192</v>
      </c>
    </row>
    <row r="5" spans="1:2" x14ac:dyDescent="0.2">
      <c r="A5" t="s">
        <v>83</v>
      </c>
      <c r="B5" s="31">
        <v>825648393</v>
      </c>
    </row>
    <row r="6" spans="1:2" x14ac:dyDescent="0.2">
      <c r="A6" t="s">
        <v>8286</v>
      </c>
      <c r="B6" s="31"/>
    </row>
    <row r="7" spans="1:2" x14ac:dyDescent="0.2">
      <c r="B7" s="31" t="b">
        <v>1</v>
      </c>
    </row>
    <row r="8" spans="1:2" x14ac:dyDescent="0.2">
      <c r="B8" s="31"/>
    </row>
    <row r="9" spans="1:2" x14ac:dyDescent="0.2">
      <c r="B9" s="31"/>
    </row>
    <row r="10" spans="1:2" x14ac:dyDescent="0.2">
      <c r="B10" s="31"/>
    </row>
    <row r="11" spans="1:2" x14ac:dyDescent="0.2">
      <c r="B11" s="31"/>
    </row>
    <row r="12" spans="1:2" x14ac:dyDescent="0.2">
      <c r="B12" s="31"/>
    </row>
    <row r="13" spans="1:2" x14ac:dyDescent="0.2">
      <c r="B13" s="31"/>
    </row>
    <row r="14" spans="1:2" x14ac:dyDescent="0.2">
      <c r="B14" s="31"/>
    </row>
    <row r="15" spans="1:2" x14ac:dyDescent="0.2">
      <c r="B15" s="31"/>
    </row>
    <row r="16" spans="1:2" x14ac:dyDescent="0.2">
      <c r="B16" s="31"/>
    </row>
    <row r="17" spans="2:2" x14ac:dyDescent="0.2">
      <c r="B17" s="31"/>
    </row>
    <row r="18" spans="2:2" x14ac:dyDescent="0.2">
      <c r="B18" s="31"/>
    </row>
    <row r="19" spans="2:2" x14ac:dyDescent="0.2">
      <c r="B19" s="31"/>
    </row>
    <row r="20" spans="2:2" x14ac:dyDescent="0.2">
      <c r="B20" s="31"/>
    </row>
    <row r="21" spans="2:2" x14ac:dyDescent="0.2">
      <c r="B21" s="31"/>
    </row>
    <row r="22" spans="2:2" x14ac:dyDescent="0.2">
      <c r="B22" s="31"/>
    </row>
    <row r="23" spans="2:2" x14ac:dyDescent="0.2">
      <c r="B23" s="31"/>
    </row>
    <row r="24" spans="2:2" x14ac:dyDescent="0.2">
      <c r="B24" s="31"/>
    </row>
    <row r="25" spans="2:2" x14ac:dyDescent="0.2">
      <c r="B25" s="31"/>
    </row>
    <row r="26" spans="2:2" x14ac:dyDescent="0.2">
      <c r="B26" s="31"/>
    </row>
    <row r="27" spans="2:2" x14ac:dyDescent="0.2">
      <c r="B27" s="31"/>
    </row>
    <row r="28" spans="2:2" x14ac:dyDescent="0.2">
      <c r="B28" s="31"/>
    </row>
    <row r="29" spans="2:2" x14ac:dyDescent="0.2">
      <c r="B29" s="31"/>
    </row>
    <row r="30" spans="2:2" x14ac:dyDescent="0.2">
      <c r="B30" s="31"/>
    </row>
    <row r="31" spans="2:2" x14ac:dyDescent="0.2">
      <c r="B31" s="31"/>
    </row>
    <row r="32" spans="2:2" x14ac:dyDescent="0.2">
      <c r="B32" s="31"/>
    </row>
    <row r="33" spans="2:2" x14ac:dyDescent="0.2">
      <c r="B33" s="31"/>
    </row>
    <row r="34" spans="2:2" x14ac:dyDescent="0.2">
      <c r="B34" s="31"/>
    </row>
    <row r="35" spans="2:2" x14ac:dyDescent="0.2">
      <c r="B35" s="31"/>
    </row>
    <row r="36" spans="2:2" x14ac:dyDescent="0.2">
      <c r="B36" s="31"/>
    </row>
    <row r="37" spans="2:2" x14ac:dyDescent="0.2">
      <c r="B37" s="31"/>
    </row>
    <row r="38" spans="2:2" x14ac:dyDescent="0.2">
      <c r="B38" s="31"/>
    </row>
    <row r="39" spans="2:2" x14ac:dyDescent="0.2">
      <c r="B39" s="31"/>
    </row>
    <row r="40" spans="2:2" x14ac:dyDescent="0.2">
      <c r="B40" s="31"/>
    </row>
    <row r="41" spans="2:2" x14ac:dyDescent="0.2">
      <c r="B41" s="31"/>
    </row>
    <row r="42" spans="2:2" x14ac:dyDescent="0.2">
      <c r="B42" s="31"/>
    </row>
    <row r="43" spans="2:2" x14ac:dyDescent="0.2">
      <c r="B43" s="31"/>
    </row>
    <row r="44" spans="2:2" x14ac:dyDescent="0.2">
      <c r="B44" s="31"/>
    </row>
    <row r="45" spans="2:2" x14ac:dyDescent="0.2">
      <c r="B45" s="31"/>
    </row>
    <row r="46" spans="2:2" x14ac:dyDescent="0.2">
      <c r="B46" s="31"/>
    </row>
    <row r="47" spans="2:2" x14ac:dyDescent="0.2">
      <c r="B47" s="31"/>
    </row>
    <row r="48" spans="2:2" x14ac:dyDescent="0.2">
      <c r="B48" s="31"/>
    </row>
    <row r="49" spans="2:2" x14ac:dyDescent="0.2">
      <c r="B49" s="31"/>
    </row>
    <row r="50" spans="2:2" x14ac:dyDescent="0.2">
      <c r="B50" s="31"/>
    </row>
    <row r="51" spans="2:2" x14ac:dyDescent="0.2">
      <c r="B51" s="31"/>
    </row>
    <row r="52" spans="2:2" x14ac:dyDescent="0.2">
      <c r="B52" s="31"/>
    </row>
    <row r="53" spans="2:2" x14ac:dyDescent="0.2">
      <c r="B53" s="31"/>
    </row>
    <row r="54" spans="2:2" x14ac:dyDescent="0.2">
      <c r="B54" s="31"/>
    </row>
    <row r="55" spans="2:2" x14ac:dyDescent="0.2">
      <c r="B55" s="31"/>
    </row>
    <row r="56" spans="2:2" x14ac:dyDescent="0.2">
      <c r="B56" s="31"/>
    </row>
    <row r="57" spans="2:2" x14ac:dyDescent="0.2">
      <c r="B57" s="31"/>
    </row>
    <row r="58" spans="2:2" x14ac:dyDescent="0.2">
      <c r="B58" s="31"/>
    </row>
    <row r="59" spans="2:2" x14ac:dyDescent="0.2">
      <c r="B59" s="31"/>
    </row>
    <row r="60" spans="2:2" x14ac:dyDescent="0.2">
      <c r="B60" s="31"/>
    </row>
    <row r="61" spans="2:2" x14ac:dyDescent="0.2">
      <c r="B61" s="31"/>
    </row>
    <row r="62" spans="2:2" x14ac:dyDescent="0.2">
      <c r="B62" s="31"/>
    </row>
    <row r="63" spans="2:2" x14ac:dyDescent="0.2">
      <c r="B63" s="31"/>
    </row>
    <row r="64" spans="2:2" x14ac:dyDescent="0.2">
      <c r="B64" s="31"/>
    </row>
    <row r="65" spans="2:2" x14ac:dyDescent="0.2">
      <c r="B65" s="31"/>
    </row>
    <row r="66" spans="2:2" x14ac:dyDescent="0.2">
      <c r="B66" s="31"/>
    </row>
    <row r="67" spans="2:2" x14ac:dyDescent="0.2">
      <c r="B67" s="31"/>
    </row>
    <row r="68" spans="2:2" x14ac:dyDescent="0.2">
      <c r="B68" s="31"/>
    </row>
    <row r="69" spans="2:2" x14ac:dyDescent="0.2">
      <c r="B69" s="31"/>
    </row>
    <row r="70" spans="2:2" x14ac:dyDescent="0.2">
      <c r="B70" s="31"/>
    </row>
    <row r="71" spans="2:2" x14ac:dyDescent="0.2">
      <c r="B71" s="31"/>
    </row>
    <row r="72" spans="2:2" x14ac:dyDescent="0.2">
      <c r="B72" s="31"/>
    </row>
    <row r="73" spans="2:2" x14ac:dyDescent="0.2">
      <c r="B73" s="31"/>
    </row>
    <row r="74" spans="2:2" x14ac:dyDescent="0.2">
      <c r="B74" s="31"/>
    </row>
    <row r="75" spans="2:2" x14ac:dyDescent="0.2">
      <c r="B75" s="31"/>
    </row>
    <row r="76" spans="2:2" x14ac:dyDescent="0.2">
      <c r="B76" s="31"/>
    </row>
    <row r="77" spans="2:2" x14ac:dyDescent="0.2">
      <c r="B77" s="31"/>
    </row>
    <row r="78" spans="2:2" x14ac:dyDescent="0.2">
      <c r="B78" s="31"/>
    </row>
    <row r="79" spans="2:2" x14ac:dyDescent="0.2">
      <c r="B79" s="31"/>
    </row>
    <row r="80" spans="2:2" x14ac:dyDescent="0.2">
      <c r="B80" s="31"/>
    </row>
    <row r="81" spans="2:2" x14ac:dyDescent="0.2">
      <c r="B81" s="31"/>
    </row>
    <row r="82" spans="2:2" x14ac:dyDescent="0.2">
      <c r="B82" s="31"/>
    </row>
    <row r="83" spans="2:2" x14ac:dyDescent="0.2">
      <c r="B83" s="31"/>
    </row>
    <row r="84" spans="2:2" x14ac:dyDescent="0.2">
      <c r="B84" s="31"/>
    </row>
    <row r="85" spans="2:2" x14ac:dyDescent="0.2">
      <c r="B85" s="31"/>
    </row>
    <row r="86" spans="2:2" x14ac:dyDescent="0.2">
      <c r="B86" s="31"/>
    </row>
    <row r="87" spans="2:2" x14ac:dyDescent="0.2">
      <c r="B87" s="31"/>
    </row>
    <row r="88" spans="2:2" x14ac:dyDescent="0.2">
      <c r="B88" s="31"/>
    </row>
    <row r="89" spans="2:2" x14ac:dyDescent="0.2">
      <c r="B89" s="31"/>
    </row>
    <row r="90" spans="2:2" x14ac:dyDescent="0.2">
      <c r="B90" s="31"/>
    </row>
    <row r="91" spans="2:2" x14ac:dyDescent="0.2">
      <c r="B91" s="31"/>
    </row>
    <row r="92" spans="2:2" x14ac:dyDescent="0.2">
      <c r="B92" s="31"/>
    </row>
    <row r="93" spans="2:2" x14ac:dyDescent="0.2">
      <c r="B93" s="31"/>
    </row>
    <row r="94" spans="2:2" x14ac:dyDescent="0.2">
      <c r="B94" s="31"/>
    </row>
    <row r="95" spans="2:2" x14ac:dyDescent="0.2">
      <c r="B95" s="31"/>
    </row>
    <row r="96" spans="2:2" x14ac:dyDescent="0.2">
      <c r="B96" s="31"/>
    </row>
    <row r="97" spans="2:2" x14ac:dyDescent="0.2">
      <c r="B97" s="31"/>
    </row>
    <row r="98" spans="2:2" x14ac:dyDescent="0.2">
      <c r="B98" s="31"/>
    </row>
    <row r="99" spans="2:2" x14ac:dyDescent="0.2">
      <c r="B99" s="31"/>
    </row>
    <row r="100" spans="2:2" x14ac:dyDescent="0.2">
      <c r="B100" s="31"/>
    </row>
    <row r="101" spans="2:2" x14ac:dyDescent="0.2">
      <c r="B101" s="31"/>
    </row>
    <row r="102" spans="2:2" x14ac:dyDescent="0.2">
      <c r="B102" s="31"/>
    </row>
    <row r="103" spans="2:2" x14ac:dyDescent="0.2">
      <c r="B103" s="31"/>
    </row>
    <row r="104" spans="2:2" x14ac:dyDescent="0.2">
      <c r="B104" s="31"/>
    </row>
    <row r="105" spans="2:2" x14ac:dyDescent="0.2">
      <c r="B105" s="31"/>
    </row>
    <row r="106" spans="2:2" x14ac:dyDescent="0.2">
      <c r="B106" s="31"/>
    </row>
    <row r="107" spans="2:2" x14ac:dyDescent="0.2">
      <c r="B107" s="31"/>
    </row>
    <row r="108" spans="2:2" x14ac:dyDescent="0.2">
      <c r="B108" s="31"/>
    </row>
    <row r="109" spans="2:2" x14ac:dyDescent="0.2">
      <c r="B109" s="31"/>
    </row>
    <row r="110" spans="2:2" x14ac:dyDescent="0.2">
      <c r="B110" s="31"/>
    </row>
    <row r="111" spans="2:2" x14ac:dyDescent="0.2">
      <c r="B111" s="31"/>
    </row>
    <row r="112" spans="2:2" x14ac:dyDescent="0.2">
      <c r="B112" s="31"/>
    </row>
    <row r="113" spans="2:2" x14ac:dyDescent="0.2">
      <c r="B113" s="31"/>
    </row>
    <row r="114" spans="2:2" x14ac:dyDescent="0.2">
      <c r="B114" s="31"/>
    </row>
    <row r="115" spans="2:2" x14ac:dyDescent="0.2">
      <c r="B115" s="31"/>
    </row>
    <row r="116" spans="2:2" x14ac:dyDescent="0.2">
      <c r="B116" s="31"/>
    </row>
    <row r="117" spans="2:2" x14ac:dyDescent="0.2">
      <c r="B117" s="31"/>
    </row>
    <row r="118" spans="2:2" x14ac:dyDescent="0.2">
      <c r="B118" s="31"/>
    </row>
    <row r="119" spans="2:2" x14ac:dyDescent="0.2">
      <c r="B119" s="31"/>
    </row>
    <row r="120" spans="2:2" x14ac:dyDescent="0.2">
      <c r="B120" s="31"/>
    </row>
    <row r="121" spans="2:2" x14ac:dyDescent="0.2">
      <c r="B121" s="31"/>
    </row>
    <row r="122" spans="2:2" x14ac:dyDescent="0.2">
      <c r="B122" s="31"/>
    </row>
    <row r="123" spans="2:2" x14ac:dyDescent="0.2">
      <c r="B123" s="31"/>
    </row>
    <row r="124" spans="2:2" x14ac:dyDescent="0.2">
      <c r="B124" s="31"/>
    </row>
    <row r="125" spans="2:2" x14ac:dyDescent="0.2">
      <c r="B125" s="31"/>
    </row>
    <row r="126" spans="2:2" x14ac:dyDescent="0.2">
      <c r="B126" s="31"/>
    </row>
    <row r="127" spans="2:2" x14ac:dyDescent="0.2">
      <c r="B127" s="31"/>
    </row>
    <row r="128" spans="2:2" x14ac:dyDescent="0.2">
      <c r="B128" s="31"/>
    </row>
    <row r="129" spans="2:2" x14ac:dyDescent="0.2">
      <c r="B129" s="31"/>
    </row>
    <row r="130" spans="2:2" x14ac:dyDescent="0.2">
      <c r="B130" s="31"/>
    </row>
    <row r="131" spans="2:2" x14ac:dyDescent="0.2">
      <c r="B131" s="31"/>
    </row>
    <row r="132" spans="2:2" x14ac:dyDescent="0.2">
      <c r="B132" s="31"/>
    </row>
    <row r="133" spans="2:2" x14ac:dyDescent="0.2">
      <c r="B133" s="31"/>
    </row>
    <row r="134" spans="2:2" x14ac:dyDescent="0.2">
      <c r="B134" s="31"/>
    </row>
    <row r="135" spans="2:2" x14ac:dyDescent="0.2">
      <c r="B135" s="31"/>
    </row>
    <row r="136" spans="2:2" x14ac:dyDescent="0.2">
      <c r="B136" s="31"/>
    </row>
    <row r="137" spans="2:2" x14ac:dyDescent="0.2">
      <c r="B137" s="31"/>
    </row>
    <row r="138" spans="2:2" x14ac:dyDescent="0.2">
      <c r="B138" s="31"/>
    </row>
    <row r="139" spans="2:2" x14ac:dyDescent="0.2">
      <c r="B139" s="31"/>
    </row>
    <row r="140" spans="2:2" x14ac:dyDescent="0.2">
      <c r="B140" s="31"/>
    </row>
    <row r="141" spans="2:2" x14ac:dyDescent="0.2">
      <c r="B141" s="31"/>
    </row>
    <row r="142" spans="2:2" x14ac:dyDescent="0.2">
      <c r="B142" s="31"/>
    </row>
    <row r="143" spans="2:2" x14ac:dyDescent="0.2">
      <c r="B143" s="31"/>
    </row>
    <row r="144" spans="2:2" x14ac:dyDescent="0.2">
      <c r="B144" s="31"/>
    </row>
    <row r="145" spans="2:2" x14ac:dyDescent="0.2">
      <c r="B145" s="31"/>
    </row>
    <row r="146" spans="2:2" x14ac:dyDescent="0.2">
      <c r="B146" s="31"/>
    </row>
    <row r="147" spans="2:2" x14ac:dyDescent="0.2">
      <c r="B147" s="31"/>
    </row>
    <row r="148" spans="2:2" x14ac:dyDescent="0.2">
      <c r="B148" s="31"/>
    </row>
    <row r="149" spans="2:2" x14ac:dyDescent="0.2">
      <c r="B149" s="31"/>
    </row>
    <row r="150" spans="2:2" x14ac:dyDescent="0.2">
      <c r="B150" s="31"/>
    </row>
    <row r="151" spans="2:2" x14ac:dyDescent="0.2">
      <c r="B151" s="31"/>
    </row>
    <row r="152" spans="2:2" x14ac:dyDescent="0.2">
      <c r="B152" s="31"/>
    </row>
    <row r="153" spans="2:2" x14ac:dyDescent="0.2">
      <c r="B153" s="31"/>
    </row>
    <row r="154" spans="2:2" x14ac:dyDescent="0.2">
      <c r="B154" s="31"/>
    </row>
    <row r="155" spans="2:2" x14ac:dyDescent="0.2">
      <c r="B155" s="31"/>
    </row>
    <row r="156" spans="2:2" x14ac:dyDescent="0.2">
      <c r="B156" s="31"/>
    </row>
    <row r="157" spans="2:2" x14ac:dyDescent="0.2">
      <c r="B157" s="31"/>
    </row>
    <row r="158" spans="2:2" x14ac:dyDescent="0.2">
      <c r="B158" s="31"/>
    </row>
    <row r="159" spans="2:2" x14ac:dyDescent="0.2">
      <c r="B159" s="31"/>
    </row>
    <row r="160" spans="2:2" x14ac:dyDescent="0.2">
      <c r="B160" s="31"/>
    </row>
    <row r="161" spans="2:2" x14ac:dyDescent="0.2">
      <c r="B161" s="31"/>
    </row>
    <row r="162" spans="2:2" x14ac:dyDescent="0.2">
      <c r="B162" s="31"/>
    </row>
    <row r="163" spans="2:2" x14ac:dyDescent="0.2">
      <c r="B163" s="31"/>
    </row>
    <row r="164" spans="2:2" x14ac:dyDescent="0.2">
      <c r="B164" s="31"/>
    </row>
    <row r="165" spans="2:2" x14ac:dyDescent="0.2">
      <c r="B165" s="31"/>
    </row>
    <row r="166" spans="2:2" x14ac:dyDescent="0.2">
      <c r="B166" s="31"/>
    </row>
    <row r="167" spans="2:2" x14ac:dyDescent="0.2">
      <c r="B167" s="31"/>
    </row>
    <row r="168" spans="2:2" x14ac:dyDescent="0.2">
      <c r="B168" s="31"/>
    </row>
    <row r="169" spans="2:2" x14ac:dyDescent="0.2">
      <c r="B169" s="31"/>
    </row>
    <row r="170" spans="2:2" x14ac:dyDescent="0.2">
      <c r="B170" s="31"/>
    </row>
    <row r="171" spans="2:2" x14ac:dyDescent="0.2">
      <c r="B171" s="31"/>
    </row>
    <row r="172" spans="2:2" x14ac:dyDescent="0.2">
      <c r="B172" s="31"/>
    </row>
    <row r="173" spans="2:2" x14ac:dyDescent="0.2">
      <c r="B173" s="31"/>
    </row>
    <row r="174" spans="2:2" x14ac:dyDescent="0.2">
      <c r="B174" s="31"/>
    </row>
    <row r="175" spans="2:2" x14ac:dyDescent="0.2">
      <c r="B175" s="31"/>
    </row>
    <row r="176" spans="2:2" x14ac:dyDescent="0.2">
      <c r="B176" s="31"/>
    </row>
    <row r="177" spans="2:2" x14ac:dyDescent="0.2">
      <c r="B177" s="31"/>
    </row>
    <row r="178" spans="2:2" x14ac:dyDescent="0.2">
      <c r="B178" s="31"/>
    </row>
    <row r="179" spans="2:2" x14ac:dyDescent="0.2">
      <c r="B179" s="31"/>
    </row>
    <row r="180" spans="2:2" x14ac:dyDescent="0.2">
      <c r="B180" s="31"/>
    </row>
    <row r="181" spans="2:2" x14ac:dyDescent="0.2">
      <c r="B181" s="31"/>
    </row>
    <row r="182" spans="2:2" x14ac:dyDescent="0.2">
      <c r="B182" s="31"/>
    </row>
    <row r="183" spans="2:2" x14ac:dyDescent="0.2">
      <c r="B183" s="31"/>
    </row>
    <row r="184" spans="2:2" x14ac:dyDescent="0.2">
      <c r="B184" s="31"/>
    </row>
    <row r="185" spans="2:2" x14ac:dyDescent="0.2">
      <c r="B185" s="31"/>
    </row>
    <row r="186" spans="2:2" x14ac:dyDescent="0.2">
      <c r="B186" s="31"/>
    </row>
    <row r="187" spans="2:2" x14ac:dyDescent="0.2">
      <c r="B187" s="31"/>
    </row>
    <row r="188" spans="2:2" x14ac:dyDescent="0.2">
      <c r="B188" s="31"/>
    </row>
    <row r="189" spans="2:2" x14ac:dyDescent="0.2">
      <c r="B189" s="31"/>
    </row>
    <row r="190" spans="2:2" x14ac:dyDescent="0.2">
      <c r="B190" s="31"/>
    </row>
    <row r="191" spans="2:2" x14ac:dyDescent="0.2">
      <c r="B191" s="31"/>
    </row>
    <row r="192" spans="2:2" x14ac:dyDescent="0.2">
      <c r="B192" s="31"/>
    </row>
    <row r="193" spans="2:2" x14ac:dyDescent="0.2">
      <c r="B193" s="31"/>
    </row>
    <row r="194" spans="2:2" x14ac:dyDescent="0.2">
      <c r="B194" s="31"/>
    </row>
    <row r="195" spans="2:2" x14ac:dyDescent="0.2">
      <c r="B195" s="31"/>
    </row>
    <row r="196" spans="2:2" x14ac:dyDescent="0.2">
      <c r="B196" s="31"/>
    </row>
    <row r="197" spans="2:2" x14ac:dyDescent="0.2">
      <c r="B197" s="31"/>
    </row>
    <row r="198" spans="2:2" x14ac:dyDescent="0.2">
      <c r="B198" s="31"/>
    </row>
    <row r="199" spans="2:2" x14ac:dyDescent="0.2">
      <c r="B199" s="31"/>
    </row>
    <row r="200" spans="2:2" x14ac:dyDescent="0.2">
      <c r="B200" s="31"/>
    </row>
    <row r="201" spans="2:2" x14ac:dyDescent="0.2">
      <c r="B201" s="31"/>
    </row>
    <row r="202" spans="2:2" x14ac:dyDescent="0.2">
      <c r="B202" s="31"/>
    </row>
    <row r="203" spans="2:2" x14ac:dyDescent="0.2">
      <c r="B203" s="31"/>
    </row>
    <row r="204" spans="2:2" x14ac:dyDescent="0.2">
      <c r="B204" s="31"/>
    </row>
    <row r="205" spans="2:2" x14ac:dyDescent="0.2">
      <c r="B205" s="31"/>
    </row>
    <row r="206" spans="2:2" x14ac:dyDescent="0.2">
      <c r="B206" s="31"/>
    </row>
    <row r="207" spans="2:2" x14ac:dyDescent="0.2">
      <c r="B207" s="31"/>
    </row>
    <row r="208" spans="2:2" x14ac:dyDescent="0.2">
      <c r="B208" s="31"/>
    </row>
    <row r="209" spans="2:2" x14ac:dyDescent="0.2">
      <c r="B209" s="31"/>
    </row>
    <row r="210" spans="2:2" x14ac:dyDescent="0.2">
      <c r="B210" s="31"/>
    </row>
    <row r="211" spans="2:2" x14ac:dyDescent="0.2">
      <c r="B211" s="31"/>
    </row>
    <row r="212" spans="2:2" x14ac:dyDescent="0.2">
      <c r="B212" s="31"/>
    </row>
    <row r="213" spans="2:2" x14ac:dyDescent="0.2">
      <c r="B213" s="31"/>
    </row>
    <row r="214" spans="2:2" x14ac:dyDescent="0.2">
      <c r="B214" s="31"/>
    </row>
    <row r="215" spans="2:2" x14ac:dyDescent="0.2">
      <c r="B215" s="31"/>
    </row>
    <row r="216" spans="2:2" x14ac:dyDescent="0.2">
      <c r="B216" s="31"/>
    </row>
    <row r="217" spans="2:2" x14ac:dyDescent="0.2">
      <c r="B217" s="31"/>
    </row>
    <row r="218" spans="2:2" x14ac:dyDescent="0.2">
      <c r="B218" s="31"/>
    </row>
    <row r="219" spans="2:2" x14ac:dyDescent="0.2">
      <c r="B219" s="31"/>
    </row>
    <row r="220" spans="2:2" x14ac:dyDescent="0.2">
      <c r="B220" s="31"/>
    </row>
    <row r="221" spans="2:2" x14ac:dyDescent="0.2">
      <c r="B221" s="31"/>
    </row>
    <row r="222" spans="2:2" x14ac:dyDescent="0.2">
      <c r="B222" s="31"/>
    </row>
    <row r="223" spans="2:2" x14ac:dyDescent="0.2">
      <c r="B223" s="31"/>
    </row>
    <row r="224" spans="2:2" x14ac:dyDescent="0.2">
      <c r="B224" s="31"/>
    </row>
    <row r="225" spans="2:2" x14ac:dyDescent="0.2">
      <c r="B225" s="31"/>
    </row>
    <row r="226" spans="2:2" x14ac:dyDescent="0.2">
      <c r="B226" s="31"/>
    </row>
    <row r="227" spans="2:2" x14ac:dyDescent="0.2">
      <c r="B227" s="31"/>
    </row>
    <row r="228" spans="2:2" x14ac:dyDescent="0.2">
      <c r="B228" s="31"/>
    </row>
    <row r="229" spans="2:2" x14ac:dyDescent="0.2">
      <c r="B229" s="31"/>
    </row>
    <row r="230" spans="2:2" x14ac:dyDescent="0.2">
      <c r="B230" s="31"/>
    </row>
    <row r="231" spans="2:2" x14ac:dyDescent="0.2">
      <c r="B231" s="31"/>
    </row>
    <row r="232" spans="2:2" x14ac:dyDescent="0.2">
      <c r="B232" s="31"/>
    </row>
    <row r="233" spans="2:2" x14ac:dyDescent="0.2">
      <c r="B233" s="31"/>
    </row>
    <row r="234" spans="2:2" x14ac:dyDescent="0.2">
      <c r="B234" s="31"/>
    </row>
    <row r="235" spans="2:2" x14ac:dyDescent="0.2">
      <c r="B235" s="31"/>
    </row>
    <row r="236" spans="2:2" x14ac:dyDescent="0.2">
      <c r="B236" s="31"/>
    </row>
    <row r="237" spans="2:2" x14ac:dyDescent="0.2">
      <c r="B237" s="31"/>
    </row>
    <row r="238" spans="2:2" x14ac:dyDescent="0.2">
      <c r="B238" s="31"/>
    </row>
    <row r="239" spans="2:2" x14ac:dyDescent="0.2">
      <c r="B239" s="31"/>
    </row>
    <row r="240" spans="2:2" x14ac:dyDescent="0.2">
      <c r="B240" s="31"/>
    </row>
    <row r="241" spans="2:2" x14ac:dyDescent="0.2">
      <c r="B241" s="31"/>
    </row>
    <row r="242" spans="2:2" x14ac:dyDescent="0.2">
      <c r="B242" s="31"/>
    </row>
    <row r="243" spans="2:2" x14ac:dyDescent="0.2">
      <c r="B243" s="31"/>
    </row>
    <row r="244" spans="2:2" x14ac:dyDescent="0.2">
      <c r="B244" s="31"/>
    </row>
    <row r="245" spans="2:2" x14ac:dyDescent="0.2">
      <c r="B245" s="31"/>
    </row>
    <row r="246" spans="2:2" x14ac:dyDescent="0.2">
      <c r="B246" s="31"/>
    </row>
    <row r="247" spans="2:2" x14ac:dyDescent="0.2">
      <c r="B247" s="31"/>
    </row>
    <row r="248" spans="2:2" x14ac:dyDescent="0.2">
      <c r="B248" s="31"/>
    </row>
    <row r="249" spans="2:2" x14ac:dyDescent="0.2">
      <c r="B249" s="31"/>
    </row>
    <row r="250" spans="2:2" x14ac:dyDescent="0.2">
      <c r="B250" s="31"/>
    </row>
    <row r="251" spans="2:2" x14ac:dyDescent="0.2">
      <c r="B251" s="31"/>
    </row>
    <row r="252" spans="2:2" x14ac:dyDescent="0.2">
      <c r="B252" s="31"/>
    </row>
    <row r="253" spans="2:2" x14ac:dyDescent="0.2">
      <c r="B253" s="31"/>
    </row>
    <row r="254" spans="2:2" x14ac:dyDescent="0.2">
      <c r="B254" s="31"/>
    </row>
    <row r="255" spans="2:2" x14ac:dyDescent="0.2">
      <c r="B255" s="31"/>
    </row>
    <row r="256" spans="2:2" x14ac:dyDescent="0.2">
      <c r="B256" s="31"/>
    </row>
    <row r="257" spans="2:2" x14ac:dyDescent="0.2">
      <c r="B257" s="31"/>
    </row>
    <row r="258" spans="2:2" x14ac:dyDescent="0.2">
      <c r="B258" s="31"/>
    </row>
    <row r="259" spans="2:2" x14ac:dyDescent="0.2">
      <c r="B259" s="31"/>
    </row>
    <row r="260" spans="2:2" x14ac:dyDescent="0.2">
      <c r="B260" s="31"/>
    </row>
    <row r="261" spans="2:2" x14ac:dyDescent="0.2">
      <c r="B261" s="31"/>
    </row>
    <row r="262" spans="2:2" x14ac:dyDescent="0.2">
      <c r="B262" s="31"/>
    </row>
    <row r="263" spans="2:2" x14ac:dyDescent="0.2">
      <c r="B263" s="31"/>
    </row>
    <row r="264" spans="2:2" x14ac:dyDescent="0.2">
      <c r="B264" s="31"/>
    </row>
    <row r="265" spans="2:2" x14ac:dyDescent="0.2">
      <c r="B265" s="31"/>
    </row>
    <row r="266" spans="2:2" x14ac:dyDescent="0.2">
      <c r="B266" s="31"/>
    </row>
    <row r="267" spans="2:2" x14ac:dyDescent="0.2">
      <c r="B267" s="31"/>
    </row>
    <row r="268" spans="2:2" x14ac:dyDescent="0.2">
      <c r="B268" s="31"/>
    </row>
    <row r="269" spans="2:2" x14ac:dyDescent="0.2">
      <c r="B269" s="31"/>
    </row>
    <row r="270" spans="2:2" x14ac:dyDescent="0.2">
      <c r="B270" s="31"/>
    </row>
    <row r="271" spans="2:2" x14ac:dyDescent="0.2">
      <c r="B271" s="31"/>
    </row>
    <row r="272" spans="2:2" x14ac:dyDescent="0.2">
      <c r="B272" s="31"/>
    </row>
    <row r="273" spans="2:2" x14ac:dyDescent="0.2">
      <c r="B273" s="31"/>
    </row>
    <row r="274" spans="2:2" x14ac:dyDescent="0.2">
      <c r="B274" s="31"/>
    </row>
    <row r="275" spans="2:2" x14ac:dyDescent="0.2">
      <c r="B275" s="31"/>
    </row>
    <row r="276" spans="2:2" x14ac:dyDescent="0.2">
      <c r="B276" s="31"/>
    </row>
    <row r="277" spans="2:2" x14ac:dyDescent="0.2">
      <c r="B277" s="31"/>
    </row>
    <row r="278" spans="2:2" x14ac:dyDescent="0.2">
      <c r="B278" s="31"/>
    </row>
    <row r="279" spans="2:2" x14ac:dyDescent="0.2">
      <c r="B279" s="31"/>
    </row>
    <row r="280" spans="2:2" x14ac:dyDescent="0.2">
      <c r="B280" s="31"/>
    </row>
    <row r="281" spans="2:2" x14ac:dyDescent="0.2">
      <c r="B281" s="31"/>
    </row>
    <row r="282" spans="2:2" x14ac:dyDescent="0.2">
      <c r="B282" s="31"/>
    </row>
    <row r="283" spans="2:2" x14ac:dyDescent="0.2">
      <c r="B283" s="31"/>
    </row>
    <row r="284" spans="2:2" x14ac:dyDescent="0.2">
      <c r="B284" s="31"/>
    </row>
    <row r="285" spans="2:2" x14ac:dyDescent="0.2">
      <c r="B285" s="31"/>
    </row>
    <row r="286" spans="2:2" x14ac:dyDescent="0.2">
      <c r="B286" s="31"/>
    </row>
    <row r="287" spans="2:2" x14ac:dyDescent="0.2">
      <c r="B287" s="31"/>
    </row>
    <row r="288" spans="2:2" x14ac:dyDescent="0.2">
      <c r="B288" s="31"/>
    </row>
    <row r="289" spans="2:2" x14ac:dyDescent="0.2">
      <c r="B289" s="31"/>
    </row>
    <row r="290" spans="2:2" x14ac:dyDescent="0.2">
      <c r="B290" s="31"/>
    </row>
    <row r="291" spans="2:2" x14ac:dyDescent="0.2">
      <c r="B291" s="31"/>
    </row>
    <row r="292" spans="2:2" x14ac:dyDescent="0.2">
      <c r="B292" s="31"/>
    </row>
    <row r="293" spans="2:2" x14ac:dyDescent="0.2">
      <c r="B293" s="31"/>
    </row>
    <row r="294" spans="2:2" x14ac:dyDescent="0.2">
      <c r="B294" s="31"/>
    </row>
    <row r="295" spans="2:2" x14ac:dyDescent="0.2">
      <c r="B295" s="31"/>
    </row>
    <row r="296" spans="2:2" x14ac:dyDescent="0.2">
      <c r="B296" s="31"/>
    </row>
    <row r="297" spans="2:2" x14ac:dyDescent="0.2">
      <c r="B297" s="31"/>
    </row>
    <row r="298" spans="2:2" x14ac:dyDescent="0.2">
      <c r="B298" s="31"/>
    </row>
    <row r="299" spans="2:2" x14ac:dyDescent="0.2">
      <c r="B299" s="31"/>
    </row>
    <row r="300" spans="2:2" x14ac:dyDescent="0.2">
      <c r="B300" s="31"/>
    </row>
    <row r="301" spans="2:2" x14ac:dyDescent="0.2">
      <c r="B301" s="31"/>
    </row>
    <row r="302" spans="2:2" x14ac:dyDescent="0.2">
      <c r="B302" s="31"/>
    </row>
    <row r="303" spans="2:2" x14ac:dyDescent="0.2">
      <c r="B303" s="31"/>
    </row>
    <row r="304" spans="2:2" x14ac:dyDescent="0.2">
      <c r="B304" s="31"/>
    </row>
    <row r="305" spans="2:2" x14ac:dyDescent="0.2">
      <c r="B305" s="31"/>
    </row>
    <row r="306" spans="2:2" x14ac:dyDescent="0.2">
      <c r="B306" s="31"/>
    </row>
    <row r="307" spans="2:2" x14ac:dyDescent="0.2">
      <c r="B307" s="31"/>
    </row>
    <row r="308" spans="2:2" x14ac:dyDescent="0.2">
      <c r="B308" s="31"/>
    </row>
    <row r="309" spans="2:2" x14ac:dyDescent="0.2">
      <c r="B309" s="31"/>
    </row>
    <row r="310" spans="2:2" x14ac:dyDescent="0.2">
      <c r="B310" s="31"/>
    </row>
    <row r="311" spans="2:2" x14ac:dyDescent="0.2">
      <c r="B311" s="31"/>
    </row>
    <row r="312" spans="2:2" x14ac:dyDescent="0.2">
      <c r="B312" s="31"/>
    </row>
    <row r="313" spans="2:2" x14ac:dyDescent="0.2">
      <c r="B313" s="31"/>
    </row>
    <row r="314" spans="2:2" x14ac:dyDescent="0.2">
      <c r="B314" s="31"/>
    </row>
    <row r="315" spans="2:2" x14ac:dyDescent="0.2">
      <c r="B315" s="31"/>
    </row>
    <row r="316" spans="2:2" x14ac:dyDescent="0.2">
      <c r="B316" s="31"/>
    </row>
    <row r="317" spans="2:2" x14ac:dyDescent="0.2">
      <c r="B317" s="31"/>
    </row>
    <row r="318" spans="2:2" x14ac:dyDescent="0.2">
      <c r="B318" s="31"/>
    </row>
    <row r="319" spans="2:2" x14ac:dyDescent="0.2">
      <c r="B319" s="31"/>
    </row>
    <row r="320" spans="2:2" x14ac:dyDescent="0.2">
      <c r="B320" s="31"/>
    </row>
    <row r="321" spans="2:2" x14ac:dyDescent="0.2">
      <c r="B321" s="31"/>
    </row>
    <row r="322" spans="2:2" x14ac:dyDescent="0.2">
      <c r="B322" s="31"/>
    </row>
    <row r="323" spans="2:2" x14ac:dyDescent="0.2">
      <c r="B323" s="31"/>
    </row>
    <row r="324" spans="2:2" x14ac:dyDescent="0.2">
      <c r="B324" s="31"/>
    </row>
    <row r="325" spans="2:2" x14ac:dyDescent="0.2">
      <c r="B325" s="31"/>
    </row>
    <row r="326" spans="2:2" x14ac:dyDescent="0.2">
      <c r="B326" s="31"/>
    </row>
    <row r="327" spans="2:2" x14ac:dyDescent="0.2">
      <c r="B327" s="31"/>
    </row>
    <row r="328" spans="2:2" x14ac:dyDescent="0.2">
      <c r="B328" s="31"/>
    </row>
    <row r="329" spans="2:2" x14ac:dyDescent="0.2">
      <c r="B329" s="31"/>
    </row>
    <row r="330" spans="2:2" x14ac:dyDescent="0.2">
      <c r="B330" s="31"/>
    </row>
    <row r="331" spans="2:2" x14ac:dyDescent="0.2">
      <c r="B331" s="31"/>
    </row>
    <row r="332" spans="2:2" x14ac:dyDescent="0.2">
      <c r="B332" s="31"/>
    </row>
    <row r="333" spans="2:2" x14ac:dyDescent="0.2">
      <c r="B333" s="31"/>
    </row>
    <row r="334" spans="2:2" x14ac:dyDescent="0.2">
      <c r="B334" s="31"/>
    </row>
    <row r="335" spans="2:2" x14ac:dyDescent="0.2">
      <c r="B335" s="31"/>
    </row>
    <row r="336" spans="2:2" x14ac:dyDescent="0.2">
      <c r="B336" s="31"/>
    </row>
    <row r="337" spans="2:2" x14ac:dyDescent="0.2">
      <c r="B337" s="31"/>
    </row>
    <row r="338" spans="2:2" x14ac:dyDescent="0.2">
      <c r="B338" s="31"/>
    </row>
    <row r="339" spans="2:2" x14ac:dyDescent="0.2">
      <c r="B339" s="31"/>
    </row>
    <row r="340" spans="2:2" x14ac:dyDescent="0.2">
      <c r="B340" s="31"/>
    </row>
    <row r="341" spans="2:2" x14ac:dyDescent="0.2">
      <c r="B341" s="31"/>
    </row>
    <row r="342" spans="2:2" x14ac:dyDescent="0.2">
      <c r="B342" s="31"/>
    </row>
    <row r="343" spans="2:2" x14ac:dyDescent="0.2">
      <c r="B343" s="31"/>
    </row>
    <row r="344" spans="2:2" x14ac:dyDescent="0.2">
      <c r="B344" s="31"/>
    </row>
    <row r="345" spans="2:2" x14ac:dyDescent="0.2">
      <c r="B345" s="31"/>
    </row>
    <row r="346" spans="2:2" x14ac:dyDescent="0.2">
      <c r="B346" s="31"/>
    </row>
    <row r="347" spans="2:2" x14ac:dyDescent="0.2">
      <c r="B347" s="31"/>
    </row>
    <row r="348" spans="2:2" x14ac:dyDescent="0.2">
      <c r="B348" s="31"/>
    </row>
    <row r="349" spans="2:2" x14ac:dyDescent="0.2">
      <c r="B349" s="31"/>
    </row>
    <row r="350" spans="2:2" x14ac:dyDescent="0.2">
      <c r="B350" s="31"/>
    </row>
    <row r="351" spans="2:2" x14ac:dyDescent="0.2">
      <c r="B351" s="31"/>
    </row>
    <row r="352" spans="2:2" x14ac:dyDescent="0.2">
      <c r="B352" s="31"/>
    </row>
    <row r="353" spans="2:2" x14ac:dyDescent="0.2">
      <c r="B353" s="31"/>
    </row>
    <row r="354" spans="2:2" x14ac:dyDescent="0.2">
      <c r="B354" s="31"/>
    </row>
    <row r="355" spans="2:2" x14ac:dyDescent="0.2">
      <c r="B355" s="31"/>
    </row>
    <row r="356" spans="2:2" x14ac:dyDescent="0.2">
      <c r="B356" s="31"/>
    </row>
    <row r="357" spans="2:2" x14ac:dyDescent="0.2">
      <c r="B357" s="31"/>
    </row>
    <row r="358" spans="2:2" x14ac:dyDescent="0.2">
      <c r="B358" s="31"/>
    </row>
    <row r="359" spans="2:2" x14ac:dyDescent="0.2">
      <c r="B359" s="31"/>
    </row>
    <row r="360" spans="2:2" x14ac:dyDescent="0.2">
      <c r="B360" s="31"/>
    </row>
    <row r="361" spans="2:2" x14ac:dyDescent="0.2">
      <c r="B361" s="31"/>
    </row>
    <row r="362" spans="2:2" x14ac:dyDescent="0.2">
      <c r="B362" s="31"/>
    </row>
    <row r="363" spans="2:2" x14ac:dyDescent="0.2">
      <c r="B363" s="31"/>
    </row>
    <row r="364" spans="2:2" x14ac:dyDescent="0.2">
      <c r="B364" s="31"/>
    </row>
    <row r="365" spans="2:2" x14ac:dyDescent="0.2">
      <c r="B365" s="31"/>
    </row>
    <row r="366" spans="2:2" x14ac:dyDescent="0.2">
      <c r="B366" s="31"/>
    </row>
    <row r="367" spans="2:2" x14ac:dyDescent="0.2">
      <c r="B367" s="31"/>
    </row>
    <row r="368" spans="2:2" x14ac:dyDescent="0.2">
      <c r="B368" s="31"/>
    </row>
    <row r="369" spans="2:2" x14ac:dyDescent="0.2">
      <c r="B369" s="31"/>
    </row>
    <row r="370" spans="2:2" x14ac:dyDescent="0.2">
      <c r="B370" s="31"/>
    </row>
    <row r="371" spans="2:2" x14ac:dyDescent="0.2">
      <c r="B371" s="31"/>
    </row>
    <row r="372" spans="2:2" x14ac:dyDescent="0.2">
      <c r="B372" s="31"/>
    </row>
    <row r="373" spans="2:2" x14ac:dyDescent="0.2">
      <c r="B373" s="31"/>
    </row>
    <row r="374" spans="2:2" x14ac:dyDescent="0.2">
      <c r="B374" s="31"/>
    </row>
    <row r="375" spans="2:2" x14ac:dyDescent="0.2">
      <c r="B375" s="31"/>
    </row>
    <row r="376" spans="2:2" x14ac:dyDescent="0.2">
      <c r="B376" s="31"/>
    </row>
    <row r="377" spans="2:2" x14ac:dyDescent="0.2">
      <c r="B377" s="31"/>
    </row>
    <row r="378" spans="2:2" x14ac:dyDescent="0.2">
      <c r="B378" s="31"/>
    </row>
    <row r="379" spans="2:2" x14ac:dyDescent="0.2">
      <c r="B379" s="31"/>
    </row>
    <row r="380" spans="2:2" x14ac:dyDescent="0.2">
      <c r="B380" s="31"/>
    </row>
    <row r="381" spans="2:2" x14ac:dyDescent="0.2">
      <c r="B381" s="31"/>
    </row>
    <row r="382" spans="2:2" x14ac:dyDescent="0.2">
      <c r="B382" s="31"/>
    </row>
    <row r="383" spans="2:2" x14ac:dyDescent="0.2">
      <c r="B383" s="31"/>
    </row>
    <row r="384" spans="2:2" x14ac:dyDescent="0.2">
      <c r="B384" s="31"/>
    </row>
    <row r="385" spans="2:2" x14ac:dyDescent="0.2">
      <c r="B385" s="31"/>
    </row>
    <row r="386" spans="2:2" x14ac:dyDescent="0.2">
      <c r="B386" s="31"/>
    </row>
    <row r="387" spans="2:2" x14ac:dyDescent="0.2">
      <c r="B387" s="31"/>
    </row>
    <row r="388" spans="2:2" x14ac:dyDescent="0.2">
      <c r="B388" s="31"/>
    </row>
    <row r="389" spans="2:2" x14ac:dyDescent="0.2">
      <c r="B389" s="31"/>
    </row>
    <row r="390" spans="2:2" x14ac:dyDescent="0.2">
      <c r="B390" s="31"/>
    </row>
    <row r="391" spans="2:2" x14ac:dyDescent="0.2">
      <c r="B391" s="31"/>
    </row>
    <row r="392" spans="2:2" x14ac:dyDescent="0.2">
      <c r="B392" s="31"/>
    </row>
    <row r="393" spans="2:2" x14ac:dyDescent="0.2">
      <c r="B393" s="31"/>
    </row>
    <row r="394" spans="2:2" x14ac:dyDescent="0.2">
      <c r="B394" s="31"/>
    </row>
    <row r="395" spans="2:2" x14ac:dyDescent="0.2">
      <c r="B395" s="31"/>
    </row>
    <row r="396" spans="2:2" x14ac:dyDescent="0.2">
      <c r="B396" s="31"/>
    </row>
    <row r="397" spans="2:2" x14ac:dyDescent="0.2">
      <c r="B397" s="31"/>
    </row>
    <row r="398" spans="2:2" x14ac:dyDescent="0.2">
      <c r="B398" s="31"/>
    </row>
    <row r="399" spans="2:2" x14ac:dyDescent="0.2">
      <c r="B399" s="31"/>
    </row>
    <row r="400" spans="2:2" x14ac:dyDescent="0.2">
      <c r="B400" s="31"/>
    </row>
    <row r="401" spans="2:2" x14ac:dyDescent="0.2">
      <c r="B401" s="31"/>
    </row>
    <row r="402" spans="2:2" x14ac:dyDescent="0.2">
      <c r="B402" s="31"/>
    </row>
    <row r="403" spans="2:2" x14ac:dyDescent="0.2">
      <c r="B403" s="31"/>
    </row>
    <row r="404" spans="2:2" x14ac:dyDescent="0.2">
      <c r="B404" s="31"/>
    </row>
    <row r="405" spans="2:2" x14ac:dyDescent="0.2">
      <c r="B405" s="31"/>
    </row>
    <row r="406" spans="2:2" x14ac:dyDescent="0.2">
      <c r="B406" s="31"/>
    </row>
    <row r="407" spans="2:2" x14ac:dyDescent="0.2">
      <c r="B407" s="31"/>
    </row>
    <row r="408" spans="2:2" x14ac:dyDescent="0.2">
      <c r="B408" s="31"/>
    </row>
    <row r="409" spans="2:2" x14ac:dyDescent="0.2">
      <c r="B409" s="31"/>
    </row>
    <row r="410" spans="2:2" x14ac:dyDescent="0.2">
      <c r="B410" s="31"/>
    </row>
    <row r="411" spans="2:2" x14ac:dyDescent="0.2">
      <c r="B411" s="31"/>
    </row>
    <row r="412" spans="2:2" x14ac:dyDescent="0.2">
      <c r="B412" s="31"/>
    </row>
    <row r="413" spans="2:2" x14ac:dyDescent="0.2">
      <c r="B413" s="31"/>
    </row>
    <row r="414" spans="2:2" x14ac:dyDescent="0.2">
      <c r="B414" s="31"/>
    </row>
    <row r="415" spans="2:2" x14ac:dyDescent="0.2">
      <c r="B415" s="31"/>
    </row>
    <row r="416" spans="2:2" x14ac:dyDescent="0.2">
      <c r="B416" s="31"/>
    </row>
    <row r="417" spans="2:2" x14ac:dyDescent="0.2">
      <c r="B417" s="31"/>
    </row>
    <row r="418" spans="2:2" x14ac:dyDescent="0.2">
      <c r="B418" s="31"/>
    </row>
    <row r="419" spans="2:2" x14ac:dyDescent="0.2">
      <c r="B419" s="31"/>
    </row>
    <row r="420" spans="2:2" x14ac:dyDescent="0.2">
      <c r="B420" s="31"/>
    </row>
    <row r="421" spans="2:2" x14ac:dyDescent="0.2">
      <c r="B421" s="31"/>
    </row>
    <row r="422" spans="2:2" x14ac:dyDescent="0.2">
      <c r="B422" s="31"/>
    </row>
    <row r="423" spans="2:2" x14ac:dyDescent="0.2">
      <c r="B423" s="31"/>
    </row>
    <row r="424" spans="2:2" x14ac:dyDescent="0.2">
      <c r="B424" s="31"/>
    </row>
    <row r="425" spans="2:2" x14ac:dyDescent="0.2">
      <c r="B425" s="31"/>
    </row>
    <row r="426" spans="2:2" x14ac:dyDescent="0.2">
      <c r="B426" s="31"/>
    </row>
    <row r="427" spans="2:2" x14ac:dyDescent="0.2">
      <c r="B427" s="31"/>
    </row>
    <row r="428" spans="2:2" x14ac:dyDescent="0.2">
      <c r="B428" s="31"/>
    </row>
    <row r="429" spans="2:2" x14ac:dyDescent="0.2">
      <c r="B429" s="31"/>
    </row>
    <row r="430" spans="2:2" x14ac:dyDescent="0.2">
      <c r="B430" s="31"/>
    </row>
    <row r="431" spans="2:2" x14ac:dyDescent="0.2">
      <c r="B431" s="31"/>
    </row>
    <row r="432" spans="2:2" x14ac:dyDescent="0.2">
      <c r="B432" s="31"/>
    </row>
    <row r="433" spans="2:2" x14ac:dyDescent="0.2">
      <c r="B433" s="31"/>
    </row>
    <row r="434" spans="2:2" x14ac:dyDescent="0.2">
      <c r="B434" s="31"/>
    </row>
    <row r="435" spans="2:2" x14ac:dyDescent="0.2">
      <c r="B435" s="31"/>
    </row>
    <row r="436" spans="2:2" x14ac:dyDescent="0.2">
      <c r="B436" s="31"/>
    </row>
    <row r="437" spans="2:2" x14ac:dyDescent="0.2">
      <c r="B437" s="31"/>
    </row>
    <row r="438" spans="2:2" x14ac:dyDescent="0.2">
      <c r="B438" s="31"/>
    </row>
    <row r="439" spans="2:2" x14ac:dyDescent="0.2">
      <c r="B439" s="31"/>
    </row>
    <row r="440" spans="2:2" x14ac:dyDescent="0.2">
      <c r="B440" s="31"/>
    </row>
    <row r="441" spans="2:2" x14ac:dyDescent="0.2">
      <c r="B441" s="31"/>
    </row>
    <row r="442" spans="2:2" x14ac:dyDescent="0.2">
      <c r="B442" s="31"/>
    </row>
    <row r="443" spans="2:2" x14ac:dyDescent="0.2">
      <c r="B443" s="31"/>
    </row>
    <row r="444" spans="2:2" x14ac:dyDescent="0.2">
      <c r="B444" s="31"/>
    </row>
    <row r="445" spans="2:2" x14ac:dyDescent="0.2">
      <c r="B445" s="31"/>
    </row>
    <row r="446" spans="2:2" x14ac:dyDescent="0.2">
      <c r="B446" s="31"/>
    </row>
    <row r="447" spans="2:2" x14ac:dyDescent="0.2">
      <c r="B447" s="31"/>
    </row>
    <row r="448" spans="2:2" x14ac:dyDescent="0.2">
      <c r="B448" s="31"/>
    </row>
    <row r="449" spans="2:2" x14ac:dyDescent="0.2">
      <c r="B449" s="31"/>
    </row>
    <row r="450" spans="2:2" x14ac:dyDescent="0.2">
      <c r="B450" s="31"/>
    </row>
    <row r="451" spans="2:2" x14ac:dyDescent="0.2">
      <c r="B451" s="31"/>
    </row>
    <row r="452" spans="2:2" x14ac:dyDescent="0.2">
      <c r="B452" s="31"/>
    </row>
    <row r="453" spans="2:2" x14ac:dyDescent="0.2">
      <c r="B453" s="31"/>
    </row>
    <row r="454" spans="2:2" x14ac:dyDescent="0.2">
      <c r="B454" s="31"/>
    </row>
    <row r="455" spans="2:2" x14ac:dyDescent="0.2">
      <c r="B455" s="31"/>
    </row>
    <row r="456" spans="2:2" x14ac:dyDescent="0.2">
      <c r="B456" s="31"/>
    </row>
    <row r="457" spans="2:2" x14ac:dyDescent="0.2">
      <c r="B457" s="31"/>
    </row>
    <row r="458" spans="2:2" x14ac:dyDescent="0.2">
      <c r="B458" s="31"/>
    </row>
    <row r="459" spans="2:2" x14ac:dyDescent="0.2">
      <c r="B459" s="31"/>
    </row>
    <row r="460" spans="2:2" x14ac:dyDescent="0.2">
      <c r="B460" s="31"/>
    </row>
    <row r="461" spans="2:2" x14ac:dyDescent="0.2">
      <c r="B461" s="31"/>
    </row>
    <row r="462" spans="2:2" x14ac:dyDescent="0.2">
      <c r="B462" s="31"/>
    </row>
    <row r="463" spans="2:2" x14ac:dyDescent="0.2">
      <c r="B463" s="31"/>
    </row>
    <row r="464" spans="2:2" x14ac:dyDescent="0.2">
      <c r="B464" s="31"/>
    </row>
    <row r="465" spans="2:2" x14ac:dyDescent="0.2">
      <c r="B465" s="31"/>
    </row>
    <row r="466" spans="2:2" x14ac:dyDescent="0.2">
      <c r="B466" s="31"/>
    </row>
    <row r="467" spans="2:2" x14ac:dyDescent="0.2">
      <c r="B467" s="31"/>
    </row>
    <row r="468" spans="2:2" x14ac:dyDescent="0.2">
      <c r="B468" s="31"/>
    </row>
    <row r="469" spans="2:2" x14ac:dyDescent="0.2">
      <c r="B469" s="31"/>
    </row>
    <row r="470" spans="2:2" x14ac:dyDescent="0.2">
      <c r="B470" s="31"/>
    </row>
    <row r="471" spans="2:2" x14ac:dyDescent="0.2">
      <c r="B471" s="31"/>
    </row>
    <row r="472" spans="2:2" x14ac:dyDescent="0.2">
      <c r="B472" s="31"/>
    </row>
    <row r="473" spans="2:2" x14ac:dyDescent="0.2">
      <c r="B473" s="31"/>
    </row>
    <row r="474" spans="2:2" x14ac:dyDescent="0.2">
      <c r="B474" s="31"/>
    </row>
    <row r="475" spans="2:2" x14ac:dyDescent="0.2">
      <c r="B475" s="31"/>
    </row>
    <row r="476" spans="2:2" x14ac:dyDescent="0.2">
      <c r="B476" s="31"/>
    </row>
    <row r="477" spans="2:2" x14ac:dyDescent="0.2">
      <c r="B477" s="31"/>
    </row>
    <row r="478" spans="2:2" x14ac:dyDescent="0.2">
      <c r="B478" s="31"/>
    </row>
    <row r="479" spans="2:2" x14ac:dyDescent="0.2">
      <c r="B479" s="31"/>
    </row>
    <row r="480" spans="2:2" x14ac:dyDescent="0.2">
      <c r="B480" s="31"/>
    </row>
    <row r="481" spans="2:2" x14ac:dyDescent="0.2">
      <c r="B481" s="31"/>
    </row>
    <row r="482" spans="2:2" x14ac:dyDescent="0.2">
      <c r="B482" s="31"/>
    </row>
    <row r="483" spans="2:2" x14ac:dyDescent="0.2">
      <c r="B483" s="31"/>
    </row>
    <row r="484" spans="2:2" x14ac:dyDescent="0.2">
      <c r="B484" s="31"/>
    </row>
    <row r="485" spans="2:2" x14ac:dyDescent="0.2">
      <c r="B485" s="31"/>
    </row>
    <row r="486" spans="2:2" x14ac:dyDescent="0.2">
      <c r="B486" s="31"/>
    </row>
    <row r="487" spans="2:2" x14ac:dyDescent="0.2">
      <c r="B487" s="31"/>
    </row>
    <row r="488" spans="2:2" x14ac:dyDescent="0.2">
      <c r="B488" s="31"/>
    </row>
    <row r="489" spans="2:2" x14ac:dyDescent="0.2">
      <c r="B489" s="31"/>
    </row>
    <row r="490" spans="2:2" x14ac:dyDescent="0.2">
      <c r="B490" s="31"/>
    </row>
    <row r="491" spans="2:2" x14ac:dyDescent="0.2">
      <c r="B491" s="31"/>
    </row>
    <row r="492" spans="2:2" x14ac:dyDescent="0.2">
      <c r="B492" s="31"/>
    </row>
    <row r="493" spans="2:2" x14ac:dyDescent="0.2">
      <c r="B493" s="31"/>
    </row>
    <row r="494" spans="2:2" x14ac:dyDescent="0.2">
      <c r="B494" s="31"/>
    </row>
    <row r="495" spans="2:2" x14ac:dyDescent="0.2">
      <c r="B495" s="31"/>
    </row>
    <row r="496" spans="2:2" x14ac:dyDescent="0.2">
      <c r="B496" s="31"/>
    </row>
    <row r="497" spans="2:2" x14ac:dyDescent="0.2">
      <c r="B497" s="31"/>
    </row>
    <row r="498" spans="2:2" x14ac:dyDescent="0.2">
      <c r="B498" s="31"/>
    </row>
    <row r="499" spans="2:2" x14ac:dyDescent="0.2">
      <c r="B499" s="31"/>
    </row>
    <row r="500" spans="2:2" x14ac:dyDescent="0.2">
      <c r="B500" s="31"/>
    </row>
    <row r="501" spans="2:2" x14ac:dyDescent="0.2">
      <c r="B501" s="31"/>
    </row>
    <row r="502" spans="2:2" x14ac:dyDescent="0.2">
      <c r="B502" s="31"/>
    </row>
    <row r="503" spans="2:2" x14ac:dyDescent="0.2">
      <c r="B503" s="31"/>
    </row>
    <row r="504" spans="2:2" x14ac:dyDescent="0.2">
      <c r="B504" s="31"/>
    </row>
    <row r="505" spans="2:2" x14ac:dyDescent="0.2">
      <c r="B505" s="31"/>
    </row>
    <row r="506" spans="2:2" x14ac:dyDescent="0.2">
      <c r="B506" s="31"/>
    </row>
    <row r="507" spans="2:2" x14ac:dyDescent="0.2">
      <c r="B507" s="31"/>
    </row>
    <row r="508" spans="2:2" x14ac:dyDescent="0.2">
      <c r="B508" s="31"/>
    </row>
    <row r="509" spans="2:2" x14ac:dyDescent="0.2">
      <c r="B509" s="31"/>
    </row>
    <row r="510" spans="2:2" x14ac:dyDescent="0.2">
      <c r="B510" s="31"/>
    </row>
    <row r="511" spans="2:2" x14ac:dyDescent="0.2">
      <c r="B511" s="31"/>
    </row>
    <row r="512" spans="2:2" x14ac:dyDescent="0.2">
      <c r="B512" s="31"/>
    </row>
    <row r="513" spans="2:2" x14ac:dyDescent="0.2">
      <c r="B513" s="31"/>
    </row>
    <row r="514" spans="2:2" x14ac:dyDescent="0.2">
      <c r="B514" s="31"/>
    </row>
    <row r="515" spans="2:2" x14ac:dyDescent="0.2">
      <c r="B515" s="31"/>
    </row>
    <row r="516" spans="2:2" x14ac:dyDescent="0.2">
      <c r="B516" s="31"/>
    </row>
    <row r="517" spans="2:2" x14ac:dyDescent="0.2">
      <c r="B517" s="31"/>
    </row>
    <row r="518" spans="2:2" x14ac:dyDescent="0.2">
      <c r="B518" s="31"/>
    </row>
    <row r="519" spans="2:2" x14ac:dyDescent="0.2">
      <c r="B519" s="31"/>
    </row>
    <row r="520" spans="2:2" x14ac:dyDescent="0.2">
      <c r="B520" s="31"/>
    </row>
    <row r="521" spans="2:2" x14ac:dyDescent="0.2">
      <c r="B521" s="31"/>
    </row>
    <row r="522" spans="2:2" x14ac:dyDescent="0.2">
      <c r="B522" s="31"/>
    </row>
    <row r="523" spans="2:2" x14ac:dyDescent="0.2">
      <c r="B523" s="31"/>
    </row>
    <row r="524" spans="2:2" x14ac:dyDescent="0.2">
      <c r="B524" s="31"/>
    </row>
    <row r="525" spans="2:2" x14ac:dyDescent="0.2">
      <c r="B525" s="31"/>
    </row>
    <row r="526" spans="2:2" x14ac:dyDescent="0.2">
      <c r="B526" s="31"/>
    </row>
    <row r="527" spans="2:2" x14ac:dyDescent="0.2">
      <c r="B527" s="31"/>
    </row>
    <row r="528" spans="2:2" x14ac:dyDescent="0.2">
      <c r="B528" s="31"/>
    </row>
    <row r="529" spans="2:2" x14ac:dyDescent="0.2">
      <c r="B529" s="31"/>
    </row>
    <row r="530" spans="2:2" x14ac:dyDescent="0.2">
      <c r="B530" s="31"/>
    </row>
    <row r="531" spans="2:2" x14ac:dyDescent="0.2">
      <c r="B531" s="31"/>
    </row>
    <row r="532" spans="2:2" x14ac:dyDescent="0.2">
      <c r="B532" s="31"/>
    </row>
    <row r="533" spans="2:2" x14ac:dyDescent="0.2">
      <c r="B533" s="31"/>
    </row>
    <row r="534" spans="2:2" x14ac:dyDescent="0.2">
      <c r="B534" s="31"/>
    </row>
    <row r="535" spans="2:2" x14ac:dyDescent="0.2">
      <c r="B535" s="31"/>
    </row>
    <row r="536" spans="2:2" x14ac:dyDescent="0.2">
      <c r="B536" s="31"/>
    </row>
    <row r="537" spans="2:2" x14ac:dyDescent="0.2">
      <c r="B537" s="31"/>
    </row>
    <row r="538" spans="2:2" x14ac:dyDescent="0.2">
      <c r="B538" s="31"/>
    </row>
    <row r="539" spans="2:2" x14ac:dyDescent="0.2">
      <c r="B539" s="31"/>
    </row>
    <row r="540" spans="2:2" x14ac:dyDescent="0.2">
      <c r="B540" s="31"/>
    </row>
    <row r="541" spans="2:2" x14ac:dyDescent="0.2">
      <c r="B541" s="31"/>
    </row>
    <row r="542" spans="2:2" x14ac:dyDescent="0.2">
      <c r="B542" s="31"/>
    </row>
    <row r="543" spans="2:2" x14ac:dyDescent="0.2">
      <c r="B543" s="31"/>
    </row>
    <row r="544" spans="2:2" x14ac:dyDescent="0.2">
      <c r="B544" s="31"/>
    </row>
    <row r="545" spans="2:2" x14ac:dyDescent="0.2">
      <c r="B545" s="31"/>
    </row>
    <row r="546" spans="2:2" x14ac:dyDescent="0.2">
      <c r="B546" s="31"/>
    </row>
    <row r="547" spans="2:2" x14ac:dyDescent="0.2">
      <c r="B547" s="31"/>
    </row>
    <row r="548" spans="2:2" x14ac:dyDescent="0.2">
      <c r="B548" s="31"/>
    </row>
    <row r="549" spans="2:2" x14ac:dyDescent="0.2">
      <c r="B549" s="31"/>
    </row>
    <row r="550" spans="2:2" x14ac:dyDescent="0.2">
      <c r="B550" s="31"/>
    </row>
    <row r="551" spans="2:2" x14ac:dyDescent="0.2">
      <c r="B551" s="31"/>
    </row>
    <row r="552" spans="2:2" x14ac:dyDescent="0.2">
      <c r="B552" s="31"/>
    </row>
    <row r="553" spans="2:2" x14ac:dyDescent="0.2">
      <c r="B553" s="31"/>
    </row>
    <row r="554" spans="2:2" x14ac:dyDescent="0.2">
      <c r="B554" s="31"/>
    </row>
    <row r="555" spans="2:2" x14ac:dyDescent="0.2">
      <c r="B555" s="31"/>
    </row>
    <row r="556" spans="2:2" x14ac:dyDescent="0.2">
      <c r="B556" s="31"/>
    </row>
    <row r="557" spans="2:2" x14ac:dyDescent="0.2">
      <c r="B557" s="31"/>
    </row>
    <row r="558" spans="2:2" x14ac:dyDescent="0.2">
      <c r="B558" s="31"/>
    </row>
    <row r="559" spans="2:2" x14ac:dyDescent="0.2">
      <c r="B559" s="31"/>
    </row>
    <row r="560" spans="2:2" x14ac:dyDescent="0.2">
      <c r="B560" s="31"/>
    </row>
    <row r="561" spans="2:2" x14ac:dyDescent="0.2">
      <c r="B561" s="31"/>
    </row>
    <row r="562" spans="2:2" x14ac:dyDescent="0.2">
      <c r="B562" s="31"/>
    </row>
    <row r="563" spans="2:2" x14ac:dyDescent="0.2">
      <c r="B563" s="31"/>
    </row>
    <row r="564" spans="2:2" x14ac:dyDescent="0.2">
      <c r="B564" s="31"/>
    </row>
    <row r="565" spans="2:2" x14ac:dyDescent="0.2">
      <c r="B565" s="31"/>
    </row>
    <row r="566" spans="2:2" x14ac:dyDescent="0.2">
      <c r="B566" s="31"/>
    </row>
    <row r="567" spans="2:2" x14ac:dyDescent="0.2">
      <c r="B567" s="31"/>
    </row>
    <row r="568" spans="2:2" x14ac:dyDescent="0.2">
      <c r="B568" s="31"/>
    </row>
    <row r="569" spans="2:2" x14ac:dyDescent="0.2">
      <c r="B569" s="31"/>
    </row>
    <row r="570" spans="2:2" x14ac:dyDescent="0.2">
      <c r="B570" s="31"/>
    </row>
    <row r="571" spans="2:2" x14ac:dyDescent="0.2">
      <c r="B571" s="31"/>
    </row>
    <row r="572" spans="2:2" x14ac:dyDescent="0.2">
      <c r="B572" s="31"/>
    </row>
    <row r="573" spans="2:2" x14ac:dyDescent="0.2">
      <c r="B573" s="31"/>
    </row>
    <row r="574" spans="2:2" x14ac:dyDescent="0.2">
      <c r="B574" s="31"/>
    </row>
    <row r="575" spans="2:2" x14ac:dyDescent="0.2">
      <c r="B575" s="31"/>
    </row>
    <row r="576" spans="2:2" x14ac:dyDescent="0.2">
      <c r="B576" s="31"/>
    </row>
    <row r="577" spans="2:2" x14ac:dyDescent="0.2">
      <c r="B577" s="31"/>
    </row>
    <row r="578" spans="2:2" x14ac:dyDescent="0.2">
      <c r="B578" s="31"/>
    </row>
    <row r="579" spans="2:2" x14ac:dyDescent="0.2">
      <c r="B579" s="31"/>
    </row>
    <row r="580" spans="2:2" x14ac:dyDescent="0.2">
      <c r="B580" s="31"/>
    </row>
    <row r="581" spans="2:2" x14ac:dyDescent="0.2">
      <c r="B581" s="31"/>
    </row>
    <row r="582" spans="2:2" x14ac:dyDescent="0.2">
      <c r="B582" s="31"/>
    </row>
    <row r="583" spans="2:2" x14ac:dyDescent="0.2">
      <c r="B583" s="31"/>
    </row>
    <row r="584" spans="2:2" x14ac:dyDescent="0.2">
      <c r="B584" s="31"/>
    </row>
    <row r="585" spans="2:2" x14ac:dyDescent="0.2">
      <c r="B585" s="31"/>
    </row>
    <row r="586" spans="2:2" x14ac:dyDescent="0.2">
      <c r="B586" s="31"/>
    </row>
    <row r="587" spans="2:2" x14ac:dyDescent="0.2">
      <c r="B587" s="31"/>
    </row>
    <row r="588" spans="2:2" x14ac:dyDescent="0.2">
      <c r="B588" s="31"/>
    </row>
    <row r="589" spans="2:2" x14ac:dyDescent="0.2">
      <c r="B589" s="31"/>
    </row>
    <row r="590" spans="2:2" x14ac:dyDescent="0.2">
      <c r="B590" s="31"/>
    </row>
    <row r="591" spans="2:2" x14ac:dyDescent="0.2">
      <c r="B591" s="31"/>
    </row>
    <row r="592" spans="2:2" x14ac:dyDescent="0.2">
      <c r="B592" s="31"/>
    </row>
    <row r="593" spans="2:2" x14ac:dyDescent="0.2">
      <c r="B593" s="31"/>
    </row>
    <row r="594" spans="2:2" x14ac:dyDescent="0.2">
      <c r="B594" s="31"/>
    </row>
    <row r="595" spans="2:2" x14ac:dyDescent="0.2">
      <c r="B595" s="31"/>
    </row>
    <row r="596" spans="2:2" x14ac:dyDescent="0.2">
      <c r="B596" s="31"/>
    </row>
    <row r="597" spans="2:2" x14ac:dyDescent="0.2">
      <c r="B597" s="31"/>
    </row>
    <row r="598" spans="2:2" x14ac:dyDescent="0.2">
      <c r="B598" s="31"/>
    </row>
    <row r="599" spans="2:2" x14ac:dyDescent="0.2">
      <c r="B599" s="31"/>
    </row>
    <row r="600" spans="2:2" x14ac:dyDescent="0.2">
      <c r="B600" s="31"/>
    </row>
    <row r="601" spans="2:2" x14ac:dyDescent="0.2">
      <c r="B601" s="31"/>
    </row>
    <row r="602" spans="2:2" x14ac:dyDescent="0.2">
      <c r="B602" s="31"/>
    </row>
    <row r="603" spans="2:2" x14ac:dyDescent="0.2">
      <c r="B603" s="31"/>
    </row>
    <row r="604" spans="2:2" x14ac:dyDescent="0.2">
      <c r="B604" s="31"/>
    </row>
    <row r="605" spans="2:2" x14ac:dyDescent="0.2">
      <c r="B605" s="31"/>
    </row>
    <row r="606" spans="2:2" x14ac:dyDescent="0.2">
      <c r="B606" s="31"/>
    </row>
    <row r="607" spans="2:2" x14ac:dyDescent="0.2">
      <c r="B607" s="31"/>
    </row>
    <row r="608" spans="2:2" x14ac:dyDescent="0.2">
      <c r="B608" s="31"/>
    </row>
    <row r="609" spans="2:2" x14ac:dyDescent="0.2">
      <c r="B609" s="31"/>
    </row>
    <row r="610" spans="2:2" x14ac:dyDescent="0.2">
      <c r="B610" s="31"/>
    </row>
    <row r="611" spans="2:2" x14ac:dyDescent="0.2">
      <c r="B611" s="31"/>
    </row>
    <row r="612" spans="2:2" x14ac:dyDescent="0.2">
      <c r="B612" s="31"/>
    </row>
    <row r="613" spans="2:2" x14ac:dyDescent="0.2">
      <c r="B613" s="31"/>
    </row>
    <row r="614" spans="2:2" x14ac:dyDescent="0.2">
      <c r="B614" s="31"/>
    </row>
    <row r="615" spans="2:2" x14ac:dyDescent="0.2">
      <c r="B615" s="31"/>
    </row>
    <row r="616" spans="2:2" x14ac:dyDescent="0.2">
      <c r="B616" s="31"/>
    </row>
    <row r="617" spans="2:2" x14ac:dyDescent="0.2">
      <c r="B617" s="31"/>
    </row>
    <row r="618" spans="2:2" x14ac:dyDescent="0.2">
      <c r="B618" s="31"/>
    </row>
    <row r="619" spans="2:2" x14ac:dyDescent="0.2">
      <c r="B619" s="31"/>
    </row>
    <row r="620" spans="2:2" x14ac:dyDescent="0.2">
      <c r="B620" s="31"/>
    </row>
    <row r="621" spans="2:2" x14ac:dyDescent="0.2">
      <c r="B621" s="31"/>
    </row>
    <row r="622" spans="2:2" x14ac:dyDescent="0.2">
      <c r="B622" s="31"/>
    </row>
    <row r="623" spans="2:2" x14ac:dyDescent="0.2">
      <c r="B623" s="31"/>
    </row>
    <row r="624" spans="2:2" x14ac:dyDescent="0.2">
      <c r="B624" s="31"/>
    </row>
    <row r="625" spans="2:2" x14ac:dyDescent="0.2">
      <c r="B625" s="31"/>
    </row>
    <row r="626" spans="2:2" x14ac:dyDescent="0.2">
      <c r="B626" s="31"/>
    </row>
    <row r="627" spans="2:2" x14ac:dyDescent="0.2">
      <c r="B627" s="31"/>
    </row>
    <row r="628" spans="2:2" x14ac:dyDescent="0.2">
      <c r="B628" s="31"/>
    </row>
    <row r="629" spans="2:2" x14ac:dyDescent="0.2">
      <c r="B629" s="31"/>
    </row>
    <row r="630" spans="2:2" x14ac:dyDescent="0.2">
      <c r="B630" s="31"/>
    </row>
    <row r="631" spans="2:2" x14ac:dyDescent="0.2">
      <c r="B631" s="31"/>
    </row>
    <row r="632" spans="2:2" x14ac:dyDescent="0.2">
      <c r="B632" s="31"/>
    </row>
    <row r="633" spans="2:2" x14ac:dyDescent="0.2">
      <c r="B633" s="31"/>
    </row>
    <row r="634" spans="2:2" x14ac:dyDescent="0.2">
      <c r="B634" s="31"/>
    </row>
    <row r="635" spans="2:2" x14ac:dyDescent="0.2">
      <c r="B635" s="31"/>
    </row>
    <row r="636" spans="2:2" x14ac:dyDescent="0.2">
      <c r="B636" s="31"/>
    </row>
    <row r="637" spans="2:2" x14ac:dyDescent="0.2">
      <c r="B637" s="31"/>
    </row>
    <row r="638" spans="2:2" x14ac:dyDescent="0.2">
      <c r="B638" s="31"/>
    </row>
    <row r="639" spans="2:2" x14ac:dyDescent="0.2">
      <c r="B639" s="31"/>
    </row>
    <row r="640" spans="2:2" x14ac:dyDescent="0.2">
      <c r="B640" s="31"/>
    </row>
    <row r="641" spans="2:2" x14ac:dyDescent="0.2">
      <c r="B641" s="31"/>
    </row>
    <row r="642" spans="2:2" x14ac:dyDescent="0.2">
      <c r="B642" s="31"/>
    </row>
    <row r="643" spans="2:2" x14ac:dyDescent="0.2">
      <c r="B643" s="31"/>
    </row>
    <row r="644" spans="2:2" x14ac:dyDescent="0.2">
      <c r="B644" s="31"/>
    </row>
    <row r="645" spans="2:2" x14ac:dyDescent="0.2">
      <c r="B645" s="31"/>
    </row>
    <row r="646" spans="2:2" x14ac:dyDescent="0.2">
      <c r="B646" s="31"/>
    </row>
    <row r="647" spans="2:2" x14ac:dyDescent="0.2">
      <c r="B647" s="31"/>
    </row>
    <row r="648" spans="2:2" x14ac:dyDescent="0.2">
      <c r="B648" s="31"/>
    </row>
    <row r="649" spans="2:2" x14ac:dyDescent="0.2">
      <c r="B649" s="31"/>
    </row>
    <row r="650" spans="2:2" x14ac:dyDescent="0.2">
      <c r="B650" s="31"/>
    </row>
    <row r="651" spans="2:2" x14ac:dyDescent="0.2">
      <c r="B651" s="31"/>
    </row>
    <row r="652" spans="2:2" x14ac:dyDescent="0.2">
      <c r="B652" s="31"/>
    </row>
    <row r="653" spans="2:2" x14ac:dyDescent="0.2">
      <c r="B653" s="31"/>
    </row>
    <row r="654" spans="2:2" x14ac:dyDescent="0.2">
      <c r="B654" s="31"/>
    </row>
    <row r="655" spans="2:2" x14ac:dyDescent="0.2">
      <c r="B655" s="31"/>
    </row>
    <row r="656" spans="2:2" x14ac:dyDescent="0.2">
      <c r="B656" s="31"/>
    </row>
    <row r="657" spans="2:2" x14ac:dyDescent="0.2">
      <c r="B657" s="31"/>
    </row>
    <row r="658" spans="2:2" x14ac:dyDescent="0.2">
      <c r="B658" s="31"/>
    </row>
    <row r="659" spans="2:2" x14ac:dyDescent="0.2">
      <c r="B659" s="31"/>
    </row>
    <row r="660" spans="2:2" x14ac:dyDescent="0.2">
      <c r="B660" s="31"/>
    </row>
    <row r="661" spans="2:2" x14ac:dyDescent="0.2">
      <c r="B661" s="31"/>
    </row>
    <row r="662" spans="2:2" x14ac:dyDescent="0.2">
      <c r="B662" s="31"/>
    </row>
    <row r="663" spans="2:2" x14ac:dyDescent="0.2">
      <c r="B663" s="31"/>
    </row>
    <row r="664" spans="2:2" x14ac:dyDescent="0.2">
      <c r="B664" s="31"/>
    </row>
    <row r="665" spans="2:2" x14ac:dyDescent="0.2">
      <c r="B665" s="31"/>
    </row>
    <row r="666" spans="2:2" x14ac:dyDescent="0.2">
      <c r="B666" s="31"/>
    </row>
    <row r="667" spans="2:2" x14ac:dyDescent="0.2">
      <c r="B667" s="31"/>
    </row>
    <row r="668" spans="2:2" x14ac:dyDescent="0.2">
      <c r="B668" s="31"/>
    </row>
    <row r="669" spans="2:2" x14ac:dyDescent="0.2">
      <c r="B669" s="31"/>
    </row>
    <row r="670" spans="2:2" x14ac:dyDescent="0.2">
      <c r="B670" s="31"/>
    </row>
    <row r="671" spans="2:2" x14ac:dyDescent="0.2">
      <c r="B671" s="31"/>
    </row>
    <row r="672" spans="2:2" x14ac:dyDescent="0.2">
      <c r="B672" s="31"/>
    </row>
    <row r="673" spans="2:2" x14ac:dyDescent="0.2">
      <c r="B673" s="31"/>
    </row>
    <row r="674" spans="2:2" x14ac:dyDescent="0.2">
      <c r="B674" s="31"/>
    </row>
    <row r="675" spans="2:2" x14ac:dyDescent="0.2">
      <c r="B675" s="31"/>
    </row>
    <row r="676" spans="2:2" x14ac:dyDescent="0.2">
      <c r="B676" s="31"/>
    </row>
    <row r="677" spans="2:2" x14ac:dyDescent="0.2">
      <c r="B677" s="31"/>
    </row>
    <row r="678" spans="2:2" x14ac:dyDescent="0.2">
      <c r="B678" s="31"/>
    </row>
    <row r="679" spans="2:2" x14ac:dyDescent="0.2">
      <c r="B679" s="31"/>
    </row>
    <row r="680" spans="2:2" x14ac:dyDescent="0.2">
      <c r="B680" s="31"/>
    </row>
    <row r="681" spans="2:2" x14ac:dyDescent="0.2">
      <c r="B681" s="31"/>
    </row>
    <row r="682" spans="2:2" x14ac:dyDescent="0.2">
      <c r="B682" s="31"/>
    </row>
    <row r="683" spans="2:2" x14ac:dyDescent="0.2">
      <c r="B683" s="31"/>
    </row>
    <row r="684" spans="2:2" x14ac:dyDescent="0.2">
      <c r="B684" s="31"/>
    </row>
    <row r="685" spans="2:2" x14ac:dyDescent="0.2">
      <c r="B685" s="31"/>
    </row>
    <row r="686" spans="2:2" x14ac:dyDescent="0.2">
      <c r="B686" s="31"/>
    </row>
    <row r="687" spans="2:2" x14ac:dyDescent="0.2">
      <c r="B687" s="31"/>
    </row>
    <row r="688" spans="2:2" x14ac:dyDescent="0.2">
      <c r="B688" s="31"/>
    </row>
    <row r="689" spans="2:2" x14ac:dyDescent="0.2">
      <c r="B689" s="31"/>
    </row>
    <row r="690" spans="2:2" x14ac:dyDescent="0.2">
      <c r="B690" s="31"/>
    </row>
    <row r="691" spans="2:2" x14ac:dyDescent="0.2">
      <c r="B691" s="31"/>
    </row>
    <row r="692" spans="2:2" x14ac:dyDescent="0.2">
      <c r="B692" s="31"/>
    </row>
    <row r="693" spans="2:2" x14ac:dyDescent="0.2">
      <c r="B693" s="31"/>
    </row>
    <row r="694" spans="2:2" x14ac:dyDescent="0.2">
      <c r="B694" s="31"/>
    </row>
    <row r="695" spans="2:2" x14ac:dyDescent="0.2">
      <c r="B695" s="31"/>
    </row>
    <row r="696" spans="2:2" x14ac:dyDescent="0.2">
      <c r="B696" s="31"/>
    </row>
    <row r="697" spans="2:2" x14ac:dyDescent="0.2">
      <c r="B697" s="31"/>
    </row>
    <row r="698" spans="2:2" x14ac:dyDescent="0.2">
      <c r="B698" s="31"/>
    </row>
    <row r="699" spans="2:2" x14ac:dyDescent="0.2">
      <c r="B699" s="31"/>
    </row>
    <row r="700" spans="2:2" x14ac:dyDescent="0.2">
      <c r="B700" s="31"/>
    </row>
    <row r="701" spans="2:2" x14ac:dyDescent="0.2">
      <c r="B701" s="31"/>
    </row>
    <row r="702" spans="2:2" x14ac:dyDescent="0.2">
      <c r="B702" s="31"/>
    </row>
    <row r="703" spans="2:2" x14ac:dyDescent="0.2">
      <c r="B703" s="31"/>
    </row>
    <row r="704" spans="2:2" x14ac:dyDescent="0.2">
      <c r="B704" s="31"/>
    </row>
    <row r="705" spans="2:2" x14ac:dyDescent="0.2">
      <c r="B705" s="31"/>
    </row>
    <row r="706" spans="2:2" x14ac:dyDescent="0.2">
      <c r="B706" s="31"/>
    </row>
    <row r="707" spans="2:2" x14ac:dyDescent="0.2">
      <c r="B707" s="31"/>
    </row>
    <row r="708" spans="2:2" x14ac:dyDescent="0.2">
      <c r="B708" s="31"/>
    </row>
    <row r="709" spans="2:2" x14ac:dyDescent="0.2">
      <c r="B709" s="31"/>
    </row>
    <row r="710" spans="2:2" x14ac:dyDescent="0.2">
      <c r="B710" s="31"/>
    </row>
    <row r="711" spans="2:2" x14ac:dyDescent="0.2">
      <c r="B711" s="31"/>
    </row>
    <row r="712" spans="2:2" x14ac:dyDescent="0.2">
      <c r="B712" s="31"/>
    </row>
    <row r="713" spans="2:2" x14ac:dyDescent="0.2">
      <c r="B713" s="31"/>
    </row>
    <row r="714" spans="2:2" x14ac:dyDescent="0.2">
      <c r="B714" s="31"/>
    </row>
    <row r="715" spans="2:2" x14ac:dyDescent="0.2">
      <c r="B715" s="31"/>
    </row>
    <row r="716" spans="2:2" x14ac:dyDescent="0.2">
      <c r="B716" s="31"/>
    </row>
    <row r="717" spans="2:2" x14ac:dyDescent="0.2">
      <c r="B717" s="31"/>
    </row>
    <row r="718" spans="2:2" x14ac:dyDescent="0.2">
      <c r="B718" s="31"/>
    </row>
    <row r="719" spans="2:2" x14ac:dyDescent="0.2">
      <c r="B719" s="31"/>
    </row>
    <row r="720" spans="2:2" x14ac:dyDescent="0.2">
      <c r="B720" s="31"/>
    </row>
    <row r="721" spans="2:2" x14ac:dyDescent="0.2">
      <c r="B721" s="31"/>
    </row>
    <row r="722" spans="2:2" x14ac:dyDescent="0.2">
      <c r="B722" s="31"/>
    </row>
    <row r="723" spans="2:2" x14ac:dyDescent="0.2">
      <c r="B723" s="31"/>
    </row>
    <row r="724" spans="2:2" x14ac:dyDescent="0.2">
      <c r="B724" s="31"/>
    </row>
    <row r="725" spans="2:2" x14ac:dyDescent="0.2">
      <c r="B725" s="31"/>
    </row>
    <row r="726" spans="2:2" x14ac:dyDescent="0.2">
      <c r="B726" s="31"/>
    </row>
    <row r="727" spans="2:2" x14ac:dyDescent="0.2">
      <c r="B727" s="31"/>
    </row>
    <row r="728" spans="2:2" x14ac:dyDescent="0.2">
      <c r="B728" s="31"/>
    </row>
    <row r="729" spans="2:2" x14ac:dyDescent="0.2">
      <c r="B729" s="31"/>
    </row>
    <row r="730" spans="2:2" x14ac:dyDescent="0.2">
      <c r="B730" s="31"/>
    </row>
    <row r="731" spans="2:2" x14ac:dyDescent="0.2">
      <c r="B731" s="31"/>
    </row>
    <row r="732" spans="2:2" x14ac:dyDescent="0.2">
      <c r="B732" s="31"/>
    </row>
    <row r="733" spans="2:2" x14ac:dyDescent="0.2">
      <c r="B733" s="31"/>
    </row>
    <row r="734" spans="2:2" x14ac:dyDescent="0.2">
      <c r="B734" s="31"/>
    </row>
    <row r="735" spans="2:2" x14ac:dyDescent="0.2">
      <c r="B735" s="31"/>
    </row>
    <row r="736" spans="2:2" x14ac:dyDescent="0.2">
      <c r="B736" s="31"/>
    </row>
    <row r="737" spans="2:2" x14ac:dyDescent="0.2">
      <c r="B737" s="31"/>
    </row>
    <row r="738" spans="2:2" x14ac:dyDescent="0.2">
      <c r="B738" s="31"/>
    </row>
    <row r="739" spans="2:2" x14ac:dyDescent="0.2">
      <c r="B739" s="31"/>
    </row>
    <row r="740" spans="2:2" x14ac:dyDescent="0.2">
      <c r="B740" s="31"/>
    </row>
    <row r="741" spans="2:2" x14ac:dyDescent="0.2">
      <c r="B741" s="31"/>
    </row>
    <row r="742" spans="2:2" x14ac:dyDescent="0.2">
      <c r="B742" s="31"/>
    </row>
    <row r="743" spans="2:2" x14ac:dyDescent="0.2">
      <c r="B743" s="31"/>
    </row>
    <row r="744" spans="2:2" x14ac:dyDescent="0.2">
      <c r="B744" s="31"/>
    </row>
    <row r="745" spans="2:2" x14ac:dyDescent="0.2">
      <c r="B745" s="31"/>
    </row>
    <row r="746" spans="2:2" x14ac:dyDescent="0.2">
      <c r="B746" s="31"/>
    </row>
    <row r="747" spans="2:2" x14ac:dyDescent="0.2">
      <c r="B747" s="31"/>
    </row>
    <row r="748" spans="2:2" x14ac:dyDescent="0.2">
      <c r="B748" s="31"/>
    </row>
    <row r="749" spans="2:2" x14ac:dyDescent="0.2">
      <c r="B749" s="31"/>
    </row>
    <row r="750" spans="2:2" x14ac:dyDescent="0.2">
      <c r="B750" s="31"/>
    </row>
    <row r="751" spans="2:2" x14ac:dyDescent="0.2">
      <c r="B751" s="31"/>
    </row>
    <row r="752" spans="2:2" x14ac:dyDescent="0.2">
      <c r="B752" s="31"/>
    </row>
    <row r="753" spans="2:2" x14ac:dyDescent="0.2">
      <c r="B753" s="31"/>
    </row>
    <row r="754" spans="2:2" x14ac:dyDescent="0.2">
      <c r="B754" s="31"/>
    </row>
    <row r="755" spans="2:2" x14ac:dyDescent="0.2">
      <c r="B755" s="31"/>
    </row>
    <row r="756" spans="2:2" x14ac:dyDescent="0.2">
      <c r="B756" s="31"/>
    </row>
    <row r="757" spans="2:2" x14ac:dyDescent="0.2">
      <c r="B757" s="31"/>
    </row>
    <row r="758" spans="2:2" x14ac:dyDescent="0.2">
      <c r="B758" s="31"/>
    </row>
    <row r="759" spans="2:2" x14ac:dyDescent="0.2">
      <c r="B759" s="31"/>
    </row>
    <row r="760" spans="2:2" x14ac:dyDescent="0.2">
      <c r="B760" s="31"/>
    </row>
    <row r="761" spans="2:2" x14ac:dyDescent="0.2">
      <c r="B761" s="31"/>
    </row>
    <row r="762" spans="2:2" x14ac:dyDescent="0.2">
      <c r="B762" s="31"/>
    </row>
    <row r="763" spans="2:2" x14ac:dyDescent="0.2">
      <c r="B763" s="31"/>
    </row>
    <row r="764" spans="2:2" x14ac:dyDescent="0.2">
      <c r="B764" s="31"/>
    </row>
    <row r="765" spans="2:2" x14ac:dyDescent="0.2">
      <c r="B765" s="31"/>
    </row>
    <row r="766" spans="2:2" x14ac:dyDescent="0.2">
      <c r="B766" s="31"/>
    </row>
    <row r="767" spans="2:2" x14ac:dyDescent="0.2">
      <c r="B767" s="31"/>
    </row>
    <row r="768" spans="2:2" x14ac:dyDescent="0.2">
      <c r="B768" s="31"/>
    </row>
    <row r="769" spans="2:2" x14ac:dyDescent="0.2">
      <c r="B769" s="31"/>
    </row>
    <row r="770" spans="2:2" x14ac:dyDescent="0.2">
      <c r="B770" s="31"/>
    </row>
    <row r="771" spans="2:2" x14ac:dyDescent="0.2">
      <c r="B771" s="31"/>
    </row>
    <row r="772" spans="2:2" x14ac:dyDescent="0.2">
      <c r="B772" s="31"/>
    </row>
    <row r="773" spans="2:2" x14ac:dyDescent="0.2">
      <c r="B773" s="31"/>
    </row>
    <row r="774" spans="2:2" x14ac:dyDescent="0.2">
      <c r="B774" s="31"/>
    </row>
    <row r="775" spans="2:2" x14ac:dyDescent="0.2">
      <c r="B775" s="31"/>
    </row>
    <row r="776" spans="2:2" x14ac:dyDescent="0.2">
      <c r="B776" s="31"/>
    </row>
    <row r="777" spans="2:2" x14ac:dyDescent="0.2">
      <c r="B777" s="31"/>
    </row>
    <row r="778" spans="2:2" x14ac:dyDescent="0.2">
      <c r="B778" s="31"/>
    </row>
    <row r="779" spans="2:2" x14ac:dyDescent="0.2">
      <c r="B779" s="31"/>
    </row>
    <row r="780" spans="2:2" x14ac:dyDescent="0.2">
      <c r="B780" s="31"/>
    </row>
    <row r="781" spans="2:2" x14ac:dyDescent="0.2">
      <c r="B781" s="31"/>
    </row>
    <row r="782" spans="2:2" x14ac:dyDescent="0.2">
      <c r="B782" s="31"/>
    </row>
    <row r="783" spans="2:2" x14ac:dyDescent="0.2">
      <c r="B783" s="31"/>
    </row>
    <row r="784" spans="2:2" x14ac:dyDescent="0.2">
      <c r="B784" s="31"/>
    </row>
    <row r="785" spans="2:2" x14ac:dyDescent="0.2">
      <c r="B785" s="31"/>
    </row>
    <row r="786" spans="2:2" x14ac:dyDescent="0.2">
      <c r="B786" s="31"/>
    </row>
    <row r="787" spans="2:2" x14ac:dyDescent="0.2">
      <c r="B787" s="31"/>
    </row>
    <row r="788" spans="2:2" x14ac:dyDescent="0.2">
      <c r="B788" s="31"/>
    </row>
    <row r="789" spans="2:2" x14ac:dyDescent="0.2">
      <c r="B789" s="31"/>
    </row>
    <row r="790" spans="2:2" x14ac:dyDescent="0.2">
      <c r="B790" s="31"/>
    </row>
    <row r="791" spans="2:2" x14ac:dyDescent="0.2">
      <c r="B791" s="31"/>
    </row>
    <row r="792" spans="2:2" x14ac:dyDescent="0.2">
      <c r="B792" s="31"/>
    </row>
    <row r="793" spans="2:2" x14ac:dyDescent="0.2">
      <c r="B793" s="31"/>
    </row>
    <row r="794" spans="2:2" x14ac:dyDescent="0.2">
      <c r="B794" s="31"/>
    </row>
    <row r="795" spans="2:2" x14ac:dyDescent="0.2">
      <c r="B795" s="31"/>
    </row>
    <row r="796" spans="2:2" x14ac:dyDescent="0.2">
      <c r="B796" s="31"/>
    </row>
    <row r="797" spans="2:2" x14ac:dyDescent="0.2">
      <c r="B797" s="31"/>
    </row>
    <row r="798" spans="2:2" x14ac:dyDescent="0.2">
      <c r="B798" s="31"/>
    </row>
    <row r="799" spans="2:2" x14ac:dyDescent="0.2">
      <c r="B799" s="31"/>
    </row>
    <row r="800" spans="2:2" x14ac:dyDescent="0.2">
      <c r="B800" s="31"/>
    </row>
    <row r="801" spans="2:2" x14ac:dyDescent="0.2">
      <c r="B801" s="31"/>
    </row>
    <row r="802" spans="2:2" x14ac:dyDescent="0.2">
      <c r="B802" s="31"/>
    </row>
    <row r="803" spans="2:2" x14ac:dyDescent="0.2">
      <c r="B803" s="31"/>
    </row>
    <row r="804" spans="2:2" x14ac:dyDescent="0.2">
      <c r="B804" s="31"/>
    </row>
    <row r="805" spans="2:2" x14ac:dyDescent="0.2">
      <c r="B805" s="31"/>
    </row>
    <row r="806" spans="2:2" x14ac:dyDescent="0.2">
      <c r="B806" s="31"/>
    </row>
    <row r="807" spans="2:2" x14ac:dyDescent="0.2">
      <c r="B807" s="31"/>
    </row>
    <row r="808" spans="2:2" x14ac:dyDescent="0.2">
      <c r="B808" s="31"/>
    </row>
    <row r="809" spans="2:2" x14ac:dyDescent="0.2">
      <c r="B809" s="31"/>
    </row>
    <row r="810" spans="2:2" x14ac:dyDescent="0.2">
      <c r="B810" s="31"/>
    </row>
    <row r="811" spans="2:2" x14ac:dyDescent="0.2">
      <c r="B811" s="31"/>
    </row>
    <row r="812" spans="2:2" x14ac:dyDescent="0.2">
      <c r="B812" s="31"/>
    </row>
    <row r="813" spans="2:2" x14ac:dyDescent="0.2">
      <c r="B813" s="31"/>
    </row>
    <row r="814" spans="2:2" x14ac:dyDescent="0.2">
      <c r="B814" s="31"/>
    </row>
    <row r="815" spans="2:2" x14ac:dyDescent="0.2">
      <c r="B815" s="31"/>
    </row>
    <row r="816" spans="2:2" x14ac:dyDescent="0.2">
      <c r="B816" s="31"/>
    </row>
    <row r="817" spans="2:2" x14ac:dyDescent="0.2">
      <c r="B817" s="31"/>
    </row>
    <row r="818" spans="2:2" x14ac:dyDescent="0.2">
      <c r="B818" s="31"/>
    </row>
    <row r="819" spans="2:2" x14ac:dyDescent="0.2">
      <c r="B819" s="31"/>
    </row>
    <row r="820" spans="2:2" x14ac:dyDescent="0.2">
      <c r="B820" s="31"/>
    </row>
    <row r="821" spans="2:2" x14ac:dyDescent="0.2">
      <c r="B821" s="31"/>
    </row>
    <row r="822" spans="2:2" x14ac:dyDescent="0.2">
      <c r="B822" s="31"/>
    </row>
    <row r="823" spans="2:2" x14ac:dyDescent="0.2">
      <c r="B823" s="31"/>
    </row>
    <row r="824" spans="2:2" x14ac:dyDescent="0.2">
      <c r="B824" s="31"/>
    </row>
    <row r="825" spans="2:2" x14ac:dyDescent="0.2">
      <c r="B825" s="31"/>
    </row>
    <row r="826" spans="2:2" x14ac:dyDescent="0.2">
      <c r="B826" s="31"/>
    </row>
    <row r="827" spans="2:2" x14ac:dyDescent="0.2">
      <c r="B827" s="31"/>
    </row>
    <row r="828" spans="2:2" x14ac:dyDescent="0.2">
      <c r="B828" s="31"/>
    </row>
    <row r="829" spans="2:2" x14ac:dyDescent="0.2">
      <c r="B829" s="31"/>
    </row>
    <row r="830" spans="2:2" x14ac:dyDescent="0.2">
      <c r="B830" s="31"/>
    </row>
    <row r="831" spans="2:2" x14ac:dyDescent="0.2">
      <c r="B831" s="31"/>
    </row>
    <row r="832" spans="2:2" x14ac:dyDescent="0.2">
      <c r="B832" s="31"/>
    </row>
    <row r="833" spans="2:2" x14ac:dyDescent="0.2">
      <c r="B833" s="31"/>
    </row>
    <row r="834" spans="2:2" x14ac:dyDescent="0.2">
      <c r="B834" s="31"/>
    </row>
    <row r="835" spans="2:2" x14ac:dyDescent="0.2">
      <c r="B835" s="31"/>
    </row>
    <row r="836" spans="2:2" x14ac:dyDescent="0.2">
      <c r="B836" s="31"/>
    </row>
    <row r="837" spans="2:2" x14ac:dyDescent="0.2">
      <c r="B837" s="31"/>
    </row>
    <row r="838" spans="2:2" x14ac:dyDescent="0.2">
      <c r="B838" s="31"/>
    </row>
    <row r="839" spans="2:2" x14ac:dyDescent="0.2">
      <c r="B839" s="31"/>
    </row>
    <row r="840" spans="2:2" x14ac:dyDescent="0.2">
      <c r="B840" s="31"/>
    </row>
    <row r="841" spans="2:2" x14ac:dyDescent="0.2">
      <c r="B841" s="31"/>
    </row>
    <row r="842" spans="2:2" x14ac:dyDescent="0.2">
      <c r="B842" s="31"/>
    </row>
    <row r="843" spans="2:2" x14ac:dyDescent="0.2">
      <c r="B843" s="31"/>
    </row>
    <row r="844" spans="2:2" x14ac:dyDescent="0.2">
      <c r="B844" s="31"/>
    </row>
    <row r="845" spans="2:2" x14ac:dyDescent="0.2">
      <c r="B845" s="31"/>
    </row>
    <row r="846" spans="2:2" x14ac:dyDescent="0.2">
      <c r="B846" s="31"/>
    </row>
    <row r="847" spans="2:2" x14ac:dyDescent="0.2">
      <c r="B847" s="31"/>
    </row>
    <row r="848" spans="2:2" x14ac:dyDescent="0.2">
      <c r="B848" s="31"/>
    </row>
    <row r="849" spans="2:2" x14ac:dyDescent="0.2">
      <c r="B849" s="31"/>
    </row>
    <row r="850" spans="2:2" x14ac:dyDescent="0.2">
      <c r="B850" s="31"/>
    </row>
    <row r="851" spans="2:2" x14ac:dyDescent="0.2">
      <c r="B851" s="31"/>
    </row>
    <row r="852" spans="2:2" x14ac:dyDescent="0.2">
      <c r="B852" s="31"/>
    </row>
    <row r="853" spans="2:2" x14ac:dyDescent="0.2">
      <c r="B853" s="31"/>
    </row>
    <row r="854" spans="2:2" x14ac:dyDescent="0.2">
      <c r="B854" s="31"/>
    </row>
    <row r="855" spans="2:2" x14ac:dyDescent="0.2">
      <c r="B855" s="31"/>
    </row>
    <row r="856" spans="2:2" x14ac:dyDescent="0.2">
      <c r="B856" s="31"/>
    </row>
    <row r="857" spans="2:2" x14ac:dyDescent="0.2">
      <c r="B857" s="31"/>
    </row>
    <row r="858" spans="2:2" x14ac:dyDescent="0.2">
      <c r="B858" s="31"/>
    </row>
    <row r="859" spans="2:2" x14ac:dyDescent="0.2">
      <c r="B859" s="31"/>
    </row>
    <row r="860" spans="2:2" x14ac:dyDescent="0.2">
      <c r="B860" s="31"/>
    </row>
    <row r="861" spans="2:2" x14ac:dyDescent="0.2">
      <c r="B861" s="31"/>
    </row>
    <row r="862" spans="2:2" x14ac:dyDescent="0.2">
      <c r="B862" s="31"/>
    </row>
    <row r="863" spans="2:2" x14ac:dyDescent="0.2">
      <c r="B863" s="31"/>
    </row>
    <row r="864" spans="2:2" x14ac:dyDescent="0.2">
      <c r="B864" s="31"/>
    </row>
    <row r="865" spans="2:2" x14ac:dyDescent="0.2">
      <c r="B865" s="31"/>
    </row>
    <row r="866" spans="2:2" x14ac:dyDescent="0.2">
      <c r="B866" s="31"/>
    </row>
    <row r="867" spans="2:2" x14ac:dyDescent="0.2">
      <c r="B867" s="31"/>
    </row>
    <row r="868" spans="2:2" x14ac:dyDescent="0.2">
      <c r="B868" s="31"/>
    </row>
    <row r="869" spans="2:2" x14ac:dyDescent="0.2">
      <c r="B869" s="31"/>
    </row>
    <row r="870" spans="2:2" x14ac:dyDescent="0.2">
      <c r="B870" s="31"/>
    </row>
    <row r="871" spans="2:2" x14ac:dyDescent="0.2">
      <c r="B871" s="31"/>
    </row>
    <row r="872" spans="2:2" x14ac:dyDescent="0.2">
      <c r="B872" s="31"/>
    </row>
    <row r="873" spans="2:2" x14ac:dyDescent="0.2">
      <c r="B873" s="31"/>
    </row>
    <row r="874" spans="2:2" x14ac:dyDescent="0.2">
      <c r="B874" s="31"/>
    </row>
    <row r="875" spans="2:2" x14ac:dyDescent="0.2">
      <c r="B875" s="31"/>
    </row>
    <row r="876" spans="2:2" x14ac:dyDescent="0.2">
      <c r="B876" s="31"/>
    </row>
    <row r="877" spans="2:2" x14ac:dyDescent="0.2">
      <c r="B877" s="31"/>
    </row>
    <row r="878" spans="2:2" x14ac:dyDescent="0.2">
      <c r="B878" s="31"/>
    </row>
    <row r="879" spans="2:2" x14ac:dyDescent="0.2">
      <c r="B879" s="31"/>
    </row>
    <row r="880" spans="2:2" x14ac:dyDescent="0.2">
      <c r="B880" s="31"/>
    </row>
    <row r="881" spans="2:2" x14ac:dyDescent="0.2">
      <c r="B881" s="31"/>
    </row>
    <row r="882" spans="2:2" x14ac:dyDescent="0.2">
      <c r="B882" s="31"/>
    </row>
    <row r="883" spans="2:2" x14ac:dyDescent="0.2">
      <c r="B883" s="31"/>
    </row>
    <row r="884" spans="2:2" x14ac:dyDescent="0.2">
      <c r="B884" s="31"/>
    </row>
    <row r="885" spans="2:2" x14ac:dyDescent="0.2">
      <c r="B885" s="31"/>
    </row>
    <row r="886" spans="2:2" x14ac:dyDescent="0.2">
      <c r="B886" s="31"/>
    </row>
    <row r="887" spans="2:2" x14ac:dyDescent="0.2">
      <c r="B887" s="31"/>
    </row>
    <row r="888" spans="2:2" x14ac:dyDescent="0.2">
      <c r="B888" s="31"/>
    </row>
    <row r="889" spans="2:2" x14ac:dyDescent="0.2">
      <c r="B889" s="31"/>
    </row>
    <row r="890" spans="2:2" x14ac:dyDescent="0.2">
      <c r="B890" s="31"/>
    </row>
    <row r="891" spans="2:2" x14ac:dyDescent="0.2">
      <c r="B891" s="31"/>
    </row>
    <row r="892" spans="2:2" x14ac:dyDescent="0.2">
      <c r="B892" s="31"/>
    </row>
    <row r="893" spans="2:2" x14ac:dyDescent="0.2">
      <c r="B893" s="31"/>
    </row>
    <row r="894" spans="2:2" x14ac:dyDescent="0.2">
      <c r="B894" s="31"/>
    </row>
    <row r="895" spans="2:2" x14ac:dyDescent="0.2">
      <c r="B895" s="31"/>
    </row>
    <row r="896" spans="2:2" x14ac:dyDescent="0.2">
      <c r="B896" s="31"/>
    </row>
    <row r="897" spans="2:2" x14ac:dyDescent="0.2">
      <c r="B897" s="31"/>
    </row>
    <row r="898" spans="2:2" x14ac:dyDescent="0.2">
      <c r="B898" s="31"/>
    </row>
    <row r="899" spans="2:2" x14ac:dyDescent="0.2">
      <c r="B899" s="31"/>
    </row>
    <row r="900" spans="2:2" x14ac:dyDescent="0.2">
      <c r="B900" s="31"/>
    </row>
    <row r="901" spans="2:2" x14ac:dyDescent="0.2">
      <c r="B901" s="31"/>
    </row>
    <row r="902" spans="2:2" x14ac:dyDescent="0.2">
      <c r="B902" s="31"/>
    </row>
    <row r="903" spans="2:2" x14ac:dyDescent="0.2">
      <c r="B903" s="31"/>
    </row>
    <row r="904" spans="2:2" x14ac:dyDescent="0.2">
      <c r="B904" s="31"/>
    </row>
    <row r="905" spans="2:2" x14ac:dyDescent="0.2">
      <c r="B905" s="31"/>
    </row>
    <row r="906" spans="2:2" x14ac:dyDescent="0.2">
      <c r="B906" s="31"/>
    </row>
    <row r="907" spans="2:2" x14ac:dyDescent="0.2">
      <c r="B907" s="31"/>
    </row>
    <row r="908" spans="2:2" x14ac:dyDescent="0.2">
      <c r="B908" s="31"/>
    </row>
    <row r="909" spans="2:2" x14ac:dyDescent="0.2">
      <c r="B909" s="31"/>
    </row>
    <row r="910" spans="2:2" x14ac:dyDescent="0.2">
      <c r="B910" s="31"/>
    </row>
    <row r="911" spans="2:2" x14ac:dyDescent="0.2">
      <c r="B911" s="31"/>
    </row>
    <row r="912" spans="2:2" x14ac:dyDescent="0.2">
      <c r="B912" s="31"/>
    </row>
    <row r="913" spans="2:2" x14ac:dyDescent="0.2">
      <c r="B913" s="31"/>
    </row>
    <row r="914" spans="2:2" x14ac:dyDescent="0.2">
      <c r="B914" s="31"/>
    </row>
    <row r="915" spans="2:2" x14ac:dyDescent="0.2">
      <c r="B915" s="31"/>
    </row>
    <row r="916" spans="2:2" x14ac:dyDescent="0.2">
      <c r="B916" s="31"/>
    </row>
    <row r="917" spans="2:2" x14ac:dyDescent="0.2">
      <c r="B917" s="31"/>
    </row>
    <row r="918" spans="2:2" x14ac:dyDescent="0.2">
      <c r="B918" s="31"/>
    </row>
    <row r="919" spans="2:2" x14ac:dyDescent="0.2">
      <c r="B919" s="31"/>
    </row>
    <row r="920" spans="2:2" x14ac:dyDescent="0.2">
      <c r="B920" s="31"/>
    </row>
    <row r="921" spans="2:2" x14ac:dyDescent="0.2">
      <c r="B921" s="31"/>
    </row>
    <row r="922" spans="2:2" x14ac:dyDescent="0.2">
      <c r="B922" s="31"/>
    </row>
    <row r="923" spans="2:2" x14ac:dyDescent="0.2">
      <c r="B923" s="31"/>
    </row>
    <row r="924" spans="2:2" x14ac:dyDescent="0.2">
      <c r="B924" s="31"/>
    </row>
    <row r="925" spans="2:2" x14ac:dyDescent="0.2">
      <c r="B925" s="31"/>
    </row>
    <row r="926" spans="2:2" x14ac:dyDescent="0.2">
      <c r="B926" s="31"/>
    </row>
    <row r="927" spans="2:2" x14ac:dyDescent="0.2">
      <c r="B927" s="31"/>
    </row>
    <row r="928" spans="2:2" x14ac:dyDescent="0.2">
      <c r="B928" s="31"/>
    </row>
    <row r="929" spans="2:2" x14ac:dyDescent="0.2">
      <c r="B929" s="31"/>
    </row>
    <row r="930" spans="2:2" x14ac:dyDescent="0.2">
      <c r="B930" s="31"/>
    </row>
    <row r="931" spans="2:2" x14ac:dyDescent="0.2">
      <c r="B931" s="31"/>
    </row>
    <row r="932" spans="2:2" x14ac:dyDescent="0.2">
      <c r="B932" s="31"/>
    </row>
    <row r="933" spans="2:2" x14ac:dyDescent="0.2">
      <c r="B933" s="31"/>
    </row>
    <row r="934" spans="2:2" x14ac:dyDescent="0.2">
      <c r="B934" s="31"/>
    </row>
    <row r="935" spans="2:2" x14ac:dyDescent="0.2">
      <c r="B935" s="31"/>
    </row>
    <row r="936" spans="2:2" x14ac:dyDescent="0.2">
      <c r="B936" s="31"/>
    </row>
    <row r="937" spans="2:2" x14ac:dyDescent="0.2">
      <c r="B937" s="31"/>
    </row>
    <row r="938" spans="2:2" x14ac:dyDescent="0.2">
      <c r="B938" s="31"/>
    </row>
    <row r="939" spans="2:2" x14ac:dyDescent="0.2">
      <c r="B939" s="31"/>
    </row>
    <row r="940" spans="2:2" x14ac:dyDescent="0.2">
      <c r="B940" s="31"/>
    </row>
    <row r="941" spans="2:2" x14ac:dyDescent="0.2">
      <c r="B941" s="31"/>
    </row>
    <row r="942" spans="2:2" x14ac:dyDescent="0.2">
      <c r="B942" s="31"/>
    </row>
    <row r="943" spans="2:2" x14ac:dyDescent="0.2">
      <c r="B943" s="31"/>
    </row>
    <row r="944" spans="2:2" x14ac:dyDescent="0.2">
      <c r="B944" s="31"/>
    </row>
    <row r="945" spans="2:2" x14ac:dyDescent="0.2">
      <c r="B945" s="31"/>
    </row>
    <row r="946" spans="2:2" x14ac:dyDescent="0.2">
      <c r="B946" s="31"/>
    </row>
    <row r="947" spans="2:2" x14ac:dyDescent="0.2">
      <c r="B947" s="31"/>
    </row>
    <row r="948" spans="2:2" x14ac:dyDescent="0.2">
      <c r="B948" s="31"/>
    </row>
    <row r="949" spans="2:2" x14ac:dyDescent="0.2">
      <c r="B949" s="31"/>
    </row>
    <row r="950" spans="2:2" x14ac:dyDescent="0.2">
      <c r="B950" s="31"/>
    </row>
    <row r="951" spans="2:2" x14ac:dyDescent="0.2">
      <c r="B951" s="31"/>
    </row>
    <row r="952" spans="2:2" x14ac:dyDescent="0.2">
      <c r="B952" s="31"/>
    </row>
    <row r="953" spans="2:2" x14ac:dyDescent="0.2">
      <c r="B953" s="31"/>
    </row>
    <row r="954" spans="2:2" x14ac:dyDescent="0.2">
      <c r="B954" s="31"/>
    </row>
    <row r="955" spans="2:2" x14ac:dyDescent="0.2">
      <c r="B955" s="31"/>
    </row>
    <row r="956" spans="2:2" x14ac:dyDescent="0.2">
      <c r="B956" s="31"/>
    </row>
    <row r="957" spans="2:2" x14ac:dyDescent="0.2">
      <c r="B957" s="31"/>
    </row>
    <row r="958" spans="2:2" x14ac:dyDescent="0.2">
      <c r="B958" s="31"/>
    </row>
    <row r="959" spans="2:2" x14ac:dyDescent="0.2">
      <c r="B959" s="31"/>
    </row>
    <row r="960" spans="2:2" x14ac:dyDescent="0.2">
      <c r="B960" s="31"/>
    </row>
    <row r="961" spans="2:2" x14ac:dyDescent="0.2">
      <c r="B961" s="31"/>
    </row>
    <row r="962" spans="2:2" x14ac:dyDescent="0.2">
      <c r="B962" s="31"/>
    </row>
    <row r="963" spans="2:2" x14ac:dyDescent="0.2">
      <c r="B963" s="31"/>
    </row>
    <row r="964" spans="2:2" x14ac:dyDescent="0.2">
      <c r="B964" s="31"/>
    </row>
    <row r="965" spans="2:2" x14ac:dyDescent="0.2">
      <c r="B965" s="31"/>
    </row>
    <row r="966" spans="2:2" x14ac:dyDescent="0.2">
      <c r="B966" s="31"/>
    </row>
    <row r="967" spans="2:2" x14ac:dyDescent="0.2">
      <c r="B967" s="31"/>
    </row>
    <row r="968" spans="2:2" x14ac:dyDescent="0.2">
      <c r="B968" s="31"/>
    </row>
    <row r="969" spans="2:2" x14ac:dyDescent="0.2">
      <c r="B969" s="31"/>
    </row>
    <row r="970" spans="2:2" x14ac:dyDescent="0.2">
      <c r="B970" s="31"/>
    </row>
    <row r="971" spans="2:2" x14ac:dyDescent="0.2">
      <c r="B971" s="31"/>
    </row>
    <row r="972" spans="2:2" x14ac:dyDescent="0.2">
      <c r="B972" s="31"/>
    </row>
    <row r="973" spans="2:2" x14ac:dyDescent="0.2">
      <c r="B973" s="31"/>
    </row>
    <row r="974" spans="2:2" x14ac:dyDescent="0.2">
      <c r="B974" s="31"/>
    </row>
    <row r="975" spans="2:2" x14ac:dyDescent="0.2">
      <c r="B975" s="31"/>
    </row>
    <row r="976" spans="2:2" x14ac:dyDescent="0.2">
      <c r="B976" s="31"/>
    </row>
    <row r="977" spans="2:2" x14ac:dyDescent="0.2">
      <c r="B977" s="31"/>
    </row>
    <row r="978" spans="2:2" x14ac:dyDescent="0.2">
      <c r="B978" s="31"/>
    </row>
    <row r="979" spans="2:2" x14ac:dyDescent="0.2">
      <c r="B979" s="31"/>
    </row>
    <row r="980" spans="2:2" x14ac:dyDescent="0.2">
      <c r="B980" s="31"/>
    </row>
    <row r="981" spans="2:2" x14ac:dyDescent="0.2">
      <c r="B981" s="31"/>
    </row>
    <row r="982" spans="2:2" x14ac:dyDescent="0.2">
      <c r="B982" s="31"/>
    </row>
    <row r="983" spans="2:2" x14ac:dyDescent="0.2">
      <c r="B983" s="31"/>
    </row>
    <row r="984" spans="2:2" x14ac:dyDescent="0.2">
      <c r="B984" s="31"/>
    </row>
    <row r="985" spans="2:2" x14ac:dyDescent="0.2">
      <c r="B985" s="31"/>
    </row>
    <row r="986" spans="2:2" x14ac:dyDescent="0.2">
      <c r="B986" s="31"/>
    </row>
    <row r="987" spans="2:2" x14ac:dyDescent="0.2">
      <c r="B987" s="31"/>
    </row>
    <row r="988" spans="2:2" x14ac:dyDescent="0.2">
      <c r="B988" s="31"/>
    </row>
    <row r="989" spans="2:2" x14ac:dyDescent="0.2">
      <c r="B989" s="31"/>
    </row>
    <row r="990" spans="2:2" x14ac:dyDescent="0.2">
      <c r="B990" s="31"/>
    </row>
    <row r="991" spans="2:2" x14ac:dyDescent="0.2">
      <c r="B991" s="31"/>
    </row>
    <row r="992" spans="2:2" x14ac:dyDescent="0.2">
      <c r="B992" s="31"/>
    </row>
    <row r="993" spans="2:2" x14ac:dyDescent="0.2">
      <c r="B993" s="31"/>
    </row>
    <row r="994" spans="2:2" x14ac:dyDescent="0.2">
      <c r="B994" s="31"/>
    </row>
    <row r="995" spans="2:2" x14ac:dyDescent="0.2">
      <c r="B995" s="31"/>
    </row>
    <row r="996" spans="2:2" x14ac:dyDescent="0.2">
      <c r="B996" s="31"/>
    </row>
    <row r="997" spans="2:2" x14ac:dyDescent="0.2">
      <c r="B997" s="31"/>
    </row>
    <row r="998" spans="2:2" x14ac:dyDescent="0.2">
      <c r="B998" s="31"/>
    </row>
    <row r="999" spans="2:2" x14ac:dyDescent="0.2">
      <c r="B999" s="31"/>
    </row>
    <row r="1000" spans="2:2" x14ac:dyDescent="0.2">
      <c r="B1000" s="31"/>
    </row>
    <row r="1001" spans="2:2" x14ac:dyDescent="0.2">
      <c r="B1001" s="31"/>
    </row>
    <row r="1002" spans="2:2" x14ac:dyDescent="0.2">
      <c r="B1002" s="31"/>
    </row>
    <row r="1003" spans="2:2" x14ac:dyDescent="0.2">
      <c r="B1003" s="31"/>
    </row>
    <row r="1004" spans="2:2" x14ac:dyDescent="0.2">
      <c r="B1004" s="31"/>
    </row>
    <row r="1005" spans="2:2" x14ac:dyDescent="0.2">
      <c r="B1005" s="31"/>
    </row>
    <row r="1006" spans="2:2" x14ac:dyDescent="0.2">
      <c r="B1006" s="31"/>
    </row>
    <row r="1007" spans="2:2" x14ac:dyDescent="0.2">
      <c r="B1007" s="31"/>
    </row>
    <row r="1008" spans="2:2" x14ac:dyDescent="0.2">
      <c r="B1008" s="31"/>
    </row>
    <row r="1009" spans="2:2" x14ac:dyDescent="0.2">
      <c r="B1009" s="31"/>
    </row>
    <row r="1010" spans="2:2" x14ac:dyDescent="0.2">
      <c r="B1010" s="31"/>
    </row>
    <row r="1011" spans="2:2" x14ac:dyDescent="0.2">
      <c r="B1011" s="31"/>
    </row>
    <row r="1012" spans="2:2" x14ac:dyDescent="0.2">
      <c r="B1012" s="31"/>
    </row>
    <row r="1013" spans="2:2" x14ac:dyDescent="0.2">
      <c r="B1013" s="31"/>
    </row>
    <row r="1014" spans="2:2" x14ac:dyDescent="0.2">
      <c r="B1014" s="31"/>
    </row>
    <row r="1015" spans="2:2" x14ac:dyDescent="0.2">
      <c r="B1015" s="31"/>
    </row>
    <row r="1016" spans="2:2" x14ac:dyDescent="0.2">
      <c r="B1016" s="31"/>
    </row>
    <row r="1017" spans="2:2" x14ac:dyDescent="0.2">
      <c r="B1017" s="31"/>
    </row>
    <row r="1018" spans="2:2" x14ac:dyDescent="0.2">
      <c r="B1018" s="31"/>
    </row>
    <row r="1019" spans="2:2" x14ac:dyDescent="0.2">
      <c r="B1019" s="31"/>
    </row>
    <row r="1020" spans="2:2" x14ac:dyDescent="0.2">
      <c r="B1020" s="31"/>
    </row>
    <row r="1021" spans="2:2" x14ac:dyDescent="0.2">
      <c r="B1021" s="31"/>
    </row>
    <row r="1022" spans="2:2" x14ac:dyDescent="0.2">
      <c r="B1022" s="31"/>
    </row>
    <row r="1023" spans="2:2" x14ac:dyDescent="0.2">
      <c r="B1023" s="31"/>
    </row>
    <row r="1024" spans="2:2" x14ac:dyDescent="0.2">
      <c r="B1024" s="31"/>
    </row>
    <row r="1025" spans="2:2" x14ac:dyDescent="0.2">
      <c r="B1025" s="31"/>
    </row>
    <row r="1026" spans="2:2" x14ac:dyDescent="0.2">
      <c r="B1026" s="31"/>
    </row>
    <row r="1027" spans="2:2" x14ac:dyDescent="0.2">
      <c r="B1027" s="31"/>
    </row>
    <row r="1028" spans="2:2" x14ac:dyDescent="0.2">
      <c r="B1028" s="31"/>
    </row>
    <row r="1029" spans="2:2" x14ac:dyDescent="0.2">
      <c r="B1029" s="31"/>
    </row>
    <row r="1030" spans="2:2" x14ac:dyDescent="0.2">
      <c r="B1030" s="31"/>
    </row>
    <row r="1031" spans="2:2" x14ac:dyDescent="0.2">
      <c r="B1031" s="31"/>
    </row>
    <row r="1032" spans="2:2" x14ac:dyDescent="0.2">
      <c r="B1032" s="31"/>
    </row>
    <row r="1033" spans="2:2" x14ac:dyDescent="0.2">
      <c r="B1033" s="31"/>
    </row>
    <row r="1034" spans="2:2" x14ac:dyDescent="0.2">
      <c r="B1034" s="31"/>
    </row>
    <row r="1035" spans="2:2" x14ac:dyDescent="0.2">
      <c r="B1035" s="31"/>
    </row>
    <row r="1036" spans="2:2" x14ac:dyDescent="0.2">
      <c r="B1036" s="31"/>
    </row>
    <row r="1037" spans="2:2" x14ac:dyDescent="0.2">
      <c r="B1037" s="31"/>
    </row>
    <row r="1038" spans="2:2" x14ac:dyDescent="0.2">
      <c r="B1038" s="31"/>
    </row>
    <row r="1039" spans="2:2" x14ac:dyDescent="0.2">
      <c r="B1039" s="31"/>
    </row>
    <row r="1040" spans="2:2" x14ac:dyDescent="0.2">
      <c r="B1040" s="31"/>
    </row>
    <row r="1041" spans="2:2" x14ac:dyDescent="0.2">
      <c r="B1041" s="31"/>
    </row>
    <row r="1042" spans="2:2" x14ac:dyDescent="0.2">
      <c r="B1042" s="31"/>
    </row>
    <row r="1043" spans="2:2" x14ac:dyDescent="0.2">
      <c r="B1043" s="31"/>
    </row>
    <row r="1044" spans="2:2" x14ac:dyDescent="0.2">
      <c r="B1044" s="31"/>
    </row>
    <row r="1045" spans="2:2" x14ac:dyDescent="0.2">
      <c r="B1045" s="31"/>
    </row>
    <row r="1046" spans="2:2" x14ac:dyDescent="0.2">
      <c r="B1046" s="31"/>
    </row>
    <row r="1047" spans="2:2" x14ac:dyDescent="0.2">
      <c r="B1047" s="31"/>
    </row>
    <row r="1048" spans="2:2" x14ac:dyDescent="0.2">
      <c r="B1048" s="31"/>
    </row>
    <row r="1049" spans="2:2" x14ac:dyDescent="0.2">
      <c r="B1049" s="31"/>
    </row>
    <row r="1050" spans="2:2" x14ac:dyDescent="0.2">
      <c r="B1050" s="31"/>
    </row>
    <row r="1051" spans="2:2" x14ac:dyDescent="0.2">
      <c r="B1051" s="31"/>
    </row>
    <row r="1052" spans="2:2" x14ac:dyDescent="0.2">
      <c r="B1052" s="31"/>
    </row>
    <row r="1053" spans="2:2" x14ac:dyDescent="0.2">
      <c r="B1053" s="31"/>
    </row>
    <row r="1054" spans="2:2" x14ac:dyDescent="0.2">
      <c r="B1054" s="31"/>
    </row>
    <row r="1055" spans="2:2" x14ac:dyDescent="0.2">
      <c r="B1055" s="31"/>
    </row>
    <row r="1056" spans="2:2" x14ac:dyDescent="0.2">
      <c r="B1056" s="31"/>
    </row>
    <row r="1057" spans="2:2" x14ac:dyDescent="0.2">
      <c r="B1057" s="31"/>
    </row>
    <row r="1058" spans="2:2" x14ac:dyDescent="0.2">
      <c r="B1058" s="31"/>
    </row>
    <row r="1059" spans="2:2" x14ac:dyDescent="0.2">
      <c r="B1059" s="31"/>
    </row>
    <row r="1060" spans="2:2" x14ac:dyDescent="0.2">
      <c r="B1060" s="31"/>
    </row>
    <row r="1061" spans="2:2" x14ac:dyDescent="0.2">
      <c r="B1061" s="31"/>
    </row>
    <row r="1062" spans="2:2" x14ac:dyDescent="0.2">
      <c r="B1062" s="31"/>
    </row>
    <row r="1063" spans="2:2" x14ac:dyDescent="0.2">
      <c r="B1063" s="31"/>
    </row>
    <row r="1064" spans="2:2" x14ac:dyDescent="0.2">
      <c r="B1064" s="31"/>
    </row>
    <row r="1065" spans="2:2" x14ac:dyDescent="0.2">
      <c r="B1065" s="31"/>
    </row>
    <row r="1066" spans="2:2" x14ac:dyDescent="0.2">
      <c r="B1066" s="31"/>
    </row>
    <row r="1067" spans="2:2" x14ac:dyDescent="0.2">
      <c r="B1067" s="31"/>
    </row>
    <row r="1068" spans="2:2" x14ac:dyDescent="0.2">
      <c r="B1068" s="31"/>
    </row>
    <row r="1069" spans="2:2" x14ac:dyDescent="0.2">
      <c r="B1069" s="31"/>
    </row>
    <row r="1070" spans="2:2" x14ac:dyDescent="0.2">
      <c r="B1070" s="31"/>
    </row>
    <row r="1071" spans="2:2" x14ac:dyDescent="0.2">
      <c r="B1071" s="31"/>
    </row>
    <row r="1072" spans="2:2" x14ac:dyDescent="0.2">
      <c r="B1072" s="31"/>
    </row>
    <row r="1073" spans="2:2" x14ac:dyDescent="0.2">
      <c r="B1073" s="31"/>
    </row>
    <row r="1074" spans="2:2" x14ac:dyDescent="0.2">
      <c r="B1074" s="31"/>
    </row>
    <row r="1075" spans="2:2" x14ac:dyDescent="0.2">
      <c r="B1075" s="31"/>
    </row>
    <row r="1076" spans="2:2" x14ac:dyDescent="0.2">
      <c r="B1076" s="31"/>
    </row>
    <row r="1077" spans="2:2" x14ac:dyDescent="0.2">
      <c r="B1077" s="31"/>
    </row>
    <row r="1078" spans="2:2" x14ac:dyDescent="0.2">
      <c r="B1078" s="31"/>
    </row>
    <row r="1079" spans="2:2" x14ac:dyDescent="0.2">
      <c r="B1079" s="31"/>
    </row>
    <row r="1080" spans="2:2" x14ac:dyDescent="0.2">
      <c r="B1080" s="31"/>
    </row>
    <row r="1081" spans="2:2" x14ac:dyDescent="0.2">
      <c r="B1081" s="31"/>
    </row>
    <row r="1082" spans="2:2" x14ac:dyDescent="0.2">
      <c r="B1082" s="31"/>
    </row>
    <row r="1083" spans="2:2" x14ac:dyDescent="0.2">
      <c r="B1083" s="31"/>
    </row>
    <row r="1084" spans="2:2" x14ac:dyDescent="0.2">
      <c r="B1084" s="31"/>
    </row>
    <row r="1085" spans="2:2" x14ac:dyDescent="0.2">
      <c r="B1085" s="31"/>
    </row>
    <row r="1086" spans="2:2" x14ac:dyDescent="0.2">
      <c r="B1086" s="31"/>
    </row>
    <row r="1087" spans="2:2" x14ac:dyDescent="0.2">
      <c r="B1087" s="31"/>
    </row>
    <row r="1088" spans="2:2" x14ac:dyDescent="0.2">
      <c r="B1088" s="31"/>
    </row>
    <row r="1089" spans="2:2" x14ac:dyDescent="0.2">
      <c r="B1089" s="31"/>
    </row>
    <row r="1090" spans="2:2" x14ac:dyDescent="0.2">
      <c r="B1090" s="31"/>
    </row>
    <row r="1091" spans="2:2" x14ac:dyDescent="0.2">
      <c r="B1091" s="31"/>
    </row>
    <row r="1092" spans="2:2" x14ac:dyDescent="0.2">
      <c r="B1092" s="31"/>
    </row>
    <row r="1093" spans="2:2" x14ac:dyDescent="0.2">
      <c r="B1093" s="31"/>
    </row>
    <row r="1094" spans="2:2" x14ac:dyDescent="0.2">
      <c r="B1094" s="31"/>
    </row>
    <row r="1095" spans="2:2" x14ac:dyDescent="0.2">
      <c r="B1095" s="31"/>
    </row>
    <row r="1096" spans="2:2" x14ac:dyDescent="0.2">
      <c r="B1096" s="31"/>
    </row>
    <row r="1097" spans="2:2" x14ac:dyDescent="0.2">
      <c r="B1097" s="31"/>
    </row>
    <row r="1098" spans="2:2" x14ac:dyDescent="0.2">
      <c r="B1098" s="31"/>
    </row>
    <row r="1099" spans="2:2" x14ac:dyDescent="0.2">
      <c r="B1099" s="31"/>
    </row>
    <row r="1100" spans="2:2" x14ac:dyDescent="0.2">
      <c r="B1100" s="31"/>
    </row>
    <row r="1101" spans="2:2" x14ac:dyDescent="0.2">
      <c r="B1101" s="31"/>
    </row>
    <row r="1102" spans="2:2" x14ac:dyDescent="0.2">
      <c r="B1102" s="31"/>
    </row>
    <row r="1103" spans="2:2" x14ac:dyDescent="0.2">
      <c r="B1103" s="31"/>
    </row>
    <row r="1104" spans="2:2" x14ac:dyDescent="0.2">
      <c r="B1104" s="31"/>
    </row>
    <row r="1105" spans="2:2" x14ac:dyDescent="0.2">
      <c r="B1105" s="31"/>
    </row>
    <row r="1106" spans="2:2" x14ac:dyDescent="0.2">
      <c r="B1106" s="31"/>
    </row>
    <row r="1107" spans="2:2" x14ac:dyDescent="0.2">
      <c r="B1107" s="31"/>
    </row>
    <row r="1108" spans="2:2" x14ac:dyDescent="0.2">
      <c r="B1108" s="31"/>
    </row>
    <row r="1109" spans="2:2" x14ac:dyDescent="0.2">
      <c r="B1109" s="31"/>
    </row>
    <row r="1110" spans="2:2" x14ac:dyDescent="0.2">
      <c r="B1110" s="31"/>
    </row>
    <row r="1111" spans="2:2" x14ac:dyDescent="0.2">
      <c r="B1111" s="31"/>
    </row>
    <row r="1112" spans="2:2" x14ac:dyDescent="0.2">
      <c r="B1112" s="31"/>
    </row>
    <row r="1113" spans="2:2" x14ac:dyDescent="0.2">
      <c r="B1113" s="31"/>
    </row>
    <row r="1114" spans="2:2" x14ac:dyDescent="0.2">
      <c r="B1114" s="31"/>
    </row>
    <row r="1115" spans="2:2" x14ac:dyDescent="0.2">
      <c r="B1115" s="31"/>
    </row>
    <row r="1116" spans="2:2" x14ac:dyDescent="0.2">
      <c r="B1116" s="31"/>
    </row>
    <row r="1117" spans="2:2" x14ac:dyDescent="0.2">
      <c r="B1117" s="31"/>
    </row>
    <row r="1118" spans="2:2" x14ac:dyDescent="0.2">
      <c r="B1118" s="31"/>
    </row>
    <row r="1119" spans="2:2" x14ac:dyDescent="0.2">
      <c r="B1119" s="31"/>
    </row>
    <row r="1120" spans="2:2" x14ac:dyDescent="0.2">
      <c r="B1120" s="31"/>
    </row>
    <row r="1121" spans="2:2" x14ac:dyDescent="0.2">
      <c r="B1121" s="31"/>
    </row>
    <row r="1122" spans="2:2" x14ac:dyDescent="0.2">
      <c r="B1122" s="31"/>
    </row>
    <row r="1123" spans="2:2" x14ac:dyDescent="0.2">
      <c r="B1123" s="31"/>
    </row>
    <row r="1124" spans="2:2" x14ac:dyDescent="0.2">
      <c r="B1124" s="31"/>
    </row>
    <row r="1125" spans="2:2" x14ac:dyDescent="0.2">
      <c r="B1125" s="31"/>
    </row>
    <row r="1126" spans="2:2" x14ac:dyDescent="0.2">
      <c r="B1126" s="31"/>
    </row>
    <row r="1127" spans="2:2" x14ac:dyDescent="0.2">
      <c r="B1127" s="31"/>
    </row>
    <row r="1128" spans="2:2" x14ac:dyDescent="0.2">
      <c r="B1128" s="31"/>
    </row>
    <row r="1129" spans="2:2" x14ac:dyDescent="0.2">
      <c r="B1129" s="31"/>
    </row>
    <row r="1130" spans="2:2" x14ac:dyDescent="0.2">
      <c r="B1130" s="31"/>
    </row>
    <row r="1131" spans="2:2" x14ac:dyDescent="0.2">
      <c r="B1131" s="31"/>
    </row>
    <row r="1132" spans="2:2" x14ac:dyDescent="0.2">
      <c r="B1132" s="31"/>
    </row>
    <row r="1133" spans="2:2" x14ac:dyDescent="0.2">
      <c r="B1133" s="31"/>
    </row>
    <row r="1134" spans="2:2" x14ac:dyDescent="0.2">
      <c r="B1134" s="31"/>
    </row>
    <row r="1135" spans="2:2" x14ac:dyDescent="0.2">
      <c r="B1135" s="31"/>
    </row>
    <row r="1136" spans="2:2" x14ac:dyDescent="0.2">
      <c r="B1136" s="31"/>
    </row>
    <row r="1137" spans="2:2" x14ac:dyDescent="0.2">
      <c r="B1137" s="31"/>
    </row>
    <row r="1138" spans="2:2" x14ac:dyDescent="0.2">
      <c r="B1138" s="31"/>
    </row>
    <row r="1139" spans="2:2" x14ac:dyDescent="0.2">
      <c r="B1139" s="31"/>
    </row>
    <row r="1140" spans="2:2" x14ac:dyDescent="0.2">
      <c r="B1140" s="31"/>
    </row>
    <row r="1141" spans="2:2" x14ac:dyDescent="0.2">
      <c r="B1141" s="31"/>
    </row>
    <row r="1142" spans="2:2" x14ac:dyDescent="0.2">
      <c r="B1142" s="31"/>
    </row>
    <row r="1143" spans="2:2" x14ac:dyDescent="0.2">
      <c r="B1143" s="31"/>
    </row>
    <row r="1144" spans="2:2" x14ac:dyDescent="0.2">
      <c r="B1144" s="31"/>
    </row>
    <row r="1145" spans="2:2" x14ac:dyDescent="0.2">
      <c r="B1145" s="31"/>
    </row>
    <row r="1146" spans="2:2" x14ac:dyDescent="0.2">
      <c r="B1146" s="31"/>
    </row>
    <row r="1147" spans="2:2" x14ac:dyDescent="0.2">
      <c r="B1147" s="31"/>
    </row>
    <row r="1148" spans="2:2" x14ac:dyDescent="0.2">
      <c r="B1148" s="31"/>
    </row>
    <row r="1149" spans="2:2" x14ac:dyDescent="0.2">
      <c r="B1149" s="31"/>
    </row>
    <row r="1150" spans="2:2" x14ac:dyDescent="0.2">
      <c r="B1150" s="31"/>
    </row>
    <row r="1151" spans="2:2" x14ac:dyDescent="0.2">
      <c r="B1151" s="31"/>
    </row>
    <row r="1152" spans="2:2" x14ac:dyDescent="0.2">
      <c r="B1152" s="31"/>
    </row>
    <row r="1153" spans="2:2" x14ac:dyDescent="0.2">
      <c r="B1153" s="31"/>
    </row>
    <row r="1154" spans="2:2" x14ac:dyDescent="0.2">
      <c r="B1154" s="31"/>
    </row>
    <row r="1155" spans="2:2" x14ac:dyDescent="0.2">
      <c r="B1155" s="31"/>
    </row>
    <row r="1156" spans="2:2" x14ac:dyDescent="0.2">
      <c r="B1156" s="31"/>
    </row>
    <row r="1157" spans="2:2" x14ac:dyDescent="0.2">
      <c r="B1157" s="31"/>
    </row>
    <row r="1158" spans="2:2" x14ac:dyDescent="0.2">
      <c r="B1158" s="31"/>
    </row>
    <row r="1159" spans="2:2" x14ac:dyDescent="0.2">
      <c r="B1159" s="31"/>
    </row>
    <row r="1160" spans="2:2" x14ac:dyDescent="0.2">
      <c r="B1160" s="31"/>
    </row>
    <row r="1161" spans="2:2" x14ac:dyDescent="0.2">
      <c r="B1161" s="31"/>
    </row>
    <row r="1162" spans="2:2" x14ac:dyDescent="0.2">
      <c r="B1162" s="31"/>
    </row>
    <row r="1163" spans="2:2" x14ac:dyDescent="0.2">
      <c r="B1163" s="31"/>
    </row>
    <row r="1164" spans="2:2" x14ac:dyDescent="0.2">
      <c r="B1164" s="31"/>
    </row>
    <row r="1165" spans="2:2" x14ac:dyDescent="0.2">
      <c r="B1165" s="31"/>
    </row>
    <row r="1166" spans="2:2" x14ac:dyDescent="0.2">
      <c r="B1166" s="31"/>
    </row>
    <row r="1167" spans="2:2" x14ac:dyDescent="0.2">
      <c r="B1167" s="31"/>
    </row>
    <row r="1168" spans="2:2" x14ac:dyDescent="0.2">
      <c r="B1168" s="31"/>
    </row>
    <row r="1169" spans="2:2" x14ac:dyDescent="0.2">
      <c r="B1169" s="31"/>
    </row>
    <row r="1170" spans="2:2" x14ac:dyDescent="0.2">
      <c r="B1170" s="31"/>
    </row>
    <row r="1171" spans="2:2" x14ac:dyDescent="0.2">
      <c r="B1171" s="31"/>
    </row>
    <row r="1172" spans="2:2" x14ac:dyDescent="0.2">
      <c r="B1172" s="31"/>
    </row>
    <row r="1173" spans="2:2" x14ac:dyDescent="0.2">
      <c r="B1173" s="31"/>
    </row>
    <row r="1174" spans="2:2" x14ac:dyDescent="0.2">
      <c r="B1174" s="31"/>
    </row>
    <row r="1175" spans="2:2" x14ac:dyDescent="0.2">
      <c r="B1175" s="31"/>
    </row>
    <row r="1176" spans="2:2" x14ac:dyDescent="0.2">
      <c r="B1176" s="31"/>
    </row>
    <row r="1177" spans="2:2" x14ac:dyDescent="0.2">
      <c r="B1177" s="31"/>
    </row>
    <row r="1178" spans="2:2" x14ac:dyDescent="0.2">
      <c r="B1178" s="31"/>
    </row>
    <row r="1179" spans="2:2" x14ac:dyDescent="0.2">
      <c r="B1179" s="31"/>
    </row>
    <row r="1180" spans="2:2" x14ac:dyDescent="0.2">
      <c r="B1180" s="31"/>
    </row>
    <row r="1181" spans="2:2" x14ac:dyDescent="0.2">
      <c r="B1181" s="31"/>
    </row>
    <row r="1182" spans="2:2" x14ac:dyDescent="0.2">
      <c r="B1182" s="31"/>
    </row>
    <row r="1183" spans="2:2" x14ac:dyDescent="0.2">
      <c r="B1183" s="31"/>
    </row>
    <row r="1184" spans="2:2" x14ac:dyDescent="0.2">
      <c r="B1184" s="31"/>
    </row>
    <row r="1185" spans="2:2" x14ac:dyDescent="0.2">
      <c r="B1185" s="31"/>
    </row>
    <row r="1186" spans="2:2" x14ac:dyDescent="0.2">
      <c r="B1186" s="31"/>
    </row>
    <row r="1187" spans="2:2" x14ac:dyDescent="0.2">
      <c r="B1187" s="31"/>
    </row>
    <row r="1188" spans="2:2" x14ac:dyDescent="0.2">
      <c r="B1188" s="31"/>
    </row>
    <row r="1189" spans="2:2" x14ac:dyDescent="0.2">
      <c r="B1189" s="31"/>
    </row>
    <row r="1190" spans="2:2" x14ac:dyDescent="0.2">
      <c r="B1190" s="31"/>
    </row>
    <row r="1191" spans="2:2" x14ac:dyDescent="0.2">
      <c r="B1191" s="31"/>
    </row>
    <row r="1192" spans="2:2" x14ac:dyDescent="0.2">
      <c r="B1192" s="31"/>
    </row>
    <row r="1193" spans="2:2" x14ac:dyDescent="0.2">
      <c r="B1193" s="31"/>
    </row>
    <row r="1194" spans="2:2" x14ac:dyDescent="0.2">
      <c r="B1194" s="31"/>
    </row>
    <row r="1195" spans="2:2" x14ac:dyDescent="0.2">
      <c r="B1195" s="31"/>
    </row>
    <row r="1196" spans="2:2" x14ac:dyDescent="0.2">
      <c r="B1196" s="31"/>
    </row>
    <row r="1197" spans="2:2" x14ac:dyDescent="0.2">
      <c r="B1197" s="31"/>
    </row>
    <row r="1198" spans="2:2" x14ac:dyDescent="0.2">
      <c r="B1198" s="31"/>
    </row>
    <row r="1199" spans="2:2" x14ac:dyDescent="0.2">
      <c r="B1199" s="31"/>
    </row>
    <row r="1200" spans="2:2" x14ac:dyDescent="0.2">
      <c r="B1200" s="31"/>
    </row>
    <row r="1201" spans="2:2" x14ac:dyDescent="0.2">
      <c r="B1201" s="31"/>
    </row>
    <row r="1202" spans="2:2" x14ac:dyDescent="0.2">
      <c r="B1202" s="31"/>
    </row>
    <row r="1203" spans="2:2" x14ac:dyDescent="0.2">
      <c r="B1203" s="31"/>
    </row>
    <row r="1204" spans="2:2" x14ac:dyDescent="0.2">
      <c r="B1204" s="31"/>
    </row>
    <row r="1205" spans="2:2" x14ac:dyDescent="0.2">
      <c r="B1205" s="31"/>
    </row>
    <row r="1206" spans="2:2" x14ac:dyDescent="0.2">
      <c r="B1206" s="31"/>
    </row>
    <row r="1207" spans="2:2" x14ac:dyDescent="0.2">
      <c r="B1207" s="31"/>
    </row>
    <row r="1208" spans="2:2" x14ac:dyDescent="0.2">
      <c r="B1208" s="31"/>
    </row>
    <row r="1209" spans="2:2" x14ac:dyDescent="0.2">
      <c r="B1209" s="31"/>
    </row>
    <row r="1210" spans="2:2" x14ac:dyDescent="0.2">
      <c r="B1210" s="31"/>
    </row>
    <row r="1211" spans="2:2" x14ac:dyDescent="0.2">
      <c r="B1211" s="31"/>
    </row>
    <row r="1212" spans="2:2" x14ac:dyDescent="0.2">
      <c r="B1212" s="31"/>
    </row>
    <row r="1213" spans="2:2" x14ac:dyDescent="0.2">
      <c r="B1213" s="31"/>
    </row>
    <row r="1214" spans="2:2" x14ac:dyDescent="0.2">
      <c r="B1214" s="31"/>
    </row>
    <row r="1215" spans="2:2" x14ac:dyDescent="0.2">
      <c r="B1215" s="31"/>
    </row>
    <row r="1216" spans="2:2" x14ac:dyDescent="0.2">
      <c r="B1216" s="31"/>
    </row>
    <row r="1217" spans="2:2" x14ac:dyDescent="0.2">
      <c r="B1217" s="31"/>
    </row>
    <row r="1218" spans="2:2" x14ac:dyDescent="0.2">
      <c r="B1218" s="31"/>
    </row>
    <row r="1219" spans="2:2" x14ac:dyDescent="0.2">
      <c r="B1219" s="31"/>
    </row>
    <row r="1220" spans="2:2" x14ac:dyDescent="0.2">
      <c r="B1220" s="31"/>
    </row>
    <row r="1221" spans="2:2" x14ac:dyDescent="0.2">
      <c r="B1221" s="31"/>
    </row>
    <row r="1222" spans="2:2" x14ac:dyDescent="0.2">
      <c r="B1222" s="31"/>
    </row>
    <row r="1223" spans="2:2" x14ac:dyDescent="0.2">
      <c r="B1223" s="31"/>
    </row>
    <row r="1224" spans="2:2" x14ac:dyDescent="0.2">
      <c r="B1224" s="31"/>
    </row>
    <row r="1225" spans="2:2" x14ac:dyDescent="0.2">
      <c r="B1225" s="31"/>
    </row>
    <row r="1226" spans="2:2" x14ac:dyDescent="0.2">
      <c r="B1226" s="31"/>
    </row>
    <row r="1227" spans="2:2" x14ac:dyDescent="0.2">
      <c r="B1227" s="31"/>
    </row>
    <row r="1228" spans="2:2" x14ac:dyDescent="0.2">
      <c r="B1228" s="31"/>
    </row>
    <row r="1229" spans="2:2" x14ac:dyDescent="0.2">
      <c r="B1229" s="31"/>
    </row>
    <row r="1230" spans="2:2" x14ac:dyDescent="0.2">
      <c r="B1230" s="31"/>
    </row>
    <row r="1231" spans="2:2" x14ac:dyDescent="0.2">
      <c r="B1231" s="31"/>
    </row>
    <row r="1232" spans="2:2" x14ac:dyDescent="0.2">
      <c r="B1232" s="31"/>
    </row>
    <row r="1233" spans="2:2" x14ac:dyDescent="0.2">
      <c r="B1233" s="31"/>
    </row>
    <row r="1234" spans="2:2" x14ac:dyDescent="0.2">
      <c r="B1234" s="31"/>
    </row>
    <row r="1235" spans="2:2" x14ac:dyDescent="0.2">
      <c r="B1235" s="31"/>
    </row>
    <row r="1236" spans="2:2" x14ac:dyDescent="0.2">
      <c r="B1236" s="31"/>
    </row>
    <row r="1237" spans="2:2" x14ac:dyDescent="0.2">
      <c r="B1237" s="31"/>
    </row>
    <row r="1238" spans="2:2" x14ac:dyDescent="0.2">
      <c r="B1238" s="31"/>
    </row>
    <row r="1239" spans="2:2" x14ac:dyDescent="0.2">
      <c r="B1239" s="31"/>
    </row>
    <row r="1240" spans="2:2" x14ac:dyDescent="0.2">
      <c r="B1240" s="31"/>
    </row>
    <row r="1241" spans="2:2" x14ac:dyDescent="0.2">
      <c r="B1241" s="31"/>
    </row>
    <row r="1242" spans="2:2" x14ac:dyDescent="0.2">
      <c r="B1242" s="31"/>
    </row>
    <row r="1243" spans="2:2" x14ac:dyDescent="0.2">
      <c r="B1243" s="31"/>
    </row>
    <row r="1244" spans="2:2" x14ac:dyDescent="0.2">
      <c r="B1244" s="31"/>
    </row>
    <row r="1245" spans="2:2" x14ac:dyDescent="0.2">
      <c r="B1245" s="31"/>
    </row>
    <row r="1246" spans="2:2" x14ac:dyDescent="0.2">
      <c r="B1246" s="31"/>
    </row>
    <row r="1247" spans="2:2" x14ac:dyDescent="0.2">
      <c r="B1247" s="31"/>
    </row>
    <row r="1248" spans="2:2" x14ac:dyDescent="0.2">
      <c r="B1248" s="31"/>
    </row>
    <row r="1249" spans="2:2" x14ac:dyDescent="0.2">
      <c r="B1249" s="31"/>
    </row>
    <row r="1250" spans="2:2" x14ac:dyDescent="0.2">
      <c r="B1250" s="31"/>
    </row>
    <row r="1251" spans="2:2" x14ac:dyDescent="0.2">
      <c r="B1251" s="31"/>
    </row>
    <row r="1252" spans="2:2" x14ac:dyDescent="0.2">
      <c r="B1252" s="31"/>
    </row>
    <row r="1253" spans="2:2" x14ac:dyDescent="0.2">
      <c r="B1253" s="31"/>
    </row>
    <row r="1254" spans="2:2" x14ac:dyDescent="0.2">
      <c r="B1254" s="31"/>
    </row>
    <row r="1255" spans="2:2" x14ac:dyDescent="0.2">
      <c r="B1255" s="31"/>
    </row>
    <row r="1256" spans="2:2" x14ac:dyDescent="0.2">
      <c r="B1256" s="31"/>
    </row>
    <row r="1257" spans="2:2" x14ac:dyDescent="0.2">
      <c r="B1257" s="31"/>
    </row>
    <row r="1258" spans="2:2" x14ac:dyDescent="0.2">
      <c r="B1258" s="31"/>
    </row>
    <row r="1259" spans="2:2" x14ac:dyDescent="0.2">
      <c r="B1259" s="31"/>
    </row>
    <row r="1260" spans="2:2" x14ac:dyDescent="0.2">
      <c r="B1260" s="31"/>
    </row>
    <row r="1261" spans="2:2" x14ac:dyDescent="0.2">
      <c r="B1261" s="31"/>
    </row>
    <row r="1262" spans="2:2" x14ac:dyDescent="0.2">
      <c r="B1262" s="31"/>
    </row>
    <row r="1263" spans="2:2" x14ac:dyDescent="0.2">
      <c r="B1263" s="31"/>
    </row>
    <row r="1264" spans="2:2" x14ac:dyDescent="0.2">
      <c r="B1264" s="31"/>
    </row>
    <row r="1265" spans="2:2" x14ac:dyDescent="0.2">
      <c r="B1265" s="31"/>
    </row>
    <row r="1266" spans="2:2" x14ac:dyDescent="0.2">
      <c r="B1266" s="31"/>
    </row>
    <row r="1267" spans="2:2" x14ac:dyDescent="0.2">
      <c r="B1267" s="31"/>
    </row>
    <row r="1268" spans="2:2" x14ac:dyDescent="0.2">
      <c r="B1268" s="31"/>
    </row>
    <row r="1269" spans="2:2" x14ac:dyDescent="0.2">
      <c r="B1269" s="31"/>
    </row>
    <row r="1270" spans="2:2" x14ac:dyDescent="0.2">
      <c r="B1270" s="31"/>
    </row>
    <row r="1271" spans="2:2" x14ac:dyDescent="0.2">
      <c r="B1271" s="31"/>
    </row>
    <row r="1272" spans="2:2" x14ac:dyDescent="0.2">
      <c r="B1272" s="31"/>
    </row>
    <row r="1273" spans="2:2" x14ac:dyDescent="0.2">
      <c r="B1273" s="31"/>
    </row>
    <row r="1274" spans="2:2" x14ac:dyDescent="0.2">
      <c r="B1274" s="31"/>
    </row>
    <row r="1275" spans="2:2" x14ac:dyDescent="0.2">
      <c r="B1275" s="31"/>
    </row>
    <row r="1276" spans="2:2" x14ac:dyDescent="0.2">
      <c r="B1276" s="31"/>
    </row>
    <row r="1277" spans="2:2" x14ac:dyDescent="0.2">
      <c r="B1277" s="31"/>
    </row>
    <row r="1278" spans="2:2" x14ac:dyDescent="0.2">
      <c r="B1278" s="31"/>
    </row>
    <row r="1279" spans="2:2" x14ac:dyDescent="0.2">
      <c r="B1279" s="31"/>
    </row>
    <row r="1280" spans="2:2" x14ac:dyDescent="0.2">
      <c r="B1280" s="31"/>
    </row>
    <row r="1281" spans="2:2" x14ac:dyDescent="0.2">
      <c r="B1281" s="31"/>
    </row>
    <row r="1282" spans="2:2" x14ac:dyDescent="0.2">
      <c r="B1282" s="31"/>
    </row>
    <row r="1283" spans="2:2" x14ac:dyDescent="0.2">
      <c r="B1283" s="31"/>
    </row>
    <row r="1284" spans="2:2" x14ac:dyDescent="0.2">
      <c r="B1284" s="31"/>
    </row>
    <row r="1285" spans="2:2" x14ac:dyDescent="0.2">
      <c r="B1285" s="31"/>
    </row>
    <row r="1286" spans="2:2" x14ac:dyDescent="0.2">
      <c r="B1286" s="31"/>
    </row>
    <row r="1287" spans="2:2" x14ac:dyDescent="0.2">
      <c r="B1287" s="31"/>
    </row>
    <row r="1288" spans="2:2" x14ac:dyDescent="0.2">
      <c r="B1288" s="31"/>
    </row>
    <row r="1289" spans="2:2" x14ac:dyDescent="0.2">
      <c r="B1289" s="31"/>
    </row>
    <row r="1290" spans="2:2" x14ac:dyDescent="0.2">
      <c r="B1290" s="31"/>
    </row>
    <row r="1291" spans="2:2" x14ac:dyDescent="0.2">
      <c r="B1291" s="31"/>
    </row>
    <row r="1292" spans="2:2" x14ac:dyDescent="0.2">
      <c r="B1292" s="31"/>
    </row>
    <row r="1293" spans="2:2" x14ac:dyDescent="0.2">
      <c r="B1293" s="31"/>
    </row>
    <row r="1294" spans="2:2" x14ac:dyDescent="0.2">
      <c r="B1294" s="31"/>
    </row>
    <row r="1295" spans="2:2" x14ac:dyDescent="0.2">
      <c r="B1295" s="31"/>
    </row>
    <row r="1296" spans="2:2" x14ac:dyDescent="0.2">
      <c r="B1296" s="31"/>
    </row>
    <row r="1297" spans="2:2" x14ac:dyDescent="0.2">
      <c r="B1297" s="31"/>
    </row>
    <row r="1298" spans="2:2" x14ac:dyDescent="0.2">
      <c r="B1298" s="31"/>
    </row>
    <row r="1299" spans="2:2" x14ac:dyDescent="0.2">
      <c r="B1299" s="31"/>
    </row>
    <row r="1300" spans="2:2" x14ac:dyDescent="0.2">
      <c r="B1300" s="31"/>
    </row>
    <row r="1301" spans="2:2" x14ac:dyDescent="0.2">
      <c r="B1301" s="31"/>
    </row>
    <row r="1302" spans="2:2" x14ac:dyDescent="0.2">
      <c r="B1302" s="31"/>
    </row>
    <row r="1303" spans="2:2" x14ac:dyDescent="0.2">
      <c r="B1303" s="31"/>
    </row>
    <row r="1304" spans="2:2" x14ac:dyDescent="0.2">
      <c r="B1304" s="31"/>
    </row>
    <row r="1305" spans="2:2" x14ac:dyDescent="0.2">
      <c r="B1305" s="31"/>
    </row>
    <row r="1306" spans="2:2" x14ac:dyDescent="0.2">
      <c r="B1306" s="31"/>
    </row>
    <row r="1307" spans="2:2" x14ac:dyDescent="0.2">
      <c r="B1307" s="31"/>
    </row>
    <row r="1308" spans="2:2" x14ac:dyDescent="0.2">
      <c r="B1308" s="31"/>
    </row>
    <row r="1309" spans="2:2" x14ac:dyDescent="0.2">
      <c r="B1309" s="31"/>
    </row>
    <row r="1310" spans="2:2" x14ac:dyDescent="0.2">
      <c r="B1310" s="31"/>
    </row>
    <row r="1311" spans="2:2" x14ac:dyDescent="0.2">
      <c r="B1311" s="31"/>
    </row>
    <row r="1312" spans="2:2" x14ac:dyDescent="0.2">
      <c r="B1312" s="31"/>
    </row>
    <row r="1313" spans="2:2" x14ac:dyDescent="0.2">
      <c r="B1313" s="31"/>
    </row>
    <row r="1314" spans="2:2" x14ac:dyDescent="0.2">
      <c r="B1314" s="31"/>
    </row>
    <row r="1315" spans="2:2" x14ac:dyDescent="0.2">
      <c r="B1315" s="31"/>
    </row>
    <row r="1316" spans="2:2" x14ac:dyDescent="0.2">
      <c r="B1316" s="31"/>
    </row>
    <row r="1317" spans="2:2" x14ac:dyDescent="0.2">
      <c r="B1317" s="31"/>
    </row>
    <row r="1318" spans="2:2" x14ac:dyDescent="0.2">
      <c r="B1318" s="31"/>
    </row>
    <row r="1319" spans="2:2" x14ac:dyDescent="0.2">
      <c r="B1319" s="31"/>
    </row>
    <row r="1320" spans="2:2" x14ac:dyDescent="0.2">
      <c r="B1320" s="31"/>
    </row>
    <row r="1321" spans="2:2" x14ac:dyDescent="0.2">
      <c r="B1321" s="31"/>
    </row>
    <row r="1322" spans="2:2" x14ac:dyDescent="0.2">
      <c r="B1322" s="31"/>
    </row>
    <row r="1323" spans="2:2" x14ac:dyDescent="0.2">
      <c r="B1323" s="31"/>
    </row>
    <row r="1324" spans="2:2" x14ac:dyDescent="0.2">
      <c r="B1324" s="31"/>
    </row>
    <row r="1325" spans="2:2" x14ac:dyDescent="0.2">
      <c r="B1325" s="31"/>
    </row>
    <row r="1326" spans="2:2" x14ac:dyDescent="0.2">
      <c r="B1326" s="31"/>
    </row>
    <row r="1327" spans="2:2" x14ac:dyDescent="0.2">
      <c r="B1327" s="31"/>
    </row>
    <row r="1328" spans="2:2" x14ac:dyDescent="0.2">
      <c r="B1328" s="31"/>
    </row>
    <row r="1329" spans="2:2" x14ac:dyDescent="0.2">
      <c r="B1329" s="31"/>
    </row>
    <row r="1330" spans="2:2" x14ac:dyDescent="0.2">
      <c r="B1330" s="31"/>
    </row>
    <row r="1331" spans="2:2" x14ac:dyDescent="0.2">
      <c r="B1331" s="31"/>
    </row>
    <row r="1332" spans="2:2" x14ac:dyDescent="0.2">
      <c r="B1332" s="31"/>
    </row>
    <row r="1333" spans="2:2" x14ac:dyDescent="0.2">
      <c r="B1333" s="31"/>
    </row>
    <row r="1334" spans="2:2" x14ac:dyDescent="0.2">
      <c r="B1334" s="31"/>
    </row>
    <row r="1335" spans="2:2" x14ac:dyDescent="0.2">
      <c r="B1335" s="31"/>
    </row>
    <row r="1336" spans="2:2" x14ac:dyDescent="0.2">
      <c r="B1336" s="31"/>
    </row>
    <row r="1337" spans="2:2" x14ac:dyDescent="0.2">
      <c r="B1337" s="31"/>
    </row>
    <row r="1338" spans="2:2" x14ac:dyDescent="0.2">
      <c r="B1338" s="31"/>
    </row>
    <row r="1339" spans="2:2" x14ac:dyDescent="0.2">
      <c r="B1339" s="31"/>
    </row>
    <row r="1340" spans="2:2" x14ac:dyDescent="0.2">
      <c r="B1340" s="31"/>
    </row>
    <row r="1341" spans="2:2" x14ac:dyDescent="0.2">
      <c r="B1341" s="31"/>
    </row>
    <row r="1342" spans="2:2" x14ac:dyDescent="0.2">
      <c r="B1342" s="31"/>
    </row>
    <row r="1343" spans="2:2" x14ac:dyDescent="0.2">
      <c r="B1343" s="31"/>
    </row>
    <row r="1344" spans="2:2" x14ac:dyDescent="0.2">
      <c r="B1344" s="31"/>
    </row>
    <row r="1345" spans="2:2" x14ac:dyDescent="0.2">
      <c r="B1345" s="31"/>
    </row>
    <row r="1346" spans="2:2" x14ac:dyDescent="0.2">
      <c r="B1346" s="31"/>
    </row>
    <row r="1347" spans="2:2" x14ac:dyDescent="0.2">
      <c r="B1347" s="31"/>
    </row>
    <row r="1348" spans="2:2" x14ac:dyDescent="0.2">
      <c r="B1348" s="31"/>
    </row>
    <row r="1349" spans="2:2" x14ac:dyDescent="0.2">
      <c r="B1349" s="31"/>
    </row>
    <row r="1350" spans="2:2" x14ac:dyDescent="0.2">
      <c r="B1350" s="31"/>
    </row>
    <row r="1351" spans="2:2" x14ac:dyDescent="0.2">
      <c r="B1351" s="31"/>
    </row>
    <row r="1352" spans="2:2" x14ac:dyDescent="0.2">
      <c r="B1352" s="31"/>
    </row>
    <row r="1353" spans="2:2" x14ac:dyDescent="0.2">
      <c r="B1353" s="31"/>
    </row>
    <row r="1354" spans="2:2" x14ac:dyDescent="0.2">
      <c r="B1354" s="31"/>
    </row>
    <row r="1355" spans="2:2" x14ac:dyDescent="0.2">
      <c r="B1355" s="31"/>
    </row>
    <row r="1356" spans="2:2" x14ac:dyDescent="0.2">
      <c r="B1356" s="31"/>
    </row>
    <row r="1357" spans="2:2" x14ac:dyDescent="0.2">
      <c r="B1357" s="31"/>
    </row>
    <row r="1358" spans="2:2" x14ac:dyDescent="0.2">
      <c r="B1358" s="31"/>
    </row>
    <row r="1359" spans="2:2" x14ac:dyDescent="0.2">
      <c r="B1359" s="31"/>
    </row>
    <row r="1360" spans="2:2" x14ac:dyDescent="0.2">
      <c r="B1360" s="31"/>
    </row>
    <row r="1361" spans="2:2" x14ac:dyDescent="0.2">
      <c r="B1361" s="31"/>
    </row>
    <row r="1362" spans="2:2" x14ac:dyDescent="0.2">
      <c r="B1362" s="31"/>
    </row>
    <row r="1363" spans="2:2" x14ac:dyDescent="0.2">
      <c r="B1363" s="31"/>
    </row>
    <row r="1364" spans="2:2" x14ac:dyDescent="0.2">
      <c r="B1364" s="31"/>
    </row>
    <row r="1365" spans="2:2" x14ac:dyDescent="0.2">
      <c r="B1365" s="31"/>
    </row>
    <row r="1366" spans="2:2" x14ac:dyDescent="0.2">
      <c r="B1366" s="31"/>
    </row>
    <row r="1367" spans="2:2" x14ac:dyDescent="0.2">
      <c r="B1367" s="31"/>
    </row>
    <row r="1368" spans="2:2" x14ac:dyDescent="0.2">
      <c r="B1368" s="31"/>
    </row>
    <row r="1369" spans="2:2" x14ac:dyDescent="0.2">
      <c r="B1369" s="31"/>
    </row>
    <row r="1370" spans="2:2" x14ac:dyDescent="0.2">
      <c r="B1370" s="31"/>
    </row>
    <row r="1371" spans="2:2" x14ac:dyDescent="0.2">
      <c r="B1371" s="31"/>
    </row>
    <row r="1372" spans="2:2" x14ac:dyDescent="0.2">
      <c r="B1372" s="31"/>
    </row>
    <row r="1373" spans="2:2" x14ac:dyDescent="0.2">
      <c r="B1373" s="31"/>
    </row>
    <row r="1374" spans="2:2" x14ac:dyDescent="0.2">
      <c r="B1374" s="31"/>
    </row>
    <row r="1375" spans="2:2" x14ac:dyDescent="0.2">
      <c r="B1375" s="31"/>
    </row>
    <row r="1376" spans="2:2" x14ac:dyDescent="0.2">
      <c r="B1376" s="31"/>
    </row>
    <row r="1377" spans="2:2" x14ac:dyDescent="0.2">
      <c r="B1377" s="31"/>
    </row>
    <row r="1378" spans="2:2" x14ac:dyDescent="0.2">
      <c r="B1378" s="31"/>
    </row>
    <row r="1379" spans="2:2" x14ac:dyDescent="0.2">
      <c r="B1379" s="31"/>
    </row>
    <row r="1380" spans="2:2" x14ac:dyDescent="0.2">
      <c r="B1380" s="31"/>
    </row>
    <row r="1381" spans="2:2" x14ac:dyDescent="0.2">
      <c r="B1381" s="31"/>
    </row>
    <row r="1382" spans="2:2" x14ac:dyDescent="0.2">
      <c r="B1382" s="31"/>
    </row>
    <row r="1383" spans="2:2" x14ac:dyDescent="0.2">
      <c r="B1383" s="31"/>
    </row>
    <row r="1384" spans="2:2" x14ac:dyDescent="0.2">
      <c r="B1384" s="31"/>
    </row>
    <row r="1385" spans="2:2" x14ac:dyDescent="0.2">
      <c r="B1385" s="31"/>
    </row>
    <row r="1386" spans="2:2" x14ac:dyDescent="0.2">
      <c r="B1386" s="31"/>
    </row>
    <row r="1387" spans="2:2" x14ac:dyDescent="0.2">
      <c r="B1387" s="31"/>
    </row>
    <row r="1388" spans="2:2" x14ac:dyDescent="0.2">
      <c r="B1388" s="31"/>
    </row>
    <row r="1389" spans="2:2" x14ac:dyDescent="0.2">
      <c r="B1389" s="31"/>
    </row>
    <row r="1390" spans="2:2" x14ac:dyDescent="0.2">
      <c r="B1390" s="31"/>
    </row>
    <row r="1391" spans="2:2" x14ac:dyDescent="0.2">
      <c r="B1391" s="31"/>
    </row>
    <row r="1392" spans="2:2" x14ac:dyDescent="0.2">
      <c r="B1392" s="31"/>
    </row>
    <row r="1393" spans="2:2" x14ac:dyDescent="0.2">
      <c r="B1393" s="31"/>
    </row>
    <row r="1394" spans="2:2" x14ac:dyDescent="0.2">
      <c r="B1394" s="31"/>
    </row>
    <row r="1395" spans="2:2" x14ac:dyDescent="0.2">
      <c r="B1395" s="31"/>
    </row>
    <row r="1396" spans="2:2" x14ac:dyDescent="0.2">
      <c r="B1396" s="31"/>
    </row>
    <row r="1397" spans="2:2" x14ac:dyDescent="0.2">
      <c r="B1397" s="31"/>
    </row>
    <row r="1398" spans="2:2" x14ac:dyDescent="0.2">
      <c r="B1398" s="31"/>
    </row>
    <row r="1399" spans="2:2" x14ac:dyDescent="0.2">
      <c r="B1399" s="31"/>
    </row>
    <row r="1400" spans="2:2" x14ac:dyDescent="0.2">
      <c r="B1400" s="31"/>
    </row>
    <row r="1401" spans="2:2" x14ac:dyDescent="0.2">
      <c r="B1401" s="31"/>
    </row>
    <row r="1402" spans="2:2" x14ac:dyDescent="0.2">
      <c r="B1402" s="31"/>
    </row>
    <row r="1403" spans="2:2" x14ac:dyDescent="0.2">
      <c r="B1403" s="31"/>
    </row>
    <row r="1404" spans="2:2" x14ac:dyDescent="0.2">
      <c r="B1404" s="31"/>
    </row>
    <row r="1405" spans="2:2" x14ac:dyDescent="0.2">
      <c r="B1405" s="31"/>
    </row>
    <row r="1406" spans="2:2" x14ac:dyDescent="0.2">
      <c r="B1406" s="31"/>
    </row>
    <row r="1407" spans="2:2" x14ac:dyDescent="0.2">
      <c r="B1407" s="31"/>
    </row>
    <row r="1408" spans="2:2" x14ac:dyDescent="0.2">
      <c r="B1408" s="31"/>
    </row>
    <row r="1409" spans="2:2" x14ac:dyDescent="0.2">
      <c r="B1409" s="31"/>
    </row>
    <row r="1410" spans="2:2" x14ac:dyDescent="0.2">
      <c r="B1410" s="31"/>
    </row>
    <row r="1411" spans="2:2" x14ac:dyDescent="0.2">
      <c r="B1411" s="31"/>
    </row>
    <row r="1412" spans="2:2" x14ac:dyDescent="0.2">
      <c r="B1412" s="31"/>
    </row>
    <row r="1413" spans="2:2" x14ac:dyDescent="0.2">
      <c r="B1413" s="31"/>
    </row>
    <row r="1414" spans="2:2" x14ac:dyDescent="0.2">
      <c r="B1414" s="31"/>
    </row>
    <row r="1415" spans="2:2" x14ac:dyDescent="0.2">
      <c r="B1415" s="31"/>
    </row>
    <row r="1416" spans="2:2" x14ac:dyDescent="0.2">
      <c r="B1416" s="31"/>
    </row>
    <row r="1417" spans="2:2" x14ac:dyDescent="0.2">
      <c r="B1417" s="31"/>
    </row>
    <row r="1418" spans="2:2" x14ac:dyDescent="0.2">
      <c r="B1418" s="31"/>
    </row>
    <row r="1419" spans="2:2" x14ac:dyDescent="0.2">
      <c r="B1419" s="31"/>
    </row>
    <row r="1420" spans="2:2" x14ac:dyDescent="0.2">
      <c r="B1420" s="31"/>
    </row>
    <row r="1421" spans="2:2" x14ac:dyDescent="0.2">
      <c r="B1421" s="31"/>
    </row>
    <row r="1422" spans="2:2" x14ac:dyDescent="0.2">
      <c r="B1422" s="31"/>
    </row>
    <row r="1423" spans="2:2" x14ac:dyDescent="0.2">
      <c r="B1423" s="31"/>
    </row>
    <row r="1424" spans="2:2" x14ac:dyDescent="0.2">
      <c r="B1424" s="31"/>
    </row>
    <row r="1425" spans="2:2" x14ac:dyDescent="0.2">
      <c r="B1425" s="31"/>
    </row>
    <row r="1426" spans="2:2" x14ac:dyDescent="0.2">
      <c r="B1426" s="31"/>
    </row>
    <row r="1427" spans="2:2" x14ac:dyDescent="0.2">
      <c r="B1427" s="31"/>
    </row>
    <row r="1428" spans="2:2" x14ac:dyDescent="0.2">
      <c r="B1428" s="31"/>
    </row>
    <row r="1429" spans="2:2" x14ac:dyDescent="0.2">
      <c r="B1429" s="31"/>
    </row>
    <row r="1430" spans="2:2" x14ac:dyDescent="0.2">
      <c r="B1430" s="31"/>
    </row>
    <row r="1431" spans="2:2" x14ac:dyDescent="0.2">
      <c r="B1431" s="31"/>
    </row>
    <row r="1432" spans="2:2" x14ac:dyDescent="0.2">
      <c r="B1432" s="31"/>
    </row>
    <row r="1433" spans="2:2" x14ac:dyDescent="0.2">
      <c r="B1433" s="31"/>
    </row>
    <row r="1434" spans="2:2" x14ac:dyDescent="0.2">
      <c r="B1434" s="31"/>
    </row>
    <row r="1435" spans="2:2" x14ac:dyDescent="0.2">
      <c r="B1435" s="31"/>
    </row>
    <row r="1436" spans="2:2" x14ac:dyDescent="0.2">
      <c r="B1436" s="31"/>
    </row>
    <row r="1437" spans="2:2" x14ac:dyDescent="0.2">
      <c r="B1437" s="31"/>
    </row>
    <row r="1438" spans="2:2" x14ac:dyDescent="0.2">
      <c r="B1438" s="31"/>
    </row>
    <row r="1439" spans="2:2" x14ac:dyDescent="0.2">
      <c r="B1439" s="31"/>
    </row>
    <row r="1440" spans="2:2" x14ac:dyDescent="0.2">
      <c r="B1440" s="31"/>
    </row>
    <row r="1441" spans="2:2" x14ac:dyDescent="0.2">
      <c r="B1441" s="31"/>
    </row>
    <row r="1442" spans="2:2" x14ac:dyDescent="0.2">
      <c r="B1442" s="31"/>
    </row>
    <row r="1443" spans="2:2" x14ac:dyDescent="0.2">
      <c r="B1443" s="31"/>
    </row>
    <row r="1444" spans="2:2" x14ac:dyDescent="0.2">
      <c r="B1444" s="31"/>
    </row>
    <row r="1445" spans="2:2" x14ac:dyDescent="0.2">
      <c r="B1445" s="31"/>
    </row>
    <row r="1446" spans="2:2" x14ac:dyDescent="0.2">
      <c r="B1446" s="31"/>
    </row>
    <row r="1447" spans="2:2" x14ac:dyDescent="0.2">
      <c r="B1447" s="31"/>
    </row>
    <row r="1448" spans="2:2" x14ac:dyDescent="0.2">
      <c r="B1448" s="31"/>
    </row>
    <row r="1449" spans="2:2" x14ac:dyDescent="0.2">
      <c r="B1449" s="31"/>
    </row>
    <row r="1450" spans="2:2" x14ac:dyDescent="0.2">
      <c r="B1450" s="31"/>
    </row>
    <row r="1451" spans="2:2" x14ac:dyDescent="0.2">
      <c r="B1451" s="31"/>
    </row>
    <row r="1452" spans="2:2" x14ac:dyDescent="0.2">
      <c r="B1452" s="31"/>
    </row>
    <row r="1453" spans="2:2" x14ac:dyDescent="0.2">
      <c r="B1453" s="31"/>
    </row>
    <row r="1454" spans="2:2" x14ac:dyDescent="0.2">
      <c r="B1454" s="31"/>
    </row>
    <row r="1455" spans="2:2" x14ac:dyDescent="0.2">
      <c r="B1455" s="31"/>
    </row>
    <row r="1456" spans="2:2" x14ac:dyDescent="0.2">
      <c r="B1456" s="31"/>
    </row>
    <row r="1457" spans="2:2" x14ac:dyDescent="0.2">
      <c r="B1457" s="31"/>
    </row>
    <row r="1458" spans="2:2" x14ac:dyDescent="0.2">
      <c r="B1458" s="31"/>
    </row>
    <row r="1459" spans="2:2" x14ac:dyDescent="0.2">
      <c r="B1459" s="31"/>
    </row>
    <row r="1460" spans="2:2" x14ac:dyDescent="0.2">
      <c r="B1460" s="31"/>
    </row>
    <row r="1461" spans="2:2" x14ac:dyDescent="0.2">
      <c r="B1461" s="31"/>
    </row>
    <row r="1462" spans="2:2" x14ac:dyDescent="0.2">
      <c r="B1462" s="31"/>
    </row>
    <row r="1463" spans="2:2" x14ac:dyDescent="0.2">
      <c r="B1463" s="31"/>
    </row>
    <row r="1464" spans="2:2" x14ac:dyDescent="0.2">
      <c r="B1464" s="31"/>
    </row>
    <row r="1465" spans="2:2" x14ac:dyDescent="0.2">
      <c r="B1465" s="31"/>
    </row>
    <row r="1466" spans="2:2" x14ac:dyDescent="0.2">
      <c r="B1466" s="31"/>
    </row>
    <row r="1467" spans="2:2" x14ac:dyDescent="0.2">
      <c r="B1467" s="31"/>
    </row>
    <row r="1468" spans="2:2" x14ac:dyDescent="0.2">
      <c r="B1468" s="31"/>
    </row>
    <row r="1469" spans="2:2" x14ac:dyDescent="0.2">
      <c r="B1469" s="31"/>
    </row>
    <row r="1470" spans="2:2" x14ac:dyDescent="0.2">
      <c r="B1470" s="31"/>
    </row>
    <row r="1471" spans="2:2" x14ac:dyDescent="0.2">
      <c r="B1471" s="31"/>
    </row>
    <row r="1472" spans="2:2" x14ac:dyDescent="0.2">
      <c r="B1472" s="31"/>
    </row>
    <row r="1473" spans="2:2" x14ac:dyDescent="0.2">
      <c r="B1473" s="31"/>
    </row>
    <row r="1474" spans="2:2" x14ac:dyDescent="0.2">
      <c r="B1474" s="31"/>
    </row>
    <row r="1475" spans="2:2" x14ac:dyDescent="0.2">
      <c r="B1475" s="31"/>
    </row>
    <row r="1476" spans="2:2" x14ac:dyDescent="0.2">
      <c r="B1476" s="31"/>
    </row>
    <row r="1477" spans="2:2" x14ac:dyDescent="0.2">
      <c r="B1477" s="31"/>
    </row>
    <row r="1478" spans="2:2" x14ac:dyDescent="0.2">
      <c r="B1478" s="31"/>
    </row>
    <row r="1479" spans="2:2" x14ac:dyDescent="0.2">
      <c r="B1479" s="31"/>
    </row>
    <row r="1480" spans="2:2" x14ac:dyDescent="0.2">
      <c r="B1480" s="31"/>
    </row>
    <row r="1481" spans="2:2" x14ac:dyDescent="0.2">
      <c r="B1481" s="31"/>
    </row>
    <row r="1482" spans="2:2" x14ac:dyDescent="0.2">
      <c r="B1482" s="31"/>
    </row>
    <row r="1483" spans="2:2" x14ac:dyDescent="0.2">
      <c r="B1483" s="31"/>
    </row>
    <row r="1484" spans="2:2" x14ac:dyDescent="0.2">
      <c r="B1484" s="31"/>
    </row>
    <row r="1485" spans="2:2" x14ac:dyDescent="0.2">
      <c r="B1485" s="31"/>
    </row>
    <row r="1486" spans="2:2" x14ac:dyDescent="0.2">
      <c r="B1486" s="31"/>
    </row>
    <row r="1487" spans="2:2" x14ac:dyDescent="0.2">
      <c r="B1487" s="31"/>
    </row>
    <row r="1488" spans="2:2" x14ac:dyDescent="0.2">
      <c r="B1488" s="31"/>
    </row>
    <row r="1489" spans="2:2" x14ac:dyDescent="0.2">
      <c r="B1489" s="31"/>
    </row>
    <row r="1490" spans="2:2" x14ac:dyDescent="0.2">
      <c r="B1490" s="31"/>
    </row>
    <row r="1491" spans="2:2" x14ac:dyDescent="0.2">
      <c r="B1491" s="31"/>
    </row>
    <row r="1492" spans="2:2" x14ac:dyDescent="0.2">
      <c r="B1492" s="31"/>
    </row>
    <row r="1493" spans="2:2" x14ac:dyDescent="0.2">
      <c r="B1493" s="31"/>
    </row>
    <row r="1494" spans="2:2" x14ac:dyDescent="0.2">
      <c r="B1494" s="31"/>
    </row>
    <row r="1495" spans="2:2" x14ac:dyDescent="0.2">
      <c r="B1495" s="31"/>
    </row>
    <row r="1496" spans="2:2" x14ac:dyDescent="0.2">
      <c r="B1496" s="31"/>
    </row>
    <row r="1497" spans="2:2" x14ac:dyDescent="0.2">
      <c r="B1497" s="31"/>
    </row>
    <row r="1498" spans="2:2" x14ac:dyDescent="0.2">
      <c r="B1498" s="31"/>
    </row>
    <row r="1499" spans="2:2" x14ac:dyDescent="0.2">
      <c r="B1499" s="31"/>
    </row>
    <row r="1500" spans="2:2" x14ac:dyDescent="0.2">
      <c r="B1500" s="31"/>
    </row>
    <row r="1501" spans="2:2" x14ac:dyDescent="0.2">
      <c r="B1501" s="31"/>
    </row>
    <row r="1502" spans="2:2" x14ac:dyDescent="0.2">
      <c r="B1502" s="31"/>
    </row>
    <row r="1503" spans="2:2" x14ac:dyDescent="0.2">
      <c r="B1503" s="31"/>
    </row>
    <row r="1504" spans="2:2" x14ac:dyDescent="0.2">
      <c r="B1504" s="31"/>
    </row>
    <row r="1505" spans="2:2" x14ac:dyDescent="0.2">
      <c r="B1505" s="31"/>
    </row>
    <row r="1506" spans="2:2" x14ac:dyDescent="0.2">
      <c r="B1506" s="31"/>
    </row>
    <row r="1507" spans="2:2" x14ac:dyDescent="0.2">
      <c r="B1507" s="31"/>
    </row>
    <row r="1508" spans="2:2" x14ac:dyDescent="0.2">
      <c r="B1508" s="31"/>
    </row>
    <row r="1509" spans="2:2" x14ac:dyDescent="0.2">
      <c r="B1509" s="31"/>
    </row>
    <row r="1510" spans="2:2" x14ac:dyDescent="0.2">
      <c r="B1510" s="31"/>
    </row>
    <row r="1511" spans="2:2" x14ac:dyDescent="0.2">
      <c r="B1511" s="31"/>
    </row>
    <row r="1512" spans="2:2" x14ac:dyDescent="0.2">
      <c r="B1512" s="31"/>
    </row>
    <row r="1513" spans="2:2" x14ac:dyDescent="0.2">
      <c r="B1513" s="31"/>
    </row>
    <row r="1514" spans="2:2" x14ac:dyDescent="0.2">
      <c r="B1514" s="31"/>
    </row>
    <row r="1515" spans="2:2" x14ac:dyDescent="0.2">
      <c r="B1515" s="31"/>
    </row>
    <row r="1516" spans="2:2" x14ac:dyDescent="0.2">
      <c r="B1516" s="31"/>
    </row>
    <row r="1517" spans="2:2" x14ac:dyDescent="0.2">
      <c r="B1517" s="31"/>
    </row>
    <row r="1518" spans="2:2" x14ac:dyDescent="0.2">
      <c r="B1518" s="31"/>
    </row>
    <row r="1519" spans="2:2" x14ac:dyDescent="0.2">
      <c r="B1519" s="31"/>
    </row>
    <row r="1520" spans="2:2" x14ac:dyDescent="0.2">
      <c r="B1520" s="31"/>
    </row>
    <row r="1521" spans="2:2" x14ac:dyDescent="0.2">
      <c r="B1521" s="31"/>
    </row>
    <row r="1522" spans="2:2" x14ac:dyDescent="0.2">
      <c r="B1522" s="31"/>
    </row>
    <row r="1523" spans="2:2" x14ac:dyDescent="0.2">
      <c r="B1523" s="31"/>
    </row>
    <row r="1524" spans="2:2" x14ac:dyDescent="0.2">
      <c r="B1524" s="31"/>
    </row>
    <row r="1525" spans="2:2" x14ac:dyDescent="0.2">
      <c r="B1525" s="31"/>
    </row>
    <row r="1526" spans="2:2" x14ac:dyDescent="0.2">
      <c r="B1526" s="31"/>
    </row>
    <row r="1527" spans="2:2" x14ac:dyDescent="0.2">
      <c r="B1527" s="31"/>
    </row>
    <row r="1528" spans="2:2" x14ac:dyDescent="0.2">
      <c r="B1528" s="31"/>
    </row>
    <row r="1529" spans="2:2" x14ac:dyDescent="0.2">
      <c r="B1529" s="31"/>
    </row>
    <row r="1530" spans="2:2" x14ac:dyDescent="0.2">
      <c r="B1530" s="31"/>
    </row>
    <row r="1531" spans="2:2" x14ac:dyDescent="0.2">
      <c r="B1531" s="31"/>
    </row>
    <row r="1532" spans="2:2" x14ac:dyDescent="0.2">
      <c r="B1532" s="31"/>
    </row>
    <row r="1533" spans="2:2" x14ac:dyDescent="0.2">
      <c r="B1533" s="31"/>
    </row>
    <row r="1534" spans="2:2" x14ac:dyDescent="0.2">
      <c r="B1534" s="31"/>
    </row>
    <row r="1535" spans="2:2" x14ac:dyDescent="0.2">
      <c r="B1535" s="31"/>
    </row>
    <row r="1536" spans="2:2" x14ac:dyDescent="0.2">
      <c r="B1536" s="31"/>
    </row>
    <row r="1537" spans="2:2" x14ac:dyDescent="0.2">
      <c r="B1537" s="31"/>
    </row>
    <row r="1538" spans="2:2" x14ac:dyDescent="0.2">
      <c r="B1538" s="31"/>
    </row>
    <row r="1539" spans="2:2" x14ac:dyDescent="0.2">
      <c r="B1539" s="31"/>
    </row>
    <row r="1540" spans="2:2" x14ac:dyDescent="0.2">
      <c r="B1540" s="31"/>
    </row>
    <row r="1541" spans="2:2" x14ac:dyDescent="0.2">
      <c r="B1541" s="31"/>
    </row>
    <row r="1542" spans="2:2" x14ac:dyDescent="0.2">
      <c r="B1542" s="31"/>
    </row>
    <row r="1543" spans="2:2" x14ac:dyDescent="0.2">
      <c r="B1543" s="31"/>
    </row>
    <row r="1544" spans="2:2" x14ac:dyDescent="0.2">
      <c r="B1544" s="31"/>
    </row>
    <row r="1545" spans="2:2" x14ac:dyDescent="0.2">
      <c r="B1545" s="31"/>
    </row>
    <row r="1546" spans="2:2" x14ac:dyDescent="0.2">
      <c r="B1546" s="31"/>
    </row>
    <row r="1547" spans="2:2" x14ac:dyDescent="0.2">
      <c r="B1547" s="31"/>
    </row>
    <row r="1548" spans="2:2" x14ac:dyDescent="0.2">
      <c r="B1548" s="31"/>
    </row>
    <row r="1549" spans="2:2" x14ac:dyDescent="0.2">
      <c r="B1549" s="31"/>
    </row>
    <row r="1550" spans="2:2" x14ac:dyDescent="0.2">
      <c r="B1550" s="31"/>
    </row>
    <row r="1551" spans="2:2" x14ac:dyDescent="0.2">
      <c r="B1551" s="31"/>
    </row>
    <row r="1552" spans="2:2" x14ac:dyDescent="0.2">
      <c r="B1552" s="31"/>
    </row>
    <row r="1553" spans="2:2" x14ac:dyDescent="0.2">
      <c r="B1553" s="31"/>
    </row>
    <row r="1554" spans="2:2" x14ac:dyDescent="0.2">
      <c r="B1554" s="31"/>
    </row>
    <row r="1555" spans="2:2" x14ac:dyDescent="0.2">
      <c r="B1555" s="31"/>
    </row>
    <row r="1556" spans="2:2" x14ac:dyDescent="0.2">
      <c r="B1556" s="31"/>
    </row>
    <row r="1557" spans="2:2" x14ac:dyDescent="0.2">
      <c r="B1557" s="31"/>
    </row>
    <row r="1558" spans="2:2" x14ac:dyDescent="0.2">
      <c r="B1558" s="31"/>
    </row>
    <row r="1559" spans="2:2" x14ac:dyDescent="0.2">
      <c r="B1559" s="31"/>
    </row>
    <row r="1560" spans="2:2" x14ac:dyDescent="0.2">
      <c r="B1560" s="31"/>
    </row>
    <row r="1561" spans="2:2" x14ac:dyDescent="0.2">
      <c r="B1561" s="31"/>
    </row>
    <row r="1562" spans="2:2" x14ac:dyDescent="0.2">
      <c r="B1562" s="31"/>
    </row>
    <row r="1563" spans="2:2" x14ac:dyDescent="0.2">
      <c r="B1563" s="31"/>
    </row>
    <row r="1564" spans="2:2" x14ac:dyDescent="0.2">
      <c r="B1564" s="31"/>
    </row>
    <row r="1565" spans="2:2" x14ac:dyDescent="0.2">
      <c r="B1565" s="31"/>
    </row>
    <row r="1566" spans="2:2" x14ac:dyDescent="0.2">
      <c r="B1566" s="31"/>
    </row>
    <row r="1567" spans="2:2" x14ac:dyDescent="0.2">
      <c r="B1567" s="31"/>
    </row>
    <row r="1568" spans="2:2" x14ac:dyDescent="0.2">
      <c r="B1568" s="31"/>
    </row>
    <row r="1569" spans="2:2" x14ac:dyDescent="0.2">
      <c r="B1569" s="31"/>
    </row>
    <row r="1570" spans="2:2" x14ac:dyDescent="0.2">
      <c r="B1570" s="31"/>
    </row>
    <row r="1571" spans="2:2" x14ac:dyDescent="0.2">
      <c r="B1571" s="31"/>
    </row>
    <row r="1572" spans="2:2" x14ac:dyDescent="0.2">
      <c r="B1572" s="31"/>
    </row>
    <row r="1573" spans="2:2" x14ac:dyDescent="0.2">
      <c r="B1573" s="31"/>
    </row>
    <row r="1574" spans="2:2" x14ac:dyDescent="0.2">
      <c r="B1574" s="31"/>
    </row>
    <row r="1575" spans="2:2" x14ac:dyDescent="0.2">
      <c r="B1575" s="31"/>
    </row>
    <row r="1576" spans="2:2" x14ac:dyDescent="0.2">
      <c r="B1576" s="31"/>
    </row>
    <row r="1577" spans="2:2" x14ac:dyDescent="0.2">
      <c r="B1577" s="31"/>
    </row>
    <row r="1578" spans="2:2" x14ac:dyDescent="0.2">
      <c r="B1578" s="31"/>
    </row>
    <row r="1579" spans="2:2" x14ac:dyDescent="0.2">
      <c r="B1579" s="31"/>
    </row>
    <row r="1580" spans="2:2" x14ac:dyDescent="0.2">
      <c r="B1580" s="31"/>
    </row>
    <row r="1581" spans="2:2" x14ac:dyDescent="0.2">
      <c r="B1581" s="31"/>
    </row>
    <row r="1582" spans="2:2" x14ac:dyDescent="0.2">
      <c r="B1582" s="31"/>
    </row>
    <row r="1583" spans="2:2" x14ac:dyDescent="0.2">
      <c r="B1583" s="31"/>
    </row>
    <row r="1584" spans="2:2" x14ac:dyDescent="0.2">
      <c r="B1584" s="31"/>
    </row>
    <row r="1585" spans="2:2" x14ac:dyDescent="0.2">
      <c r="B1585" s="31"/>
    </row>
    <row r="1586" spans="2:2" x14ac:dyDescent="0.2">
      <c r="B1586" s="31"/>
    </row>
    <row r="1587" spans="2:2" x14ac:dyDescent="0.2">
      <c r="B1587" s="31"/>
    </row>
    <row r="1588" spans="2:2" x14ac:dyDescent="0.2">
      <c r="B1588" s="31"/>
    </row>
    <row r="1589" spans="2:2" x14ac:dyDescent="0.2">
      <c r="B1589" s="31"/>
    </row>
    <row r="1590" spans="2:2" x14ac:dyDescent="0.2">
      <c r="B1590" s="31"/>
    </row>
    <row r="1591" spans="2:2" x14ac:dyDescent="0.2">
      <c r="B1591" s="31"/>
    </row>
    <row r="1592" spans="2:2" x14ac:dyDescent="0.2">
      <c r="B1592" s="31"/>
    </row>
    <row r="1593" spans="2:2" x14ac:dyDescent="0.2">
      <c r="B1593" s="31"/>
    </row>
    <row r="1594" spans="2:2" x14ac:dyDescent="0.2">
      <c r="B1594" s="31"/>
    </row>
    <row r="1595" spans="2:2" x14ac:dyDescent="0.2">
      <c r="B1595" s="31"/>
    </row>
    <row r="1596" spans="2:2" x14ac:dyDescent="0.2">
      <c r="B1596" s="31"/>
    </row>
    <row r="1597" spans="2:2" x14ac:dyDescent="0.2">
      <c r="B1597" s="31"/>
    </row>
    <row r="1598" spans="2:2" x14ac:dyDescent="0.2">
      <c r="B1598" s="31"/>
    </row>
    <row r="1599" spans="2:2" x14ac:dyDescent="0.2">
      <c r="B1599" s="31"/>
    </row>
    <row r="1600" spans="2:2" x14ac:dyDescent="0.2">
      <c r="B1600" s="31"/>
    </row>
    <row r="1601" spans="2:2" x14ac:dyDescent="0.2">
      <c r="B1601" s="31"/>
    </row>
    <row r="1602" spans="2:2" x14ac:dyDescent="0.2">
      <c r="B1602" s="31"/>
    </row>
    <row r="1603" spans="2:2" x14ac:dyDescent="0.2">
      <c r="B1603" s="31"/>
    </row>
    <row r="1604" spans="2:2" x14ac:dyDescent="0.2">
      <c r="B1604" s="31"/>
    </row>
    <row r="1605" spans="2:2" x14ac:dyDescent="0.2">
      <c r="B1605" s="31"/>
    </row>
    <row r="1606" spans="2:2" x14ac:dyDescent="0.2">
      <c r="B1606" s="31"/>
    </row>
    <row r="1607" spans="2:2" x14ac:dyDescent="0.2">
      <c r="B1607" s="31"/>
    </row>
    <row r="1608" spans="2:2" x14ac:dyDescent="0.2">
      <c r="B1608" s="31"/>
    </row>
    <row r="1609" spans="2:2" x14ac:dyDescent="0.2">
      <c r="B1609" s="31"/>
    </row>
    <row r="1610" spans="2:2" x14ac:dyDescent="0.2">
      <c r="B1610" s="31"/>
    </row>
    <row r="1611" spans="2:2" x14ac:dyDescent="0.2">
      <c r="B1611" s="31"/>
    </row>
    <row r="1612" spans="2:2" x14ac:dyDescent="0.2">
      <c r="B1612" s="31"/>
    </row>
    <row r="1613" spans="2:2" x14ac:dyDescent="0.2">
      <c r="B1613" s="31"/>
    </row>
    <row r="1614" spans="2:2" x14ac:dyDescent="0.2">
      <c r="B1614" s="31"/>
    </row>
    <row r="1615" spans="2:2" x14ac:dyDescent="0.2">
      <c r="B1615" s="31"/>
    </row>
    <row r="1616" spans="2:2" x14ac:dyDescent="0.2">
      <c r="B1616" s="31"/>
    </row>
    <row r="1617" spans="2:2" x14ac:dyDescent="0.2">
      <c r="B1617" s="31"/>
    </row>
    <row r="1618" spans="2:2" x14ac:dyDescent="0.2">
      <c r="B1618" s="31"/>
    </row>
    <row r="1619" spans="2:2" x14ac:dyDescent="0.2">
      <c r="B1619" s="31"/>
    </row>
    <row r="1620" spans="2:2" x14ac:dyDescent="0.2">
      <c r="B1620" s="31"/>
    </row>
    <row r="1621" spans="2:2" x14ac:dyDescent="0.2">
      <c r="B1621" s="31"/>
    </row>
    <row r="1622" spans="2:2" x14ac:dyDescent="0.2">
      <c r="B1622" s="31"/>
    </row>
    <row r="1623" spans="2:2" x14ac:dyDescent="0.2">
      <c r="B1623" s="31"/>
    </row>
    <row r="1624" spans="2:2" x14ac:dyDescent="0.2">
      <c r="B1624" s="31"/>
    </row>
    <row r="1625" spans="2:2" x14ac:dyDescent="0.2">
      <c r="B1625" s="31"/>
    </row>
    <row r="1626" spans="2:2" x14ac:dyDescent="0.2">
      <c r="B1626" s="31"/>
    </row>
    <row r="1627" spans="2:2" x14ac:dyDescent="0.2">
      <c r="B1627" s="31"/>
    </row>
    <row r="1628" spans="2:2" x14ac:dyDescent="0.2">
      <c r="B1628" s="31"/>
    </row>
    <row r="1629" spans="2:2" x14ac:dyDescent="0.2">
      <c r="B1629" s="31"/>
    </row>
    <row r="1630" spans="2:2" x14ac:dyDescent="0.2">
      <c r="B1630" s="31"/>
    </row>
    <row r="1631" spans="2:2" x14ac:dyDescent="0.2">
      <c r="B1631" s="31"/>
    </row>
    <row r="1632" spans="2:2" x14ac:dyDescent="0.2">
      <c r="B1632" s="31"/>
    </row>
    <row r="1633" spans="2:2" x14ac:dyDescent="0.2">
      <c r="B1633" s="31"/>
    </row>
    <row r="1634" spans="2:2" x14ac:dyDescent="0.2">
      <c r="B1634" s="31"/>
    </row>
    <row r="1635" spans="2:2" x14ac:dyDescent="0.2">
      <c r="B1635" s="31"/>
    </row>
    <row r="1636" spans="2:2" x14ac:dyDescent="0.2">
      <c r="B1636" s="31"/>
    </row>
    <row r="1637" spans="2:2" x14ac:dyDescent="0.2">
      <c r="B1637" s="31"/>
    </row>
    <row r="1638" spans="2:2" x14ac:dyDescent="0.2">
      <c r="B1638" s="31"/>
    </row>
    <row r="1639" spans="2:2" x14ac:dyDescent="0.2">
      <c r="B1639" s="31"/>
    </row>
    <row r="1640" spans="2:2" x14ac:dyDescent="0.2">
      <c r="B1640" s="31"/>
    </row>
    <row r="1641" spans="2:2" x14ac:dyDescent="0.2">
      <c r="B1641" s="31"/>
    </row>
    <row r="1642" spans="2:2" x14ac:dyDescent="0.2">
      <c r="B1642" s="31"/>
    </row>
    <row r="1643" spans="2:2" x14ac:dyDescent="0.2">
      <c r="B1643" s="31"/>
    </row>
    <row r="1644" spans="2:2" x14ac:dyDescent="0.2">
      <c r="B1644" s="31"/>
    </row>
    <row r="1645" spans="2:2" x14ac:dyDescent="0.2">
      <c r="B1645" s="31"/>
    </row>
    <row r="1646" spans="2:2" x14ac:dyDescent="0.2">
      <c r="B1646" s="31"/>
    </row>
    <row r="1647" spans="2:2" x14ac:dyDescent="0.2">
      <c r="B1647" s="31"/>
    </row>
    <row r="1648" spans="2:2" x14ac:dyDescent="0.2">
      <c r="B1648" s="31"/>
    </row>
    <row r="1649" spans="2:2" x14ac:dyDescent="0.2">
      <c r="B1649" s="31"/>
    </row>
    <row r="1650" spans="2:2" x14ac:dyDescent="0.2">
      <c r="B1650" s="31"/>
    </row>
    <row r="1651" spans="2:2" x14ac:dyDescent="0.2">
      <c r="B1651" s="31"/>
    </row>
    <row r="1652" spans="2:2" x14ac:dyDescent="0.2">
      <c r="B1652" s="31"/>
    </row>
    <row r="1653" spans="2:2" x14ac:dyDescent="0.2">
      <c r="B1653" s="31"/>
    </row>
    <row r="1654" spans="2:2" x14ac:dyDescent="0.2">
      <c r="B1654" s="31"/>
    </row>
    <row r="1655" spans="2:2" x14ac:dyDescent="0.2">
      <c r="B1655" s="31"/>
    </row>
    <row r="1656" spans="2:2" x14ac:dyDescent="0.2">
      <c r="B1656" s="31"/>
    </row>
    <row r="1657" spans="2:2" x14ac:dyDescent="0.2">
      <c r="B1657" s="31"/>
    </row>
    <row r="1658" spans="2:2" x14ac:dyDescent="0.2">
      <c r="B1658" s="31"/>
    </row>
    <row r="1659" spans="2:2" x14ac:dyDescent="0.2">
      <c r="B1659" s="31"/>
    </row>
    <row r="1660" spans="2:2" x14ac:dyDescent="0.2">
      <c r="B1660" s="31"/>
    </row>
    <row r="1661" spans="2:2" x14ac:dyDescent="0.2">
      <c r="B1661" s="31"/>
    </row>
    <row r="1662" spans="2:2" x14ac:dyDescent="0.2">
      <c r="B1662" s="31"/>
    </row>
    <row r="1663" spans="2:2" x14ac:dyDescent="0.2">
      <c r="B1663" s="31"/>
    </row>
    <row r="1664" spans="2:2" x14ac:dyDescent="0.2">
      <c r="B1664" s="31"/>
    </row>
    <row r="1665" spans="2:2" x14ac:dyDescent="0.2">
      <c r="B1665" s="31"/>
    </row>
    <row r="1666" spans="2:2" x14ac:dyDescent="0.2">
      <c r="B1666" s="31"/>
    </row>
    <row r="1667" spans="2:2" x14ac:dyDescent="0.2">
      <c r="B1667" s="31"/>
    </row>
    <row r="1668" spans="2:2" x14ac:dyDescent="0.2">
      <c r="B1668" s="31"/>
    </row>
    <row r="1669" spans="2:2" x14ac:dyDescent="0.2">
      <c r="B1669" s="31"/>
    </row>
    <row r="1670" spans="2:2" x14ac:dyDescent="0.2">
      <c r="B1670" s="31"/>
    </row>
    <row r="1671" spans="2:2" x14ac:dyDescent="0.2">
      <c r="B1671" s="31"/>
    </row>
    <row r="1672" spans="2:2" x14ac:dyDescent="0.2">
      <c r="B1672" s="31"/>
    </row>
    <row r="1673" spans="2:2" x14ac:dyDescent="0.2">
      <c r="B1673" s="31"/>
    </row>
    <row r="1674" spans="2:2" x14ac:dyDescent="0.2">
      <c r="B1674" s="31"/>
    </row>
    <row r="1675" spans="2:2" x14ac:dyDescent="0.2">
      <c r="B1675" s="31"/>
    </row>
    <row r="1676" spans="2:2" x14ac:dyDescent="0.2">
      <c r="B1676" s="31"/>
    </row>
    <row r="1677" spans="2:2" x14ac:dyDescent="0.2">
      <c r="B1677" s="31"/>
    </row>
    <row r="1678" spans="2:2" x14ac:dyDescent="0.2">
      <c r="B1678" s="31"/>
    </row>
    <row r="1679" spans="2:2" x14ac:dyDescent="0.2">
      <c r="B1679" s="31"/>
    </row>
    <row r="1680" spans="2:2" x14ac:dyDescent="0.2">
      <c r="B1680" s="31"/>
    </row>
    <row r="1681" spans="2:2" x14ac:dyDescent="0.2">
      <c r="B1681" s="31"/>
    </row>
    <row r="1682" spans="2:2" x14ac:dyDescent="0.2">
      <c r="B1682" s="31"/>
    </row>
    <row r="1683" spans="2:2" x14ac:dyDescent="0.2">
      <c r="B1683" s="31"/>
    </row>
    <row r="1684" spans="2:2" x14ac:dyDescent="0.2">
      <c r="B1684" s="31"/>
    </row>
    <row r="1685" spans="2:2" x14ac:dyDescent="0.2">
      <c r="B1685" s="31"/>
    </row>
    <row r="1686" spans="2:2" x14ac:dyDescent="0.2">
      <c r="B1686" s="31"/>
    </row>
    <row r="1687" spans="2:2" x14ac:dyDescent="0.2">
      <c r="B1687" s="31"/>
    </row>
    <row r="1688" spans="2:2" x14ac:dyDescent="0.2">
      <c r="B1688" s="31"/>
    </row>
    <row r="1689" spans="2:2" x14ac:dyDescent="0.2">
      <c r="B1689" s="31"/>
    </row>
    <row r="1690" spans="2:2" x14ac:dyDescent="0.2">
      <c r="B1690" s="31"/>
    </row>
    <row r="1691" spans="2:2" x14ac:dyDescent="0.2">
      <c r="B1691" s="31"/>
    </row>
    <row r="1692" spans="2:2" x14ac:dyDescent="0.2">
      <c r="B1692" s="31"/>
    </row>
    <row r="1693" spans="2:2" x14ac:dyDescent="0.2">
      <c r="B1693" s="31"/>
    </row>
    <row r="1694" spans="2:2" x14ac:dyDescent="0.2">
      <c r="B1694" s="31"/>
    </row>
    <row r="1695" spans="2:2" x14ac:dyDescent="0.2">
      <c r="B1695" s="31"/>
    </row>
    <row r="1696" spans="2:2" x14ac:dyDescent="0.2">
      <c r="B1696" s="31"/>
    </row>
    <row r="1697" spans="2:2" x14ac:dyDescent="0.2">
      <c r="B1697" s="31"/>
    </row>
    <row r="1698" spans="2:2" x14ac:dyDescent="0.2">
      <c r="B1698" s="31"/>
    </row>
    <row r="1699" spans="2:2" x14ac:dyDescent="0.2">
      <c r="B1699" s="31"/>
    </row>
    <row r="1700" spans="2:2" x14ac:dyDescent="0.2">
      <c r="B1700" s="31"/>
    </row>
    <row r="1701" spans="2:2" x14ac:dyDescent="0.2">
      <c r="B1701" s="31"/>
    </row>
    <row r="1702" spans="2:2" x14ac:dyDescent="0.2">
      <c r="B1702" s="31"/>
    </row>
    <row r="1703" spans="2:2" x14ac:dyDescent="0.2">
      <c r="B1703" s="31"/>
    </row>
    <row r="1704" spans="2:2" x14ac:dyDescent="0.2">
      <c r="B1704" s="31"/>
    </row>
    <row r="1705" spans="2:2" x14ac:dyDescent="0.2">
      <c r="B1705" s="31"/>
    </row>
    <row r="1706" spans="2:2" x14ac:dyDescent="0.2">
      <c r="B1706" s="31"/>
    </row>
    <row r="1707" spans="2:2" x14ac:dyDescent="0.2">
      <c r="B1707" s="31"/>
    </row>
    <row r="1708" spans="2:2" x14ac:dyDescent="0.2">
      <c r="B1708" s="31"/>
    </row>
    <row r="1709" spans="2:2" x14ac:dyDescent="0.2">
      <c r="B1709" s="31"/>
    </row>
    <row r="1710" spans="2:2" x14ac:dyDescent="0.2">
      <c r="B1710" s="31"/>
    </row>
    <row r="1711" spans="2:2" x14ac:dyDescent="0.2">
      <c r="B1711" s="31"/>
    </row>
    <row r="1712" spans="2:2" x14ac:dyDescent="0.2">
      <c r="B1712" s="31"/>
    </row>
    <row r="1713" spans="2:2" x14ac:dyDescent="0.2">
      <c r="B1713" s="31"/>
    </row>
    <row r="1714" spans="2:2" x14ac:dyDescent="0.2">
      <c r="B1714" s="31"/>
    </row>
    <row r="1715" spans="2:2" x14ac:dyDescent="0.2">
      <c r="B1715" s="31"/>
    </row>
    <row r="1716" spans="2:2" x14ac:dyDescent="0.2">
      <c r="B1716" s="31"/>
    </row>
    <row r="1717" spans="2:2" x14ac:dyDescent="0.2">
      <c r="B1717" s="31"/>
    </row>
    <row r="1718" spans="2:2" x14ac:dyDescent="0.2">
      <c r="B1718" s="31"/>
    </row>
    <row r="1719" spans="2:2" x14ac:dyDescent="0.2">
      <c r="B1719" s="31"/>
    </row>
    <row r="1720" spans="2:2" x14ac:dyDescent="0.2">
      <c r="B1720" s="31"/>
    </row>
    <row r="1721" spans="2:2" x14ac:dyDescent="0.2">
      <c r="B1721" s="31"/>
    </row>
    <row r="1722" spans="2:2" x14ac:dyDescent="0.2">
      <c r="B1722" s="31"/>
    </row>
    <row r="1723" spans="2:2" x14ac:dyDescent="0.2">
      <c r="B1723" s="31"/>
    </row>
    <row r="1724" spans="2:2" x14ac:dyDescent="0.2">
      <c r="B1724" s="31"/>
    </row>
    <row r="1725" spans="2:2" x14ac:dyDescent="0.2">
      <c r="B1725" s="31"/>
    </row>
    <row r="1726" spans="2:2" x14ac:dyDescent="0.2">
      <c r="B1726" s="31"/>
    </row>
    <row r="1727" spans="2:2" x14ac:dyDescent="0.2">
      <c r="B1727" s="31"/>
    </row>
    <row r="1728" spans="2:2" x14ac:dyDescent="0.2">
      <c r="B1728" s="31"/>
    </row>
    <row r="1729" spans="2:2" x14ac:dyDescent="0.2">
      <c r="B1729" s="31"/>
    </row>
    <row r="1730" spans="2:2" x14ac:dyDescent="0.2">
      <c r="B1730" s="31"/>
    </row>
    <row r="1731" spans="2:2" x14ac:dyDescent="0.2">
      <c r="B1731" s="31"/>
    </row>
    <row r="1732" spans="2:2" x14ac:dyDescent="0.2">
      <c r="B1732" s="31"/>
    </row>
    <row r="1733" spans="2:2" x14ac:dyDescent="0.2">
      <c r="B1733" s="31"/>
    </row>
    <row r="1734" spans="2:2" x14ac:dyDescent="0.2">
      <c r="B1734" s="31"/>
    </row>
    <row r="1735" spans="2:2" x14ac:dyDescent="0.2">
      <c r="B1735" s="31"/>
    </row>
    <row r="1736" spans="2:2" x14ac:dyDescent="0.2">
      <c r="B1736" s="31"/>
    </row>
    <row r="1737" spans="2:2" x14ac:dyDescent="0.2">
      <c r="B1737" s="31"/>
    </row>
    <row r="1738" spans="2:2" x14ac:dyDescent="0.2">
      <c r="B1738" s="31"/>
    </row>
    <row r="1739" spans="2:2" x14ac:dyDescent="0.2">
      <c r="B1739" s="31"/>
    </row>
    <row r="1740" spans="2:2" x14ac:dyDescent="0.2">
      <c r="B1740" s="31"/>
    </row>
    <row r="1741" spans="2:2" x14ac:dyDescent="0.2">
      <c r="B1741" s="31"/>
    </row>
    <row r="1742" spans="2:2" x14ac:dyDescent="0.2">
      <c r="B1742" s="31"/>
    </row>
    <row r="1743" spans="2:2" x14ac:dyDescent="0.2">
      <c r="B1743" s="31"/>
    </row>
    <row r="1744" spans="2:2" x14ac:dyDescent="0.2">
      <c r="B1744" s="31"/>
    </row>
    <row r="1745" spans="2:2" x14ac:dyDescent="0.2">
      <c r="B1745" s="31"/>
    </row>
    <row r="1746" spans="2:2" x14ac:dyDescent="0.2">
      <c r="B1746" s="31"/>
    </row>
    <row r="1747" spans="2:2" x14ac:dyDescent="0.2">
      <c r="B1747" s="31"/>
    </row>
    <row r="1748" spans="2:2" x14ac:dyDescent="0.2">
      <c r="B1748" s="31"/>
    </row>
    <row r="1749" spans="2:2" x14ac:dyDescent="0.2">
      <c r="B1749" s="31"/>
    </row>
    <row r="1750" spans="2:2" x14ac:dyDescent="0.2">
      <c r="B1750" s="31"/>
    </row>
    <row r="1751" spans="2:2" x14ac:dyDescent="0.2">
      <c r="B1751" s="31"/>
    </row>
    <row r="1752" spans="2:2" x14ac:dyDescent="0.2">
      <c r="B1752" s="31"/>
    </row>
    <row r="1753" spans="2:2" x14ac:dyDescent="0.2">
      <c r="B1753" s="31"/>
    </row>
    <row r="1754" spans="2:2" x14ac:dyDescent="0.2">
      <c r="B1754" s="31"/>
    </row>
    <row r="1755" spans="2:2" x14ac:dyDescent="0.2">
      <c r="B1755" s="31"/>
    </row>
    <row r="1756" spans="2:2" x14ac:dyDescent="0.2">
      <c r="B1756" s="31"/>
    </row>
    <row r="1757" spans="2:2" x14ac:dyDescent="0.2">
      <c r="B1757" s="31"/>
    </row>
    <row r="1758" spans="2:2" x14ac:dyDescent="0.2">
      <c r="B1758" s="31"/>
    </row>
    <row r="1759" spans="2:2" x14ac:dyDescent="0.2">
      <c r="B1759" s="31"/>
    </row>
    <row r="1760" spans="2:2" x14ac:dyDescent="0.2">
      <c r="B1760" s="31"/>
    </row>
    <row r="1761" spans="2:2" x14ac:dyDescent="0.2">
      <c r="B1761" s="31"/>
    </row>
    <row r="1762" spans="2:2" x14ac:dyDescent="0.2">
      <c r="B1762" s="31"/>
    </row>
    <row r="1763" spans="2:2" x14ac:dyDescent="0.2">
      <c r="B1763" s="31"/>
    </row>
    <row r="1764" spans="2:2" x14ac:dyDescent="0.2">
      <c r="B1764" s="31"/>
    </row>
    <row r="1765" spans="2:2" x14ac:dyDescent="0.2">
      <c r="B1765" s="31"/>
    </row>
    <row r="1766" spans="2:2" x14ac:dyDescent="0.2">
      <c r="B1766" s="31"/>
    </row>
    <row r="1767" spans="2:2" x14ac:dyDescent="0.2">
      <c r="B1767" s="31"/>
    </row>
    <row r="1768" spans="2:2" x14ac:dyDescent="0.2">
      <c r="B1768" s="31"/>
    </row>
    <row r="1769" spans="2:2" x14ac:dyDescent="0.2">
      <c r="B1769" s="31"/>
    </row>
    <row r="1770" spans="2:2" x14ac:dyDescent="0.2">
      <c r="B1770" s="31"/>
    </row>
    <row r="1771" spans="2:2" x14ac:dyDescent="0.2">
      <c r="B1771" s="31"/>
    </row>
    <row r="1772" spans="2:2" x14ac:dyDescent="0.2">
      <c r="B1772" s="31"/>
    </row>
    <row r="1773" spans="2:2" x14ac:dyDescent="0.2">
      <c r="B1773" s="31"/>
    </row>
    <row r="1774" spans="2:2" x14ac:dyDescent="0.2">
      <c r="B1774" s="31"/>
    </row>
    <row r="1775" spans="2:2" x14ac:dyDescent="0.2">
      <c r="B1775" s="31"/>
    </row>
    <row r="1776" spans="2:2" x14ac:dyDescent="0.2">
      <c r="B1776" s="31"/>
    </row>
    <row r="1777" spans="2:2" x14ac:dyDescent="0.2">
      <c r="B1777" s="31"/>
    </row>
    <row r="1778" spans="2:2" x14ac:dyDescent="0.2">
      <c r="B1778" s="31"/>
    </row>
    <row r="1779" spans="2:2" x14ac:dyDescent="0.2">
      <c r="B1779" s="31"/>
    </row>
    <row r="1780" spans="2:2" x14ac:dyDescent="0.2">
      <c r="B1780" s="31"/>
    </row>
    <row r="1781" spans="2:2" x14ac:dyDescent="0.2">
      <c r="B1781" s="31"/>
    </row>
    <row r="1782" spans="2:2" x14ac:dyDescent="0.2">
      <c r="B1782" s="31"/>
    </row>
    <row r="1783" spans="2:2" x14ac:dyDescent="0.2">
      <c r="B1783" s="31"/>
    </row>
    <row r="1784" spans="2:2" x14ac:dyDescent="0.2">
      <c r="B1784" s="31"/>
    </row>
    <row r="1785" spans="2:2" x14ac:dyDescent="0.2">
      <c r="B1785" s="31"/>
    </row>
    <row r="1786" spans="2:2" x14ac:dyDescent="0.2">
      <c r="B1786" s="31"/>
    </row>
    <row r="1787" spans="2:2" x14ac:dyDescent="0.2">
      <c r="B1787" s="31"/>
    </row>
    <row r="1788" spans="2:2" x14ac:dyDescent="0.2">
      <c r="B1788" s="31"/>
    </row>
    <row r="1789" spans="2:2" x14ac:dyDescent="0.2">
      <c r="B1789" s="31"/>
    </row>
    <row r="1790" spans="2:2" x14ac:dyDescent="0.2">
      <c r="B1790" s="31"/>
    </row>
    <row r="1791" spans="2:2" x14ac:dyDescent="0.2">
      <c r="B1791" s="31"/>
    </row>
    <row r="1792" spans="2:2" x14ac:dyDescent="0.2">
      <c r="B1792" s="31"/>
    </row>
    <row r="1793" spans="2:2" x14ac:dyDescent="0.2">
      <c r="B1793" s="31"/>
    </row>
    <row r="1794" spans="2:2" x14ac:dyDescent="0.2">
      <c r="B1794" s="31"/>
    </row>
    <row r="1795" spans="2:2" x14ac:dyDescent="0.2">
      <c r="B1795" s="31"/>
    </row>
    <row r="1796" spans="2:2" x14ac:dyDescent="0.2">
      <c r="B1796" s="31"/>
    </row>
    <row r="1797" spans="2:2" x14ac:dyDescent="0.2">
      <c r="B1797" s="31"/>
    </row>
    <row r="1798" spans="2:2" x14ac:dyDescent="0.2">
      <c r="B1798" s="31"/>
    </row>
    <row r="1799" spans="2:2" x14ac:dyDescent="0.2">
      <c r="B1799" s="31"/>
    </row>
    <row r="1800" spans="2:2" x14ac:dyDescent="0.2">
      <c r="B1800" s="31"/>
    </row>
    <row r="1801" spans="2:2" x14ac:dyDescent="0.2">
      <c r="B1801" s="31"/>
    </row>
    <row r="1802" spans="2:2" x14ac:dyDescent="0.2">
      <c r="B1802" s="31"/>
    </row>
    <row r="1803" spans="2:2" x14ac:dyDescent="0.2">
      <c r="B1803" s="31"/>
    </row>
    <row r="1804" spans="2:2" x14ac:dyDescent="0.2">
      <c r="B1804" s="31"/>
    </row>
    <row r="1805" spans="2:2" x14ac:dyDescent="0.2">
      <c r="B1805" s="31"/>
    </row>
    <row r="1806" spans="2:2" x14ac:dyDescent="0.2">
      <c r="B1806" s="31"/>
    </row>
    <row r="1807" spans="2:2" x14ac:dyDescent="0.2">
      <c r="B1807" s="31"/>
    </row>
    <row r="1808" spans="2:2" x14ac:dyDescent="0.2">
      <c r="B1808" s="31"/>
    </row>
    <row r="1809" spans="2:2" x14ac:dyDescent="0.2">
      <c r="B1809" s="31"/>
    </row>
    <row r="1810" spans="2:2" x14ac:dyDescent="0.2">
      <c r="B1810" s="31"/>
    </row>
    <row r="1811" spans="2:2" x14ac:dyDescent="0.2">
      <c r="B1811" s="31"/>
    </row>
    <row r="1812" spans="2:2" x14ac:dyDescent="0.2">
      <c r="B1812" s="31"/>
    </row>
    <row r="1813" spans="2:2" x14ac:dyDescent="0.2">
      <c r="B1813" s="31"/>
    </row>
    <row r="1814" spans="2:2" x14ac:dyDescent="0.2">
      <c r="B1814" s="31"/>
    </row>
    <row r="1815" spans="2:2" x14ac:dyDescent="0.2">
      <c r="B1815" s="31"/>
    </row>
    <row r="1816" spans="2:2" x14ac:dyDescent="0.2">
      <c r="B1816" s="31"/>
    </row>
    <row r="1817" spans="2:2" x14ac:dyDescent="0.2">
      <c r="B1817" s="31"/>
    </row>
    <row r="1818" spans="2:2" x14ac:dyDescent="0.2">
      <c r="B1818" s="31"/>
    </row>
    <row r="1819" spans="2:2" x14ac:dyDescent="0.2">
      <c r="B1819" s="31"/>
    </row>
    <row r="1820" spans="2:2" x14ac:dyDescent="0.2">
      <c r="B1820" s="31"/>
    </row>
    <row r="1821" spans="2:2" x14ac:dyDescent="0.2">
      <c r="B1821" s="31"/>
    </row>
    <row r="1822" spans="2:2" x14ac:dyDescent="0.2">
      <c r="B1822" s="31"/>
    </row>
    <row r="1823" spans="2:2" x14ac:dyDescent="0.2">
      <c r="B1823" s="31"/>
    </row>
    <row r="1824" spans="2:2" x14ac:dyDescent="0.2">
      <c r="B1824" s="31"/>
    </row>
    <row r="1825" spans="2:2" x14ac:dyDescent="0.2">
      <c r="B1825" s="31"/>
    </row>
    <row r="1826" spans="2:2" x14ac:dyDescent="0.2">
      <c r="B1826" s="31"/>
    </row>
    <row r="1827" spans="2:2" x14ac:dyDescent="0.2">
      <c r="B1827" s="31"/>
    </row>
    <row r="1828" spans="2:2" x14ac:dyDescent="0.2">
      <c r="B1828" s="31"/>
    </row>
    <row r="1829" spans="2:2" x14ac:dyDescent="0.2">
      <c r="B1829" s="31"/>
    </row>
    <row r="1830" spans="2:2" x14ac:dyDescent="0.2">
      <c r="B1830" s="31"/>
    </row>
    <row r="1831" spans="2:2" x14ac:dyDescent="0.2">
      <c r="B1831" s="31"/>
    </row>
    <row r="1832" spans="2:2" x14ac:dyDescent="0.2">
      <c r="B1832" s="31"/>
    </row>
    <row r="1833" spans="2:2" x14ac:dyDescent="0.2">
      <c r="B1833" s="31"/>
    </row>
    <row r="1834" spans="2:2" x14ac:dyDescent="0.2">
      <c r="B1834" s="31"/>
    </row>
    <row r="1835" spans="2:2" x14ac:dyDescent="0.2">
      <c r="B1835" s="31"/>
    </row>
    <row r="1836" spans="2:2" x14ac:dyDescent="0.2">
      <c r="B1836" s="31"/>
    </row>
    <row r="1837" spans="2:2" x14ac:dyDescent="0.2">
      <c r="B1837" s="31"/>
    </row>
    <row r="1838" spans="2:2" x14ac:dyDescent="0.2">
      <c r="B1838" s="31"/>
    </row>
    <row r="1839" spans="2:2" x14ac:dyDescent="0.2">
      <c r="B1839" s="31"/>
    </row>
    <row r="1840" spans="2:2" x14ac:dyDescent="0.2">
      <c r="B1840" s="31"/>
    </row>
    <row r="1841" spans="2:2" x14ac:dyDescent="0.2">
      <c r="B1841" s="31"/>
    </row>
    <row r="1842" spans="2:2" x14ac:dyDescent="0.2">
      <c r="B1842" s="31"/>
    </row>
    <row r="1843" spans="2:2" x14ac:dyDescent="0.2">
      <c r="B1843" s="31"/>
    </row>
    <row r="1844" spans="2:2" x14ac:dyDescent="0.2">
      <c r="B1844" s="31"/>
    </row>
    <row r="1845" spans="2:2" x14ac:dyDescent="0.2">
      <c r="B1845" s="31"/>
    </row>
    <row r="1846" spans="2:2" x14ac:dyDescent="0.2">
      <c r="B1846" s="31"/>
    </row>
    <row r="1847" spans="2:2" x14ac:dyDescent="0.2">
      <c r="B1847" s="31"/>
    </row>
    <row r="1848" spans="2:2" x14ac:dyDescent="0.2">
      <c r="B1848" s="31"/>
    </row>
    <row r="1849" spans="2:2" x14ac:dyDescent="0.2">
      <c r="B1849" s="31"/>
    </row>
    <row r="1850" spans="2:2" x14ac:dyDescent="0.2">
      <c r="B1850" s="31"/>
    </row>
    <row r="1851" spans="2:2" x14ac:dyDescent="0.2">
      <c r="B1851" s="31"/>
    </row>
    <row r="1852" spans="2:2" x14ac:dyDescent="0.2">
      <c r="B1852" s="31"/>
    </row>
    <row r="1853" spans="2:2" x14ac:dyDescent="0.2">
      <c r="B1853" s="31"/>
    </row>
    <row r="1854" spans="2:2" x14ac:dyDescent="0.2">
      <c r="B1854" s="31"/>
    </row>
    <row r="1855" spans="2:2" x14ac:dyDescent="0.2">
      <c r="B1855" s="31"/>
    </row>
    <row r="1856" spans="2:2" x14ac:dyDescent="0.2">
      <c r="B1856" s="31"/>
    </row>
    <row r="1857" spans="2:2" x14ac:dyDescent="0.2">
      <c r="B1857" s="31"/>
    </row>
    <row r="1858" spans="2:2" x14ac:dyDescent="0.2">
      <c r="B1858" s="31"/>
    </row>
    <row r="1859" spans="2:2" x14ac:dyDescent="0.2">
      <c r="B1859" s="31"/>
    </row>
    <row r="1860" spans="2:2" x14ac:dyDescent="0.2">
      <c r="B1860" s="31"/>
    </row>
    <row r="1861" spans="2:2" x14ac:dyDescent="0.2">
      <c r="B1861" s="31"/>
    </row>
    <row r="1862" spans="2:2" x14ac:dyDescent="0.2">
      <c r="B1862" s="31"/>
    </row>
    <row r="1863" spans="2:2" x14ac:dyDescent="0.2">
      <c r="B1863" s="31"/>
    </row>
    <row r="1864" spans="2:2" x14ac:dyDescent="0.2">
      <c r="B1864" s="31"/>
    </row>
    <row r="1865" spans="2:2" x14ac:dyDescent="0.2">
      <c r="B1865" s="31"/>
    </row>
    <row r="1866" spans="2:2" x14ac:dyDescent="0.2">
      <c r="B1866" s="31"/>
    </row>
    <row r="1867" spans="2:2" x14ac:dyDescent="0.2">
      <c r="B1867" s="31"/>
    </row>
    <row r="1868" spans="2:2" x14ac:dyDescent="0.2">
      <c r="B1868" s="31"/>
    </row>
    <row r="1869" spans="2:2" x14ac:dyDescent="0.2">
      <c r="B1869" s="31"/>
    </row>
    <row r="1870" spans="2:2" x14ac:dyDescent="0.2">
      <c r="B1870" s="31"/>
    </row>
    <row r="1871" spans="2:2" x14ac:dyDescent="0.2">
      <c r="B1871" s="31"/>
    </row>
    <row r="1872" spans="2:2" x14ac:dyDescent="0.2">
      <c r="B1872" s="31"/>
    </row>
    <row r="1873" spans="2:2" x14ac:dyDescent="0.2">
      <c r="B1873" s="31"/>
    </row>
    <row r="1874" spans="2:2" x14ac:dyDescent="0.2">
      <c r="B1874" s="31"/>
    </row>
    <row r="1875" spans="2:2" x14ac:dyDescent="0.2">
      <c r="B1875" s="31"/>
    </row>
    <row r="1876" spans="2:2" x14ac:dyDescent="0.2">
      <c r="B1876" s="31"/>
    </row>
    <row r="1877" spans="2:2" x14ac:dyDescent="0.2">
      <c r="B1877" s="31"/>
    </row>
    <row r="1878" spans="2:2" x14ac:dyDescent="0.2">
      <c r="B1878" s="31"/>
    </row>
    <row r="1879" spans="2:2" x14ac:dyDescent="0.2">
      <c r="B1879" s="31"/>
    </row>
    <row r="1880" spans="2:2" x14ac:dyDescent="0.2">
      <c r="B1880" s="31"/>
    </row>
    <row r="1881" spans="2:2" x14ac:dyDescent="0.2">
      <c r="B1881" s="31"/>
    </row>
    <row r="1882" spans="2:2" x14ac:dyDescent="0.2">
      <c r="B1882" s="31"/>
    </row>
    <row r="1883" spans="2:2" x14ac:dyDescent="0.2">
      <c r="B1883" s="31"/>
    </row>
    <row r="1884" spans="2:2" x14ac:dyDescent="0.2">
      <c r="B1884" s="31"/>
    </row>
    <row r="1885" spans="2:2" x14ac:dyDescent="0.2">
      <c r="B1885" s="31"/>
    </row>
    <row r="1886" spans="2:2" x14ac:dyDescent="0.2">
      <c r="B1886" s="31"/>
    </row>
    <row r="1887" spans="2:2" x14ac:dyDescent="0.2">
      <c r="B1887" s="31"/>
    </row>
    <row r="1888" spans="2:2" x14ac:dyDescent="0.2">
      <c r="B1888" s="31"/>
    </row>
    <row r="1889" spans="2:2" x14ac:dyDescent="0.2">
      <c r="B1889" s="31"/>
    </row>
    <row r="1890" spans="2:2" x14ac:dyDescent="0.2">
      <c r="B1890" s="31"/>
    </row>
    <row r="1891" spans="2:2" x14ac:dyDescent="0.2">
      <c r="B1891" s="31"/>
    </row>
    <row r="1892" spans="2:2" x14ac:dyDescent="0.2">
      <c r="B1892" s="31"/>
    </row>
    <row r="1893" spans="2:2" x14ac:dyDescent="0.2">
      <c r="B1893" s="31"/>
    </row>
    <row r="1894" spans="2:2" x14ac:dyDescent="0.2">
      <c r="B1894" s="31"/>
    </row>
    <row r="1895" spans="2:2" x14ac:dyDescent="0.2">
      <c r="B1895" s="31"/>
    </row>
    <row r="1896" spans="2:2" x14ac:dyDescent="0.2">
      <c r="B1896" s="31"/>
    </row>
    <row r="1897" spans="2:2" x14ac:dyDescent="0.2">
      <c r="B1897" s="31"/>
    </row>
    <row r="1898" spans="2:2" x14ac:dyDescent="0.2">
      <c r="B1898" s="31"/>
    </row>
    <row r="1899" spans="2:2" x14ac:dyDescent="0.2">
      <c r="B1899" s="31"/>
    </row>
    <row r="1900" spans="2:2" x14ac:dyDescent="0.2">
      <c r="B1900" s="31"/>
    </row>
    <row r="1901" spans="2:2" x14ac:dyDescent="0.2">
      <c r="B1901" s="31"/>
    </row>
    <row r="1902" spans="2:2" x14ac:dyDescent="0.2">
      <c r="B1902" s="31"/>
    </row>
    <row r="1903" spans="2:2" x14ac:dyDescent="0.2">
      <c r="B1903" s="31"/>
    </row>
    <row r="1904" spans="2:2" x14ac:dyDescent="0.2">
      <c r="B1904" s="31"/>
    </row>
    <row r="1905" spans="2:2" x14ac:dyDescent="0.2">
      <c r="B1905" s="31"/>
    </row>
    <row r="1906" spans="2:2" x14ac:dyDescent="0.2">
      <c r="B1906" s="31"/>
    </row>
    <row r="1907" spans="2:2" x14ac:dyDescent="0.2">
      <c r="B1907" s="31"/>
    </row>
    <row r="1908" spans="2:2" x14ac:dyDescent="0.2">
      <c r="B1908" s="31"/>
    </row>
    <row r="1909" spans="2:2" x14ac:dyDescent="0.2">
      <c r="B1909" s="31"/>
    </row>
    <row r="1910" spans="2:2" x14ac:dyDescent="0.2">
      <c r="B1910" s="31"/>
    </row>
    <row r="1911" spans="2:2" x14ac:dyDescent="0.2">
      <c r="B1911" s="31"/>
    </row>
    <row r="1912" spans="2:2" x14ac:dyDescent="0.2">
      <c r="B1912" s="31"/>
    </row>
    <row r="1913" spans="2:2" x14ac:dyDescent="0.2">
      <c r="B1913" s="31"/>
    </row>
    <row r="1914" spans="2:2" x14ac:dyDescent="0.2">
      <c r="B1914" s="31"/>
    </row>
    <row r="1915" spans="2:2" x14ac:dyDescent="0.2">
      <c r="B1915" s="31"/>
    </row>
    <row r="1916" spans="2:2" x14ac:dyDescent="0.2">
      <c r="B1916" s="31"/>
    </row>
    <row r="1917" spans="2:2" x14ac:dyDescent="0.2">
      <c r="B1917" s="31"/>
    </row>
    <row r="1918" spans="2:2" x14ac:dyDescent="0.2">
      <c r="B1918" s="31"/>
    </row>
    <row r="1919" spans="2:2" x14ac:dyDescent="0.2">
      <c r="B1919" s="31"/>
    </row>
    <row r="1920" spans="2:2" x14ac:dyDescent="0.2">
      <c r="B1920" s="31"/>
    </row>
    <row r="1921" spans="2:2" x14ac:dyDescent="0.2">
      <c r="B1921" s="31"/>
    </row>
    <row r="1922" spans="2:2" x14ac:dyDescent="0.2">
      <c r="B1922" s="31"/>
    </row>
    <row r="1923" spans="2:2" x14ac:dyDescent="0.2">
      <c r="B1923" s="31"/>
    </row>
    <row r="1924" spans="2:2" x14ac:dyDescent="0.2">
      <c r="B1924" s="31"/>
    </row>
    <row r="1925" spans="2:2" x14ac:dyDescent="0.2">
      <c r="B1925" s="31"/>
    </row>
    <row r="1926" spans="2:2" x14ac:dyDescent="0.2">
      <c r="B1926" s="31"/>
    </row>
    <row r="1927" spans="2:2" x14ac:dyDescent="0.2">
      <c r="B1927" s="31"/>
    </row>
    <row r="1928" spans="2:2" x14ac:dyDescent="0.2">
      <c r="B1928" s="31"/>
    </row>
    <row r="1929" spans="2:2" x14ac:dyDescent="0.2">
      <c r="B1929" s="31"/>
    </row>
    <row r="1930" spans="2:2" x14ac:dyDescent="0.2">
      <c r="B1930" s="31"/>
    </row>
    <row r="1931" spans="2:2" x14ac:dyDescent="0.2">
      <c r="B1931" s="31"/>
    </row>
    <row r="1932" spans="2:2" x14ac:dyDescent="0.2">
      <c r="B1932" s="31"/>
    </row>
    <row r="1933" spans="2:2" x14ac:dyDescent="0.2">
      <c r="B1933" s="31"/>
    </row>
    <row r="1934" spans="2:2" x14ac:dyDescent="0.2">
      <c r="B1934" s="31"/>
    </row>
    <row r="1935" spans="2:2" x14ac:dyDescent="0.2">
      <c r="B1935" s="31"/>
    </row>
    <row r="1936" spans="2:2" x14ac:dyDescent="0.2">
      <c r="B1936" s="31"/>
    </row>
    <row r="1937" spans="2:2" x14ac:dyDescent="0.2">
      <c r="B1937" s="31"/>
    </row>
    <row r="1938" spans="2:2" x14ac:dyDescent="0.2">
      <c r="B1938" s="31"/>
    </row>
    <row r="1939" spans="2:2" x14ac:dyDescent="0.2">
      <c r="B1939" s="31"/>
    </row>
    <row r="1940" spans="2:2" x14ac:dyDescent="0.2">
      <c r="B1940" s="31"/>
    </row>
    <row r="1941" spans="2:2" x14ac:dyDescent="0.2">
      <c r="B1941" s="31"/>
    </row>
    <row r="1942" spans="2:2" x14ac:dyDescent="0.2">
      <c r="B1942" s="31"/>
    </row>
    <row r="1943" spans="2:2" x14ac:dyDescent="0.2">
      <c r="B1943" s="31"/>
    </row>
    <row r="1944" spans="2:2" x14ac:dyDescent="0.2">
      <c r="B1944" s="31"/>
    </row>
    <row r="1945" spans="2:2" x14ac:dyDescent="0.2">
      <c r="B1945" s="31"/>
    </row>
    <row r="1946" spans="2:2" x14ac:dyDescent="0.2">
      <c r="B1946" s="31"/>
    </row>
    <row r="1947" spans="2:2" x14ac:dyDescent="0.2">
      <c r="B1947" s="31"/>
    </row>
    <row r="1948" spans="2:2" x14ac:dyDescent="0.2">
      <c r="B1948" s="31"/>
    </row>
    <row r="1949" spans="2:2" x14ac:dyDescent="0.2">
      <c r="B1949" s="31"/>
    </row>
    <row r="1950" spans="2:2" x14ac:dyDescent="0.2">
      <c r="B1950" s="31"/>
    </row>
    <row r="1951" spans="2:2" x14ac:dyDescent="0.2">
      <c r="B1951" s="31"/>
    </row>
    <row r="1952" spans="2:2" x14ac:dyDescent="0.2">
      <c r="B1952" s="31"/>
    </row>
    <row r="1953" spans="2:2" x14ac:dyDescent="0.2">
      <c r="B1953" s="31"/>
    </row>
    <row r="1954" spans="2:2" x14ac:dyDescent="0.2">
      <c r="B1954" s="31"/>
    </row>
    <row r="1955" spans="2:2" x14ac:dyDescent="0.2">
      <c r="B1955" s="31"/>
    </row>
    <row r="1956" spans="2:2" x14ac:dyDescent="0.2">
      <c r="B1956" s="31"/>
    </row>
    <row r="1957" spans="2:2" x14ac:dyDescent="0.2">
      <c r="B1957" s="31"/>
    </row>
    <row r="1958" spans="2:2" x14ac:dyDescent="0.2">
      <c r="B1958" s="31"/>
    </row>
    <row r="1959" spans="2:2" x14ac:dyDescent="0.2">
      <c r="B1959" s="31"/>
    </row>
    <row r="1960" spans="2:2" x14ac:dyDescent="0.2">
      <c r="B1960" s="31"/>
    </row>
    <row r="1961" spans="2:2" x14ac:dyDescent="0.2">
      <c r="B1961" s="31"/>
    </row>
    <row r="1962" spans="2:2" x14ac:dyDescent="0.2">
      <c r="B1962" s="31"/>
    </row>
    <row r="1963" spans="2:2" x14ac:dyDescent="0.2">
      <c r="B1963" s="31"/>
    </row>
    <row r="1964" spans="2:2" x14ac:dyDescent="0.2">
      <c r="B1964" s="31"/>
    </row>
    <row r="1965" spans="2:2" x14ac:dyDescent="0.2">
      <c r="B1965" s="31"/>
    </row>
    <row r="1966" spans="2:2" x14ac:dyDescent="0.2">
      <c r="B1966" s="31"/>
    </row>
    <row r="1967" spans="2:2" x14ac:dyDescent="0.2">
      <c r="B1967" s="31"/>
    </row>
    <row r="1968" spans="2:2" x14ac:dyDescent="0.2">
      <c r="B1968" s="31"/>
    </row>
    <row r="1969" spans="2:2" x14ac:dyDescent="0.2">
      <c r="B1969" s="31"/>
    </row>
    <row r="1970" spans="2:2" x14ac:dyDescent="0.2">
      <c r="B1970" s="31"/>
    </row>
    <row r="1971" spans="2:2" x14ac:dyDescent="0.2">
      <c r="B1971" s="31"/>
    </row>
    <row r="1972" spans="2:2" x14ac:dyDescent="0.2">
      <c r="B1972" s="31"/>
    </row>
    <row r="1973" spans="2:2" x14ac:dyDescent="0.2">
      <c r="B1973" s="31"/>
    </row>
    <row r="1974" spans="2:2" x14ac:dyDescent="0.2">
      <c r="B1974" s="31"/>
    </row>
    <row r="1975" spans="2:2" x14ac:dyDescent="0.2">
      <c r="B1975" s="31"/>
    </row>
    <row r="1976" spans="2:2" x14ac:dyDescent="0.2">
      <c r="B1976" s="31"/>
    </row>
    <row r="1977" spans="2:2" x14ac:dyDescent="0.2">
      <c r="B1977" s="31"/>
    </row>
    <row r="1978" spans="2:2" x14ac:dyDescent="0.2">
      <c r="B1978" s="31"/>
    </row>
    <row r="1979" spans="2:2" x14ac:dyDescent="0.2">
      <c r="B1979" s="31"/>
    </row>
    <row r="1980" spans="2:2" x14ac:dyDescent="0.2">
      <c r="B1980" s="31"/>
    </row>
    <row r="1981" spans="2:2" x14ac:dyDescent="0.2">
      <c r="B1981" s="31"/>
    </row>
    <row r="1982" spans="2:2" x14ac:dyDescent="0.2">
      <c r="B1982" s="31"/>
    </row>
    <row r="1983" spans="2:2" x14ac:dyDescent="0.2">
      <c r="B1983" s="31"/>
    </row>
    <row r="1984" spans="2:2" x14ac:dyDescent="0.2">
      <c r="B1984" s="31"/>
    </row>
    <row r="1985" spans="2:2" x14ac:dyDescent="0.2">
      <c r="B1985" s="31"/>
    </row>
    <row r="1986" spans="2:2" x14ac:dyDescent="0.2">
      <c r="B1986" s="31"/>
    </row>
    <row r="1987" spans="2:2" x14ac:dyDescent="0.2">
      <c r="B1987" s="31"/>
    </row>
    <row r="1988" spans="2:2" x14ac:dyDescent="0.2">
      <c r="B1988" s="31"/>
    </row>
    <row r="1989" spans="2:2" x14ac:dyDescent="0.2">
      <c r="B1989" s="31"/>
    </row>
    <row r="1990" spans="2:2" x14ac:dyDescent="0.2">
      <c r="B1990" s="31"/>
    </row>
    <row r="1991" spans="2:2" x14ac:dyDescent="0.2">
      <c r="B1991" s="31"/>
    </row>
    <row r="1992" spans="2:2" x14ac:dyDescent="0.2">
      <c r="B1992" s="31"/>
    </row>
    <row r="1993" spans="2:2" x14ac:dyDescent="0.2">
      <c r="B1993" s="31"/>
    </row>
    <row r="1994" spans="2:2" x14ac:dyDescent="0.2">
      <c r="B1994" s="31"/>
    </row>
    <row r="1995" spans="2:2" x14ac:dyDescent="0.2">
      <c r="B1995" s="31"/>
    </row>
    <row r="1996" spans="2:2" x14ac:dyDescent="0.2">
      <c r="B1996" s="31"/>
    </row>
    <row r="1997" spans="2:2" x14ac:dyDescent="0.2">
      <c r="B1997" s="31"/>
    </row>
    <row r="1998" spans="2:2" x14ac:dyDescent="0.2">
      <c r="B1998" s="31"/>
    </row>
    <row r="1999" spans="2:2" x14ac:dyDescent="0.2">
      <c r="B1999" s="31"/>
    </row>
    <row r="2000" spans="2:2" x14ac:dyDescent="0.2">
      <c r="B2000" s="31"/>
    </row>
    <row r="2001" spans="2:2" x14ac:dyDescent="0.2">
      <c r="B2001" s="31"/>
    </row>
    <row r="2002" spans="2:2" x14ac:dyDescent="0.2">
      <c r="B2002" s="31"/>
    </row>
    <row r="2003" spans="2:2" x14ac:dyDescent="0.2">
      <c r="B2003" s="31"/>
    </row>
    <row r="2004" spans="2:2" x14ac:dyDescent="0.2">
      <c r="B2004" s="31"/>
    </row>
    <row r="2005" spans="2:2" x14ac:dyDescent="0.2">
      <c r="B2005" s="31"/>
    </row>
    <row r="2006" spans="2:2" x14ac:dyDescent="0.2">
      <c r="B2006" s="31"/>
    </row>
    <row r="2007" spans="2:2" x14ac:dyDescent="0.2">
      <c r="B2007" s="31"/>
    </row>
    <row r="2008" spans="2:2" x14ac:dyDescent="0.2">
      <c r="B2008" s="31"/>
    </row>
    <row r="2009" spans="2:2" x14ac:dyDescent="0.2">
      <c r="B2009" s="31"/>
    </row>
    <row r="2010" spans="2:2" x14ac:dyDescent="0.2">
      <c r="B2010" s="31"/>
    </row>
    <row r="2011" spans="2:2" x14ac:dyDescent="0.2">
      <c r="B2011" s="31"/>
    </row>
    <row r="2012" spans="2:2" x14ac:dyDescent="0.2">
      <c r="B2012" s="31"/>
    </row>
    <row r="2013" spans="2:2" x14ac:dyDescent="0.2">
      <c r="B2013" s="31"/>
    </row>
    <row r="2014" spans="2:2" x14ac:dyDescent="0.2">
      <c r="B2014" s="31"/>
    </row>
    <row r="2015" spans="2:2" x14ac:dyDescent="0.2">
      <c r="B2015" s="31"/>
    </row>
    <row r="2016" spans="2:2" x14ac:dyDescent="0.2">
      <c r="B2016" s="31"/>
    </row>
    <row r="2017" spans="2:2" x14ac:dyDescent="0.2">
      <c r="B2017" s="31"/>
    </row>
    <row r="2018" spans="2:2" x14ac:dyDescent="0.2">
      <c r="B2018" s="31"/>
    </row>
    <row r="2019" spans="2:2" x14ac:dyDescent="0.2">
      <c r="B2019" s="31"/>
    </row>
    <row r="2020" spans="2:2" x14ac:dyDescent="0.2">
      <c r="B2020" s="31"/>
    </row>
    <row r="2021" spans="2:2" x14ac:dyDescent="0.2">
      <c r="B2021" s="31"/>
    </row>
    <row r="2022" spans="2:2" x14ac:dyDescent="0.2">
      <c r="B2022" s="31"/>
    </row>
    <row r="2023" spans="2:2" x14ac:dyDescent="0.2">
      <c r="B2023" s="31"/>
    </row>
    <row r="2024" spans="2:2" x14ac:dyDescent="0.2">
      <c r="B2024" s="31"/>
    </row>
    <row r="2025" spans="2:2" x14ac:dyDescent="0.2">
      <c r="B2025" s="31"/>
    </row>
    <row r="2026" spans="2:2" x14ac:dyDescent="0.2">
      <c r="B2026" s="31"/>
    </row>
    <row r="2027" spans="2:2" x14ac:dyDescent="0.2">
      <c r="B2027" s="31"/>
    </row>
    <row r="2028" spans="2:2" x14ac:dyDescent="0.2">
      <c r="B2028" s="31"/>
    </row>
    <row r="2029" spans="2:2" x14ac:dyDescent="0.2">
      <c r="B2029" s="31"/>
    </row>
    <row r="2030" spans="2:2" x14ac:dyDescent="0.2">
      <c r="B2030" s="31"/>
    </row>
    <row r="2031" spans="2:2" x14ac:dyDescent="0.2">
      <c r="B2031" s="31"/>
    </row>
    <row r="2032" spans="2:2" x14ac:dyDescent="0.2">
      <c r="B2032" s="31"/>
    </row>
    <row r="2033" spans="2:2" x14ac:dyDescent="0.2">
      <c r="B2033" s="31"/>
    </row>
    <row r="2034" spans="2:2" x14ac:dyDescent="0.2">
      <c r="B2034" s="31"/>
    </row>
    <row r="2035" spans="2:2" x14ac:dyDescent="0.2">
      <c r="B2035" s="31"/>
    </row>
    <row r="2036" spans="2:2" x14ac:dyDescent="0.2">
      <c r="B2036" s="31"/>
    </row>
    <row r="2037" spans="2:2" x14ac:dyDescent="0.2">
      <c r="B2037" s="31"/>
    </row>
    <row r="2038" spans="2:2" x14ac:dyDescent="0.2">
      <c r="B2038" s="31"/>
    </row>
    <row r="2039" spans="2:2" x14ac:dyDescent="0.2">
      <c r="B2039" s="31"/>
    </row>
    <row r="2040" spans="2:2" x14ac:dyDescent="0.2">
      <c r="B2040" s="31"/>
    </row>
    <row r="2041" spans="2:2" x14ac:dyDescent="0.2">
      <c r="B2041" s="31"/>
    </row>
    <row r="2042" spans="2:2" x14ac:dyDescent="0.2">
      <c r="B2042" s="31"/>
    </row>
    <row r="2043" spans="2:2" x14ac:dyDescent="0.2">
      <c r="B2043" s="31"/>
    </row>
    <row r="2044" spans="2:2" x14ac:dyDescent="0.2">
      <c r="B2044" s="31"/>
    </row>
    <row r="2045" spans="2:2" x14ac:dyDescent="0.2">
      <c r="B2045" s="31"/>
    </row>
    <row r="2046" spans="2:2" x14ac:dyDescent="0.2">
      <c r="B2046" s="31"/>
    </row>
    <row r="2047" spans="2:2" x14ac:dyDescent="0.2">
      <c r="B2047" s="31"/>
    </row>
    <row r="2048" spans="2:2" x14ac:dyDescent="0.2">
      <c r="B2048" s="31"/>
    </row>
    <row r="2049" spans="2:2" x14ac:dyDescent="0.2">
      <c r="B2049" s="31"/>
    </row>
    <row r="2050" spans="2:2" x14ac:dyDescent="0.2">
      <c r="B2050" s="31"/>
    </row>
    <row r="2051" spans="2:2" x14ac:dyDescent="0.2">
      <c r="B2051" s="31"/>
    </row>
    <row r="2052" spans="2:2" x14ac:dyDescent="0.2">
      <c r="B2052" s="31"/>
    </row>
    <row r="2053" spans="2:2" x14ac:dyDescent="0.2">
      <c r="B2053" s="31"/>
    </row>
    <row r="2054" spans="2:2" x14ac:dyDescent="0.2">
      <c r="B2054" s="31"/>
    </row>
    <row r="2055" spans="2:2" x14ac:dyDescent="0.2">
      <c r="B2055" s="31"/>
    </row>
    <row r="2056" spans="2:2" x14ac:dyDescent="0.2">
      <c r="B2056" s="31"/>
    </row>
    <row r="2057" spans="2:2" x14ac:dyDescent="0.2">
      <c r="B2057" s="31"/>
    </row>
    <row r="2058" spans="2:2" x14ac:dyDescent="0.2">
      <c r="B2058" s="31"/>
    </row>
    <row r="2059" spans="2:2" x14ac:dyDescent="0.2">
      <c r="B2059" s="31"/>
    </row>
    <row r="2060" spans="2:2" x14ac:dyDescent="0.2">
      <c r="B2060" s="31"/>
    </row>
    <row r="2061" spans="2:2" x14ac:dyDescent="0.2">
      <c r="B2061" s="31"/>
    </row>
    <row r="2062" spans="2:2" x14ac:dyDescent="0.2">
      <c r="B2062" s="31"/>
    </row>
    <row r="2063" spans="2:2" x14ac:dyDescent="0.2">
      <c r="B2063" s="31"/>
    </row>
    <row r="2064" spans="2:2" x14ac:dyDescent="0.2">
      <c r="B2064" s="31"/>
    </row>
    <row r="2065" spans="2:2" x14ac:dyDescent="0.2">
      <c r="B2065" s="31"/>
    </row>
    <row r="2066" spans="2:2" x14ac:dyDescent="0.2">
      <c r="B2066" s="31"/>
    </row>
    <row r="2067" spans="2:2" x14ac:dyDescent="0.2">
      <c r="B2067" s="31"/>
    </row>
    <row r="2068" spans="2:2" x14ac:dyDescent="0.2">
      <c r="B2068" s="31"/>
    </row>
    <row r="2069" spans="2:2" x14ac:dyDescent="0.2">
      <c r="B2069" s="31"/>
    </row>
    <row r="2070" spans="2:2" x14ac:dyDescent="0.2">
      <c r="B2070" s="31"/>
    </row>
    <row r="2071" spans="2:2" x14ac:dyDescent="0.2">
      <c r="B2071" s="31"/>
    </row>
    <row r="2072" spans="2:2" x14ac:dyDescent="0.2">
      <c r="B2072" s="31"/>
    </row>
    <row r="2073" spans="2:2" x14ac:dyDescent="0.2">
      <c r="B2073" s="31"/>
    </row>
    <row r="2074" spans="2:2" x14ac:dyDescent="0.2">
      <c r="B2074" s="31"/>
    </row>
    <row r="2075" spans="2:2" x14ac:dyDescent="0.2">
      <c r="B2075" s="31"/>
    </row>
    <row r="2076" spans="2:2" x14ac:dyDescent="0.2">
      <c r="B2076" s="31"/>
    </row>
    <row r="2077" spans="2:2" x14ac:dyDescent="0.2">
      <c r="B2077" s="31"/>
    </row>
    <row r="2078" spans="2:2" x14ac:dyDescent="0.2">
      <c r="B2078" s="31"/>
    </row>
    <row r="2079" spans="2:2" x14ac:dyDescent="0.2">
      <c r="B2079" s="31"/>
    </row>
    <row r="2080" spans="2:2" x14ac:dyDescent="0.2">
      <c r="B2080" s="31"/>
    </row>
    <row r="2081" spans="2:2" x14ac:dyDescent="0.2">
      <c r="B2081" s="31"/>
    </row>
    <row r="2082" spans="2:2" x14ac:dyDescent="0.2">
      <c r="B2082" s="31"/>
    </row>
    <row r="2083" spans="2:2" x14ac:dyDescent="0.2">
      <c r="B2083" s="31"/>
    </row>
    <row r="2084" spans="2:2" x14ac:dyDescent="0.2">
      <c r="B2084" s="31"/>
    </row>
    <row r="2085" spans="2:2" x14ac:dyDescent="0.2">
      <c r="B2085" s="31"/>
    </row>
    <row r="2086" spans="2:2" x14ac:dyDescent="0.2">
      <c r="B2086" s="31"/>
    </row>
    <row r="2087" spans="2:2" x14ac:dyDescent="0.2">
      <c r="B2087" s="31"/>
    </row>
    <row r="2088" spans="2:2" x14ac:dyDescent="0.2">
      <c r="B2088" s="31"/>
    </row>
    <row r="2089" spans="2:2" x14ac:dyDescent="0.2">
      <c r="B2089" s="31"/>
    </row>
    <row r="2090" spans="2:2" x14ac:dyDescent="0.2">
      <c r="B2090" s="31"/>
    </row>
    <row r="2091" spans="2:2" x14ac:dyDescent="0.2">
      <c r="B2091" s="31"/>
    </row>
    <row r="2092" spans="2:2" x14ac:dyDescent="0.2">
      <c r="B2092" s="31"/>
    </row>
    <row r="2093" spans="2:2" x14ac:dyDescent="0.2">
      <c r="B2093" s="31"/>
    </row>
    <row r="2094" spans="2:2" x14ac:dyDescent="0.2">
      <c r="B2094" s="31"/>
    </row>
    <row r="2095" spans="2:2" x14ac:dyDescent="0.2">
      <c r="B2095" s="31"/>
    </row>
    <row r="2096" spans="2:2" x14ac:dyDescent="0.2">
      <c r="B2096" s="31"/>
    </row>
    <row r="2097" spans="2:2" x14ac:dyDescent="0.2">
      <c r="B2097" s="31"/>
    </row>
    <row r="2098" spans="2:2" x14ac:dyDescent="0.2">
      <c r="B2098" s="31"/>
    </row>
    <row r="2099" spans="2:2" x14ac:dyDescent="0.2">
      <c r="B2099" s="31"/>
    </row>
    <row r="2100" spans="2:2" x14ac:dyDescent="0.2">
      <c r="B2100" s="31"/>
    </row>
    <row r="2101" spans="2:2" x14ac:dyDescent="0.2">
      <c r="B2101" s="31"/>
    </row>
    <row r="2102" spans="2:2" x14ac:dyDescent="0.2">
      <c r="B2102" s="31"/>
    </row>
    <row r="2103" spans="2:2" x14ac:dyDescent="0.2">
      <c r="B2103" s="31"/>
    </row>
    <row r="2104" spans="2:2" x14ac:dyDescent="0.2">
      <c r="B2104" s="31"/>
    </row>
    <row r="2105" spans="2:2" x14ac:dyDescent="0.2">
      <c r="B2105" s="31"/>
    </row>
    <row r="2106" spans="2:2" x14ac:dyDescent="0.2">
      <c r="B2106" s="31"/>
    </row>
    <row r="2107" spans="2:2" x14ac:dyDescent="0.2">
      <c r="B2107" s="31"/>
    </row>
    <row r="2108" spans="2:2" x14ac:dyDescent="0.2">
      <c r="B2108" s="31"/>
    </row>
    <row r="2109" spans="2:2" x14ac:dyDescent="0.2">
      <c r="B2109" s="31"/>
    </row>
    <row r="2110" spans="2:2" x14ac:dyDescent="0.2">
      <c r="B2110" s="31"/>
    </row>
    <row r="2111" spans="2:2" x14ac:dyDescent="0.2">
      <c r="B2111" s="31"/>
    </row>
    <row r="2112" spans="2:2" x14ac:dyDescent="0.2">
      <c r="B2112" s="31"/>
    </row>
    <row r="2113" spans="2:2" x14ac:dyDescent="0.2">
      <c r="B2113" s="31"/>
    </row>
    <row r="2114" spans="2:2" x14ac:dyDescent="0.2">
      <c r="B2114" s="31"/>
    </row>
    <row r="2115" spans="2:2" x14ac:dyDescent="0.2">
      <c r="B2115" s="31"/>
    </row>
    <row r="2116" spans="2:2" x14ac:dyDescent="0.2">
      <c r="B2116" s="31"/>
    </row>
    <row r="2117" spans="2:2" x14ac:dyDescent="0.2">
      <c r="B2117" s="31"/>
    </row>
    <row r="2118" spans="2:2" x14ac:dyDescent="0.2">
      <c r="B2118" s="31"/>
    </row>
    <row r="2119" spans="2:2" x14ac:dyDescent="0.2">
      <c r="B2119" s="31"/>
    </row>
    <row r="2120" spans="2:2" x14ac:dyDescent="0.2">
      <c r="B2120" s="31"/>
    </row>
    <row r="2121" spans="2:2" x14ac:dyDescent="0.2">
      <c r="B2121" s="31"/>
    </row>
    <row r="2122" spans="2:2" x14ac:dyDescent="0.2">
      <c r="B2122" s="31"/>
    </row>
    <row r="2123" spans="2:2" x14ac:dyDescent="0.2">
      <c r="B2123" s="31"/>
    </row>
    <row r="2124" spans="2:2" x14ac:dyDescent="0.2">
      <c r="B2124" s="31"/>
    </row>
    <row r="2125" spans="2:2" x14ac:dyDescent="0.2">
      <c r="B2125" s="31"/>
    </row>
    <row r="2126" spans="2:2" x14ac:dyDescent="0.2">
      <c r="B2126" s="31"/>
    </row>
    <row r="2127" spans="2:2" x14ac:dyDescent="0.2">
      <c r="B2127" s="31"/>
    </row>
    <row r="2128" spans="2:2" x14ac:dyDescent="0.2">
      <c r="B2128" s="31"/>
    </row>
    <row r="2129" spans="2:2" x14ac:dyDescent="0.2">
      <c r="B2129" s="31"/>
    </row>
    <row r="2130" spans="2:2" x14ac:dyDescent="0.2">
      <c r="B2130" s="31"/>
    </row>
    <row r="2131" spans="2:2" x14ac:dyDescent="0.2">
      <c r="B2131" s="31"/>
    </row>
    <row r="2132" spans="2:2" x14ac:dyDescent="0.2">
      <c r="B2132" s="31"/>
    </row>
    <row r="2133" spans="2:2" x14ac:dyDescent="0.2">
      <c r="B2133" s="31"/>
    </row>
    <row r="2134" spans="2:2" x14ac:dyDescent="0.2">
      <c r="B2134" s="31"/>
    </row>
    <row r="2135" spans="2:2" x14ac:dyDescent="0.2">
      <c r="B2135" s="31"/>
    </row>
    <row r="2136" spans="2:2" x14ac:dyDescent="0.2">
      <c r="B2136" s="31"/>
    </row>
    <row r="2137" spans="2:2" x14ac:dyDescent="0.2">
      <c r="B2137" s="31"/>
    </row>
    <row r="2138" spans="2:2" x14ac:dyDescent="0.2">
      <c r="B2138" s="31"/>
    </row>
    <row r="2139" spans="2:2" x14ac:dyDescent="0.2">
      <c r="B2139" s="31"/>
    </row>
    <row r="2140" spans="2:2" x14ac:dyDescent="0.2">
      <c r="B2140" s="31"/>
    </row>
    <row r="2141" spans="2:2" x14ac:dyDescent="0.2">
      <c r="B2141" s="31"/>
    </row>
    <row r="2142" spans="2:2" x14ac:dyDescent="0.2">
      <c r="B2142" s="31"/>
    </row>
    <row r="2143" spans="2:2" x14ac:dyDescent="0.2">
      <c r="B2143" s="31"/>
    </row>
    <row r="2144" spans="2:2" x14ac:dyDescent="0.2">
      <c r="B2144" s="31"/>
    </row>
    <row r="2145" spans="2:2" x14ac:dyDescent="0.2">
      <c r="B2145" s="31"/>
    </row>
    <row r="2146" spans="2:2" x14ac:dyDescent="0.2">
      <c r="B2146" s="31"/>
    </row>
    <row r="2147" spans="2:2" x14ac:dyDescent="0.2">
      <c r="B2147" s="31"/>
    </row>
    <row r="2148" spans="2:2" x14ac:dyDescent="0.2">
      <c r="B2148" s="31"/>
    </row>
    <row r="2149" spans="2:2" x14ac:dyDescent="0.2">
      <c r="B2149" s="31"/>
    </row>
    <row r="2150" spans="2:2" x14ac:dyDescent="0.2">
      <c r="B2150" s="31"/>
    </row>
    <row r="2151" spans="2:2" x14ac:dyDescent="0.2">
      <c r="B2151" s="31"/>
    </row>
    <row r="2152" spans="2:2" x14ac:dyDescent="0.2">
      <c r="B2152" s="31"/>
    </row>
    <row r="2153" spans="2:2" x14ac:dyDescent="0.2">
      <c r="B2153" s="31"/>
    </row>
    <row r="2154" spans="2:2" x14ac:dyDescent="0.2">
      <c r="B2154" s="31"/>
    </row>
    <row r="2155" spans="2:2" x14ac:dyDescent="0.2">
      <c r="B2155" s="31"/>
    </row>
    <row r="2156" spans="2:2" x14ac:dyDescent="0.2">
      <c r="B2156" s="31"/>
    </row>
    <row r="2157" spans="2:2" x14ac:dyDescent="0.2">
      <c r="B2157" s="31"/>
    </row>
    <row r="2158" spans="2:2" x14ac:dyDescent="0.2">
      <c r="B2158" s="31"/>
    </row>
    <row r="2159" spans="2:2" x14ac:dyDescent="0.2">
      <c r="B2159" s="31"/>
    </row>
    <row r="2160" spans="2:2" x14ac:dyDescent="0.2">
      <c r="B2160" s="31"/>
    </row>
    <row r="2161" spans="2:2" x14ac:dyDescent="0.2">
      <c r="B2161" s="31"/>
    </row>
    <row r="2162" spans="2:2" x14ac:dyDescent="0.2">
      <c r="B2162" s="31"/>
    </row>
    <row r="2163" spans="2:2" x14ac:dyDescent="0.2">
      <c r="B2163" s="31"/>
    </row>
    <row r="2164" spans="2:2" x14ac:dyDescent="0.2">
      <c r="B2164" s="31"/>
    </row>
    <row r="2165" spans="2:2" x14ac:dyDescent="0.2">
      <c r="B2165" s="31"/>
    </row>
    <row r="2166" spans="2:2" x14ac:dyDescent="0.2">
      <c r="B2166" s="31"/>
    </row>
    <row r="2167" spans="2:2" x14ac:dyDescent="0.2">
      <c r="B2167" s="31"/>
    </row>
    <row r="2168" spans="2:2" x14ac:dyDescent="0.2">
      <c r="B2168" s="31"/>
    </row>
    <row r="2169" spans="2:2" x14ac:dyDescent="0.2">
      <c r="B2169" s="31"/>
    </row>
    <row r="2170" spans="2:2" x14ac:dyDescent="0.2">
      <c r="B2170" s="31"/>
    </row>
    <row r="2171" spans="2:2" x14ac:dyDescent="0.2">
      <c r="B2171" s="31"/>
    </row>
    <row r="2172" spans="2:2" x14ac:dyDescent="0.2">
      <c r="B2172" s="31"/>
    </row>
    <row r="2173" spans="2:2" x14ac:dyDescent="0.2">
      <c r="B2173" s="31"/>
    </row>
    <row r="2174" spans="2:2" x14ac:dyDescent="0.2">
      <c r="B2174" s="31"/>
    </row>
    <row r="2175" spans="2:2" x14ac:dyDescent="0.2">
      <c r="B2175" s="31"/>
    </row>
    <row r="2176" spans="2:2" x14ac:dyDescent="0.2">
      <c r="B2176" s="31"/>
    </row>
    <row r="2177" spans="2:2" x14ac:dyDescent="0.2">
      <c r="B2177" s="31"/>
    </row>
    <row r="2178" spans="2:2" x14ac:dyDescent="0.2">
      <c r="B2178" s="31"/>
    </row>
    <row r="2179" spans="2:2" x14ac:dyDescent="0.2">
      <c r="B2179" s="31"/>
    </row>
    <row r="2180" spans="2:2" x14ac:dyDescent="0.2">
      <c r="B2180" s="31"/>
    </row>
    <row r="2181" spans="2:2" x14ac:dyDescent="0.2">
      <c r="B2181" s="31"/>
    </row>
    <row r="2182" spans="2:2" x14ac:dyDescent="0.2">
      <c r="B2182" s="31"/>
    </row>
    <row r="2183" spans="2:2" x14ac:dyDescent="0.2">
      <c r="B2183" s="31"/>
    </row>
    <row r="2184" spans="2:2" x14ac:dyDescent="0.2">
      <c r="B2184" s="31"/>
    </row>
    <row r="2185" spans="2:2" x14ac:dyDescent="0.2">
      <c r="B2185" s="31"/>
    </row>
    <row r="2186" spans="2:2" x14ac:dyDescent="0.2">
      <c r="B2186" s="31"/>
    </row>
    <row r="2187" spans="2:2" x14ac:dyDescent="0.2">
      <c r="B2187" s="31"/>
    </row>
    <row r="2188" spans="2:2" x14ac:dyDescent="0.2">
      <c r="B2188" s="31"/>
    </row>
    <row r="2189" spans="2:2" x14ac:dyDescent="0.2">
      <c r="B2189" s="31"/>
    </row>
    <row r="2190" spans="2:2" x14ac:dyDescent="0.2">
      <c r="B2190" s="31"/>
    </row>
    <row r="2191" spans="2:2" x14ac:dyDescent="0.2">
      <c r="B2191" s="31"/>
    </row>
    <row r="2192" spans="2:2" x14ac:dyDescent="0.2">
      <c r="B2192" s="31"/>
    </row>
    <row r="2193" spans="2:2" x14ac:dyDescent="0.2">
      <c r="B2193" s="31"/>
    </row>
    <row r="2194" spans="2:2" x14ac:dyDescent="0.2">
      <c r="B2194" s="31"/>
    </row>
    <row r="2195" spans="2:2" x14ac:dyDescent="0.2">
      <c r="B2195" s="31"/>
    </row>
    <row r="2196" spans="2:2" x14ac:dyDescent="0.2">
      <c r="B2196" s="31"/>
    </row>
    <row r="2197" spans="2:2" x14ac:dyDescent="0.2">
      <c r="B2197" s="31"/>
    </row>
    <row r="2198" spans="2:2" x14ac:dyDescent="0.2">
      <c r="B2198" s="31"/>
    </row>
    <row r="2199" spans="2:2" x14ac:dyDescent="0.2">
      <c r="B2199" s="31"/>
    </row>
    <row r="2200" spans="2:2" x14ac:dyDescent="0.2">
      <c r="B2200" s="31"/>
    </row>
    <row r="2201" spans="2:2" x14ac:dyDescent="0.2">
      <c r="B2201" s="31"/>
    </row>
    <row r="2202" spans="2:2" x14ac:dyDescent="0.2">
      <c r="B2202" s="31"/>
    </row>
    <row r="2203" spans="2:2" x14ac:dyDescent="0.2">
      <c r="B2203" s="31"/>
    </row>
    <row r="2204" spans="2:2" x14ac:dyDescent="0.2">
      <c r="B2204" s="31"/>
    </row>
    <row r="2205" spans="2:2" x14ac:dyDescent="0.2">
      <c r="B2205" s="31"/>
    </row>
    <row r="2206" spans="2:2" x14ac:dyDescent="0.2">
      <c r="B2206" s="31"/>
    </row>
    <row r="2207" spans="2:2" x14ac:dyDescent="0.2">
      <c r="B2207" s="31"/>
    </row>
    <row r="2208" spans="2:2" x14ac:dyDescent="0.2">
      <c r="B2208" s="31"/>
    </row>
    <row r="2209" spans="2:2" x14ac:dyDescent="0.2">
      <c r="B2209" s="31"/>
    </row>
    <row r="2210" spans="2:2" x14ac:dyDescent="0.2">
      <c r="B2210" s="31"/>
    </row>
    <row r="2211" spans="2:2" x14ac:dyDescent="0.2">
      <c r="B2211" s="31"/>
    </row>
    <row r="2212" spans="2:2" x14ac:dyDescent="0.2">
      <c r="B2212" s="31"/>
    </row>
    <row r="2213" spans="2:2" x14ac:dyDescent="0.2">
      <c r="B2213" s="31"/>
    </row>
    <row r="2214" spans="2:2" x14ac:dyDescent="0.2">
      <c r="B2214" s="31"/>
    </row>
    <row r="2215" spans="2:2" x14ac:dyDescent="0.2">
      <c r="B2215" s="31"/>
    </row>
    <row r="2216" spans="2:2" x14ac:dyDescent="0.2">
      <c r="B2216" s="31"/>
    </row>
    <row r="2217" spans="2:2" x14ac:dyDescent="0.2">
      <c r="B2217" s="31"/>
    </row>
    <row r="2218" spans="2:2" x14ac:dyDescent="0.2">
      <c r="B2218" s="31"/>
    </row>
    <row r="2219" spans="2:2" x14ac:dyDescent="0.2">
      <c r="B2219" s="31"/>
    </row>
    <row r="2220" spans="2:2" x14ac:dyDescent="0.2">
      <c r="B2220" s="31"/>
    </row>
    <row r="2221" spans="2:2" x14ac:dyDescent="0.2">
      <c r="B2221" s="31"/>
    </row>
    <row r="2222" spans="2:2" x14ac:dyDescent="0.2">
      <c r="B2222" s="31"/>
    </row>
    <row r="2223" spans="2:2" x14ac:dyDescent="0.2">
      <c r="B2223" s="31"/>
    </row>
    <row r="2224" spans="2:2" x14ac:dyDescent="0.2">
      <c r="B2224" s="31"/>
    </row>
    <row r="2225" spans="2:2" x14ac:dyDescent="0.2">
      <c r="B2225" s="31"/>
    </row>
    <row r="2226" spans="2:2" x14ac:dyDescent="0.2">
      <c r="B2226" s="31"/>
    </row>
    <row r="2227" spans="2:2" x14ac:dyDescent="0.2">
      <c r="B2227" s="31"/>
    </row>
    <row r="2228" spans="2:2" x14ac:dyDescent="0.2">
      <c r="B2228" s="31"/>
    </row>
    <row r="2229" spans="2:2" x14ac:dyDescent="0.2">
      <c r="B2229" s="31"/>
    </row>
    <row r="2230" spans="2:2" x14ac:dyDescent="0.2">
      <c r="B2230" s="31"/>
    </row>
    <row r="2231" spans="2:2" x14ac:dyDescent="0.2">
      <c r="B2231" s="31"/>
    </row>
    <row r="2232" spans="2:2" x14ac:dyDescent="0.2">
      <c r="B2232" s="31"/>
    </row>
    <row r="2233" spans="2:2" x14ac:dyDescent="0.2">
      <c r="B2233" s="31"/>
    </row>
    <row r="2234" spans="2:2" x14ac:dyDescent="0.2">
      <c r="B2234" s="31"/>
    </row>
    <row r="2235" spans="2:2" x14ac:dyDescent="0.2">
      <c r="B2235" s="31"/>
    </row>
    <row r="2236" spans="2:2" x14ac:dyDescent="0.2">
      <c r="B2236" s="31"/>
    </row>
    <row r="2237" spans="2:2" x14ac:dyDescent="0.2">
      <c r="B2237" s="31"/>
    </row>
    <row r="2238" spans="2:2" x14ac:dyDescent="0.2">
      <c r="B2238" s="31"/>
    </row>
    <row r="2239" spans="2:2" x14ac:dyDescent="0.2">
      <c r="B2239" s="31"/>
    </row>
    <row r="2240" spans="2:2" x14ac:dyDescent="0.2">
      <c r="B2240" s="31"/>
    </row>
    <row r="2241" spans="2:2" x14ac:dyDescent="0.2">
      <c r="B2241" s="31"/>
    </row>
    <row r="2242" spans="2:2" x14ac:dyDescent="0.2">
      <c r="B2242" s="31"/>
    </row>
    <row r="2243" spans="2:2" x14ac:dyDescent="0.2">
      <c r="B2243" s="31"/>
    </row>
    <row r="2244" spans="2:2" x14ac:dyDescent="0.2">
      <c r="B2244" s="31"/>
    </row>
    <row r="2245" spans="2:2" x14ac:dyDescent="0.2">
      <c r="B2245" s="31"/>
    </row>
    <row r="2246" spans="2:2" x14ac:dyDescent="0.2">
      <c r="B2246" s="31"/>
    </row>
    <row r="2247" spans="2:2" x14ac:dyDescent="0.2">
      <c r="B2247" s="31"/>
    </row>
    <row r="2248" spans="2:2" x14ac:dyDescent="0.2">
      <c r="B2248" s="31"/>
    </row>
    <row r="2249" spans="2:2" x14ac:dyDescent="0.2">
      <c r="B2249" s="31"/>
    </row>
    <row r="2250" spans="2:2" x14ac:dyDescent="0.2">
      <c r="B2250" s="31"/>
    </row>
    <row r="2251" spans="2:2" x14ac:dyDescent="0.2">
      <c r="B2251" s="31"/>
    </row>
    <row r="2252" spans="2:2" x14ac:dyDescent="0.2">
      <c r="B2252" s="31"/>
    </row>
    <row r="2253" spans="2:2" x14ac:dyDescent="0.2">
      <c r="B2253" s="31"/>
    </row>
    <row r="2254" spans="2:2" x14ac:dyDescent="0.2">
      <c r="B2254" s="31"/>
    </row>
    <row r="2255" spans="2:2" x14ac:dyDescent="0.2">
      <c r="B2255" s="31"/>
    </row>
    <row r="2256" spans="2:2" x14ac:dyDescent="0.2">
      <c r="B2256" s="31"/>
    </row>
    <row r="2257" spans="2:2" x14ac:dyDescent="0.2">
      <c r="B2257" s="31"/>
    </row>
    <row r="2258" spans="2:2" x14ac:dyDescent="0.2">
      <c r="B2258" s="31"/>
    </row>
    <row r="2259" spans="2:2" x14ac:dyDescent="0.2">
      <c r="B2259" s="31"/>
    </row>
    <row r="2260" spans="2:2" x14ac:dyDescent="0.2">
      <c r="B2260" s="31"/>
    </row>
    <row r="2261" spans="2:2" x14ac:dyDescent="0.2">
      <c r="B2261" s="31"/>
    </row>
    <row r="2262" spans="2:2" x14ac:dyDescent="0.2">
      <c r="B2262" s="31"/>
    </row>
    <row r="2263" spans="2:2" x14ac:dyDescent="0.2">
      <c r="B2263" s="31"/>
    </row>
    <row r="2264" spans="2:2" x14ac:dyDescent="0.2">
      <c r="B2264" s="31"/>
    </row>
    <row r="2265" spans="2:2" x14ac:dyDescent="0.2">
      <c r="B2265" s="31"/>
    </row>
    <row r="2266" spans="2:2" x14ac:dyDescent="0.2">
      <c r="B2266" s="31"/>
    </row>
    <row r="2267" spans="2:2" x14ac:dyDescent="0.2">
      <c r="B2267" s="31"/>
    </row>
    <row r="2268" spans="2:2" x14ac:dyDescent="0.2">
      <c r="B2268" s="31"/>
    </row>
    <row r="2269" spans="2:2" x14ac:dyDescent="0.2">
      <c r="B2269" s="31"/>
    </row>
    <row r="2270" spans="2:2" x14ac:dyDescent="0.2">
      <c r="B2270" s="31"/>
    </row>
    <row r="2271" spans="2:2" x14ac:dyDescent="0.2">
      <c r="B2271" s="3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183A-4EF4-9445-B171-F21784CD21B7}">
  <dimension ref="A1:C7"/>
  <sheetViews>
    <sheetView workbookViewId="0">
      <selection activeCell="C5" sqref="C5"/>
    </sheetView>
  </sheetViews>
  <sheetFormatPr baseColWidth="10" defaultRowHeight="16" x14ac:dyDescent="0.2"/>
  <cols>
    <col min="1" max="1" width="17.83203125" bestFit="1" customWidth="1"/>
    <col min="2" max="2" width="28.33203125" bestFit="1" customWidth="1"/>
    <col min="3" max="3" width="32.1640625" bestFit="1" customWidth="1"/>
  </cols>
  <sheetData>
    <row r="1" spans="1:3" x14ac:dyDescent="0.2">
      <c r="B1" s="29" t="s">
        <v>8284</v>
      </c>
    </row>
    <row r="2" spans="1:3" x14ac:dyDescent="0.2">
      <c r="A2" s="29" t="s">
        <v>8281</v>
      </c>
      <c r="B2" t="s">
        <v>8283</v>
      </c>
      <c r="C2" t="s">
        <v>8285</v>
      </c>
    </row>
    <row r="3" spans="1:3" x14ac:dyDescent="0.2">
      <c r="A3" s="30" t="s">
        <v>28</v>
      </c>
      <c r="B3" s="31">
        <v>532.35039370078744</v>
      </c>
      <c r="C3" s="31">
        <v>105822566</v>
      </c>
    </row>
    <row r="4" spans="1:3" x14ac:dyDescent="0.2">
      <c r="A4" s="30" t="s">
        <v>21</v>
      </c>
      <c r="B4" s="31">
        <v>652.70689655172418</v>
      </c>
      <c r="C4" s="31">
        <v>6458849</v>
      </c>
    </row>
    <row r="5" spans="1:3" x14ac:dyDescent="0.2">
      <c r="A5" s="30" t="s">
        <v>83</v>
      </c>
      <c r="B5" s="31">
        <v>5573.1641791044776</v>
      </c>
      <c r="C5" s="31">
        <v>825648393</v>
      </c>
    </row>
    <row r="6" spans="1:3" x14ac:dyDescent="0.2">
      <c r="A6" s="30" t="s">
        <v>77</v>
      </c>
      <c r="B6" s="31">
        <v>228.66666666666666</v>
      </c>
      <c r="C6" s="31">
        <v>112192</v>
      </c>
    </row>
    <row r="7" spans="1:3" x14ac:dyDescent="0.2">
      <c r="A7" s="30" t="s">
        <v>8282</v>
      </c>
      <c r="B7" s="31">
        <v>2618.8876156897313</v>
      </c>
      <c r="C7" s="31">
        <v>938042000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3EF25-48DA-FD41-887E-C7BBAEDE2211}">
  <sheetPr codeName="Sheet2"/>
  <dimension ref="A1:P2275"/>
  <sheetViews>
    <sheetView workbookViewId="0"/>
  </sheetViews>
  <sheetFormatPr baseColWidth="10" defaultRowHeight="16" x14ac:dyDescent="0.2"/>
  <cols>
    <col min="1" max="1" width="9" customWidth="1"/>
    <col min="2" max="2" width="13.1640625" bestFit="1" customWidth="1"/>
    <col min="3" max="3" width="12.6640625" bestFit="1" customWidth="1"/>
    <col min="4" max="4" width="13.83203125" bestFit="1" customWidth="1"/>
    <col min="5" max="5" width="13.5" bestFit="1" customWidth="1"/>
    <col min="6" max="6" width="17.1640625" bestFit="1" customWidth="1"/>
    <col min="7" max="7" width="15.33203125" bestFit="1" customWidth="1"/>
    <col min="8" max="8" width="27" customWidth="1"/>
    <col min="9" max="9" width="15.1640625" bestFit="1" customWidth="1"/>
    <col min="10" max="10" width="22.33203125" customWidth="1"/>
    <col min="11" max="11" width="15" bestFit="1" customWidth="1"/>
    <col min="12" max="12" width="15.83203125" bestFit="1" customWidth="1"/>
    <col min="13" max="13" width="15.33203125" bestFit="1" customWidth="1"/>
    <col min="14" max="14" width="15.83203125" bestFit="1" customWidth="1"/>
    <col min="15" max="16" width="15.1640625" bestFit="1" customWidth="1"/>
  </cols>
  <sheetData>
    <row r="1" spans="1:16" ht="183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8280</v>
      </c>
      <c r="I1" s="1" t="s">
        <v>8279</v>
      </c>
      <c r="J1" s="1" t="s">
        <v>8278</v>
      </c>
      <c r="K1" s="1" t="s">
        <v>8277</v>
      </c>
      <c r="L1" s="1" t="s">
        <v>8272</v>
      </c>
      <c r="M1" s="1" t="s">
        <v>8273</v>
      </c>
      <c r="N1" s="1" t="s">
        <v>8274</v>
      </c>
      <c r="O1" s="1" t="s">
        <v>8275</v>
      </c>
      <c r="P1" s="1" t="s">
        <v>8276</v>
      </c>
    </row>
    <row r="2" spans="1:16" ht="27" customHeight="1" x14ac:dyDescent="0.2">
      <c r="A2" t="s">
        <v>16</v>
      </c>
      <c r="B2" t="s">
        <v>17</v>
      </c>
      <c r="C2" t="s">
        <v>18</v>
      </c>
      <c r="D2" s="4" t="s">
        <v>19</v>
      </c>
      <c r="E2" s="4" t="s">
        <v>19</v>
      </c>
      <c r="F2" s="4" t="s">
        <v>20</v>
      </c>
      <c r="G2" s="4" t="s">
        <v>21</v>
      </c>
      <c r="H2" s="4" t="s">
        <v>22</v>
      </c>
      <c r="I2" s="4" t="s">
        <v>23</v>
      </c>
      <c r="J2" s="5">
        <v>0.99760000000000004</v>
      </c>
      <c r="K2" s="6">
        <v>4</v>
      </c>
      <c r="L2" s="7">
        <v>103</v>
      </c>
      <c r="M2" s="3">
        <v>94</v>
      </c>
      <c r="N2" s="8">
        <v>11382</v>
      </c>
      <c r="O2" s="8">
        <v>7371</v>
      </c>
      <c r="P2" s="8">
        <v>18753</v>
      </c>
    </row>
    <row r="3" spans="1:16" ht="27" customHeight="1" x14ac:dyDescent="0.2">
      <c r="A3" t="s">
        <v>16</v>
      </c>
      <c r="B3" t="s">
        <v>17</v>
      </c>
      <c r="C3" t="s">
        <v>24</v>
      </c>
      <c r="D3" s="11" t="s">
        <v>25</v>
      </c>
      <c r="E3" s="11" t="s">
        <v>26</v>
      </c>
      <c r="F3" s="11" t="s">
        <v>27</v>
      </c>
      <c r="G3" s="11" t="s">
        <v>28</v>
      </c>
      <c r="H3" s="11" t="s">
        <v>27</v>
      </c>
      <c r="I3" s="11" t="s">
        <v>29</v>
      </c>
      <c r="J3" s="12">
        <v>0.78680000000000005</v>
      </c>
      <c r="K3" s="13">
        <v>1</v>
      </c>
      <c r="L3" s="14">
        <v>272</v>
      </c>
      <c r="M3" s="10">
        <v>214</v>
      </c>
      <c r="N3" s="10">
        <v>30056</v>
      </c>
      <c r="O3" s="10">
        <v>16782</v>
      </c>
      <c r="P3" s="10">
        <v>46838</v>
      </c>
    </row>
    <row r="4" spans="1:16" ht="27" customHeight="1" x14ac:dyDescent="0.2">
      <c r="A4" t="s">
        <v>16</v>
      </c>
      <c r="B4" t="s">
        <v>17</v>
      </c>
      <c r="C4" t="s">
        <v>30</v>
      </c>
      <c r="D4" s="11" t="s">
        <v>31</v>
      </c>
      <c r="E4" s="11" t="s">
        <v>26</v>
      </c>
      <c r="F4" s="11" t="s">
        <v>32</v>
      </c>
      <c r="G4" s="11" t="s">
        <v>28</v>
      </c>
      <c r="H4" s="11" t="s">
        <v>32</v>
      </c>
      <c r="I4" s="11" t="s">
        <v>33</v>
      </c>
      <c r="J4" s="12">
        <v>0.75960000000000005</v>
      </c>
      <c r="K4" s="13">
        <v>1</v>
      </c>
      <c r="L4" s="14">
        <v>183</v>
      </c>
      <c r="M4" s="10">
        <v>139</v>
      </c>
      <c r="N4" s="10">
        <v>20222</v>
      </c>
      <c r="O4" s="10">
        <v>10900</v>
      </c>
      <c r="P4" s="10">
        <v>31122</v>
      </c>
    </row>
    <row r="5" spans="1:16" ht="27" customHeight="1" x14ac:dyDescent="0.2">
      <c r="A5" t="s">
        <v>16</v>
      </c>
      <c r="B5" t="s">
        <v>17</v>
      </c>
      <c r="C5" t="s">
        <v>34</v>
      </c>
      <c r="D5" s="11" t="s">
        <v>35</v>
      </c>
      <c r="E5" s="11" t="s">
        <v>26</v>
      </c>
      <c r="F5" s="11" t="s">
        <v>36</v>
      </c>
      <c r="G5" s="11" t="s">
        <v>28</v>
      </c>
      <c r="H5" s="11" t="s">
        <v>36</v>
      </c>
      <c r="I5" s="11" t="s">
        <v>37</v>
      </c>
      <c r="J5" s="12">
        <v>0.2676</v>
      </c>
      <c r="K5" s="13">
        <v>1</v>
      </c>
      <c r="L5" s="14">
        <v>766</v>
      </c>
      <c r="M5" s="10">
        <v>205</v>
      </c>
      <c r="N5" s="10">
        <v>84644</v>
      </c>
      <c r="O5" s="10">
        <v>16076</v>
      </c>
      <c r="P5" s="10">
        <v>100720</v>
      </c>
    </row>
    <row r="6" spans="1:16" ht="27" customHeight="1" x14ac:dyDescent="0.2">
      <c r="A6" t="s">
        <v>16</v>
      </c>
      <c r="B6" t="s">
        <v>17</v>
      </c>
      <c r="C6" t="s">
        <v>38</v>
      </c>
      <c r="D6" s="11" t="s">
        <v>39</v>
      </c>
      <c r="E6" s="11" t="s">
        <v>26</v>
      </c>
      <c r="F6" s="11" t="s">
        <v>40</v>
      </c>
      <c r="G6" s="11" t="s">
        <v>28</v>
      </c>
      <c r="H6" s="11" t="s">
        <v>40</v>
      </c>
      <c r="I6" s="11" t="s">
        <v>41</v>
      </c>
      <c r="J6" s="12">
        <v>0.26219999999999999</v>
      </c>
      <c r="K6" s="13">
        <v>1</v>
      </c>
      <c r="L6" s="14">
        <v>328</v>
      </c>
      <c r="M6" s="10">
        <v>86</v>
      </c>
      <c r="N6" s="10">
        <v>36245</v>
      </c>
      <c r="O6" s="10">
        <v>6744</v>
      </c>
      <c r="P6" s="10">
        <v>42989</v>
      </c>
    </row>
    <row r="7" spans="1:16" ht="27" customHeight="1" x14ac:dyDescent="0.2">
      <c r="A7" t="s">
        <v>16</v>
      </c>
      <c r="B7" t="s">
        <v>17</v>
      </c>
      <c r="C7" t="s">
        <v>42</v>
      </c>
      <c r="D7" s="11" t="s">
        <v>43</v>
      </c>
      <c r="E7" s="11" t="s">
        <v>26</v>
      </c>
      <c r="F7" s="11" t="s">
        <v>44</v>
      </c>
      <c r="G7" s="11" t="s">
        <v>28</v>
      </c>
      <c r="H7" s="11" t="s">
        <v>22</v>
      </c>
      <c r="I7" s="11" t="s">
        <v>23</v>
      </c>
      <c r="J7" s="12">
        <v>0.99760000000000004</v>
      </c>
      <c r="K7" s="13">
        <v>1</v>
      </c>
      <c r="L7" s="14">
        <v>0</v>
      </c>
      <c r="M7" s="10">
        <v>0</v>
      </c>
      <c r="N7" s="10">
        <v>0</v>
      </c>
      <c r="O7" s="10">
        <v>0</v>
      </c>
      <c r="P7" s="10">
        <v>0</v>
      </c>
    </row>
    <row r="8" spans="1:16" ht="27" customHeight="1" x14ac:dyDescent="0.2">
      <c r="A8" t="s">
        <v>16</v>
      </c>
      <c r="B8" t="s">
        <v>17</v>
      </c>
      <c r="C8" t="s">
        <v>45</v>
      </c>
      <c r="D8" s="11" t="s">
        <v>46</v>
      </c>
      <c r="E8" s="11" t="s">
        <v>26</v>
      </c>
      <c r="F8" s="11" t="s">
        <v>47</v>
      </c>
      <c r="G8" s="11" t="s">
        <v>28</v>
      </c>
      <c r="H8" s="11" t="s">
        <v>22</v>
      </c>
      <c r="I8" s="11" t="s">
        <v>23</v>
      </c>
      <c r="J8" s="12">
        <v>0.99760000000000004</v>
      </c>
      <c r="K8" s="13">
        <v>1</v>
      </c>
      <c r="L8" s="14">
        <v>143</v>
      </c>
      <c r="M8" s="10">
        <v>128</v>
      </c>
      <c r="N8" s="10">
        <v>15802</v>
      </c>
      <c r="O8" s="10">
        <v>10038</v>
      </c>
      <c r="P8" s="10">
        <v>25840</v>
      </c>
    </row>
    <row r="9" spans="1:16" ht="27" customHeight="1" x14ac:dyDescent="0.2">
      <c r="A9" t="s">
        <v>16</v>
      </c>
      <c r="B9" t="s">
        <v>17</v>
      </c>
      <c r="C9" t="s">
        <v>48</v>
      </c>
      <c r="D9" s="11" t="s">
        <v>49</v>
      </c>
      <c r="E9" s="11" t="s">
        <v>26</v>
      </c>
      <c r="F9" s="11" t="s">
        <v>50</v>
      </c>
      <c r="G9" s="11" t="s">
        <v>28</v>
      </c>
      <c r="H9" s="11" t="s">
        <v>22</v>
      </c>
      <c r="I9" s="11" t="s">
        <v>23</v>
      </c>
      <c r="J9" s="12">
        <v>0.99760000000000004</v>
      </c>
      <c r="K9" s="13">
        <v>1</v>
      </c>
      <c r="L9" s="14">
        <v>59</v>
      </c>
      <c r="M9" s="10">
        <v>26</v>
      </c>
      <c r="N9" s="10">
        <v>6520</v>
      </c>
      <c r="O9" s="10">
        <v>2039</v>
      </c>
      <c r="P9" s="10">
        <v>8559</v>
      </c>
    </row>
    <row r="10" spans="1:16" ht="27" customHeight="1" x14ac:dyDescent="0.2">
      <c r="A10" t="s">
        <v>16</v>
      </c>
      <c r="B10" t="s">
        <v>17</v>
      </c>
      <c r="C10" t="s">
        <v>51</v>
      </c>
      <c r="D10" s="11" t="s">
        <v>52</v>
      </c>
      <c r="E10" s="11" t="s">
        <v>26</v>
      </c>
      <c r="F10" s="11" t="s">
        <v>53</v>
      </c>
      <c r="G10" s="11" t="s">
        <v>28</v>
      </c>
      <c r="H10" s="11" t="s">
        <v>53</v>
      </c>
      <c r="I10" s="11" t="s">
        <v>54</v>
      </c>
      <c r="J10" s="12">
        <v>0.27129999999999999</v>
      </c>
      <c r="K10" s="13">
        <v>1</v>
      </c>
      <c r="L10" s="14">
        <v>494</v>
      </c>
      <c r="M10" s="10">
        <v>134</v>
      </c>
      <c r="N10" s="10">
        <v>54588</v>
      </c>
      <c r="O10" s="10">
        <v>10508</v>
      </c>
      <c r="P10" s="10">
        <v>65096</v>
      </c>
    </row>
    <row r="11" spans="1:16" ht="27" customHeight="1" x14ac:dyDescent="0.2">
      <c r="A11" t="s">
        <v>16</v>
      </c>
      <c r="B11" t="s">
        <v>17</v>
      </c>
      <c r="C11" t="s">
        <v>55</v>
      </c>
      <c r="D11" s="11" t="s">
        <v>56</v>
      </c>
      <c r="E11" s="11" t="s">
        <v>57</v>
      </c>
      <c r="F11" s="11" t="s">
        <v>58</v>
      </c>
      <c r="G11" s="11" t="s">
        <v>28</v>
      </c>
      <c r="H11" s="11" t="s">
        <v>22</v>
      </c>
      <c r="I11" s="11" t="s">
        <v>23</v>
      </c>
      <c r="J11" s="12">
        <v>0.99760000000000004</v>
      </c>
      <c r="K11" s="13">
        <v>1</v>
      </c>
      <c r="L11" s="14">
        <v>166</v>
      </c>
      <c r="M11" s="10">
        <v>92</v>
      </c>
      <c r="N11" s="10">
        <v>18343</v>
      </c>
      <c r="O11" s="10">
        <v>7215</v>
      </c>
      <c r="P11" s="10">
        <v>25558</v>
      </c>
    </row>
    <row r="12" spans="1:16" ht="27" customHeight="1" x14ac:dyDescent="0.2">
      <c r="A12" t="s">
        <v>16</v>
      </c>
      <c r="B12" t="s">
        <v>17</v>
      </c>
      <c r="C12" t="s">
        <v>59</v>
      </c>
      <c r="D12" s="11" t="s">
        <v>60</v>
      </c>
      <c r="E12" s="11" t="s">
        <v>26</v>
      </c>
      <c r="F12" s="11" t="s">
        <v>61</v>
      </c>
      <c r="G12" s="11" t="s">
        <v>28</v>
      </c>
      <c r="H12" s="11" t="s">
        <v>22</v>
      </c>
      <c r="I12" s="11" t="s">
        <v>23</v>
      </c>
      <c r="J12" s="12">
        <v>0.99760000000000004</v>
      </c>
      <c r="K12" s="13">
        <v>1</v>
      </c>
      <c r="L12" s="14">
        <v>146</v>
      </c>
      <c r="M12" s="10">
        <v>125</v>
      </c>
      <c r="N12" s="10">
        <v>16133</v>
      </c>
      <c r="O12" s="10">
        <v>9802</v>
      </c>
      <c r="P12" s="10">
        <v>25935</v>
      </c>
    </row>
    <row r="13" spans="1:16" ht="27" customHeight="1" x14ac:dyDescent="0.2">
      <c r="A13" t="s">
        <v>16</v>
      </c>
      <c r="B13" t="s">
        <v>17</v>
      </c>
      <c r="C13" t="s">
        <v>62</v>
      </c>
      <c r="D13" s="11" t="s">
        <v>63</v>
      </c>
      <c r="E13" s="11" t="s">
        <v>26</v>
      </c>
      <c r="F13" s="11" t="s">
        <v>64</v>
      </c>
      <c r="G13" s="11" t="s">
        <v>28</v>
      </c>
      <c r="H13" s="11" t="s">
        <v>64</v>
      </c>
      <c r="I13" s="11" t="s">
        <v>65</v>
      </c>
      <c r="J13" s="12">
        <v>0.42</v>
      </c>
      <c r="K13" s="13">
        <v>1</v>
      </c>
      <c r="L13" s="14">
        <v>150</v>
      </c>
      <c r="M13" s="10">
        <v>63</v>
      </c>
      <c r="N13" s="10">
        <v>16575</v>
      </c>
      <c r="O13" s="10">
        <v>4940</v>
      </c>
      <c r="P13" s="10">
        <v>21515</v>
      </c>
    </row>
    <row r="14" spans="1:16" ht="27" customHeight="1" x14ac:dyDescent="0.2">
      <c r="A14" t="s">
        <v>16</v>
      </c>
      <c r="B14" t="s">
        <v>17</v>
      </c>
      <c r="C14" t="s">
        <v>66</v>
      </c>
      <c r="D14" s="11" t="s">
        <v>67</v>
      </c>
      <c r="E14" s="11" t="s">
        <v>26</v>
      </c>
      <c r="F14" s="11" t="s">
        <v>68</v>
      </c>
      <c r="G14" s="11" t="s">
        <v>28</v>
      </c>
      <c r="H14" s="11" t="s">
        <v>68</v>
      </c>
      <c r="I14" s="11" t="s">
        <v>69</v>
      </c>
      <c r="J14" s="12">
        <v>0.91100000000000003</v>
      </c>
      <c r="K14" s="13">
        <v>1</v>
      </c>
      <c r="L14" s="14">
        <v>483</v>
      </c>
      <c r="M14" s="10">
        <v>440</v>
      </c>
      <c r="N14" s="10">
        <v>53372</v>
      </c>
      <c r="O14" s="10">
        <v>34504</v>
      </c>
      <c r="P14" s="10">
        <v>87876</v>
      </c>
    </row>
    <row r="15" spans="1:16" ht="27" customHeight="1" x14ac:dyDescent="0.2">
      <c r="A15" t="s">
        <v>16</v>
      </c>
      <c r="B15" t="s">
        <v>17</v>
      </c>
      <c r="C15" t="s">
        <v>70</v>
      </c>
      <c r="D15" s="11" t="s">
        <v>71</v>
      </c>
      <c r="E15" s="11" t="s">
        <v>26</v>
      </c>
      <c r="F15" s="11" t="s">
        <v>72</v>
      </c>
      <c r="G15" s="11" t="s">
        <v>28</v>
      </c>
      <c r="H15" s="11" t="s">
        <v>72</v>
      </c>
      <c r="I15" s="11" t="s">
        <v>73</v>
      </c>
      <c r="J15" s="12">
        <v>0.86609999999999998</v>
      </c>
      <c r="K15" s="13">
        <v>1</v>
      </c>
      <c r="L15" s="14">
        <v>463</v>
      </c>
      <c r="M15" s="10">
        <v>401</v>
      </c>
      <c r="N15" s="10">
        <v>51162</v>
      </c>
      <c r="O15" s="10">
        <v>31446</v>
      </c>
      <c r="P15" s="10">
        <v>82608</v>
      </c>
    </row>
    <row r="16" spans="1:16" ht="27" customHeight="1" x14ac:dyDescent="0.2">
      <c r="A16" t="s">
        <v>16</v>
      </c>
      <c r="B16" t="s">
        <v>74</v>
      </c>
      <c r="C16" t="s">
        <v>75</v>
      </c>
      <c r="D16" s="11" t="s">
        <v>19</v>
      </c>
      <c r="E16" s="11" t="s">
        <v>19</v>
      </c>
      <c r="F16" s="11" t="s">
        <v>76</v>
      </c>
      <c r="G16" s="11" t="s">
        <v>77</v>
      </c>
      <c r="H16" s="11" t="s">
        <v>22</v>
      </c>
      <c r="I16" s="11" t="s">
        <v>23</v>
      </c>
      <c r="J16" s="12">
        <v>0.99760000000000004</v>
      </c>
      <c r="K16" s="13">
        <v>1</v>
      </c>
      <c r="L16" s="14">
        <v>55</v>
      </c>
      <c r="M16" s="10">
        <v>16</v>
      </c>
      <c r="N16" s="10">
        <v>6078</v>
      </c>
      <c r="O16" s="10">
        <v>1255</v>
      </c>
      <c r="P16" s="10">
        <v>7333</v>
      </c>
    </row>
    <row r="17" spans="1:16" ht="27" customHeight="1" x14ac:dyDescent="0.2">
      <c r="A17" t="s">
        <v>16</v>
      </c>
      <c r="B17" t="s">
        <v>78</v>
      </c>
      <c r="C17" t="s">
        <v>79</v>
      </c>
      <c r="D17" s="11" t="s">
        <v>19</v>
      </c>
      <c r="E17" s="11" t="s">
        <v>19</v>
      </c>
      <c r="F17" s="11" t="s">
        <v>80</v>
      </c>
      <c r="G17" s="11" t="s">
        <v>77</v>
      </c>
      <c r="H17" s="11" t="s">
        <v>22</v>
      </c>
      <c r="I17" s="11" t="s">
        <v>23</v>
      </c>
      <c r="J17" s="12">
        <v>0.99760000000000004</v>
      </c>
      <c r="K17" s="13">
        <v>1</v>
      </c>
      <c r="L17" s="14">
        <v>312</v>
      </c>
      <c r="M17" s="10">
        <v>310</v>
      </c>
      <c r="N17" s="10">
        <v>34477</v>
      </c>
      <c r="O17" s="10">
        <v>24310</v>
      </c>
      <c r="P17" s="10">
        <v>58787</v>
      </c>
    </row>
    <row r="18" spans="1:16" ht="27" customHeight="1" x14ac:dyDescent="0.2">
      <c r="A18" t="s">
        <v>16</v>
      </c>
      <c r="B18" t="s">
        <v>81</v>
      </c>
      <c r="C18" t="s">
        <v>18</v>
      </c>
      <c r="D18" s="11" t="s">
        <v>19</v>
      </c>
      <c r="E18" s="11" t="s">
        <v>19</v>
      </c>
      <c r="F18" s="11" t="s">
        <v>82</v>
      </c>
      <c r="G18" s="11" t="s">
        <v>83</v>
      </c>
      <c r="H18" s="11" t="s">
        <v>84</v>
      </c>
      <c r="I18" s="11" t="s">
        <v>85</v>
      </c>
      <c r="J18" s="12">
        <v>0.63759999999999994</v>
      </c>
      <c r="K18" s="13">
        <v>17</v>
      </c>
      <c r="L18" s="14">
        <v>8938</v>
      </c>
      <c r="M18" s="10">
        <v>3144</v>
      </c>
      <c r="N18" s="10">
        <v>987663</v>
      </c>
      <c r="O18" s="10">
        <v>246550</v>
      </c>
      <c r="P18" s="10">
        <v>1234213</v>
      </c>
    </row>
    <row r="19" spans="1:16" ht="27" customHeight="1" x14ac:dyDescent="0.2">
      <c r="A19" s="9" t="s">
        <v>16</v>
      </c>
      <c r="B19" s="10" t="s">
        <v>81</v>
      </c>
      <c r="C19" s="11" t="s">
        <v>86</v>
      </c>
      <c r="D19" s="11" t="s">
        <v>87</v>
      </c>
      <c r="E19" s="11" t="s">
        <v>26</v>
      </c>
      <c r="F19" s="11" t="s">
        <v>88</v>
      </c>
      <c r="G19" s="11" t="s">
        <v>28</v>
      </c>
      <c r="H19" s="11" t="s">
        <v>88</v>
      </c>
      <c r="I19" s="11" t="s">
        <v>89</v>
      </c>
      <c r="J19" s="12">
        <v>0.40460000000000002</v>
      </c>
      <c r="K19" s="13">
        <v>1</v>
      </c>
      <c r="L19" s="14">
        <v>524</v>
      </c>
      <c r="M19" s="10">
        <v>212</v>
      </c>
      <c r="N19" s="10">
        <v>57903</v>
      </c>
      <c r="O19" s="10">
        <v>16625</v>
      </c>
      <c r="P19" s="10">
        <v>74528</v>
      </c>
    </row>
    <row r="20" spans="1:16" ht="27" customHeight="1" x14ac:dyDescent="0.2">
      <c r="A20" s="9" t="s">
        <v>16</v>
      </c>
      <c r="B20" s="10" t="s">
        <v>81</v>
      </c>
      <c r="C20" s="11" t="s">
        <v>90</v>
      </c>
      <c r="D20" s="11" t="s">
        <v>91</v>
      </c>
      <c r="E20" s="11" t="s">
        <v>26</v>
      </c>
      <c r="F20" s="11" t="s">
        <v>92</v>
      </c>
      <c r="G20" s="11" t="s">
        <v>28</v>
      </c>
      <c r="H20" s="11" t="s">
        <v>92</v>
      </c>
      <c r="I20" s="11" t="s">
        <v>93</v>
      </c>
      <c r="J20" s="12">
        <v>0.50580000000000003</v>
      </c>
      <c r="K20" s="13">
        <v>1</v>
      </c>
      <c r="L20" s="14">
        <v>607</v>
      </c>
      <c r="M20" s="10">
        <v>307</v>
      </c>
      <c r="N20" s="10">
        <v>67075</v>
      </c>
      <c r="O20" s="10">
        <v>24075</v>
      </c>
      <c r="P20" s="10">
        <v>91150</v>
      </c>
    </row>
    <row r="21" spans="1:16" ht="27" customHeight="1" x14ac:dyDescent="0.2">
      <c r="A21" s="9" t="s">
        <v>16</v>
      </c>
      <c r="B21" s="10" t="s">
        <v>81</v>
      </c>
      <c r="C21" s="11" t="s">
        <v>94</v>
      </c>
      <c r="D21" s="11" t="s">
        <v>95</v>
      </c>
      <c r="E21" s="11" t="s">
        <v>26</v>
      </c>
      <c r="F21" s="11" t="s">
        <v>96</v>
      </c>
      <c r="G21" s="11" t="s">
        <v>28</v>
      </c>
      <c r="H21" s="11" t="s">
        <v>96</v>
      </c>
      <c r="I21" s="11" t="s">
        <v>97</v>
      </c>
      <c r="J21" s="12">
        <v>0.3392</v>
      </c>
      <c r="K21" s="13">
        <v>1</v>
      </c>
      <c r="L21" s="14">
        <v>398</v>
      </c>
      <c r="M21" s="10">
        <v>135</v>
      </c>
      <c r="N21" s="10">
        <v>43980</v>
      </c>
      <c r="O21" s="10">
        <v>10587</v>
      </c>
      <c r="P21" s="10">
        <v>54567</v>
      </c>
    </row>
    <row r="22" spans="1:16" ht="27" customHeight="1" x14ac:dyDescent="0.2">
      <c r="A22" s="9" t="s">
        <v>16</v>
      </c>
      <c r="B22" s="10" t="s">
        <v>98</v>
      </c>
      <c r="C22" s="11" t="s">
        <v>18</v>
      </c>
      <c r="D22" s="11" t="s">
        <v>19</v>
      </c>
      <c r="E22" s="11" t="s">
        <v>19</v>
      </c>
      <c r="F22" s="11" t="s">
        <v>99</v>
      </c>
      <c r="G22" s="11" t="s">
        <v>83</v>
      </c>
      <c r="H22" s="11" t="s">
        <v>100</v>
      </c>
      <c r="I22" s="11" t="s">
        <v>101</v>
      </c>
      <c r="J22" s="12">
        <v>0.36890000000000001</v>
      </c>
      <c r="K22" s="13">
        <v>7</v>
      </c>
      <c r="L22" s="14">
        <v>3566</v>
      </c>
      <c r="M22" s="10">
        <v>1006</v>
      </c>
      <c r="N22" s="10">
        <v>394048</v>
      </c>
      <c r="O22" s="10">
        <v>78888</v>
      </c>
      <c r="P22" s="10">
        <v>472936</v>
      </c>
    </row>
    <row r="23" spans="1:16" ht="27" customHeight="1" x14ac:dyDescent="0.2">
      <c r="A23" s="9" t="s">
        <v>16</v>
      </c>
      <c r="B23" s="10" t="s">
        <v>102</v>
      </c>
      <c r="C23" s="11" t="s">
        <v>18</v>
      </c>
      <c r="D23" s="11" t="s">
        <v>19</v>
      </c>
      <c r="E23" s="11" t="s">
        <v>19</v>
      </c>
      <c r="F23" s="11" t="s">
        <v>103</v>
      </c>
      <c r="G23" s="11" t="s">
        <v>83</v>
      </c>
      <c r="H23" s="11" t="s">
        <v>104</v>
      </c>
      <c r="I23" s="11" t="s">
        <v>105</v>
      </c>
      <c r="J23" s="12">
        <v>0.30420000000000003</v>
      </c>
      <c r="K23" s="13">
        <v>19</v>
      </c>
      <c r="L23" s="14">
        <v>9287</v>
      </c>
      <c r="M23" s="10">
        <v>2333</v>
      </c>
      <c r="N23" s="10">
        <v>1026229</v>
      </c>
      <c r="O23" s="10">
        <v>182952</v>
      </c>
      <c r="P23" s="10">
        <v>1209181</v>
      </c>
    </row>
    <row r="24" spans="1:16" ht="27" customHeight="1" x14ac:dyDescent="0.2">
      <c r="A24" s="9" t="s">
        <v>16</v>
      </c>
      <c r="B24" s="10" t="s">
        <v>106</v>
      </c>
      <c r="C24" s="11" t="s">
        <v>18</v>
      </c>
      <c r="D24" s="11" t="s">
        <v>19</v>
      </c>
      <c r="E24" s="11" t="s">
        <v>19</v>
      </c>
      <c r="F24" s="11" t="s">
        <v>107</v>
      </c>
      <c r="G24" s="11" t="s">
        <v>83</v>
      </c>
      <c r="H24" s="11" t="s">
        <v>108</v>
      </c>
      <c r="I24" s="11" t="s">
        <v>109</v>
      </c>
      <c r="J24" s="12">
        <v>0.50749999999999995</v>
      </c>
      <c r="K24" s="13">
        <v>17</v>
      </c>
      <c r="L24" s="14">
        <v>9291</v>
      </c>
      <c r="M24" s="10">
        <v>3276</v>
      </c>
      <c r="N24" s="10">
        <v>1026671</v>
      </c>
      <c r="O24" s="10">
        <v>256898</v>
      </c>
      <c r="P24" s="10">
        <v>1283569</v>
      </c>
    </row>
    <row r="25" spans="1:16" ht="27" customHeight="1" x14ac:dyDescent="0.2">
      <c r="A25" s="9" t="s">
        <v>16</v>
      </c>
      <c r="B25" s="10" t="s">
        <v>110</v>
      </c>
      <c r="C25" s="11" t="s">
        <v>18</v>
      </c>
      <c r="D25" s="11" t="s">
        <v>19</v>
      </c>
      <c r="E25" s="11" t="s">
        <v>19</v>
      </c>
      <c r="F25" s="11" t="s">
        <v>111</v>
      </c>
      <c r="G25" s="11" t="s">
        <v>83</v>
      </c>
      <c r="H25" s="11" t="s">
        <v>112</v>
      </c>
      <c r="I25" s="11" t="s">
        <v>113</v>
      </c>
      <c r="J25" s="12">
        <v>0.61729999999999996</v>
      </c>
      <c r="K25" s="13">
        <v>4</v>
      </c>
      <c r="L25" s="14">
        <v>644</v>
      </c>
      <c r="M25" s="10">
        <v>397</v>
      </c>
      <c r="N25" s="10">
        <v>71163</v>
      </c>
      <c r="O25" s="10">
        <v>31133</v>
      </c>
      <c r="P25" s="10">
        <v>102296</v>
      </c>
    </row>
    <row r="26" spans="1:16" ht="27" customHeight="1" x14ac:dyDescent="0.2">
      <c r="A26" s="9" t="s">
        <v>16</v>
      </c>
      <c r="B26" s="10" t="s">
        <v>114</v>
      </c>
      <c r="C26" s="11" t="s">
        <v>18</v>
      </c>
      <c r="D26" s="11" t="s">
        <v>19</v>
      </c>
      <c r="E26" s="11" t="s">
        <v>19</v>
      </c>
      <c r="F26" s="11" t="s">
        <v>115</v>
      </c>
      <c r="G26" s="11" t="s">
        <v>83</v>
      </c>
      <c r="H26" s="11" t="s">
        <v>116</v>
      </c>
      <c r="I26" s="11" t="s">
        <v>117</v>
      </c>
      <c r="J26" s="12">
        <v>0.62919999999999998</v>
      </c>
      <c r="K26" s="13">
        <v>44</v>
      </c>
      <c r="L26" s="14">
        <v>33002</v>
      </c>
      <c r="M26" s="10">
        <v>7332</v>
      </c>
      <c r="N26" s="10">
        <v>3646777</v>
      </c>
      <c r="O26" s="10">
        <v>574966</v>
      </c>
      <c r="P26" s="10">
        <v>4221743</v>
      </c>
    </row>
    <row r="27" spans="1:16" ht="27" customHeight="1" x14ac:dyDescent="0.2">
      <c r="A27" s="9" t="s">
        <v>16</v>
      </c>
      <c r="B27" s="10" t="s">
        <v>114</v>
      </c>
      <c r="C27" s="11" t="s">
        <v>118</v>
      </c>
      <c r="D27" s="11" t="s">
        <v>119</v>
      </c>
      <c r="E27" s="11" t="s">
        <v>57</v>
      </c>
      <c r="F27" s="11" t="s">
        <v>120</v>
      </c>
      <c r="G27" s="11" t="s">
        <v>28</v>
      </c>
      <c r="H27" s="11" t="s">
        <v>120</v>
      </c>
      <c r="I27" s="11" t="s">
        <v>121</v>
      </c>
      <c r="J27" s="12">
        <v>0.3392</v>
      </c>
      <c r="K27" s="13">
        <v>1</v>
      </c>
      <c r="L27" s="14">
        <v>401</v>
      </c>
      <c r="M27" s="10">
        <v>136</v>
      </c>
      <c r="N27" s="10">
        <v>44311</v>
      </c>
      <c r="O27" s="10">
        <v>10665</v>
      </c>
      <c r="P27" s="10">
        <v>54976</v>
      </c>
    </row>
    <row r="28" spans="1:16" ht="27" customHeight="1" x14ac:dyDescent="0.2">
      <c r="A28" s="9" t="s">
        <v>16</v>
      </c>
      <c r="B28" s="10" t="s">
        <v>122</v>
      </c>
      <c r="C28" s="11" t="s">
        <v>18</v>
      </c>
      <c r="D28" s="11" t="s">
        <v>19</v>
      </c>
      <c r="E28" s="11" t="s">
        <v>19</v>
      </c>
      <c r="F28" s="11" t="s">
        <v>123</v>
      </c>
      <c r="G28" s="11" t="s">
        <v>83</v>
      </c>
      <c r="H28" s="11" t="s">
        <v>124</v>
      </c>
      <c r="I28" s="11" t="s">
        <v>125</v>
      </c>
      <c r="J28" s="12">
        <v>0.80359999999999998</v>
      </c>
      <c r="K28" s="13">
        <v>30</v>
      </c>
      <c r="L28" s="14">
        <v>18519</v>
      </c>
      <c r="M28" s="10">
        <v>13061</v>
      </c>
      <c r="N28" s="10">
        <v>2046382</v>
      </c>
      <c r="O28" s="10">
        <v>1024231</v>
      </c>
      <c r="P28" s="10">
        <v>3070613</v>
      </c>
    </row>
    <row r="29" spans="1:16" ht="27" customHeight="1" x14ac:dyDescent="0.2">
      <c r="A29" s="9" t="s">
        <v>16</v>
      </c>
      <c r="B29" s="10" t="s">
        <v>122</v>
      </c>
      <c r="C29" s="11" t="s">
        <v>126</v>
      </c>
      <c r="D29" s="11" t="s">
        <v>127</v>
      </c>
      <c r="E29" s="11" t="s">
        <v>26</v>
      </c>
      <c r="F29" s="11" t="s">
        <v>128</v>
      </c>
      <c r="G29" s="11" t="s">
        <v>28</v>
      </c>
      <c r="H29" s="11" t="s">
        <v>22</v>
      </c>
      <c r="I29" s="11" t="s">
        <v>23</v>
      </c>
      <c r="J29" s="12">
        <v>0.99760000000000004</v>
      </c>
      <c r="K29" s="13">
        <v>1</v>
      </c>
      <c r="L29" s="14">
        <v>582</v>
      </c>
      <c r="M29" s="10">
        <v>270</v>
      </c>
      <c r="N29" s="10">
        <v>64312</v>
      </c>
      <c r="O29" s="10">
        <v>21173</v>
      </c>
      <c r="P29" s="10">
        <v>85485</v>
      </c>
    </row>
    <row r="30" spans="1:16" ht="27" customHeight="1" x14ac:dyDescent="0.2">
      <c r="A30" s="9" t="s">
        <v>16</v>
      </c>
      <c r="B30" s="10" t="s">
        <v>122</v>
      </c>
      <c r="C30" s="11" t="s">
        <v>129</v>
      </c>
      <c r="D30" s="11" t="s">
        <v>130</v>
      </c>
      <c r="E30" s="11" t="s">
        <v>26</v>
      </c>
      <c r="F30" s="11" t="s">
        <v>131</v>
      </c>
      <c r="G30" s="11" t="s">
        <v>28</v>
      </c>
      <c r="H30" s="11" t="s">
        <v>131</v>
      </c>
      <c r="I30" s="11" t="s">
        <v>132</v>
      </c>
      <c r="J30" s="12">
        <v>0.68730000000000002</v>
      </c>
      <c r="K30" s="13">
        <v>1</v>
      </c>
      <c r="L30" s="14">
        <v>614</v>
      </c>
      <c r="M30" s="10">
        <v>422</v>
      </c>
      <c r="N30" s="10">
        <v>67848</v>
      </c>
      <c r="O30" s="10">
        <v>33093</v>
      </c>
      <c r="P30" s="10">
        <v>100941</v>
      </c>
    </row>
    <row r="31" spans="1:16" ht="27" customHeight="1" x14ac:dyDescent="0.2">
      <c r="A31" s="9" t="s">
        <v>16</v>
      </c>
      <c r="B31" s="10" t="s">
        <v>122</v>
      </c>
      <c r="C31" s="11" t="s">
        <v>133</v>
      </c>
      <c r="D31" s="11" t="s">
        <v>134</v>
      </c>
      <c r="E31" s="11" t="s">
        <v>26</v>
      </c>
      <c r="F31" s="11" t="s">
        <v>135</v>
      </c>
      <c r="G31" s="11" t="s">
        <v>28</v>
      </c>
      <c r="H31" s="11" t="s">
        <v>135</v>
      </c>
      <c r="I31" s="11" t="s">
        <v>136</v>
      </c>
      <c r="J31" s="12">
        <v>0.26040000000000002</v>
      </c>
      <c r="K31" s="13">
        <v>1</v>
      </c>
      <c r="L31" s="14">
        <v>553</v>
      </c>
      <c r="M31" s="10">
        <v>144</v>
      </c>
      <c r="N31" s="10">
        <v>61107</v>
      </c>
      <c r="O31" s="10">
        <v>11292</v>
      </c>
      <c r="P31" s="10">
        <v>72399</v>
      </c>
    </row>
    <row r="32" spans="1:16" ht="27" customHeight="1" x14ac:dyDescent="0.2">
      <c r="A32" s="9" t="s">
        <v>16</v>
      </c>
      <c r="B32" s="10" t="s">
        <v>122</v>
      </c>
      <c r="C32" s="11" t="s">
        <v>137</v>
      </c>
      <c r="D32" s="11" t="s">
        <v>138</v>
      </c>
      <c r="E32" s="11" t="s">
        <v>26</v>
      </c>
      <c r="F32" s="11" t="s">
        <v>139</v>
      </c>
      <c r="G32" s="11" t="s">
        <v>28</v>
      </c>
      <c r="H32" s="11" t="s">
        <v>139</v>
      </c>
      <c r="I32" s="11" t="s">
        <v>140</v>
      </c>
      <c r="J32" s="12">
        <v>0.61809999999999998</v>
      </c>
      <c r="K32" s="13">
        <v>1</v>
      </c>
      <c r="L32" s="14">
        <v>775</v>
      </c>
      <c r="M32" s="10">
        <v>479</v>
      </c>
      <c r="N32" s="10">
        <v>85639</v>
      </c>
      <c r="O32" s="10">
        <v>37563</v>
      </c>
      <c r="P32" s="10">
        <v>123202</v>
      </c>
    </row>
    <row r="33" spans="1:16" ht="27" customHeight="1" x14ac:dyDescent="0.2">
      <c r="A33" s="9" t="s">
        <v>16</v>
      </c>
      <c r="B33" s="10" t="s">
        <v>141</v>
      </c>
      <c r="C33" s="11" t="s">
        <v>18</v>
      </c>
      <c r="D33" s="11" t="s">
        <v>19</v>
      </c>
      <c r="E33" s="11" t="s">
        <v>19</v>
      </c>
      <c r="F33" s="11" t="s">
        <v>142</v>
      </c>
      <c r="G33" s="11" t="s">
        <v>83</v>
      </c>
      <c r="H33" s="11" t="s">
        <v>143</v>
      </c>
      <c r="I33" s="11" t="s">
        <v>144</v>
      </c>
      <c r="J33" s="12">
        <v>0.62570000000000003</v>
      </c>
      <c r="K33" s="13">
        <v>19</v>
      </c>
      <c r="L33" s="14">
        <v>13095</v>
      </c>
      <c r="M33" s="10">
        <v>3880</v>
      </c>
      <c r="N33" s="10">
        <v>1447018</v>
      </c>
      <c r="O33" s="10">
        <v>304265</v>
      </c>
      <c r="P33" s="10">
        <v>1751283</v>
      </c>
    </row>
    <row r="34" spans="1:16" ht="27" customHeight="1" x14ac:dyDescent="0.2">
      <c r="A34" s="9" t="s">
        <v>16</v>
      </c>
      <c r="B34" s="10" t="s">
        <v>145</v>
      </c>
      <c r="C34" s="11" t="s">
        <v>18</v>
      </c>
      <c r="D34" s="11" t="s">
        <v>19</v>
      </c>
      <c r="E34" s="11" t="s">
        <v>19</v>
      </c>
      <c r="F34" s="11" t="s">
        <v>146</v>
      </c>
      <c r="G34" s="11" t="s">
        <v>83</v>
      </c>
      <c r="H34" s="11" t="s">
        <v>146</v>
      </c>
      <c r="I34" s="11" t="s">
        <v>147</v>
      </c>
      <c r="J34" s="12">
        <v>0.57140000000000002</v>
      </c>
      <c r="K34" s="13">
        <v>2</v>
      </c>
      <c r="L34" s="14">
        <v>21</v>
      </c>
      <c r="M34" s="10">
        <v>12</v>
      </c>
      <c r="N34" s="10">
        <v>2321</v>
      </c>
      <c r="O34" s="10">
        <v>941</v>
      </c>
      <c r="P34" s="10">
        <v>3262</v>
      </c>
    </row>
    <row r="35" spans="1:16" ht="27" customHeight="1" x14ac:dyDescent="0.2">
      <c r="A35" s="9" t="s">
        <v>16</v>
      </c>
      <c r="B35" s="10" t="s">
        <v>148</v>
      </c>
      <c r="C35" s="11" t="s">
        <v>18</v>
      </c>
      <c r="D35" s="11" t="s">
        <v>19</v>
      </c>
      <c r="E35" s="11" t="s">
        <v>19</v>
      </c>
      <c r="F35" s="11" t="s">
        <v>149</v>
      </c>
      <c r="G35" s="11" t="s">
        <v>83</v>
      </c>
      <c r="H35" s="11" t="s">
        <v>150</v>
      </c>
      <c r="I35" s="11" t="s">
        <v>151</v>
      </c>
      <c r="J35" s="12">
        <v>0.59499999999999997</v>
      </c>
      <c r="K35" s="13">
        <v>11</v>
      </c>
      <c r="L35" s="14">
        <v>4952</v>
      </c>
      <c r="M35" s="10">
        <v>2026</v>
      </c>
      <c r="N35" s="10">
        <v>547204</v>
      </c>
      <c r="O35" s="10">
        <v>158877</v>
      </c>
      <c r="P35" s="10">
        <v>706081</v>
      </c>
    </row>
    <row r="36" spans="1:16" ht="27" customHeight="1" x14ac:dyDescent="0.2">
      <c r="A36" s="9" t="s">
        <v>16</v>
      </c>
      <c r="B36" s="10" t="s">
        <v>152</v>
      </c>
      <c r="C36" s="11" t="s">
        <v>18</v>
      </c>
      <c r="D36" s="11" t="s">
        <v>19</v>
      </c>
      <c r="E36" s="11" t="s">
        <v>19</v>
      </c>
      <c r="F36" s="11" t="s">
        <v>153</v>
      </c>
      <c r="G36" s="11" t="s">
        <v>83</v>
      </c>
      <c r="H36" s="11" t="s">
        <v>154</v>
      </c>
      <c r="I36" s="11" t="s">
        <v>155</v>
      </c>
      <c r="J36" s="12">
        <v>0.50690000000000002</v>
      </c>
      <c r="K36" s="13">
        <v>14</v>
      </c>
      <c r="L36" s="14">
        <v>10505</v>
      </c>
      <c r="M36" s="10">
        <v>4183</v>
      </c>
      <c r="N36" s="10">
        <v>1160822</v>
      </c>
      <c r="O36" s="10">
        <v>328026</v>
      </c>
      <c r="P36" s="10">
        <v>1488848</v>
      </c>
    </row>
    <row r="37" spans="1:16" ht="27" customHeight="1" x14ac:dyDescent="0.2">
      <c r="A37" s="9" t="s">
        <v>16</v>
      </c>
      <c r="B37" s="10" t="s">
        <v>156</v>
      </c>
      <c r="C37" s="11" t="s">
        <v>18</v>
      </c>
      <c r="D37" s="11" t="s">
        <v>19</v>
      </c>
      <c r="E37" s="11" t="s">
        <v>19</v>
      </c>
      <c r="F37" s="11" t="s">
        <v>157</v>
      </c>
      <c r="G37" s="11" t="s">
        <v>83</v>
      </c>
      <c r="H37" s="11" t="s">
        <v>22</v>
      </c>
      <c r="I37" s="11" t="s">
        <v>23</v>
      </c>
      <c r="J37" s="12">
        <v>0.99760000000000004</v>
      </c>
      <c r="K37" s="13">
        <v>83</v>
      </c>
      <c r="L37" s="14">
        <v>35300</v>
      </c>
      <c r="M37" s="10">
        <v>27518</v>
      </c>
      <c r="N37" s="10">
        <v>3900711</v>
      </c>
      <c r="O37" s="10">
        <v>2157931</v>
      </c>
      <c r="P37" s="10">
        <v>6058642</v>
      </c>
    </row>
    <row r="38" spans="1:16" ht="27" customHeight="1" x14ac:dyDescent="0.2">
      <c r="A38" s="9" t="s">
        <v>16</v>
      </c>
      <c r="B38" s="10" t="s">
        <v>156</v>
      </c>
      <c r="C38" s="11" t="s">
        <v>158</v>
      </c>
      <c r="D38" s="11" t="s">
        <v>159</v>
      </c>
      <c r="E38" s="11" t="s">
        <v>26</v>
      </c>
      <c r="F38" s="11" t="s">
        <v>160</v>
      </c>
      <c r="G38" s="11" t="s">
        <v>28</v>
      </c>
      <c r="H38" s="11" t="s">
        <v>22</v>
      </c>
      <c r="I38" s="11" t="s">
        <v>23</v>
      </c>
      <c r="J38" s="12">
        <v>0.99760000000000004</v>
      </c>
      <c r="K38" s="13">
        <v>1</v>
      </c>
      <c r="L38" s="14">
        <v>351</v>
      </c>
      <c r="M38" s="10">
        <v>315</v>
      </c>
      <c r="N38" s="10">
        <v>38786</v>
      </c>
      <c r="O38" s="10">
        <v>24702</v>
      </c>
      <c r="P38" s="10">
        <v>63488</v>
      </c>
    </row>
    <row r="39" spans="1:16" ht="27" customHeight="1" x14ac:dyDescent="0.2">
      <c r="A39" s="9" t="s">
        <v>16</v>
      </c>
      <c r="B39" s="10" t="s">
        <v>156</v>
      </c>
      <c r="C39" s="11" t="s">
        <v>161</v>
      </c>
      <c r="D39" s="11" t="s">
        <v>162</v>
      </c>
      <c r="E39" s="11" t="s">
        <v>26</v>
      </c>
      <c r="F39" s="11" t="s">
        <v>163</v>
      </c>
      <c r="G39" s="11" t="s">
        <v>28</v>
      </c>
      <c r="H39" s="11" t="s">
        <v>163</v>
      </c>
      <c r="I39" s="11" t="s">
        <v>164</v>
      </c>
      <c r="J39" s="12">
        <v>0.80520000000000003</v>
      </c>
      <c r="K39" s="13">
        <v>1</v>
      </c>
      <c r="L39" s="14">
        <v>349</v>
      </c>
      <c r="M39" s="10">
        <v>281</v>
      </c>
      <c r="N39" s="10">
        <v>38565</v>
      </c>
      <c r="O39" s="10">
        <v>22036</v>
      </c>
      <c r="P39" s="10">
        <v>60601</v>
      </c>
    </row>
    <row r="40" spans="1:16" ht="27" customHeight="1" x14ac:dyDescent="0.2">
      <c r="A40" s="9" t="s">
        <v>16</v>
      </c>
      <c r="B40" s="10" t="s">
        <v>156</v>
      </c>
      <c r="C40" s="11" t="s">
        <v>165</v>
      </c>
      <c r="D40" s="11" t="s">
        <v>166</v>
      </c>
      <c r="E40" s="11" t="s">
        <v>26</v>
      </c>
      <c r="F40" s="11" t="s">
        <v>167</v>
      </c>
      <c r="G40" s="11" t="s">
        <v>28</v>
      </c>
      <c r="H40" s="11" t="s">
        <v>22</v>
      </c>
      <c r="I40" s="11" t="s">
        <v>23</v>
      </c>
      <c r="J40" s="12">
        <v>0.99760000000000004</v>
      </c>
      <c r="K40" s="13">
        <v>1</v>
      </c>
      <c r="L40" s="14">
        <v>307</v>
      </c>
      <c r="M40" s="10">
        <v>292</v>
      </c>
      <c r="N40" s="10">
        <v>33924</v>
      </c>
      <c r="O40" s="10">
        <v>22898</v>
      </c>
      <c r="P40" s="10">
        <v>56822</v>
      </c>
    </row>
    <row r="41" spans="1:16" ht="27" customHeight="1" x14ac:dyDescent="0.2">
      <c r="A41" s="9" t="s">
        <v>16</v>
      </c>
      <c r="B41" s="10" t="s">
        <v>156</v>
      </c>
      <c r="C41" s="11" t="s">
        <v>168</v>
      </c>
      <c r="D41" s="11" t="s">
        <v>169</v>
      </c>
      <c r="E41" s="11" t="s">
        <v>26</v>
      </c>
      <c r="F41" s="11" t="s">
        <v>170</v>
      </c>
      <c r="G41" s="11" t="s">
        <v>28</v>
      </c>
      <c r="H41" s="11" t="s">
        <v>170</v>
      </c>
      <c r="I41" s="11" t="s">
        <v>171</v>
      </c>
      <c r="J41" s="12">
        <v>0.71699999999999997</v>
      </c>
      <c r="K41" s="13">
        <v>1</v>
      </c>
      <c r="L41" s="14">
        <v>523</v>
      </c>
      <c r="M41" s="10">
        <v>375</v>
      </c>
      <c r="N41" s="10">
        <v>57792</v>
      </c>
      <c r="O41" s="10">
        <v>29407</v>
      </c>
      <c r="P41" s="10">
        <v>87199</v>
      </c>
    </row>
    <row r="42" spans="1:16" ht="27" customHeight="1" x14ac:dyDescent="0.2">
      <c r="A42" s="9" t="s">
        <v>16</v>
      </c>
      <c r="B42" s="10" t="s">
        <v>156</v>
      </c>
      <c r="C42" s="11" t="s">
        <v>172</v>
      </c>
      <c r="D42" s="11" t="s">
        <v>173</v>
      </c>
      <c r="E42" s="11" t="s">
        <v>26</v>
      </c>
      <c r="F42" s="11" t="s">
        <v>174</v>
      </c>
      <c r="G42" s="11" t="s">
        <v>28</v>
      </c>
      <c r="H42" s="11" t="s">
        <v>174</v>
      </c>
      <c r="I42" s="11" t="s">
        <v>175</v>
      </c>
      <c r="J42" s="12">
        <v>0.88329999999999997</v>
      </c>
      <c r="K42" s="13">
        <v>1</v>
      </c>
      <c r="L42" s="14">
        <v>557</v>
      </c>
      <c r="M42" s="10">
        <v>492</v>
      </c>
      <c r="N42" s="10">
        <v>61549</v>
      </c>
      <c r="O42" s="10">
        <v>38582</v>
      </c>
      <c r="P42" s="10">
        <v>100131</v>
      </c>
    </row>
    <row r="43" spans="1:16" ht="27" customHeight="1" x14ac:dyDescent="0.2">
      <c r="A43" s="9" t="s">
        <v>16</v>
      </c>
      <c r="B43" s="10" t="s">
        <v>156</v>
      </c>
      <c r="C43" s="11" t="s">
        <v>176</v>
      </c>
      <c r="D43" s="11" t="s">
        <v>177</v>
      </c>
      <c r="E43" s="11" t="s">
        <v>26</v>
      </c>
      <c r="F43" s="11" t="s">
        <v>178</v>
      </c>
      <c r="G43" s="11" t="s">
        <v>28</v>
      </c>
      <c r="H43" s="11" t="s">
        <v>22</v>
      </c>
      <c r="I43" s="11" t="s">
        <v>23</v>
      </c>
      <c r="J43" s="12">
        <v>0.99760000000000004</v>
      </c>
      <c r="K43" s="13">
        <v>1</v>
      </c>
      <c r="L43" s="14">
        <v>433</v>
      </c>
      <c r="M43" s="10">
        <v>339</v>
      </c>
      <c r="N43" s="10">
        <v>47847</v>
      </c>
      <c r="O43" s="10">
        <v>26584</v>
      </c>
      <c r="P43" s="10">
        <v>74431</v>
      </c>
    </row>
    <row r="44" spans="1:16" ht="27" customHeight="1" x14ac:dyDescent="0.2">
      <c r="A44" s="9" t="s">
        <v>16</v>
      </c>
      <c r="B44" s="10" t="s">
        <v>156</v>
      </c>
      <c r="C44" s="11" t="s">
        <v>179</v>
      </c>
      <c r="D44" s="11" t="s">
        <v>180</v>
      </c>
      <c r="E44" s="11" t="s">
        <v>26</v>
      </c>
      <c r="F44" s="11" t="s">
        <v>181</v>
      </c>
      <c r="G44" s="11" t="s">
        <v>28</v>
      </c>
      <c r="H44" s="11" t="s">
        <v>181</v>
      </c>
      <c r="I44" s="11" t="s">
        <v>182</v>
      </c>
      <c r="J44" s="12">
        <v>0.67359999999999998</v>
      </c>
      <c r="K44" s="13">
        <v>1</v>
      </c>
      <c r="L44" s="14">
        <v>625</v>
      </c>
      <c r="M44" s="10">
        <v>421</v>
      </c>
      <c r="N44" s="10">
        <v>69064</v>
      </c>
      <c r="O44" s="10">
        <v>33014</v>
      </c>
      <c r="P44" s="10">
        <v>102078</v>
      </c>
    </row>
    <row r="45" spans="1:16" ht="27" customHeight="1" x14ac:dyDescent="0.2">
      <c r="A45" s="9" t="s">
        <v>16</v>
      </c>
      <c r="B45" s="10" t="s">
        <v>156</v>
      </c>
      <c r="C45" s="11" t="s">
        <v>183</v>
      </c>
      <c r="D45" s="11" t="s">
        <v>184</v>
      </c>
      <c r="E45" s="11" t="s">
        <v>26</v>
      </c>
      <c r="F45" s="11" t="s">
        <v>185</v>
      </c>
      <c r="G45" s="11" t="s">
        <v>28</v>
      </c>
      <c r="H45" s="11" t="s">
        <v>22</v>
      </c>
      <c r="I45" s="11" t="s">
        <v>23</v>
      </c>
      <c r="J45" s="12">
        <v>0.99760000000000004</v>
      </c>
      <c r="K45" s="13">
        <v>1</v>
      </c>
      <c r="L45" s="14">
        <v>417</v>
      </c>
      <c r="M45" s="10">
        <v>344</v>
      </c>
      <c r="N45" s="10">
        <v>46079</v>
      </c>
      <c r="O45" s="10">
        <v>26976</v>
      </c>
      <c r="P45" s="10">
        <v>73055</v>
      </c>
    </row>
    <row r="46" spans="1:16" ht="27" customHeight="1" x14ac:dyDescent="0.2">
      <c r="A46" s="9" t="s">
        <v>16</v>
      </c>
      <c r="B46" s="10" t="s">
        <v>156</v>
      </c>
      <c r="C46" s="11" t="s">
        <v>186</v>
      </c>
      <c r="D46" s="11" t="s">
        <v>187</v>
      </c>
      <c r="E46" s="11" t="s">
        <v>26</v>
      </c>
      <c r="F46" s="11" t="s">
        <v>188</v>
      </c>
      <c r="G46" s="11" t="s">
        <v>28</v>
      </c>
      <c r="H46" s="11" t="s">
        <v>188</v>
      </c>
      <c r="I46" s="11" t="s">
        <v>189</v>
      </c>
      <c r="J46" s="12">
        <v>0.90959999999999996</v>
      </c>
      <c r="K46" s="13">
        <v>1</v>
      </c>
      <c r="L46" s="14">
        <v>509</v>
      </c>
      <c r="M46" s="10">
        <v>463</v>
      </c>
      <c r="N46" s="10">
        <v>56245</v>
      </c>
      <c r="O46" s="10">
        <v>36308</v>
      </c>
      <c r="P46" s="10">
        <v>92553</v>
      </c>
    </row>
    <row r="47" spans="1:16" ht="27" customHeight="1" x14ac:dyDescent="0.2">
      <c r="A47" s="9" t="s">
        <v>16</v>
      </c>
      <c r="B47" s="10" t="s">
        <v>156</v>
      </c>
      <c r="C47" s="11" t="s">
        <v>190</v>
      </c>
      <c r="D47" s="11" t="s">
        <v>191</v>
      </c>
      <c r="E47" s="11" t="s">
        <v>26</v>
      </c>
      <c r="F47" s="11" t="s">
        <v>192</v>
      </c>
      <c r="G47" s="11" t="s">
        <v>28</v>
      </c>
      <c r="H47" s="11" t="s">
        <v>22</v>
      </c>
      <c r="I47" s="11" t="s">
        <v>23</v>
      </c>
      <c r="J47" s="12">
        <v>0.99760000000000004</v>
      </c>
      <c r="K47" s="13">
        <v>1</v>
      </c>
      <c r="L47" s="14">
        <v>404</v>
      </c>
      <c r="M47" s="10">
        <v>258</v>
      </c>
      <c r="N47" s="10">
        <v>44643</v>
      </c>
      <c r="O47" s="10">
        <v>20232</v>
      </c>
      <c r="P47" s="10">
        <v>64875</v>
      </c>
    </row>
    <row r="48" spans="1:16" ht="27" customHeight="1" x14ac:dyDescent="0.2">
      <c r="A48" s="9" t="s">
        <v>16</v>
      </c>
      <c r="B48" s="10" t="s">
        <v>156</v>
      </c>
      <c r="C48" s="11" t="s">
        <v>193</v>
      </c>
      <c r="D48" s="11" t="s">
        <v>194</v>
      </c>
      <c r="E48" s="11" t="s">
        <v>26</v>
      </c>
      <c r="F48" s="11" t="s">
        <v>195</v>
      </c>
      <c r="G48" s="11" t="s">
        <v>28</v>
      </c>
      <c r="H48" s="11" t="s">
        <v>195</v>
      </c>
      <c r="I48" s="11" t="s">
        <v>196</v>
      </c>
      <c r="J48" s="12">
        <v>0.80869999999999997</v>
      </c>
      <c r="K48" s="13">
        <v>1</v>
      </c>
      <c r="L48" s="14">
        <v>366</v>
      </c>
      <c r="M48" s="10">
        <v>296</v>
      </c>
      <c r="N48" s="10">
        <v>40444</v>
      </c>
      <c r="O48" s="10">
        <v>23212</v>
      </c>
      <c r="P48" s="10">
        <v>63656</v>
      </c>
    </row>
    <row r="49" spans="1:16" ht="27" customHeight="1" x14ac:dyDescent="0.2">
      <c r="A49" s="9" t="s">
        <v>16</v>
      </c>
      <c r="B49" s="10" t="s">
        <v>156</v>
      </c>
      <c r="C49" s="11" t="s">
        <v>197</v>
      </c>
      <c r="D49" s="11" t="s">
        <v>198</v>
      </c>
      <c r="E49" s="11" t="s">
        <v>26</v>
      </c>
      <c r="F49" s="11" t="s">
        <v>199</v>
      </c>
      <c r="G49" s="11" t="s">
        <v>28</v>
      </c>
      <c r="H49" s="11" t="s">
        <v>199</v>
      </c>
      <c r="I49" s="11" t="s">
        <v>200</v>
      </c>
      <c r="J49" s="12">
        <v>0.80789999999999995</v>
      </c>
      <c r="K49" s="13">
        <v>1</v>
      </c>
      <c r="L49" s="14">
        <v>432</v>
      </c>
      <c r="M49" s="10">
        <v>349</v>
      </c>
      <c r="N49" s="10">
        <v>47737</v>
      </c>
      <c r="O49" s="10">
        <v>27368</v>
      </c>
      <c r="P49" s="10">
        <v>75105</v>
      </c>
    </row>
    <row r="50" spans="1:16" ht="27" customHeight="1" x14ac:dyDescent="0.2">
      <c r="A50" s="9" t="s">
        <v>16</v>
      </c>
      <c r="B50" s="10" t="s">
        <v>156</v>
      </c>
      <c r="C50" s="11" t="s">
        <v>201</v>
      </c>
      <c r="D50" s="11" t="s">
        <v>202</v>
      </c>
      <c r="E50" s="11" t="s">
        <v>26</v>
      </c>
      <c r="F50" s="11" t="s">
        <v>203</v>
      </c>
      <c r="G50" s="11" t="s">
        <v>28</v>
      </c>
      <c r="H50" s="11" t="s">
        <v>22</v>
      </c>
      <c r="I50" s="11" t="s">
        <v>23</v>
      </c>
      <c r="J50" s="12">
        <v>0.99760000000000004</v>
      </c>
      <c r="K50" s="13">
        <v>1</v>
      </c>
      <c r="L50" s="14">
        <v>348</v>
      </c>
      <c r="M50" s="10">
        <v>208</v>
      </c>
      <c r="N50" s="10">
        <v>38455</v>
      </c>
      <c r="O50" s="10">
        <v>16311</v>
      </c>
      <c r="P50" s="10">
        <v>54766</v>
      </c>
    </row>
    <row r="51" spans="1:16" ht="27" customHeight="1" x14ac:dyDescent="0.2">
      <c r="A51" s="9" t="s">
        <v>16</v>
      </c>
      <c r="B51" s="10" t="s">
        <v>156</v>
      </c>
      <c r="C51" s="11" t="s">
        <v>204</v>
      </c>
      <c r="D51" s="11" t="s">
        <v>205</v>
      </c>
      <c r="E51" s="11" t="s">
        <v>26</v>
      </c>
      <c r="F51" s="11" t="s">
        <v>206</v>
      </c>
      <c r="G51" s="11" t="s">
        <v>28</v>
      </c>
      <c r="H51" s="11" t="s">
        <v>206</v>
      </c>
      <c r="I51" s="11" t="s">
        <v>207</v>
      </c>
      <c r="J51" s="12">
        <v>0.90049999999999997</v>
      </c>
      <c r="K51" s="13">
        <v>1</v>
      </c>
      <c r="L51" s="14">
        <v>201</v>
      </c>
      <c r="M51" s="10">
        <v>181</v>
      </c>
      <c r="N51" s="10">
        <v>22211</v>
      </c>
      <c r="O51" s="10">
        <v>14194</v>
      </c>
      <c r="P51" s="10">
        <v>36405</v>
      </c>
    </row>
    <row r="52" spans="1:16" ht="27" customHeight="1" x14ac:dyDescent="0.2">
      <c r="A52" s="9" t="s">
        <v>16</v>
      </c>
      <c r="B52" s="10" t="s">
        <v>156</v>
      </c>
      <c r="C52" s="11" t="s">
        <v>208</v>
      </c>
      <c r="D52" s="11" t="s">
        <v>209</v>
      </c>
      <c r="E52" s="11" t="s">
        <v>26</v>
      </c>
      <c r="F52" s="11" t="s">
        <v>210</v>
      </c>
      <c r="G52" s="11" t="s">
        <v>28</v>
      </c>
      <c r="H52" s="11" t="s">
        <v>22</v>
      </c>
      <c r="I52" s="11" t="s">
        <v>23</v>
      </c>
      <c r="J52" s="12">
        <v>0.99760000000000004</v>
      </c>
      <c r="K52" s="13">
        <v>1</v>
      </c>
      <c r="L52" s="14">
        <v>259</v>
      </c>
      <c r="M52" s="10">
        <v>199</v>
      </c>
      <c r="N52" s="10">
        <v>28620</v>
      </c>
      <c r="O52" s="10">
        <v>15605</v>
      </c>
      <c r="P52" s="10">
        <v>44225</v>
      </c>
    </row>
    <row r="53" spans="1:16" ht="27" customHeight="1" x14ac:dyDescent="0.2">
      <c r="A53" s="9" t="s">
        <v>16</v>
      </c>
      <c r="B53" s="10" t="s">
        <v>156</v>
      </c>
      <c r="C53" s="11" t="s">
        <v>211</v>
      </c>
      <c r="D53" s="11" t="s">
        <v>212</v>
      </c>
      <c r="E53" s="11" t="s">
        <v>26</v>
      </c>
      <c r="F53" s="11" t="s">
        <v>213</v>
      </c>
      <c r="G53" s="11" t="s">
        <v>28</v>
      </c>
      <c r="H53" s="11" t="s">
        <v>213</v>
      </c>
      <c r="I53" s="11" t="s">
        <v>214</v>
      </c>
      <c r="J53" s="12">
        <v>0.2326</v>
      </c>
      <c r="K53" s="13">
        <v>1</v>
      </c>
      <c r="L53" s="14">
        <v>533</v>
      </c>
      <c r="M53" s="10">
        <v>124</v>
      </c>
      <c r="N53" s="10">
        <v>58897</v>
      </c>
      <c r="O53" s="10">
        <v>9724</v>
      </c>
      <c r="P53" s="10">
        <v>68621</v>
      </c>
    </row>
    <row r="54" spans="1:16" ht="27" customHeight="1" x14ac:dyDescent="0.2">
      <c r="A54" s="9" t="s">
        <v>16</v>
      </c>
      <c r="B54" s="10" t="s">
        <v>156</v>
      </c>
      <c r="C54" s="11" t="s">
        <v>215</v>
      </c>
      <c r="D54" s="11" t="s">
        <v>216</v>
      </c>
      <c r="E54" s="11" t="s">
        <v>26</v>
      </c>
      <c r="F54" s="11" t="s">
        <v>217</v>
      </c>
      <c r="G54" s="11" t="s">
        <v>28</v>
      </c>
      <c r="H54" s="11" t="s">
        <v>217</v>
      </c>
      <c r="I54" s="11" t="s">
        <v>218</v>
      </c>
      <c r="J54" s="12">
        <v>0.75439999999999996</v>
      </c>
      <c r="K54" s="13">
        <v>1</v>
      </c>
      <c r="L54" s="14">
        <v>456</v>
      </c>
      <c r="M54" s="10">
        <v>344</v>
      </c>
      <c r="N54" s="10">
        <v>50389</v>
      </c>
      <c r="O54" s="10">
        <v>26976</v>
      </c>
      <c r="P54" s="10">
        <v>77365</v>
      </c>
    </row>
    <row r="55" spans="1:16" ht="27" customHeight="1" x14ac:dyDescent="0.2">
      <c r="A55" s="9" t="s">
        <v>16</v>
      </c>
      <c r="B55" s="10" t="s">
        <v>156</v>
      </c>
      <c r="C55" s="11" t="s">
        <v>219</v>
      </c>
      <c r="D55" s="11" t="s">
        <v>220</v>
      </c>
      <c r="E55" s="11" t="s">
        <v>26</v>
      </c>
      <c r="F55" s="11" t="s">
        <v>221</v>
      </c>
      <c r="G55" s="11" t="s">
        <v>28</v>
      </c>
      <c r="H55" s="11" t="s">
        <v>221</v>
      </c>
      <c r="I55" s="11" t="s">
        <v>222</v>
      </c>
      <c r="J55" s="12">
        <v>0.94669999999999999</v>
      </c>
      <c r="K55" s="13">
        <v>1</v>
      </c>
      <c r="L55" s="14">
        <v>544</v>
      </c>
      <c r="M55" s="10">
        <v>515</v>
      </c>
      <c r="N55" s="10">
        <v>60113</v>
      </c>
      <c r="O55" s="10">
        <v>40386</v>
      </c>
      <c r="P55" s="10">
        <v>100499</v>
      </c>
    </row>
    <row r="56" spans="1:16" ht="27" customHeight="1" x14ac:dyDescent="0.2">
      <c r="A56" s="9" t="s">
        <v>16</v>
      </c>
      <c r="B56" s="10" t="s">
        <v>156</v>
      </c>
      <c r="C56" s="11" t="s">
        <v>223</v>
      </c>
      <c r="D56" s="11" t="s">
        <v>224</v>
      </c>
      <c r="E56" s="11" t="s">
        <v>26</v>
      </c>
      <c r="F56" s="11" t="s">
        <v>225</v>
      </c>
      <c r="G56" s="11" t="s">
        <v>28</v>
      </c>
      <c r="H56" s="11" t="s">
        <v>225</v>
      </c>
      <c r="I56" s="11" t="s">
        <v>226</v>
      </c>
      <c r="J56" s="12">
        <v>0.80269999999999997</v>
      </c>
      <c r="K56" s="13">
        <v>1</v>
      </c>
      <c r="L56" s="14">
        <v>451</v>
      </c>
      <c r="M56" s="10">
        <v>362</v>
      </c>
      <c r="N56" s="10">
        <v>49836</v>
      </c>
      <c r="O56" s="10">
        <v>28388</v>
      </c>
      <c r="P56" s="10">
        <v>78224</v>
      </c>
    </row>
    <row r="57" spans="1:16" ht="27" customHeight="1" x14ac:dyDescent="0.2">
      <c r="A57" s="9" t="s">
        <v>16</v>
      </c>
      <c r="B57" s="10" t="s">
        <v>156</v>
      </c>
      <c r="C57" s="11" t="s">
        <v>227</v>
      </c>
      <c r="D57" s="11" t="s">
        <v>228</v>
      </c>
      <c r="E57" s="11" t="s">
        <v>26</v>
      </c>
      <c r="F57" s="11" t="s">
        <v>229</v>
      </c>
      <c r="G57" s="11" t="s">
        <v>28</v>
      </c>
      <c r="H57" s="11" t="s">
        <v>229</v>
      </c>
      <c r="I57" s="11" t="s">
        <v>230</v>
      </c>
      <c r="J57" s="12">
        <v>0.94650000000000001</v>
      </c>
      <c r="K57" s="13">
        <v>1</v>
      </c>
      <c r="L57" s="14">
        <v>243</v>
      </c>
      <c r="M57" s="10">
        <v>230</v>
      </c>
      <c r="N57" s="10">
        <v>26852</v>
      </c>
      <c r="O57" s="10">
        <v>18036</v>
      </c>
      <c r="P57" s="10">
        <v>44888</v>
      </c>
    </row>
    <row r="58" spans="1:16" ht="27" customHeight="1" x14ac:dyDescent="0.2">
      <c r="A58" s="9" t="s">
        <v>16</v>
      </c>
      <c r="B58" s="10" t="s">
        <v>156</v>
      </c>
      <c r="C58" s="11" t="s">
        <v>231</v>
      </c>
      <c r="D58" s="11" t="s">
        <v>232</v>
      </c>
      <c r="E58" s="11" t="s">
        <v>26</v>
      </c>
      <c r="F58" s="11" t="s">
        <v>233</v>
      </c>
      <c r="G58" s="11" t="s">
        <v>28</v>
      </c>
      <c r="H58" s="11" t="s">
        <v>233</v>
      </c>
      <c r="I58" s="11" t="s">
        <v>234</v>
      </c>
      <c r="J58" s="12">
        <v>0.30969999999999998</v>
      </c>
      <c r="K58" s="13">
        <v>1</v>
      </c>
      <c r="L58" s="14">
        <v>339</v>
      </c>
      <c r="M58" s="10">
        <v>105</v>
      </c>
      <c r="N58" s="10">
        <v>37460</v>
      </c>
      <c r="O58" s="10">
        <v>8234</v>
      </c>
      <c r="P58" s="10">
        <v>45694</v>
      </c>
    </row>
    <row r="59" spans="1:16" ht="27" customHeight="1" x14ac:dyDescent="0.2">
      <c r="A59" s="9" t="s">
        <v>16</v>
      </c>
      <c r="B59" s="10" t="s">
        <v>156</v>
      </c>
      <c r="C59" s="11" t="s">
        <v>235</v>
      </c>
      <c r="D59" s="11" t="s">
        <v>236</v>
      </c>
      <c r="E59" s="11" t="s">
        <v>26</v>
      </c>
      <c r="F59" s="11" t="s">
        <v>237</v>
      </c>
      <c r="G59" s="11" t="s">
        <v>28</v>
      </c>
      <c r="H59" s="11" t="s">
        <v>237</v>
      </c>
      <c r="I59" s="11" t="s">
        <v>238</v>
      </c>
      <c r="J59" s="12">
        <v>0.91290000000000004</v>
      </c>
      <c r="K59" s="13">
        <v>1</v>
      </c>
      <c r="L59" s="14">
        <v>712</v>
      </c>
      <c r="M59" s="10">
        <v>650</v>
      </c>
      <c r="N59" s="10">
        <v>78677</v>
      </c>
      <c r="O59" s="10">
        <v>50972</v>
      </c>
      <c r="P59" s="10">
        <v>129649</v>
      </c>
    </row>
    <row r="60" spans="1:16" ht="27" customHeight="1" x14ac:dyDescent="0.2">
      <c r="A60" s="9" t="s">
        <v>16</v>
      </c>
      <c r="B60" s="10" t="s">
        <v>156</v>
      </c>
      <c r="C60" s="11" t="s">
        <v>239</v>
      </c>
      <c r="D60" s="11" t="s">
        <v>240</v>
      </c>
      <c r="E60" s="11" t="s">
        <v>26</v>
      </c>
      <c r="F60" s="11" t="s">
        <v>241</v>
      </c>
      <c r="G60" s="11" t="s">
        <v>28</v>
      </c>
      <c r="H60" s="11" t="s">
        <v>241</v>
      </c>
      <c r="I60" s="11" t="s">
        <v>242</v>
      </c>
      <c r="J60" s="12">
        <v>0.33250000000000002</v>
      </c>
      <c r="K60" s="13">
        <v>1</v>
      </c>
      <c r="L60" s="14">
        <v>779</v>
      </c>
      <c r="M60" s="10">
        <v>259</v>
      </c>
      <c r="N60" s="10">
        <v>86081</v>
      </c>
      <c r="O60" s="10">
        <v>20311</v>
      </c>
      <c r="P60" s="10">
        <v>106392</v>
      </c>
    </row>
    <row r="61" spans="1:16" ht="27" customHeight="1" x14ac:dyDescent="0.2">
      <c r="A61" s="9" t="s">
        <v>16</v>
      </c>
      <c r="B61" s="10" t="s">
        <v>156</v>
      </c>
      <c r="C61" s="11" t="s">
        <v>243</v>
      </c>
      <c r="D61" s="11" t="s">
        <v>244</v>
      </c>
      <c r="E61" s="11" t="s">
        <v>26</v>
      </c>
      <c r="F61" s="11" t="s">
        <v>245</v>
      </c>
      <c r="G61" s="11" t="s">
        <v>28</v>
      </c>
      <c r="H61" s="11" t="s">
        <v>22</v>
      </c>
      <c r="I61" s="11" t="s">
        <v>23</v>
      </c>
      <c r="J61" s="12">
        <v>0.99760000000000004</v>
      </c>
      <c r="K61" s="13">
        <v>1</v>
      </c>
      <c r="L61" s="14">
        <v>226</v>
      </c>
      <c r="M61" s="10">
        <v>192</v>
      </c>
      <c r="N61" s="10">
        <v>24973</v>
      </c>
      <c r="O61" s="10">
        <v>15056</v>
      </c>
      <c r="P61" s="10">
        <v>40029</v>
      </c>
    </row>
    <row r="62" spans="1:16" ht="27" customHeight="1" x14ac:dyDescent="0.2">
      <c r="A62" s="9" t="s">
        <v>16</v>
      </c>
      <c r="B62" s="10" t="s">
        <v>156</v>
      </c>
      <c r="C62" s="11" t="s">
        <v>246</v>
      </c>
      <c r="D62" s="11" t="s">
        <v>247</v>
      </c>
      <c r="E62" s="11" t="s">
        <v>26</v>
      </c>
      <c r="F62" s="11" t="s">
        <v>248</v>
      </c>
      <c r="G62" s="11" t="s">
        <v>28</v>
      </c>
      <c r="H62" s="11" t="s">
        <v>22</v>
      </c>
      <c r="I62" s="11" t="s">
        <v>23</v>
      </c>
      <c r="J62" s="12">
        <v>0.99760000000000004</v>
      </c>
      <c r="K62" s="13">
        <v>1</v>
      </c>
      <c r="L62" s="14">
        <v>225</v>
      </c>
      <c r="M62" s="10">
        <v>142</v>
      </c>
      <c r="N62" s="10">
        <v>24863</v>
      </c>
      <c r="O62" s="10">
        <v>11135</v>
      </c>
      <c r="P62" s="10">
        <v>35998</v>
      </c>
    </row>
    <row r="63" spans="1:16" ht="27" customHeight="1" x14ac:dyDescent="0.2">
      <c r="A63" s="9" t="s">
        <v>16</v>
      </c>
      <c r="B63" s="10" t="s">
        <v>156</v>
      </c>
      <c r="C63" s="11" t="s">
        <v>249</v>
      </c>
      <c r="D63" s="11" t="s">
        <v>250</v>
      </c>
      <c r="E63" s="11" t="s">
        <v>26</v>
      </c>
      <c r="F63" s="11" t="s">
        <v>251</v>
      </c>
      <c r="G63" s="11" t="s">
        <v>28</v>
      </c>
      <c r="H63" s="11" t="s">
        <v>251</v>
      </c>
      <c r="I63" s="11" t="s">
        <v>252</v>
      </c>
      <c r="J63" s="12">
        <v>0.875</v>
      </c>
      <c r="K63" s="13">
        <v>1</v>
      </c>
      <c r="L63" s="14">
        <v>392</v>
      </c>
      <c r="M63" s="10">
        <v>343</v>
      </c>
      <c r="N63" s="10">
        <v>43317</v>
      </c>
      <c r="O63" s="10">
        <v>26898</v>
      </c>
      <c r="P63" s="10">
        <v>70215</v>
      </c>
    </row>
    <row r="64" spans="1:16" ht="27" customHeight="1" x14ac:dyDescent="0.2">
      <c r="A64" s="9" t="s">
        <v>16</v>
      </c>
      <c r="B64" s="10" t="s">
        <v>156</v>
      </c>
      <c r="C64" s="11" t="s">
        <v>253</v>
      </c>
      <c r="D64" s="11" t="s">
        <v>254</v>
      </c>
      <c r="E64" s="11" t="s">
        <v>26</v>
      </c>
      <c r="F64" s="11" t="s">
        <v>255</v>
      </c>
      <c r="G64" s="11" t="s">
        <v>28</v>
      </c>
      <c r="H64" s="11" t="s">
        <v>255</v>
      </c>
      <c r="I64" s="11" t="s">
        <v>256</v>
      </c>
      <c r="J64" s="12">
        <v>0.59660000000000002</v>
      </c>
      <c r="K64" s="13">
        <v>1</v>
      </c>
      <c r="L64" s="14">
        <v>119</v>
      </c>
      <c r="M64" s="10">
        <v>71</v>
      </c>
      <c r="N64" s="10">
        <v>13150</v>
      </c>
      <c r="O64" s="10">
        <v>5568</v>
      </c>
      <c r="P64" s="10">
        <v>18718</v>
      </c>
    </row>
    <row r="65" spans="1:16" ht="27" customHeight="1" x14ac:dyDescent="0.2">
      <c r="A65" s="9" t="s">
        <v>16</v>
      </c>
      <c r="B65" s="10" t="s">
        <v>156</v>
      </c>
      <c r="C65" s="11" t="s">
        <v>257</v>
      </c>
      <c r="D65" s="11" t="s">
        <v>258</v>
      </c>
      <c r="E65" s="11" t="s">
        <v>26</v>
      </c>
      <c r="F65" s="11" t="s">
        <v>259</v>
      </c>
      <c r="G65" s="11" t="s">
        <v>28</v>
      </c>
      <c r="H65" s="11" t="s">
        <v>259</v>
      </c>
      <c r="I65" s="11" t="s">
        <v>260</v>
      </c>
      <c r="J65" s="12">
        <v>0.85770000000000002</v>
      </c>
      <c r="K65" s="13">
        <v>1</v>
      </c>
      <c r="L65" s="14">
        <v>492</v>
      </c>
      <c r="M65" s="10">
        <v>422</v>
      </c>
      <c r="N65" s="10">
        <v>54367</v>
      </c>
      <c r="O65" s="10">
        <v>33093</v>
      </c>
      <c r="P65" s="10">
        <v>87460</v>
      </c>
    </row>
    <row r="66" spans="1:16" ht="27" customHeight="1" x14ac:dyDescent="0.2">
      <c r="A66" s="9" t="s">
        <v>16</v>
      </c>
      <c r="B66" s="10" t="s">
        <v>261</v>
      </c>
      <c r="C66" s="11" t="s">
        <v>18</v>
      </c>
      <c r="D66" s="11" t="s">
        <v>19</v>
      </c>
      <c r="E66" s="11" t="s">
        <v>19</v>
      </c>
      <c r="F66" s="11" t="s">
        <v>262</v>
      </c>
      <c r="G66" s="11" t="s">
        <v>83</v>
      </c>
      <c r="H66" s="11" t="s">
        <v>263</v>
      </c>
      <c r="I66" s="11" t="s">
        <v>264</v>
      </c>
      <c r="J66" s="12">
        <v>4.1700000000000001E-2</v>
      </c>
      <c r="K66" s="13">
        <v>8</v>
      </c>
      <c r="L66" s="14">
        <v>2337</v>
      </c>
      <c r="M66" s="10">
        <v>72</v>
      </c>
      <c r="N66" s="10">
        <v>258242</v>
      </c>
      <c r="O66" s="10">
        <v>5648</v>
      </c>
      <c r="P66" s="10">
        <v>263890</v>
      </c>
    </row>
    <row r="67" spans="1:16" ht="27" customHeight="1" x14ac:dyDescent="0.2">
      <c r="A67" s="9" t="s">
        <v>16</v>
      </c>
      <c r="B67" s="10" t="s">
        <v>265</v>
      </c>
      <c r="C67" s="11" t="s">
        <v>18</v>
      </c>
      <c r="D67" s="11" t="s">
        <v>19</v>
      </c>
      <c r="E67" s="11" t="s">
        <v>19</v>
      </c>
      <c r="F67" s="11" t="s">
        <v>266</v>
      </c>
      <c r="G67" s="11" t="s">
        <v>83</v>
      </c>
      <c r="H67" s="11" t="s">
        <v>267</v>
      </c>
      <c r="I67" s="11" t="s">
        <v>268</v>
      </c>
      <c r="J67" s="12">
        <v>0.82099999999999995</v>
      </c>
      <c r="K67" s="13">
        <v>14</v>
      </c>
      <c r="L67" s="14">
        <v>8674</v>
      </c>
      <c r="M67" s="10">
        <v>6243</v>
      </c>
      <c r="N67" s="10">
        <v>958492</v>
      </c>
      <c r="O67" s="10">
        <v>489569</v>
      </c>
      <c r="P67" s="10">
        <v>1448061</v>
      </c>
    </row>
    <row r="68" spans="1:16" ht="27" customHeight="1" x14ac:dyDescent="0.2">
      <c r="A68" s="9" t="s">
        <v>16</v>
      </c>
      <c r="B68" s="10" t="s">
        <v>269</v>
      </c>
      <c r="C68" s="11" t="s">
        <v>18</v>
      </c>
      <c r="D68" s="11" t="s">
        <v>19</v>
      </c>
      <c r="E68" s="11" t="s">
        <v>19</v>
      </c>
      <c r="F68" s="11" t="s">
        <v>270</v>
      </c>
      <c r="G68" s="11" t="s">
        <v>83</v>
      </c>
      <c r="H68" s="11" t="s">
        <v>271</v>
      </c>
      <c r="I68" s="11" t="s">
        <v>272</v>
      </c>
      <c r="J68" s="12">
        <v>0.85980000000000001</v>
      </c>
      <c r="K68" s="13">
        <v>18</v>
      </c>
      <c r="L68" s="14">
        <v>8549</v>
      </c>
      <c r="M68" s="10">
        <v>6697</v>
      </c>
      <c r="N68" s="10">
        <v>944681</v>
      </c>
      <c r="O68" s="10">
        <v>525172</v>
      </c>
      <c r="P68" s="10">
        <v>1469853</v>
      </c>
    </row>
    <row r="69" spans="1:16" ht="27" customHeight="1" x14ac:dyDescent="0.2">
      <c r="A69" s="9" t="s">
        <v>16</v>
      </c>
      <c r="B69" s="10" t="s">
        <v>269</v>
      </c>
      <c r="C69" s="11" t="s">
        <v>273</v>
      </c>
      <c r="D69" s="11" t="s">
        <v>274</v>
      </c>
      <c r="E69" s="11" t="s">
        <v>26</v>
      </c>
      <c r="F69" s="11" t="s">
        <v>275</v>
      </c>
      <c r="G69" s="11" t="s">
        <v>28</v>
      </c>
      <c r="H69" s="11" t="s">
        <v>22</v>
      </c>
      <c r="I69" s="11" t="s">
        <v>23</v>
      </c>
      <c r="J69" s="12">
        <v>0.99760000000000004</v>
      </c>
      <c r="K69" s="13">
        <v>1</v>
      </c>
      <c r="L69" s="14">
        <v>421</v>
      </c>
      <c r="M69" s="10">
        <v>304</v>
      </c>
      <c r="N69" s="10">
        <v>46521</v>
      </c>
      <c r="O69" s="10">
        <v>23839</v>
      </c>
      <c r="P69" s="10">
        <v>70360</v>
      </c>
    </row>
    <row r="70" spans="1:16" ht="27" customHeight="1" x14ac:dyDescent="0.2">
      <c r="A70" s="9" t="s">
        <v>16</v>
      </c>
      <c r="B70" s="10" t="s">
        <v>269</v>
      </c>
      <c r="C70" s="11" t="s">
        <v>276</v>
      </c>
      <c r="D70" s="11" t="s">
        <v>277</v>
      </c>
      <c r="E70" s="11" t="s">
        <v>26</v>
      </c>
      <c r="F70" s="11" t="s">
        <v>278</v>
      </c>
      <c r="G70" s="11" t="s">
        <v>28</v>
      </c>
      <c r="H70" s="11" t="s">
        <v>22</v>
      </c>
      <c r="I70" s="11" t="s">
        <v>23</v>
      </c>
      <c r="J70" s="12">
        <v>0.99760000000000004</v>
      </c>
      <c r="K70" s="13">
        <v>1</v>
      </c>
      <c r="L70" s="14">
        <v>658</v>
      </c>
      <c r="M70" s="10">
        <v>462</v>
      </c>
      <c r="N70" s="10">
        <v>72710</v>
      </c>
      <c r="O70" s="10">
        <v>36230</v>
      </c>
      <c r="P70" s="10">
        <v>108940</v>
      </c>
    </row>
    <row r="71" spans="1:16" ht="27" customHeight="1" x14ac:dyDescent="0.2">
      <c r="A71" s="9" t="s">
        <v>16</v>
      </c>
      <c r="B71" s="10" t="s">
        <v>279</v>
      </c>
      <c r="C71" s="11" t="s">
        <v>18</v>
      </c>
      <c r="D71" s="11" t="s">
        <v>19</v>
      </c>
      <c r="E71" s="11" t="s">
        <v>19</v>
      </c>
      <c r="F71" s="11" t="s">
        <v>280</v>
      </c>
      <c r="G71" s="11" t="s">
        <v>83</v>
      </c>
      <c r="H71" s="11" t="s">
        <v>281</v>
      </c>
      <c r="I71" s="11" t="s">
        <v>282</v>
      </c>
      <c r="J71" s="12">
        <v>0.17469999999999999</v>
      </c>
      <c r="K71" s="13">
        <v>17</v>
      </c>
      <c r="L71" s="14">
        <v>12618</v>
      </c>
      <c r="M71" s="10">
        <v>1006</v>
      </c>
      <c r="N71" s="10">
        <v>1394312</v>
      </c>
      <c r="O71" s="10">
        <v>78889</v>
      </c>
      <c r="P71" s="10">
        <v>1473201</v>
      </c>
    </row>
    <row r="72" spans="1:16" ht="27" customHeight="1" x14ac:dyDescent="0.2">
      <c r="A72" s="9" t="s">
        <v>16</v>
      </c>
      <c r="B72" s="10" t="s">
        <v>283</v>
      </c>
      <c r="C72" s="11" t="s">
        <v>18</v>
      </c>
      <c r="D72" s="11" t="s">
        <v>19</v>
      </c>
      <c r="E72" s="11" t="s">
        <v>19</v>
      </c>
      <c r="F72" s="11" t="s">
        <v>284</v>
      </c>
      <c r="G72" s="11" t="s">
        <v>83</v>
      </c>
      <c r="H72" s="11" t="s">
        <v>285</v>
      </c>
      <c r="I72" s="11" t="s">
        <v>286</v>
      </c>
      <c r="J72" s="12">
        <v>0.1825</v>
      </c>
      <c r="K72" s="13">
        <v>18</v>
      </c>
      <c r="L72" s="14">
        <v>13902</v>
      </c>
      <c r="M72" s="10">
        <v>1091</v>
      </c>
      <c r="N72" s="10">
        <v>1536195</v>
      </c>
      <c r="O72" s="10">
        <v>85557</v>
      </c>
      <c r="P72" s="10">
        <v>1621752</v>
      </c>
    </row>
    <row r="73" spans="1:16" ht="27" customHeight="1" x14ac:dyDescent="0.2">
      <c r="A73" s="9" t="s">
        <v>16</v>
      </c>
      <c r="B73" s="10" t="s">
        <v>287</v>
      </c>
      <c r="C73" s="11" t="s">
        <v>18</v>
      </c>
      <c r="D73" s="11" t="s">
        <v>19</v>
      </c>
      <c r="E73" s="11" t="s">
        <v>19</v>
      </c>
      <c r="F73" s="11" t="s">
        <v>288</v>
      </c>
      <c r="G73" s="11" t="s">
        <v>83</v>
      </c>
      <c r="H73" s="11" t="s">
        <v>289</v>
      </c>
      <c r="I73" s="11" t="s">
        <v>290</v>
      </c>
      <c r="J73" s="12">
        <v>0.1045</v>
      </c>
      <c r="K73" s="13">
        <v>2</v>
      </c>
      <c r="L73" s="14">
        <v>268</v>
      </c>
      <c r="M73" s="10">
        <v>28</v>
      </c>
      <c r="N73" s="10">
        <v>29614</v>
      </c>
      <c r="O73" s="10">
        <v>2196</v>
      </c>
      <c r="P73" s="10">
        <v>31810</v>
      </c>
    </row>
    <row r="74" spans="1:16" ht="27" customHeight="1" x14ac:dyDescent="0.2">
      <c r="A74" s="9" t="s">
        <v>16</v>
      </c>
      <c r="B74" s="10" t="s">
        <v>291</v>
      </c>
      <c r="C74" s="11" t="s">
        <v>292</v>
      </c>
      <c r="D74" s="11" t="s">
        <v>293</v>
      </c>
      <c r="E74" s="11" t="s">
        <v>26</v>
      </c>
      <c r="F74" s="11" t="s">
        <v>294</v>
      </c>
      <c r="G74" s="11" t="s">
        <v>28</v>
      </c>
      <c r="H74" s="11" t="s">
        <v>22</v>
      </c>
      <c r="I74" s="11" t="s">
        <v>23</v>
      </c>
      <c r="J74" s="12">
        <v>0.99760000000000004</v>
      </c>
      <c r="K74" s="13">
        <v>1</v>
      </c>
      <c r="L74" s="14">
        <v>282</v>
      </c>
      <c r="M74" s="10">
        <v>180</v>
      </c>
      <c r="N74" s="10">
        <v>31161</v>
      </c>
      <c r="O74" s="10">
        <v>14115</v>
      </c>
      <c r="P74" s="10">
        <v>45276</v>
      </c>
    </row>
    <row r="75" spans="1:16" ht="27" customHeight="1" x14ac:dyDescent="0.2">
      <c r="A75" s="9" t="s">
        <v>295</v>
      </c>
      <c r="B75" s="10" t="s">
        <v>296</v>
      </c>
      <c r="C75" s="11" t="s">
        <v>18</v>
      </c>
      <c r="D75" s="11" t="s">
        <v>19</v>
      </c>
      <c r="E75" s="11" t="s">
        <v>19</v>
      </c>
      <c r="F75" s="11" t="s">
        <v>297</v>
      </c>
      <c r="G75" s="11" t="s">
        <v>21</v>
      </c>
      <c r="H75" s="11" t="s">
        <v>298</v>
      </c>
      <c r="I75" s="11" t="s">
        <v>299</v>
      </c>
      <c r="J75" s="12">
        <v>0.6885</v>
      </c>
      <c r="K75" s="13">
        <v>2</v>
      </c>
      <c r="L75" s="14">
        <v>0</v>
      </c>
      <c r="M75" s="10">
        <v>0</v>
      </c>
      <c r="N75" s="10">
        <v>0</v>
      </c>
      <c r="O75" s="10">
        <v>0</v>
      </c>
      <c r="P75" s="10">
        <v>0</v>
      </c>
    </row>
    <row r="76" spans="1:16" ht="27" customHeight="1" x14ac:dyDescent="0.2">
      <c r="A76" s="9" t="s">
        <v>295</v>
      </c>
      <c r="B76" s="10" t="s">
        <v>300</v>
      </c>
      <c r="C76" s="11" t="s">
        <v>18</v>
      </c>
      <c r="D76" s="11" t="s">
        <v>19</v>
      </c>
      <c r="E76" s="11" t="s">
        <v>19</v>
      </c>
      <c r="F76" s="11" t="s">
        <v>301</v>
      </c>
      <c r="G76" s="11" t="s">
        <v>83</v>
      </c>
      <c r="H76" s="11" t="s">
        <v>298</v>
      </c>
      <c r="I76" s="11" t="s">
        <v>299</v>
      </c>
      <c r="J76" s="12">
        <v>0.6885</v>
      </c>
      <c r="K76" s="13">
        <v>4</v>
      </c>
      <c r="L76" s="14">
        <v>72</v>
      </c>
      <c r="M76" s="10">
        <v>46</v>
      </c>
      <c r="N76" s="10">
        <v>7957</v>
      </c>
      <c r="O76" s="10">
        <v>3607</v>
      </c>
      <c r="P76" s="10">
        <v>11564</v>
      </c>
    </row>
    <row r="77" spans="1:16" ht="27" customHeight="1" x14ac:dyDescent="0.2">
      <c r="A77" s="9" t="s">
        <v>302</v>
      </c>
      <c r="B77" s="10" t="s">
        <v>303</v>
      </c>
      <c r="C77" s="11" t="s">
        <v>18</v>
      </c>
      <c r="D77" s="11" t="s">
        <v>19</v>
      </c>
      <c r="E77" s="11" t="s">
        <v>19</v>
      </c>
      <c r="F77" s="11" t="s">
        <v>304</v>
      </c>
      <c r="G77" s="11" t="s">
        <v>21</v>
      </c>
      <c r="H77" s="11" t="s">
        <v>305</v>
      </c>
      <c r="I77" s="11" t="s">
        <v>306</v>
      </c>
      <c r="J77" s="12">
        <v>0.55559999999999998</v>
      </c>
      <c r="K77" s="13">
        <v>3</v>
      </c>
      <c r="L77" s="14">
        <v>146</v>
      </c>
      <c r="M77" s="10">
        <v>77</v>
      </c>
      <c r="N77" s="10">
        <v>16134</v>
      </c>
      <c r="O77" s="10">
        <v>6038</v>
      </c>
      <c r="P77" s="10">
        <v>22172</v>
      </c>
    </row>
    <row r="78" spans="1:16" ht="27" customHeight="1" x14ac:dyDescent="0.2">
      <c r="A78" s="9" t="s">
        <v>302</v>
      </c>
      <c r="B78" s="10" t="s">
        <v>307</v>
      </c>
      <c r="C78" s="11" t="s">
        <v>18</v>
      </c>
      <c r="D78" s="11" t="s">
        <v>19</v>
      </c>
      <c r="E78" s="11" t="s">
        <v>19</v>
      </c>
      <c r="F78" s="11" t="s">
        <v>308</v>
      </c>
      <c r="G78" s="11" t="s">
        <v>83</v>
      </c>
      <c r="H78" s="11" t="s">
        <v>305</v>
      </c>
      <c r="I78" s="11" t="s">
        <v>306</v>
      </c>
      <c r="J78" s="12">
        <v>0.55559999999999998</v>
      </c>
      <c r="K78" s="13">
        <v>13</v>
      </c>
      <c r="L78" s="14">
        <v>4100</v>
      </c>
      <c r="M78" s="10">
        <v>1758</v>
      </c>
      <c r="N78" s="10">
        <v>453058</v>
      </c>
      <c r="O78" s="10">
        <v>137861</v>
      </c>
      <c r="P78" s="10">
        <v>590919</v>
      </c>
    </row>
    <row r="79" spans="1:16" ht="27" customHeight="1" x14ac:dyDescent="0.2">
      <c r="A79" s="9" t="s">
        <v>309</v>
      </c>
      <c r="B79" s="10" t="s">
        <v>310</v>
      </c>
      <c r="C79" s="11" t="s">
        <v>18</v>
      </c>
      <c r="D79" s="11" t="s">
        <v>19</v>
      </c>
      <c r="E79" s="11" t="s">
        <v>19</v>
      </c>
      <c r="F79" s="11" t="s">
        <v>311</v>
      </c>
      <c r="G79" s="11" t="s">
        <v>21</v>
      </c>
      <c r="H79" s="11" t="s">
        <v>312</v>
      </c>
      <c r="I79" s="11" t="s">
        <v>313</v>
      </c>
      <c r="J79" s="12">
        <v>1</v>
      </c>
      <c r="K79" s="13">
        <v>5</v>
      </c>
      <c r="L79" s="14">
        <v>363</v>
      </c>
      <c r="M79" s="10">
        <v>333</v>
      </c>
      <c r="N79" s="10">
        <v>40113</v>
      </c>
      <c r="O79" s="10">
        <v>26114</v>
      </c>
      <c r="P79" s="10">
        <v>66227</v>
      </c>
    </row>
    <row r="80" spans="1:16" ht="27" customHeight="1" x14ac:dyDescent="0.2">
      <c r="A80" s="9" t="s">
        <v>309</v>
      </c>
      <c r="B80" s="10" t="s">
        <v>310</v>
      </c>
      <c r="C80" s="11" t="s">
        <v>314</v>
      </c>
      <c r="D80" s="11" t="s">
        <v>315</v>
      </c>
      <c r="E80" s="11" t="s">
        <v>26</v>
      </c>
      <c r="F80" s="11" t="s">
        <v>316</v>
      </c>
      <c r="G80" s="11" t="s">
        <v>28</v>
      </c>
      <c r="H80" s="11" t="s">
        <v>316</v>
      </c>
      <c r="I80" s="11" t="s">
        <v>317</v>
      </c>
      <c r="J80" s="12">
        <v>0.45639999999999997</v>
      </c>
      <c r="K80" s="13">
        <v>1</v>
      </c>
      <c r="L80" s="14">
        <v>849</v>
      </c>
      <c r="M80" s="10">
        <v>387</v>
      </c>
      <c r="N80" s="10">
        <v>93816</v>
      </c>
      <c r="O80" s="10">
        <v>30348</v>
      </c>
      <c r="P80" s="10">
        <v>124164</v>
      </c>
    </row>
    <row r="81" spans="1:16" ht="27" customHeight="1" x14ac:dyDescent="0.2">
      <c r="A81" s="9" t="s">
        <v>309</v>
      </c>
      <c r="B81" s="10" t="s">
        <v>310</v>
      </c>
      <c r="C81" s="11" t="s">
        <v>318</v>
      </c>
      <c r="D81" s="11" t="s">
        <v>319</v>
      </c>
      <c r="E81" s="11" t="s">
        <v>57</v>
      </c>
      <c r="F81" s="11" t="s">
        <v>320</v>
      </c>
      <c r="G81" s="11" t="s">
        <v>28</v>
      </c>
      <c r="H81" s="11" t="s">
        <v>312</v>
      </c>
      <c r="I81" s="11" t="s">
        <v>313</v>
      </c>
      <c r="J81" s="12">
        <v>1</v>
      </c>
      <c r="K81" s="13">
        <v>1</v>
      </c>
      <c r="L81" s="14">
        <v>71</v>
      </c>
      <c r="M81" s="10">
        <v>67</v>
      </c>
      <c r="N81" s="10">
        <v>7846</v>
      </c>
      <c r="O81" s="10">
        <v>5254</v>
      </c>
      <c r="P81" s="10">
        <v>13100</v>
      </c>
    </row>
    <row r="82" spans="1:16" ht="27" customHeight="1" x14ac:dyDescent="0.2">
      <c r="A82" s="9" t="s">
        <v>309</v>
      </c>
      <c r="B82" s="10" t="s">
        <v>310</v>
      </c>
      <c r="C82" s="11" t="s">
        <v>321</v>
      </c>
      <c r="D82" s="11" t="s">
        <v>322</v>
      </c>
      <c r="E82" s="11" t="s">
        <v>26</v>
      </c>
      <c r="F82" s="11" t="s">
        <v>323</v>
      </c>
      <c r="G82" s="11" t="s">
        <v>28</v>
      </c>
      <c r="H82" s="11" t="s">
        <v>312</v>
      </c>
      <c r="I82" s="11" t="s">
        <v>313</v>
      </c>
      <c r="J82" s="12">
        <v>1</v>
      </c>
      <c r="K82" s="13">
        <v>1</v>
      </c>
      <c r="L82" s="14">
        <v>0</v>
      </c>
      <c r="M82" s="10">
        <v>0</v>
      </c>
      <c r="N82" s="10">
        <v>0</v>
      </c>
      <c r="O82" s="10">
        <v>0</v>
      </c>
      <c r="P82" s="10">
        <v>0</v>
      </c>
    </row>
    <row r="83" spans="1:16" ht="27" customHeight="1" x14ac:dyDescent="0.2">
      <c r="A83" s="9" t="s">
        <v>309</v>
      </c>
      <c r="B83" s="10" t="s">
        <v>310</v>
      </c>
      <c r="C83" s="11" t="s">
        <v>324</v>
      </c>
      <c r="D83" s="11" t="s">
        <v>325</v>
      </c>
      <c r="E83" s="11" t="s">
        <v>57</v>
      </c>
      <c r="F83" s="11" t="s">
        <v>326</v>
      </c>
      <c r="G83" s="11" t="s">
        <v>28</v>
      </c>
      <c r="H83" s="11" t="s">
        <v>326</v>
      </c>
      <c r="I83" s="11" t="s">
        <v>327</v>
      </c>
      <c r="J83" s="12">
        <v>0.84660000000000002</v>
      </c>
      <c r="K83" s="13">
        <v>1</v>
      </c>
      <c r="L83" s="14">
        <v>163</v>
      </c>
      <c r="M83" s="10">
        <v>138</v>
      </c>
      <c r="N83" s="10">
        <v>18012</v>
      </c>
      <c r="O83" s="10">
        <v>10822</v>
      </c>
      <c r="P83" s="10">
        <v>28834</v>
      </c>
    </row>
    <row r="84" spans="1:16" ht="27" customHeight="1" x14ac:dyDescent="0.2">
      <c r="A84" s="9" t="s">
        <v>309</v>
      </c>
      <c r="B84" s="10" t="s">
        <v>328</v>
      </c>
      <c r="C84" s="11" t="s">
        <v>18</v>
      </c>
      <c r="D84" s="11" t="s">
        <v>19</v>
      </c>
      <c r="E84" s="11" t="s">
        <v>19</v>
      </c>
      <c r="F84" s="11" t="s">
        <v>329</v>
      </c>
      <c r="G84" s="11" t="s">
        <v>83</v>
      </c>
      <c r="H84" s="11" t="s">
        <v>329</v>
      </c>
      <c r="I84" s="11" t="s">
        <v>330</v>
      </c>
      <c r="J84" s="12">
        <v>0.72460000000000002</v>
      </c>
      <c r="K84" s="13">
        <v>2</v>
      </c>
      <c r="L84" s="14">
        <v>69</v>
      </c>
      <c r="M84" s="10">
        <v>50</v>
      </c>
      <c r="N84" s="10">
        <v>7625</v>
      </c>
      <c r="O84" s="10">
        <v>3921</v>
      </c>
      <c r="P84" s="10">
        <v>11546</v>
      </c>
    </row>
    <row r="85" spans="1:16" ht="27" customHeight="1" x14ac:dyDescent="0.2">
      <c r="A85" s="9" t="s">
        <v>309</v>
      </c>
      <c r="B85" s="10" t="s">
        <v>331</v>
      </c>
      <c r="C85" s="11" t="s">
        <v>18</v>
      </c>
      <c r="D85" s="11" t="s">
        <v>19</v>
      </c>
      <c r="E85" s="11" t="s">
        <v>19</v>
      </c>
      <c r="F85" s="11" t="s">
        <v>332</v>
      </c>
      <c r="G85" s="11" t="s">
        <v>83</v>
      </c>
      <c r="H85" s="11" t="s">
        <v>333</v>
      </c>
      <c r="I85" s="11" t="s">
        <v>334</v>
      </c>
      <c r="J85" s="12">
        <v>0.62160000000000004</v>
      </c>
      <c r="K85" s="13">
        <v>4</v>
      </c>
      <c r="L85" s="14">
        <v>532</v>
      </c>
      <c r="M85" s="10">
        <v>292</v>
      </c>
      <c r="N85" s="10">
        <v>58787</v>
      </c>
      <c r="O85" s="10">
        <v>22898</v>
      </c>
      <c r="P85" s="10">
        <v>81685</v>
      </c>
    </row>
    <row r="86" spans="1:16" ht="27" customHeight="1" x14ac:dyDescent="0.2">
      <c r="A86" s="9" t="s">
        <v>309</v>
      </c>
      <c r="B86" s="10" t="s">
        <v>335</v>
      </c>
      <c r="C86" s="11" t="s">
        <v>18</v>
      </c>
      <c r="D86" s="11" t="s">
        <v>19</v>
      </c>
      <c r="E86" s="11" t="s">
        <v>19</v>
      </c>
      <c r="F86" s="11" t="s">
        <v>336</v>
      </c>
      <c r="G86" s="11" t="s">
        <v>83</v>
      </c>
      <c r="H86" s="11" t="s">
        <v>337</v>
      </c>
      <c r="I86" s="11" t="s">
        <v>338</v>
      </c>
      <c r="J86" s="12">
        <v>0.89329999999999998</v>
      </c>
      <c r="K86" s="13">
        <v>23</v>
      </c>
      <c r="L86" s="14">
        <v>12245</v>
      </c>
      <c r="M86" s="10">
        <v>6957</v>
      </c>
      <c r="N86" s="10">
        <v>1353093</v>
      </c>
      <c r="O86" s="10">
        <v>545558</v>
      </c>
      <c r="P86" s="10">
        <v>1898651</v>
      </c>
    </row>
    <row r="87" spans="1:16" ht="27" customHeight="1" x14ac:dyDescent="0.2">
      <c r="A87" s="9" t="s">
        <v>309</v>
      </c>
      <c r="B87" s="10" t="s">
        <v>335</v>
      </c>
      <c r="C87" s="11" t="s">
        <v>339</v>
      </c>
      <c r="D87" s="11" t="s">
        <v>340</v>
      </c>
      <c r="E87" s="11" t="s">
        <v>26</v>
      </c>
      <c r="F87" s="11" t="s">
        <v>341</v>
      </c>
      <c r="G87" s="11" t="s">
        <v>28</v>
      </c>
      <c r="H87" s="11" t="s">
        <v>341</v>
      </c>
      <c r="I87" s="11" t="s">
        <v>342</v>
      </c>
      <c r="J87" s="12">
        <v>0.22270000000000001</v>
      </c>
      <c r="K87" s="13">
        <v>1</v>
      </c>
      <c r="L87" s="14">
        <v>211</v>
      </c>
      <c r="M87" s="10">
        <v>47</v>
      </c>
      <c r="N87" s="10">
        <v>23316</v>
      </c>
      <c r="O87" s="10">
        <v>3686</v>
      </c>
      <c r="P87" s="10">
        <v>27002</v>
      </c>
    </row>
    <row r="88" spans="1:16" ht="27" customHeight="1" x14ac:dyDescent="0.2">
      <c r="A88" s="9" t="s">
        <v>309</v>
      </c>
      <c r="B88" s="10" t="s">
        <v>335</v>
      </c>
      <c r="C88" s="11" t="s">
        <v>343</v>
      </c>
      <c r="D88" s="11" t="s">
        <v>344</v>
      </c>
      <c r="E88" s="11" t="s">
        <v>26</v>
      </c>
      <c r="F88" s="11" t="s">
        <v>345</v>
      </c>
      <c r="G88" s="11" t="s">
        <v>28</v>
      </c>
      <c r="H88" s="11" t="s">
        <v>345</v>
      </c>
      <c r="I88" s="11" t="s">
        <v>346</v>
      </c>
      <c r="J88" s="12">
        <v>0.5514</v>
      </c>
      <c r="K88" s="13">
        <v>1</v>
      </c>
      <c r="L88" s="14">
        <v>107</v>
      </c>
      <c r="M88" s="10">
        <v>59</v>
      </c>
      <c r="N88" s="10">
        <v>11824</v>
      </c>
      <c r="O88" s="10">
        <v>4627</v>
      </c>
      <c r="P88" s="10">
        <v>16451</v>
      </c>
    </row>
    <row r="89" spans="1:16" ht="27" customHeight="1" x14ac:dyDescent="0.2">
      <c r="A89" s="9" t="s">
        <v>309</v>
      </c>
      <c r="B89" s="10" t="s">
        <v>335</v>
      </c>
      <c r="C89" s="11" t="s">
        <v>347</v>
      </c>
      <c r="D89" s="11" t="s">
        <v>348</v>
      </c>
      <c r="E89" s="11" t="s">
        <v>26</v>
      </c>
      <c r="F89" s="11" t="s">
        <v>349</v>
      </c>
      <c r="G89" s="11" t="s">
        <v>28</v>
      </c>
      <c r="H89" s="11" t="s">
        <v>312</v>
      </c>
      <c r="I89" s="11" t="s">
        <v>313</v>
      </c>
      <c r="J89" s="12">
        <v>1</v>
      </c>
      <c r="K89" s="13">
        <v>1</v>
      </c>
      <c r="L89" s="14">
        <v>366</v>
      </c>
      <c r="M89" s="10">
        <v>157</v>
      </c>
      <c r="N89" s="10">
        <v>40444</v>
      </c>
      <c r="O89" s="10">
        <v>12312</v>
      </c>
      <c r="P89" s="10">
        <v>52756</v>
      </c>
    </row>
    <row r="90" spans="1:16" ht="27" customHeight="1" x14ac:dyDescent="0.2">
      <c r="A90" s="9" t="s">
        <v>309</v>
      </c>
      <c r="B90" s="10" t="s">
        <v>335</v>
      </c>
      <c r="C90" s="11" t="s">
        <v>350</v>
      </c>
      <c r="D90" s="11" t="s">
        <v>351</v>
      </c>
      <c r="E90" s="11" t="s">
        <v>26</v>
      </c>
      <c r="F90" s="11" t="s">
        <v>352</v>
      </c>
      <c r="G90" s="11" t="s">
        <v>28</v>
      </c>
      <c r="H90" s="11" t="s">
        <v>352</v>
      </c>
      <c r="I90" s="11" t="s">
        <v>353</v>
      </c>
      <c r="J90" s="12">
        <v>0.43880000000000002</v>
      </c>
      <c r="K90" s="13">
        <v>1</v>
      </c>
      <c r="L90" s="14">
        <v>98</v>
      </c>
      <c r="M90" s="10">
        <v>43</v>
      </c>
      <c r="N90" s="10">
        <v>10829</v>
      </c>
      <c r="O90" s="10">
        <v>3372</v>
      </c>
      <c r="P90" s="10">
        <v>14201</v>
      </c>
    </row>
    <row r="91" spans="1:16" ht="27" customHeight="1" x14ac:dyDescent="0.2">
      <c r="A91" s="9" t="s">
        <v>309</v>
      </c>
      <c r="B91" s="10" t="s">
        <v>335</v>
      </c>
      <c r="C91" s="11" t="s">
        <v>354</v>
      </c>
      <c r="D91" s="11" t="s">
        <v>355</v>
      </c>
      <c r="E91" s="11" t="s">
        <v>26</v>
      </c>
      <c r="F91" s="11" t="s">
        <v>356</v>
      </c>
      <c r="G91" s="11" t="s">
        <v>28</v>
      </c>
      <c r="H91" s="11" t="s">
        <v>356</v>
      </c>
      <c r="I91" s="11" t="s">
        <v>357</v>
      </c>
      <c r="J91" s="12">
        <v>0.26029999999999998</v>
      </c>
      <c r="K91" s="13">
        <v>1</v>
      </c>
      <c r="L91" s="14">
        <v>146</v>
      </c>
      <c r="M91" s="10">
        <v>38</v>
      </c>
      <c r="N91" s="10">
        <v>16133</v>
      </c>
      <c r="O91" s="10">
        <v>2980</v>
      </c>
      <c r="P91" s="10">
        <v>19113</v>
      </c>
    </row>
    <row r="92" spans="1:16" ht="27" customHeight="1" x14ac:dyDescent="0.2">
      <c r="A92" s="9" t="s">
        <v>309</v>
      </c>
      <c r="B92" s="10" t="s">
        <v>335</v>
      </c>
      <c r="C92" s="11" t="s">
        <v>358</v>
      </c>
      <c r="D92" s="11" t="s">
        <v>359</v>
      </c>
      <c r="E92" s="11" t="s">
        <v>26</v>
      </c>
      <c r="F92" s="11" t="s">
        <v>360</v>
      </c>
      <c r="G92" s="11" t="s">
        <v>28</v>
      </c>
      <c r="H92" s="11" t="s">
        <v>360</v>
      </c>
      <c r="I92" s="11" t="s">
        <v>361</v>
      </c>
      <c r="J92" s="12">
        <v>0.6552</v>
      </c>
      <c r="K92" s="13">
        <v>1</v>
      </c>
      <c r="L92" s="14">
        <v>87</v>
      </c>
      <c r="M92" s="10">
        <v>57</v>
      </c>
      <c r="N92" s="10">
        <v>9614</v>
      </c>
      <c r="O92" s="10">
        <v>4470</v>
      </c>
      <c r="P92" s="10">
        <v>14084</v>
      </c>
    </row>
    <row r="93" spans="1:16" ht="27" customHeight="1" x14ac:dyDescent="0.2">
      <c r="A93" s="9" t="s">
        <v>309</v>
      </c>
      <c r="B93" s="10" t="s">
        <v>335</v>
      </c>
      <c r="C93" s="11" t="s">
        <v>362</v>
      </c>
      <c r="D93" s="11" t="s">
        <v>363</v>
      </c>
      <c r="E93" s="11" t="s">
        <v>26</v>
      </c>
      <c r="F93" s="11" t="s">
        <v>364</v>
      </c>
      <c r="G93" s="11" t="s">
        <v>28</v>
      </c>
      <c r="H93" s="11" t="s">
        <v>364</v>
      </c>
      <c r="I93" s="11" t="s">
        <v>365</v>
      </c>
      <c r="J93" s="12">
        <v>0.44890000000000002</v>
      </c>
      <c r="K93" s="13">
        <v>1</v>
      </c>
      <c r="L93" s="14">
        <v>225</v>
      </c>
      <c r="M93" s="10">
        <v>101</v>
      </c>
      <c r="N93" s="10">
        <v>24863</v>
      </c>
      <c r="O93" s="10">
        <v>7920</v>
      </c>
      <c r="P93" s="10">
        <v>32783</v>
      </c>
    </row>
    <row r="94" spans="1:16" ht="27" customHeight="1" x14ac:dyDescent="0.2">
      <c r="A94" s="9" t="s">
        <v>309</v>
      </c>
      <c r="B94" s="10" t="s">
        <v>335</v>
      </c>
      <c r="C94" s="11" t="s">
        <v>366</v>
      </c>
      <c r="D94" s="11" t="s">
        <v>367</v>
      </c>
      <c r="E94" s="11" t="s">
        <v>26</v>
      </c>
      <c r="F94" s="11" t="s">
        <v>368</v>
      </c>
      <c r="G94" s="11" t="s">
        <v>28</v>
      </c>
      <c r="H94" s="11" t="s">
        <v>368</v>
      </c>
      <c r="I94" s="11" t="s">
        <v>369</v>
      </c>
      <c r="J94" s="12">
        <v>0.25269999999999998</v>
      </c>
      <c r="K94" s="13">
        <v>1</v>
      </c>
      <c r="L94" s="14">
        <v>566</v>
      </c>
      <c r="M94" s="10">
        <v>143</v>
      </c>
      <c r="N94" s="10">
        <v>62544</v>
      </c>
      <c r="O94" s="10">
        <v>11214</v>
      </c>
      <c r="P94" s="10">
        <v>73758</v>
      </c>
    </row>
    <row r="95" spans="1:16" ht="27" customHeight="1" x14ac:dyDescent="0.2">
      <c r="A95" s="9" t="s">
        <v>309</v>
      </c>
      <c r="B95" s="10" t="s">
        <v>335</v>
      </c>
      <c r="C95" s="11" t="s">
        <v>370</v>
      </c>
      <c r="D95" s="11" t="s">
        <v>371</v>
      </c>
      <c r="E95" s="11" t="s">
        <v>26</v>
      </c>
      <c r="F95" s="11" t="s">
        <v>372</v>
      </c>
      <c r="G95" s="11" t="s">
        <v>28</v>
      </c>
      <c r="H95" s="11" t="s">
        <v>372</v>
      </c>
      <c r="I95" s="11" t="s">
        <v>373</v>
      </c>
      <c r="J95" s="12">
        <v>0.57410000000000005</v>
      </c>
      <c r="K95" s="13">
        <v>1</v>
      </c>
      <c r="L95" s="14">
        <v>263</v>
      </c>
      <c r="M95" s="10">
        <v>151</v>
      </c>
      <c r="N95" s="10">
        <v>29062</v>
      </c>
      <c r="O95" s="10">
        <v>11841</v>
      </c>
      <c r="P95" s="10">
        <v>40903</v>
      </c>
    </row>
    <row r="96" spans="1:16" ht="27" customHeight="1" x14ac:dyDescent="0.2">
      <c r="A96" s="9" t="s">
        <v>309</v>
      </c>
      <c r="B96" s="10" t="s">
        <v>374</v>
      </c>
      <c r="C96" s="11" t="s">
        <v>18</v>
      </c>
      <c r="D96" s="11" t="s">
        <v>19</v>
      </c>
      <c r="E96" s="11" t="s">
        <v>19</v>
      </c>
      <c r="F96" s="11" t="s">
        <v>375</v>
      </c>
      <c r="G96" s="11" t="s">
        <v>83</v>
      </c>
      <c r="H96" s="11" t="s">
        <v>376</v>
      </c>
      <c r="I96" s="11" t="s">
        <v>377</v>
      </c>
      <c r="J96" s="12">
        <v>0.36880000000000002</v>
      </c>
      <c r="K96" s="13">
        <v>4</v>
      </c>
      <c r="L96" s="14">
        <v>1003</v>
      </c>
      <c r="M96" s="10">
        <v>386</v>
      </c>
      <c r="N96" s="10">
        <v>110834</v>
      </c>
      <c r="O96" s="10">
        <v>30269</v>
      </c>
      <c r="P96" s="10">
        <v>141103</v>
      </c>
    </row>
    <row r="97" spans="1:16" ht="27" customHeight="1" x14ac:dyDescent="0.2">
      <c r="A97" s="9" t="s">
        <v>309</v>
      </c>
      <c r="B97" s="10" t="s">
        <v>378</v>
      </c>
      <c r="C97" s="11" t="s">
        <v>18</v>
      </c>
      <c r="D97" s="11" t="s">
        <v>19</v>
      </c>
      <c r="E97" s="11" t="s">
        <v>19</v>
      </c>
      <c r="F97" s="11" t="s">
        <v>379</v>
      </c>
      <c r="G97" s="11" t="s">
        <v>83</v>
      </c>
      <c r="H97" s="11" t="s">
        <v>380</v>
      </c>
      <c r="I97" s="11" t="s">
        <v>381</v>
      </c>
      <c r="J97" s="12">
        <v>0.95650000000000002</v>
      </c>
      <c r="K97" s="13">
        <v>2</v>
      </c>
      <c r="L97" s="14">
        <v>70</v>
      </c>
      <c r="M97" s="10">
        <v>67</v>
      </c>
      <c r="N97" s="10">
        <v>7735</v>
      </c>
      <c r="O97" s="10">
        <v>5254</v>
      </c>
      <c r="P97" s="10">
        <v>12989</v>
      </c>
    </row>
    <row r="98" spans="1:16" ht="27" customHeight="1" x14ac:dyDescent="0.2">
      <c r="A98" s="9" t="s">
        <v>309</v>
      </c>
      <c r="B98" s="10" t="s">
        <v>382</v>
      </c>
      <c r="C98" s="11" t="s">
        <v>18</v>
      </c>
      <c r="D98" s="11" t="s">
        <v>19</v>
      </c>
      <c r="E98" s="11" t="s">
        <v>19</v>
      </c>
      <c r="F98" s="11" t="s">
        <v>383</v>
      </c>
      <c r="G98" s="11" t="s">
        <v>83</v>
      </c>
      <c r="H98" s="11" t="s">
        <v>383</v>
      </c>
      <c r="I98" s="11" t="s">
        <v>384</v>
      </c>
      <c r="J98" s="12">
        <v>0.48449999999999999</v>
      </c>
      <c r="K98" s="13">
        <v>2</v>
      </c>
      <c r="L98" s="14">
        <v>322</v>
      </c>
      <c r="M98" s="10">
        <v>156</v>
      </c>
      <c r="N98" s="10">
        <v>35582</v>
      </c>
      <c r="O98" s="10">
        <v>12233</v>
      </c>
      <c r="P98" s="10">
        <v>47815</v>
      </c>
    </row>
    <row r="99" spans="1:16" ht="27" customHeight="1" x14ac:dyDescent="0.2">
      <c r="A99" s="9" t="s">
        <v>309</v>
      </c>
      <c r="B99" s="10" t="s">
        <v>385</v>
      </c>
      <c r="C99" s="11" t="s">
        <v>18</v>
      </c>
      <c r="D99" s="11" t="s">
        <v>19</v>
      </c>
      <c r="E99" s="11" t="s">
        <v>19</v>
      </c>
      <c r="F99" s="11" t="s">
        <v>386</v>
      </c>
      <c r="G99" s="11" t="s">
        <v>83</v>
      </c>
      <c r="H99" s="11" t="s">
        <v>387</v>
      </c>
      <c r="I99" s="11" t="s">
        <v>388</v>
      </c>
      <c r="J99" s="12">
        <v>0.88100000000000001</v>
      </c>
      <c r="K99" s="13">
        <v>8</v>
      </c>
      <c r="L99" s="14">
        <v>2179</v>
      </c>
      <c r="M99" s="10">
        <v>1652</v>
      </c>
      <c r="N99" s="10">
        <v>240783</v>
      </c>
      <c r="O99" s="10">
        <v>129548</v>
      </c>
      <c r="P99" s="10">
        <v>370331</v>
      </c>
    </row>
    <row r="100" spans="1:16" ht="27" customHeight="1" x14ac:dyDescent="0.2">
      <c r="A100" s="9" t="s">
        <v>309</v>
      </c>
      <c r="B100" s="10" t="s">
        <v>385</v>
      </c>
      <c r="C100" s="11" t="s">
        <v>389</v>
      </c>
      <c r="D100" s="11" t="s">
        <v>390</v>
      </c>
      <c r="E100" s="11" t="s">
        <v>26</v>
      </c>
      <c r="F100" s="11" t="s">
        <v>391</v>
      </c>
      <c r="G100" s="11" t="s">
        <v>28</v>
      </c>
      <c r="H100" s="11" t="s">
        <v>391</v>
      </c>
      <c r="I100" s="11" t="s">
        <v>392</v>
      </c>
      <c r="J100" s="12">
        <v>0.69840000000000002</v>
      </c>
      <c r="K100" s="13">
        <v>1</v>
      </c>
      <c r="L100" s="14">
        <v>63</v>
      </c>
      <c r="M100" s="10">
        <v>44</v>
      </c>
      <c r="N100" s="10">
        <v>6962</v>
      </c>
      <c r="O100" s="10">
        <v>3450</v>
      </c>
      <c r="P100" s="10">
        <v>10412</v>
      </c>
    </row>
    <row r="101" spans="1:16" ht="27" customHeight="1" x14ac:dyDescent="0.2">
      <c r="A101" s="9" t="s">
        <v>309</v>
      </c>
      <c r="B101" s="10" t="s">
        <v>385</v>
      </c>
      <c r="C101" s="11" t="s">
        <v>393</v>
      </c>
      <c r="D101" s="11" t="s">
        <v>394</v>
      </c>
      <c r="E101" s="11" t="s">
        <v>26</v>
      </c>
      <c r="F101" s="11" t="s">
        <v>395</v>
      </c>
      <c r="G101" s="11" t="s">
        <v>28</v>
      </c>
      <c r="H101" s="11" t="s">
        <v>395</v>
      </c>
      <c r="I101" s="11" t="s">
        <v>396</v>
      </c>
      <c r="J101" s="12">
        <v>0.48830000000000001</v>
      </c>
      <c r="K101" s="13">
        <v>1</v>
      </c>
      <c r="L101" s="14">
        <v>428</v>
      </c>
      <c r="M101" s="10">
        <v>209</v>
      </c>
      <c r="N101" s="10">
        <v>47295</v>
      </c>
      <c r="O101" s="10">
        <v>16390</v>
      </c>
      <c r="P101" s="10">
        <v>63685</v>
      </c>
    </row>
    <row r="102" spans="1:16" ht="27" customHeight="1" x14ac:dyDescent="0.2">
      <c r="A102" s="9" t="s">
        <v>309</v>
      </c>
      <c r="B102" s="10" t="s">
        <v>397</v>
      </c>
      <c r="C102" s="11" t="s">
        <v>18</v>
      </c>
      <c r="D102" s="11" t="s">
        <v>19</v>
      </c>
      <c r="E102" s="11" t="s">
        <v>19</v>
      </c>
      <c r="F102" s="11" t="s">
        <v>398</v>
      </c>
      <c r="G102" s="11" t="s">
        <v>83</v>
      </c>
      <c r="H102" s="11" t="s">
        <v>312</v>
      </c>
      <c r="I102" s="11" t="s">
        <v>313</v>
      </c>
      <c r="J102" s="12">
        <v>1</v>
      </c>
      <c r="K102" s="13">
        <v>5</v>
      </c>
      <c r="L102" s="14">
        <v>2346</v>
      </c>
      <c r="M102" s="10">
        <v>1909</v>
      </c>
      <c r="N102" s="10">
        <v>259238</v>
      </c>
      <c r="O102" s="10">
        <v>149701</v>
      </c>
      <c r="P102" s="10">
        <v>408939</v>
      </c>
    </row>
    <row r="103" spans="1:16" ht="27" customHeight="1" x14ac:dyDescent="0.2">
      <c r="A103" s="9" t="s">
        <v>309</v>
      </c>
      <c r="B103" s="10" t="s">
        <v>399</v>
      </c>
      <c r="C103" s="11" t="s">
        <v>18</v>
      </c>
      <c r="D103" s="11" t="s">
        <v>19</v>
      </c>
      <c r="E103" s="11" t="s">
        <v>19</v>
      </c>
      <c r="F103" s="11" t="s">
        <v>400</v>
      </c>
      <c r="G103" s="11" t="s">
        <v>83</v>
      </c>
      <c r="H103" s="11" t="s">
        <v>401</v>
      </c>
      <c r="I103" s="11" t="s">
        <v>402</v>
      </c>
      <c r="J103" s="12">
        <v>0.94120000000000004</v>
      </c>
      <c r="K103" s="13">
        <v>7</v>
      </c>
      <c r="L103" s="14">
        <v>1316</v>
      </c>
      <c r="M103" s="10">
        <v>1077</v>
      </c>
      <c r="N103" s="10">
        <v>145421</v>
      </c>
      <c r="O103" s="10">
        <v>84457</v>
      </c>
      <c r="P103" s="10">
        <v>229878</v>
      </c>
    </row>
    <row r="104" spans="1:16" ht="27" customHeight="1" x14ac:dyDescent="0.2">
      <c r="A104" s="9" t="s">
        <v>309</v>
      </c>
      <c r="B104" s="10" t="s">
        <v>403</v>
      </c>
      <c r="C104" s="11" t="s">
        <v>18</v>
      </c>
      <c r="D104" s="11" t="s">
        <v>19</v>
      </c>
      <c r="E104" s="11" t="s">
        <v>19</v>
      </c>
      <c r="F104" s="11" t="s">
        <v>404</v>
      </c>
      <c r="G104" s="11" t="s">
        <v>83</v>
      </c>
      <c r="H104" s="11" t="s">
        <v>405</v>
      </c>
      <c r="I104" s="11" t="s">
        <v>406</v>
      </c>
      <c r="J104" s="12">
        <v>0.76439999999999997</v>
      </c>
      <c r="K104" s="13">
        <v>12</v>
      </c>
      <c r="L104" s="14">
        <v>1590</v>
      </c>
      <c r="M104" s="10">
        <v>997</v>
      </c>
      <c r="N104" s="10">
        <v>175698</v>
      </c>
      <c r="O104" s="10">
        <v>78184</v>
      </c>
      <c r="P104" s="10">
        <v>253882</v>
      </c>
    </row>
    <row r="105" spans="1:16" ht="27" customHeight="1" x14ac:dyDescent="0.2">
      <c r="A105" s="9" t="s">
        <v>309</v>
      </c>
      <c r="B105" s="10" t="s">
        <v>403</v>
      </c>
      <c r="C105" s="11" t="s">
        <v>407</v>
      </c>
      <c r="D105" s="11" t="s">
        <v>408</v>
      </c>
      <c r="E105" s="11" t="s">
        <v>26</v>
      </c>
      <c r="F105" s="11" t="s">
        <v>409</v>
      </c>
      <c r="G105" s="11" t="s">
        <v>28</v>
      </c>
      <c r="H105" s="11" t="s">
        <v>409</v>
      </c>
      <c r="I105" s="11" t="s">
        <v>410</v>
      </c>
      <c r="J105" s="12">
        <v>0.39839999999999998</v>
      </c>
      <c r="K105" s="13">
        <v>1</v>
      </c>
      <c r="L105" s="14">
        <v>123</v>
      </c>
      <c r="M105" s="10">
        <v>49</v>
      </c>
      <c r="N105" s="10">
        <v>13592</v>
      </c>
      <c r="O105" s="10">
        <v>3843</v>
      </c>
      <c r="P105" s="10">
        <v>17435</v>
      </c>
    </row>
    <row r="106" spans="1:16" ht="27" customHeight="1" x14ac:dyDescent="0.2">
      <c r="A106" s="9" t="s">
        <v>309</v>
      </c>
      <c r="B106" s="10" t="s">
        <v>403</v>
      </c>
      <c r="C106" s="11" t="s">
        <v>411</v>
      </c>
      <c r="D106" s="11" t="s">
        <v>412</v>
      </c>
      <c r="E106" s="11" t="s">
        <v>26</v>
      </c>
      <c r="F106" s="11" t="s">
        <v>413</v>
      </c>
      <c r="G106" s="11" t="s">
        <v>28</v>
      </c>
      <c r="H106" s="11" t="s">
        <v>413</v>
      </c>
      <c r="I106" s="11" t="s">
        <v>414</v>
      </c>
      <c r="J106" s="12">
        <v>0.77110000000000001</v>
      </c>
      <c r="K106" s="13">
        <v>1</v>
      </c>
      <c r="L106" s="14">
        <v>83</v>
      </c>
      <c r="M106" s="10">
        <v>64</v>
      </c>
      <c r="N106" s="10">
        <v>9172</v>
      </c>
      <c r="O106" s="10">
        <v>5019</v>
      </c>
      <c r="P106" s="10">
        <v>14191</v>
      </c>
    </row>
    <row r="107" spans="1:16" ht="27" customHeight="1" x14ac:dyDescent="0.2">
      <c r="A107" s="9" t="s">
        <v>309</v>
      </c>
      <c r="B107" s="10" t="s">
        <v>403</v>
      </c>
      <c r="C107" s="11" t="s">
        <v>415</v>
      </c>
      <c r="D107" s="11" t="s">
        <v>416</v>
      </c>
      <c r="E107" s="11" t="s">
        <v>26</v>
      </c>
      <c r="F107" s="11" t="s">
        <v>417</v>
      </c>
      <c r="G107" s="11" t="s">
        <v>28</v>
      </c>
      <c r="H107" s="11" t="s">
        <v>312</v>
      </c>
      <c r="I107" s="11" t="s">
        <v>313</v>
      </c>
      <c r="J107" s="12">
        <v>1</v>
      </c>
      <c r="K107" s="13">
        <v>1</v>
      </c>
      <c r="L107" s="14">
        <v>143</v>
      </c>
      <c r="M107" s="10">
        <v>45</v>
      </c>
      <c r="N107" s="10">
        <v>15802</v>
      </c>
      <c r="O107" s="10">
        <v>3529</v>
      </c>
      <c r="P107" s="10">
        <v>19331</v>
      </c>
    </row>
    <row r="108" spans="1:16" ht="27" customHeight="1" x14ac:dyDescent="0.2">
      <c r="A108" s="9" t="s">
        <v>309</v>
      </c>
      <c r="B108" s="10" t="s">
        <v>403</v>
      </c>
      <c r="C108" s="11" t="s">
        <v>418</v>
      </c>
      <c r="D108" s="11" t="s">
        <v>419</v>
      </c>
      <c r="E108" s="11" t="s">
        <v>26</v>
      </c>
      <c r="F108" s="11" t="s">
        <v>420</v>
      </c>
      <c r="G108" s="11" t="s">
        <v>28</v>
      </c>
      <c r="H108" s="11" t="s">
        <v>420</v>
      </c>
      <c r="I108" s="11" t="s">
        <v>421</v>
      </c>
      <c r="J108" s="12">
        <v>0.5978</v>
      </c>
      <c r="K108" s="13">
        <v>1</v>
      </c>
      <c r="L108" s="14">
        <v>179</v>
      </c>
      <c r="M108" s="10">
        <v>107</v>
      </c>
      <c r="N108" s="10">
        <v>19780</v>
      </c>
      <c r="O108" s="10">
        <v>8391</v>
      </c>
      <c r="P108" s="10">
        <v>28171</v>
      </c>
    </row>
    <row r="109" spans="1:16" ht="27" customHeight="1" x14ac:dyDescent="0.2">
      <c r="A109" s="9" t="s">
        <v>309</v>
      </c>
      <c r="B109" s="10" t="s">
        <v>422</v>
      </c>
      <c r="C109" s="11" t="s">
        <v>18</v>
      </c>
      <c r="D109" s="11" t="s">
        <v>19</v>
      </c>
      <c r="E109" s="11" t="s">
        <v>19</v>
      </c>
      <c r="F109" s="11" t="s">
        <v>423</v>
      </c>
      <c r="G109" s="11" t="s">
        <v>83</v>
      </c>
      <c r="H109" s="11" t="s">
        <v>424</v>
      </c>
      <c r="I109" s="11" t="s">
        <v>425</v>
      </c>
      <c r="J109" s="12">
        <v>0.87339999999999995</v>
      </c>
      <c r="K109" s="13">
        <v>7</v>
      </c>
      <c r="L109" s="14">
        <v>1671</v>
      </c>
      <c r="M109" s="10">
        <v>1419</v>
      </c>
      <c r="N109" s="10">
        <v>184648</v>
      </c>
      <c r="O109" s="10">
        <v>111275</v>
      </c>
      <c r="P109" s="10">
        <v>295923</v>
      </c>
    </row>
    <row r="110" spans="1:16" ht="27" customHeight="1" x14ac:dyDescent="0.2">
      <c r="A110" s="9" t="s">
        <v>309</v>
      </c>
      <c r="B110" s="10" t="s">
        <v>426</v>
      </c>
      <c r="C110" s="11" t="s">
        <v>18</v>
      </c>
      <c r="D110" s="11" t="s">
        <v>19</v>
      </c>
      <c r="E110" s="11" t="s">
        <v>19</v>
      </c>
      <c r="F110" s="11" t="s">
        <v>427</v>
      </c>
      <c r="G110" s="11" t="s">
        <v>83</v>
      </c>
      <c r="H110" s="11" t="s">
        <v>312</v>
      </c>
      <c r="I110" s="11" t="s">
        <v>313</v>
      </c>
      <c r="J110" s="12">
        <v>1</v>
      </c>
      <c r="K110" s="13">
        <v>2</v>
      </c>
      <c r="L110" s="14">
        <v>30</v>
      </c>
      <c r="M110" s="10">
        <v>30</v>
      </c>
      <c r="N110" s="10">
        <v>3315</v>
      </c>
      <c r="O110" s="10">
        <v>2353</v>
      </c>
      <c r="P110" s="10">
        <v>5668</v>
      </c>
    </row>
    <row r="111" spans="1:16" ht="27" customHeight="1" x14ac:dyDescent="0.2">
      <c r="A111" s="9" t="s">
        <v>309</v>
      </c>
      <c r="B111" s="10" t="s">
        <v>428</v>
      </c>
      <c r="C111" s="11" t="s">
        <v>18</v>
      </c>
      <c r="D111" s="11" t="s">
        <v>19</v>
      </c>
      <c r="E111" s="11" t="s">
        <v>19</v>
      </c>
      <c r="F111" s="11" t="s">
        <v>429</v>
      </c>
      <c r="G111" s="11" t="s">
        <v>83</v>
      </c>
      <c r="H111" s="11" t="s">
        <v>430</v>
      </c>
      <c r="I111" s="11" t="s">
        <v>431</v>
      </c>
      <c r="J111" s="12">
        <v>0.75149999999999995</v>
      </c>
      <c r="K111" s="13">
        <v>6</v>
      </c>
      <c r="L111" s="14">
        <v>2046</v>
      </c>
      <c r="M111" s="10">
        <v>1380</v>
      </c>
      <c r="N111" s="10">
        <v>226086</v>
      </c>
      <c r="O111" s="10">
        <v>108218</v>
      </c>
      <c r="P111" s="10">
        <v>334304</v>
      </c>
    </row>
    <row r="112" spans="1:16" ht="27" customHeight="1" x14ac:dyDescent="0.2">
      <c r="A112" s="9" t="s">
        <v>432</v>
      </c>
      <c r="B112" s="10" t="s">
        <v>433</v>
      </c>
      <c r="C112" s="11" t="s">
        <v>18</v>
      </c>
      <c r="D112" s="11" t="s">
        <v>19</v>
      </c>
      <c r="E112" s="11" t="s">
        <v>19</v>
      </c>
      <c r="F112" s="11" t="s">
        <v>434</v>
      </c>
      <c r="G112" s="11" t="s">
        <v>21</v>
      </c>
      <c r="H112" s="11" t="s">
        <v>435</v>
      </c>
      <c r="I112" s="11" t="s">
        <v>436</v>
      </c>
      <c r="J112" s="12">
        <v>0.69379999999999997</v>
      </c>
      <c r="K112" s="13">
        <v>4</v>
      </c>
      <c r="L112" s="14">
        <v>106</v>
      </c>
      <c r="M112" s="10">
        <v>75</v>
      </c>
      <c r="N112" s="10">
        <v>11714</v>
      </c>
      <c r="O112" s="10">
        <v>5881</v>
      </c>
      <c r="P112" s="10">
        <v>17595</v>
      </c>
    </row>
    <row r="113" spans="1:16" ht="27" customHeight="1" x14ac:dyDescent="0.2">
      <c r="A113" s="9" t="s">
        <v>432</v>
      </c>
      <c r="B113" s="10" t="s">
        <v>433</v>
      </c>
      <c r="C113" s="11" t="s">
        <v>437</v>
      </c>
      <c r="D113" s="11" t="s">
        <v>438</v>
      </c>
      <c r="E113" s="11" t="s">
        <v>57</v>
      </c>
      <c r="F113" s="11" t="s">
        <v>439</v>
      </c>
      <c r="G113" s="11" t="s">
        <v>28</v>
      </c>
      <c r="H113" s="11" t="s">
        <v>439</v>
      </c>
      <c r="I113" s="11" t="s">
        <v>440</v>
      </c>
      <c r="J113" s="12">
        <v>0.50749999999999995</v>
      </c>
      <c r="K113" s="13">
        <v>1</v>
      </c>
      <c r="L113" s="14">
        <v>402</v>
      </c>
      <c r="M113" s="10">
        <v>204</v>
      </c>
      <c r="N113" s="10">
        <v>44422</v>
      </c>
      <c r="O113" s="10">
        <v>15997</v>
      </c>
      <c r="P113" s="10">
        <v>60419</v>
      </c>
    </row>
    <row r="114" spans="1:16" ht="27" customHeight="1" x14ac:dyDescent="0.2">
      <c r="A114" s="9" t="s">
        <v>432</v>
      </c>
      <c r="B114" s="10" t="s">
        <v>441</v>
      </c>
      <c r="C114" s="11" t="s">
        <v>18</v>
      </c>
      <c r="D114" s="11" t="s">
        <v>19</v>
      </c>
      <c r="E114" s="11" t="s">
        <v>19</v>
      </c>
      <c r="F114" s="11" t="s">
        <v>442</v>
      </c>
      <c r="G114" s="11" t="s">
        <v>83</v>
      </c>
      <c r="H114" s="11" t="s">
        <v>435</v>
      </c>
      <c r="I114" s="11" t="s">
        <v>436</v>
      </c>
      <c r="J114" s="12">
        <v>0.69379999999999997</v>
      </c>
      <c r="K114" s="13">
        <v>3</v>
      </c>
      <c r="L114" s="14">
        <v>633</v>
      </c>
      <c r="M114" s="10">
        <v>281</v>
      </c>
      <c r="N114" s="10">
        <v>69947</v>
      </c>
      <c r="O114" s="10">
        <v>22036</v>
      </c>
      <c r="P114" s="10">
        <v>91983</v>
      </c>
    </row>
    <row r="115" spans="1:16" ht="27" customHeight="1" x14ac:dyDescent="0.2">
      <c r="A115" s="9" t="s">
        <v>432</v>
      </c>
      <c r="B115" s="10" t="s">
        <v>443</v>
      </c>
      <c r="C115" s="11" t="s">
        <v>18</v>
      </c>
      <c r="D115" s="11" t="s">
        <v>19</v>
      </c>
      <c r="E115" s="11" t="s">
        <v>19</v>
      </c>
      <c r="F115" s="11" t="s">
        <v>444</v>
      </c>
      <c r="G115" s="11" t="s">
        <v>83</v>
      </c>
      <c r="H115" s="11" t="s">
        <v>435</v>
      </c>
      <c r="I115" s="11" t="s">
        <v>436</v>
      </c>
      <c r="J115" s="12">
        <v>0.69379999999999997</v>
      </c>
      <c r="K115" s="13">
        <v>10</v>
      </c>
      <c r="L115" s="14">
        <v>2949</v>
      </c>
      <c r="M115" s="10">
        <v>1406</v>
      </c>
      <c r="N115" s="10">
        <v>325870</v>
      </c>
      <c r="O115" s="10">
        <v>110258</v>
      </c>
      <c r="P115" s="10">
        <v>436128</v>
      </c>
    </row>
    <row r="116" spans="1:16" ht="27" customHeight="1" x14ac:dyDescent="0.2">
      <c r="A116" s="9" t="s">
        <v>432</v>
      </c>
      <c r="B116" s="10" t="s">
        <v>445</v>
      </c>
      <c r="C116" s="11" t="s">
        <v>18</v>
      </c>
      <c r="D116" s="11" t="s">
        <v>19</v>
      </c>
      <c r="E116" s="11" t="s">
        <v>19</v>
      </c>
      <c r="F116" s="11" t="s">
        <v>446</v>
      </c>
      <c r="G116" s="11" t="s">
        <v>83</v>
      </c>
      <c r="H116" s="11" t="s">
        <v>447</v>
      </c>
      <c r="I116" s="11" t="s">
        <v>448</v>
      </c>
      <c r="J116" s="12">
        <v>0.56810000000000005</v>
      </c>
      <c r="K116" s="13">
        <v>4</v>
      </c>
      <c r="L116" s="14">
        <v>764</v>
      </c>
      <c r="M116" s="10">
        <v>407</v>
      </c>
      <c r="N116" s="10">
        <v>84424</v>
      </c>
      <c r="O116" s="10">
        <v>31916</v>
      </c>
      <c r="P116" s="10">
        <v>116340</v>
      </c>
    </row>
    <row r="117" spans="1:16" ht="27" customHeight="1" x14ac:dyDescent="0.2">
      <c r="A117" s="9" t="s">
        <v>432</v>
      </c>
      <c r="B117" s="10" t="s">
        <v>449</v>
      </c>
      <c r="C117" s="11" t="s">
        <v>18</v>
      </c>
      <c r="D117" s="11" t="s">
        <v>19</v>
      </c>
      <c r="E117" s="11" t="s">
        <v>19</v>
      </c>
      <c r="F117" s="11" t="s">
        <v>450</v>
      </c>
      <c r="G117" s="11" t="s">
        <v>83</v>
      </c>
      <c r="H117" s="11" t="s">
        <v>451</v>
      </c>
      <c r="I117" s="11" t="s">
        <v>452</v>
      </c>
      <c r="J117" s="12">
        <v>0.5</v>
      </c>
      <c r="K117" s="13">
        <v>5</v>
      </c>
      <c r="L117" s="14">
        <v>590</v>
      </c>
      <c r="M117" s="10">
        <v>283</v>
      </c>
      <c r="N117" s="10">
        <v>65196</v>
      </c>
      <c r="O117" s="10">
        <v>22193</v>
      </c>
      <c r="P117" s="10">
        <v>87389</v>
      </c>
    </row>
    <row r="118" spans="1:16" ht="27" customHeight="1" x14ac:dyDescent="0.2">
      <c r="A118" s="9" t="s">
        <v>453</v>
      </c>
      <c r="B118" s="10" t="s">
        <v>454</v>
      </c>
      <c r="C118" s="11" t="s">
        <v>18</v>
      </c>
      <c r="D118" s="11" t="s">
        <v>19</v>
      </c>
      <c r="E118" s="11" t="s">
        <v>19</v>
      </c>
      <c r="F118" s="11" t="s">
        <v>455</v>
      </c>
      <c r="G118" s="11" t="s">
        <v>21</v>
      </c>
      <c r="H118" s="11" t="s">
        <v>456</v>
      </c>
      <c r="I118" s="11" t="s">
        <v>457</v>
      </c>
      <c r="J118" s="12">
        <v>0.94010000000000005</v>
      </c>
      <c r="K118" s="13">
        <v>3</v>
      </c>
      <c r="L118" s="14">
        <v>128</v>
      </c>
      <c r="M118" s="10">
        <v>119</v>
      </c>
      <c r="N118" s="10">
        <v>14145</v>
      </c>
      <c r="O118" s="10">
        <v>9331</v>
      </c>
      <c r="P118" s="10">
        <v>23476</v>
      </c>
    </row>
    <row r="119" spans="1:16" ht="27" customHeight="1" x14ac:dyDescent="0.2">
      <c r="A119" s="9" t="s">
        <v>453</v>
      </c>
      <c r="B119" s="10" t="s">
        <v>458</v>
      </c>
      <c r="C119" s="11" t="s">
        <v>18</v>
      </c>
      <c r="D119" s="11" t="s">
        <v>19</v>
      </c>
      <c r="E119" s="11" t="s">
        <v>19</v>
      </c>
      <c r="F119" s="11" t="s">
        <v>459</v>
      </c>
      <c r="G119" s="11" t="s">
        <v>83</v>
      </c>
      <c r="H119" s="11" t="s">
        <v>460</v>
      </c>
      <c r="I119" s="11" t="s">
        <v>461</v>
      </c>
      <c r="J119" s="12">
        <v>0.67400000000000004</v>
      </c>
      <c r="K119" s="13">
        <v>6</v>
      </c>
      <c r="L119" s="14">
        <v>1545</v>
      </c>
      <c r="M119" s="10">
        <v>985</v>
      </c>
      <c r="N119" s="10">
        <v>170725</v>
      </c>
      <c r="O119" s="10">
        <v>77242</v>
      </c>
      <c r="P119" s="10">
        <v>247967</v>
      </c>
    </row>
    <row r="120" spans="1:16" ht="27" customHeight="1" x14ac:dyDescent="0.2">
      <c r="A120" s="9" t="s">
        <v>453</v>
      </c>
      <c r="B120" s="10" t="s">
        <v>462</v>
      </c>
      <c r="C120" s="11" t="s">
        <v>18</v>
      </c>
      <c r="D120" s="11" t="s">
        <v>19</v>
      </c>
      <c r="E120" s="11" t="s">
        <v>19</v>
      </c>
      <c r="F120" s="11" t="s">
        <v>463</v>
      </c>
      <c r="G120" s="11" t="s">
        <v>83</v>
      </c>
      <c r="H120" s="11" t="s">
        <v>464</v>
      </c>
      <c r="I120" s="11" t="s">
        <v>465</v>
      </c>
      <c r="J120" s="12">
        <v>0.62939999999999996</v>
      </c>
      <c r="K120" s="13">
        <v>4</v>
      </c>
      <c r="L120" s="14">
        <v>344</v>
      </c>
      <c r="M120" s="10">
        <v>215</v>
      </c>
      <c r="N120" s="10">
        <v>38013</v>
      </c>
      <c r="O120" s="10">
        <v>16860</v>
      </c>
      <c r="P120" s="10">
        <v>54873</v>
      </c>
    </row>
    <row r="121" spans="1:16" ht="27" customHeight="1" x14ac:dyDescent="0.2">
      <c r="A121" s="9" t="s">
        <v>453</v>
      </c>
      <c r="B121" s="10" t="s">
        <v>466</v>
      </c>
      <c r="C121" s="11" t="s">
        <v>18</v>
      </c>
      <c r="D121" s="11" t="s">
        <v>19</v>
      </c>
      <c r="E121" s="11" t="s">
        <v>19</v>
      </c>
      <c r="F121" s="11" t="s">
        <v>467</v>
      </c>
      <c r="G121" s="11" t="s">
        <v>83</v>
      </c>
      <c r="H121" s="11" t="s">
        <v>468</v>
      </c>
      <c r="I121" s="11" t="s">
        <v>469</v>
      </c>
      <c r="J121" s="12">
        <v>0.74509999999999998</v>
      </c>
      <c r="K121" s="13">
        <v>6</v>
      </c>
      <c r="L121" s="14">
        <v>1505</v>
      </c>
      <c r="M121" s="10">
        <v>1042</v>
      </c>
      <c r="N121" s="10">
        <v>166306</v>
      </c>
      <c r="O121" s="10">
        <v>81713</v>
      </c>
      <c r="P121" s="10">
        <v>248019</v>
      </c>
    </row>
    <row r="122" spans="1:16" ht="27" customHeight="1" x14ac:dyDescent="0.2">
      <c r="A122" s="9" t="s">
        <v>453</v>
      </c>
      <c r="B122" s="10" t="s">
        <v>470</v>
      </c>
      <c r="C122" s="11" t="s">
        <v>18</v>
      </c>
      <c r="D122" s="11" t="s">
        <v>19</v>
      </c>
      <c r="E122" s="11" t="s">
        <v>19</v>
      </c>
      <c r="F122" s="11" t="s">
        <v>471</v>
      </c>
      <c r="G122" s="11" t="s">
        <v>83</v>
      </c>
      <c r="H122" s="11" t="s">
        <v>456</v>
      </c>
      <c r="I122" s="11" t="s">
        <v>457</v>
      </c>
      <c r="J122" s="12">
        <v>0.94010000000000005</v>
      </c>
      <c r="K122" s="13">
        <v>5</v>
      </c>
      <c r="L122" s="14">
        <v>1371</v>
      </c>
      <c r="M122" s="10">
        <v>1252</v>
      </c>
      <c r="N122" s="10">
        <v>151498</v>
      </c>
      <c r="O122" s="10">
        <v>98181</v>
      </c>
      <c r="P122" s="10">
        <v>249679</v>
      </c>
    </row>
    <row r="123" spans="1:16" ht="27" customHeight="1" x14ac:dyDescent="0.2">
      <c r="A123" s="9" t="s">
        <v>472</v>
      </c>
      <c r="B123" s="10" t="s">
        <v>473</v>
      </c>
      <c r="C123" s="11" t="s">
        <v>18</v>
      </c>
      <c r="D123" s="11" t="s">
        <v>19</v>
      </c>
      <c r="E123" s="11" t="s">
        <v>19</v>
      </c>
      <c r="F123" s="11" t="s">
        <v>474</v>
      </c>
      <c r="G123" s="11" t="s">
        <v>21</v>
      </c>
      <c r="H123" s="11" t="s">
        <v>475</v>
      </c>
      <c r="I123" s="11" t="s">
        <v>476</v>
      </c>
      <c r="J123" s="12">
        <v>0.96099999999999997</v>
      </c>
      <c r="K123" s="13">
        <v>5</v>
      </c>
      <c r="L123" s="14">
        <v>247</v>
      </c>
      <c r="M123" s="10">
        <v>111</v>
      </c>
      <c r="N123" s="10">
        <v>27294</v>
      </c>
      <c r="O123" s="10">
        <v>8704</v>
      </c>
      <c r="P123" s="10">
        <v>35998</v>
      </c>
    </row>
    <row r="124" spans="1:16" ht="27" customHeight="1" x14ac:dyDescent="0.2">
      <c r="A124" s="9" t="s">
        <v>472</v>
      </c>
      <c r="B124" s="10" t="s">
        <v>473</v>
      </c>
      <c r="C124" s="11" t="s">
        <v>477</v>
      </c>
      <c r="D124" s="11" t="s">
        <v>478</v>
      </c>
      <c r="E124" s="11" t="s">
        <v>26</v>
      </c>
      <c r="F124" s="11" t="s">
        <v>479</v>
      </c>
      <c r="G124" s="11" t="s">
        <v>28</v>
      </c>
      <c r="H124" s="11" t="s">
        <v>479</v>
      </c>
      <c r="I124" s="11" t="s">
        <v>480</v>
      </c>
      <c r="J124" s="12">
        <v>0.83540000000000003</v>
      </c>
      <c r="K124" s="13">
        <v>1</v>
      </c>
      <c r="L124" s="14">
        <v>1124</v>
      </c>
      <c r="M124" s="10">
        <v>939</v>
      </c>
      <c r="N124" s="10">
        <v>124204</v>
      </c>
      <c r="O124" s="10">
        <v>73635</v>
      </c>
      <c r="P124" s="10">
        <v>197839</v>
      </c>
    </row>
    <row r="125" spans="1:16" ht="27" customHeight="1" x14ac:dyDescent="0.2">
      <c r="A125" s="9" t="s">
        <v>472</v>
      </c>
      <c r="B125" s="10" t="s">
        <v>473</v>
      </c>
      <c r="C125" s="11" t="s">
        <v>481</v>
      </c>
      <c r="D125" s="11" t="s">
        <v>482</v>
      </c>
      <c r="E125" s="11" t="s">
        <v>26</v>
      </c>
      <c r="F125" s="11" t="s">
        <v>483</v>
      </c>
      <c r="G125" s="11" t="s">
        <v>28</v>
      </c>
      <c r="H125" s="11" t="s">
        <v>483</v>
      </c>
      <c r="I125" s="11" t="s">
        <v>484</v>
      </c>
      <c r="J125" s="12">
        <v>0.73270000000000002</v>
      </c>
      <c r="K125" s="13">
        <v>1</v>
      </c>
      <c r="L125" s="14">
        <v>913</v>
      </c>
      <c r="M125" s="10">
        <v>669</v>
      </c>
      <c r="N125" s="10">
        <v>100888</v>
      </c>
      <c r="O125" s="10">
        <v>52462</v>
      </c>
      <c r="P125" s="10">
        <v>153350</v>
      </c>
    </row>
    <row r="126" spans="1:16" ht="27" customHeight="1" x14ac:dyDescent="0.2">
      <c r="A126" s="9" t="s">
        <v>472</v>
      </c>
      <c r="B126" s="10" t="s">
        <v>473</v>
      </c>
      <c r="C126" s="11" t="s">
        <v>485</v>
      </c>
      <c r="D126" s="11" t="s">
        <v>486</v>
      </c>
      <c r="E126" s="11" t="s">
        <v>26</v>
      </c>
      <c r="F126" s="11" t="s">
        <v>487</v>
      </c>
      <c r="G126" s="11" t="s">
        <v>28</v>
      </c>
      <c r="H126" s="11" t="s">
        <v>475</v>
      </c>
      <c r="I126" s="11" t="s">
        <v>476</v>
      </c>
      <c r="J126" s="12">
        <v>0.96099999999999997</v>
      </c>
      <c r="K126" s="13">
        <v>1</v>
      </c>
      <c r="L126" s="14">
        <v>506</v>
      </c>
      <c r="M126" s="10">
        <v>365</v>
      </c>
      <c r="N126" s="10">
        <v>55914</v>
      </c>
      <c r="O126" s="10">
        <v>28623</v>
      </c>
      <c r="P126" s="10">
        <v>84537</v>
      </c>
    </row>
    <row r="127" spans="1:16" ht="27" customHeight="1" x14ac:dyDescent="0.2">
      <c r="A127" s="9" t="s">
        <v>472</v>
      </c>
      <c r="B127" s="10" t="s">
        <v>473</v>
      </c>
      <c r="C127" s="11" t="s">
        <v>488</v>
      </c>
      <c r="D127" s="11" t="s">
        <v>489</v>
      </c>
      <c r="E127" s="11" t="s">
        <v>26</v>
      </c>
      <c r="F127" s="11" t="s">
        <v>490</v>
      </c>
      <c r="G127" s="11" t="s">
        <v>28</v>
      </c>
      <c r="H127" s="11" t="s">
        <v>490</v>
      </c>
      <c r="I127" s="11" t="s">
        <v>491</v>
      </c>
      <c r="J127" s="12">
        <v>0.3695</v>
      </c>
      <c r="K127" s="13">
        <v>1</v>
      </c>
      <c r="L127" s="14">
        <v>341</v>
      </c>
      <c r="M127" s="10">
        <v>126</v>
      </c>
      <c r="N127" s="10">
        <v>37681</v>
      </c>
      <c r="O127" s="10">
        <v>9881</v>
      </c>
      <c r="P127" s="10">
        <v>47562</v>
      </c>
    </row>
    <row r="128" spans="1:16" ht="27" customHeight="1" x14ac:dyDescent="0.2">
      <c r="A128" s="9" t="s">
        <v>472</v>
      </c>
      <c r="B128" s="10" t="s">
        <v>473</v>
      </c>
      <c r="C128" s="11" t="s">
        <v>492</v>
      </c>
      <c r="D128" s="11" t="s">
        <v>493</v>
      </c>
      <c r="E128" s="11" t="s">
        <v>26</v>
      </c>
      <c r="F128" s="11" t="s">
        <v>494</v>
      </c>
      <c r="G128" s="11" t="s">
        <v>28</v>
      </c>
      <c r="H128" s="11" t="s">
        <v>475</v>
      </c>
      <c r="I128" s="11" t="s">
        <v>476</v>
      </c>
      <c r="J128" s="12">
        <v>0.96099999999999997</v>
      </c>
      <c r="K128" s="13">
        <v>1</v>
      </c>
      <c r="L128" s="14">
        <v>330</v>
      </c>
      <c r="M128" s="10">
        <v>234</v>
      </c>
      <c r="N128" s="10">
        <v>36466</v>
      </c>
      <c r="O128" s="10">
        <v>18350</v>
      </c>
      <c r="P128" s="10">
        <v>54816</v>
      </c>
    </row>
    <row r="129" spans="1:16" ht="27" customHeight="1" x14ac:dyDescent="0.2">
      <c r="A129" s="9" t="s">
        <v>472</v>
      </c>
      <c r="B129" s="10" t="s">
        <v>473</v>
      </c>
      <c r="C129" s="11" t="s">
        <v>495</v>
      </c>
      <c r="D129" s="11" t="s">
        <v>496</v>
      </c>
      <c r="E129" s="11" t="s">
        <v>57</v>
      </c>
      <c r="F129" s="11" t="s">
        <v>497</v>
      </c>
      <c r="G129" s="11" t="s">
        <v>28</v>
      </c>
      <c r="H129" s="11" t="s">
        <v>475</v>
      </c>
      <c r="I129" s="11" t="s">
        <v>476</v>
      </c>
      <c r="J129" s="12">
        <v>0.96099999999999997</v>
      </c>
      <c r="K129" s="13">
        <v>1</v>
      </c>
      <c r="L129" s="14">
        <v>90</v>
      </c>
      <c r="M129" s="10">
        <v>71</v>
      </c>
      <c r="N129" s="10">
        <v>9945</v>
      </c>
      <c r="O129" s="10">
        <v>5568</v>
      </c>
      <c r="P129" s="10">
        <v>15513</v>
      </c>
    </row>
    <row r="130" spans="1:16" ht="27" customHeight="1" x14ac:dyDescent="0.2">
      <c r="A130" s="9" t="s">
        <v>472</v>
      </c>
      <c r="B130" s="10" t="s">
        <v>473</v>
      </c>
      <c r="C130" s="11" t="s">
        <v>498</v>
      </c>
      <c r="D130" s="11" t="s">
        <v>499</v>
      </c>
      <c r="E130" s="11" t="s">
        <v>26</v>
      </c>
      <c r="F130" s="11" t="s">
        <v>500</v>
      </c>
      <c r="G130" s="11" t="s">
        <v>28</v>
      </c>
      <c r="H130" s="11" t="s">
        <v>475</v>
      </c>
      <c r="I130" s="11" t="s">
        <v>476</v>
      </c>
      <c r="J130" s="12">
        <v>0.96099999999999997</v>
      </c>
      <c r="K130" s="13">
        <v>1</v>
      </c>
      <c r="L130" s="14">
        <v>2381</v>
      </c>
      <c r="M130" s="10">
        <v>509</v>
      </c>
      <c r="N130" s="10">
        <v>263104</v>
      </c>
      <c r="O130" s="10">
        <v>39915</v>
      </c>
      <c r="P130" s="10">
        <v>303019</v>
      </c>
    </row>
    <row r="131" spans="1:16" ht="27" customHeight="1" x14ac:dyDescent="0.2">
      <c r="A131" s="9" t="s">
        <v>472</v>
      </c>
      <c r="B131" s="10" t="s">
        <v>473</v>
      </c>
      <c r="C131" s="11" t="s">
        <v>501</v>
      </c>
      <c r="D131" s="11" t="s">
        <v>502</v>
      </c>
      <c r="E131" s="11" t="s">
        <v>26</v>
      </c>
      <c r="F131" s="11" t="s">
        <v>503</v>
      </c>
      <c r="G131" s="11" t="s">
        <v>28</v>
      </c>
      <c r="H131" s="11" t="s">
        <v>475</v>
      </c>
      <c r="I131" s="11" t="s">
        <v>476</v>
      </c>
      <c r="J131" s="12">
        <v>0.96099999999999997</v>
      </c>
      <c r="K131" s="13">
        <v>1</v>
      </c>
      <c r="L131" s="14">
        <v>82</v>
      </c>
      <c r="M131" s="10">
        <v>52</v>
      </c>
      <c r="N131" s="10">
        <v>9061</v>
      </c>
      <c r="O131" s="10">
        <v>4078</v>
      </c>
      <c r="P131" s="10">
        <v>13139</v>
      </c>
    </row>
    <row r="132" spans="1:16" ht="27" customHeight="1" x14ac:dyDescent="0.2">
      <c r="A132" s="9" t="s">
        <v>472</v>
      </c>
      <c r="B132" s="10" t="s">
        <v>504</v>
      </c>
      <c r="C132" s="11" t="s">
        <v>18</v>
      </c>
      <c r="D132" s="11" t="s">
        <v>19</v>
      </c>
      <c r="E132" s="11" t="s">
        <v>19</v>
      </c>
      <c r="F132" s="11" t="s">
        <v>505</v>
      </c>
      <c r="G132" s="11" t="s">
        <v>83</v>
      </c>
      <c r="H132" s="11" t="s">
        <v>475</v>
      </c>
      <c r="I132" s="11" t="s">
        <v>476</v>
      </c>
      <c r="J132" s="12">
        <v>0.96099999999999997</v>
      </c>
      <c r="K132" s="13">
        <v>6</v>
      </c>
      <c r="L132" s="14">
        <v>5389</v>
      </c>
      <c r="M132" s="10">
        <v>418</v>
      </c>
      <c r="N132" s="10">
        <v>595494</v>
      </c>
      <c r="O132" s="10">
        <v>32779</v>
      </c>
      <c r="P132" s="10">
        <v>628273</v>
      </c>
    </row>
    <row r="133" spans="1:16" ht="27" customHeight="1" x14ac:dyDescent="0.2">
      <c r="A133" s="9" t="s">
        <v>472</v>
      </c>
      <c r="B133" s="10" t="s">
        <v>506</v>
      </c>
      <c r="C133" s="11" t="s">
        <v>18</v>
      </c>
      <c r="D133" s="11" t="s">
        <v>19</v>
      </c>
      <c r="E133" s="11" t="s">
        <v>19</v>
      </c>
      <c r="F133" s="11" t="s">
        <v>507</v>
      </c>
      <c r="G133" s="11" t="s">
        <v>83</v>
      </c>
      <c r="H133" s="11" t="s">
        <v>508</v>
      </c>
      <c r="I133" s="11" t="s">
        <v>509</v>
      </c>
      <c r="J133" s="12">
        <v>0.81840000000000002</v>
      </c>
      <c r="K133" s="13">
        <v>26</v>
      </c>
      <c r="L133" s="14">
        <v>15143</v>
      </c>
      <c r="M133" s="10">
        <v>11187</v>
      </c>
      <c r="N133" s="10">
        <v>1673326</v>
      </c>
      <c r="O133" s="10">
        <v>877273</v>
      </c>
      <c r="P133" s="10">
        <v>2550599</v>
      </c>
    </row>
    <row r="134" spans="1:16" ht="27" customHeight="1" x14ac:dyDescent="0.2">
      <c r="A134" s="9" t="s">
        <v>472</v>
      </c>
      <c r="B134" s="10" t="s">
        <v>506</v>
      </c>
      <c r="C134" s="11" t="s">
        <v>510</v>
      </c>
      <c r="D134" s="11" t="s">
        <v>511</v>
      </c>
      <c r="E134" s="11" t="s">
        <v>26</v>
      </c>
      <c r="F134" s="11" t="s">
        <v>512</v>
      </c>
      <c r="G134" s="11" t="s">
        <v>28</v>
      </c>
      <c r="H134" s="11" t="s">
        <v>512</v>
      </c>
      <c r="I134" s="11" t="s">
        <v>513</v>
      </c>
      <c r="J134" s="12">
        <v>0.43070000000000003</v>
      </c>
      <c r="K134" s="13">
        <v>1</v>
      </c>
      <c r="L134" s="14">
        <v>202</v>
      </c>
      <c r="M134" s="10">
        <v>87</v>
      </c>
      <c r="N134" s="10">
        <v>22321</v>
      </c>
      <c r="O134" s="10">
        <v>6822</v>
      </c>
      <c r="P134" s="10">
        <v>29143</v>
      </c>
    </row>
    <row r="135" spans="1:16" ht="27" customHeight="1" x14ac:dyDescent="0.2">
      <c r="A135" s="9" t="s">
        <v>472</v>
      </c>
      <c r="B135" s="10" t="s">
        <v>506</v>
      </c>
      <c r="C135" s="11" t="s">
        <v>514</v>
      </c>
      <c r="D135" s="11" t="s">
        <v>515</v>
      </c>
      <c r="E135" s="11" t="s">
        <v>26</v>
      </c>
      <c r="F135" s="11" t="s">
        <v>516</v>
      </c>
      <c r="G135" s="11" t="s">
        <v>28</v>
      </c>
      <c r="H135" s="11" t="s">
        <v>516</v>
      </c>
      <c r="I135" s="11" t="s">
        <v>517</v>
      </c>
      <c r="J135" s="12">
        <v>0.71030000000000004</v>
      </c>
      <c r="K135" s="13">
        <v>1</v>
      </c>
      <c r="L135" s="14">
        <v>573</v>
      </c>
      <c r="M135" s="10">
        <v>407</v>
      </c>
      <c r="N135" s="10">
        <v>63317</v>
      </c>
      <c r="O135" s="10">
        <v>31917</v>
      </c>
      <c r="P135" s="10">
        <v>95234</v>
      </c>
    </row>
    <row r="136" spans="1:16" ht="27" customHeight="1" x14ac:dyDescent="0.2">
      <c r="A136" s="9" t="s">
        <v>472</v>
      </c>
      <c r="B136" s="10" t="s">
        <v>506</v>
      </c>
      <c r="C136" s="11" t="s">
        <v>518</v>
      </c>
      <c r="D136" s="11" t="s">
        <v>519</v>
      </c>
      <c r="E136" s="11" t="s">
        <v>26</v>
      </c>
      <c r="F136" s="11" t="s">
        <v>520</v>
      </c>
      <c r="G136" s="11" t="s">
        <v>28</v>
      </c>
      <c r="H136" s="11" t="s">
        <v>520</v>
      </c>
      <c r="I136" s="11" t="s">
        <v>521</v>
      </c>
      <c r="J136" s="12">
        <v>0.31369999999999998</v>
      </c>
      <c r="K136" s="13">
        <v>1</v>
      </c>
      <c r="L136" s="14">
        <v>204</v>
      </c>
      <c r="M136" s="10">
        <v>64</v>
      </c>
      <c r="N136" s="10">
        <v>22542</v>
      </c>
      <c r="O136" s="10">
        <v>5019</v>
      </c>
      <c r="P136" s="10">
        <v>27561</v>
      </c>
    </row>
    <row r="137" spans="1:16" ht="27" customHeight="1" x14ac:dyDescent="0.2">
      <c r="A137" s="9" t="s">
        <v>472</v>
      </c>
      <c r="B137" s="10" t="s">
        <v>522</v>
      </c>
      <c r="C137" s="11" t="s">
        <v>18</v>
      </c>
      <c r="D137" s="11" t="s">
        <v>19</v>
      </c>
      <c r="E137" s="11" t="s">
        <v>19</v>
      </c>
      <c r="F137" s="11" t="s">
        <v>523</v>
      </c>
      <c r="G137" s="11" t="s">
        <v>83</v>
      </c>
      <c r="H137" s="11" t="s">
        <v>524</v>
      </c>
      <c r="I137" s="11" t="s">
        <v>525</v>
      </c>
      <c r="J137" s="12">
        <v>0.32379999999999998</v>
      </c>
      <c r="K137" s="13">
        <v>12</v>
      </c>
      <c r="L137" s="14">
        <v>9523</v>
      </c>
      <c r="M137" s="10">
        <v>2137</v>
      </c>
      <c r="N137" s="10">
        <v>1052307</v>
      </c>
      <c r="O137" s="10">
        <v>167581</v>
      </c>
      <c r="P137" s="10">
        <v>1219888</v>
      </c>
    </row>
    <row r="138" spans="1:16" ht="27" customHeight="1" x14ac:dyDescent="0.2">
      <c r="A138" s="9" t="s">
        <v>472</v>
      </c>
      <c r="B138" s="10" t="s">
        <v>526</v>
      </c>
      <c r="C138" s="11" t="s">
        <v>18</v>
      </c>
      <c r="D138" s="11" t="s">
        <v>19</v>
      </c>
      <c r="E138" s="11" t="s">
        <v>19</v>
      </c>
      <c r="F138" s="11" t="s">
        <v>527</v>
      </c>
      <c r="G138" s="11" t="s">
        <v>83</v>
      </c>
      <c r="H138" s="11" t="s">
        <v>528</v>
      </c>
      <c r="I138" s="11" t="s">
        <v>529</v>
      </c>
      <c r="J138" s="12">
        <v>0.35139999999999999</v>
      </c>
      <c r="K138" s="13">
        <v>5</v>
      </c>
      <c r="L138" s="14">
        <v>1230</v>
      </c>
      <c r="M138" s="10">
        <v>387</v>
      </c>
      <c r="N138" s="10">
        <v>135918</v>
      </c>
      <c r="O138" s="10">
        <v>30349</v>
      </c>
      <c r="P138" s="10">
        <v>166267</v>
      </c>
    </row>
    <row r="139" spans="1:16" ht="27" customHeight="1" x14ac:dyDescent="0.2">
      <c r="A139" s="9" t="s">
        <v>472</v>
      </c>
      <c r="B139" s="10" t="s">
        <v>526</v>
      </c>
      <c r="C139" s="11" t="s">
        <v>530</v>
      </c>
      <c r="D139" s="11" t="s">
        <v>531</v>
      </c>
      <c r="E139" s="11" t="s">
        <v>26</v>
      </c>
      <c r="F139" s="11" t="s">
        <v>532</v>
      </c>
      <c r="G139" s="11" t="s">
        <v>28</v>
      </c>
      <c r="H139" s="11" t="s">
        <v>532</v>
      </c>
      <c r="I139" s="11" t="s">
        <v>533</v>
      </c>
      <c r="J139" s="12">
        <v>0.3387</v>
      </c>
      <c r="K139" s="13">
        <v>1</v>
      </c>
      <c r="L139" s="14">
        <v>936</v>
      </c>
      <c r="M139" s="10">
        <v>317</v>
      </c>
      <c r="N139" s="10">
        <v>103430</v>
      </c>
      <c r="O139" s="10">
        <v>24859</v>
      </c>
      <c r="P139" s="10">
        <v>128289</v>
      </c>
    </row>
    <row r="140" spans="1:16" ht="27" customHeight="1" x14ac:dyDescent="0.2">
      <c r="A140" s="9" t="s">
        <v>472</v>
      </c>
      <c r="B140" s="10" t="s">
        <v>534</v>
      </c>
      <c r="C140" s="11" t="s">
        <v>18</v>
      </c>
      <c r="D140" s="11" t="s">
        <v>19</v>
      </c>
      <c r="E140" s="11" t="s">
        <v>19</v>
      </c>
      <c r="F140" s="11" t="s">
        <v>535</v>
      </c>
      <c r="G140" s="11" t="s">
        <v>83</v>
      </c>
      <c r="H140" s="11" t="s">
        <v>535</v>
      </c>
      <c r="I140" s="11" t="s">
        <v>536</v>
      </c>
      <c r="J140" s="12">
        <v>0.1077</v>
      </c>
      <c r="K140" s="13">
        <v>2</v>
      </c>
      <c r="L140" s="14">
        <v>65</v>
      </c>
      <c r="M140" s="10">
        <v>7</v>
      </c>
      <c r="N140" s="10">
        <v>7183</v>
      </c>
      <c r="O140" s="10">
        <v>549</v>
      </c>
      <c r="P140" s="10">
        <v>7732</v>
      </c>
    </row>
    <row r="141" spans="1:16" ht="27" customHeight="1" x14ac:dyDescent="0.2">
      <c r="A141" s="9" t="s">
        <v>472</v>
      </c>
      <c r="B141" s="10" t="s">
        <v>537</v>
      </c>
      <c r="C141" s="11" t="s">
        <v>18</v>
      </c>
      <c r="D141" s="11" t="s">
        <v>19</v>
      </c>
      <c r="E141" s="11" t="s">
        <v>19</v>
      </c>
      <c r="F141" s="11" t="s">
        <v>538</v>
      </c>
      <c r="G141" s="11" t="s">
        <v>83</v>
      </c>
      <c r="H141" s="11" t="s">
        <v>539</v>
      </c>
      <c r="I141" s="11" t="s">
        <v>540</v>
      </c>
      <c r="J141" s="12">
        <v>0.78459999999999996</v>
      </c>
      <c r="K141" s="13">
        <v>5</v>
      </c>
      <c r="L141" s="14">
        <v>1236</v>
      </c>
      <c r="M141" s="10">
        <v>906</v>
      </c>
      <c r="N141" s="10">
        <v>136580</v>
      </c>
      <c r="O141" s="10">
        <v>71048</v>
      </c>
      <c r="P141" s="10">
        <v>207628</v>
      </c>
    </row>
    <row r="142" spans="1:16" ht="27" customHeight="1" x14ac:dyDescent="0.2">
      <c r="A142" s="9" t="s">
        <v>472</v>
      </c>
      <c r="B142" s="10" t="s">
        <v>541</v>
      </c>
      <c r="C142" s="11" t="s">
        <v>18</v>
      </c>
      <c r="D142" s="11" t="s">
        <v>19</v>
      </c>
      <c r="E142" s="11" t="s">
        <v>19</v>
      </c>
      <c r="F142" s="11" t="s">
        <v>542</v>
      </c>
      <c r="G142" s="11" t="s">
        <v>83</v>
      </c>
      <c r="H142" s="11" t="s">
        <v>542</v>
      </c>
      <c r="I142" s="11" t="s">
        <v>543</v>
      </c>
      <c r="J142" s="12">
        <v>0.30149999999999999</v>
      </c>
      <c r="K142" s="13">
        <v>3</v>
      </c>
      <c r="L142" s="14">
        <v>581</v>
      </c>
      <c r="M142" s="10">
        <v>131</v>
      </c>
      <c r="N142" s="10">
        <v>64202</v>
      </c>
      <c r="O142" s="10">
        <v>10273</v>
      </c>
      <c r="P142" s="10">
        <v>74475</v>
      </c>
    </row>
    <row r="143" spans="1:16" ht="27" customHeight="1" x14ac:dyDescent="0.2">
      <c r="A143" s="9" t="s">
        <v>472</v>
      </c>
      <c r="B143" s="10" t="s">
        <v>544</v>
      </c>
      <c r="C143" s="11" t="s">
        <v>18</v>
      </c>
      <c r="D143" s="11" t="s">
        <v>19</v>
      </c>
      <c r="E143" s="11" t="s">
        <v>19</v>
      </c>
      <c r="F143" s="11" t="s">
        <v>545</v>
      </c>
      <c r="G143" s="11" t="s">
        <v>83</v>
      </c>
      <c r="H143" s="11" t="s">
        <v>545</v>
      </c>
      <c r="I143" s="11" t="s">
        <v>546</v>
      </c>
      <c r="J143" s="12">
        <v>8.2500000000000004E-2</v>
      </c>
      <c r="K143" s="13">
        <v>6</v>
      </c>
      <c r="L143" s="14">
        <v>3204</v>
      </c>
      <c r="M143" s="10">
        <v>127</v>
      </c>
      <c r="N143" s="10">
        <v>354047</v>
      </c>
      <c r="O143" s="10">
        <v>9960</v>
      </c>
      <c r="P143" s="10">
        <v>364007</v>
      </c>
    </row>
    <row r="144" spans="1:16" ht="27" customHeight="1" x14ac:dyDescent="0.2">
      <c r="A144" s="9" t="s">
        <v>472</v>
      </c>
      <c r="B144" s="10" t="s">
        <v>547</v>
      </c>
      <c r="C144" s="11" t="s">
        <v>18</v>
      </c>
      <c r="D144" s="11" t="s">
        <v>19</v>
      </c>
      <c r="E144" s="11" t="s">
        <v>19</v>
      </c>
      <c r="F144" s="11" t="s">
        <v>548</v>
      </c>
      <c r="G144" s="11" t="s">
        <v>83</v>
      </c>
      <c r="H144" s="11" t="s">
        <v>475</v>
      </c>
      <c r="I144" s="11" t="s">
        <v>476</v>
      </c>
      <c r="J144" s="12">
        <v>0.96099999999999997</v>
      </c>
      <c r="K144" s="13">
        <v>6</v>
      </c>
      <c r="L144" s="14">
        <v>8203</v>
      </c>
      <c r="M144" s="10">
        <v>2062</v>
      </c>
      <c r="N144" s="10">
        <v>906446</v>
      </c>
      <c r="O144" s="10">
        <v>161700</v>
      </c>
      <c r="P144" s="10">
        <v>1068146</v>
      </c>
    </row>
    <row r="145" spans="1:16" ht="27" customHeight="1" x14ac:dyDescent="0.2">
      <c r="A145" s="9" t="s">
        <v>472</v>
      </c>
      <c r="B145" s="10" t="s">
        <v>549</v>
      </c>
      <c r="C145" s="11" t="s">
        <v>18</v>
      </c>
      <c r="D145" s="11" t="s">
        <v>19</v>
      </c>
      <c r="E145" s="11" t="s">
        <v>19</v>
      </c>
      <c r="F145" s="11" t="s">
        <v>550</v>
      </c>
      <c r="G145" s="11" t="s">
        <v>83</v>
      </c>
      <c r="H145" s="11" t="s">
        <v>551</v>
      </c>
      <c r="I145" s="11" t="s">
        <v>552</v>
      </c>
      <c r="J145" s="12">
        <v>0.56889999999999996</v>
      </c>
      <c r="K145" s="13">
        <v>10</v>
      </c>
      <c r="L145" s="14">
        <v>3794</v>
      </c>
      <c r="M145" s="10">
        <v>1553</v>
      </c>
      <c r="N145" s="10">
        <v>419244</v>
      </c>
      <c r="O145" s="10">
        <v>121785</v>
      </c>
      <c r="P145" s="10">
        <v>541029</v>
      </c>
    </row>
    <row r="146" spans="1:16" ht="27" customHeight="1" x14ac:dyDescent="0.2">
      <c r="A146" s="9" t="s">
        <v>472</v>
      </c>
      <c r="B146" s="10" t="s">
        <v>553</v>
      </c>
      <c r="C146" s="11" t="s">
        <v>18</v>
      </c>
      <c r="D146" s="11" t="s">
        <v>19</v>
      </c>
      <c r="E146" s="11" t="s">
        <v>19</v>
      </c>
      <c r="F146" s="11" t="s">
        <v>554</v>
      </c>
      <c r="G146" s="11" t="s">
        <v>83</v>
      </c>
      <c r="H146" s="11" t="s">
        <v>555</v>
      </c>
      <c r="I146" s="11" t="s">
        <v>556</v>
      </c>
      <c r="J146" s="12">
        <v>4.3799999999999999E-2</v>
      </c>
      <c r="K146" s="13">
        <v>5</v>
      </c>
      <c r="L146" s="14">
        <v>1751</v>
      </c>
      <c r="M146" s="10">
        <v>72</v>
      </c>
      <c r="N146" s="10">
        <v>193489</v>
      </c>
      <c r="O146" s="10">
        <v>5647</v>
      </c>
      <c r="P146" s="10">
        <v>199136</v>
      </c>
    </row>
    <row r="147" spans="1:16" ht="27" customHeight="1" x14ac:dyDescent="0.2">
      <c r="A147" s="9" t="s">
        <v>472</v>
      </c>
      <c r="B147" s="10" t="s">
        <v>557</v>
      </c>
      <c r="C147" s="11" t="s">
        <v>18</v>
      </c>
      <c r="D147" s="11" t="s">
        <v>19</v>
      </c>
      <c r="E147" s="11" t="s">
        <v>19</v>
      </c>
      <c r="F147" s="11" t="s">
        <v>558</v>
      </c>
      <c r="G147" s="11" t="s">
        <v>83</v>
      </c>
      <c r="H147" s="11" t="s">
        <v>559</v>
      </c>
      <c r="I147" s="11" t="s">
        <v>560</v>
      </c>
      <c r="J147" s="12">
        <v>0.83179999999999998</v>
      </c>
      <c r="K147" s="13">
        <v>52</v>
      </c>
      <c r="L147" s="14">
        <v>29015</v>
      </c>
      <c r="M147" s="10">
        <v>11049</v>
      </c>
      <c r="N147" s="10">
        <v>3206201</v>
      </c>
      <c r="O147" s="10">
        <v>866447</v>
      </c>
      <c r="P147" s="10">
        <v>4072648</v>
      </c>
    </row>
    <row r="148" spans="1:16" ht="27" customHeight="1" x14ac:dyDescent="0.2">
      <c r="A148" s="9" t="s">
        <v>472</v>
      </c>
      <c r="B148" s="10" t="s">
        <v>557</v>
      </c>
      <c r="C148" s="11" t="s">
        <v>561</v>
      </c>
      <c r="D148" s="11" t="s">
        <v>562</v>
      </c>
      <c r="E148" s="11" t="s">
        <v>26</v>
      </c>
      <c r="F148" s="11" t="s">
        <v>563</v>
      </c>
      <c r="G148" s="11" t="s">
        <v>28</v>
      </c>
      <c r="H148" s="11" t="s">
        <v>563</v>
      </c>
      <c r="I148" s="11" t="s">
        <v>564</v>
      </c>
      <c r="J148" s="12">
        <v>0.73660000000000003</v>
      </c>
      <c r="K148" s="13">
        <v>1</v>
      </c>
      <c r="L148" s="14">
        <v>672</v>
      </c>
      <c r="M148" s="10">
        <v>495</v>
      </c>
      <c r="N148" s="10">
        <v>74257</v>
      </c>
      <c r="O148" s="10">
        <v>38817</v>
      </c>
      <c r="P148" s="10">
        <v>113074</v>
      </c>
    </row>
    <row r="149" spans="1:16" ht="27" customHeight="1" x14ac:dyDescent="0.2">
      <c r="A149" s="9" t="s">
        <v>472</v>
      </c>
      <c r="B149" s="10" t="s">
        <v>557</v>
      </c>
      <c r="C149" s="11" t="s">
        <v>565</v>
      </c>
      <c r="D149" s="11" t="s">
        <v>566</v>
      </c>
      <c r="E149" s="11" t="s">
        <v>57</v>
      </c>
      <c r="F149" s="11" t="s">
        <v>567</v>
      </c>
      <c r="G149" s="11" t="s">
        <v>28</v>
      </c>
      <c r="H149" s="11" t="s">
        <v>567</v>
      </c>
      <c r="I149" s="11" t="s">
        <v>568</v>
      </c>
      <c r="J149" s="12">
        <v>9.9000000000000005E-2</v>
      </c>
      <c r="K149" s="13">
        <v>1</v>
      </c>
      <c r="L149" s="14">
        <v>293</v>
      </c>
      <c r="M149" s="10">
        <v>29</v>
      </c>
      <c r="N149" s="10">
        <v>32377</v>
      </c>
      <c r="O149" s="10">
        <v>2274</v>
      </c>
      <c r="P149" s="10">
        <v>34651</v>
      </c>
    </row>
    <row r="150" spans="1:16" ht="27" customHeight="1" x14ac:dyDescent="0.2">
      <c r="A150" s="9" t="s">
        <v>472</v>
      </c>
      <c r="B150" s="10" t="s">
        <v>569</v>
      </c>
      <c r="C150" s="11" t="s">
        <v>18</v>
      </c>
      <c r="D150" s="11" t="s">
        <v>19</v>
      </c>
      <c r="E150" s="11" t="s">
        <v>19</v>
      </c>
      <c r="F150" s="11" t="s">
        <v>570</v>
      </c>
      <c r="G150" s="11" t="s">
        <v>83</v>
      </c>
      <c r="H150" s="11" t="s">
        <v>571</v>
      </c>
      <c r="I150" s="11" t="s">
        <v>572</v>
      </c>
      <c r="J150" s="12">
        <v>0.53639999999999999</v>
      </c>
      <c r="K150" s="13">
        <v>10</v>
      </c>
      <c r="L150" s="14">
        <v>5195</v>
      </c>
      <c r="M150" s="10">
        <v>2129</v>
      </c>
      <c r="N150" s="10">
        <v>574056</v>
      </c>
      <c r="O150" s="10">
        <v>166954</v>
      </c>
      <c r="P150" s="10">
        <v>741010</v>
      </c>
    </row>
    <row r="151" spans="1:16" ht="27" customHeight="1" x14ac:dyDescent="0.2">
      <c r="A151" s="9" t="s">
        <v>472</v>
      </c>
      <c r="B151" s="10" t="s">
        <v>573</v>
      </c>
      <c r="C151" s="11" t="s">
        <v>18</v>
      </c>
      <c r="D151" s="11" t="s">
        <v>19</v>
      </c>
      <c r="E151" s="11" t="s">
        <v>19</v>
      </c>
      <c r="F151" s="11" t="s">
        <v>574</v>
      </c>
      <c r="G151" s="11" t="s">
        <v>83</v>
      </c>
      <c r="H151" s="11" t="s">
        <v>575</v>
      </c>
      <c r="I151" s="11" t="s">
        <v>576</v>
      </c>
      <c r="J151" s="12">
        <v>2.5700000000000001E-2</v>
      </c>
      <c r="K151" s="13">
        <v>6</v>
      </c>
      <c r="L151" s="14">
        <v>2511</v>
      </c>
      <c r="M151" s="10">
        <v>62</v>
      </c>
      <c r="N151" s="10">
        <v>277470</v>
      </c>
      <c r="O151" s="10">
        <v>4863</v>
      </c>
      <c r="P151" s="10">
        <v>282333</v>
      </c>
    </row>
    <row r="152" spans="1:16" ht="27" customHeight="1" x14ac:dyDescent="0.2">
      <c r="A152" s="9" t="s">
        <v>472</v>
      </c>
      <c r="B152" s="10" t="s">
        <v>577</v>
      </c>
      <c r="C152" s="11" t="s">
        <v>18</v>
      </c>
      <c r="D152" s="11" t="s">
        <v>19</v>
      </c>
      <c r="E152" s="11" t="s">
        <v>19</v>
      </c>
      <c r="F152" s="11" t="s">
        <v>578</v>
      </c>
      <c r="G152" s="11" t="s">
        <v>83</v>
      </c>
      <c r="H152" s="11" t="s">
        <v>579</v>
      </c>
      <c r="I152" s="11" t="s">
        <v>580</v>
      </c>
      <c r="J152" s="12">
        <v>0.85329999999999995</v>
      </c>
      <c r="K152" s="13">
        <v>14</v>
      </c>
      <c r="L152" s="14">
        <v>10926</v>
      </c>
      <c r="M152" s="10">
        <v>8481</v>
      </c>
      <c r="N152" s="10">
        <v>1207341</v>
      </c>
      <c r="O152" s="10">
        <v>665070</v>
      </c>
      <c r="P152" s="10">
        <v>1872411</v>
      </c>
    </row>
    <row r="153" spans="1:16" ht="27" customHeight="1" x14ac:dyDescent="0.2">
      <c r="A153" s="9" t="s">
        <v>472</v>
      </c>
      <c r="B153" s="10" t="s">
        <v>581</v>
      </c>
      <c r="C153" s="11" t="s">
        <v>18</v>
      </c>
      <c r="D153" s="11" t="s">
        <v>19</v>
      </c>
      <c r="E153" s="11" t="s">
        <v>19</v>
      </c>
      <c r="F153" s="11" t="s">
        <v>582</v>
      </c>
      <c r="G153" s="11" t="s">
        <v>83</v>
      </c>
      <c r="H153" s="11" t="s">
        <v>475</v>
      </c>
      <c r="I153" s="11" t="s">
        <v>476</v>
      </c>
      <c r="J153" s="12">
        <v>0.96099999999999997</v>
      </c>
      <c r="K153" s="13">
        <v>55</v>
      </c>
      <c r="L153" s="14">
        <v>26417</v>
      </c>
      <c r="M153" s="10">
        <v>14339</v>
      </c>
      <c r="N153" s="10">
        <v>2919124</v>
      </c>
      <c r="O153" s="10">
        <v>1124449</v>
      </c>
      <c r="P153" s="10">
        <v>4043573</v>
      </c>
    </row>
    <row r="154" spans="1:16" ht="27" customHeight="1" x14ac:dyDescent="0.2">
      <c r="A154" s="9" t="s">
        <v>472</v>
      </c>
      <c r="B154" s="10" t="s">
        <v>581</v>
      </c>
      <c r="C154" s="11" t="s">
        <v>583</v>
      </c>
      <c r="D154" s="11" t="s">
        <v>584</v>
      </c>
      <c r="E154" s="11" t="s">
        <v>26</v>
      </c>
      <c r="F154" s="11" t="s">
        <v>585</v>
      </c>
      <c r="G154" s="11" t="s">
        <v>28</v>
      </c>
      <c r="H154" s="11" t="s">
        <v>475</v>
      </c>
      <c r="I154" s="11" t="s">
        <v>476</v>
      </c>
      <c r="J154" s="12">
        <v>0.96099999999999997</v>
      </c>
      <c r="K154" s="13">
        <v>1</v>
      </c>
      <c r="L154" s="14">
        <v>556</v>
      </c>
      <c r="M154" s="10">
        <v>354</v>
      </c>
      <c r="N154" s="10">
        <v>61439</v>
      </c>
      <c r="O154" s="10">
        <v>27760</v>
      </c>
      <c r="P154" s="10">
        <v>89199</v>
      </c>
    </row>
    <row r="155" spans="1:16" ht="27" customHeight="1" x14ac:dyDescent="0.2">
      <c r="A155" s="9" t="s">
        <v>472</v>
      </c>
      <c r="B155" s="10" t="s">
        <v>581</v>
      </c>
      <c r="C155" s="11" t="s">
        <v>586</v>
      </c>
      <c r="D155" s="11" t="s">
        <v>587</v>
      </c>
      <c r="E155" s="11" t="s">
        <v>26</v>
      </c>
      <c r="F155" s="11" t="s">
        <v>588</v>
      </c>
      <c r="G155" s="11" t="s">
        <v>28</v>
      </c>
      <c r="H155" s="11" t="s">
        <v>588</v>
      </c>
      <c r="I155" s="11" t="s">
        <v>589</v>
      </c>
      <c r="J155" s="12">
        <v>0.7278</v>
      </c>
      <c r="K155" s="13">
        <v>1</v>
      </c>
      <c r="L155" s="14">
        <v>562</v>
      </c>
      <c r="M155" s="10">
        <v>409</v>
      </c>
      <c r="N155" s="10">
        <v>62102</v>
      </c>
      <c r="O155" s="10">
        <v>32073</v>
      </c>
      <c r="P155" s="10">
        <v>94175</v>
      </c>
    </row>
    <row r="156" spans="1:16" ht="27" customHeight="1" x14ac:dyDescent="0.2">
      <c r="A156" s="9" t="s">
        <v>472</v>
      </c>
      <c r="B156" s="10" t="s">
        <v>581</v>
      </c>
      <c r="C156" s="11" t="s">
        <v>590</v>
      </c>
      <c r="D156" s="11" t="s">
        <v>591</v>
      </c>
      <c r="E156" s="11" t="s">
        <v>26</v>
      </c>
      <c r="F156" s="11" t="s">
        <v>592</v>
      </c>
      <c r="G156" s="11" t="s">
        <v>28</v>
      </c>
      <c r="H156" s="11" t="s">
        <v>475</v>
      </c>
      <c r="I156" s="11" t="s">
        <v>476</v>
      </c>
      <c r="J156" s="12">
        <v>0.96099999999999997</v>
      </c>
      <c r="K156" s="13">
        <v>1</v>
      </c>
      <c r="L156" s="14">
        <v>324</v>
      </c>
      <c r="M156" s="10">
        <v>255</v>
      </c>
      <c r="N156" s="10">
        <v>35803</v>
      </c>
      <c r="O156" s="10">
        <v>19997</v>
      </c>
      <c r="P156" s="10">
        <v>55800</v>
      </c>
    </row>
    <row r="157" spans="1:16" ht="27" customHeight="1" x14ac:dyDescent="0.2">
      <c r="A157" s="9" t="s">
        <v>472</v>
      </c>
      <c r="B157" s="10" t="s">
        <v>581</v>
      </c>
      <c r="C157" s="11" t="s">
        <v>593</v>
      </c>
      <c r="D157" s="11" t="s">
        <v>594</v>
      </c>
      <c r="E157" s="11" t="s">
        <v>26</v>
      </c>
      <c r="F157" s="11" t="s">
        <v>595</v>
      </c>
      <c r="G157" s="11" t="s">
        <v>28</v>
      </c>
      <c r="H157" s="11" t="s">
        <v>595</v>
      </c>
      <c r="I157" s="11" t="s">
        <v>596</v>
      </c>
      <c r="J157" s="12">
        <v>0.81269999999999998</v>
      </c>
      <c r="K157" s="13">
        <v>1</v>
      </c>
      <c r="L157" s="14">
        <v>502</v>
      </c>
      <c r="M157" s="10">
        <v>408</v>
      </c>
      <c r="N157" s="10">
        <v>55472</v>
      </c>
      <c r="O157" s="10">
        <v>31995</v>
      </c>
      <c r="P157" s="10">
        <v>87467</v>
      </c>
    </row>
    <row r="158" spans="1:16" ht="27" customHeight="1" x14ac:dyDescent="0.2">
      <c r="A158" s="9" t="s">
        <v>472</v>
      </c>
      <c r="B158" s="10" t="s">
        <v>581</v>
      </c>
      <c r="C158" s="11" t="s">
        <v>597</v>
      </c>
      <c r="D158" s="11" t="s">
        <v>598</v>
      </c>
      <c r="E158" s="11" t="s">
        <v>26</v>
      </c>
      <c r="F158" s="11" t="s">
        <v>599</v>
      </c>
      <c r="G158" s="11" t="s">
        <v>28</v>
      </c>
      <c r="H158" s="11" t="s">
        <v>599</v>
      </c>
      <c r="I158" s="11" t="s">
        <v>600</v>
      </c>
      <c r="J158" s="12">
        <v>0.69199999999999995</v>
      </c>
      <c r="K158" s="13">
        <v>1</v>
      </c>
      <c r="L158" s="14">
        <v>591</v>
      </c>
      <c r="M158" s="10">
        <v>409</v>
      </c>
      <c r="N158" s="10">
        <v>65306</v>
      </c>
      <c r="O158" s="10">
        <v>32073</v>
      </c>
      <c r="P158" s="10">
        <v>97379</v>
      </c>
    </row>
    <row r="159" spans="1:16" ht="27" customHeight="1" x14ac:dyDescent="0.2">
      <c r="A159" s="9" t="s">
        <v>472</v>
      </c>
      <c r="B159" s="10" t="s">
        <v>581</v>
      </c>
      <c r="C159" s="11" t="s">
        <v>601</v>
      </c>
      <c r="D159" s="11" t="s">
        <v>602</v>
      </c>
      <c r="E159" s="11" t="s">
        <v>26</v>
      </c>
      <c r="F159" s="11" t="s">
        <v>603</v>
      </c>
      <c r="G159" s="11" t="s">
        <v>28</v>
      </c>
      <c r="H159" s="11" t="s">
        <v>603</v>
      </c>
      <c r="I159" s="11" t="s">
        <v>604</v>
      </c>
      <c r="J159" s="12">
        <v>0.76749999999999996</v>
      </c>
      <c r="K159" s="13">
        <v>1</v>
      </c>
      <c r="L159" s="14">
        <v>542</v>
      </c>
      <c r="M159" s="10">
        <v>416</v>
      </c>
      <c r="N159" s="10">
        <v>59892</v>
      </c>
      <c r="O159" s="10">
        <v>32622</v>
      </c>
      <c r="P159" s="10">
        <v>92514</v>
      </c>
    </row>
    <row r="160" spans="1:16" ht="27" customHeight="1" x14ac:dyDescent="0.2">
      <c r="A160" s="9" t="s">
        <v>472</v>
      </c>
      <c r="B160" s="10" t="s">
        <v>581</v>
      </c>
      <c r="C160" s="11" t="s">
        <v>605</v>
      </c>
      <c r="D160" s="11" t="s">
        <v>606</v>
      </c>
      <c r="E160" s="11" t="s">
        <v>26</v>
      </c>
      <c r="F160" s="11" t="s">
        <v>607</v>
      </c>
      <c r="G160" s="11" t="s">
        <v>28</v>
      </c>
      <c r="H160" s="11" t="s">
        <v>475</v>
      </c>
      <c r="I160" s="11" t="s">
        <v>476</v>
      </c>
      <c r="J160" s="12">
        <v>0.96099999999999997</v>
      </c>
      <c r="K160" s="13">
        <v>1</v>
      </c>
      <c r="L160" s="14">
        <v>613</v>
      </c>
      <c r="M160" s="10">
        <v>395</v>
      </c>
      <c r="N160" s="10">
        <v>67738</v>
      </c>
      <c r="O160" s="10">
        <v>30975</v>
      </c>
      <c r="P160" s="10">
        <v>98713</v>
      </c>
    </row>
    <row r="161" spans="1:16" ht="27" customHeight="1" x14ac:dyDescent="0.2">
      <c r="A161" s="9" t="s">
        <v>472</v>
      </c>
      <c r="B161" s="10" t="s">
        <v>581</v>
      </c>
      <c r="C161" s="11" t="s">
        <v>608</v>
      </c>
      <c r="D161" s="11" t="s">
        <v>609</v>
      </c>
      <c r="E161" s="11" t="s">
        <v>26</v>
      </c>
      <c r="F161" s="11" t="s">
        <v>610</v>
      </c>
      <c r="G161" s="11" t="s">
        <v>28</v>
      </c>
      <c r="H161" s="11" t="s">
        <v>610</v>
      </c>
      <c r="I161" s="11" t="s">
        <v>611</v>
      </c>
      <c r="J161" s="12">
        <v>0.54690000000000005</v>
      </c>
      <c r="K161" s="13">
        <v>1</v>
      </c>
      <c r="L161" s="14">
        <v>245</v>
      </c>
      <c r="M161" s="10">
        <v>134</v>
      </c>
      <c r="N161" s="10">
        <v>27073</v>
      </c>
      <c r="O161" s="10">
        <v>10508</v>
      </c>
      <c r="P161" s="10">
        <v>37581</v>
      </c>
    </row>
    <row r="162" spans="1:16" ht="27" customHeight="1" x14ac:dyDescent="0.2">
      <c r="A162" s="9" t="s">
        <v>472</v>
      </c>
      <c r="B162" s="10" t="s">
        <v>612</v>
      </c>
      <c r="C162" s="11" t="s">
        <v>18</v>
      </c>
      <c r="D162" s="11" t="s">
        <v>19</v>
      </c>
      <c r="E162" s="11" t="s">
        <v>19</v>
      </c>
      <c r="F162" s="11" t="s">
        <v>613</v>
      </c>
      <c r="G162" s="11" t="s">
        <v>83</v>
      </c>
      <c r="H162" s="11" t="s">
        <v>614</v>
      </c>
      <c r="I162" s="11" t="s">
        <v>615</v>
      </c>
      <c r="J162" s="12">
        <v>0.14399999999999999</v>
      </c>
      <c r="K162" s="13">
        <v>38</v>
      </c>
      <c r="L162" s="14">
        <v>29796</v>
      </c>
      <c r="M162" s="10">
        <v>2096</v>
      </c>
      <c r="N162" s="10">
        <v>3292506</v>
      </c>
      <c r="O162" s="10">
        <v>164367</v>
      </c>
      <c r="P162" s="10">
        <v>3456873</v>
      </c>
    </row>
    <row r="163" spans="1:16" ht="27" customHeight="1" x14ac:dyDescent="0.2">
      <c r="A163" s="9" t="s">
        <v>472</v>
      </c>
      <c r="B163" s="10" t="s">
        <v>616</v>
      </c>
      <c r="C163" s="11" t="s">
        <v>18</v>
      </c>
      <c r="D163" s="11" t="s">
        <v>19</v>
      </c>
      <c r="E163" s="11" t="s">
        <v>19</v>
      </c>
      <c r="F163" s="11" t="s">
        <v>617</v>
      </c>
      <c r="G163" s="11" t="s">
        <v>83</v>
      </c>
      <c r="H163" s="11" t="s">
        <v>618</v>
      </c>
      <c r="I163" s="11" t="s">
        <v>619</v>
      </c>
      <c r="J163" s="12">
        <v>0.1777</v>
      </c>
      <c r="K163" s="13">
        <v>8</v>
      </c>
      <c r="L163" s="14">
        <v>3456</v>
      </c>
      <c r="M163" s="10">
        <v>443</v>
      </c>
      <c r="N163" s="10">
        <v>381894</v>
      </c>
      <c r="O163" s="10">
        <v>34739</v>
      </c>
      <c r="P163" s="10">
        <v>416633</v>
      </c>
    </row>
    <row r="164" spans="1:16" ht="27" customHeight="1" x14ac:dyDescent="0.2">
      <c r="A164" s="9" t="s">
        <v>472</v>
      </c>
      <c r="B164" s="10" t="s">
        <v>620</v>
      </c>
      <c r="C164" s="11" t="s">
        <v>621</v>
      </c>
      <c r="D164" s="11" t="s">
        <v>622</v>
      </c>
      <c r="E164" s="11" t="s">
        <v>26</v>
      </c>
      <c r="F164" s="11" t="s">
        <v>623</v>
      </c>
      <c r="G164" s="11" t="s">
        <v>28</v>
      </c>
      <c r="H164" s="11" t="s">
        <v>475</v>
      </c>
      <c r="I164" s="11" t="s">
        <v>476</v>
      </c>
      <c r="J164" s="12">
        <v>0.96099999999999997</v>
      </c>
      <c r="K164" s="13">
        <v>1</v>
      </c>
      <c r="L164" s="14">
        <v>331</v>
      </c>
      <c r="M164" s="10">
        <v>258</v>
      </c>
      <c r="N164" s="10">
        <v>36576</v>
      </c>
      <c r="O164" s="10">
        <v>20232</v>
      </c>
      <c r="P164" s="10">
        <v>56808</v>
      </c>
    </row>
    <row r="165" spans="1:16" ht="27" customHeight="1" x14ac:dyDescent="0.2">
      <c r="A165" s="9" t="s">
        <v>624</v>
      </c>
      <c r="B165" s="10" t="s">
        <v>625</v>
      </c>
      <c r="C165" s="11" t="s">
        <v>18</v>
      </c>
      <c r="D165" s="11" t="s">
        <v>19</v>
      </c>
      <c r="E165" s="11" t="s">
        <v>19</v>
      </c>
      <c r="F165" s="11" t="s">
        <v>626</v>
      </c>
      <c r="G165" s="11" t="s">
        <v>21</v>
      </c>
      <c r="H165" s="11" t="s">
        <v>627</v>
      </c>
      <c r="I165" s="11" t="s">
        <v>628</v>
      </c>
      <c r="J165" s="12">
        <v>0.81699999999999995</v>
      </c>
      <c r="K165" s="13">
        <v>3</v>
      </c>
      <c r="L165" s="14">
        <v>29</v>
      </c>
      <c r="M165" s="10">
        <v>27</v>
      </c>
      <c r="N165" s="10">
        <v>3205</v>
      </c>
      <c r="O165" s="10">
        <v>2117</v>
      </c>
      <c r="P165" s="10">
        <v>5322</v>
      </c>
    </row>
    <row r="166" spans="1:16" ht="27" customHeight="1" x14ac:dyDescent="0.2">
      <c r="A166" s="9" t="s">
        <v>624</v>
      </c>
      <c r="B166" s="10" t="s">
        <v>625</v>
      </c>
      <c r="C166" s="11" t="s">
        <v>629</v>
      </c>
      <c r="D166" s="11" t="s">
        <v>630</v>
      </c>
      <c r="E166" s="11" t="s">
        <v>57</v>
      </c>
      <c r="F166" s="11" t="s">
        <v>631</v>
      </c>
      <c r="G166" s="11" t="s">
        <v>28</v>
      </c>
      <c r="H166" s="11" t="s">
        <v>631</v>
      </c>
      <c r="I166" s="11" t="s">
        <v>632</v>
      </c>
      <c r="J166" s="12">
        <v>0.6895</v>
      </c>
      <c r="K166" s="13">
        <v>1</v>
      </c>
      <c r="L166" s="14">
        <v>351</v>
      </c>
      <c r="M166" s="10">
        <v>242</v>
      </c>
      <c r="N166" s="10">
        <v>38786</v>
      </c>
      <c r="O166" s="10">
        <v>18977</v>
      </c>
      <c r="P166" s="10">
        <v>57763</v>
      </c>
    </row>
    <row r="167" spans="1:16" ht="27" customHeight="1" x14ac:dyDescent="0.2">
      <c r="A167" s="9" t="s">
        <v>624</v>
      </c>
      <c r="B167" s="10" t="s">
        <v>633</v>
      </c>
      <c r="C167" s="11" t="s">
        <v>18</v>
      </c>
      <c r="D167" s="11" t="s">
        <v>19</v>
      </c>
      <c r="E167" s="11" t="s">
        <v>19</v>
      </c>
      <c r="F167" s="11" t="s">
        <v>634</v>
      </c>
      <c r="G167" s="11" t="s">
        <v>83</v>
      </c>
      <c r="H167" s="11" t="s">
        <v>627</v>
      </c>
      <c r="I167" s="11" t="s">
        <v>628</v>
      </c>
      <c r="J167" s="12">
        <v>0.81699999999999995</v>
      </c>
      <c r="K167" s="13">
        <v>12</v>
      </c>
      <c r="L167" s="14">
        <v>3693</v>
      </c>
      <c r="M167" s="10">
        <v>2485</v>
      </c>
      <c r="N167" s="10">
        <v>408084</v>
      </c>
      <c r="O167" s="10">
        <v>194871</v>
      </c>
      <c r="P167" s="10">
        <v>602955</v>
      </c>
    </row>
    <row r="168" spans="1:16" ht="27" customHeight="1" x14ac:dyDescent="0.2">
      <c r="A168" s="9" t="s">
        <v>624</v>
      </c>
      <c r="B168" s="10" t="s">
        <v>633</v>
      </c>
      <c r="C168" s="11" t="s">
        <v>635</v>
      </c>
      <c r="D168" s="11" t="s">
        <v>636</v>
      </c>
      <c r="E168" s="11" t="s">
        <v>26</v>
      </c>
      <c r="F168" s="11" t="s">
        <v>637</v>
      </c>
      <c r="G168" s="11" t="s">
        <v>28</v>
      </c>
      <c r="H168" s="11" t="s">
        <v>637</v>
      </c>
      <c r="I168" s="11" t="s">
        <v>638</v>
      </c>
      <c r="J168" s="12">
        <v>0.51449999999999996</v>
      </c>
      <c r="K168" s="13">
        <v>1</v>
      </c>
      <c r="L168" s="14">
        <v>276</v>
      </c>
      <c r="M168" s="10">
        <v>142</v>
      </c>
      <c r="N168" s="10">
        <v>30498</v>
      </c>
      <c r="O168" s="10">
        <v>11135</v>
      </c>
      <c r="P168" s="10">
        <v>41633</v>
      </c>
    </row>
    <row r="169" spans="1:16" ht="27" customHeight="1" x14ac:dyDescent="0.2">
      <c r="A169" s="9" t="s">
        <v>639</v>
      </c>
      <c r="B169" s="10" t="s">
        <v>640</v>
      </c>
      <c r="C169" s="11" t="s">
        <v>18</v>
      </c>
      <c r="D169" s="11" t="s">
        <v>19</v>
      </c>
      <c r="E169" s="11" t="s">
        <v>19</v>
      </c>
      <c r="F169" s="11" t="s">
        <v>641</v>
      </c>
      <c r="G169" s="11" t="s">
        <v>21</v>
      </c>
      <c r="H169" s="11" t="s">
        <v>642</v>
      </c>
      <c r="I169" s="11" t="s">
        <v>643</v>
      </c>
      <c r="J169" s="12">
        <v>0.66669999999999996</v>
      </c>
      <c r="K169" s="13">
        <v>4</v>
      </c>
      <c r="L169" s="14">
        <v>588</v>
      </c>
      <c r="M169" s="10">
        <v>315</v>
      </c>
      <c r="N169" s="10">
        <v>64975</v>
      </c>
      <c r="O169" s="10">
        <v>24702</v>
      </c>
      <c r="P169" s="10">
        <v>89677</v>
      </c>
    </row>
    <row r="170" spans="1:16" ht="27" customHeight="1" x14ac:dyDescent="0.2">
      <c r="A170" s="9" t="s">
        <v>639</v>
      </c>
      <c r="B170" s="10" t="s">
        <v>640</v>
      </c>
      <c r="C170" s="11" t="s">
        <v>644</v>
      </c>
      <c r="D170" s="11" t="s">
        <v>645</v>
      </c>
      <c r="E170" s="11" t="s">
        <v>57</v>
      </c>
      <c r="F170" s="11" t="s">
        <v>646</v>
      </c>
      <c r="G170" s="11" t="s">
        <v>28</v>
      </c>
      <c r="H170" s="11" t="s">
        <v>642</v>
      </c>
      <c r="I170" s="11" t="s">
        <v>643</v>
      </c>
      <c r="J170" s="12">
        <v>0.66669999999999996</v>
      </c>
      <c r="K170" s="13">
        <v>1</v>
      </c>
      <c r="L170" s="14">
        <v>223</v>
      </c>
      <c r="M170" s="10">
        <v>67</v>
      </c>
      <c r="N170" s="10">
        <v>24642</v>
      </c>
      <c r="O170" s="10">
        <v>5254</v>
      </c>
      <c r="P170" s="10">
        <v>29896</v>
      </c>
    </row>
    <row r="171" spans="1:16" ht="27" customHeight="1" x14ac:dyDescent="0.2">
      <c r="A171" s="9" t="s">
        <v>639</v>
      </c>
      <c r="B171" s="10" t="s">
        <v>640</v>
      </c>
      <c r="C171" s="11" t="s">
        <v>647</v>
      </c>
      <c r="D171" s="11" t="s">
        <v>648</v>
      </c>
      <c r="E171" s="11" t="s">
        <v>26</v>
      </c>
      <c r="F171" s="11" t="s">
        <v>649</v>
      </c>
      <c r="G171" s="11" t="s">
        <v>28</v>
      </c>
      <c r="H171" s="11" t="s">
        <v>649</v>
      </c>
      <c r="I171" s="11" t="s">
        <v>650</v>
      </c>
      <c r="J171" s="12">
        <v>0.14460000000000001</v>
      </c>
      <c r="K171" s="13">
        <v>1</v>
      </c>
      <c r="L171" s="14">
        <v>1217</v>
      </c>
      <c r="M171" s="10">
        <v>176</v>
      </c>
      <c r="N171" s="10">
        <v>134481</v>
      </c>
      <c r="O171" s="10">
        <v>13802</v>
      </c>
      <c r="P171" s="10">
        <v>148283</v>
      </c>
    </row>
    <row r="172" spans="1:16" ht="27" customHeight="1" x14ac:dyDescent="0.2">
      <c r="A172" s="9" t="s">
        <v>639</v>
      </c>
      <c r="B172" s="10" t="s">
        <v>640</v>
      </c>
      <c r="C172" s="11" t="s">
        <v>651</v>
      </c>
      <c r="D172" s="11" t="s">
        <v>652</v>
      </c>
      <c r="E172" s="11" t="s">
        <v>57</v>
      </c>
      <c r="F172" s="11" t="s">
        <v>653</v>
      </c>
      <c r="G172" s="11" t="s">
        <v>28</v>
      </c>
      <c r="H172" s="11" t="s">
        <v>642</v>
      </c>
      <c r="I172" s="11" t="s">
        <v>643</v>
      </c>
      <c r="J172" s="12">
        <v>0.66669999999999996</v>
      </c>
      <c r="K172" s="13">
        <v>1</v>
      </c>
      <c r="L172" s="14">
        <v>347</v>
      </c>
      <c r="M172" s="10">
        <v>125</v>
      </c>
      <c r="N172" s="10">
        <v>38344</v>
      </c>
      <c r="O172" s="10">
        <v>9802</v>
      </c>
      <c r="P172" s="10">
        <v>48146</v>
      </c>
    </row>
    <row r="173" spans="1:16" ht="27" customHeight="1" x14ac:dyDescent="0.2">
      <c r="A173" s="9" t="s">
        <v>639</v>
      </c>
      <c r="B173" s="10" t="s">
        <v>640</v>
      </c>
      <c r="C173" s="11" t="s">
        <v>654</v>
      </c>
      <c r="D173" s="11" t="s">
        <v>655</v>
      </c>
      <c r="E173" s="11" t="s">
        <v>57</v>
      </c>
      <c r="F173" s="11" t="s">
        <v>656</v>
      </c>
      <c r="G173" s="11" t="s">
        <v>28</v>
      </c>
      <c r="H173" s="11" t="s">
        <v>642</v>
      </c>
      <c r="I173" s="11" t="s">
        <v>643</v>
      </c>
      <c r="J173" s="12">
        <v>0.66669999999999996</v>
      </c>
      <c r="K173" s="13">
        <v>1</v>
      </c>
      <c r="L173" s="14">
        <v>27</v>
      </c>
      <c r="M173" s="10">
        <v>27</v>
      </c>
      <c r="N173" s="10">
        <v>2984</v>
      </c>
      <c r="O173" s="10">
        <v>2117</v>
      </c>
      <c r="P173" s="10">
        <v>5101</v>
      </c>
    </row>
    <row r="174" spans="1:16" ht="27" customHeight="1" x14ac:dyDescent="0.2">
      <c r="A174" s="9" t="s">
        <v>639</v>
      </c>
      <c r="B174" s="10" t="s">
        <v>657</v>
      </c>
      <c r="C174" s="11" t="s">
        <v>18</v>
      </c>
      <c r="D174" s="11" t="s">
        <v>19</v>
      </c>
      <c r="E174" s="11" t="s">
        <v>19</v>
      </c>
      <c r="F174" s="11" t="s">
        <v>658</v>
      </c>
      <c r="G174" s="11" t="s">
        <v>83</v>
      </c>
      <c r="H174" s="11" t="s">
        <v>659</v>
      </c>
      <c r="I174" s="11" t="s">
        <v>660</v>
      </c>
      <c r="J174" s="12">
        <v>0.42309999999999998</v>
      </c>
      <c r="K174" s="13">
        <v>8</v>
      </c>
      <c r="L174" s="14">
        <v>3453</v>
      </c>
      <c r="M174" s="10">
        <v>656</v>
      </c>
      <c r="N174" s="10">
        <v>381562</v>
      </c>
      <c r="O174" s="10">
        <v>51444</v>
      </c>
      <c r="P174" s="10">
        <v>433006</v>
      </c>
    </row>
    <row r="175" spans="1:16" ht="27" customHeight="1" x14ac:dyDescent="0.2">
      <c r="A175" s="9" t="s">
        <v>639</v>
      </c>
      <c r="B175" s="10" t="s">
        <v>657</v>
      </c>
      <c r="C175" s="11" t="s">
        <v>661</v>
      </c>
      <c r="D175" s="11" t="s">
        <v>662</v>
      </c>
      <c r="E175" s="11" t="s">
        <v>57</v>
      </c>
      <c r="F175" s="11" t="s">
        <v>663</v>
      </c>
      <c r="G175" s="11" t="s">
        <v>28</v>
      </c>
      <c r="H175" s="11" t="s">
        <v>663</v>
      </c>
      <c r="I175" s="11" t="s">
        <v>664</v>
      </c>
      <c r="J175" s="12">
        <v>0.16139999999999999</v>
      </c>
      <c r="K175" s="13">
        <v>1</v>
      </c>
      <c r="L175" s="14">
        <v>694</v>
      </c>
      <c r="M175" s="10">
        <v>112</v>
      </c>
      <c r="N175" s="10">
        <v>76688</v>
      </c>
      <c r="O175" s="10">
        <v>8783</v>
      </c>
      <c r="P175" s="10">
        <v>85471</v>
      </c>
    </row>
    <row r="176" spans="1:16" ht="27" customHeight="1" x14ac:dyDescent="0.2">
      <c r="A176" s="9" t="s">
        <v>639</v>
      </c>
      <c r="B176" s="10" t="s">
        <v>657</v>
      </c>
      <c r="C176" s="11" t="s">
        <v>665</v>
      </c>
      <c r="D176" s="11" t="s">
        <v>666</v>
      </c>
      <c r="E176" s="11" t="s">
        <v>26</v>
      </c>
      <c r="F176" s="11" t="s">
        <v>667</v>
      </c>
      <c r="G176" s="11" t="s">
        <v>28</v>
      </c>
      <c r="H176" s="11" t="s">
        <v>667</v>
      </c>
      <c r="I176" s="11" t="s">
        <v>668</v>
      </c>
      <c r="J176" s="12">
        <v>0.11459999999999999</v>
      </c>
      <c r="K176" s="13">
        <v>1</v>
      </c>
      <c r="L176" s="14">
        <v>515</v>
      </c>
      <c r="M176" s="10">
        <v>59</v>
      </c>
      <c r="N176" s="10">
        <v>56908</v>
      </c>
      <c r="O176" s="10">
        <v>4627</v>
      </c>
      <c r="P176" s="10">
        <v>61535</v>
      </c>
    </row>
    <row r="177" spans="1:16" ht="27" customHeight="1" x14ac:dyDescent="0.2">
      <c r="A177" s="9" t="s">
        <v>639</v>
      </c>
      <c r="B177" s="10" t="s">
        <v>657</v>
      </c>
      <c r="C177" s="11" t="s">
        <v>669</v>
      </c>
      <c r="D177" s="11" t="s">
        <v>670</v>
      </c>
      <c r="E177" s="11" t="s">
        <v>26</v>
      </c>
      <c r="F177" s="11" t="s">
        <v>671</v>
      </c>
      <c r="G177" s="11" t="s">
        <v>28</v>
      </c>
      <c r="H177" s="11" t="s">
        <v>671</v>
      </c>
      <c r="I177" s="11" t="s">
        <v>672</v>
      </c>
      <c r="J177" s="12">
        <v>0.31109999999999999</v>
      </c>
      <c r="K177" s="13">
        <v>1</v>
      </c>
      <c r="L177" s="14">
        <v>135</v>
      </c>
      <c r="M177" s="10">
        <v>42</v>
      </c>
      <c r="N177" s="10">
        <v>14918</v>
      </c>
      <c r="O177" s="10">
        <v>3294</v>
      </c>
      <c r="P177" s="10">
        <v>18212</v>
      </c>
    </row>
    <row r="178" spans="1:16" ht="27" customHeight="1" x14ac:dyDescent="0.2">
      <c r="A178" s="9" t="s">
        <v>639</v>
      </c>
      <c r="B178" s="10" t="s">
        <v>657</v>
      </c>
      <c r="C178" s="11" t="s">
        <v>673</v>
      </c>
      <c r="D178" s="11" t="s">
        <v>674</v>
      </c>
      <c r="E178" s="11" t="s">
        <v>26</v>
      </c>
      <c r="F178" s="11" t="s">
        <v>675</v>
      </c>
      <c r="G178" s="11" t="s">
        <v>28</v>
      </c>
      <c r="H178" s="11" t="s">
        <v>675</v>
      </c>
      <c r="I178" s="11" t="s">
        <v>676</v>
      </c>
      <c r="J178" s="12">
        <v>0.35</v>
      </c>
      <c r="K178" s="13">
        <v>1</v>
      </c>
      <c r="L178" s="14">
        <v>1937</v>
      </c>
      <c r="M178" s="10">
        <v>678</v>
      </c>
      <c r="N178" s="10">
        <v>214042</v>
      </c>
      <c r="O178" s="10">
        <v>53168</v>
      </c>
      <c r="P178" s="10">
        <v>267210</v>
      </c>
    </row>
    <row r="179" spans="1:16" ht="27" customHeight="1" x14ac:dyDescent="0.2">
      <c r="A179" s="9" t="s">
        <v>639</v>
      </c>
      <c r="B179" s="10" t="s">
        <v>657</v>
      </c>
      <c r="C179" s="11" t="s">
        <v>677</v>
      </c>
      <c r="D179" s="11" t="s">
        <v>678</v>
      </c>
      <c r="E179" s="11" t="s">
        <v>57</v>
      </c>
      <c r="F179" s="11" t="s">
        <v>679</v>
      </c>
      <c r="G179" s="11" t="s">
        <v>28</v>
      </c>
      <c r="H179" s="11" t="s">
        <v>679</v>
      </c>
      <c r="I179" s="11" t="s">
        <v>680</v>
      </c>
      <c r="J179" s="12">
        <v>0.1371</v>
      </c>
      <c r="K179" s="13">
        <v>1</v>
      </c>
      <c r="L179" s="14">
        <v>124</v>
      </c>
      <c r="M179" s="10">
        <v>17</v>
      </c>
      <c r="N179" s="10">
        <v>13702</v>
      </c>
      <c r="O179" s="10">
        <v>1333</v>
      </c>
      <c r="P179" s="10">
        <v>15035</v>
      </c>
    </row>
    <row r="180" spans="1:16" ht="27" customHeight="1" x14ac:dyDescent="0.2">
      <c r="A180" s="9" t="s">
        <v>639</v>
      </c>
      <c r="B180" s="10" t="s">
        <v>657</v>
      </c>
      <c r="C180" s="11" t="s">
        <v>681</v>
      </c>
      <c r="D180" s="11" t="s">
        <v>682</v>
      </c>
      <c r="E180" s="11" t="s">
        <v>26</v>
      </c>
      <c r="F180" s="11" t="s">
        <v>683</v>
      </c>
      <c r="G180" s="11" t="s">
        <v>28</v>
      </c>
      <c r="H180" s="11" t="s">
        <v>683</v>
      </c>
      <c r="I180" s="11" t="s">
        <v>684</v>
      </c>
      <c r="J180" s="12">
        <v>0.49390000000000001</v>
      </c>
      <c r="K180" s="13">
        <v>1</v>
      </c>
      <c r="L180" s="14">
        <v>2798</v>
      </c>
      <c r="M180" s="10">
        <v>1382</v>
      </c>
      <c r="N180" s="10">
        <v>309184</v>
      </c>
      <c r="O180" s="10">
        <v>108375</v>
      </c>
      <c r="P180" s="10">
        <v>417559</v>
      </c>
    </row>
    <row r="181" spans="1:16" ht="27" customHeight="1" x14ac:dyDescent="0.2">
      <c r="A181" s="9" t="s">
        <v>639</v>
      </c>
      <c r="B181" s="10" t="s">
        <v>685</v>
      </c>
      <c r="C181" s="11" t="s">
        <v>18</v>
      </c>
      <c r="D181" s="11" t="s">
        <v>19</v>
      </c>
      <c r="E181" s="11" t="s">
        <v>19</v>
      </c>
      <c r="F181" s="11" t="s">
        <v>686</v>
      </c>
      <c r="G181" s="11" t="s">
        <v>83</v>
      </c>
      <c r="H181" s="11" t="s">
        <v>687</v>
      </c>
      <c r="I181" s="11" t="s">
        <v>688</v>
      </c>
      <c r="J181" s="12">
        <v>0.46839999999999998</v>
      </c>
      <c r="K181" s="13">
        <v>2</v>
      </c>
      <c r="L181" s="14">
        <v>412</v>
      </c>
      <c r="M181" s="10">
        <v>193</v>
      </c>
      <c r="N181" s="10">
        <v>45527</v>
      </c>
      <c r="O181" s="10">
        <v>15135</v>
      </c>
      <c r="P181" s="10">
        <v>60662</v>
      </c>
    </row>
    <row r="182" spans="1:16" ht="27" customHeight="1" x14ac:dyDescent="0.2">
      <c r="A182" s="9" t="s">
        <v>639</v>
      </c>
      <c r="B182" s="10" t="s">
        <v>685</v>
      </c>
      <c r="C182" s="11" t="s">
        <v>689</v>
      </c>
      <c r="D182" s="11" t="s">
        <v>690</v>
      </c>
      <c r="E182" s="11" t="s">
        <v>26</v>
      </c>
      <c r="F182" s="11" t="s">
        <v>691</v>
      </c>
      <c r="G182" s="11" t="s">
        <v>28</v>
      </c>
      <c r="H182" s="11" t="s">
        <v>691</v>
      </c>
      <c r="I182" s="11" t="s">
        <v>692</v>
      </c>
      <c r="J182" s="12">
        <v>0.375</v>
      </c>
      <c r="K182" s="13">
        <v>1</v>
      </c>
      <c r="L182" s="14">
        <v>16</v>
      </c>
      <c r="M182" s="10">
        <v>6</v>
      </c>
      <c r="N182" s="10">
        <v>1768</v>
      </c>
      <c r="O182" s="10">
        <v>471</v>
      </c>
      <c r="P182" s="10">
        <v>2239</v>
      </c>
    </row>
    <row r="183" spans="1:16" ht="27" customHeight="1" x14ac:dyDescent="0.2">
      <c r="A183" s="9" t="s">
        <v>639</v>
      </c>
      <c r="B183" s="10" t="s">
        <v>693</v>
      </c>
      <c r="C183" s="11" t="s">
        <v>18</v>
      </c>
      <c r="D183" s="11" t="s">
        <v>19</v>
      </c>
      <c r="E183" s="11" t="s">
        <v>19</v>
      </c>
      <c r="F183" s="11" t="s">
        <v>694</v>
      </c>
      <c r="G183" s="11" t="s">
        <v>83</v>
      </c>
      <c r="H183" s="11" t="s">
        <v>642</v>
      </c>
      <c r="I183" s="11" t="s">
        <v>643</v>
      </c>
      <c r="J183" s="12">
        <v>0.66669999999999996</v>
      </c>
      <c r="K183" s="13">
        <v>6</v>
      </c>
      <c r="L183" s="14">
        <v>6580</v>
      </c>
      <c r="M183" s="10">
        <v>1303</v>
      </c>
      <c r="N183" s="10">
        <v>727101</v>
      </c>
      <c r="O183" s="10">
        <v>102179</v>
      </c>
      <c r="P183" s="10">
        <v>829280</v>
      </c>
    </row>
    <row r="184" spans="1:16" ht="27" customHeight="1" x14ac:dyDescent="0.2">
      <c r="A184" s="9" t="s">
        <v>639</v>
      </c>
      <c r="B184" s="10" t="s">
        <v>693</v>
      </c>
      <c r="C184" s="11" t="s">
        <v>695</v>
      </c>
      <c r="D184" s="11" t="s">
        <v>696</v>
      </c>
      <c r="E184" s="11" t="s">
        <v>57</v>
      </c>
      <c r="F184" s="11" t="s">
        <v>697</v>
      </c>
      <c r="G184" s="11" t="s">
        <v>28</v>
      </c>
      <c r="H184" s="11" t="s">
        <v>642</v>
      </c>
      <c r="I184" s="11" t="s">
        <v>643</v>
      </c>
      <c r="J184" s="12">
        <v>0.66669999999999996</v>
      </c>
      <c r="K184" s="13">
        <v>1</v>
      </c>
      <c r="L184" s="14">
        <v>100</v>
      </c>
      <c r="M184" s="10">
        <v>17</v>
      </c>
      <c r="N184" s="10">
        <v>11050</v>
      </c>
      <c r="O184" s="10">
        <v>1333</v>
      </c>
      <c r="P184" s="10">
        <v>12383</v>
      </c>
    </row>
    <row r="185" spans="1:16" ht="27" customHeight="1" x14ac:dyDescent="0.2">
      <c r="A185" s="9" t="s">
        <v>639</v>
      </c>
      <c r="B185" s="10" t="s">
        <v>698</v>
      </c>
      <c r="C185" s="11" t="s">
        <v>18</v>
      </c>
      <c r="D185" s="11" t="s">
        <v>19</v>
      </c>
      <c r="E185" s="11" t="s">
        <v>19</v>
      </c>
      <c r="F185" s="11" t="s">
        <v>699</v>
      </c>
      <c r="G185" s="11" t="s">
        <v>83</v>
      </c>
      <c r="H185" s="11" t="s">
        <v>700</v>
      </c>
      <c r="I185" s="11" t="s">
        <v>701</v>
      </c>
      <c r="J185" s="12">
        <v>0.39229999999999998</v>
      </c>
      <c r="K185" s="13">
        <v>3</v>
      </c>
      <c r="L185" s="14">
        <v>466</v>
      </c>
      <c r="M185" s="10">
        <v>183</v>
      </c>
      <c r="N185" s="10">
        <v>51494</v>
      </c>
      <c r="O185" s="10">
        <v>14351</v>
      </c>
      <c r="P185" s="10">
        <v>65845</v>
      </c>
    </row>
    <row r="186" spans="1:16" ht="27" customHeight="1" x14ac:dyDescent="0.2">
      <c r="A186" s="9" t="s">
        <v>639</v>
      </c>
      <c r="B186" s="10" t="s">
        <v>702</v>
      </c>
      <c r="C186" s="11" t="s">
        <v>18</v>
      </c>
      <c r="D186" s="11" t="s">
        <v>19</v>
      </c>
      <c r="E186" s="11" t="s">
        <v>19</v>
      </c>
      <c r="F186" s="11" t="s">
        <v>703</v>
      </c>
      <c r="G186" s="11" t="s">
        <v>83</v>
      </c>
      <c r="H186" s="11" t="s">
        <v>704</v>
      </c>
      <c r="I186" s="11" t="s">
        <v>705</v>
      </c>
      <c r="J186" s="12">
        <v>0.29499999999999998</v>
      </c>
      <c r="K186" s="13">
        <v>3</v>
      </c>
      <c r="L186" s="14">
        <v>520</v>
      </c>
      <c r="M186" s="10">
        <v>150</v>
      </c>
      <c r="N186" s="10">
        <v>57460</v>
      </c>
      <c r="O186" s="10">
        <v>11762</v>
      </c>
      <c r="P186" s="10">
        <v>69222</v>
      </c>
    </row>
    <row r="187" spans="1:16" ht="27" customHeight="1" x14ac:dyDescent="0.2">
      <c r="A187" s="9" t="s">
        <v>639</v>
      </c>
      <c r="B187" s="10" t="s">
        <v>706</v>
      </c>
      <c r="C187" s="11" t="s">
        <v>18</v>
      </c>
      <c r="D187" s="11" t="s">
        <v>19</v>
      </c>
      <c r="E187" s="11" t="s">
        <v>19</v>
      </c>
      <c r="F187" s="11" t="s">
        <v>707</v>
      </c>
      <c r="G187" s="11" t="s">
        <v>83</v>
      </c>
      <c r="H187" s="11" t="s">
        <v>707</v>
      </c>
      <c r="I187" s="11" t="s">
        <v>708</v>
      </c>
      <c r="J187" s="12">
        <v>0.3</v>
      </c>
      <c r="K187" s="13">
        <v>2</v>
      </c>
      <c r="L187" s="14">
        <v>10</v>
      </c>
      <c r="M187" s="10">
        <v>3</v>
      </c>
      <c r="N187" s="10">
        <v>1105</v>
      </c>
      <c r="O187" s="10">
        <v>235</v>
      </c>
      <c r="P187" s="10">
        <v>1340</v>
      </c>
    </row>
    <row r="188" spans="1:16" ht="27" customHeight="1" x14ac:dyDescent="0.2">
      <c r="A188" s="9" t="s">
        <v>639</v>
      </c>
      <c r="B188" s="10" t="s">
        <v>709</v>
      </c>
      <c r="C188" s="11" t="s">
        <v>18</v>
      </c>
      <c r="D188" s="11" t="s">
        <v>19</v>
      </c>
      <c r="E188" s="11" t="s">
        <v>19</v>
      </c>
      <c r="F188" s="11" t="s">
        <v>710</v>
      </c>
      <c r="G188" s="11" t="s">
        <v>83</v>
      </c>
      <c r="H188" s="11" t="s">
        <v>711</v>
      </c>
      <c r="I188" s="11" t="s">
        <v>712</v>
      </c>
      <c r="J188" s="12">
        <v>0.56759999999999999</v>
      </c>
      <c r="K188" s="13">
        <v>9</v>
      </c>
      <c r="L188" s="14">
        <v>3678</v>
      </c>
      <c r="M188" s="10">
        <v>1729</v>
      </c>
      <c r="N188" s="10">
        <v>406426</v>
      </c>
      <c r="O188" s="10">
        <v>135587</v>
      </c>
      <c r="P188" s="10">
        <v>542013</v>
      </c>
    </row>
    <row r="189" spans="1:16" ht="27" customHeight="1" x14ac:dyDescent="0.2">
      <c r="A189" s="9" t="s">
        <v>639</v>
      </c>
      <c r="B189" s="10" t="s">
        <v>713</v>
      </c>
      <c r="C189" s="11" t="s">
        <v>18</v>
      </c>
      <c r="D189" s="11" t="s">
        <v>19</v>
      </c>
      <c r="E189" s="11" t="s">
        <v>19</v>
      </c>
      <c r="F189" s="11" t="s">
        <v>714</v>
      </c>
      <c r="G189" s="11" t="s">
        <v>83</v>
      </c>
      <c r="H189" s="11" t="s">
        <v>715</v>
      </c>
      <c r="I189" s="11" t="s">
        <v>716</v>
      </c>
      <c r="J189" s="12">
        <v>0.16919999999999999</v>
      </c>
      <c r="K189" s="13">
        <v>3</v>
      </c>
      <c r="L189" s="14">
        <v>161</v>
      </c>
      <c r="M189" s="10">
        <v>22</v>
      </c>
      <c r="N189" s="10">
        <v>17791</v>
      </c>
      <c r="O189" s="10">
        <v>1726</v>
      </c>
      <c r="P189" s="10">
        <v>19517</v>
      </c>
    </row>
    <row r="190" spans="1:16" ht="27" customHeight="1" x14ac:dyDescent="0.2">
      <c r="A190" s="9" t="s">
        <v>639</v>
      </c>
      <c r="B190" s="10" t="s">
        <v>717</v>
      </c>
      <c r="C190" s="11" t="s">
        <v>18</v>
      </c>
      <c r="D190" s="11" t="s">
        <v>19</v>
      </c>
      <c r="E190" s="11" t="s">
        <v>19</v>
      </c>
      <c r="F190" s="11" t="s">
        <v>718</v>
      </c>
      <c r="G190" s="11" t="s">
        <v>83</v>
      </c>
      <c r="H190" s="11" t="s">
        <v>719</v>
      </c>
      <c r="I190" s="11" t="s">
        <v>720</v>
      </c>
      <c r="J190" s="12">
        <v>0.50429999999999997</v>
      </c>
      <c r="K190" s="13">
        <v>4</v>
      </c>
      <c r="L190" s="14">
        <v>840</v>
      </c>
      <c r="M190" s="10">
        <v>418</v>
      </c>
      <c r="N190" s="10">
        <v>92822</v>
      </c>
      <c r="O190" s="10">
        <v>32779</v>
      </c>
      <c r="P190" s="10">
        <v>125601</v>
      </c>
    </row>
    <row r="191" spans="1:16" ht="27" customHeight="1" x14ac:dyDescent="0.2">
      <c r="A191" s="9" t="s">
        <v>639</v>
      </c>
      <c r="B191" s="10" t="s">
        <v>721</v>
      </c>
      <c r="C191" s="11" t="s">
        <v>18</v>
      </c>
      <c r="D191" s="11" t="s">
        <v>19</v>
      </c>
      <c r="E191" s="11" t="s">
        <v>19</v>
      </c>
      <c r="F191" s="11" t="s">
        <v>427</v>
      </c>
      <c r="G191" s="11" t="s">
        <v>83</v>
      </c>
      <c r="H191" s="11" t="s">
        <v>642</v>
      </c>
      <c r="I191" s="11" t="s">
        <v>643</v>
      </c>
      <c r="J191" s="12">
        <v>0.66669999999999996</v>
      </c>
      <c r="K191" s="13">
        <v>4</v>
      </c>
      <c r="L191" s="14">
        <v>289</v>
      </c>
      <c r="M191" s="10">
        <v>144</v>
      </c>
      <c r="N191" s="10">
        <v>31935</v>
      </c>
      <c r="O191" s="10">
        <v>11293</v>
      </c>
      <c r="P191" s="10">
        <v>43228</v>
      </c>
    </row>
    <row r="192" spans="1:16" ht="27" customHeight="1" x14ac:dyDescent="0.2">
      <c r="A192" s="9" t="s">
        <v>639</v>
      </c>
      <c r="B192" s="10" t="s">
        <v>722</v>
      </c>
      <c r="C192" s="11" t="s">
        <v>18</v>
      </c>
      <c r="D192" s="11" t="s">
        <v>19</v>
      </c>
      <c r="E192" s="11" t="s">
        <v>19</v>
      </c>
      <c r="F192" s="11" t="s">
        <v>723</v>
      </c>
      <c r="G192" s="11" t="s">
        <v>83</v>
      </c>
      <c r="H192" s="11" t="s">
        <v>724</v>
      </c>
      <c r="I192" s="11" t="s">
        <v>725</v>
      </c>
      <c r="J192" s="12">
        <v>0.6613</v>
      </c>
      <c r="K192" s="13">
        <v>4</v>
      </c>
      <c r="L192" s="14">
        <v>1168</v>
      </c>
      <c r="M192" s="10">
        <v>662</v>
      </c>
      <c r="N192" s="10">
        <v>129066</v>
      </c>
      <c r="O192" s="10">
        <v>51913</v>
      </c>
      <c r="P192" s="10">
        <v>180979</v>
      </c>
    </row>
    <row r="193" spans="1:16" ht="27" customHeight="1" x14ac:dyDescent="0.2">
      <c r="A193" s="9" t="s">
        <v>639</v>
      </c>
      <c r="B193" s="10" t="s">
        <v>726</v>
      </c>
      <c r="C193" s="11" t="s">
        <v>18</v>
      </c>
      <c r="D193" s="11" t="s">
        <v>19</v>
      </c>
      <c r="E193" s="11" t="s">
        <v>19</v>
      </c>
      <c r="F193" s="11" t="s">
        <v>727</v>
      </c>
      <c r="G193" s="11" t="s">
        <v>83</v>
      </c>
      <c r="H193" s="11" t="s">
        <v>728</v>
      </c>
      <c r="I193" s="11" t="s">
        <v>729</v>
      </c>
      <c r="J193" s="12">
        <v>0.48010000000000003</v>
      </c>
      <c r="K193" s="13">
        <v>3</v>
      </c>
      <c r="L193" s="14">
        <v>590</v>
      </c>
      <c r="M193" s="10">
        <v>289</v>
      </c>
      <c r="N193" s="10">
        <v>65196</v>
      </c>
      <c r="O193" s="10">
        <v>22663</v>
      </c>
      <c r="P193" s="10">
        <v>87859</v>
      </c>
    </row>
    <row r="194" spans="1:16" ht="27" customHeight="1" x14ac:dyDescent="0.2">
      <c r="A194" s="9" t="s">
        <v>639</v>
      </c>
      <c r="B194" s="10" t="s">
        <v>730</v>
      </c>
      <c r="C194" s="11" t="s">
        <v>18</v>
      </c>
      <c r="D194" s="11" t="s">
        <v>19</v>
      </c>
      <c r="E194" s="11" t="s">
        <v>19</v>
      </c>
      <c r="F194" s="11" t="s">
        <v>731</v>
      </c>
      <c r="G194" s="11" t="s">
        <v>83</v>
      </c>
      <c r="H194" s="11" t="s">
        <v>732</v>
      </c>
      <c r="I194" s="11" t="s">
        <v>733</v>
      </c>
      <c r="J194" s="12">
        <v>0.40350000000000003</v>
      </c>
      <c r="K194" s="13">
        <v>8</v>
      </c>
      <c r="L194" s="14">
        <v>3515</v>
      </c>
      <c r="M194" s="10">
        <v>554</v>
      </c>
      <c r="N194" s="10">
        <v>388412</v>
      </c>
      <c r="O194" s="10">
        <v>43446</v>
      </c>
      <c r="P194" s="10">
        <v>431858</v>
      </c>
    </row>
    <row r="195" spans="1:16" ht="27" customHeight="1" x14ac:dyDescent="0.2">
      <c r="A195" s="9" t="s">
        <v>639</v>
      </c>
      <c r="B195" s="10" t="s">
        <v>734</v>
      </c>
      <c r="C195" s="11" t="s">
        <v>18</v>
      </c>
      <c r="D195" s="11" t="s">
        <v>19</v>
      </c>
      <c r="E195" s="11" t="s">
        <v>19</v>
      </c>
      <c r="F195" s="11" t="s">
        <v>735</v>
      </c>
      <c r="G195" s="11" t="s">
        <v>83</v>
      </c>
      <c r="H195" s="11" t="s">
        <v>735</v>
      </c>
      <c r="I195" s="11" t="s">
        <v>736</v>
      </c>
      <c r="J195" s="12">
        <v>0.61539999999999995</v>
      </c>
      <c r="K195" s="13">
        <v>2</v>
      </c>
      <c r="L195" s="14">
        <v>13</v>
      </c>
      <c r="M195" s="10">
        <v>8</v>
      </c>
      <c r="N195" s="10">
        <v>1437</v>
      </c>
      <c r="O195" s="10">
        <v>627</v>
      </c>
      <c r="P195" s="10">
        <v>2064</v>
      </c>
    </row>
    <row r="196" spans="1:16" ht="27" customHeight="1" x14ac:dyDescent="0.2">
      <c r="A196" s="9" t="s">
        <v>639</v>
      </c>
      <c r="B196" s="10" t="s">
        <v>737</v>
      </c>
      <c r="C196" s="11" t="s">
        <v>18</v>
      </c>
      <c r="D196" s="11" t="s">
        <v>19</v>
      </c>
      <c r="E196" s="11" t="s">
        <v>19</v>
      </c>
      <c r="F196" s="11" t="s">
        <v>738</v>
      </c>
      <c r="G196" s="11" t="s">
        <v>83</v>
      </c>
      <c r="H196" s="11" t="s">
        <v>739</v>
      </c>
      <c r="I196" s="11" t="s">
        <v>740</v>
      </c>
      <c r="J196" s="12">
        <v>0.4622</v>
      </c>
      <c r="K196" s="13">
        <v>6</v>
      </c>
      <c r="L196" s="14">
        <v>1021</v>
      </c>
      <c r="M196" s="10">
        <v>396</v>
      </c>
      <c r="N196" s="10">
        <v>112823</v>
      </c>
      <c r="O196" s="10">
        <v>31055</v>
      </c>
      <c r="P196" s="10">
        <v>143878</v>
      </c>
    </row>
    <row r="197" spans="1:16" ht="27" customHeight="1" x14ac:dyDescent="0.2">
      <c r="A197" s="9" t="s">
        <v>639</v>
      </c>
      <c r="B197" s="10" t="s">
        <v>737</v>
      </c>
      <c r="C197" s="11" t="s">
        <v>741</v>
      </c>
      <c r="D197" s="11" t="s">
        <v>742</v>
      </c>
      <c r="E197" s="11" t="s">
        <v>57</v>
      </c>
      <c r="F197" s="11" t="s">
        <v>743</v>
      </c>
      <c r="G197" s="11" t="s">
        <v>28</v>
      </c>
      <c r="H197" s="11" t="s">
        <v>743</v>
      </c>
      <c r="I197" s="11" t="s">
        <v>744</v>
      </c>
      <c r="J197" s="12">
        <v>0.4123</v>
      </c>
      <c r="K197" s="13">
        <v>1</v>
      </c>
      <c r="L197" s="14">
        <v>228</v>
      </c>
      <c r="M197" s="10">
        <v>94</v>
      </c>
      <c r="N197" s="10">
        <v>25194</v>
      </c>
      <c r="O197" s="10">
        <v>7371</v>
      </c>
      <c r="P197" s="10">
        <v>32565</v>
      </c>
    </row>
    <row r="198" spans="1:16" ht="27" customHeight="1" x14ac:dyDescent="0.2">
      <c r="A198" s="9" t="s">
        <v>745</v>
      </c>
      <c r="B198" s="10" t="s">
        <v>746</v>
      </c>
      <c r="C198" s="11" t="s">
        <v>18</v>
      </c>
      <c r="D198" s="11" t="s">
        <v>19</v>
      </c>
      <c r="E198" s="11" t="s">
        <v>19</v>
      </c>
      <c r="F198" s="11" t="s">
        <v>747</v>
      </c>
      <c r="G198" s="11" t="s">
        <v>21</v>
      </c>
      <c r="H198" s="11" t="s">
        <v>748</v>
      </c>
      <c r="I198" s="11" t="s">
        <v>749</v>
      </c>
      <c r="J198" s="12">
        <v>1</v>
      </c>
      <c r="K198" s="13">
        <v>5</v>
      </c>
      <c r="L198" s="14">
        <v>814</v>
      </c>
      <c r="M198" s="10">
        <v>604</v>
      </c>
      <c r="N198" s="10">
        <v>89949</v>
      </c>
      <c r="O198" s="10">
        <v>47365</v>
      </c>
      <c r="P198" s="10">
        <v>137314</v>
      </c>
    </row>
    <row r="199" spans="1:16" ht="27" customHeight="1" x14ac:dyDescent="0.2">
      <c r="A199" s="9" t="s">
        <v>745</v>
      </c>
      <c r="B199" s="10" t="s">
        <v>746</v>
      </c>
      <c r="C199" s="11" t="s">
        <v>750</v>
      </c>
      <c r="D199" s="11" t="s">
        <v>751</v>
      </c>
      <c r="E199" s="11" t="s">
        <v>26</v>
      </c>
      <c r="F199" s="11" t="s">
        <v>752</v>
      </c>
      <c r="G199" s="11" t="s">
        <v>28</v>
      </c>
      <c r="H199" s="11" t="s">
        <v>752</v>
      </c>
      <c r="I199" s="11" t="s">
        <v>753</v>
      </c>
      <c r="J199" s="12">
        <v>0.91069999999999995</v>
      </c>
      <c r="K199" s="13">
        <v>1</v>
      </c>
      <c r="L199" s="14">
        <v>1567</v>
      </c>
      <c r="M199" s="10">
        <v>1427</v>
      </c>
      <c r="N199" s="10">
        <v>173156</v>
      </c>
      <c r="O199" s="10">
        <v>111904</v>
      </c>
      <c r="P199" s="10">
        <v>285060</v>
      </c>
    </row>
    <row r="200" spans="1:16" ht="27" customHeight="1" x14ac:dyDescent="0.2">
      <c r="A200" s="9" t="s">
        <v>745</v>
      </c>
      <c r="B200" s="10" t="s">
        <v>746</v>
      </c>
      <c r="C200" s="11" t="s">
        <v>754</v>
      </c>
      <c r="D200" s="11" t="s">
        <v>755</v>
      </c>
      <c r="E200" s="11" t="s">
        <v>26</v>
      </c>
      <c r="F200" s="11" t="s">
        <v>756</v>
      </c>
      <c r="G200" s="11" t="s">
        <v>28</v>
      </c>
      <c r="H200" s="11" t="s">
        <v>756</v>
      </c>
      <c r="I200" s="11" t="s">
        <v>757</v>
      </c>
      <c r="J200" s="12">
        <v>0.46429999999999999</v>
      </c>
      <c r="K200" s="13">
        <v>1</v>
      </c>
      <c r="L200" s="14">
        <v>56</v>
      </c>
      <c r="M200" s="10">
        <v>26</v>
      </c>
      <c r="N200" s="10">
        <v>6188</v>
      </c>
      <c r="O200" s="10">
        <v>2039</v>
      </c>
      <c r="P200" s="10">
        <v>8227</v>
      </c>
    </row>
    <row r="201" spans="1:16" ht="27" customHeight="1" x14ac:dyDescent="0.2">
      <c r="A201" s="9" t="s">
        <v>745</v>
      </c>
      <c r="B201" s="10" t="s">
        <v>746</v>
      </c>
      <c r="C201" s="11" t="s">
        <v>758</v>
      </c>
      <c r="D201" s="11" t="s">
        <v>759</v>
      </c>
      <c r="E201" s="11" t="s">
        <v>26</v>
      </c>
      <c r="F201" s="11" t="s">
        <v>760</v>
      </c>
      <c r="G201" s="11" t="s">
        <v>28</v>
      </c>
      <c r="H201" s="11" t="s">
        <v>760</v>
      </c>
      <c r="I201" s="11" t="s">
        <v>761</v>
      </c>
      <c r="J201" s="12">
        <v>0.59309999999999996</v>
      </c>
      <c r="K201" s="13">
        <v>1</v>
      </c>
      <c r="L201" s="14">
        <v>494</v>
      </c>
      <c r="M201" s="10">
        <v>293</v>
      </c>
      <c r="N201" s="10">
        <v>54588</v>
      </c>
      <c r="O201" s="10">
        <v>22977</v>
      </c>
      <c r="P201" s="10">
        <v>77565</v>
      </c>
    </row>
    <row r="202" spans="1:16" ht="27" customHeight="1" x14ac:dyDescent="0.2">
      <c r="A202" s="9" t="s">
        <v>745</v>
      </c>
      <c r="B202" s="10" t="s">
        <v>746</v>
      </c>
      <c r="C202" s="11" t="s">
        <v>762</v>
      </c>
      <c r="D202" s="11" t="s">
        <v>763</v>
      </c>
      <c r="E202" s="11" t="s">
        <v>26</v>
      </c>
      <c r="F202" s="11" t="s">
        <v>764</v>
      </c>
      <c r="G202" s="11" t="s">
        <v>28</v>
      </c>
      <c r="H202" s="11" t="s">
        <v>764</v>
      </c>
      <c r="I202" s="11" t="s">
        <v>765</v>
      </c>
      <c r="J202" s="12">
        <v>0.78859999999999997</v>
      </c>
      <c r="K202" s="13">
        <v>1</v>
      </c>
      <c r="L202" s="14">
        <v>369</v>
      </c>
      <c r="M202" s="10">
        <v>291</v>
      </c>
      <c r="N202" s="10">
        <v>40775</v>
      </c>
      <c r="O202" s="10">
        <v>22820</v>
      </c>
      <c r="P202" s="10">
        <v>63595</v>
      </c>
    </row>
    <row r="203" spans="1:16" ht="27" customHeight="1" x14ac:dyDescent="0.2">
      <c r="A203" s="9" t="s">
        <v>745</v>
      </c>
      <c r="B203" s="10" t="s">
        <v>746</v>
      </c>
      <c r="C203" s="11" t="s">
        <v>766</v>
      </c>
      <c r="D203" s="11" t="s">
        <v>767</v>
      </c>
      <c r="E203" s="11" t="s">
        <v>26</v>
      </c>
      <c r="F203" s="11" t="s">
        <v>768</v>
      </c>
      <c r="G203" s="11" t="s">
        <v>28</v>
      </c>
      <c r="H203" s="11" t="s">
        <v>748</v>
      </c>
      <c r="I203" s="11" t="s">
        <v>749</v>
      </c>
      <c r="J203" s="12">
        <v>1</v>
      </c>
      <c r="K203" s="13">
        <v>1</v>
      </c>
      <c r="L203" s="14">
        <v>238</v>
      </c>
      <c r="M203" s="10">
        <v>118</v>
      </c>
      <c r="N203" s="10">
        <v>26299</v>
      </c>
      <c r="O203" s="10">
        <v>9253</v>
      </c>
      <c r="P203" s="10">
        <v>35552</v>
      </c>
    </row>
    <row r="204" spans="1:16" ht="27" customHeight="1" x14ac:dyDescent="0.2">
      <c r="A204" s="9" t="s">
        <v>745</v>
      </c>
      <c r="B204" s="10" t="s">
        <v>746</v>
      </c>
      <c r="C204" s="11" t="s">
        <v>769</v>
      </c>
      <c r="D204" s="11" t="s">
        <v>770</v>
      </c>
      <c r="E204" s="11" t="s">
        <v>26</v>
      </c>
      <c r="F204" s="11" t="s">
        <v>771</v>
      </c>
      <c r="G204" s="11" t="s">
        <v>28</v>
      </c>
      <c r="H204" s="11" t="s">
        <v>771</v>
      </c>
      <c r="I204" s="11" t="s">
        <v>772</v>
      </c>
      <c r="J204" s="12">
        <v>0.62739999999999996</v>
      </c>
      <c r="K204" s="13">
        <v>1</v>
      </c>
      <c r="L204" s="14">
        <v>212</v>
      </c>
      <c r="M204" s="10">
        <v>133</v>
      </c>
      <c r="N204" s="10">
        <v>23426</v>
      </c>
      <c r="O204" s="10">
        <v>10430</v>
      </c>
      <c r="P204" s="10">
        <v>33856</v>
      </c>
    </row>
    <row r="205" spans="1:16" ht="27" customHeight="1" x14ac:dyDescent="0.2">
      <c r="A205" s="9" t="s">
        <v>745</v>
      </c>
      <c r="B205" s="10" t="s">
        <v>746</v>
      </c>
      <c r="C205" s="11" t="s">
        <v>773</v>
      </c>
      <c r="D205" s="11" t="s">
        <v>774</v>
      </c>
      <c r="E205" s="11" t="s">
        <v>26</v>
      </c>
      <c r="F205" s="11" t="s">
        <v>775</v>
      </c>
      <c r="G205" s="11" t="s">
        <v>28</v>
      </c>
      <c r="H205" s="11" t="s">
        <v>775</v>
      </c>
      <c r="I205" s="11" t="s">
        <v>776</v>
      </c>
      <c r="J205" s="12">
        <v>0.94710000000000005</v>
      </c>
      <c r="K205" s="13">
        <v>1</v>
      </c>
      <c r="L205" s="14">
        <v>416</v>
      </c>
      <c r="M205" s="10">
        <v>394</v>
      </c>
      <c r="N205" s="10">
        <v>45969</v>
      </c>
      <c r="O205" s="10">
        <v>30897</v>
      </c>
      <c r="P205" s="10">
        <v>76866</v>
      </c>
    </row>
    <row r="206" spans="1:16" ht="27" customHeight="1" x14ac:dyDescent="0.2">
      <c r="A206" s="9" t="s">
        <v>745</v>
      </c>
      <c r="B206" s="10" t="s">
        <v>777</v>
      </c>
      <c r="C206" s="11" t="s">
        <v>18</v>
      </c>
      <c r="D206" s="11" t="s">
        <v>19</v>
      </c>
      <c r="E206" s="11" t="s">
        <v>19</v>
      </c>
      <c r="F206" s="11" t="s">
        <v>778</v>
      </c>
      <c r="G206" s="11" t="s">
        <v>83</v>
      </c>
      <c r="H206" s="11" t="s">
        <v>779</v>
      </c>
      <c r="I206" s="11" t="s">
        <v>780</v>
      </c>
      <c r="J206" s="12">
        <v>0.76800000000000002</v>
      </c>
      <c r="K206" s="13">
        <v>2</v>
      </c>
      <c r="L206" s="14">
        <v>181</v>
      </c>
      <c r="M206" s="10">
        <v>139</v>
      </c>
      <c r="N206" s="10">
        <v>20001</v>
      </c>
      <c r="O206" s="10">
        <v>10900</v>
      </c>
      <c r="P206" s="10">
        <v>30901</v>
      </c>
    </row>
    <row r="207" spans="1:16" ht="27" customHeight="1" x14ac:dyDescent="0.2">
      <c r="A207" s="9" t="s">
        <v>745</v>
      </c>
      <c r="B207" s="10" t="s">
        <v>781</v>
      </c>
      <c r="C207" s="11" t="s">
        <v>18</v>
      </c>
      <c r="D207" s="11" t="s">
        <v>19</v>
      </c>
      <c r="E207" s="11" t="s">
        <v>19</v>
      </c>
      <c r="F207" s="11" t="s">
        <v>782</v>
      </c>
      <c r="G207" s="11" t="s">
        <v>83</v>
      </c>
      <c r="H207" s="11" t="s">
        <v>782</v>
      </c>
      <c r="I207" s="11" t="s">
        <v>783</v>
      </c>
      <c r="J207" s="12">
        <v>0.46429999999999999</v>
      </c>
      <c r="K207" s="13">
        <v>2</v>
      </c>
      <c r="L207" s="14">
        <v>28</v>
      </c>
      <c r="M207" s="10">
        <v>13</v>
      </c>
      <c r="N207" s="10">
        <v>3094</v>
      </c>
      <c r="O207" s="10">
        <v>1019</v>
      </c>
      <c r="P207" s="10">
        <v>4113</v>
      </c>
    </row>
    <row r="208" spans="1:16" ht="27" customHeight="1" x14ac:dyDescent="0.2">
      <c r="A208" s="9" t="s">
        <v>745</v>
      </c>
      <c r="B208" s="10" t="s">
        <v>784</v>
      </c>
      <c r="C208" s="11" t="s">
        <v>18</v>
      </c>
      <c r="D208" s="11" t="s">
        <v>19</v>
      </c>
      <c r="E208" s="11" t="s">
        <v>19</v>
      </c>
      <c r="F208" s="11" t="s">
        <v>785</v>
      </c>
      <c r="G208" s="11" t="s">
        <v>83</v>
      </c>
      <c r="H208" s="11" t="s">
        <v>786</v>
      </c>
      <c r="I208" s="11" t="s">
        <v>787</v>
      </c>
      <c r="J208" s="12">
        <v>0.85599999999999998</v>
      </c>
      <c r="K208" s="13">
        <v>2</v>
      </c>
      <c r="L208" s="14">
        <v>126</v>
      </c>
      <c r="M208" s="10">
        <v>108</v>
      </c>
      <c r="N208" s="10">
        <v>13923</v>
      </c>
      <c r="O208" s="10">
        <v>8469</v>
      </c>
      <c r="P208" s="10">
        <v>22392</v>
      </c>
    </row>
    <row r="209" spans="1:16" ht="27" customHeight="1" x14ac:dyDescent="0.2">
      <c r="A209" s="9" t="s">
        <v>745</v>
      </c>
      <c r="B209" s="10" t="s">
        <v>788</v>
      </c>
      <c r="C209" s="11" t="s">
        <v>18</v>
      </c>
      <c r="D209" s="11" t="s">
        <v>19</v>
      </c>
      <c r="E209" s="11" t="s">
        <v>19</v>
      </c>
      <c r="F209" s="11" t="s">
        <v>789</v>
      </c>
      <c r="G209" s="11" t="s">
        <v>83</v>
      </c>
      <c r="H209" s="11" t="s">
        <v>790</v>
      </c>
      <c r="I209" s="11" t="s">
        <v>791</v>
      </c>
      <c r="J209" s="12">
        <v>0.19919999999999999</v>
      </c>
      <c r="K209" s="13">
        <v>2</v>
      </c>
      <c r="L209" s="14">
        <v>241</v>
      </c>
      <c r="M209" s="10">
        <v>48</v>
      </c>
      <c r="N209" s="10">
        <v>26631</v>
      </c>
      <c r="O209" s="10">
        <v>3764</v>
      </c>
      <c r="P209" s="10">
        <v>30395</v>
      </c>
    </row>
    <row r="210" spans="1:16" ht="27" customHeight="1" x14ac:dyDescent="0.2">
      <c r="A210" s="9" t="s">
        <v>745</v>
      </c>
      <c r="B210" s="10" t="s">
        <v>792</v>
      </c>
      <c r="C210" s="11" t="s">
        <v>18</v>
      </c>
      <c r="D210" s="11" t="s">
        <v>19</v>
      </c>
      <c r="E210" s="11" t="s">
        <v>19</v>
      </c>
      <c r="F210" s="11" t="s">
        <v>793</v>
      </c>
      <c r="G210" s="11" t="s">
        <v>83</v>
      </c>
      <c r="H210" s="11" t="s">
        <v>794</v>
      </c>
      <c r="I210" s="11" t="s">
        <v>795</v>
      </c>
      <c r="J210" s="12">
        <v>0.87080000000000002</v>
      </c>
      <c r="K210" s="13">
        <v>50</v>
      </c>
      <c r="L210" s="14">
        <v>43168</v>
      </c>
      <c r="M210" s="10">
        <v>20764</v>
      </c>
      <c r="N210" s="10">
        <v>4770135</v>
      </c>
      <c r="O210" s="10">
        <v>1628289</v>
      </c>
      <c r="P210" s="10">
        <v>6398424</v>
      </c>
    </row>
    <row r="211" spans="1:16" ht="27" customHeight="1" x14ac:dyDescent="0.2">
      <c r="A211" s="9" t="s">
        <v>745</v>
      </c>
      <c r="B211" s="10" t="s">
        <v>792</v>
      </c>
      <c r="C211" s="11" t="s">
        <v>796</v>
      </c>
      <c r="D211" s="11" t="s">
        <v>797</v>
      </c>
      <c r="E211" s="11" t="s">
        <v>57</v>
      </c>
      <c r="F211" s="11" t="s">
        <v>798</v>
      </c>
      <c r="G211" s="11" t="s">
        <v>28</v>
      </c>
      <c r="H211" s="11" t="s">
        <v>798</v>
      </c>
      <c r="I211" s="11" t="s">
        <v>799</v>
      </c>
      <c r="J211" s="12">
        <v>0.5474</v>
      </c>
      <c r="K211" s="13">
        <v>1</v>
      </c>
      <c r="L211" s="14">
        <v>813</v>
      </c>
      <c r="M211" s="10">
        <v>445</v>
      </c>
      <c r="N211" s="10">
        <v>89838</v>
      </c>
      <c r="O211" s="10">
        <v>34896</v>
      </c>
      <c r="P211" s="10">
        <v>124734</v>
      </c>
    </row>
    <row r="212" spans="1:16" ht="27" customHeight="1" x14ac:dyDescent="0.2">
      <c r="A212" s="9" t="s">
        <v>745</v>
      </c>
      <c r="B212" s="10" t="s">
        <v>800</v>
      </c>
      <c r="C212" s="11" t="s">
        <v>18</v>
      </c>
      <c r="D212" s="11" t="s">
        <v>19</v>
      </c>
      <c r="E212" s="11" t="s">
        <v>19</v>
      </c>
      <c r="F212" s="11" t="s">
        <v>801</v>
      </c>
      <c r="G212" s="11" t="s">
        <v>83</v>
      </c>
      <c r="H212" s="11" t="s">
        <v>802</v>
      </c>
      <c r="I212" s="11" t="s">
        <v>803</v>
      </c>
      <c r="J212" s="12">
        <v>0.93820000000000003</v>
      </c>
      <c r="K212" s="13">
        <v>12</v>
      </c>
      <c r="L212" s="14">
        <v>4514</v>
      </c>
      <c r="M212" s="10">
        <v>3985</v>
      </c>
      <c r="N212" s="10">
        <v>498804</v>
      </c>
      <c r="O212" s="10">
        <v>312501</v>
      </c>
      <c r="P212" s="10">
        <v>811305</v>
      </c>
    </row>
    <row r="213" spans="1:16" ht="27" customHeight="1" x14ac:dyDescent="0.2">
      <c r="A213" s="9" t="s">
        <v>745</v>
      </c>
      <c r="B213" s="10" t="s">
        <v>804</v>
      </c>
      <c r="C213" s="11" t="s">
        <v>18</v>
      </c>
      <c r="D213" s="11" t="s">
        <v>19</v>
      </c>
      <c r="E213" s="11" t="s">
        <v>19</v>
      </c>
      <c r="F213" s="11" t="s">
        <v>805</v>
      </c>
      <c r="G213" s="11" t="s">
        <v>83</v>
      </c>
      <c r="H213" s="11" t="s">
        <v>806</v>
      </c>
      <c r="I213" s="11" t="s">
        <v>807</v>
      </c>
      <c r="J213" s="12">
        <v>0.95140000000000002</v>
      </c>
      <c r="K213" s="13">
        <v>10</v>
      </c>
      <c r="L213" s="14">
        <v>2581</v>
      </c>
      <c r="M213" s="10">
        <v>2188</v>
      </c>
      <c r="N213" s="10">
        <v>285207</v>
      </c>
      <c r="O213" s="10">
        <v>171582</v>
      </c>
      <c r="P213" s="10">
        <v>456789</v>
      </c>
    </row>
    <row r="214" spans="1:16" ht="27" customHeight="1" x14ac:dyDescent="0.2">
      <c r="A214" s="9" t="s">
        <v>745</v>
      </c>
      <c r="B214" s="10" t="s">
        <v>808</v>
      </c>
      <c r="C214" s="11" t="s">
        <v>18</v>
      </c>
      <c r="D214" s="11" t="s">
        <v>19</v>
      </c>
      <c r="E214" s="11" t="s">
        <v>19</v>
      </c>
      <c r="F214" s="11" t="s">
        <v>809</v>
      </c>
      <c r="G214" s="11" t="s">
        <v>83</v>
      </c>
      <c r="H214" s="11" t="s">
        <v>810</v>
      </c>
      <c r="I214" s="11" t="s">
        <v>811</v>
      </c>
      <c r="J214" s="12">
        <v>0.99160000000000004</v>
      </c>
      <c r="K214" s="13">
        <v>101</v>
      </c>
      <c r="L214" s="14">
        <v>71852</v>
      </c>
      <c r="M214" s="10">
        <v>63137</v>
      </c>
      <c r="N214" s="10">
        <v>7939766</v>
      </c>
      <c r="O214" s="10">
        <v>4951139</v>
      </c>
      <c r="P214" s="10">
        <v>12890905</v>
      </c>
    </row>
    <row r="215" spans="1:16" ht="27" customHeight="1" x14ac:dyDescent="0.2">
      <c r="A215" s="9" t="s">
        <v>745</v>
      </c>
      <c r="B215" s="10" t="s">
        <v>808</v>
      </c>
      <c r="C215" s="11" t="s">
        <v>812</v>
      </c>
      <c r="D215" s="11" t="s">
        <v>813</v>
      </c>
      <c r="E215" s="11" t="s">
        <v>26</v>
      </c>
      <c r="F215" s="11" t="s">
        <v>814</v>
      </c>
      <c r="G215" s="11" t="s">
        <v>28</v>
      </c>
      <c r="H215" s="11" t="s">
        <v>814</v>
      </c>
      <c r="I215" s="11" t="s">
        <v>815</v>
      </c>
      <c r="J215" s="12">
        <v>0.76849999999999996</v>
      </c>
      <c r="K215" s="13">
        <v>1</v>
      </c>
      <c r="L215" s="14">
        <v>324</v>
      </c>
      <c r="M215" s="10">
        <v>249</v>
      </c>
      <c r="N215" s="10">
        <v>35803</v>
      </c>
      <c r="O215" s="10">
        <v>19526</v>
      </c>
      <c r="P215" s="10">
        <v>55329</v>
      </c>
    </row>
    <row r="216" spans="1:16" ht="27" customHeight="1" x14ac:dyDescent="0.2">
      <c r="A216" s="9" t="s">
        <v>745</v>
      </c>
      <c r="B216" s="10" t="s">
        <v>808</v>
      </c>
      <c r="C216" s="11" t="s">
        <v>816</v>
      </c>
      <c r="D216" s="11" t="s">
        <v>817</v>
      </c>
      <c r="E216" s="11" t="s">
        <v>26</v>
      </c>
      <c r="F216" s="11" t="s">
        <v>818</v>
      </c>
      <c r="G216" s="11" t="s">
        <v>28</v>
      </c>
      <c r="H216" s="11" t="s">
        <v>818</v>
      </c>
      <c r="I216" s="11" t="s">
        <v>819</v>
      </c>
      <c r="J216" s="12">
        <v>0.7601</v>
      </c>
      <c r="K216" s="13">
        <v>1</v>
      </c>
      <c r="L216" s="14">
        <v>321</v>
      </c>
      <c r="M216" s="10">
        <v>244</v>
      </c>
      <c r="N216" s="10">
        <v>35471</v>
      </c>
      <c r="O216" s="10">
        <v>19134</v>
      </c>
      <c r="P216" s="10">
        <v>54605</v>
      </c>
    </row>
    <row r="217" spans="1:16" ht="27" customHeight="1" x14ac:dyDescent="0.2">
      <c r="A217" s="9" t="s">
        <v>745</v>
      </c>
      <c r="B217" s="10" t="s">
        <v>808</v>
      </c>
      <c r="C217" s="11" t="s">
        <v>820</v>
      </c>
      <c r="D217" s="11" t="s">
        <v>821</v>
      </c>
      <c r="E217" s="11" t="s">
        <v>26</v>
      </c>
      <c r="F217" s="11" t="s">
        <v>822</v>
      </c>
      <c r="G217" s="11" t="s">
        <v>28</v>
      </c>
      <c r="H217" s="11" t="s">
        <v>748</v>
      </c>
      <c r="I217" s="11" t="s">
        <v>749</v>
      </c>
      <c r="J217" s="12">
        <v>1</v>
      </c>
      <c r="K217" s="13">
        <v>1</v>
      </c>
      <c r="L217" s="14">
        <v>491</v>
      </c>
      <c r="M217" s="10">
        <v>101</v>
      </c>
      <c r="N217" s="10">
        <v>54256</v>
      </c>
      <c r="O217" s="10">
        <v>7920</v>
      </c>
      <c r="P217" s="10">
        <v>62176</v>
      </c>
    </row>
    <row r="218" spans="1:16" ht="27" customHeight="1" x14ac:dyDescent="0.2">
      <c r="A218" s="9" t="s">
        <v>745</v>
      </c>
      <c r="B218" s="10" t="s">
        <v>808</v>
      </c>
      <c r="C218" s="11" t="s">
        <v>823</v>
      </c>
      <c r="D218" s="11" t="s">
        <v>824</v>
      </c>
      <c r="E218" s="11" t="s">
        <v>57</v>
      </c>
      <c r="F218" s="11" t="s">
        <v>825</v>
      </c>
      <c r="G218" s="11" t="s">
        <v>28</v>
      </c>
      <c r="H218" s="11" t="s">
        <v>825</v>
      </c>
      <c r="I218" s="11" t="s">
        <v>826</v>
      </c>
      <c r="J218" s="12">
        <v>0.44280000000000003</v>
      </c>
      <c r="K218" s="13">
        <v>1</v>
      </c>
      <c r="L218" s="14">
        <v>341</v>
      </c>
      <c r="M218" s="10">
        <v>151</v>
      </c>
      <c r="N218" s="10">
        <v>37681</v>
      </c>
      <c r="O218" s="10">
        <v>11841</v>
      </c>
      <c r="P218" s="10">
        <v>49522</v>
      </c>
    </row>
    <row r="219" spans="1:16" ht="27" customHeight="1" x14ac:dyDescent="0.2">
      <c r="A219" s="9" t="s">
        <v>745</v>
      </c>
      <c r="B219" s="10" t="s">
        <v>808</v>
      </c>
      <c r="C219" s="11" t="s">
        <v>827</v>
      </c>
      <c r="D219" s="11" t="s">
        <v>828</v>
      </c>
      <c r="E219" s="11" t="s">
        <v>26</v>
      </c>
      <c r="F219" s="11" t="s">
        <v>829</v>
      </c>
      <c r="G219" s="11" t="s">
        <v>28</v>
      </c>
      <c r="H219" s="11" t="s">
        <v>829</v>
      </c>
      <c r="I219" s="11" t="s">
        <v>830</v>
      </c>
      <c r="J219" s="12">
        <v>0.76790000000000003</v>
      </c>
      <c r="K219" s="13">
        <v>1</v>
      </c>
      <c r="L219" s="14">
        <v>293</v>
      </c>
      <c r="M219" s="10">
        <v>225</v>
      </c>
      <c r="N219" s="10">
        <v>32377</v>
      </c>
      <c r="O219" s="10">
        <v>17644</v>
      </c>
      <c r="P219" s="10">
        <v>50021</v>
      </c>
    </row>
    <row r="220" spans="1:16" ht="27" customHeight="1" x14ac:dyDescent="0.2">
      <c r="A220" s="9" t="s">
        <v>745</v>
      </c>
      <c r="B220" s="10" t="s">
        <v>808</v>
      </c>
      <c r="C220" s="11" t="s">
        <v>831</v>
      </c>
      <c r="D220" s="11" t="s">
        <v>832</v>
      </c>
      <c r="E220" s="11" t="s">
        <v>26</v>
      </c>
      <c r="F220" s="11" t="s">
        <v>833</v>
      </c>
      <c r="G220" s="11" t="s">
        <v>28</v>
      </c>
      <c r="H220" s="11" t="s">
        <v>833</v>
      </c>
      <c r="I220" s="11" t="s">
        <v>834</v>
      </c>
      <c r="J220" s="12">
        <v>0.27760000000000001</v>
      </c>
      <c r="K220" s="13">
        <v>1</v>
      </c>
      <c r="L220" s="14">
        <v>335</v>
      </c>
      <c r="M220" s="10">
        <v>93</v>
      </c>
      <c r="N220" s="10">
        <v>37018</v>
      </c>
      <c r="O220" s="10">
        <v>7293</v>
      </c>
      <c r="P220" s="10">
        <v>44311</v>
      </c>
    </row>
    <row r="221" spans="1:16" ht="27" customHeight="1" x14ac:dyDescent="0.2">
      <c r="A221" s="9" t="s">
        <v>745</v>
      </c>
      <c r="B221" s="10" t="s">
        <v>808</v>
      </c>
      <c r="C221" s="11" t="s">
        <v>835</v>
      </c>
      <c r="D221" s="11" t="s">
        <v>836</v>
      </c>
      <c r="E221" s="11" t="s">
        <v>26</v>
      </c>
      <c r="F221" s="11" t="s">
        <v>837</v>
      </c>
      <c r="G221" s="11" t="s">
        <v>28</v>
      </c>
      <c r="H221" s="11" t="s">
        <v>837</v>
      </c>
      <c r="I221" s="11" t="s">
        <v>838</v>
      </c>
      <c r="J221" s="12">
        <v>0.87790000000000001</v>
      </c>
      <c r="K221" s="13">
        <v>1</v>
      </c>
      <c r="L221" s="14">
        <v>262</v>
      </c>
      <c r="M221" s="10">
        <v>230</v>
      </c>
      <c r="N221" s="10">
        <v>28951</v>
      </c>
      <c r="O221" s="10">
        <v>18036</v>
      </c>
      <c r="P221" s="10">
        <v>46987</v>
      </c>
    </row>
    <row r="222" spans="1:16" ht="27" customHeight="1" x14ac:dyDescent="0.2">
      <c r="A222" s="9" t="s">
        <v>745</v>
      </c>
      <c r="B222" s="10" t="s">
        <v>808</v>
      </c>
      <c r="C222" s="11" t="s">
        <v>839</v>
      </c>
      <c r="D222" s="11" t="s">
        <v>840</v>
      </c>
      <c r="E222" s="11" t="s">
        <v>26</v>
      </c>
      <c r="F222" s="11" t="s">
        <v>841</v>
      </c>
      <c r="G222" s="11" t="s">
        <v>28</v>
      </c>
      <c r="H222" s="11" t="s">
        <v>748</v>
      </c>
      <c r="I222" s="11" t="s">
        <v>749</v>
      </c>
      <c r="J222" s="12">
        <v>1</v>
      </c>
      <c r="K222" s="13">
        <v>1</v>
      </c>
      <c r="L222" s="14">
        <v>175</v>
      </c>
      <c r="M222" s="10">
        <v>134</v>
      </c>
      <c r="N222" s="10">
        <v>19338</v>
      </c>
      <c r="O222" s="10">
        <v>10508</v>
      </c>
      <c r="P222" s="10">
        <v>29846</v>
      </c>
    </row>
    <row r="223" spans="1:16" ht="27" customHeight="1" x14ac:dyDescent="0.2">
      <c r="A223" s="9" t="s">
        <v>745</v>
      </c>
      <c r="B223" s="10" t="s">
        <v>808</v>
      </c>
      <c r="C223" s="11" t="s">
        <v>842</v>
      </c>
      <c r="D223" s="11" t="s">
        <v>843</v>
      </c>
      <c r="E223" s="11" t="s">
        <v>26</v>
      </c>
      <c r="F223" s="11" t="s">
        <v>844</v>
      </c>
      <c r="G223" s="11" t="s">
        <v>28</v>
      </c>
      <c r="H223" s="11" t="s">
        <v>748</v>
      </c>
      <c r="I223" s="11" t="s">
        <v>749</v>
      </c>
      <c r="J223" s="12">
        <v>1</v>
      </c>
      <c r="K223" s="13">
        <v>1</v>
      </c>
      <c r="L223" s="14">
        <v>188</v>
      </c>
      <c r="M223" s="10">
        <v>158</v>
      </c>
      <c r="N223" s="10">
        <v>20774</v>
      </c>
      <c r="O223" s="10">
        <v>12390</v>
      </c>
      <c r="P223" s="10">
        <v>33164</v>
      </c>
    </row>
    <row r="224" spans="1:16" ht="27" customHeight="1" x14ac:dyDescent="0.2">
      <c r="A224" s="9" t="s">
        <v>745</v>
      </c>
      <c r="B224" s="10" t="s">
        <v>808</v>
      </c>
      <c r="C224" s="11" t="s">
        <v>845</v>
      </c>
      <c r="D224" s="11" t="s">
        <v>846</v>
      </c>
      <c r="E224" s="11" t="s">
        <v>26</v>
      </c>
      <c r="F224" s="11" t="s">
        <v>847</v>
      </c>
      <c r="G224" s="11" t="s">
        <v>28</v>
      </c>
      <c r="H224" s="11" t="s">
        <v>748</v>
      </c>
      <c r="I224" s="11" t="s">
        <v>749</v>
      </c>
      <c r="J224" s="12">
        <v>1</v>
      </c>
      <c r="K224" s="13">
        <v>1</v>
      </c>
      <c r="L224" s="14">
        <v>322</v>
      </c>
      <c r="M224" s="10">
        <v>300</v>
      </c>
      <c r="N224" s="10">
        <v>35582</v>
      </c>
      <c r="O224" s="10">
        <v>23526</v>
      </c>
      <c r="P224" s="10">
        <v>59108</v>
      </c>
    </row>
    <row r="225" spans="1:16" ht="27" customHeight="1" x14ac:dyDescent="0.2">
      <c r="A225" s="9" t="s">
        <v>745</v>
      </c>
      <c r="B225" s="10" t="s">
        <v>848</v>
      </c>
      <c r="C225" s="11" t="s">
        <v>18</v>
      </c>
      <c r="D225" s="11" t="s">
        <v>19</v>
      </c>
      <c r="E225" s="11" t="s">
        <v>19</v>
      </c>
      <c r="F225" s="11" t="s">
        <v>849</v>
      </c>
      <c r="G225" s="11" t="s">
        <v>83</v>
      </c>
      <c r="H225" s="11" t="s">
        <v>850</v>
      </c>
      <c r="I225" s="11" t="s">
        <v>851</v>
      </c>
      <c r="J225" s="12">
        <v>0.85599999999999998</v>
      </c>
      <c r="K225" s="13">
        <v>8</v>
      </c>
      <c r="L225" s="14">
        <v>2188</v>
      </c>
      <c r="M225" s="10">
        <v>1589</v>
      </c>
      <c r="N225" s="10">
        <v>241779</v>
      </c>
      <c r="O225" s="10">
        <v>124608</v>
      </c>
      <c r="P225" s="10">
        <v>366387</v>
      </c>
    </row>
    <row r="226" spans="1:16" ht="27" customHeight="1" x14ac:dyDescent="0.2">
      <c r="A226" s="9" t="s">
        <v>745</v>
      </c>
      <c r="B226" s="10" t="s">
        <v>852</v>
      </c>
      <c r="C226" s="11" t="s">
        <v>18</v>
      </c>
      <c r="D226" s="11" t="s">
        <v>19</v>
      </c>
      <c r="E226" s="11" t="s">
        <v>19</v>
      </c>
      <c r="F226" s="11" t="s">
        <v>853</v>
      </c>
      <c r="G226" s="11" t="s">
        <v>83</v>
      </c>
      <c r="H226" s="11" t="s">
        <v>748</v>
      </c>
      <c r="I226" s="11" t="s">
        <v>749</v>
      </c>
      <c r="J226" s="12">
        <v>1</v>
      </c>
      <c r="K226" s="13">
        <v>4</v>
      </c>
      <c r="L226" s="14">
        <v>1231</v>
      </c>
      <c r="M226" s="10">
        <v>794</v>
      </c>
      <c r="N226" s="10">
        <v>136028</v>
      </c>
      <c r="O226" s="10">
        <v>62264</v>
      </c>
      <c r="P226" s="10">
        <v>198292</v>
      </c>
    </row>
    <row r="227" spans="1:16" ht="27" customHeight="1" x14ac:dyDescent="0.2">
      <c r="A227" s="9" t="s">
        <v>745</v>
      </c>
      <c r="B227" s="10" t="s">
        <v>854</v>
      </c>
      <c r="C227" s="11" t="s">
        <v>18</v>
      </c>
      <c r="D227" s="11" t="s">
        <v>19</v>
      </c>
      <c r="E227" s="11" t="s">
        <v>19</v>
      </c>
      <c r="F227" s="11" t="s">
        <v>855</v>
      </c>
      <c r="G227" s="11" t="s">
        <v>83</v>
      </c>
      <c r="H227" s="11" t="s">
        <v>856</v>
      </c>
      <c r="I227" s="11" t="s">
        <v>857</v>
      </c>
      <c r="J227" s="12">
        <v>0.98570000000000002</v>
      </c>
      <c r="K227" s="13">
        <v>22</v>
      </c>
      <c r="L227" s="14">
        <v>9632</v>
      </c>
      <c r="M227" s="10">
        <v>8491</v>
      </c>
      <c r="N227" s="10">
        <v>1064351</v>
      </c>
      <c r="O227" s="10">
        <v>665856</v>
      </c>
      <c r="P227" s="10">
        <v>1730207</v>
      </c>
    </row>
    <row r="228" spans="1:16" ht="27" customHeight="1" x14ac:dyDescent="0.2">
      <c r="A228" s="9" t="s">
        <v>745</v>
      </c>
      <c r="B228" s="10" t="s">
        <v>854</v>
      </c>
      <c r="C228" s="11" t="s">
        <v>858</v>
      </c>
      <c r="D228" s="11" t="s">
        <v>859</v>
      </c>
      <c r="E228" s="11" t="s">
        <v>57</v>
      </c>
      <c r="F228" s="11" t="s">
        <v>860</v>
      </c>
      <c r="G228" s="11" t="s">
        <v>28</v>
      </c>
      <c r="H228" s="11" t="s">
        <v>860</v>
      </c>
      <c r="I228" s="11" t="s">
        <v>861</v>
      </c>
      <c r="J228" s="12">
        <v>0.86760000000000004</v>
      </c>
      <c r="K228" s="13">
        <v>1</v>
      </c>
      <c r="L228" s="14">
        <v>136</v>
      </c>
      <c r="M228" s="10">
        <v>118</v>
      </c>
      <c r="N228" s="10">
        <v>15028</v>
      </c>
      <c r="O228" s="10">
        <v>9253</v>
      </c>
      <c r="P228" s="10">
        <v>24281</v>
      </c>
    </row>
    <row r="229" spans="1:16" ht="27" customHeight="1" x14ac:dyDescent="0.2">
      <c r="A229" s="9" t="s">
        <v>745</v>
      </c>
      <c r="B229" s="10" t="s">
        <v>854</v>
      </c>
      <c r="C229" s="11" t="s">
        <v>862</v>
      </c>
      <c r="D229" s="11" t="s">
        <v>863</v>
      </c>
      <c r="E229" s="11" t="s">
        <v>57</v>
      </c>
      <c r="F229" s="11" t="s">
        <v>864</v>
      </c>
      <c r="G229" s="11" t="s">
        <v>28</v>
      </c>
      <c r="H229" s="11" t="s">
        <v>748</v>
      </c>
      <c r="I229" s="11" t="s">
        <v>749</v>
      </c>
      <c r="J229" s="12">
        <v>1</v>
      </c>
      <c r="K229" s="13">
        <v>1</v>
      </c>
      <c r="L229" s="14">
        <v>233</v>
      </c>
      <c r="M229" s="10">
        <v>168</v>
      </c>
      <c r="N229" s="10">
        <v>25747</v>
      </c>
      <c r="O229" s="10">
        <v>13174</v>
      </c>
      <c r="P229" s="10">
        <v>38921</v>
      </c>
    </row>
    <row r="230" spans="1:16" ht="27" customHeight="1" x14ac:dyDescent="0.2">
      <c r="A230" s="9" t="s">
        <v>745</v>
      </c>
      <c r="B230" s="10" t="s">
        <v>865</v>
      </c>
      <c r="C230" s="11" t="s">
        <v>18</v>
      </c>
      <c r="D230" s="11" t="s">
        <v>19</v>
      </c>
      <c r="E230" s="11" t="s">
        <v>19</v>
      </c>
      <c r="F230" s="11" t="s">
        <v>866</v>
      </c>
      <c r="G230" s="11" t="s">
        <v>83</v>
      </c>
      <c r="H230" s="11" t="s">
        <v>867</v>
      </c>
      <c r="I230" s="11" t="s">
        <v>868</v>
      </c>
      <c r="J230" s="12">
        <v>0.82930000000000004</v>
      </c>
      <c r="K230" s="13">
        <v>5</v>
      </c>
      <c r="L230" s="14">
        <v>673</v>
      </c>
      <c r="M230" s="10">
        <v>558</v>
      </c>
      <c r="N230" s="10">
        <v>74368</v>
      </c>
      <c r="O230" s="10">
        <v>43759</v>
      </c>
      <c r="P230" s="10">
        <v>118127</v>
      </c>
    </row>
    <row r="231" spans="1:16" ht="27" customHeight="1" x14ac:dyDescent="0.2">
      <c r="A231" s="9" t="s">
        <v>745</v>
      </c>
      <c r="B231" s="10" t="s">
        <v>869</v>
      </c>
      <c r="C231" s="11" t="s">
        <v>18</v>
      </c>
      <c r="D231" s="11" t="s">
        <v>19</v>
      </c>
      <c r="E231" s="11" t="s">
        <v>19</v>
      </c>
      <c r="F231" s="11" t="s">
        <v>870</v>
      </c>
      <c r="G231" s="11" t="s">
        <v>83</v>
      </c>
      <c r="H231" s="11" t="s">
        <v>870</v>
      </c>
      <c r="I231" s="11" t="s">
        <v>871</v>
      </c>
      <c r="J231" s="12">
        <v>0.95269999999999999</v>
      </c>
      <c r="K231" s="13">
        <v>2</v>
      </c>
      <c r="L231" s="14">
        <v>170</v>
      </c>
      <c r="M231" s="10">
        <v>162</v>
      </c>
      <c r="N231" s="10">
        <v>18785</v>
      </c>
      <c r="O231" s="10">
        <v>12704</v>
      </c>
      <c r="P231" s="10">
        <v>31489</v>
      </c>
    </row>
    <row r="232" spans="1:16" ht="27" customHeight="1" x14ac:dyDescent="0.2">
      <c r="A232" s="9" t="s">
        <v>745</v>
      </c>
      <c r="B232" s="10" t="s">
        <v>872</v>
      </c>
      <c r="C232" s="11" t="s">
        <v>18</v>
      </c>
      <c r="D232" s="11" t="s">
        <v>19</v>
      </c>
      <c r="E232" s="11" t="s">
        <v>19</v>
      </c>
      <c r="F232" s="11" t="s">
        <v>873</v>
      </c>
      <c r="G232" s="11" t="s">
        <v>83</v>
      </c>
      <c r="H232" s="11" t="s">
        <v>874</v>
      </c>
      <c r="I232" s="11" t="s">
        <v>875</v>
      </c>
      <c r="J232" s="12">
        <v>0.85040000000000004</v>
      </c>
      <c r="K232" s="13">
        <v>2</v>
      </c>
      <c r="L232" s="14">
        <v>265</v>
      </c>
      <c r="M232" s="10">
        <v>225</v>
      </c>
      <c r="N232" s="10">
        <v>29283</v>
      </c>
      <c r="O232" s="10">
        <v>17644</v>
      </c>
      <c r="P232" s="10">
        <v>46927</v>
      </c>
    </row>
    <row r="233" spans="1:16" ht="27" customHeight="1" x14ac:dyDescent="0.2">
      <c r="A233" s="9" t="s">
        <v>745</v>
      </c>
      <c r="B233" s="10" t="s">
        <v>872</v>
      </c>
      <c r="C233" s="11" t="s">
        <v>876</v>
      </c>
      <c r="D233" s="11" t="s">
        <v>877</v>
      </c>
      <c r="E233" s="11" t="s">
        <v>26</v>
      </c>
      <c r="F233" s="11" t="s">
        <v>878</v>
      </c>
      <c r="G233" s="11" t="s">
        <v>28</v>
      </c>
      <c r="H233" s="11" t="s">
        <v>878</v>
      </c>
      <c r="I233" s="11" t="s">
        <v>879</v>
      </c>
      <c r="J233" s="12">
        <v>0.74490000000000001</v>
      </c>
      <c r="K233" s="13">
        <v>1</v>
      </c>
      <c r="L233" s="14">
        <v>1184</v>
      </c>
      <c r="M233" s="10">
        <v>882</v>
      </c>
      <c r="N233" s="10">
        <v>130834</v>
      </c>
      <c r="O233" s="10">
        <v>69166</v>
      </c>
      <c r="P233" s="10">
        <v>200000</v>
      </c>
    </row>
    <row r="234" spans="1:16" ht="27" customHeight="1" x14ac:dyDescent="0.2">
      <c r="A234" s="9" t="s">
        <v>745</v>
      </c>
      <c r="B234" s="10" t="s">
        <v>880</v>
      </c>
      <c r="C234" s="11" t="s">
        <v>18</v>
      </c>
      <c r="D234" s="11" t="s">
        <v>19</v>
      </c>
      <c r="E234" s="11" t="s">
        <v>19</v>
      </c>
      <c r="F234" s="11" t="s">
        <v>881</v>
      </c>
      <c r="G234" s="11" t="s">
        <v>83</v>
      </c>
      <c r="H234" s="11" t="s">
        <v>881</v>
      </c>
      <c r="I234" s="11" t="s">
        <v>882</v>
      </c>
      <c r="J234" s="12">
        <v>0.90700000000000003</v>
      </c>
      <c r="K234" s="13">
        <v>2</v>
      </c>
      <c r="L234" s="14">
        <v>344</v>
      </c>
      <c r="M234" s="10">
        <v>312</v>
      </c>
      <c r="N234" s="10">
        <v>38013</v>
      </c>
      <c r="O234" s="10">
        <v>24467</v>
      </c>
      <c r="P234" s="10">
        <v>62480</v>
      </c>
    </row>
    <row r="235" spans="1:16" ht="27" customHeight="1" x14ac:dyDescent="0.2">
      <c r="A235" s="9" t="s">
        <v>745</v>
      </c>
      <c r="B235" s="10" t="s">
        <v>883</v>
      </c>
      <c r="C235" s="11" t="s">
        <v>18</v>
      </c>
      <c r="D235" s="11" t="s">
        <v>19</v>
      </c>
      <c r="E235" s="11" t="s">
        <v>19</v>
      </c>
      <c r="F235" s="11" t="s">
        <v>884</v>
      </c>
      <c r="G235" s="11" t="s">
        <v>83</v>
      </c>
      <c r="H235" s="11" t="s">
        <v>885</v>
      </c>
      <c r="I235" s="11" t="s">
        <v>886</v>
      </c>
      <c r="J235" s="12">
        <v>0.98450000000000004</v>
      </c>
      <c r="K235" s="13">
        <v>8</v>
      </c>
      <c r="L235" s="14">
        <v>3384</v>
      </c>
      <c r="M235" s="10">
        <v>3245</v>
      </c>
      <c r="N235" s="10">
        <v>373939</v>
      </c>
      <c r="O235" s="10">
        <v>254470</v>
      </c>
      <c r="P235" s="10">
        <v>628409</v>
      </c>
    </row>
    <row r="236" spans="1:16" ht="27" customHeight="1" x14ac:dyDescent="0.2">
      <c r="A236" s="9" t="s">
        <v>745</v>
      </c>
      <c r="B236" s="10" t="s">
        <v>887</v>
      </c>
      <c r="C236" s="11" t="s">
        <v>18</v>
      </c>
      <c r="D236" s="11" t="s">
        <v>19</v>
      </c>
      <c r="E236" s="11" t="s">
        <v>19</v>
      </c>
      <c r="F236" s="11" t="s">
        <v>888</v>
      </c>
      <c r="G236" s="11" t="s">
        <v>83</v>
      </c>
      <c r="H236" s="11" t="s">
        <v>888</v>
      </c>
      <c r="I236" s="11" t="s">
        <v>889</v>
      </c>
      <c r="J236" s="12">
        <v>0.27539999999999998</v>
      </c>
      <c r="K236" s="13">
        <v>2</v>
      </c>
      <c r="L236" s="14">
        <v>69</v>
      </c>
      <c r="M236" s="10">
        <v>19</v>
      </c>
      <c r="N236" s="10">
        <v>7625</v>
      </c>
      <c r="O236" s="10">
        <v>1490</v>
      </c>
      <c r="P236" s="10">
        <v>9115</v>
      </c>
    </row>
    <row r="237" spans="1:16" ht="27" customHeight="1" x14ac:dyDescent="0.2">
      <c r="A237" s="9" t="s">
        <v>745</v>
      </c>
      <c r="B237" s="10" t="s">
        <v>890</v>
      </c>
      <c r="C237" s="11" t="s">
        <v>18</v>
      </c>
      <c r="D237" s="11" t="s">
        <v>19</v>
      </c>
      <c r="E237" s="11" t="s">
        <v>19</v>
      </c>
      <c r="F237" s="11" t="s">
        <v>891</v>
      </c>
      <c r="G237" s="11" t="s">
        <v>83</v>
      </c>
      <c r="H237" s="11" t="s">
        <v>891</v>
      </c>
      <c r="I237" s="11" t="s">
        <v>892</v>
      </c>
      <c r="J237" s="12">
        <v>0.76470000000000005</v>
      </c>
      <c r="K237" s="13">
        <v>2</v>
      </c>
      <c r="L237" s="14">
        <v>284</v>
      </c>
      <c r="M237" s="10">
        <v>217</v>
      </c>
      <c r="N237" s="10">
        <v>31383</v>
      </c>
      <c r="O237" s="10">
        <v>17017</v>
      </c>
      <c r="P237" s="10">
        <v>48400</v>
      </c>
    </row>
    <row r="238" spans="1:16" ht="27" customHeight="1" x14ac:dyDescent="0.2">
      <c r="A238" s="9" t="s">
        <v>745</v>
      </c>
      <c r="B238" s="10" t="s">
        <v>890</v>
      </c>
      <c r="C238" s="11" t="s">
        <v>893</v>
      </c>
      <c r="D238" s="11" t="s">
        <v>894</v>
      </c>
      <c r="E238" s="11" t="s">
        <v>26</v>
      </c>
      <c r="F238" s="11" t="s">
        <v>895</v>
      </c>
      <c r="G238" s="11" t="s">
        <v>28</v>
      </c>
      <c r="H238" s="11" t="s">
        <v>895</v>
      </c>
      <c r="I238" s="11" t="s">
        <v>896</v>
      </c>
      <c r="J238" s="12">
        <v>0.97899999999999998</v>
      </c>
      <c r="K238" s="13">
        <v>1</v>
      </c>
      <c r="L238" s="14">
        <v>238</v>
      </c>
      <c r="M238" s="10">
        <v>233</v>
      </c>
      <c r="N238" s="10">
        <v>26299</v>
      </c>
      <c r="O238" s="10">
        <v>18272</v>
      </c>
      <c r="P238" s="10">
        <v>44571</v>
      </c>
    </row>
    <row r="239" spans="1:16" ht="27" customHeight="1" x14ac:dyDescent="0.2">
      <c r="A239" s="9" t="s">
        <v>745</v>
      </c>
      <c r="B239" s="10" t="s">
        <v>897</v>
      </c>
      <c r="C239" s="11" t="s">
        <v>18</v>
      </c>
      <c r="D239" s="11" t="s">
        <v>19</v>
      </c>
      <c r="E239" s="11" t="s">
        <v>19</v>
      </c>
      <c r="F239" s="11" t="s">
        <v>898</v>
      </c>
      <c r="G239" s="11" t="s">
        <v>83</v>
      </c>
      <c r="H239" s="11" t="s">
        <v>899</v>
      </c>
      <c r="I239" s="11" t="s">
        <v>900</v>
      </c>
      <c r="J239" s="12">
        <v>0.93389999999999995</v>
      </c>
      <c r="K239" s="13">
        <v>19</v>
      </c>
      <c r="L239" s="14">
        <v>12165</v>
      </c>
      <c r="M239" s="10">
        <v>8672</v>
      </c>
      <c r="N239" s="10">
        <v>1344254</v>
      </c>
      <c r="O239" s="10">
        <v>680050</v>
      </c>
      <c r="P239" s="10">
        <v>2024304</v>
      </c>
    </row>
    <row r="240" spans="1:16" ht="27" customHeight="1" x14ac:dyDescent="0.2">
      <c r="A240" s="9" t="s">
        <v>745</v>
      </c>
      <c r="B240" s="10" t="s">
        <v>897</v>
      </c>
      <c r="C240" s="11" t="s">
        <v>901</v>
      </c>
      <c r="D240" s="11" t="s">
        <v>902</v>
      </c>
      <c r="E240" s="11" t="s">
        <v>57</v>
      </c>
      <c r="F240" s="11" t="s">
        <v>903</v>
      </c>
      <c r="G240" s="11" t="s">
        <v>28</v>
      </c>
      <c r="H240" s="11" t="s">
        <v>903</v>
      </c>
      <c r="I240" s="11" t="s">
        <v>904</v>
      </c>
      <c r="J240" s="12">
        <v>0.31209999999999999</v>
      </c>
      <c r="K240" s="13">
        <v>1</v>
      </c>
      <c r="L240" s="14">
        <v>596</v>
      </c>
      <c r="M240" s="10">
        <v>186</v>
      </c>
      <c r="N240" s="10">
        <v>65859</v>
      </c>
      <c r="O240" s="10">
        <v>14586</v>
      </c>
      <c r="P240" s="10">
        <v>80445</v>
      </c>
    </row>
    <row r="241" spans="1:16" ht="27" customHeight="1" x14ac:dyDescent="0.2">
      <c r="A241" s="9" t="s">
        <v>745</v>
      </c>
      <c r="B241" s="10" t="s">
        <v>897</v>
      </c>
      <c r="C241" s="11" t="s">
        <v>905</v>
      </c>
      <c r="D241" s="11" t="s">
        <v>906</v>
      </c>
      <c r="E241" s="11" t="s">
        <v>57</v>
      </c>
      <c r="F241" s="11" t="s">
        <v>907</v>
      </c>
      <c r="G241" s="11" t="s">
        <v>28</v>
      </c>
      <c r="H241" s="11" t="s">
        <v>907</v>
      </c>
      <c r="I241" s="11" t="s">
        <v>908</v>
      </c>
      <c r="J241" s="12">
        <v>0.65380000000000005</v>
      </c>
      <c r="K241" s="13">
        <v>1</v>
      </c>
      <c r="L241" s="14">
        <v>624</v>
      </c>
      <c r="M241" s="10">
        <v>408</v>
      </c>
      <c r="N241" s="10">
        <v>68953</v>
      </c>
      <c r="O241" s="10">
        <v>31995</v>
      </c>
      <c r="P241" s="10">
        <v>100948</v>
      </c>
    </row>
    <row r="242" spans="1:16" ht="27" customHeight="1" x14ac:dyDescent="0.2">
      <c r="A242" s="9" t="s">
        <v>745</v>
      </c>
      <c r="B242" s="10" t="s">
        <v>909</v>
      </c>
      <c r="C242" s="11" t="s">
        <v>18</v>
      </c>
      <c r="D242" s="11" t="s">
        <v>19</v>
      </c>
      <c r="E242" s="11" t="s">
        <v>19</v>
      </c>
      <c r="F242" s="11" t="s">
        <v>910</v>
      </c>
      <c r="G242" s="11" t="s">
        <v>83</v>
      </c>
      <c r="H242" s="11" t="s">
        <v>911</v>
      </c>
      <c r="I242" s="11" t="s">
        <v>912</v>
      </c>
      <c r="J242" s="12">
        <v>0.96919999999999995</v>
      </c>
      <c r="K242" s="13">
        <v>13</v>
      </c>
      <c r="L242" s="14">
        <v>5970</v>
      </c>
      <c r="M242" s="10">
        <v>5377</v>
      </c>
      <c r="N242" s="10">
        <v>659695</v>
      </c>
      <c r="O242" s="10">
        <v>421659</v>
      </c>
      <c r="P242" s="10">
        <v>1081354</v>
      </c>
    </row>
    <row r="243" spans="1:16" ht="27" customHeight="1" x14ac:dyDescent="0.2">
      <c r="A243" s="9" t="s">
        <v>745</v>
      </c>
      <c r="B243" s="10" t="s">
        <v>913</v>
      </c>
      <c r="C243" s="11" t="s">
        <v>18</v>
      </c>
      <c r="D243" s="11" t="s">
        <v>19</v>
      </c>
      <c r="E243" s="11" t="s">
        <v>19</v>
      </c>
      <c r="F243" s="11" t="s">
        <v>914</v>
      </c>
      <c r="G243" s="11" t="s">
        <v>83</v>
      </c>
      <c r="H243" s="11" t="s">
        <v>914</v>
      </c>
      <c r="I243" s="11" t="s">
        <v>915</v>
      </c>
      <c r="J243" s="12">
        <v>0.8196</v>
      </c>
      <c r="K243" s="13">
        <v>2</v>
      </c>
      <c r="L243" s="14">
        <v>476</v>
      </c>
      <c r="M243" s="10">
        <v>390</v>
      </c>
      <c r="N243" s="10">
        <v>52599</v>
      </c>
      <c r="O243" s="10">
        <v>30583</v>
      </c>
      <c r="P243" s="10">
        <v>83182</v>
      </c>
    </row>
    <row r="244" spans="1:16" ht="27" customHeight="1" x14ac:dyDescent="0.2">
      <c r="A244" s="9" t="s">
        <v>745</v>
      </c>
      <c r="B244" s="10" t="s">
        <v>916</v>
      </c>
      <c r="C244" s="11" t="s">
        <v>18</v>
      </c>
      <c r="D244" s="11" t="s">
        <v>19</v>
      </c>
      <c r="E244" s="11" t="s">
        <v>19</v>
      </c>
      <c r="F244" s="11" t="s">
        <v>917</v>
      </c>
      <c r="G244" s="11" t="s">
        <v>83</v>
      </c>
      <c r="H244" s="11" t="s">
        <v>917</v>
      </c>
      <c r="I244" s="11" t="s">
        <v>918</v>
      </c>
      <c r="J244" s="12">
        <v>0.71009999999999995</v>
      </c>
      <c r="K244" s="13">
        <v>2</v>
      </c>
      <c r="L244" s="14">
        <v>331</v>
      </c>
      <c r="M244" s="10">
        <v>235</v>
      </c>
      <c r="N244" s="10">
        <v>36577</v>
      </c>
      <c r="O244" s="10">
        <v>18429</v>
      </c>
      <c r="P244" s="10">
        <v>55006</v>
      </c>
    </row>
    <row r="245" spans="1:16" ht="27" customHeight="1" x14ac:dyDescent="0.2">
      <c r="A245" s="9" t="s">
        <v>745</v>
      </c>
      <c r="B245" s="10" t="s">
        <v>916</v>
      </c>
      <c r="C245" s="11" t="s">
        <v>919</v>
      </c>
      <c r="D245" s="11" t="s">
        <v>920</v>
      </c>
      <c r="E245" s="11" t="s">
        <v>57</v>
      </c>
      <c r="F245" s="11" t="s">
        <v>921</v>
      </c>
      <c r="G245" s="11" t="s">
        <v>28</v>
      </c>
      <c r="H245" s="11" t="s">
        <v>921</v>
      </c>
      <c r="I245" s="11" t="s">
        <v>922</v>
      </c>
      <c r="J245" s="12">
        <v>0.73040000000000005</v>
      </c>
      <c r="K245" s="13">
        <v>1</v>
      </c>
      <c r="L245" s="14">
        <v>204</v>
      </c>
      <c r="M245" s="10">
        <v>149</v>
      </c>
      <c r="N245" s="10">
        <v>22542</v>
      </c>
      <c r="O245" s="10">
        <v>11684</v>
      </c>
      <c r="P245" s="10">
        <v>34226</v>
      </c>
    </row>
    <row r="246" spans="1:16" ht="27" customHeight="1" x14ac:dyDescent="0.2">
      <c r="A246" s="9" t="s">
        <v>745</v>
      </c>
      <c r="B246" s="10" t="s">
        <v>923</v>
      </c>
      <c r="C246" s="11" t="s">
        <v>18</v>
      </c>
      <c r="D246" s="11" t="s">
        <v>19</v>
      </c>
      <c r="E246" s="11" t="s">
        <v>19</v>
      </c>
      <c r="F246" s="11" t="s">
        <v>924</v>
      </c>
      <c r="G246" s="11" t="s">
        <v>83</v>
      </c>
      <c r="H246" s="11" t="s">
        <v>924</v>
      </c>
      <c r="I246" s="11" t="s">
        <v>925</v>
      </c>
      <c r="J246" s="12">
        <v>0.98529999999999995</v>
      </c>
      <c r="K246" s="13">
        <v>2</v>
      </c>
      <c r="L246" s="14">
        <v>153</v>
      </c>
      <c r="M246" s="10">
        <v>151</v>
      </c>
      <c r="N246" s="10">
        <v>16907</v>
      </c>
      <c r="O246" s="10">
        <v>11841</v>
      </c>
      <c r="P246" s="10">
        <v>28748</v>
      </c>
    </row>
    <row r="247" spans="1:16" ht="27" customHeight="1" x14ac:dyDescent="0.2">
      <c r="A247" s="9" t="s">
        <v>745</v>
      </c>
      <c r="B247" s="10" t="s">
        <v>923</v>
      </c>
      <c r="C247" s="11" t="s">
        <v>926</v>
      </c>
      <c r="D247" s="11" t="s">
        <v>927</v>
      </c>
      <c r="E247" s="11" t="s">
        <v>26</v>
      </c>
      <c r="F247" s="11" t="s">
        <v>928</v>
      </c>
      <c r="G247" s="11" t="s">
        <v>28</v>
      </c>
      <c r="H247" s="11" t="s">
        <v>928</v>
      </c>
      <c r="I247" s="11" t="s">
        <v>929</v>
      </c>
      <c r="J247" s="12">
        <v>0.47789999999999999</v>
      </c>
      <c r="K247" s="13">
        <v>1</v>
      </c>
      <c r="L247" s="14">
        <v>2551</v>
      </c>
      <c r="M247" s="10">
        <v>1219</v>
      </c>
      <c r="N247" s="10">
        <v>281890</v>
      </c>
      <c r="O247" s="10">
        <v>95593</v>
      </c>
      <c r="P247" s="10">
        <v>377483</v>
      </c>
    </row>
    <row r="248" spans="1:16" ht="27" customHeight="1" x14ac:dyDescent="0.2">
      <c r="A248" s="9" t="s">
        <v>745</v>
      </c>
      <c r="B248" s="10" t="s">
        <v>923</v>
      </c>
      <c r="C248" s="11" t="s">
        <v>930</v>
      </c>
      <c r="D248" s="11" t="s">
        <v>931</v>
      </c>
      <c r="E248" s="11" t="s">
        <v>26</v>
      </c>
      <c r="F248" s="11" t="s">
        <v>932</v>
      </c>
      <c r="G248" s="11" t="s">
        <v>28</v>
      </c>
      <c r="H248" s="11" t="s">
        <v>932</v>
      </c>
      <c r="I248" s="11" t="s">
        <v>933</v>
      </c>
      <c r="J248" s="12">
        <v>0.87280000000000002</v>
      </c>
      <c r="K248" s="13">
        <v>1</v>
      </c>
      <c r="L248" s="14">
        <v>1203</v>
      </c>
      <c r="M248" s="10">
        <v>1050</v>
      </c>
      <c r="N248" s="10">
        <v>132933</v>
      </c>
      <c r="O248" s="10">
        <v>82340</v>
      </c>
      <c r="P248" s="10">
        <v>215273</v>
      </c>
    </row>
    <row r="249" spans="1:16" ht="27" customHeight="1" x14ac:dyDescent="0.2">
      <c r="A249" s="9" t="s">
        <v>745</v>
      </c>
      <c r="B249" s="10" t="s">
        <v>934</v>
      </c>
      <c r="C249" s="11" t="s">
        <v>18</v>
      </c>
      <c r="D249" s="11" t="s">
        <v>19</v>
      </c>
      <c r="E249" s="11" t="s">
        <v>19</v>
      </c>
      <c r="F249" s="11" t="s">
        <v>935</v>
      </c>
      <c r="G249" s="11" t="s">
        <v>83</v>
      </c>
      <c r="H249" s="11" t="s">
        <v>936</v>
      </c>
      <c r="I249" s="11" t="s">
        <v>937</v>
      </c>
      <c r="J249" s="12">
        <v>0.94120000000000004</v>
      </c>
      <c r="K249" s="13">
        <v>7</v>
      </c>
      <c r="L249" s="14">
        <v>2297</v>
      </c>
      <c r="M249" s="10">
        <v>2059</v>
      </c>
      <c r="N249" s="10">
        <v>253823</v>
      </c>
      <c r="O249" s="10">
        <v>161464</v>
      </c>
      <c r="P249" s="10">
        <v>415287</v>
      </c>
    </row>
    <row r="250" spans="1:16" ht="27" customHeight="1" x14ac:dyDescent="0.2">
      <c r="A250" s="9" t="s">
        <v>745</v>
      </c>
      <c r="B250" s="10" t="s">
        <v>938</v>
      </c>
      <c r="C250" s="11" t="s">
        <v>18</v>
      </c>
      <c r="D250" s="11" t="s">
        <v>19</v>
      </c>
      <c r="E250" s="11" t="s">
        <v>19</v>
      </c>
      <c r="F250" s="11" t="s">
        <v>939</v>
      </c>
      <c r="G250" s="11" t="s">
        <v>83</v>
      </c>
      <c r="H250" s="11" t="s">
        <v>940</v>
      </c>
      <c r="I250" s="11" t="s">
        <v>941</v>
      </c>
      <c r="J250" s="12">
        <v>0.94199999999999995</v>
      </c>
      <c r="K250" s="13">
        <v>26</v>
      </c>
      <c r="L250" s="14">
        <v>15996</v>
      </c>
      <c r="M250" s="10">
        <v>12756</v>
      </c>
      <c r="N250" s="10">
        <v>1767586</v>
      </c>
      <c r="O250" s="10">
        <v>1000311</v>
      </c>
      <c r="P250" s="10">
        <v>2767897</v>
      </c>
    </row>
    <row r="251" spans="1:16" ht="27" customHeight="1" x14ac:dyDescent="0.2">
      <c r="A251" s="9" t="s">
        <v>745</v>
      </c>
      <c r="B251" s="10" t="s">
        <v>942</v>
      </c>
      <c r="C251" s="11" t="s">
        <v>18</v>
      </c>
      <c r="D251" s="11" t="s">
        <v>19</v>
      </c>
      <c r="E251" s="11" t="s">
        <v>19</v>
      </c>
      <c r="F251" s="11" t="s">
        <v>943</v>
      </c>
      <c r="G251" s="11" t="s">
        <v>83</v>
      </c>
      <c r="H251" s="11" t="s">
        <v>944</v>
      </c>
      <c r="I251" s="11" t="s">
        <v>945</v>
      </c>
      <c r="J251" s="12">
        <v>0.86240000000000006</v>
      </c>
      <c r="K251" s="13">
        <v>9</v>
      </c>
      <c r="L251" s="14">
        <v>5478</v>
      </c>
      <c r="M251" s="10">
        <v>4519</v>
      </c>
      <c r="N251" s="10">
        <v>605327</v>
      </c>
      <c r="O251" s="10">
        <v>354375</v>
      </c>
      <c r="P251" s="10">
        <v>959702</v>
      </c>
    </row>
    <row r="252" spans="1:16" ht="27" customHeight="1" x14ac:dyDescent="0.2">
      <c r="A252" s="9" t="s">
        <v>745</v>
      </c>
      <c r="B252" s="10" t="s">
        <v>946</v>
      </c>
      <c r="C252" s="11" t="s">
        <v>18</v>
      </c>
      <c r="D252" s="11" t="s">
        <v>19</v>
      </c>
      <c r="E252" s="11" t="s">
        <v>19</v>
      </c>
      <c r="F252" s="11" t="s">
        <v>947</v>
      </c>
      <c r="G252" s="11" t="s">
        <v>83</v>
      </c>
      <c r="H252" s="11" t="s">
        <v>948</v>
      </c>
      <c r="I252" s="11" t="s">
        <v>949</v>
      </c>
      <c r="J252" s="12">
        <v>0.97850000000000004</v>
      </c>
      <c r="K252" s="13">
        <v>8</v>
      </c>
      <c r="L252" s="14">
        <v>4023</v>
      </c>
      <c r="M252" s="10">
        <v>3937</v>
      </c>
      <c r="N252" s="10">
        <v>444549</v>
      </c>
      <c r="O252" s="10">
        <v>308734</v>
      </c>
      <c r="P252" s="10">
        <v>753283</v>
      </c>
    </row>
    <row r="253" spans="1:16" ht="27" customHeight="1" x14ac:dyDescent="0.2">
      <c r="A253" s="9" t="s">
        <v>745</v>
      </c>
      <c r="B253" s="10" t="s">
        <v>950</v>
      </c>
      <c r="C253" s="11" t="s">
        <v>18</v>
      </c>
      <c r="D253" s="11" t="s">
        <v>19</v>
      </c>
      <c r="E253" s="11" t="s">
        <v>19</v>
      </c>
      <c r="F253" s="11" t="s">
        <v>951</v>
      </c>
      <c r="G253" s="11" t="s">
        <v>83</v>
      </c>
      <c r="H253" s="11" t="s">
        <v>748</v>
      </c>
      <c r="I253" s="11" t="s">
        <v>749</v>
      </c>
      <c r="J253" s="12">
        <v>1</v>
      </c>
      <c r="K253" s="13">
        <v>7</v>
      </c>
      <c r="L253" s="14">
        <v>1391</v>
      </c>
      <c r="M253" s="10">
        <v>1270</v>
      </c>
      <c r="N253" s="10">
        <v>153708</v>
      </c>
      <c r="O253" s="10">
        <v>99593</v>
      </c>
      <c r="P253" s="10">
        <v>253301</v>
      </c>
    </row>
    <row r="254" spans="1:16" ht="27" customHeight="1" x14ac:dyDescent="0.2">
      <c r="A254" s="9" t="s">
        <v>745</v>
      </c>
      <c r="B254" s="10" t="s">
        <v>952</v>
      </c>
      <c r="C254" s="11" t="s">
        <v>18</v>
      </c>
      <c r="D254" s="11" t="s">
        <v>19</v>
      </c>
      <c r="E254" s="11" t="s">
        <v>19</v>
      </c>
      <c r="F254" s="11" t="s">
        <v>953</v>
      </c>
      <c r="G254" s="11" t="s">
        <v>83</v>
      </c>
      <c r="H254" s="11" t="s">
        <v>954</v>
      </c>
      <c r="I254" s="11" t="s">
        <v>955</v>
      </c>
      <c r="J254" s="12">
        <v>0.46970000000000001</v>
      </c>
      <c r="K254" s="13">
        <v>7</v>
      </c>
      <c r="L254" s="14">
        <v>1325</v>
      </c>
      <c r="M254" s="10">
        <v>557</v>
      </c>
      <c r="N254" s="10">
        <v>146415</v>
      </c>
      <c r="O254" s="10">
        <v>43679</v>
      </c>
      <c r="P254" s="10">
        <v>190094</v>
      </c>
    </row>
    <row r="255" spans="1:16" ht="27" customHeight="1" x14ac:dyDescent="0.2">
      <c r="A255" s="9" t="s">
        <v>745</v>
      </c>
      <c r="B255" s="10" t="s">
        <v>956</v>
      </c>
      <c r="C255" s="11" t="s">
        <v>18</v>
      </c>
      <c r="D255" s="11" t="s">
        <v>19</v>
      </c>
      <c r="E255" s="11" t="s">
        <v>19</v>
      </c>
      <c r="F255" s="11" t="s">
        <v>957</v>
      </c>
      <c r="G255" s="11" t="s">
        <v>83</v>
      </c>
      <c r="H255" s="11" t="s">
        <v>958</v>
      </c>
      <c r="I255" s="11" t="s">
        <v>959</v>
      </c>
      <c r="J255" s="12">
        <v>0.89410000000000001</v>
      </c>
      <c r="K255" s="13">
        <v>6</v>
      </c>
      <c r="L255" s="14">
        <v>1547</v>
      </c>
      <c r="M255" s="10">
        <v>1342</v>
      </c>
      <c r="N255" s="10">
        <v>170946</v>
      </c>
      <c r="O255" s="10">
        <v>105237</v>
      </c>
      <c r="P255" s="10">
        <v>276183</v>
      </c>
    </row>
    <row r="256" spans="1:16" ht="27" customHeight="1" x14ac:dyDescent="0.2">
      <c r="A256" s="9" t="s">
        <v>745</v>
      </c>
      <c r="B256" s="10" t="s">
        <v>960</v>
      </c>
      <c r="C256" s="11" t="s">
        <v>18</v>
      </c>
      <c r="D256" s="11" t="s">
        <v>19</v>
      </c>
      <c r="E256" s="11" t="s">
        <v>19</v>
      </c>
      <c r="F256" s="11" t="s">
        <v>961</v>
      </c>
      <c r="G256" s="11" t="s">
        <v>83</v>
      </c>
      <c r="H256" s="11" t="s">
        <v>962</v>
      </c>
      <c r="I256" s="11" t="s">
        <v>963</v>
      </c>
      <c r="J256" s="12">
        <v>0.87309999999999999</v>
      </c>
      <c r="K256" s="13">
        <v>4</v>
      </c>
      <c r="L256" s="14">
        <v>1616</v>
      </c>
      <c r="M256" s="10">
        <v>1429</v>
      </c>
      <c r="N256" s="10">
        <v>178572</v>
      </c>
      <c r="O256" s="10">
        <v>112061</v>
      </c>
      <c r="P256" s="10">
        <v>290633</v>
      </c>
    </row>
    <row r="257" spans="1:16" ht="27" customHeight="1" x14ac:dyDescent="0.2">
      <c r="A257" s="9" t="s">
        <v>745</v>
      </c>
      <c r="B257" s="10" t="s">
        <v>964</v>
      </c>
      <c r="C257" s="11" t="s">
        <v>18</v>
      </c>
      <c r="D257" s="11" t="s">
        <v>19</v>
      </c>
      <c r="E257" s="11" t="s">
        <v>19</v>
      </c>
      <c r="F257" s="11" t="s">
        <v>965</v>
      </c>
      <c r="G257" s="11" t="s">
        <v>83</v>
      </c>
      <c r="H257" s="11" t="s">
        <v>966</v>
      </c>
      <c r="I257" s="11" t="s">
        <v>967</v>
      </c>
      <c r="J257" s="12">
        <v>0.96409999999999996</v>
      </c>
      <c r="K257" s="13">
        <v>8</v>
      </c>
      <c r="L257" s="14">
        <v>2617</v>
      </c>
      <c r="M257" s="10">
        <v>2241</v>
      </c>
      <c r="N257" s="10">
        <v>289183</v>
      </c>
      <c r="O257" s="10">
        <v>175736</v>
      </c>
      <c r="P257" s="10">
        <v>464919</v>
      </c>
    </row>
    <row r="258" spans="1:16" ht="27" customHeight="1" x14ac:dyDescent="0.2">
      <c r="A258" s="9" t="s">
        <v>745</v>
      </c>
      <c r="B258" s="10" t="s">
        <v>964</v>
      </c>
      <c r="C258" s="11" t="s">
        <v>968</v>
      </c>
      <c r="D258" s="11" t="s">
        <v>969</v>
      </c>
      <c r="E258" s="11" t="s">
        <v>26</v>
      </c>
      <c r="F258" s="11" t="s">
        <v>970</v>
      </c>
      <c r="G258" s="11" t="s">
        <v>28</v>
      </c>
      <c r="H258" s="11" t="s">
        <v>970</v>
      </c>
      <c r="I258" s="11" t="s">
        <v>971</v>
      </c>
      <c r="J258" s="12">
        <v>0.98750000000000004</v>
      </c>
      <c r="K258" s="13">
        <v>1</v>
      </c>
      <c r="L258" s="14">
        <v>319</v>
      </c>
      <c r="M258" s="10">
        <v>315</v>
      </c>
      <c r="N258" s="10">
        <v>35250</v>
      </c>
      <c r="O258" s="10">
        <v>24702</v>
      </c>
      <c r="P258" s="10">
        <v>59952</v>
      </c>
    </row>
    <row r="259" spans="1:16" ht="27" customHeight="1" x14ac:dyDescent="0.2">
      <c r="A259" s="9" t="s">
        <v>972</v>
      </c>
      <c r="B259" s="10" t="s">
        <v>973</v>
      </c>
      <c r="C259" s="11" t="s">
        <v>18</v>
      </c>
      <c r="D259" s="11" t="s">
        <v>19</v>
      </c>
      <c r="E259" s="11" t="s">
        <v>19</v>
      </c>
      <c r="F259" s="11" t="s">
        <v>974</v>
      </c>
      <c r="G259" s="11" t="s">
        <v>21</v>
      </c>
      <c r="H259" s="11" t="s">
        <v>975</v>
      </c>
      <c r="I259" s="11" t="s">
        <v>976</v>
      </c>
      <c r="J259" s="12">
        <v>0.92169999999999996</v>
      </c>
      <c r="K259" s="13">
        <v>2</v>
      </c>
      <c r="L259" s="14">
        <v>209</v>
      </c>
      <c r="M259" s="10">
        <v>179</v>
      </c>
      <c r="N259" s="10">
        <v>23095</v>
      </c>
      <c r="O259" s="10">
        <v>14037</v>
      </c>
      <c r="P259" s="10">
        <v>37132</v>
      </c>
    </row>
    <row r="260" spans="1:16" ht="27" customHeight="1" x14ac:dyDescent="0.2">
      <c r="A260" s="9" t="s">
        <v>972</v>
      </c>
      <c r="B260" s="10" t="s">
        <v>973</v>
      </c>
      <c r="C260" s="11" t="s">
        <v>977</v>
      </c>
      <c r="D260" s="11" t="s">
        <v>978</v>
      </c>
      <c r="E260" s="11" t="s">
        <v>26</v>
      </c>
      <c r="F260" s="11" t="s">
        <v>979</v>
      </c>
      <c r="G260" s="11" t="s">
        <v>28</v>
      </c>
      <c r="H260" s="11" t="s">
        <v>979</v>
      </c>
      <c r="I260" s="11" t="s">
        <v>980</v>
      </c>
      <c r="J260" s="12">
        <v>0.55730000000000002</v>
      </c>
      <c r="K260" s="13">
        <v>1</v>
      </c>
      <c r="L260" s="14">
        <v>192</v>
      </c>
      <c r="M260" s="10">
        <v>107</v>
      </c>
      <c r="N260" s="10">
        <v>21216</v>
      </c>
      <c r="O260" s="10">
        <v>8391</v>
      </c>
      <c r="P260" s="10">
        <v>29607</v>
      </c>
    </row>
    <row r="261" spans="1:16" ht="27" customHeight="1" x14ac:dyDescent="0.2">
      <c r="A261" s="9" t="s">
        <v>972</v>
      </c>
      <c r="B261" s="10" t="s">
        <v>973</v>
      </c>
      <c r="C261" s="11" t="s">
        <v>981</v>
      </c>
      <c r="D261" s="11" t="s">
        <v>982</v>
      </c>
      <c r="E261" s="11" t="s">
        <v>57</v>
      </c>
      <c r="F261" s="11" t="s">
        <v>983</v>
      </c>
      <c r="G261" s="11" t="s">
        <v>28</v>
      </c>
      <c r="H261" s="11" t="s">
        <v>975</v>
      </c>
      <c r="I261" s="11" t="s">
        <v>976</v>
      </c>
      <c r="J261" s="12">
        <v>0.92169999999999996</v>
      </c>
      <c r="K261" s="13">
        <v>1</v>
      </c>
      <c r="L261" s="14">
        <v>91</v>
      </c>
      <c r="M261" s="10">
        <v>24</v>
      </c>
      <c r="N261" s="10">
        <v>10056</v>
      </c>
      <c r="O261" s="10">
        <v>1882</v>
      </c>
      <c r="P261" s="10">
        <v>11938</v>
      </c>
    </row>
    <row r="262" spans="1:16" ht="27" customHeight="1" x14ac:dyDescent="0.2">
      <c r="A262" s="9" t="s">
        <v>972</v>
      </c>
      <c r="B262" s="10" t="s">
        <v>973</v>
      </c>
      <c r="C262" s="11" t="s">
        <v>984</v>
      </c>
      <c r="D262" s="11" t="s">
        <v>985</v>
      </c>
      <c r="E262" s="11" t="s">
        <v>57</v>
      </c>
      <c r="F262" s="11" t="s">
        <v>986</v>
      </c>
      <c r="G262" s="11" t="s">
        <v>28</v>
      </c>
      <c r="H262" s="11" t="s">
        <v>975</v>
      </c>
      <c r="I262" s="11" t="s">
        <v>976</v>
      </c>
      <c r="J262" s="12">
        <v>0.92169999999999996</v>
      </c>
      <c r="K262" s="13">
        <v>1</v>
      </c>
      <c r="L262" s="14">
        <v>153</v>
      </c>
      <c r="M262" s="10">
        <v>107</v>
      </c>
      <c r="N262" s="10">
        <v>16907</v>
      </c>
      <c r="O262" s="10">
        <v>8391</v>
      </c>
      <c r="P262" s="10">
        <v>25298</v>
      </c>
    </row>
    <row r="263" spans="1:16" ht="27" customHeight="1" x14ac:dyDescent="0.2">
      <c r="A263" s="9" t="s">
        <v>972</v>
      </c>
      <c r="B263" s="10" t="s">
        <v>987</v>
      </c>
      <c r="C263" s="11" t="s">
        <v>18</v>
      </c>
      <c r="D263" s="11" t="s">
        <v>19</v>
      </c>
      <c r="E263" s="11" t="s">
        <v>19</v>
      </c>
      <c r="F263" s="11" t="s">
        <v>988</v>
      </c>
      <c r="G263" s="11" t="s">
        <v>83</v>
      </c>
      <c r="H263" s="11" t="s">
        <v>988</v>
      </c>
      <c r="I263" s="11" t="s">
        <v>989</v>
      </c>
      <c r="J263" s="12">
        <v>0.45950000000000002</v>
      </c>
      <c r="K263" s="13">
        <v>2</v>
      </c>
      <c r="L263" s="14">
        <v>185</v>
      </c>
      <c r="M263" s="10">
        <v>85</v>
      </c>
      <c r="N263" s="10">
        <v>20443</v>
      </c>
      <c r="O263" s="10">
        <v>6666</v>
      </c>
      <c r="P263" s="10">
        <v>27109</v>
      </c>
    </row>
    <row r="264" spans="1:16" ht="27" customHeight="1" x14ac:dyDescent="0.2">
      <c r="A264" s="9" t="s">
        <v>972</v>
      </c>
      <c r="B264" s="10" t="s">
        <v>990</v>
      </c>
      <c r="C264" s="11" t="s">
        <v>18</v>
      </c>
      <c r="D264" s="11" t="s">
        <v>19</v>
      </c>
      <c r="E264" s="11" t="s">
        <v>19</v>
      </c>
      <c r="F264" s="11" t="s">
        <v>991</v>
      </c>
      <c r="G264" s="11" t="s">
        <v>83</v>
      </c>
      <c r="H264" s="11" t="s">
        <v>991</v>
      </c>
      <c r="I264" s="11" t="s">
        <v>992</v>
      </c>
      <c r="J264" s="12">
        <v>0.43240000000000001</v>
      </c>
      <c r="K264" s="13">
        <v>2</v>
      </c>
      <c r="L264" s="14">
        <v>185</v>
      </c>
      <c r="M264" s="10">
        <v>80</v>
      </c>
      <c r="N264" s="10">
        <v>20443</v>
      </c>
      <c r="O264" s="10">
        <v>6274</v>
      </c>
      <c r="P264" s="10">
        <v>26717</v>
      </c>
    </row>
    <row r="265" spans="1:16" ht="27" customHeight="1" x14ac:dyDescent="0.2">
      <c r="A265" s="9" t="s">
        <v>972</v>
      </c>
      <c r="B265" s="10" t="s">
        <v>990</v>
      </c>
      <c r="C265" s="11" t="s">
        <v>993</v>
      </c>
      <c r="D265" s="11" t="s">
        <v>994</v>
      </c>
      <c r="E265" s="11" t="s">
        <v>26</v>
      </c>
      <c r="F265" s="11" t="s">
        <v>995</v>
      </c>
      <c r="G265" s="11" t="s">
        <v>28</v>
      </c>
      <c r="H265" s="11" t="s">
        <v>995</v>
      </c>
      <c r="I265" s="11" t="s">
        <v>996</v>
      </c>
      <c r="J265" s="12">
        <v>0.55740000000000001</v>
      </c>
      <c r="K265" s="13">
        <v>1</v>
      </c>
      <c r="L265" s="14">
        <v>723</v>
      </c>
      <c r="M265" s="10">
        <v>403</v>
      </c>
      <c r="N265" s="10">
        <v>79893</v>
      </c>
      <c r="O265" s="10">
        <v>31603</v>
      </c>
      <c r="P265" s="10">
        <v>111496</v>
      </c>
    </row>
    <row r="266" spans="1:16" ht="27" customHeight="1" x14ac:dyDescent="0.2">
      <c r="A266" s="9" t="s">
        <v>972</v>
      </c>
      <c r="B266" s="10" t="s">
        <v>997</v>
      </c>
      <c r="C266" s="11" t="s">
        <v>18</v>
      </c>
      <c r="D266" s="11" t="s">
        <v>19</v>
      </c>
      <c r="E266" s="11" t="s">
        <v>19</v>
      </c>
      <c r="F266" s="11" t="s">
        <v>998</v>
      </c>
      <c r="G266" s="11" t="s">
        <v>83</v>
      </c>
      <c r="H266" s="11" t="s">
        <v>998</v>
      </c>
      <c r="I266" s="11" t="s">
        <v>999</v>
      </c>
      <c r="J266" s="12">
        <v>0.46729999999999999</v>
      </c>
      <c r="K266" s="13">
        <v>2</v>
      </c>
      <c r="L266" s="14">
        <v>199</v>
      </c>
      <c r="M266" s="10">
        <v>93</v>
      </c>
      <c r="N266" s="10">
        <v>21990</v>
      </c>
      <c r="O266" s="10">
        <v>7293</v>
      </c>
      <c r="P266" s="10">
        <v>29283</v>
      </c>
    </row>
    <row r="267" spans="1:16" ht="27" customHeight="1" x14ac:dyDescent="0.2">
      <c r="A267" s="9" t="s">
        <v>972</v>
      </c>
      <c r="B267" s="10" t="s">
        <v>1000</v>
      </c>
      <c r="C267" s="11" t="s">
        <v>18</v>
      </c>
      <c r="D267" s="11" t="s">
        <v>19</v>
      </c>
      <c r="E267" s="11" t="s">
        <v>19</v>
      </c>
      <c r="F267" s="11" t="s">
        <v>1001</v>
      </c>
      <c r="G267" s="11" t="s">
        <v>83</v>
      </c>
      <c r="H267" s="11" t="s">
        <v>1002</v>
      </c>
      <c r="I267" s="11" t="s">
        <v>1003</v>
      </c>
      <c r="J267" s="12">
        <v>0.68120000000000003</v>
      </c>
      <c r="K267" s="13">
        <v>4</v>
      </c>
      <c r="L267" s="14">
        <v>133</v>
      </c>
      <c r="M267" s="10">
        <v>90</v>
      </c>
      <c r="N267" s="10">
        <v>14697</v>
      </c>
      <c r="O267" s="10">
        <v>7058</v>
      </c>
      <c r="P267" s="10">
        <v>21755</v>
      </c>
    </row>
    <row r="268" spans="1:16" ht="27" customHeight="1" x14ac:dyDescent="0.2">
      <c r="A268" s="9" t="s">
        <v>972</v>
      </c>
      <c r="B268" s="10" t="s">
        <v>1004</v>
      </c>
      <c r="C268" s="11" t="s">
        <v>18</v>
      </c>
      <c r="D268" s="11" t="s">
        <v>19</v>
      </c>
      <c r="E268" s="11" t="s">
        <v>19</v>
      </c>
      <c r="F268" s="11" t="s">
        <v>1005</v>
      </c>
      <c r="G268" s="11" t="s">
        <v>83</v>
      </c>
      <c r="H268" s="11" t="s">
        <v>1006</v>
      </c>
      <c r="I268" s="11" t="s">
        <v>1007</v>
      </c>
      <c r="J268" s="12">
        <v>0.64100000000000001</v>
      </c>
      <c r="K268" s="13">
        <v>5</v>
      </c>
      <c r="L268" s="14">
        <v>88</v>
      </c>
      <c r="M268" s="10">
        <v>56</v>
      </c>
      <c r="N268" s="10">
        <v>9725</v>
      </c>
      <c r="O268" s="10">
        <v>4391</v>
      </c>
      <c r="P268" s="10">
        <v>14116</v>
      </c>
    </row>
    <row r="269" spans="1:16" ht="27" customHeight="1" x14ac:dyDescent="0.2">
      <c r="A269" s="9" t="s">
        <v>972</v>
      </c>
      <c r="B269" s="10" t="s">
        <v>1008</v>
      </c>
      <c r="C269" s="11" t="s">
        <v>18</v>
      </c>
      <c r="D269" s="11" t="s">
        <v>19</v>
      </c>
      <c r="E269" s="11" t="s">
        <v>19</v>
      </c>
      <c r="F269" s="11" t="s">
        <v>1009</v>
      </c>
      <c r="G269" s="11" t="s">
        <v>83</v>
      </c>
      <c r="H269" s="11" t="s">
        <v>1010</v>
      </c>
      <c r="I269" s="11" t="s">
        <v>1011</v>
      </c>
      <c r="J269" s="12">
        <v>0.81059999999999999</v>
      </c>
      <c r="K269" s="13">
        <v>5</v>
      </c>
      <c r="L269" s="14">
        <v>1391</v>
      </c>
      <c r="M269" s="10">
        <v>1102</v>
      </c>
      <c r="N269" s="10">
        <v>153708</v>
      </c>
      <c r="O269" s="10">
        <v>86417</v>
      </c>
      <c r="P269" s="10">
        <v>240125</v>
      </c>
    </row>
    <row r="270" spans="1:16" ht="27" customHeight="1" x14ac:dyDescent="0.2">
      <c r="A270" s="9" t="s">
        <v>972</v>
      </c>
      <c r="B270" s="10" t="s">
        <v>1012</v>
      </c>
      <c r="C270" s="11" t="s">
        <v>18</v>
      </c>
      <c r="D270" s="11" t="s">
        <v>19</v>
      </c>
      <c r="E270" s="11" t="s">
        <v>19</v>
      </c>
      <c r="F270" s="11" t="s">
        <v>1013</v>
      </c>
      <c r="G270" s="11" t="s">
        <v>83</v>
      </c>
      <c r="H270" s="11" t="s">
        <v>1014</v>
      </c>
      <c r="I270" s="11" t="s">
        <v>1015</v>
      </c>
      <c r="J270" s="12">
        <v>0.85250000000000004</v>
      </c>
      <c r="K270" s="13">
        <v>7</v>
      </c>
      <c r="L270" s="14">
        <v>2262</v>
      </c>
      <c r="M270" s="10">
        <v>1796</v>
      </c>
      <c r="N270" s="10">
        <v>249955</v>
      </c>
      <c r="O270" s="10">
        <v>140840</v>
      </c>
      <c r="P270" s="10">
        <v>390795</v>
      </c>
    </row>
    <row r="271" spans="1:16" ht="27" customHeight="1" x14ac:dyDescent="0.2">
      <c r="A271" s="9" t="s">
        <v>972</v>
      </c>
      <c r="B271" s="10" t="s">
        <v>1016</v>
      </c>
      <c r="C271" s="11" t="s">
        <v>18</v>
      </c>
      <c r="D271" s="11" t="s">
        <v>19</v>
      </c>
      <c r="E271" s="11" t="s">
        <v>19</v>
      </c>
      <c r="F271" s="11" t="s">
        <v>1017</v>
      </c>
      <c r="G271" s="11" t="s">
        <v>83</v>
      </c>
      <c r="H271" s="11" t="s">
        <v>975</v>
      </c>
      <c r="I271" s="11" t="s">
        <v>976</v>
      </c>
      <c r="J271" s="12">
        <v>0.92169999999999996</v>
      </c>
      <c r="K271" s="13">
        <v>5</v>
      </c>
      <c r="L271" s="14">
        <v>735</v>
      </c>
      <c r="M271" s="10">
        <v>567</v>
      </c>
      <c r="N271" s="10">
        <v>81219</v>
      </c>
      <c r="O271" s="10">
        <v>44463</v>
      </c>
      <c r="P271" s="10">
        <v>125682</v>
      </c>
    </row>
    <row r="272" spans="1:16" ht="27" customHeight="1" x14ac:dyDescent="0.2">
      <c r="A272" s="9" t="s">
        <v>1018</v>
      </c>
      <c r="B272" s="10" t="s">
        <v>1019</v>
      </c>
      <c r="C272" s="11" t="s">
        <v>18</v>
      </c>
      <c r="D272" s="11" t="s">
        <v>19</v>
      </c>
      <c r="E272" s="11" t="s">
        <v>19</v>
      </c>
      <c r="F272" s="11" t="s">
        <v>1020</v>
      </c>
      <c r="G272" s="11" t="s">
        <v>21</v>
      </c>
      <c r="H272" s="11" t="s">
        <v>1021</v>
      </c>
      <c r="I272" s="11" t="s">
        <v>1022</v>
      </c>
      <c r="J272" s="12">
        <v>1</v>
      </c>
      <c r="K272" s="13">
        <v>6</v>
      </c>
      <c r="L272" s="14">
        <v>310</v>
      </c>
      <c r="M272" s="10">
        <v>299</v>
      </c>
      <c r="N272" s="10">
        <v>34257</v>
      </c>
      <c r="O272" s="10">
        <v>23448</v>
      </c>
      <c r="P272" s="10">
        <v>57705</v>
      </c>
    </row>
    <row r="273" spans="1:16" ht="27" customHeight="1" x14ac:dyDescent="0.2">
      <c r="A273" s="9" t="s">
        <v>1018</v>
      </c>
      <c r="B273" s="10" t="s">
        <v>1019</v>
      </c>
      <c r="C273" s="11" t="s">
        <v>1023</v>
      </c>
      <c r="D273" s="11" t="s">
        <v>1024</v>
      </c>
      <c r="E273" s="11" t="s">
        <v>26</v>
      </c>
      <c r="F273" s="11" t="s">
        <v>1025</v>
      </c>
      <c r="G273" s="11" t="s">
        <v>28</v>
      </c>
      <c r="H273" s="11" t="s">
        <v>1025</v>
      </c>
      <c r="I273" s="11" t="s">
        <v>1026</v>
      </c>
      <c r="J273" s="12">
        <v>0.18179999999999999</v>
      </c>
      <c r="K273" s="13">
        <v>1</v>
      </c>
      <c r="L273" s="14">
        <v>154</v>
      </c>
      <c r="M273" s="10">
        <v>28</v>
      </c>
      <c r="N273" s="10">
        <v>17017</v>
      </c>
      <c r="O273" s="10">
        <v>2196</v>
      </c>
      <c r="P273" s="10">
        <v>19213</v>
      </c>
    </row>
    <row r="274" spans="1:16" ht="27" customHeight="1" x14ac:dyDescent="0.2">
      <c r="A274" s="9" t="s">
        <v>1018</v>
      </c>
      <c r="B274" s="10" t="s">
        <v>1019</v>
      </c>
      <c r="C274" s="11" t="s">
        <v>1027</v>
      </c>
      <c r="D274" s="11" t="s">
        <v>1028</v>
      </c>
      <c r="E274" s="11" t="s">
        <v>26</v>
      </c>
      <c r="F274" s="11" t="s">
        <v>1029</v>
      </c>
      <c r="G274" s="11" t="s">
        <v>28</v>
      </c>
      <c r="H274" s="11" t="s">
        <v>1029</v>
      </c>
      <c r="I274" s="11" t="s">
        <v>1030</v>
      </c>
      <c r="J274" s="12">
        <v>0.76380000000000003</v>
      </c>
      <c r="K274" s="13">
        <v>1</v>
      </c>
      <c r="L274" s="14">
        <v>309</v>
      </c>
      <c r="M274" s="10">
        <v>236</v>
      </c>
      <c r="N274" s="10">
        <v>34145</v>
      </c>
      <c r="O274" s="10">
        <v>18507</v>
      </c>
      <c r="P274" s="10">
        <v>52652</v>
      </c>
    </row>
    <row r="275" spans="1:16" ht="27" customHeight="1" x14ac:dyDescent="0.2">
      <c r="A275" s="9" t="s">
        <v>1018</v>
      </c>
      <c r="B275" s="10" t="s">
        <v>1019</v>
      </c>
      <c r="C275" s="11" t="s">
        <v>1031</v>
      </c>
      <c r="D275" s="11" t="s">
        <v>1032</v>
      </c>
      <c r="E275" s="11" t="s">
        <v>26</v>
      </c>
      <c r="F275" s="11" t="s">
        <v>1033</v>
      </c>
      <c r="G275" s="11" t="s">
        <v>28</v>
      </c>
      <c r="H275" s="11" t="s">
        <v>1033</v>
      </c>
      <c r="I275" s="11" t="s">
        <v>1034</v>
      </c>
      <c r="J275" s="12">
        <v>0.59760000000000002</v>
      </c>
      <c r="K275" s="13">
        <v>1</v>
      </c>
      <c r="L275" s="14">
        <v>82</v>
      </c>
      <c r="M275" s="10">
        <v>49</v>
      </c>
      <c r="N275" s="10">
        <v>9061</v>
      </c>
      <c r="O275" s="10">
        <v>3843</v>
      </c>
      <c r="P275" s="10">
        <v>12904</v>
      </c>
    </row>
    <row r="276" spans="1:16" ht="27" customHeight="1" x14ac:dyDescent="0.2">
      <c r="A276" s="9" t="s">
        <v>1018</v>
      </c>
      <c r="B276" s="10" t="s">
        <v>1035</v>
      </c>
      <c r="C276" s="11" t="s">
        <v>18</v>
      </c>
      <c r="D276" s="11" t="s">
        <v>19</v>
      </c>
      <c r="E276" s="11" t="s">
        <v>19</v>
      </c>
      <c r="F276" s="11" t="s">
        <v>1036</v>
      </c>
      <c r="G276" s="11" t="s">
        <v>83</v>
      </c>
      <c r="H276" s="11" t="s">
        <v>1036</v>
      </c>
      <c r="I276" s="11" t="s">
        <v>1037</v>
      </c>
      <c r="J276" s="12">
        <v>0.76339999999999997</v>
      </c>
      <c r="K276" s="13">
        <v>3</v>
      </c>
      <c r="L276" s="14">
        <v>489</v>
      </c>
      <c r="M276" s="10">
        <v>339</v>
      </c>
      <c r="N276" s="10">
        <v>54035</v>
      </c>
      <c r="O276" s="10">
        <v>26584</v>
      </c>
      <c r="P276" s="10">
        <v>80619</v>
      </c>
    </row>
    <row r="277" spans="1:16" ht="27" customHeight="1" x14ac:dyDescent="0.2">
      <c r="A277" s="9" t="s">
        <v>1018</v>
      </c>
      <c r="B277" s="10" t="s">
        <v>1035</v>
      </c>
      <c r="C277" s="11" t="s">
        <v>1038</v>
      </c>
      <c r="D277" s="11" t="s">
        <v>1039</v>
      </c>
      <c r="E277" s="11" t="s">
        <v>26</v>
      </c>
      <c r="F277" s="11" t="s">
        <v>1040</v>
      </c>
      <c r="G277" s="11" t="s">
        <v>28</v>
      </c>
      <c r="H277" s="11" t="s">
        <v>1040</v>
      </c>
      <c r="I277" s="11" t="s">
        <v>1041</v>
      </c>
      <c r="J277" s="12">
        <v>0.4088</v>
      </c>
      <c r="K277" s="13">
        <v>1</v>
      </c>
      <c r="L277" s="14">
        <v>137</v>
      </c>
      <c r="M277" s="10">
        <v>56</v>
      </c>
      <c r="N277" s="10">
        <v>15139</v>
      </c>
      <c r="O277" s="10">
        <v>4391</v>
      </c>
      <c r="P277" s="10">
        <v>19530</v>
      </c>
    </row>
    <row r="278" spans="1:16" ht="27" customHeight="1" x14ac:dyDescent="0.2">
      <c r="A278" s="9" t="s">
        <v>1018</v>
      </c>
      <c r="B278" s="10" t="s">
        <v>1035</v>
      </c>
      <c r="C278" s="11" t="s">
        <v>1042</v>
      </c>
      <c r="D278" s="11" t="s">
        <v>1043</v>
      </c>
      <c r="E278" s="11" t="s">
        <v>26</v>
      </c>
      <c r="F278" s="11" t="s">
        <v>1044</v>
      </c>
      <c r="G278" s="11" t="s">
        <v>28</v>
      </c>
      <c r="H278" s="11" t="s">
        <v>1044</v>
      </c>
      <c r="I278" s="11" t="s">
        <v>1045</v>
      </c>
      <c r="J278" s="12">
        <v>0.41239999999999999</v>
      </c>
      <c r="K278" s="13">
        <v>1</v>
      </c>
      <c r="L278" s="14">
        <v>97</v>
      </c>
      <c r="M278" s="10">
        <v>40</v>
      </c>
      <c r="N278" s="10">
        <v>10719</v>
      </c>
      <c r="O278" s="10">
        <v>3137</v>
      </c>
      <c r="P278" s="10">
        <v>13856</v>
      </c>
    </row>
    <row r="279" spans="1:16" ht="27" customHeight="1" x14ac:dyDescent="0.2">
      <c r="A279" s="9" t="s">
        <v>1018</v>
      </c>
      <c r="B279" s="10" t="s">
        <v>1035</v>
      </c>
      <c r="C279" s="11" t="s">
        <v>1046</v>
      </c>
      <c r="D279" s="11" t="s">
        <v>1047</v>
      </c>
      <c r="E279" s="11" t="s">
        <v>26</v>
      </c>
      <c r="F279" s="11" t="s">
        <v>1048</v>
      </c>
      <c r="G279" s="11" t="s">
        <v>28</v>
      </c>
      <c r="H279" s="11" t="s">
        <v>1048</v>
      </c>
      <c r="I279" s="11" t="s">
        <v>1049</v>
      </c>
      <c r="J279" s="12">
        <v>0.39779999999999999</v>
      </c>
      <c r="K279" s="13">
        <v>1</v>
      </c>
      <c r="L279" s="14">
        <v>181</v>
      </c>
      <c r="M279" s="10">
        <v>72</v>
      </c>
      <c r="N279" s="10">
        <v>20001</v>
      </c>
      <c r="O279" s="10">
        <v>5646</v>
      </c>
      <c r="P279" s="10">
        <v>25647</v>
      </c>
    </row>
    <row r="280" spans="1:16" ht="27" customHeight="1" x14ac:dyDescent="0.2">
      <c r="A280" s="9" t="s">
        <v>1018</v>
      </c>
      <c r="B280" s="10" t="s">
        <v>1035</v>
      </c>
      <c r="C280" s="11" t="s">
        <v>1050</v>
      </c>
      <c r="D280" s="11" t="s">
        <v>1051</v>
      </c>
      <c r="E280" s="11" t="s">
        <v>26</v>
      </c>
      <c r="F280" s="11" t="s">
        <v>1052</v>
      </c>
      <c r="G280" s="11" t="s">
        <v>28</v>
      </c>
      <c r="H280" s="11" t="s">
        <v>1052</v>
      </c>
      <c r="I280" s="11" t="s">
        <v>1053</v>
      </c>
      <c r="J280" s="12">
        <v>0.63439999999999996</v>
      </c>
      <c r="K280" s="13">
        <v>1</v>
      </c>
      <c r="L280" s="14">
        <v>227</v>
      </c>
      <c r="M280" s="10">
        <v>144</v>
      </c>
      <c r="N280" s="10">
        <v>25084</v>
      </c>
      <c r="O280" s="10">
        <v>11292</v>
      </c>
      <c r="P280" s="10">
        <v>36376</v>
      </c>
    </row>
    <row r="281" spans="1:16" ht="27" customHeight="1" x14ac:dyDescent="0.2">
      <c r="A281" s="9" t="s">
        <v>1018</v>
      </c>
      <c r="B281" s="10" t="s">
        <v>1054</v>
      </c>
      <c r="C281" s="11" t="s">
        <v>18</v>
      </c>
      <c r="D281" s="11" t="s">
        <v>19</v>
      </c>
      <c r="E281" s="11" t="s">
        <v>19</v>
      </c>
      <c r="F281" s="11" t="s">
        <v>1055</v>
      </c>
      <c r="G281" s="11" t="s">
        <v>83</v>
      </c>
      <c r="H281" s="11" t="s">
        <v>1021</v>
      </c>
      <c r="I281" s="11" t="s">
        <v>1022</v>
      </c>
      <c r="J281" s="12">
        <v>1</v>
      </c>
      <c r="K281" s="13">
        <v>5</v>
      </c>
      <c r="L281" s="14">
        <v>1676</v>
      </c>
      <c r="M281" s="10">
        <v>746</v>
      </c>
      <c r="N281" s="10">
        <v>185202</v>
      </c>
      <c r="O281" s="10">
        <v>58501</v>
      </c>
      <c r="P281" s="10">
        <v>243703</v>
      </c>
    </row>
    <row r="282" spans="1:16" ht="27" customHeight="1" x14ac:dyDescent="0.2">
      <c r="A282" s="9" t="s">
        <v>1018</v>
      </c>
      <c r="B282" s="10" t="s">
        <v>1054</v>
      </c>
      <c r="C282" s="11" t="s">
        <v>1056</v>
      </c>
      <c r="D282" s="11" t="s">
        <v>1057</v>
      </c>
      <c r="E282" s="11" t="s">
        <v>57</v>
      </c>
      <c r="F282" s="11" t="s">
        <v>1058</v>
      </c>
      <c r="G282" s="11" t="s">
        <v>28</v>
      </c>
      <c r="H282" s="11" t="s">
        <v>1021</v>
      </c>
      <c r="I282" s="11" t="s">
        <v>1022</v>
      </c>
      <c r="J282" s="12">
        <v>1</v>
      </c>
      <c r="K282" s="13">
        <v>1</v>
      </c>
      <c r="L282" s="14">
        <v>109</v>
      </c>
      <c r="M282" s="10">
        <v>39</v>
      </c>
      <c r="N282" s="10">
        <v>12045</v>
      </c>
      <c r="O282" s="10">
        <v>3058</v>
      </c>
      <c r="P282" s="10">
        <v>15103</v>
      </c>
    </row>
    <row r="283" spans="1:16" ht="27" customHeight="1" x14ac:dyDescent="0.2">
      <c r="A283" s="9" t="s">
        <v>1018</v>
      </c>
      <c r="B283" s="10" t="s">
        <v>1054</v>
      </c>
      <c r="C283" s="11" t="s">
        <v>1059</v>
      </c>
      <c r="D283" s="11" t="s">
        <v>1060</v>
      </c>
      <c r="E283" s="11" t="s">
        <v>26</v>
      </c>
      <c r="F283" s="11" t="s">
        <v>1061</v>
      </c>
      <c r="G283" s="11" t="s">
        <v>28</v>
      </c>
      <c r="H283" s="11" t="s">
        <v>1061</v>
      </c>
      <c r="I283" s="11" t="s">
        <v>1062</v>
      </c>
      <c r="J283" s="12">
        <v>0.4294</v>
      </c>
      <c r="K283" s="13">
        <v>1</v>
      </c>
      <c r="L283" s="14">
        <v>177</v>
      </c>
      <c r="M283" s="10">
        <v>76</v>
      </c>
      <c r="N283" s="10">
        <v>19559</v>
      </c>
      <c r="O283" s="10">
        <v>5960</v>
      </c>
      <c r="P283" s="10">
        <v>25519</v>
      </c>
    </row>
    <row r="284" spans="1:16" ht="27" customHeight="1" x14ac:dyDescent="0.2">
      <c r="A284" s="9" t="s">
        <v>1018</v>
      </c>
      <c r="B284" s="10" t="s">
        <v>1063</v>
      </c>
      <c r="C284" s="11" t="s">
        <v>18</v>
      </c>
      <c r="D284" s="11" t="s">
        <v>19</v>
      </c>
      <c r="E284" s="11" t="s">
        <v>19</v>
      </c>
      <c r="F284" s="11" t="s">
        <v>1064</v>
      </c>
      <c r="G284" s="11" t="s">
        <v>83</v>
      </c>
      <c r="H284" s="11" t="s">
        <v>1065</v>
      </c>
      <c r="I284" s="11" t="s">
        <v>1066</v>
      </c>
      <c r="J284" s="12">
        <v>0.4667</v>
      </c>
      <c r="K284" s="13">
        <v>2</v>
      </c>
      <c r="L284" s="14">
        <v>16</v>
      </c>
      <c r="M284" s="10">
        <v>7</v>
      </c>
      <c r="N284" s="10">
        <v>1769</v>
      </c>
      <c r="O284" s="10">
        <v>549</v>
      </c>
      <c r="P284" s="10">
        <v>2318</v>
      </c>
    </row>
    <row r="285" spans="1:16" ht="27" customHeight="1" x14ac:dyDescent="0.2">
      <c r="A285" s="9" t="s">
        <v>1018</v>
      </c>
      <c r="B285" s="10" t="s">
        <v>1067</v>
      </c>
      <c r="C285" s="11" t="s">
        <v>18</v>
      </c>
      <c r="D285" s="11" t="s">
        <v>19</v>
      </c>
      <c r="E285" s="11" t="s">
        <v>19</v>
      </c>
      <c r="F285" s="11" t="s">
        <v>1068</v>
      </c>
      <c r="G285" s="11" t="s">
        <v>83</v>
      </c>
      <c r="H285" s="11" t="s">
        <v>1068</v>
      </c>
      <c r="I285" s="11" t="s">
        <v>1069</v>
      </c>
      <c r="J285" s="12">
        <v>0.6512</v>
      </c>
      <c r="K285" s="13">
        <v>2</v>
      </c>
      <c r="L285" s="14">
        <v>174</v>
      </c>
      <c r="M285" s="10">
        <v>113</v>
      </c>
      <c r="N285" s="10">
        <v>19227</v>
      </c>
      <c r="O285" s="10">
        <v>8861</v>
      </c>
      <c r="P285" s="10">
        <v>28088</v>
      </c>
    </row>
    <row r="286" spans="1:16" ht="27" customHeight="1" x14ac:dyDescent="0.2">
      <c r="A286" s="9" t="s">
        <v>1018</v>
      </c>
      <c r="B286" s="10" t="s">
        <v>1070</v>
      </c>
      <c r="C286" s="11" t="s">
        <v>18</v>
      </c>
      <c r="D286" s="11" t="s">
        <v>19</v>
      </c>
      <c r="E286" s="11" t="s">
        <v>19</v>
      </c>
      <c r="F286" s="11" t="s">
        <v>1071</v>
      </c>
      <c r="G286" s="11" t="s">
        <v>83</v>
      </c>
      <c r="H286" s="11" t="s">
        <v>1071</v>
      </c>
      <c r="I286" s="11" t="s">
        <v>1072</v>
      </c>
      <c r="J286" s="12">
        <v>0.78380000000000005</v>
      </c>
      <c r="K286" s="13">
        <v>2</v>
      </c>
      <c r="L286" s="14">
        <v>37</v>
      </c>
      <c r="M286" s="10">
        <v>29</v>
      </c>
      <c r="N286" s="10">
        <v>4089</v>
      </c>
      <c r="O286" s="10">
        <v>2274</v>
      </c>
      <c r="P286" s="10">
        <v>6363</v>
      </c>
    </row>
    <row r="287" spans="1:16" ht="27" customHeight="1" x14ac:dyDescent="0.2">
      <c r="A287" s="9" t="s">
        <v>1018</v>
      </c>
      <c r="B287" s="10" t="s">
        <v>1073</v>
      </c>
      <c r="C287" s="11" t="s">
        <v>18</v>
      </c>
      <c r="D287" s="11" t="s">
        <v>19</v>
      </c>
      <c r="E287" s="11" t="s">
        <v>19</v>
      </c>
      <c r="F287" s="11" t="s">
        <v>1074</v>
      </c>
      <c r="G287" s="11" t="s">
        <v>83</v>
      </c>
      <c r="H287" s="11" t="s">
        <v>1075</v>
      </c>
      <c r="I287" s="11" t="s">
        <v>1076</v>
      </c>
      <c r="J287" s="12">
        <v>0.59209999999999996</v>
      </c>
      <c r="K287" s="13">
        <v>2</v>
      </c>
      <c r="L287" s="14">
        <v>153</v>
      </c>
      <c r="M287" s="10">
        <v>91</v>
      </c>
      <c r="N287" s="10">
        <v>16907</v>
      </c>
      <c r="O287" s="10">
        <v>7136</v>
      </c>
      <c r="P287" s="10">
        <v>24043</v>
      </c>
    </row>
    <row r="288" spans="1:16" ht="27" customHeight="1" x14ac:dyDescent="0.2">
      <c r="A288" s="9" t="s">
        <v>1018</v>
      </c>
      <c r="B288" s="10" t="s">
        <v>1077</v>
      </c>
      <c r="C288" s="11" t="s">
        <v>18</v>
      </c>
      <c r="D288" s="11" t="s">
        <v>19</v>
      </c>
      <c r="E288" s="11" t="s">
        <v>19</v>
      </c>
      <c r="F288" s="11" t="s">
        <v>1078</v>
      </c>
      <c r="G288" s="11" t="s">
        <v>83</v>
      </c>
      <c r="H288" s="11" t="s">
        <v>1078</v>
      </c>
      <c r="I288" s="11" t="s">
        <v>1079</v>
      </c>
      <c r="J288" s="12">
        <v>0.45960000000000001</v>
      </c>
      <c r="K288" s="13">
        <v>3</v>
      </c>
      <c r="L288" s="14">
        <v>569</v>
      </c>
      <c r="M288" s="10">
        <v>257</v>
      </c>
      <c r="N288" s="10">
        <v>62876</v>
      </c>
      <c r="O288" s="10">
        <v>20153</v>
      </c>
      <c r="P288" s="10">
        <v>83029</v>
      </c>
    </row>
    <row r="289" spans="1:16" ht="27" customHeight="1" x14ac:dyDescent="0.2">
      <c r="A289" s="9" t="s">
        <v>1018</v>
      </c>
      <c r="B289" s="10" t="s">
        <v>1080</v>
      </c>
      <c r="C289" s="11" t="s">
        <v>18</v>
      </c>
      <c r="D289" s="11" t="s">
        <v>19</v>
      </c>
      <c r="E289" s="11" t="s">
        <v>19</v>
      </c>
      <c r="F289" s="11" t="s">
        <v>1081</v>
      </c>
      <c r="G289" s="11" t="s">
        <v>83</v>
      </c>
      <c r="H289" s="11" t="s">
        <v>1081</v>
      </c>
      <c r="I289" s="11" t="s">
        <v>1082</v>
      </c>
      <c r="J289" s="12">
        <v>0.34260000000000002</v>
      </c>
      <c r="K289" s="13">
        <v>2</v>
      </c>
      <c r="L289" s="14">
        <v>108</v>
      </c>
      <c r="M289" s="10">
        <v>37</v>
      </c>
      <c r="N289" s="10">
        <v>11934</v>
      </c>
      <c r="O289" s="10">
        <v>2902</v>
      </c>
      <c r="P289" s="10">
        <v>14836</v>
      </c>
    </row>
    <row r="290" spans="1:16" ht="27" customHeight="1" x14ac:dyDescent="0.2">
      <c r="A290" s="9" t="s">
        <v>1018</v>
      </c>
      <c r="B290" s="10" t="s">
        <v>1083</v>
      </c>
      <c r="C290" s="11" t="s">
        <v>18</v>
      </c>
      <c r="D290" s="11" t="s">
        <v>19</v>
      </c>
      <c r="E290" s="11" t="s">
        <v>19</v>
      </c>
      <c r="F290" s="11" t="s">
        <v>1084</v>
      </c>
      <c r="G290" s="11" t="s">
        <v>83</v>
      </c>
      <c r="H290" s="11" t="s">
        <v>1021</v>
      </c>
      <c r="I290" s="11" t="s">
        <v>1022</v>
      </c>
      <c r="J290" s="12">
        <v>1</v>
      </c>
      <c r="K290" s="13">
        <v>4</v>
      </c>
      <c r="L290" s="14">
        <v>1066</v>
      </c>
      <c r="M290" s="10">
        <v>481</v>
      </c>
      <c r="N290" s="10">
        <v>117794</v>
      </c>
      <c r="O290" s="10">
        <v>37720</v>
      </c>
      <c r="P290" s="10">
        <v>155514</v>
      </c>
    </row>
    <row r="291" spans="1:16" ht="27" customHeight="1" x14ac:dyDescent="0.2">
      <c r="A291" s="9" t="s">
        <v>1018</v>
      </c>
      <c r="B291" s="10" t="s">
        <v>1085</v>
      </c>
      <c r="C291" s="11" t="s">
        <v>18</v>
      </c>
      <c r="D291" s="11" t="s">
        <v>19</v>
      </c>
      <c r="E291" s="11" t="s">
        <v>19</v>
      </c>
      <c r="F291" s="11" t="s">
        <v>1086</v>
      </c>
      <c r="G291" s="11" t="s">
        <v>83</v>
      </c>
      <c r="H291" s="11" t="s">
        <v>1086</v>
      </c>
      <c r="I291" s="11" t="s">
        <v>1087</v>
      </c>
      <c r="J291" s="12">
        <v>0.40529999999999999</v>
      </c>
      <c r="K291" s="13">
        <v>2</v>
      </c>
      <c r="L291" s="14">
        <v>266</v>
      </c>
      <c r="M291" s="10">
        <v>108</v>
      </c>
      <c r="N291" s="10">
        <v>29393</v>
      </c>
      <c r="O291" s="10">
        <v>8469</v>
      </c>
      <c r="P291" s="10">
        <v>37862</v>
      </c>
    </row>
    <row r="292" spans="1:16" ht="27" customHeight="1" x14ac:dyDescent="0.2">
      <c r="A292" s="9" t="s">
        <v>1018</v>
      </c>
      <c r="B292" s="10" t="s">
        <v>1085</v>
      </c>
      <c r="C292" s="11" t="s">
        <v>1088</v>
      </c>
      <c r="D292" s="11" t="s">
        <v>1089</v>
      </c>
      <c r="E292" s="11" t="s">
        <v>57</v>
      </c>
      <c r="F292" s="11" t="s">
        <v>1090</v>
      </c>
      <c r="G292" s="11" t="s">
        <v>28</v>
      </c>
      <c r="H292" s="11" t="s">
        <v>1021</v>
      </c>
      <c r="I292" s="11" t="s">
        <v>1022</v>
      </c>
      <c r="J292" s="12">
        <v>1</v>
      </c>
      <c r="K292" s="13">
        <v>1</v>
      </c>
      <c r="L292" s="14">
        <v>43</v>
      </c>
      <c r="M292" s="10">
        <v>20</v>
      </c>
      <c r="N292" s="10">
        <v>4752</v>
      </c>
      <c r="O292" s="10">
        <v>1568</v>
      </c>
      <c r="P292" s="10">
        <v>6320</v>
      </c>
    </row>
    <row r="293" spans="1:16" ht="27" customHeight="1" x14ac:dyDescent="0.2">
      <c r="A293" s="9" t="s">
        <v>1018</v>
      </c>
      <c r="B293" s="10" t="s">
        <v>1091</v>
      </c>
      <c r="C293" s="11" t="s">
        <v>18</v>
      </c>
      <c r="D293" s="11" t="s">
        <v>19</v>
      </c>
      <c r="E293" s="11" t="s">
        <v>19</v>
      </c>
      <c r="F293" s="11" t="s">
        <v>1092</v>
      </c>
      <c r="G293" s="11" t="s">
        <v>83</v>
      </c>
      <c r="H293" s="11" t="s">
        <v>1092</v>
      </c>
      <c r="I293" s="11" t="s">
        <v>1093</v>
      </c>
      <c r="J293" s="12">
        <v>0.27539999999999998</v>
      </c>
      <c r="K293" s="13">
        <v>2</v>
      </c>
      <c r="L293" s="14">
        <v>69</v>
      </c>
      <c r="M293" s="10">
        <v>19</v>
      </c>
      <c r="N293" s="10">
        <v>7625</v>
      </c>
      <c r="O293" s="10">
        <v>1490</v>
      </c>
      <c r="P293" s="10">
        <v>9115</v>
      </c>
    </row>
    <row r="294" spans="1:16" ht="27" customHeight="1" x14ac:dyDescent="0.2">
      <c r="A294" s="9" t="s">
        <v>1018</v>
      </c>
      <c r="B294" s="10" t="s">
        <v>1094</v>
      </c>
      <c r="C294" s="11" t="s">
        <v>18</v>
      </c>
      <c r="D294" s="11" t="s">
        <v>19</v>
      </c>
      <c r="E294" s="11" t="s">
        <v>19</v>
      </c>
      <c r="F294" s="11" t="s">
        <v>1095</v>
      </c>
      <c r="G294" s="11" t="s">
        <v>83</v>
      </c>
      <c r="H294" s="11" t="s">
        <v>1095</v>
      </c>
      <c r="I294" s="11" t="s">
        <v>1096</v>
      </c>
      <c r="J294" s="12">
        <v>0.71430000000000005</v>
      </c>
      <c r="K294" s="13">
        <v>2</v>
      </c>
      <c r="L294" s="14">
        <v>14</v>
      </c>
      <c r="M294" s="10">
        <v>10</v>
      </c>
      <c r="N294" s="10">
        <v>1547</v>
      </c>
      <c r="O294" s="10">
        <v>784</v>
      </c>
      <c r="P294" s="10">
        <v>2331</v>
      </c>
    </row>
    <row r="295" spans="1:16" ht="27" customHeight="1" x14ac:dyDescent="0.2">
      <c r="A295" s="9" t="s">
        <v>1018</v>
      </c>
      <c r="B295" s="10" t="s">
        <v>1097</v>
      </c>
      <c r="C295" s="11" t="s">
        <v>18</v>
      </c>
      <c r="D295" s="11" t="s">
        <v>19</v>
      </c>
      <c r="E295" s="11" t="s">
        <v>19</v>
      </c>
      <c r="F295" s="11" t="s">
        <v>1098</v>
      </c>
      <c r="G295" s="11" t="s">
        <v>83</v>
      </c>
      <c r="H295" s="11" t="s">
        <v>1098</v>
      </c>
      <c r="I295" s="11" t="s">
        <v>1099</v>
      </c>
      <c r="J295" s="12">
        <v>0.4194</v>
      </c>
      <c r="K295" s="13">
        <v>2</v>
      </c>
      <c r="L295" s="14">
        <v>218</v>
      </c>
      <c r="M295" s="10">
        <v>91</v>
      </c>
      <c r="N295" s="10">
        <v>24090</v>
      </c>
      <c r="O295" s="10">
        <v>7136</v>
      </c>
      <c r="P295" s="10">
        <v>31226</v>
      </c>
    </row>
    <row r="296" spans="1:16" ht="27" customHeight="1" x14ac:dyDescent="0.2">
      <c r="A296" s="9" t="s">
        <v>1018</v>
      </c>
      <c r="B296" s="10" t="s">
        <v>1100</v>
      </c>
      <c r="C296" s="11" t="s">
        <v>18</v>
      </c>
      <c r="D296" s="11" t="s">
        <v>19</v>
      </c>
      <c r="E296" s="11" t="s">
        <v>19</v>
      </c>
      <c r="F296" s="11" t="s">
        <v>1101</v>
      </c>
      <c r="G296" s="11" t="s">
        <v>83</v>
      </c>
      <c r="H296" s="11" t="s">
        <v>1102</v>
      </c>
      <c r="I296" s="11" t="s">
        <v>1103</v>
      </c>
      <c r="J296" s="12">
        <v>0.30070000000000002</v>
      </c>
      <c r="K296" s="13">
        <v>2</v>
      </c>
      <c r="L296" s="14">
        <v>461</v>
      </c>
      <c r="M296" s="10">
        <v>139</v>
      </c>
      <c r="N296" s="10">
        <v>50941</v>
      </c>
      <c r="O296" s="10">
        <v>10900</v>
      </c>
      <c r="P296" s="10">
        <v>61841</v>
      </c>
    </row>
    <row r="297" spans="1:16" ht="27" customHeight="1" x14ac:dyDescent="0.2">
      <c r="A297" s="9" t="s">
        <v>1018</v>
      </c>
      <c r="B297" s="10" t="s">
        <v>1104</v>
      </c>
      <c r="C297" s="11" t="s">
        <v>18</v>
      </c>
      <c r="D297" s="11" t="s">
        <v>19</v>
      </c>
      <c r="E297" s="11" t="s">
        <v>19</v>
      </c>
      <c r="F297" s="11" t="s">
        <v>1105</v>
      </c>
      <c r="G297" s="11" t="s">
        <v>83</v>
      </c>
      <c r="H297" s="11" t="s">
        <v>1106</v>
      </c>
      <c r="I297" s="11" t="s">
        <v>1107</v>
      </c>
      <c r="J297" s="12">
        <v>0.88890000000000002</v>
      </c>
      <c r="K297" s="13">
        <v>8</v>
      </c>
      <c r="L297" s="14">
        <v>968</v>
      </c>
      <c r="M297" s="10">
        <v>726</v>
      </c>
      <c r="N297" s="10">
        <v>106967</v>
      </c>
      <c r="O297" s="10">
        <v>56932</v>
      </c>
      <c r="P297" s="10">
        <v>163899</v>
      </c>
    </row>
    <row r="298" spans="1:16" ht="27" customHeight="1" x14ac:dyDescent="0.2">
      <c r="A298" s="9" t="s">
        <v>1018</v>
      </c>
      <c r="B298" s="10" t="s">
        <v>1108</v>
      </c>
      <c r="C298" s="11" t="s">
        <v>18</v>
      </c>
      <c r="D298" s="11" t="s">
        <v>19</v>
      </c>
      <c r="E298" s="11" t="s">
        <v>19</v>
      </c>
      <c r="F298" s="11" t="s">
        <v>1109</v>
      </c>
      <c r="G298" s="11" t="s">
        <v>83</v>
      </c>
      <c r="H298" s="11" t="s">
        <v>1109</v>
      </c>
      <c r="I298" s="11" t="s">
        <v>1110</v>
      </c>
      <c r="J298" s="12">
        <v>0.5625</v>
      </c>
      <c r="K298" s="13">
        <v>2</v>
      </c>
      <c r="L298" s="14">
        <v>32</v>
      </c>
      <c r="M298" s="10">
        <v>18</v>
      </c>
      <c r="N298" s="10">
        <v>3536</v>
      </c>
      <c r="O298" s="10">
        <v>1412</v>
      </c>
      <c r="P298" s="10">
        <v>4948</v>
      </c>
    </row>
    <row r="299" spans="1:16" ht="27" customHeight="1" x14ac:dyDescent="0.2">
      <c r="A299" s="9" t="s">
        <v>1018</v>
      </c>
      <c r="B299" s="10" t="s">
        <v>1111</v>
      </c>
      <c r="C299" s="11" t="s">
        <v>18</v>
      </c>
      <c r="D299" s="11" t="s">
        <v>19</v>
      </c>
      <c r="E299" s="11" t="s">
        <v>19</v>
      </c>
      <c r="F299" s="11" t="s">
        <v>1112</v>
      </c>
      <c r="G299" s="11" t="s">
        <v>83</v>
      </c>
      <c r="H299" s="11" t="s">
        <v>1113</v>
      </c>
      <c r="I299" s="11" t="s">
        <v>1114</v>
      </c>
      <c r="J299" s="12">
        <v>0.93200000000000005</v>
      </c>
      <c r="K299" s="13">
        <v>2</v>
      </c>
      <c r="L299" s="14">
        <v>106</v>
      </c>
      <c r="M299" s="10">
        <v>99</v>
      </c>
      <c r="N299" s="10">
        <v>11714</v>
      </c>
      <c r="O299" s="10">
        <v>7763</v>
      </c>
      <c r="P299" s="10">
        <v>19477</v>
      </c>
    </row>
    <row r="300" spans="1:16" ht="27" customHeight="1" x14ac:dyDescent="0.2">
      <c r="A300" s="9" t="s">
        <v>1018</v>
      </c>
      <c r="B300" s="10" t="s">
        <v>1115</v>
      </c>
      <c r="C300" s="11" t="s">
        <v>18</v>
      </c>
      <c r="D300" s="11" t="s">
        <v>19</v>
      </c>
      <c r="E300" s="11" t="s">
        <v>19</v>
      </c>
      <c r="F300" s="11" t="s">
        <v>1116</v>
      </c>
      <c r="G300" s="11" t="s">
        <v>83</v>
      </c>
      <c r="H300" s="11" t="s">
        <v>1116</v>
      </c>
      <c r="I300" s="11" t="s">
        <v>1117</v>
      </c>
      <c r="J300" s="12">
        <v>0.66669999999999996</v>
      </c>
      <c r="K300" s="13">
        <v>2</v>
      </c>
      <c r="L300" s="14">
        <v>6</v>
      </c>
      <c r="M300" s="10">
        <v>4</v>
      </c>
      <c r="N300" s="10">
        <v>663</v>
      </c>
      <c r="O300" s="10">
        <v>314</v>
      </c>
      <c r="P300" s="10">
        <v>977</v>
      </c>
    </row>
    <row r="301" spans="1:16" ht="27" customHeight="1" x14ac:dyDescent="0.2">
      <c r="A301" s="9" t="s">
        <v>1018</v>
      </c>
      <c r="B301" s="10" t="s">
        <v>1118</v>
      </c>
      <c r="C301" s="11" t="s">
        <v>18</v>
      </c>
      <c r="D301" s="11" t="s">
        <v>19</v>
      </c>
      <c r="E301" s="11" t="s">
        <v>19</v>
      </c>
      <c r="F301" s="11" t="s">
        <v>1119</v>
      </c>
      <c r="G301" s="11" t="s">
        <v>83</v>
      </c>
      <c r="H301" s="11" t="s">
        <v>1120</v>
      </c>
      <c r="I301" s="11" t="s">
        <v>1121</v>
      </c>
      <c r="J301" s="12">
        <v>0.67749999999999999</v>
      </c>
      <c r="K301" s="13">
        <v>4</v>
      </c>
      <c r="L301" s="14">
        <v>942</v>
      </c>
      <c r="M301" s="10">
        <v>562</v>
      </c>
      <c r="N301" s="10">
        <v>104092</v>
      </c>
      <c r="O301" s="10">
        <v>44071</v>
      </c>
      <c r="P301" s="10">
        <v>148163</v>
      </c>
    </row>
    <row r="302" spans="1:16" ht="27" customHeight="1" x14ac:dyDescent="0.2">
      <c r="A302" s="9" t="s">
        <v>1018</v>
      </c>
      <c r="B302" s="10" t="s">
        <v>1122</v>
      </c>
      <c r="C302" s="11" t="s">
        <v>18</v>
      </c>
      <c r="D302" s="11" t="s">
        <v>19</v>
      </c>
      <c r="E302" s="11" t="s">
        <v>19</v>
      </c>
      <c r="F302" s="11" t="s">
        <v>1021</v>
      </c>
      <c r="G302" s="11" t="s">
        <v>83</v>
      </c>
      <c r="H302" s="11" t="s">
        <v>1021</v>
      </c>
      <c r="I302" s="11" t="s">
        <v>1022</v>
      </c>
      <c r="J302" s="12">
        <v>1</v>
      </c>
      <c r="K302" s="13">
        <v>2</v>
      </c>
      <c r="L302" s="14">
        <v>10</v>
      </c>
      <c r="M302" s="10">
        <v>10</v>
      </c>
      <c r="N302" s="10">
        <v>1105</v>
      </c>
      <c r="O302" s="10">
        <v>784</v>
      </c>
      <c r="P302" s="10">
        <v>1889</v>
      </c>
    </row>
    <row r="303" spans="1:16" ht="27" customHeight="1" x14ac:dyDescent="0.2">
      <c r="A303" s="9" t="s">
        <v>1018</v>
      </c>
      <c r="B303" s="10" t="s">
        <v>1123</v>
      </c>
      <c r="C303" s="11" t="s">
        <v>18</v>
      </c>
      <c r="D303" s="11" t="s">
        <v>19</v>
      </c>
      <c r="E303" s="11" t="s">
        <v>19</v>
      </c>
      <c r="F303" s="11" t="s">
        <v>881</v>
      </c>
      <c r="G303" s="11" t="s">
        <v>83</v>
      </c>
      <c r="H303" s="11" t="s">
        <v>881</v>
      </c>
      <c r="I303" s="11" t="s">
        <v>1124</v>
      </c>
      <c r="J303" s="12">
        <v>0.51770000000000005</v>
      </c>
      <c r="K303" s="13">
        <v>2</v>
      </c>
      <c r="L303" s="14">
        <v>545</v>
      </c>
      <c r="M303" s="10">
        <v>282</v>
      </c>
      <c r="N303" s="10">
        <v>60223</v>
      </c>
      <c r="O303" s="10">
        <v>22114</v>
      </c>
      <c r="P303" s="10">
        <v>82337</v>
      </c>
    </row>
    <row r="304" spans="1:16" ht="27" customHeight="1" x14ac:dyDescent="0.2">
      <c r="A304" s="9" t="s">
        <v>1018</v>
      </c>
      <c r="B304" s="10" t="s">
        <v>1123</v>
      </c>
      <c r="C304" s="11" t="s">
        <v>1125</v>
      </c>
      <c r="D304" s="11" t="s">
        <v>1126</v>
      </c>
      <c r="E304" s="11" t="s">
        <v>26</v>
      </c>
      <c r="F304" s="11" t="s">
        <v>1127</v>
      </c>
      <c r="G304" s="11" t="s">
        <v>28</v>
      </c>
      <c r="H304" s="11" t="s">
        <v>1127</v>
      </c>
      <c r="I304" s="11" t="s">
        <v>1128</v>
      </c>
      <c r="J304" s="12">
        <v>0.76470000000000005</v>
      </c>
      <c r="K304" s="13">
        <v>1</v>
      </c>
      <c r="L304" s="14">
        <v>34</v>
      </c>
      <c r="M304" s="10">
        <v>26</v>
      </c>
      <c r="N304" s="10">
        <v>3757</v>
      </c>
      <c r="O304" s="10">
        <v>2039</v>
      </c>
      <c r="P304" s="10">
        <v>5796</v>
      </c>
    </row>
    <row r="305" spans="1:16" ht="27" customHeight="1" x14ac:dyDescent="0.2">
      <c r="A305" s="9" t="s">
        <v>1018</v>
      </c>
      <c r="B305" s="10" t="s">
        <v>1129</v>
      </c>
      <c r="C305" s="11" t="s">
        <v>18</v>
      </c>
      <c r="D305" s="11" t="s">
        <v>19</v>
      </c>
      <c r="E305" s="11" t="s">
        <v>19</v>
      </c>
      <c r="F305" s="11" t="s">
        <v>1130</v>
      </c>
      <c r="G305" s="11" t="s">
        <v>83</v>
      </c>
      <c r="H305" s="11" t="s">
        <v>1130</v>
      </c>
      <c r="I305" s="11" t="s">
        <v>1131</v>
      </c>
      <c r="J305" s="12">
        <v>0.82050000000000001</v>
      </c>
      <c r="K305" s="13">
        <v>2</v>
      </c>
      <c r="L305" s="14">
        <v>79</v>
      </c>
      <c r="M305" s="10">
        <v>65</v>
      </c>
      <c r="N305" s="10">
        <v>8730</v>
      </c>
      <c r="O305" s="10">
        <v>5097</v>
      </c>
      <c r="P305" s="10">
        <v>13827</v>
      </c>
    </row>
    <row r="306" spans="1:16" ht="27" customHeight="1" x14ac:dyDescent="0.2">
      <c r="A306" s="9" t="s">
        <v>1018</v>
      </c>
      <c r="B306" s="10" t="s">
        <v>1132</v>
      </c>
      <c r="C306" s="11" t="s">
        <v>18</v>
      </c>
      <c r="D306" s="11" t="s">
        <v>19</v>
      </c>
      <c r="E306" s="11" t="s">
        <v>19</v>
      </c>
      <c r="F306" s="11" t="s">
        <v>1133</v>
      </c>
      <c r="G306" s="11" t="s">
        <v>83</v>
      </c>
      <c r="H306" s="11" t="s">
        <v>1134</v>
      </c>
      <c r="I306" s="11" t="s">
        <v>1135</v>
      </c>
      <c r="J306" s="12">
        <v>0.76690000000000003</v>
      </c>
      <c r="K306" s="13">
        <v>3</v>
      </c>
      <c r="L306" s="14">
        <v>343</v>
      </c>
      <c r="M306" s="10">
        <v>263</v>
      </c>
      <c r="N306" s="10">
        <v>37902</v>
      </c>
      <c r="O306" s="10">
        <v>20624</v>
      </c>
      <c r="P306" s="10">
        <v>58526</v>
      </c>
    </row>
    <row r="307" spans="1:16" ht="27" customHeight="1" x14ac:dyDescent="0.2">
      <c r="A307" s="9" t="s">
        <v>1018</v>
      </c>
      <c r="B307" s="10" t="s">
        <v>1136</v>
      </c>
      <c r="C307" s="11" t="s">
        <v>18</v>
      </c>
      <c r="D307" s="11" t="s">
        <v>19</v>
      </c>
      <c r="E307" s="11" t="s">
        <v>19</v>
      </c>
      <c r="F307" s="11" t="s">
        <v>1137</v>
      </c>
      <c r="G307" s="11" t="s">
        <v>83</v>
      </c>
      <c r="H307" s="11" t="s">
        <v>1138</v>
      </c>
      <c r="I307" s="11" t="s">
        <v>1139</v>
      </c>
      <c r="J307" s="12">
        <v>0.72529999999999994</v>
      </c>
      <c r="K307" s="13">
        <v>2</v>
      </c>
      <c r="L307" s="14">
        <v>182</v>
      </c>
      <c r="M307" s="10">
        <v>132</v>
      </c>
      <c r="N307" s="10">
        <v>20111</v>
      </c>
      <c r="O307" s="10">
        <v>10351</v>
      </c>
      <c r="P307" s="10">
        <v>30462</v>
      </c>
    </row>
    <row r="308" spans="1:16" ht="27" customHeight="1" x14ac:dyDescent="0.2">
      <c r="A308" s="9" t="s">
        <v>1018</v>
      </c>
      <c r="B308" s="10" t="s">
        <v>1140</v>
      </c>
      <c r="C308" s="11" t="s">
        <v>18</v>
      </c>
      <c r="D308" s="11" t="s">
        <v>19</v>
      </c>
      <c r="E308" s="11" t="s">
        <v>19</v>
      </c>
      <c r="F308" s="11" t="s">
        <v>1141</v>
      </c>
      <c r="G308" s="11" t="s">
        <v>83</v>
      </c>
      <c r="H308" s="11" t="s">
        <v>1142</v>
      </c>
      <c r="I308" s="11" t="s">
        <v>1143</v>
      </c>
      <c r="J308" s="12">
        <v>0.75590000000000002</v>
      </c>
      <c r="K308" s="13">
        <v>3</v>
      </c>
      <c r="L308" s="14">
        <v>353</v>
      </c>
      <c r="M308" s="10">
        <v>261</v>
      </c>
      <c r="N308" s="10">
        <v>39008</v>
      </c>
      <c r="O308" s="10">
        <v>20467</v>
      </c>
      <c r="P308" s="10">
        <v>59475</v>
      </c>
    </row>
    <row r="309" spans="1:16" ht="27" customHeight="1" x14ac:dyDescent="0.2">
      <c r="A309" s="9" t="s">
        <v>1018</v>
      </c>
      <c r="B309" s="10" t="s">
        <v>1140</v>
      </c>
      <c r="C309" s="11" t="s">
        <v>1144</v>
      </c>
      <c r="D309" s="11" t="s">
        <v>1145</v>
      </c>
      <c r="E309" s="11" t="s">
        <v>26</v>
      </c>
      <c r="F309" s="11" t="s">
        <v>1146</v>
      </c>
      <c r="G309" s="11" t="s">
        <v>28</v>
      </c>
      <c r="H309" s="11" t="s">
        <v>1146</v>
      </c>
      <c r="I309" s="11" t="s">
        <v>1147</v>
      </c>
      <c r="J309" s="12">
        <v>0.70630000000000004</v>
      </c>
      <c r="K309" s="13">
        <v>1</v>
      </c>
      <c r="L309" s="14">
        <v>429</v>
      </c>
      <c r="M309" s="10">
        <v>303</v>
      </c>
      <c r="N309" s="10">
        <v>47405</v>
      </c>
      <c r="O309" s="10">
        <v>23761</v>
      </c>
      <c r="P309" s="10">
        <v>71166</v>
      </c>
    </row>
    <row r="310" spans="1:16" ht="27" customHeight="1" x14ac:dyDescent="0.2">
      <c r="A310" s="9" t="s">
        <v>1018</v>
      </c>
      <c r="B310" s="10" t="s">
        <v>1140</v>
      </c>
      <c r="C310" s="11" t="s">
        <v>1148</v>
      </c>
      <c r="D310" s="11" t="s">
        <v>1149</v>
      </c>
      <c r="E310" s="11" t="s">
        <v>57</v>
      </c>
      <c r="F310" s="11" t="s">
        <v>1150</v>
      </c>
      <c r="G310" s="11" t="s">
        <v>28</v>
      </c>
      <c r="H310" s="11" t="s">
        <v>1150</v>
      </c>
      <c r="I310" s="11" t="s">
        <v>1151</v>
      </c>
      <c r="J310" s="12">
        <v>0.72599999999999998</v>
      </c>
      <c r="K310" s="13">
        <v>1</v>
      </c>
      <c r="L310" s="14">
        <v>73</v>
      </c>
      <c r="M310" s="10">
        <v>53</v>
      </c>
      <c r="N310" s="10">
        <v>8067</v>
      </c>
      <c r="O310" s="10">
        <v>4156</v>
      </c>
      <c r="P310" s="10">
        <v>12223</v>
      </c>
    </row>
    <row r="311" spans="1:16" ht="27" customHeight="1" x14ac:dyDescent="0.2">
      <c r="A311" s="9" t="s">
        <v>1018</v>
      </c>
      <c r="B311" s="10" t="s">
        <v>1152</v>
      </c>
      <c r="C311" s="11" t="s">
        <v>18</v>
      </c>
      <c r="D311" s="11" t="s">
        <v>19</v>
      </c>
      <c r="E311" s="11" t="s">
        <v>19</v>
      </c>
      <c r="F311" s="11" t="s">
        <v>1153</v>
      </c>
      <c r="G311" s="11" t="s">
        <v>83</v>
      </c>
      <c r="H311" s="11" t="s">
        <v>1154</v>
      </c>
      <c r="I311" s="11" t="s">
        <v>1155</v>
      </c>
      <c r="J311" s="12">
        <v>1</v>
      </c>
      <c r="K311" s="13">
        <v>9</v>
      </c>
      <c r="L311" s="14">
        <v>711</v>
      </c>
      <c r="M311" s="10">
        <v>459</v>
      </c>
      <c r="N311" s="10">
        <v>78568</v>
      </c>
      <c r="O311" s="10">
        <v>35994</v>
      </c>
      <c r="P311" s="10">
        <v>114562</v>
      </c>
    </row>
    <row r="312" spans="1:16" ht="27" customHeight="1" x14ac:dyDescent="0.2">
      <c r="A312" s="9" t="s">
        <v>1018</v>
      </c>
      <c r="B312" s="10" t="s">
        <v>1156</v>
      </c>
      <c r="C312" s="11" t="s">
        <v>18</v>
      </c>
      <c r="D312" s="11" t="s">
        <v>19</v>
      </c>
      <c r="E312" s="11" t="s">
        <v>19</v>
      </c>
      <c r="F312" s="11" t="s">
        <v>1157</v>
      </c>
      <c r="G312" s="11" t="s">
        <v>83</v>
      </c>
      <c r="H312" s="11" t="s">
        <v>1158</v>
      </c>
      <c r="I312" s="11" t="s">
        <v>1159</v>
      </c>
      <c r="J312" s="12">
        <v>0.62719999999999998</v>
      </c>
      <c r="K312" s="13">
        <v>2</v>
      </c>
      <c r="L312" s="14">
        <v>170</v>
      </c>
      <c r="M312" s="10">
        <v>107</v>
      </c>
      <c r="N312" s="10">
        <v>18785</v>
      </c>
      <c r="O312" s="10">
        <v>8391</v>
      </c>
      <c r="P312" s="10">
        <v>27176</v>
      </c>
    </row>
    <row r="313" spans="1:16" ht="27" customHeight="1" x14ac:dyDescent="0.2">
      <c r="A313" s="9" t="s">
        <v>1018</v>
      </c>
      <c r="B313" s="10" t="s">
        <v>1160</v>
      </c>
      <c r="C313" s="11" t="s">
        <v>18</v>
      </c>
      <c r="D313" s="11" t="s">
        <v>19</v>
      </c>
      <c r="E313" s="11" t="s">
        <v>19</v>
      </c>
      <c r="F313" s="11" t="s">
        <v>1161</v>
      </c>
      <c r="G313" s="11" t="s">
        <v>83</v>
      </c>
      <c r="H313" s="11" t="s">
        <v>1162</v>
      </c>
      <c r="I313" s="11" t="s">
        <v>1163</v>
      </c>
      <c r="J313" s="12">
        <v>0.48549999999999999</v>
      </c>
      <c r="K313" s="13">
        <v>3</v>
      </c>
      <c r="L313" s="14">
        <v>469</v>
      </c>
      <c r="M313" s="10">
        <v>230</v>
      </c>
      <c r="N313" s="10">
        <v>51826</v>
      </c>
      <c r="O313" s="10">
        <v>18036</v>
      </c>
      <c r="P313" s="10">
        <v>69862</v>
      </c>
    </row>
    <row r="314" spans="1:16" ht="27" customHeight="1" x14ac:dyDescent="0.2">
      <c r="A314" s="9" t="s">
        <v>1018</v>
      </c>
      <c r="B314" s="10" t="s">
        <v>1164</v>
      </c>
      <c r="C314" s="11" t="s">
        <v>18</v>
      </c>
      <c r="D314" s="11" t="s">
        <v>19</v>
      </c>
      <c r="E314" s="11" t="s">
        <v>19</v>
      </c>
      <c r="F314" s="11" t="s">
        <v>1165</v>
      </c>
      <c r="G314" s="11" t="s">
        <v>83</v>
      </c>
      <c r="H314" s="11" t="s">
        <v>1166</v>
      </c>
      <c r="I314" s="11" t="s">
        <v>1167</v>
      </c>
      <c r="J314" s="12">
        <v>0.2</v>
      </c>
      <c r="K314" s="13">
        <v>4</v>
      </c>
      <c r="L314" s="14">
        <v>34</v>
      </c>
      <c r="M314" s="10">
        <v>8</v>
      </c>
      <c r="N314" s="10">
        <v>3758</v>
      </c>
      <c r="O314" s="10">
        <v>627</v>
      </c>
      <c r="P314" s="10">
        <v>4385</v>
      </c>
    </row>
    <row r="315" spans="1:16" ht="27" customHeight="1" x14ac:dyDescent="0.2">
      <c r="A315" s="9" t="s">
        <v>1018</v>
      </c>
      <c r="B315" s="10" t="s">
        <v>1168</v>
      </c>
      <c r="C315" s="11" t="s">
        <v>18</v>
      </c>
      <c r="D315" s="11" t="s">
        <v>19</v>
      </c>
      <c r="E315" s="11" t="s">
        <v>19</v>
      </c>
      <c r="F315" s="11" t="s">
        <v>1169</v>
      </c>
      <c r="G315" s="11" t="s">
        <v>83</v>
      </c>
      <c r="H315" s="11" t="s">
        <v>1170</v>
      </c>
      <c r="I315" s="11" t="s">
        <v>1171</v>
      </c>
      <c r="J315" s="12">
        <v>0.90310000000000001</v>
      </c>
      <c r="K315" s="13">
        <v>9</v>
      </c>
      <c r="L315" s="14">
        <v>3681</v>
      </c>
      <c r="M315" s="10">
        <v>2656</v>
      </c>
      <c r="N315" s="10">
        <v>406758</v>
      </c>
      <c r="O315" s="10">
        <v>208280</v>
      </c>
      <c r="P315" s="10">
        <v>615038</v>
      </c>
    </row>
    <row r="316" spans="1:16" ht="27" customHeight="1" x14ac:dyDescent="0.2">
      <c r="A316" s="9" t="s">
        <v>1018</v>
      </c>
      <c r="B316" s="10" t="s">
        <v>1168</v>
      </c>
      <c r="C316" s="11" t="s">
        <v>1172</v>
      </c>
      <c r="D316" s="11" t="s">
        <v>1173</v>
      </c>
      <c r="E316" s="11" t="s">
        <v>26</v>
      </c>
      <c r="F316" s="11" t="s">
        <v>1174</v>
      </c>
      <c r="G316" s="11" t="s">
        <v>28</v>
      </c>
      <c r="H316" s="11" t="s">
        <v>1174</v>
      </c>
      <c r="I316" s="11" t="s">
        <v>1175</v>
      </c>
      <c r="J316" s="12">
        <v>0.79139999999999999</v>
      </c>
      <c r="K316" s="13">
        <v>1</v>
      </c>
      <c r="L316" s="14">
        <v>139</v>
      </c>
      <c r="M316" s="10">
        <v>110</v>
      </c>
      <c r="N316" s="10">
        <v>15360</v>
      </c>
      <c r="O316" s="10">
        <v>8626</v>
      </c>
      <c r="P316" s="10">
        <v>23986</v>
      </c>
    </row>
    <row r="317" spans="1:16" ht="27" customHeight="1" x14ac:dyDescent="0.2">
      <c r="A317" s="9" t="s">
        <v>1018</v>
      </c>
      <c r="B317" s="10" t="s">
        <v>1176</v>
      </c>
      <c r="C317" s="11" t="s">
        <v>18</v>
      </c>
      <c r="D317" s="11" t="s">
        <v>19</v>
      </c>
      <c r="E317" s="11" t="s">
        <v>19</v>
      </c>
      <c r="F317" s="11" t="s">
        <v>1177</v>
      </c>
      <c r="G317" s="11" t="s">
        <v>83</v>
      </c>
      <c r="H317" s="11" t="s">
        <v>1178</v>
      </c>
      <c r="I317" s="11" t="s">
        <v>1179</v>
      </c>
      <c r="J317" s="12">
        <v>0.82310000000000005</v>
      </c>
      <c r="K317" s="13">
        <v>5</v>
      </c>
      <c r="L317" s="14">
        <v>1118</v>
      </c>
      <c r="M317" s="10">
        <v>899</v>
      </c>
      <c r="N317" s="10">
        <v>123541</v>
      </c>
      <c r="O317" s="10">
        <v>70499</v>
      </c>
      <c r="P317" s="10">
        <v>194040</v>
      </c>
    </row>
    <row r="318" spans="1:16" ht="27" customHeight="1" x14ac:dyDescent="0.2">
      <c r="A318" s="9" t="s">
        <v>1018</v>
      </c>
      <c r="B318" s="10" t="s">
        <v>1176</v>
      </c>
      <c r="C318" s="11" t="s">
        <v>1180</v>
      </c>
      <c r="D318" s="11" t="s">
        <v>1181</v>
      </c>
      <c r="E318" s="11" t="s">
        <v>26</v>
      </c>
      <c r="F318" s="11" t="s">
        <v>1182</v>
      </c>
      <c r="G318" s="11" t="s">
        <v>28</v>
      </c>
      <c r="H318" s="11" t="s">
        <v>1182</v>
      </c>
      <c r="I318" s="11" t="s">
        <v>1183</v>
      </c>
      <c r="J318" s="12">
        <v>0.39729999999999999</v>
      </c>
      <c r="K318" s="13">
        <v>1</v>
      </c>
      <c r="L318" s="14">
        <v>219</v>
      </c>
      <c r="M318" s="10">
        <v>87</v>
      </c>
      <c r="N318" s="10">
        <v>24200</v>
      </c>
      <c r="O318" s="10">
        <v>6822</v>
      </c>
      <c r="P318" s="10">
        <v>31022</v>
      </c>
    </row>
    <row r="319" spans="1:16" ht="27" customHeight="1" x14ac:dyDescent="0.2">
      <c r="A319" s="9" t="s">
        <v>1184</v>
      </c>
      <c r="B319" s="10" t="s">
        <v>1185</v>
      </c>
      <c r="C319" s="11" t="s">
        <v>18</v>
      </c>
      <c r="D319" s="11" t="s">
        <v>19</v>
      </c>
      <c r="E319" s="11" t="s">
        <v>19</v>
      </c>
      <c r="F319" s="11" t="s">
        <v>1186</v>
      </c>
      <c r="G319" s="11" t="s">
        <v>21</v>
      </c>
      <c r="H319" s="11" t="s">
        <v>1187</v>
      </c>
      <c r="I319" s="11" t="s">
        <v>1188</v>
      </c>
      <c r="J319" s="12">
        <v>0.96</v>
      </c>
      <c r="K319" s="13">
        <v>4</v>
      </c>
      <c r="L319" s="14">
        <v>1128</v>
      </c>
      <c r="M319" s="10">
        <v>894</v>
      </c>
      <c r="N319" s="10">
        <v>124646</v>
      </c>
      <c r="O319" s="10">
        <v>70107</v>
      </c>
      <c r="P319" s="10">
        <v>194753</v>
      </c>
    </row>
    <row r="320" spans="1:16" ht="27" customHeight="1" x14ac:dyDescent="0.2">
      <c r="A320" s="9" t="s">
        <v>1184</v>
      </c>
      <c r="B320" s="10" t="s">
        <v>1185</v>
      </c>
      <c r="C320" s="11" t="s">
        <v>1189</v>
      </c>
      <c r="D320" s="11" t="s">
        <v>1190</v>
      </c>
      <c r="E320" s="11" t="s">
        <v>57</v>
      </c>
      <c r="F320" s="11" t="s">
        <v>1191</v>
      </c>
      <c r="G320" s="11" t="s">
        <v>28</v>
      </c>
      <c r="H320" s="11" t="s">
        <v>1187</v>
      </c>
      <c r="I320" s="11" t="s">
        <v>1188</v>
      </c>
      <c r="J320" s="12">
        <v>0.96</v>
      </c>
      <c r="K320" s="13">
        <v>1</v>
      </c>
      <c r="L320" s="14">
        <v>206</v>
      </c>
      <c r="M320" s="10">
        <v>196</v>
      </c>
      <c r="N320" s="10">
        <v>22763</v>
      </c>
      <c r="O320" s="10">
        <v>15370</v>
      </c>
      <c r="P320" s="10">
        <v>38133</v>
      </c>
    </row>
    <row r="321" spans="1:16" ht="27" customHeight="1" x14ac:dyDescent="0.2">
      <c r="A321" s="9" t="s">
        <v>1184</v>
      </c>
      <c r="B321" s="10" t="s">
        <v>1192</v>
      </c>
      <c r="C321" s="11" t="s">
        <v>18</v>
      </c>
      <c r="D321" s="11" t="s">
        <v>19</v>
      </c>
      <c r="E321" s="11" t="s">
        <v>19</v>
      </c>
      <c r="F321" s="11" t="s">
        <v>1193</v>
      </c>
      <c r="G321" s="11" t="s">
        <v>83</v>
      </c>
      <c r="H321" s="11" t="s">
        <v>1194</v>
      </c>
      <c r="I321" s="11" t="s">
        <v>1195</v>
      </c>
      <c r="J321" s="12">
        <v>0.92569999999999997</v>
      </c>
      <c r="K321" s="13">
        <v>6</v>
      </c>
      <c r="L321" s="14">
        <v>3911</v>
      </c>
      <c r="M321" s="10">
        <v>3307</v>
      </c>
      <c r="N321" s="10">
        <v>432171</v>
      </c>
      <c r="O321" s="10">
        <v>259331</v>
      </c>
      <c r="P321" s="10">
        <v>691502</v>
      </c>
    </row>
    <row r="322" spans="1:16" ht="27" customHeight="1" x14ac:dyDescent="0.2">
      <c r="A322" s="9" t="s">
        <v>1184</v>
      </c>
      <c r="B322" s="10" t="s">
        <v>1196</v>
      </c>
      <c r="C322" s="11" t="s">
        <v>18</v>
      </c>
      <c r="D322" s="11" t="s">
        <v>19</v>
      </c>
      <c r="E322" s="11" t="s">
        <v>19</v>
      </c>
      <c r="F322" s="11" t="s">
        <v>1197</v>
      </c>
      <c r="G322" s="11" t="s">
        <v>83</v>
      </c>
      <c r="H322" s="11" t="s">
        <v>1187</v>
      </c>
      <c r="I322" s="11" t="s">
        <v>1188</v>
      </c>
      <c r="J322" s="12">
        <v>0.96</v>
      </c>
      <c r="K322" s="13">
        <v>4</v>
      </c>
      <c r="L322" s="14">
        <v>2055</v>
      </c>
      <c r="M322" s="10">
        <v>1483</v>
      </c>
      <c r="N322" s="10">
        <v>227081</v>
      </c>
      <c r="O322" s="10">
        <v>116295</v>
      </c>
      <c r="P322" s="10">
        <v>343376</v>
      </c>
    </row>
    <row r="323" spans="1:16" ht="27" customHeight="1" x14ac:dyDescent="0.2">
      <c r="A323" s="9" t="s">
        <v>1184</v>
      </c>
      <c r="B323" s="10" t="s">
        <v>1198</v>
      </c>
      <c r="C323" s="11" t="s">
        <v>18</v>
      </c>
      <c r="D323" s="11" t="s">
        <v>19</v>
      </c>
      <c r="E323" s="11" t="s">
        <v>19</v>
      </c>
      <c r="F323" s="11" t="s">
        <v>1199</v>
      </c>
      <c r="G323" s="11" t="s">
        <v>83</v>
      </c>
      <c r="H323" s="11" t="s">
        <v>1200</v>
      </c>
      <c r="I323" s="11" t="s">
        <v>1201</v>
      </c>
      <c r="J323" s="12">
        <v>0.95340000000000003</v>
      </c>
      <c r="K323" s="13">
        <v>13</v>
      </c>
      <c r="L323" s="14">
        <v>8455</v>
      </c>
      <c r="M323" s="10">
        <v>7255</v>
      </c>
      <c r="N323" s="10">
        <v>934294</v>
      </c>
      <c r="O323" s="10">
        <v>568932</v>
      </c>
      <c r="P323" s="10">
        <v>1503226</v>
      </c>
    </row>
    <row r="324" spans="1:16" ht="27" customHeight="1" x14ac:dyDescent="0.2">
      <c r="A324" s="9" t="s">
        <v>1184</v>
      </c>
      <c r="B324" s="10" t="s">
        <v>1202</v>
      </c>
      <c r="C324" s="11" t="s">
        <v>18</v>
      </c>
      <c r="D324" s="11" t="s">
        <v>19</v>
      </c>
      <c r="E324" s="11" t="s">
        <v>19</v>
      </c>
      <c r="F324" s="11" t="s">
        <v>1203</v>
      </c>
      <c r="G324" s="11" t="s">
        <v>83</v>
      </c>
      <c r="H324" s="11" t="s">
        <v>1187</v>
      </c>
      <c r="I324" s="11" t="s">
        <v>1188</v>
      </c>
      <c r="J324" s="12">
        <v>0.96</v>
      </c>
      <c r="K324" s="13">
        <v>5</v>
      </c>
      <c r="L324" s="14">
        <v>1175</v>
      </c>
      <c r="M324" s="10">
        <v>1027</v>
      </c>
      <c r="N324" s="10">
        <v>129840</v>
      </c>
      <c r="O324" s="10">
        <v>80535</v>
      </c>
      <c r="P324" s="10">
        <v>210375</v>
      </c>
    </row>
    <row r="325" spans="1:16" ht="27" customHeight="1" x14ac:dyDescent="0.2">
      <c r="A325" s="9" t="s">
        <v>1184</v>
      </c>
      <c r="B325" s="10" t="s">
        <v>1204</v>
      </c>
      <c r="C325" s="11" t="s">
        <v>18</v>
      </c>
      <c r="D325" s="11" t="s">
        <v>19</v>
      </c>
      <c r="E325" s="11" t="s">
        <v>19</v>
      </c>
      <c r="F325" s="11" t="s">
        <v>1205</v>
      </c>
      <c r="G325" s="11" t="s">
        <v>83</v>
      </c>
      <c r="H325" s="11" t="s">
        <v>1187</v>
      </c>
      <c r="I325" s="11" t="s">
        <v>1188</v>
      </c>
      <c r="J325" s="12">
        <v>0.96</v>
      </c>
      <c r="K325" s="13">
        <v>6</v>
      </c>
      <c r="L325" s="14">
        <v>4093</v>
      </c>
      <c r="M325" s="10">
        <v>3137</v>
      </c>
      <c r="N325" s="10">
        <v>452284</v>
      </c>
      <c r="O325" s="10">
        <v>246000</v>
      </c>
      <c r="P325" s="10">
        <v>698284</v>
      </c>
    </row>
    <row r="326" spans="1:16" ht="27" customHeight="1" x14ac:dyDescent="0.2">
      <c r="A326" s="9" t="s">
        <v>1184</v>
      </c>
      <c r="B326" s="10" t="s">
        <v>1206</v>
      </c>
      <c r="C326" s="11" t="s">
        <v>18</v>
      </c>
      <c r="D326" s="11" t="s">
        <v>19</v>
      </c>
      <c r="E326" s="11" t="s">
        <v>19</v>
      </c>
      <c r="F326" s="11" t="s">
        <v>1207</v>
      </c>
      <c r="G326" s="11" t="s">
        <v>83</v>
      </c>
      <c r="H326" s="11" t="s">
        <v>1208</v>
      </c>
      <c r="I326" s="11" t="s">
        <v>1209</v>
      </c>
      <c r="J326" s="12">
        <v>0.89080000000000004</v>
      </c>
      <c r="K326" s="13">
        <v>13</v>
      </c>
      <c r="L326" s="14">
        <v>5184</v>
      </c>
      <c r="M326" s="10">
        <v>4139</v>
      </c>
      <c r="N326" s="10">
        <v>572840</v>
      </c>
      <c r="O326" s="10">
        <v>324575</v>
      </c>
      <c r="P326" s="10">
        <v>897415</v>
      </c>
    </row>
    <row r="327" spans="1:16" ht="27" customHeight="1" x14ac:dyDescent="0.2">
      <c r="A327" s="9" t="s">
        <v>1184</v>
      </c>
      <c r="B327" s="10" t="s">
        <v>1206</v>
      </c>
      <c r="C327" s="11" t="s">
        <v>1210</v>
      </c>
      <c r="D327" s="11" t="s">
        <v>1211</v>
      </c>
      <c r="E327" s="11" t="s">
        <v>26</v>
      </c>
      <c r="F327" s="11" t="s">
        <v>1212</v>
      </c>
      <c r="G327" s="11" t="s">
        <v>28</v>
      </c>
      <c r="H327" s="11" t="s">
        <v>1212</v>
      </c>
      <c r="I327" s="11" t="s">
        <v>1213</v>
      </c>
      <c r="J327" s="12">
        <v>0.74790000000000001</v>
      </c>
      <c r="K327" s="13">
        <v>1</v>
      </c>
      <c r="L327" s="14">
        <v>238</v>
      </c>
      <c r="M327" s="10">
        <v>178</v>
      </c>
      <c r="N327" s="10">
        <v>26299</v>
      </c>
      <c r="O327" s="10">
        <v>13959</v>
      </c>
      <c r="P327" s="10">
        <v>40258</v>
      </c>
    </row>
    <row r="328" spans="1:16" ht="27" customHeight="1" x14ac:dyDescent="0.2">
      <c r="A328" s="9" t="s">
        <v>1184</v>
      </c>
      <c r="B328" s="10" t="s">
        <v>1206</v>
      </c>
      <c r="C328" s="11" t="s">
        <v>1214</v>
      </c>
      <c r="D328" s="11" t="s">
        <v>1215</v>
      </c>
      <c r="E328" s="11" t="s">
        <v>57</v>
      </c>
      <c r="F328" s="11" t="s">
        <v>1216</v>
      </c>
      <c r="G328" s="11" t="s">
        <v>28</v>
      </c>
      <c r="H328" s="11" t="s">
        <v>1216</v>
      </c>
      <c r="I328" s="11" t="s">
        <v>1217</v>
      </c>
      <c r="J328" s="12">
        <v>0.51849999999999996</v>
      </c>
      <c r="K328" s="13">
        <v>1</v>
      </c>
      <c r="L328" s="14">
        <v>135</v>
      </c>
      <c r="M328" s="10">
        <v>70</v>
      </c>
      <c r="N328" s="10">
        <v>14918</v>
      </c>
      <c r="O328" s="10">
        <v>5489</v>
      </c>
      <c r="P328" s="10">
        <v>20407</v>
      </c>
    </row>
    <row r="329" spans="1:16" ht="27" customHeight="1" x14ac:dyDescent="0.2">
      <c r="A329" s="9" t="s">
        <v>1184</v>
      </c>
      <c r="B329" s="10" t="s">
        <v>1218</v>
      </c>
      <c r="C329" s="11" t="s">
        <v>18</v>
      </c>
      <c r="D329" s="11" t="s">
        <v>19</v>
      </c>
      <c r="E329" s="11" t="s">
        <v>19</v>
      </c>
      <c r="F329" s="11" t="s">
        <v>1219</v>
      </c>
      <c r="G329" s="11" t="s">
        <v>83</v>
      </c>
      <c r="H329" s="11" t="s">
        <v>1220</v>
      </c>
      <c r="I329" s="11" t="s">
        <v>1221</v>
      </c>
      <c r="J329" s="12">
        <v>0.70430000000000004</v>
      </c>
      <c r="K329" s="13">
        <v>3</v>
      </c>
      <c r="L329" s="14">
        <v>1191</v>
      </c>
      <c r="M329" s="10">
        <v>835</v>
      </c>
      <c r="N329" s="10">
        <v>131607</v>
      </c>
      <c r="O329" s="10">
        <v>65480</v>
      </c>
      <c r="P329" s="10">
        <v>197087</v>
      </c>
    </row>
    <row r="330" spans="1:16" ht="27" customHeight="1" x14ac:dyDescent="0.2">
      <c r="A330" s="9" t="s">
        <v>1184</v>
      </c>
      <c r="B330" s="10" t="s">
        <v>1222</v>
      </c>
      <c r="C330" s="11" t="s">
        <v>18</v>
      </c>
      <c r="D330" s="11" t="s">
        <v>19</v>
      </c>
      <c r="E330" s="11" t="s">
        <v>19</v>
      </c>
      <c r="F330" s="11" t="s">
        <v>1223</v>
      </c>
      <c r="G330" s="11" t="s">
        <v>83</v>
      </c>
      <c r="H330" s="11" t="s">
        <v>1224</v>
      </c>
      <c r="I330" s="11" t="s">
        <v>1225</v>
      </c>
      <c r="J330" s="12">
        <v>0.84250000000000003</v>
      </c>
      <c r="K330" s="13">
        <v>7</v>
      </c>
      <c r="L330" s="14">
        <v>1578</v>
      </c>
      <c r="M330" s="10">
        <v>1247</v>
      </c>
      <c r="N330" s="10">
        <v>174371</v>
      </c>
      <c r="O330" s="10">
        <v>97787</v>
      </c>
      <c r="P330" s="10">
        <v>272158</v>
      </c>
    </row>
    <row r="331" spans="1:16" ht="27" customHeight="1" x14ac:dyDescent="0.2">
      <c r="A331" s="9" t="s">
        <v>1184</v>
      </c>
      <c r="B331" s="10" t="s">
        <v>1226</v>
      </c>
      <c r="C331" s="11" t="s">
        <v>18</v>
      </c>
      <c r="D331" s="11" t="s">
        <v>19</v>
      </c>
      <c r="E331" s="11" t="s">
        <v>19</v>
      </c>
      <c r="F331" s="11" t="s">
        <v>1227</v>
      </c>
      <c r="G331" s="11" t="s">
        <v>83</v>
      </c>
      <c r="H331" s="11" t="s">
        <v>1228</v>
      </c>
      <c r="I331" s="11" t="s">
        <v>1229</v>
      </c>
      <c r="J331" s="12">
        <v>0.60140000000000005</v>
      </c>
      <c r="K331" s="13">
        <v>7</v>
      </c>
      <c r="L331" s="14">
        <v>4573</v>
      </c>
      <c r="M331" s="10">
        <v>2597</v>
      </c>
      <c r="N331" s="10">
        <v>505324</v>
      </c>
      <c r="O331" s="10">
        <v>203655</v>
      </c>
      <c r="P331" s="10">
        <v>708979</v>
      </c>
    </row>
    <row r="332" spans="1:16" ht="27" customHeight="1" x14ac:dyDescent="0.2">
      <c r="A332" s="9" t="s">
        <v>1184</v>
      </c>
      <c r="B332" s="10" t="s">
        <v>1230</v>
      </c>
      <c r="C332" s="11" t="s">
        <v>18</v>
      </c>
      <c r="D332" s="11" t="s">
        <v>19</v>
      </c>
      <c r="E332" s="11" t="s">
        <v>19</v>
      </c>
      <c r="F332" s="11" t="s">
        <v>1231</v>
      </c>
      <c r="G332" s="11" t="s">
        <v>83</v>
      </c>
      <c r="H332" s="11" t="s">
        <v>1231</v>
      </c>
      <c r="I332" s="11" t="s">
        <v>1232</v>
      </c>
      <c r="J332" s="12">
        <v>0.128</v>
      </c>
      <c r="K332" s="13">
        <v>2</v>
      </c>
      <c r="L332" s="14">
        <v>125</v>
      </c>
      <c r="M332" s="10">
        <v>16</v>
      </c>
      <c r="N332" s="10">
        <v>13813</v>
      </c>
      <c r="O332" s="10">
        <v>1255</v>
      </c>
      <c r="P332" s="10">
        <v>15068</v>
      </c>
    </row>
    <row r="333" spans="1:16" ht="27" customHeight="1" x14ac:dyDescent="0.2">
      <c r="A333" s="9" t="s">
        <v>1184</v>
      </c>
      <c r="B333" s="10" t="s">
        <v>1233</v>
      </c>
      <c r="C333" s="11" t="s">
        <v>18</v>
      </c>
      <c r="D333" s="11" t="s">
        <v>19</v>
      </c>
      <c r="E333" s="11" t="s">
        <v>19</v>
      </c>
      <c r="F333" s="11" t="s">
        <v>1234</v>
      </c>
      <c r="G333" s="11" t="s">
        <v>83</v>
      </c>
      <c r="H333" s="11" t="s">
        <v>1235</v>
      </c>
      <c r="I333" s="11" t="s">
        <v>1236</v>
      </c>
      <c r="J333" s="12">
        <v>0.38629999999999998</v>
      </c>
      <c r="K333" s="13">
        <v>2</v>
      </c>
      <c r="L333" s="14">
        <v>1211</v>
      </c>
      <c r="M333" s="10">
        <v>468</v>
      </c>
      <c r="N333" s="10">
        <v>133818</v>
      </c>
      <c r="O333" s="10">
        <v>36700</v>
      </c>
      <c r="P333" s="10">
        <v>170518</v>
      </c>
    </row>
    <row r="334" spans="1:16" ht="27" customHeight="1" x14ac:dyDescent="0.2">
      <c r="A334" s="9" t="s">
        <v>1184</v>
      </c>
      <c r="B334" s="10" t="s">
        <v>1237</v>
      </c>
      <c r="C334" s="11" t="s">
        <v>18</v>
      </c>
      <c r="D334" s="11" t="s">
        <v>19</v>
      </c>
      <c r="E334" s="11" t="s">
        <v>19</v>
      </c>
      <c r="F334" s="11" t="s">
        <v>1238</v>
      </c>
      <c r="G334" s="11" t="s">
        <v>83</v>
      </c>
      <c r="H334" s="11" t="s">
        <v>1239</v>
      </c>
      <c r="I334" s="11" t="s">
        <v>1240</v>
      </c>
      <c r="J334" s="12">
        <v>0.84109999999999996</v>
      </c>
      <c r="K334" s="13">
        <v>2</v>
      </c>
      <c r="L334" s="14">
        <v>386</v>
      </c>
      <c r="M334" s="10">
        <v>325</v>
      </c>
      <c r="N334" s="10">
        <v>42654</v>
      </c>
      <c r="O334" s="10">
        <v>25486</v>
      </c>
      <c r="P334" s="10">
        <v>68140</v>
      </c>
    </row>
    <row r="335" spans="1:16" ht="27" customHeight="1" x14ac:dyDescent="0.2">
      <c r="A335" s="9" t="s">
        <v>1184</v>
      </c>
      <c r="B335" s="10" t="s">
        <v>1241</v>
      </c>
      <c r="C335" s="11" t="s">
        <v>18</v>
      </c>
      <c r="D335" s="11" t="s">
        <v>19</v>
      </c>
      <c r="E335" s="11" t="s">
        <v>19</v>
      </c>
      <c r="F335" s="11" t="s">
        <v>1242</v>
      </c>
      <c r="G335" s="11" t="s">
        <v>83</v>
      </c>
      <c r="H335" s="11" t="s">
        <v>1242</v>
      </c>
      <c r="I335" s="11" t="s">
        <v>1243</v>
      </c>
      <c r="J335" s="12">
        <v>0.4</v>
      </c>
      <c r="K335" s="13">
        <v>2</v>
      </c>
      <c r="L335" s="14">
        <v>65</v>
      </c>
      <c r="M335" s="10">
        <v>26</v>
      </c>
      <c r="N335" s="10">
        <v>7183</v>
      </c>
      <c r="O335" s="10">
        <v>2039</v>
      </c>
      <c r="P335" s="10">
        <v>9222</v>
      </c>
    </row>
    <row r="336" spans="1:16" ht="27" customHeight="1" x14ac:dyDescent="0.2">
      <c r="A336" s="9" t="s">
        <v>1184</v>
      </c>
      <c r="B336" s="10" t="s">
        <v>1244</v>
      </c>
      <c r="C336" s="11" t="s">
        <v>18</v>
      </c>
      <c r="D336" s="11" t="s">
        <v>19</v>
      </c>
      <c r="E336" s="11" t="s">
        <v>19</v>
      </c>
      <c r="F336" s="11" t="s">
        <v>1245</v>
      </c>
      <c r="G336" s="11" t="s">
        <v>83</v>
      </c>
      <c r="H336" s="11" t="s">
        <v>1246</v>
      </c>
      <c r="I336" s="11" t="s">
        <v>1247</v>
      </c>
      <c r="J336" s="12">
        <v>0.6522</v>
      </c>
      <c r="K336" s="13">
        <v>6</v>
      </c>
      <c r="L336" s="14">
        <v>606</v>
      </c>
      <c r="M336" s="10">
        <v>412</v>
      </c>
      <c r="N336" s="10">
        <v>66964</v>
      </c>
      <c r="O336" s="10">
        <v>32308</v>
      </c>
      <c r="P336" s="10">
        <v>99272</v>
      </c>
    </row>
    <row r="337" spans="1:16" ht="27" customHeight="1" x14ac:dyDescent="0.2">
      <c r="A337" s="9" t="s">
        <v>1184</v>
      </c>
      <c r="B337" s="10" t="s">
        <v>1248</v>
      </c>
      <c r="C337" s="11" t="s">
        <v>18</v>
      </c>
      <c r="D337" s="11" t="s">
        <v>19</v>
      </c>
      <c r="E337" s="11" t="s">
        <v>19</v>
      </c>
      <c r="F337" s="11" t="s">
        <v>1249</v>
      </c>
      <c r="G337" s="11" t="s">
        <v>83</v>
      </c>
      <c r="H337" s="11" t="s">
        <v>1250</v>
      </c>
      <c r="I337" s="11" t="s">
        <v>1251</v>
      </c>
      <c r="J337" s="12">
        <v>0.94799999999999995</v>
      </c>
      <c r="K337" s="13">
        <v>2</v>
      </c>
      <c r="L337" s="14">
        <v>348</v>
      </c>
      <c r="M337" s="10">
        <v>330</v>
      </c>
      <c r="N337" s="10">
        <v>38455</v>
      </c>
      <c r="O337" s="10">
        <v>25878</v>
      </c>
      <c r="P337" s="10">
        <v>64333</v>
      </c>
    </row>
    <row r="338" spans="1:16" ht="27" customHeight="1" x14ac:dyDescent="0.2">
      <c r="A338" s="9" t="s">
        <v>1184</v>
      </c>
      <c r="B338" s="10" t="s">
        <v>1252</v>
      </c>
      <c r="C338" s="11" t="s">
        <v>18</v>
      </c>
      <c r="D338" s="11" t="s">
        <v>19</v>
      </c>
      <c r="E338" s="11" t="s">
        <v>19</v>
      </c>
      <c r="F338" s="11" t="s">
        <v>1253</v>
      </c>
      <c r="G338" s="11" t="s">
        <v>83</v>
      </c>
      <c r="H338" s="11" t="s">
        <v>1254</v>
      </c>
      <c r="I338" s="11" t="s">
        <v>1255</v>
      </c>
      <c r="J338" s="12">
        <v>0.93730000000000002</v>
      </c>
      <c r="K338" s="13">
        <v>2</v>
      </c>
      <c r="L338" s="14">
        <v>341</v>
      </c>
      <c r="M338" s="10">
        <v>320</v>
      </c>
      <c r="N338" s="10">
        <v>37681</v>
      </c>
      <c r="O338" s="10">
        <v>25094</v>
      </c>
      <c r="P338" s="10">
        <v>62775</v>
      </c>
    </row>
    <row r="339" spans="1:16" ht="27" customHeight="1" x14ac:dyDescent="0.2">
      <c r="A339" s="9" t="s">
        <v>1256</v>
      </c>
      <c r="B339" s="10" t="s">
        <v>1257</v>
      </c>
      <c r="C339" s="11" t="s">
        <v>18</v>
      </c>
      <c r="D339" s="11" t="s">
        <v>19</v>
      </c>
      <c r="E339" s="11" t="s">
        <v>19</v>
      </c>
      <c r="F339" s="11" t="s">
        <v>1258</v>
      </c>
      <c r="G339" s="11" t="s">
        <v>21</v>
      </c>
      <c r="H339" s="11" t="s">
        <v>1259</v>
      </c>
      <c r="I339" s="11" t="s">
        <v>1260</v>
      </c>
      <c r="J339" s="12">
        <v>0.63029999999999997</v>
      </c>
      <c r="K339" s="13">
        <v>3</v>
      </c>
      <c r="L339" s="14">
        <v>131</v>
      </c>
      <c r="M339" s="10">
        <v>84</v>
      </c>
      <c r="N339" s="10">
        <v>14476</v>
      </c>
      <c r="O339" s="10">
        <v>6587</v>
      </c>
      <c r="P339" s="10">
        <v>21063</v>
      </c>
    </row>
    <row r="340" spans="1:16" ht="27" customHeight="1" x14ac:dyDescent="0.2">
      <c r="A340" s="9" t="s">
        <v>1256</v>
      </c>
      <c r="B340" s="10" t="s">
        <v>1257</v>
      </c>
      <c r="C340" s="11" t="s">
        <v>1261</v>
      </c>
      <c r="D340" s="11" t="s">
        <v>1262</v>
      </c>
      <c r="E340" s="11" t="s">
        <v>26</v>
      </c>
      <c r="F340" s="11" t="s">
        <v>1263</v>
      </c>
      <c r="G340" s="11" t="s">
        <v>28</v>
      </c>
      <c r="H340" s="11" t="s">
        <v>1259</v>
      </c>
      <c r="I340" s="11" t="s">
        <v>1260</v>
      </c>
      <c r="J340" s="12">
        <v>0.63029999999999997</v>
      </c>
      <c r="K340" s="13">
        <v>1</v>
      </c>
      <c r="L340" s="14">
        <v>667</v>
      </c>
      <c r="M340" s="10">
        <v>619</v>
      </c>
      <c r="N340" s="10">
        <v>73705</v>
      </c>
      <c r="O340" s="10">
        <v>48541</v>
      </c>
      <c r="P340" s="10">
        <v>122246</v>
      </c>
    </row>
    <row r="341" spans="1:16" ht="27" customHeight="1" x14ac:dyDescent="0.2">
      <c r="A341" s="9" t="s">
        <v>1256</v>
      </c>
      <c r="B341" s="10" t="s">
        <v>1257</v>
      </c>
      <c r="C341" s="11" t="s">
        <v>1264</v>
      </c>
      <c r="D341" s="11" t="s">
        <v>1265</v>
      </c>
      <c r="E341" s="11" t="s">
        <v>26</v>
      </c>
      <c r="F341" s="11" t="s">
        <v>1266</v>
      </c>
      <c r="G341" s="11" t="s">
        <v>28</v>
      </c>
      <c r="H341" s="11" t="s">
        <v>1259</v>
      </c>
      <c r="I341" s="11" t="s">
        <v>1260</v>
      </c>
      <c r="J341" s="12">
        <v>0.63029999999999997</v>
      </c>
      <c r="K341" s="13">
        <v>1</v>
      </c>
      <c r="L341" s="14">
        <v>202</v>
      </c>
      <c r="M341" s="10">
        <v>163</v>
      </c>
      <c r="N341" s="10">
        <v>22321</v>
      </c>
      <c r="O341" s="10">
        <v>12782</v>
      </c>
      <c r="P341" s="10">
        <v>35103</v>
      </c>
    </row>
    <row r="342" spans="1:16" ht="27" customHeight="1" x14ac:dyDescent="0.2">
      <c r="A342" s="9" t="s">
        <v>1256</v>
      </c>
      <c r="B342" s="10" t="s">
        <v>1257</v>
      </c>
      <c r="C342" s="11" t="s">
        <v>1267</v>
      </c>
      <c r="D342" s="11" t="s">
        <v>1268</v>
      </c>
      <c r="E342" s="11" t="s">
        <v>26</v>
      </c>
      <c r="F342" s="11" t="s">
        <v>1269</v>
      </c>
      <c r="G342" s="11" t="s">
        <v>28</v>
      </c>
      <c r="H342" s="11" t="s">
        <v>1259</v>
      </c>
      <c r="I342" s="11" t="s">
        <v>1260</v>
      </c>
      <c r="J342" s="12">
        <v>0.63029999999999997</v>
      </c>
      <c r="K342" s="13">
        <v>1</v>
      </c>
      <c r="L342" s="14">
        <v>230</v>
      </c>
      <c r="M342" s="10">
        <v>218</v>
      </c>
      <c r="N342" s="10">
        <v>25415</v>
      </c>
      <c r="O342" s="10">
        <v>17095</v>
      </c>
      <c r="P342" s="10">
        <v>42510</v>
      </c>
    </row>
    <row r="343" spans="1:16" ht="27" customHeight="1" x14ac:dyDescent="0.2">
      <c r="A343" s="9" t="s">
        <v>1256</v>
      </c>
      <c r="B343" s="10" t="s">
        <v>1270</v>
      </c>
      <c r="C343" s="11" t="s">
        <v>18</v>
      </c>
      <c r="D343" s="11" t="s">
        <v>19</v>
      </c>
      <c r="E343" s="11" t="s">
        <v>19</v>
      </c>
      <c r="F343" s="11" t="s">
        <v>1271</v>
      </c>
      <c r="G343" s="11" t="s">
        <v>83</v>
      </c>
      <c r="H343" s="11" t="s">
        <v>1272</v>
      </c>
      <c r="I343" s="11" t="s">
        <v>1273</v>
      </c>
      <c r="J343" s="12">
        <v>0.59199999999999997</v>
      </c>
      <c r="K343" s="13">
        <v>3</v>
      </c>
      <c r="L343" s="14">
        <v>159</v>
      </c>
      <c r="M343" s="10">
        <v>94</v>
      </c>
      <c r="N343" s="10">
        <v>17570</v>
      </c>
      <c r="O343" s="10">
        <v>7371</v>
      </c>
      <c r="P343" s="10">
        <v>24941</v>
      </c>
    </row>
    <row r="344" spans="1:16" ht="27" customHeight="1" x14ac:dyDescent="0.2">
      <c r="A344" s="9" t="s">
        <v>1256</v>
      </c>
      <c r="B344" s="10" t="s">
        <v>1274</v>
      </c>
      <c r="C344" s="11" t="s">
        <v>18</v>
      </c>
      <c r="D344" s="11" t="s">
        <v>19</v>
      </c>
      <c r="E344" s="11" t="s">
        <v>19</v>
      </c>
      <c r="F344" s="11" t="s">
        <v>1275</v>
      </c>
      <c r="G344" s="11" t="s">
        <v>83</v>
      </c>
      <c r="H344" s="11" t="s">
        <v>1276</v>
      </c>
      <c r="I344" s="11" t="s">
        <v>1277</v>
      </c>
      <c r="J344" s="12">
        <v>0.4118</v>
      </c>
      <c r="K344" s="13">
        <v>5</v>
      </c>
      <c r="L344" s="14">
        <v>24</v>
      </c>
      <c r="M344" s="10">
        <v>10</v>
      </c>
      <c r="N344" s="10">
        <v>2653</v>
      </c>
      <c r="O344" s="10">
        <v>784</v>
      </c>
      <c r="P344" s="10">
        <v>3437</v>
      </c>
    </row>
    <row r="345" spans="1:16" ht="27" customHeight="1" x14ac:dyDescent="0.2">
      <c r="A345" s="9" t="s">
        <v>1256</v>
      </c>
      <c r="B345" s="10" t="s">
        <v>1278</v>
      </c>
      <c r="C345" s="11" t="s">
        <v>18</v>
      </c>
      <c r="D345" s="11" t="s">
        <v>19</v>
      </c>
      <c r="E345" s="11" t="s">
        <v>19</v>
      </c>
      <c r="F345" s="11" t="s">
        <v>1279</v>
      </c>
      <c r="G345" s="11" t="s">
        <v>83</v>
      </c>
      <c r="H345" s="11" t="s">
        <v>1259</v>
      </c>
      <c r="I345" s="11" t="s">
        <v>1260</v>
      </c>
      <c r="J345" s="12">
        <v>0.63029999999999997</v>
      </c>
      <c r="K345" s="13">
        <v>4</v>
      </c>
      <c r="L345" s="14">
        <v>326</v>
      </c>
      <c r="M345" s="10">
        <v>191</v>
      </c>
      <c r="N345" s="10">
        <v>36025</v>
      </c>
      <c r="O345" s="10">
        <v>14978</v>
      </c>
      <c r="P345" s="10">
        <v>51003</v>
      </c>
    </row>
    <row r="346" spans="1:16" ht="27" customHeight="1" x14ac:dyDescent="0.2">
      <c r="A346" s="9" t="s">
        <v>1256</v>
      </c>
      <c r="B346" s="10" t="s">
        <v>1280</v>
      </c>
      <c r="C346" s="11" t="s">
        <v>18</v>
      </c>
      <c r="D346" s="11" t="s">
        <v>19</v>
      </c>
      <c r="E346" s="11" t="s">
        <v>19</v>
      </c>
      <c r="F346" s="11" t="s">
        <v>1281</v>
      </c>
      <c r="G346" s="11" t="s">
        <v>83</v>
      </c>
      <c r="H346" s="11" t="s">
        <v>1282</v>
      </c>
      <c r="I346" s="11" t="s">
        <v>1283</v>
      </c>
      <c r="J346" s="12">
        <v>0.55069999999999997</v>
      </c>
      <c r="K346" s="13">
        <v>3</v>
      </c>
      <c r="L346" s="14">
        <v>89</v>
      </c>
      <c r="M346" s="10">
        <v>48</v>
      </c>
      <c r="N346" s="10">
        <v>9836</v>
      </c>
      <c r="O346" s="10">
        <v>3764</v>
      </c>
      <c r="P346" s="10">
        <v>13600</v>
      </c>
    </row>
    <row r="347" spans="1:16" ht="27" customHeight="1" x14ac:dyDescent="0.2">
      <c r="A347" s="9" t="s">
        <v>1256</v>
      </c>
      <c r="B347" s="10" t="s">
        <v>1284</v>
      </c>
      <c r="C347" s="11" t="s">
        <v>18</v>
      </c>
      <c r="D347" s="11" t="s">
        <v>19</v>
      </c>
      <c r="E347" s="11" t="s">
        <v>19</v>
      </c>
      <c r="F347" s="11" t="s">
        <v>1285</v>
      </c>
      <c r="G347" s="11" t="s">
        <v>83</v>
      </c>
      <c r="H347" s="11" t="s">
        <v>1286</v>
      </c>
      <c r="I347" s="11" t="s">
        <v>1287</v>
      </c>
      <c r="J347" s="12">
        <v>0.34920000000000001</v>
      </c>
      <c r="K347" s="13">
        <v>2</v>
      </c>
      <c r="L347" s="14">
        <v>65</v>
      </c>
      <c r="M347" s="10">
        <v>23</v>
      </c>
      <c r="N347" s="10">
        <v>7183</v>
      </c>
      <c r="O347" s="10">
        <v>1803</v>
      </c>
      <c r="P347" s="10">
        <v>8986</v>
      </c>
    </row>
    <row r="348" spans="1:16" ht="27" customHeight="1" x14ac:dyDescent="0.2">
      <c r="A348" s="9" t="s">
        <v>1256</v>
      </c>
      <c r="B348" s="10" t="s">
        <v>1288</v>
      </c>
      <c r="C348" s="11" t="s">
        <v>18</v>
      </c>
      <c r="D348" s="11" t="s">
        <v>19</v>
      </c>
      <c r="E348" s="11" t="s">
        <v>19</v>
      </c>
      <c r="F348" s="11" t="s">
        <v>1289</v>
      </c>
      <c r="G348" s="11" t="s">
        <v>83</v>
      </c>
      <c r="H348" s="11" t="s">
        <v>1290</v>
      </c>
      <c r="I348" s="11" t="s">
        <v>1291</v>
      </c>
      <c r="J348" s="12">
        <v>0.55059999999999998</v>
      </c>
      <c r="K348" s="13">
        <v>7</v>
      </c>
      <c r="L348" s="14">
        <v>1943</v>
      </c>
      <c r="M348" s="10">
        <v>953</v>
      </c>
      <c r="N348" s="10">
        <v>214706</v>
      </c>
      <c r="O348" s="10">
        <v>74733</v>
      </c>
      <c r="P348" s="10">
        <v>289439</v>
      </c>
    </row>
    <row r="349" spans="1:16" ht="27" customHeight="1" x14ac:dyDescent="0.2">
      <c r="A349" s="9" t="s">
        <v>1292</v>
      </c>
      <c r="B349" s="10" t="s">
        <v>1293</v>
      </c>
      <c r="C349" s="11" t="s">
        <v>18</v>
      </c>
      <c r="D349" s="11" t="s">
        <v>19</v>
      </c>
      <c r="E349" s="11" t="s">
        <v>19</v>
      </c>
      <c r="F349" s="11" t="s">
        <v>1294</v>
      </c>
      <c r="G349" s="11" t="s">
        <v>21</v>
      </c>
      <c r="H349" s="11" t="s">
        <v>1295</v>
      </c>
      <c r="I349" s="11" t="s">
        <v>1296</v>
      </c>
      <c r="J349" s="12">
        <v>1</v>
      </c>
      <c r="K349" s="13">
        <v>4</v>
      </c>
      <c r="L349" s="14">
        <v>1676</v>
      </c>
      <c r="M349" s="10">
        <v>1522</v>
      </c>
      <c r="N349" s="10">
        <v>185200</v>
      </c>
      <c r="O349" s="10">
        <v>119354</v>
      </c>
      <c r="P349" s="10">
        <v>304554</v>
      </c>
    </row>
    <row r="350" spans="1:16" ht="27" customHeight="1" x14ac:dyDescent="0.2">
      <c r="A350" s="9" t="s">
        <v>1292</v>
      </c>
      <c r="B350" s="10" t="s">
        <v>1293</v>
      </c>
      <c r="C350" s="11" t="s">
        <v>1297</v>
      </c>
      <c r="D350" s="11" t="s">
        <v>1298</v>
      </c>
      <c r="E350" s="11" t="s">
        <v>26</v>
      </c>
      <c r="F350" s="11" t="s">
        <v>1299</v>
      </c>
      <c r="G350" s="11" t="s">
        <v>28</v>
      </c>
      <c r="H350" s="11" t="s">
        <v>1299</v>
      </c>
      <c r="I350" s="11" t="s">
        <v>1300</v>
      </c>
      <c r="J350" s="12">
        <v>0.78469999999999995</v>
      </c>
      <c r="K350" s="13">
        <v>1</v>
      </c>
      <c r="L350" s="14">
        <v>1900</v>
      </c>
      <c r="M350" s="10">
        <v>1491</v>
      </c>
      <c r="N350" s="10">
        <v>209953</v>
      </c>
      <c r="O350" s="10">
        <v>116923</v>
      </c>
      <c r="P350" s="10">
        <v>326876</v>
      </c>
    </row>
    <row r="351" spans="1:16" ht="27" customHeight="1" x14ac:dyDescent="0.2">
      <c r="A351" s="9" t="s">
        <v>1292</v>
      </c>
      <c r="B351" s="10" t="s">
        <v>1293</v>
      </c>
      <c r="C351" s="11" t="s">
        <v>1301</v>
      </c>
      <c r="D351" s="11" t="s">
        <v>1302</v>
      </c>
      <c r="E351" s="11" t="s">
        <v>26</v>
      </c>
      <c r="F351" s="11" t="s">
        <v>1303</v>
      </c>
      <c r="G351" s="11" t="s">
        <v>28</v>
      </c>
      <c r="H351" s="11" t="s">
        <v>1303</v>
      </c>
      <c r="I351" s="11" t="s">
        <v>1304</v>
      </c>
      <c r="J351" s="12">
        <v>0.91749999999999998</v>
      </c>
      <c r="K351" s="13">
        <v>1</v>
      </c>
      <c r="L351" s="14">
        <v>824</v>
      </c>
      <c r="M351" s="10">
        <v>756</v>
      </c>
      <c r="N351" s="10">
        <v>91053</v>
      </c>
      <c r="O351" s="10">
        <v>59285</v>
      </c>
      <c r="P351" s="10">
        <v>150338</v>
      </c>
    </row>
    <row r="352" spans="1:16" ht="27" customHeight="1" x14ac:dyDescent="0.2">
      <c r="A352" s="9" t="s">
        <v>1292</v>
      </c>
      <c r="B352" s="10" t="s">
        <v>1293</v>
      </c>
      <c r="C352" s="11" t="s">
        <v>1305</v>
      </c>
      <c r="D352" s="11" t="s">
        <v>1306</v>
      </c>
      <c r="E352" s="11" t="s">
        <v>26</v>
      </c>
      <c r="F352" s="11" t="s">
        <v>1307</v>
      </c>
      <c r="G352" s="11" t="s">
        <v>28</v>
      </c>
      <c r="H352" s="11" t="s">
        <v>1307</v>
      </c>
      <c r="I352" s="11" t="s">
        <v>1308</v>
      </c>
      <c r="J352" s="12">
        <v>0.67459999999999998</v>
      </c>
      <c r="K352" s="13">
        <v>1</v>
      </c>
      <c r="L352" s="14">
        <v>504</v>
      </c>
      <c r="M352" s="10">
        <v>340</v>
      </c>
      <c r="N352" s="10">
        <v>55693</v>
      </c>
      <c r="O352" s="10">
        <v>26662</v>
      </c>
      <c r="P352" s="10">
        <v>82355</v>
      </c>
    </row>
    <row r="353" spans="1:16" ht="27" customHeight="1" x14ac:dyDescent="0.2">
      <c r="A353" s="9" t="s">
        <v>1292</v>
      </c>
      <c r="B353" s="10" t="s">
        <v>1293</v>
      </c>
      <c r="C353" s="11" t="s">
        <v>1309</v>
      </c>
      <c r="D353" s="11" t="s">
        <v>1310</v>
      </c>
      <c r="E353" s="11" t="s">
        <v>57</v>
      </c>
      <c r="F353" s="11" t="s">
        <v>1311</v>
      </c>
      <c r="G353" s="11" t="s">
        <v>28</v>
      </c>
      <c r="H353" s="11" t="s">
        <v>1311</v>
      </c>
      <c r="I353" s="11" t="s">
        <v>1312</v>
      </c>
      <c r="J353" s="12">
        <v>0.38629999999999998</v>
      </c>
      <c r="K353" s="13">
        <v>1</v>
      </c>
      <c r="L353" s="14">
        <v>1108</v>
      </c>
      <c r="M353" s="10">
        <v>428</v>
      </c>
      <c r="N353" s="10">
        <v>122436</v>
      </c>
      <c r="O353" s="10">
        <v>33563</v>
      </c>
      <c r="P353" s="10">
        <v>155999</v>
      </c>
    </row>
    <row r="354" spans="1:16" ht="27" customHeight="1" x14ac:dyDescent="0.2">
      <c r="A354" s="9" t="s">
        <v>1292</v>
      </c>
      <c r="B354" s="10" t="s">
        <v>1293</v>
      </c>
      <c r="C354" s="11" t="s">
        <v>1313</v>
      </c>
      <c r="D354" s="11" t="s">
        <v>1314</v>
      </c>
      <c r="E354" s="11" t="s">
        <v>26</v>
      </c>
      <c r="F354" s="11" t="s">
        <v>1315</v>
      </c>
      <c r="G354" s="11" t="s">
        <v>28</v>
      </c>
      <c r="H354" s="11" t="s">
        <v>1315</v>
      </c>
      <c r="I354" s="11" t="s">
        <v>1316</v>
      </c>
      <c r="J354" s="12">
        <v>0.44259999999999999</v>
      </c>
      <c r="K354" s="13">
        <v>1</v>
      </c>
      <c r="L354" s="14">
        <v>183</v>
      </c>
      <c r="M354" s="10">
        <v>81</v>
      </c>
      <c r="N354" s="10">
        <v>20222</v>
      </c>
      <c r="O354" s="10">
        <v>6352</v>
      </c>
      <c r="P354" s="10">
        <v>26574</v>
      </c>
    </row>
    <row r="355" spans="1:16" ht="27" customHeight="1" x14ac:dyDescent="0.2">
      <c r="A355" s="9" t="s">
        <v>1292</v>
      </c>
      <c r="B355" s="10" t="s">
        <v>1317</v>
      </c>
      <c r="C355" s="11" t="s">
        <v>18</v>
      </c>
      <c r="D355" s="11" t="s">
        <v>19</v>
      </c>
      <c r="E355" s="11" t="s">
        <v>19</v>
      </c>
      <c r="F355" s="11" t="s">
        <v>1318</v>
      </c>
      <c r="G355" s="11" t="s">
        <v>83</v>
      </c>
      <c r="H355" s="11" t="s">
        <v>794</v>
      </c>
      <c r="I355" s="11" t="s">
        <v>1319</v>
      </c>
      <c r="J355" s="12">
        <v>0.95199999999999996</v>
      </c>
      <c r="K355" s="13">
        <v>5</v>
      </c>
      <c r="L355" s="14">
        <v>3049</v>
      </c>
      <c r="M355" s="10">
        <v>2864</v>
      </c>
      <c r="N355" s="10">
        <v>336920</v>
      </c>
      <c r="O355" s="10">
        <v>224593</v>
      </c>
      <c r="P355" s="10">
        <v>561513</v>
      </c>
    </row>
    <row r="356" spans="1:16" ht="27" customHeight="1" x14ac:dyDescent="0.2">
      <c r="A356" s="9" t="s">
        <v>1292</v>
      </c>
      <c r="B356" s="10" t="s">
        <v>1320</v>
      </c>
      <c r="C356" s="11" t="s">
        <v>18</v>
      </c>
      <c r="D356" s="11" t="s">
        <v>19</v>
      </c>
      <c r="E356" s="11" t="s">
        <v>19</v>
      </c>
      <c r="F356" s="11" t="s">
        <v>1321</v>
      </c>
      <c r="G356" s="11" t="s">
        <v>83</v>
      </c>
      <c r="H356" s="11" t="s">
        <v>1322</v>
      </c>
      <c r="I356" s="11" t="s">
        <v>1323</v>
      </c>
      <c r="J356" s="12">
        <v>0.96940000000000004</v>
      </c>
      <c r="K356" s="13">
        <v>46</v>
      </c>
      <c r="L356" s="14">
        <v>29559</v>
      </c>
      <c r="M356" s="10">
        <v>25762</v>
      </c>
      <c r="N356" s="10">
        <v>3266317</v>
      </c>
      <c r="O356" s="10">
        <v>2020228</v>
      </c>
      <c r="P356" s="10">
        <v>5286545</v>
      </c>
    </row>
    <row r="357" spans="1:16" ht="27" customHeight="1" x14ac:dyDescent="0.2">
      <c r="A357" s="9" t="s">
        <v>1292</v>
      </c>
      <c r="B357" s="10" t="s">
        <v>1324</v>
      </c>
      <c r="C357" s="11" t="s">
        <v>18</v>
      </c>
      <c r="D357" s="11" t="s">
        <v>19</v>
      </c>
      <c r="E357" s="11" t="s">
        <v>19</v>
      </c>
      <c r="F357" s="11" t="s">
        <v>1325</v>
      </c>
      <c r="G357" s="11" t="s">
        <v>83</v>
      </c>
      <c r="H357" s="11" t="s">
        <v>1325</v>
      </c>
      <c r="I357" s="11" t="s">
        <v>1326</v>
      </c>
      <c r="J357" s="12">
        <v>0.98099999999999998</v>
      </c>
      <c r="K357" s="13">
        <v>5</v>
      </c>
      <c r="L357" s="14">
        <v>1957</v>
      </c>
      <c r="M357" s="10">
        <v>1865</v>
      </c>
      <c r="N357" s="10">
        <v>216252</v>
      </c>
      <c r="O357" s="10">
        <v>146252</v>
      </c>
      <c r="P357" s="10">
        <v>362504</v>
      </c>
    </row>
    <row r="358" spans="1:16" ht="27" customHeight="1" x14ac:dyDescent="0.2">
      <c r="A358" s="9" t="s">
        <v>1292</v>
      </c>
      <c r="B358" s="10" t="s">
        <v>1327</v>
      </c>
      <c r="C358" s="11" t="s">
        <v>18</v>
      </c>
      <c r="D358" s="11" t="s">
        <v>19</v>
      </c>
      <c r="E358" s="11" t="s">
        <v>19</v>
      </c>
      <c r="F358" s="11" t="s">
        <v>1328</v>
      </c>
      <c r="G358" s="11" t="s">
        <v>83</v>
      </c>
      <c r="H358" s="11" t="s">
        <v>1328</v>
      </c>
      <c r="I358" s="11" t="s">
        <v>1329</v>
      </c>
      <c r="J358" s="12">
        <v>0.6875</v>
      </c>
      <c r="K358" s="13">
        <v>2</v>
      </c>
      <c r="L358" s="14">
        <v>17</v>
      </c>
      <c r="M358" s="10">
        <v>11</v>
      </c>
      <c r="N358" s="10">
        <v>1879</v>
      </c>
      <c r="O358" s="10">
        <v>863</v>
      </c>
      <c r="P358" s="10">
        <v>2742</v>
      </c>
    </row>
    <row r="359" spans="1:16" ht="27" customHeight="1" x14ac:dyDescent="0.2">
      <c r="A359" s="9" t="s">
        <v>1292</v>
      </c>
      <c r="B359" s="10" t="s">
        <v>1330</v>
      </c>
      <c r="C359" s="11" t="s">
        <v>18</v>
      </c>
      <c r="D359" s="11" t="s">
        <v>19</v>
      </c>
      <c r="E359" s="11" t="s">
        <v>19</v>
      </c>
      <c r="F359" s="11" t="s">
        <v>1331</v>
      </c>
      <c r="G359" s="11" t="s">
        <v>83</v>
      </c>
      <c r="H359" s="11" t="s">
        <v>1332</v>
      </c>
      <c r="I359" s="11" t="s">
        <v>1333</v>
      </c>
      <c r="J359" s="12">
        <v>0.93920000000000003</v>
      </c>
      <c r="K359" s="13">
        <v>26</v>
      </c>
      <c r="L359" s="14">
        <v>19494</v>
      </c>
      <c r="M359" s="10">
        <v>14705</v>
      </c>
      <c r="N359" s="10">
        <v>2154119</v>
      </c>
      <c r="O359" s="10">
        <v>1153151</v>
      </c>
      <c r="P359" s="10">
        <v>3307270</v>
      </c>
    </row>
    <row r="360" spans="1:16" ht="27" customHeight="1" x14ac:dyDescent="0.2">
      <c r="A360" s="9" t="s">
        <v>1292</v>
      </c>
      <c r="B360" s="10" t="s">
        <v>1334</v>
      </c>
      <c r="C360" s="11" t="s">
        <v>18</v>
      </c>
      <c r="D360" s="11" t="s">
        <v>19</v>
      </c>
      <c r="E360" s="11" t="s">
        <v>19</v>
      </c>
      <c r="F360" s="11" t="s">
        <v>1335</v>
      </c>
      <c r="G360" s="11" t="s">
        <v>83</v>
      </c>
      <c r="H360" s="11" t="s">
        <v>1336</v>
      </c>
      <c r="I360" s="11" t="s">
        <v>1337</v>
      </c>
      <c r="J360" s="12">
        <v>0.91369999999999996</v>
      </c>
      <c r="K360" s="13">
        <v>2</v>
      </c>
      <c r="L360" s="14">
        <v>334</v>
      </c>
      <c r="M360" s="10">
        <v>305</v>
      </c>
      <c r="N360" s="10">
        <v>36908</v>
      </c>
      <c r="O360" s="10">
        <v>23918</v>
      </c>
      <c r="P360" s="10">
        <v>60826</v>
      </c>
    </row>
    <row r="361" spans="1:16" ht="27" customHeight="1" x14ac:dyDescent="0.2">
      <c r="A361" s="9" t="s">
        <v>1292</v>
      </c>
      <c r="B361" s="10" t="s">
        <v>1338</v>
      </c>
      <c r="C361" s="11" t="s">
        <v>18</v>
      </c>
      <c r="D361" s="11" t="s">
        <v>19</v>
      </c>
      <c r="E361" s="11" t="s">
        <v>19</v>
      </c>
      <c r="F361" s="11" t="s">
        <v>1339</v>
      </c>
      <c r="G361" s="11" t="s">
        <v>83</v>
      </c>
      <c r="H361" s="11" t="s">
        <v>1340</v>
      </c>
      <c r="I361" s="11" t="s">
        <v>1341</v>
      </c>
      <c r="J361" s="12">
        <v>0.70269999999999999</v>
      </c>
      <c r="K361" s="13">
        <v>2</v>
      </c>
      <c r="L361" s="14">
        <v>74</v>
      </c>
      <c r="M361" s="10">
        <v>52</v>
      </c>
      <c r="N361" s="10">
        <v>8177</v>
      </c>
      <c r="O361" s="10">
        <v>4078</v>
      </c>
      <c r="P361" s="10">
        <v>12255</v>
      </c>
    </row>
    <row r="362" spans="1:16" ht="27" customHeight="1" x14ac:dyDescent="0.2">
      <c r="A362" s="9" t="s">
        <v>1292</v>
      </c>
      <c r="B362" s="10" t="s">
        <v>1342</v>
      </c>
      <c r="C362" s="11" t="s">
        <v>18</v>
      </c>
      <c r="D362" s="11" t="s">
        <v>19</v>
      </c>
      <c r="E362" s="11" t="s">
        <v>19</v>
      </c>
      <c r="F362" s="11" t="s">
        <v>1343</v>
      </c>
      <c r="G362" s="11" t="s">
        <v>83</v>
      </c>
      <c r="H362" s="11" t="s">
        <v>1344</v>
      </c>
      <c r="I362" s="11" t="s">
        <v>1345</v>
      </c>
      <c r="J362" s="12">
        <v>0.94120000000000004</v>
      </c>
      <c r="K362" s="13">
        <v>10</v>
      </c>
      <c r="L362" s="14">
        <v>4740</v>
      </c>
      <c r="M362" s="10">
        <v>4093</v>
      </c>
      <c r="N362" s="10">
        <v>523778</v>
      </c>
      <c r="O362" s="10">
        <v>320970</v>
      </c>
      <c r="P362" s="10">
        <v>844748</v>
      </c>
    </row>
    <row r="363" spans="1:16" ht="27" customHeight="1" x14ac:dyDescent="0.2">
      <c r="A363" s="9" t="s">
        <v>1292</v>
      </c>
      <c r="B363" s="10" t="s">
        <v>1342</v>
      </c>
      <c r="C363" s="11" t="s">
        <v>1346</v>
      </c>
      <c r="D363" s="11" t="s">
        <v>1347</v>
      </c>
      <c r="E363" s="11" t="s">
        <v>57</v>
      </c>
      <c r="F363" s="11" t="s">
        <v>1348</v>
      </c>
      <c r="G363" s="11" t="s">
        <v>28</v>
      </c>
      <c r="H363" s="11" t="s">
        <v>1348</v>
      </c>
      <c r="I363" s="11" t="s">
        <v>1349</v>
      </c>
      <c r="J363" s="12">
        <v>0.87519999999999998</v>
      </c>
      <c r="K363" s="13">
        <v>1</v>
      </c>
      <c r="L363" s="14">
        <v>622</v>
      </c>
      <c r="M363" s="10">
        <v>544</v>
      </c>
      <c r="N363" s="10">
        <v>68732</v>
      </c>
      <c r="O363" s="10">
        <v>42660</v>
      </c>
      <c r="P363" s="10">
        <v>111392</v>
      </c>
    </row>
    <row r="364" spans="1:16" ht="27" customHeight="1" x14ac:dyDescent="0.2">
      <c r="A364" s="9" t="s">
        <v>1292</v>
      </c>
      <c r="B364" s="10" t="s">
        <v>1342</v>
      </c>
      <c r="C364" s="11" t="s">
        <v>1350</v>
      </c>
      <c r="D364" s="11" t="s">
        <v>1351</v>
      </c>
      <c r="E364" s="11" t="s">
        <v>57</v>
      </c>
      <c r="F364" s="11" t="s">
        <v>1352</v>
      </c>
      <c r="G364" s="11" t="s">
        <v>28</v>
      </c>
      <c r="H364" s="11" t="s">
        <v>1295</v>
      </c>
      <c r="I364" s="11" t="s">
        <v>1296</v>
      </c>
      <c r="J364" s="12">
        <v>1</v>
      </c>
      <c r="K364" s="13">
        <v>1</v>
      </c>
      <c r="L364" s="14">
        <v>604</v>
      </c>
      <c r="M364" s="10">
        <v>529</v>
      </c>
      <c r="N364" s="10">
        <v>66743</v>
      </c>
      <c r="O364" s="10">
        <v>41484</v>
      </c>
      <c r="P364" s="10">
        <v>108227</v>
      </c>
    </row>
    <row r="365" spans="1:16" ht="27" customHeight="1" x14ac:dyDescent="0.2">
      <c r="A365" s="9" t="s">
        <v>1292</v>
      </c>
      <c r="B365" s="10" t="s">
        <v>1342</v>
      </c>
      <c r="C365" s="11" t="s">
        <v>1353</v>
      </c>
      <c r="D365" s="11" t="s">
        <v>1354</v>
      </c>
      <c r="E365" s="11" t="s">
        <v>57</v>
      </c>
      <c r="F365" s="11" t="s">
        <v>1355</v>
      </c>
      <c r="G365" s="11" t="s">
        <v>28</v>
      </c>
      <c r="H365" s="11" t="s">
        <v>1355</v>
      </c>
      <c r="I365" s="11" t="s">
        <v>1356</v>
      </c>
      <c r="J365" s="12">
        <v>0.89539999999999997</v>
      </c>
      <c r="K365" s="13">
        <v>1</v>
      </c>
      <c r="L365" s="14">
        <v>507</v>
      </c>
      <c r="M365" s="10">
        <v>454</v>
      </c>
      <c r="N365" s="10">
        <v>56024</v>
      </c>
      <c r="O365" s="10">
        <v>35602</v>
      </c>
      <c r="P365" s="10">
        <v>91626</v>
      </c>
    </row>
    <row r="366" spans="1:16" ht="27" customHeight="1" x14ac:dyDescent="0.2">
      <c r="A366" s="9" t="s">
        <v>1292</v>
      </c>
      <c r="B366" s="10" t="s">
        <v>1357</v>
      </c>
      <c r="C366" s="11" t="s">
        <v>18</v>
      </c>
      <c r="D366" s="11" t="s">
        <v>19</v>
      </c>
      <c r="E366" s="11" t="s">
        <v>19</v>
      </c>
      <c r="F366" s="11" t="s">
        <v>1358</v>
      </c>
      <c r="G366" s="11" t="s">
        <v>83</v>
      </c>
      <c r="H366" s="11" t="s">
        <v>1295</v>
      </c>
      <c r="I366" s="11" t="s">
        <v>1296</v>
      </c>
      <c r="J366" s="12">
        <v>1</v>
      </c>
      <c r="K366" s="13">
        <v>5</v>
      </c>
      <c r="L366" s="14">
        <v>4142</v>
      </c>
      <c r="M366" s="10">
        <v>3727</v>
      </c>
      <c r="N366" s="10">
        <v>457698</v>
      </c>
      <c r="O366" s="10">
        <v>292268</v>
      </c>
      <c r="P366" s="10">
        <v>749966</v>
      </c>
    </row>
    <row r="367" spans="1:16" ht="27" customHeight="1" x14ac:dyDescent="0.2">
      <c r="A367" s="9" t="s">
        <v>1292</v>
      </c>
      <c r="B367" s="10" t="s">
        <v>1359</v>
      </c>
      <c r="C367" s="11" t="s">
        <v>18</v>
      </c>
      <c r="D367" s="11" t="s">
        <v>19</v>
      </c>
      <c r="E367" s="11" t="s">
        <v>19</v>
      </c>
      <c r="F367" s="11" t="s">
        <v>1295</v>
      </c>
      <c r="G367" s="11" t="s">
        <v>83</v>
      </c>
      <c r="H367" s="11" t="s">
        <v>1295</v>
      </c>
      <c r="I367" s="11" t="s">
        <v>1296</v>
      </c>
      <c r="J367" s="12">
        <v>1</v>
      </c>
      <c r="K367" s="13">
        <v>2</v>
      </c>
      <c r="L367" s="14">
        <v>229</v>
      </c>
      <c r="M367" s="10">
        <v>229</v>
      </c>
      <c r="N367" s="10">
        <v>25305</v>
      </c>
      <c r="O367" s="10">
        <v>17958</v>
      </c>
      <c r="P367" s="10">
        <v>43263</v>
      </c>
    </row>
    <row r="368" spans="1:16" ht="27" customHeight="1" x14ac:dyDescent="0.2">
      <c r="A368" s="9" t="s">
        <v>1292</v>
      </c>
      <c r="B368" s="10" t="s">
        <v>1360</v>
      </c>
      <c r="C368" s="11" t="s">
        <v>18</v>
      </c>
      <c r="D368" s="11" t="s">
        <v>19</v>
      </c>
      <c r="E368" s="11" t="s">
        <v>19</v>
      </c>
      <c r="F368" s="11" t="s">
        <v>1361</v>
      </c>
      <c r="G368" s="11" t="s">
        <v>83</v>
      </c>
      <c r="H368" s="11" t="s">
        <v>1362</v>
      </c>
      <c r="I368" s="11" t="s">
        <v>1363</v>
      </c>
      <c r="J368" s="12">
        <v>0.86909999999999998</v>
      </c>
      <c r="K368" s="13">
        <v>3</v>
      </c>
      <c r="L368" s="14">
        <v>1171</v>
      </c>
      <c r="M368" s="10">
        <v>1011</v>
      </c>
      <c r="N368" s="10">
        <v>129398</v>
      </c>
      <c r="O368" s="10">
        <v>79281</v>
      </c>
      <c r="P368" s="10">
        <v>208679</v>
      </c>
    </row>
    <row r="369" spans="1:16" ht="27" customHeight="1" x14ac:dyDescent="0.2">
      <c r="A369" s="9" t="s">
        <v>1292</v>
      </c>
      <c r="B369" s="10" t="s">
        <v>1364</v>
      </c>
      <c r="C369" s="11" t="s">
        <v>18</v>
      </c>
      <c r="D369" s="11" t="s">
        <v>19</v>
      </c>
      <c r="E369" s="11" t="s">
        <v>19</v>
      </c>
      <c r="F369" s="11" t="s">
        <v>1365</v>
      </c>
      <c r="G369" s="11" t="s">
        <v>83</v>
      </c>
      <c r="H369" s="11" t="s">
        <v>1365</v>
      </c>
      <c r="I369" s="11" t="s">
        <v>1366</v>
      </c>
      <c r="J369" s="12">
        <v>0.77910000000000001</v>
      </c>
      <c r="K369" s="13">
        <v>2</v>
      </c>
      <c r="L369" s="14">
        <v>163</v>
      </c>
      <c r="M369" s="10">
        <v>127</v>
      </c>
      <c r="N369" s="10">
        <v>18012</v>
      </c>
      <c r="O369" s="10">
        <v>9959</v>
      </c>
      <c r="P369" s="10">
        <v>27971</v>
      </c>
    </row>
    <row r="370" spans="1:16" ht="27" customHeight="1" x14ac:dyDescent="0.2">
      <c r="A370" s="9" t="s">
        <v>1292</v>
      </c>
      <c r="B370" s="10" t="s">
        <v>1367</v>
      </c>
      <c r="C370" s="11" t="s">
        <v>18</v>
      </c>
      <c r="D370" s="11" t="s">
        <v>19</v>
      </c>
      <c r="E370" s="11" t="s">
        <v>19</v>
      </c>
      <c r="F370" s="11" t="s">
        <v>1368</v>
      </c>
      <c r="G370" s="11" t="s">
        <v>83</v>
      </c>
      <c r="H370" s="11" t="s">
        <v>1369</v>
      </c>
      <c r="I370" s="11" t="s">
        <v>1370</v>
      </c>
      <c r="J370" s="12">
        <v>0.95179999999999998</v>
      </c>
      <c r="K370" s="13">
        <v>5</v>
      </c>
      <c r="L370" s="14">
        <v>2684</v>
      </c>
      <c r="M370" s="10">
        <v>2446</v>
      </c>
      <c r="N370" s="10">
        <v>296587</v>
      </c>
      <c r="O370" s="10">
        <v>191812</v>
      </c>
      <c r="P370" s="10">
        <v>488399</v>
      </c>
    </row>
    <row r="371" spans="1:16" ht="27" customHeight="1" x14ac:dyDescent="0.2">
      <c r="A371" s="9" t="s">
        <v>1292</v>
      </c>
      <c r="B371" s="10" t="s">
        <v>1371</v>
      </c>
      <c r="C371" s="11" t="s">
        <v>18</v>
      </c>
      <c r="D371" s="11" t="s">
        <v>19</v>
      </c>
      <c r="E371" s="11" t="s">
        <v>19</v>
      </c>
      <c r="F371" s="11" t="s">
        <v>1372</v>
      </c>
      <c r="G371" s="11" t="s">
        <v>83</v>
      </c>
      <c r="H371" s="11" t="s">
        <v>1373</v>
      </c>
      <c r="I371" s="11" t="s">
        <v>1374</v>
      </c>
      <c r="J371" s="12">
        <v>0.59160000000000001</v>
      </c>
      <c r="K371" s="13">
        <v>6</v>
      </c>
      <c r="L371" s="14">
        <v>3055</v>
      </c>
      <c r="M371" s="10">
        <v>1690</v>
      </c>
      <c r="N371" s="10">
        <v>337583</v>
      </c>
      <c r="O371" s="10">
        <v>132528</v>
      </c>
      <c r="P371" s="10">
        <v>470111</v>
      </c>
    </row>
    <row r="372" spans="1:16" ht="27" customHeight="1" x14ac:dyDescent="0.2">
      <c r="A372" s="9" t="s">
        <v>1292</v>
      </c>
      <c r="B372" s="10" t="s">
        <v>1375</v>
      </c>
      <c r="C372" s="11" t="s">
        <v>18</v>
      </c>
      <c r="D372" s="11" t="s">
        <v>19</v>
      </c>
      <c r="E372" s="11" t="s">
        <v>19</v>
      </c>
      <c r="F372" s="11" t="s">
        <v>1376</v>
      </c>
      <c r="G372" s="11" t="s">
        <v>83</v>
      </c>
      <c r="H372" s="11" t="s">
        <v>1376</v>
      </c>
      <c r="I372" s="11" t="s">
        <v>1377</v>
      </c>
      <c r="J372" s="12">
        <v>0.62570000000000003</v>
      </c>
      <c r="K372" s="13">
        <v>2</v>
      </c>
      <c r="L372" s="14">
        <v>180</v>
      </c>
      <c r="M372" s="10">
        <v>113</v>
      </c>
      <c r="N372" s="10">
        <v>19890</v>
      </c>
      <c r="O372" s="10">
        <v>8861</v>
      </c>
      <c r="P372" s="10">
        <v>28751</v>
      </c>
    </row>
    <row r="373" spans="1:16" ht="27" customHeight="1" x14ac:dyDescent="0.2">
      <c r="A373" s="9" t="s">
        <v>1292</v>
      </c>
      <c r="B373" s="10" t="s">
        <v>1378</v>
      </c>
      <c r="C373" s="11" t="s">
        <v>18</v>
      </c>
      <c r="D373" s="11" t="s">
        <v>19</v>
      </c>
      <c r="E373" s="11" t="s">
        <v>19</v>
      </c>
      <c r="F373" s="11" t="s">
        <v>1379</v>
      </c>
      <c r="G373" s="11" t="s">
        <v>83</v>
      </c>
      <c r="H373" s="11" t="s">
        <v>1014</v>
      </c>
      <c r="I373" s="11" t="s">
        <v>1380</v>
      </c>
      <c r="J373" s="12">
        <v>0.9476</v>
      </c>
      <c r="K373" s="13">
        <v>14</v>
      </c>
      <c r="L373" s="14">
        <v>9319</v>
      </c>
      <c r="M373" s="10">
        <v>8544</v>
      </c>
      <c r="N373" s="10">
        <v>1029765</v>
      </c>
      <c r="O373" s="10">
        <v>670013</v>
      </c>
      <c r="P373" s="10">
        <v>1699778</v>
      </c>
    </row>
    <row r="374" spans="1:16" ht="27" customHeight="1" x14ac:dyDescent="0.2">
      <c r="A374" s="9" t="s">
        <v>1292</v>
      </c>
      <c r="B374" s="10" t="s">
        <v>1381</v>
      </c>
      <c r="C374" s="11" t="s">
        <v>18</v>
      </c>
      <c r="D374" s="11" t="s">
        <v>19</v>
      </c>
      <c r="E374" s="11" t="s">
        <v>19</v>
      </c>
      <c r="F374" s="11" t="s">
        <v>1382</v>
      </c>
      <c r="G374" s="11" t="s">
        <v>83</v>
      </c>
      <c r="H374" s="11" t="s">
        <v>1295</v>
      </c>
      <c r="I374" s="11" t="s">
        <v>1296</v>
      </c>
      <c r="J374" s="12">
        <v>1</v>
      </c>
      <c r="K374" s="13">
        <v>25</v>
      </c>
      <c r="L374" s="14">
        <v>42462</v>
      </c>
      <c r="M374" s="10">
        <v>31800</v>
      </c>
      <c r="N374" s="10">
        <v>4692124</v>
      </c>
      <c r="O374" s="10">
        <v>2493723</v>
      </c>
      <c r="P374" s="10">
        <v>7185847</v>
      </c>
    </row>
    <row r="375" spans="1:16" ht="27" customHeight="1" x14ac:dyDescent="0.2">
      <c r="A375" s="9" t="s">
        <v>1292</v>
      </c>
      <c r="B375" s="10" t="s">
        <v>1381</v>
      </c>
      <c r="C375" s="11" t="s">
        <v>1383</v>
      </c>
      <c r="D375" s="11" t="s">
        <v>1384</v>
      </c>
      <c r="E375" s="11" t="s">
        <v>57</v>
      </c>
      <c r="F375" s="11" t="s">
        <v>1385</v>
      </c>
      <c r="G375" s="11" t="s">
        <v>28</v>
      </c>
      <c r="H375" s="11" t="s">
        <v>1295</v>
      </c>
      <c r="I375" s="11" t="s">
        <v>1296</v>
      </c>
      <c r="J375" s="12">
        <v>1</v>
      </c>
      <c r="K375" s="13">
        <v>1</v>
      </c>
      <c r="L375" s="14">
        <v>571</v>
      </c>
      <c r="M375" s="10">
        <v>542</v>
      </c>
      <c r="N375" s="10">
        <v>63096</v>
      </c>
      <c r="O375" s="10">
        <v>42503</v>
      </c>
      <c r="P375" s="10">
        <v>105599</v>
      </c>
    </row>
    <row r="376" spans="1:16" ht="27" customHeight="1" x14ac:dyDescent="0.2">
      <c r="A376" s="9" t="s">
        <v>1292</v>
      </c>
      <c r="B376" s="10" t="s">
        <v>1386</v>
      </c>
      <c r="C376" s="11" t="s">
        <v>18</v>
      </c>
      <c r="D376" s="11" t="s">
        <v>19</v>
      </c>
      <c r="E376" s="11" t="s">
        <v>19</v>
      </c>
      <c r="F376" s="11" t="s">
        <v>1387</v>
      </c>
      <c r="G376" s="11" t="s">
        <v>83</v>
      </c>
      <c r="H376" s="11" t="s">
        <v>1388</v>
      </c>
      <c r="I376" s="11" t="s">
        <v>1389</v>
      </c>
      <c r="J376" s="12">
        <v>0.86119999999999997</v>
      </c>
      <c r="K376" s="13">
        <v>4</v>
      </c>
      <c r="L376" s="14">
        <v>871</v>
      </c>
      <c r="M376" s="10">
        <v>713</v>
      </c>
      <c r="N376" s="10">
        <v>96247</v>
      </c>
      <c r="O376" s="10">
        <v>55912</v>
      </c>
      <c r="P376" s="10">
        <v>152159</v>
      </c>
    </row>
    <row r="377" spans="1:16" ht="27" customHeight="1" x14ac:dyDescent="0.2">
      <c r="A377" s="9" t="s">
        <v>1292</v>
      </c>
      <c r="B377" s="10" t="s">
        <v>1390</v>
      </c>
      <c r="C377" s="11" t="s">
        <v>18</v>
      </c>
      <c r="D377" s="11" t="s">
        <v>19</v>
      </c>
      <c r="E377" s="11" t="s">
        <v>19</v>
      </c>
      <c r="F377" s="11" t="s">
        <v>1391</v>
      </c>
      <c r="G377" s="11" t="s">
        <v>83</v>
      </c>
      <c r="H377" s="11" t="s">
        <v>1392</v>
      </c>
      <c r="I377" s="11" t="s">
        <v>1393</v>
      </c>
      <c r="J377" s="12">
        <v>0.7077</v>
      </c>
      <c r="K377" s="13">
        <v>3</v>
      </c>
      <c r="L377" s="14">
        <v>1577</v>
      </c>
      <c r="M377" s="10">
        <v>1039</v>
      </c>
      <c r="N377" s="10">
        <v>174261</v>
      </c>
      <c r="O377" s="10">
        <v>81478</v>
      </c>
      <c r="P377" s="10">
        <v>255739</v>
      </c>
    </row>
    <row r="378" spans="1:16" ht="27" customHeight="1" x14ac:dyDescent="0.2">
      <c r="A378" s="9" t="s">
        <v>1292</v>
      </c>
      <c r="B378" s="10" t="s">
        <v>1394</v>
      </c>
      <c r="C378" s="11" t="s">
        <v>18</v>
      </c>
      <c r="D378" s="11" t="s">
        <v>19</v>
      </c>
      <c r="E378" s="11" t="s">
        <v>19</v>
      </c>
      <c r="F378" s="11" t="s">
        <v>1395</v>
      </c>
      <c r="G378" s="11" t="s">
        <v>83</v>
      </c>
      <c r="H378" s="11" t="s">
        <v>1396</v>
      </c>
      <c r="I378" s="11" t="s">
        <v>1397</v>
      </c>
      <c r="J378" s="12">
        <v>0.874</v>
      </c>
      <c r="K378" s="13">
        <v>5</v>
      </c>
      <c r="L378" s="14">
        <v>2783</v>
      </c>
      <c r="M378" s="10">
        <v>2361</v>
      </c>
      <c r="N378" s="10">
        <v>307528</v>
      </c>
      <c r="O378" s="10">
        <v>185146</v>
      </c>
      <c r="P378" s="10">
        <v>492674</v>
      </c>
    </row>
    <row r="379" spans="1:16" ht="27" customHeight="1" x14ac:dyDescent="0.2">
      <c r="A379" s="9" t="s">
        <v>1292</v>
      </c>
      <c r="B379" s="10" t="s">
        <v>1398</v>
      </c>
      <c r="C379" s="11" t="s">
        <v>18</v>
      </c>
      <c r="D379" s="11" t="s">
        <v>19</v>
      </c>
      <c r="E379" s="11" t="s">
        <v>19</v>
      </c>
      <c r="F379" s="11" t="s">
        <v>1399</v>
      </c>
      <c r="G379" s="11" t="s">
        <v>83</v>
      </c>
      <c r="H379" s="11" t="s">
        <v>1400</v>
      </c>
      <c r="I379" s="11" t="s">
        <v>1401</v>
      </c>
      <c r="J379" s="12">
        <v>0.91220000000000001</v>
      </c>
      <c r="K379" s="13">
        <v>5</v>
      </c>
      <c r="L379" s="14">
        <v>2590</v>
      </c>
      <c r="M379" s="10">
        <v>2219</v>
      </c>
      <c r="N379" s="10">
        <v>286198</v>
      </c>
      <c r="O379" s="10">
        <v>174012</v>
      </c>
      <c r="P379" s="10">
        <v>460210</v>
      </c>
    </row>
    <row r="380" spans="1:16" ht="27" customHeight="1" x14ac:dyDescent="0.2">
      <c r="A380" s="9" t="s">
        <v>1292</v>
      </c>
      <c r="B380" s="10" t="s">
        <v>1398</v>
      </c>
      <c r="C380" s="11" t="s">
        <v>1402</v>
      </c>
      <c r="D380" s="11" t="s">
        <v>1403</v>
      </c>
      <c r="E380" s="11" t="s">
        <v>26</v>
      </c>
      <c r="F380" s="11" t="s">
        <v>1404</v>
      </c>
      <c r="G380" s="11" t="s">
        <v>28</v>
      </c>
      <c r="H380" s="11" t="s">
        <v>1404</v>
      </c>
      <c r="I380" s="11" t="s">
        <v>1405</v>
      </c>
      <c r="J380" s="12">
        <v>0.74660000000000004</v>
      </c>
      <c r="K380" s="13">
        <v>1</v>
      </c>
      <c r="L380" s="14">
        <v>801</v>
      </c>
      <c r="M380" s="10">
        <v>598</v>
      </c>
      <c r="N380" s="10">
        <v>88512</v>
      </c>
      <c r="O380" s="10">
        <v>46895</v>
      </c>
      <c r="P380" s="10">
        <v>135407</v>
      </c>
    </row>
    <row r="381" spans="1:16" ht="27" customHeight="1" x14ac:dyDescent="0.2">
      <c r="A381" s="9" t="s">
        <v>1292</v>
      </c>
      <c r="B381" s="10" t="s">
        <v>1406</v>
      </c>
      <c r="C381" s="11" t="s">
        <v>18</v>
      </c>
      <c r="D381" s="11" t="s">
        <v>19</v>
      </c>
      <c r="E381" s="11" t="s">
        <v>19</v>
      </c>
      <c r="F381" s="11" t="s">
        <v>1407</v>
      </c>
      <c r="G381" s="11" t="s">
        <v>83</v>
      </c>
      <c r="H381" s="11" t="s">
        <v>1408</v>
      </c>
      <c r="I381" s="11" t="s">
        <v>1409</v>
      </c>
      <c r="J381" s="12">
        <v>0.66669999999999996</v>
      </c>
      <c r="K381" s="13">
        <v>2</v>
      </c>
      <c r="L381" s="14">
        <v>18</v>
      </c>
      <c r="M381" s="10">
        <v>12</v>
      </c>
      <c r="N381" s="10">
        <v>1989</v>
      </c>
      <c r="O381" s="10">
        <v>941</v>
      </c>
      <c r="P381" s="10">
        <v>2930</v>
      </c>
    </row>
    <row r="382" spans="1:16" ht="27" customHeight="1" x14ac:dyDescent="0.2">
      <c r="A382" s="9" t="s">
        <v>1292</v>
      </c>
      <c r="B382" s="10" t="s">
        <v>1410</v>
      </c>
      <c r="C382" s="11" t="s">
        <v>18</v>
      </c>
      <c r="D382" s="11" t="s">
        <v>19</v>
      </c>
      <c r="E382" s="11" t="s">
        <v>19</v>
      </c>
      <c r="F382" s="11" t="s">
        <v>1411</v>
      </c>
      <c r="G382" s="11" t="s">
        <v>83</v>
      </c>
      <c r="H382" s="11" t="s">
        <v>1412</v>
      </c>
      <c r="I382" s="11" t="s">
        <v>1413</v>
      </c>
      <c r="J382" s="12">
        <v>0.75560000000000005</v>
      </c>
      <c r="K382" s="13">
        <v>3</v>
      </c>
      <c r="L382" s="14">
        <v>299</v>
      </c>
      <c r="M382" s="10">
        <v>225</v>
      </c>
      <c r="N382" s="10">
        <v>33040</v>
      </c>
      <c r="O382" s="10">
        <v>17644</v>
      </c>
      <c r="P382" s="10">
        <v>50684</v>
      </c>
    </row>
    <row r="383" spans="1:16" ht="27" customHeight="1" x14ac:dyDescent="0.2">
      <c r="A383" s="9" t="s">
        <v>1292</v>
      </c>
      <c r="B383" s="10" t="s">
        <v>1414</v>
      </c>
      <c r="C383" s="11" t="s">
        <v>18</v>
      </c>
      <c r="D383" s="11" t="s">
        <v>19</v>
      </c>
      <c r="E383" s="11" t="s">
        <v>19</v>
      </c>
      <c r="F383" s="11" t="s">
        <v>1415</v>
      </c>
      <c r="G383" s="11" t="s">
        <v>83</v>
      </c>
      <c r="H383" s="11" t="s">
        <v>1415</v>
      </c>
      <c r="I383" s="11" t="s">
        <v>1416</v>
      </c>
      <c r="J383" s="12">
        <v>0.53400000000000003</v>
      </c>
      <c r="K383" s="13">
        <v>2</v>
      </c>
      <c r="L383" s="14">
        <v>294</v>
      </c>
      <c r="M383" s="10">
        <v>157</v>
      </c>
      <c r="N383" s="10">
        <v>32487</v>
      </c>
      <c r="O383" s="10">
        <v>12312</v>
      </c>
      <c r="P383" s="10">
        <v>44799</v>
      </c>
    </row>
    <row r="384" spans="1:16" ht="27" customHeight="1" x14ac:dyDescent="0.2">
      <c r="A384" s="9" t="s">
        <v>1292</v>
      </c>
      <c r="B384" s="10" t="s">
        <v>1417</v>
      </c>
      <c r="C384" s="11" t="s">
        <v>18</v>
      </c>
      <c r="D384" s="11" t="s">
        <v>19</v>
      </c>
      <c r="E384" s="11" t="s">
        <v>19</v>
      </c>
      <c r="F384" s="11" t="s">
        <v>1418</v>
      </c>
      <c r="G384" s="11" t="s">
        <v>83</v>
      </c>
      <c r="H384" s="11" t="s">
        <v>1419</v>
      </c>
      <c r="I384" s="11" t="s">
        <v>1420</v>
      </c>
      <c r="J384" s="12">
        <v>1</v>
      </c>
      <c r="K384" s="13">
        <v>4</v>
      </c>
      <c r="L384" s="14">
        <v>318</v>
      </c>
      <c r="M384" s="10">
        <v>316</v>
      </c>
      <c r="N384" s="10">
        <v>35140</v>
      </c>
      <c r="O384" s="10">
        <v>24780</v>
      </c>
      <c r="P384" s="10">
        <v>59920</v>
      </c>
    </row>
    <row r="385" spans="1:16" ht="27" customHeight="1" x14ac:dyDescent="0.2">
      <c r="A385" s="9" t="s">
        <v>1292</v>
      </c>
      <c r="B385" s="10" t="s">
        <v>1417</v>
      </c>
      <c r="C385" s="11" t="s">
        <v>1421</v>
      </c>
      <c r="D385" s="11" t="s">
        <v>1422</v>
      </c>
      <c r="E385" s="11" t="s">
        <v>26</v>
      </c>
      <c r="F385" s="11" t="s">
        <v>1423</v>
      </c>
      <c r="G385" s="11" t="s">
        <v>28</v>
      </c>
      <c r="H385" s="11" t="s">
        <v>1295</v>
      </c>
      <c r="I385" s="11" t="s">
        <v>1296</v>
      </c>
      <c r="J385" s="12">
        <v>1</v>
      </c>
      <c r="K385" s="13">
        <v>1</v>
      </c>
      <c r="L385" s="14">
        <v>306</v>
      </c>
      <c r="M385" s="10">
        <v>221</v>
      </c>
      <c r="N385" s="10">
        <v>33814</v>
      </c>
      <c r="O385" s="10">
        <v>17331</v>
      </c>
      <c r="P385" s="10">
        <v>51145</v>
      </c>
    </row>
    <row r="386" spans="1:16" ht="27" customHeight="1" x14ac:dyDescent="0.2">
      <c r="A386" s="9" t="s">
        <v>1292</v>
      </c>
      <c r="B386" s="10" t="s">
        <v>1417</v>
      </c>
      <c r="C386" s="11" t="s">
        <v>1424</v>
      </c>
      <c r="D386" s="11" t="s">
        <v>1425</v>
      </c>
      <c r="E386" s="11" t="s">
        <v>26</v>
      </c>
      <c r="F386" s="11" t="s">
        <v>1426</v>
      </c>
      <c r="G386" s="11" t="s">
        <v>28</v>
      </c>
      <c r="H386" s="11" t="s">
        <v>1426</v>
      </c>
      <c r="I386" s="11" t="s">
        <v>1427</v>
      </c>
      <c r="J386" s="12">
        <v>0.19639999999999999</v>
      </c>
      <c r="K386" s="13">
        <v>1</v>
      </c>
      <c r="L386" s="14">
        <v>56</v>
      </c>
      <c r="M386" s="10">
        <v>11</v>
      </c>
      <c r="N386" s="10">
        <v>6188</v>
      </c>
      <c r="O386" s="10">
        <v>863</v>
      </c>
      <c r="P386" s="10">
        <v>7051</v>
      </c>
    </row>
    <row r="387" spans="1:16" ht="27" customHeight="1" x14ac:dyDescent="0.2">
      <c r="A387" s="9" t="s">
        <v>1292</v>
      </c>
      <c r="B387" s="10" t="s">
        <v>1417</v>
      </c>
      <c r="C387" s="11" t="s">
        <v>1428</v>
      </c>
      <c r="D387" s="11" t="s">
        <v>1429</v>
      </c>
      <c r="E387" s="11" t="s">
        <v>26</v>
      </c>
      <c r="F387" s="11" t="s">
        <v>1430</v>
      </c>
      <c r="G387" s="11" t="s">
        <v>28</v>
      </c>
      <c r="H387" s="11" t="s">
        <v>1430</v>
      </c>
      <c r="I387" s="11" t="s">
        <v>1431</v>
      </c>
      <c r="J387" s="12">
        <v>0.42359999999999998</v>
      </c>
      <c r="K387" s="13">
        <v>1</v>
      </c>
      <c r="L387" s="14">
        <v>6751</v>
      </c>
      <c r="M387" s="10">
        <v>2860</v>
      </c>
      <c r="N387" s="10">
        <v>745997</v>
      </c>
      <c r="O387" s="10">
        <v>224278</v>
      </c>
      <c r="P387" s="10">
        <v>970275</v>
      </c>
    </row>
    <row r="388" spans="1:16" ht="27" customHeight="1" x14ac:dyDescent="0.2">
      <c r="A388" s="9" t="s">
        <v>1292</v>
      </c>
      <c r="B388" s="10" t="s">
        <v>1417</v>
      </c>
      <c r="C388" s="11" t="s">
        <v>1432</v>
      </c>
      <c r="D388" s="11" t="s">
        <v>1433</v>
      </c>
      <c r="E388" s="11" t="s">
        <v>26</v>
      </c>
      <c r="F388" s="11" t="s">
        <v>1434</v>
      </c>
      <c r="G388" s="11" t="s">
        <v>28</v>
      </c>
      <c r="H388" s="11" t="s">
        <v>1434</v>
      </c>
      <c r="I388" s="11" t="s">
        <v>1435</v>
      </c>
      <c r="J388" s="12">
        <v>0.74960000000000004</v>
      </c>
      <c r="K388" s="13">
        <v>1</v>
      </c>
      <c r="L388" s="14">
        <v>1130</v>
      </c>
      <c r="M388" s="10">
        <v>847</v>
      </c>
      <c r="N388" s="10">
        <v>124867</v>
      </c>
      <c r="O388" s="10">
        <v>66421</v>
      </c>
      <c r="P388" s="10">
        <v>191288</v>
      </c>
    </row>
    <row r="389" spans="1:16" ht="27" customHeight="1" x14ac:dyDescent="0.2">
      <c r="A389" s="9" t="s">
        <v>1292</v>
      </c>
      <c r="B389" s="10" t="s">
        <v>1417</v>
      </c>
      <c r="C389" s="11" t="s">
        <v>1436</v>
      </c>
      <c r="D389" s="11" t="s">
        <v>1437</v>
      </c>
      <c r="E389" s="11" t="s">
        <v>26</v>
      </c>
      <c r="F389" s="11" t="s">
        <v>1438</v>
      </c>
      <c r="G389" s="11" t="s">
        <v>28</v>
      </c>
      <c r="H389" s="11" t="s">
        <v>1438</v>
      </c>
      <c r="I389" s="11" t="s">
        <v>1439</v>
      </c>
      <c r="J389" s="12">
        <v>0.43020000000000003</v>
      </c>
      <c r="K389" s="13">
        <v>1</v>
      </c>
      <c r="L389" s="14">
        <v>4700</v>
      </c>
      <c r="M389" s="10">
        <v>2022</v>
      </c>
      <c r="N389" s="10">
        <v>519358</v>
      </c>
      <c r="O389" s="10">
        <v>158563</v>
      </c>
      <c r="P389" s="10">
        <v>677921</v>
      </c>
    </row>
    <row r="390" spans="1:16" ht="27" customHeight="1" x14ac:dyDescent="0.2">
      <c r="A390" s="9" t="s">
        <v>1292</v>
      </c>
      <c r="B390" s="10" t="s">
        <v>1440</v>
      </c>
      <c r="C390" s="11" t="s">
        <v>18</v>
      </c>
      <c r="D390" s="11" t="s">
        <v>19</v>
      </c>
      <c r="E390" s="11" t="s">
        <v>19</v>
      </c>
      <c r="F390" s="11" t="s">
        <v>1441</v>
      </c>
      <c r="G390" s="11" t="s">
        <v>83</v>
      </c>
      <c r="H390" s="11" t="s">
        <v>1441</v>
      </c>
      <c r="I390" s="11" t="s">
        <v>1442</v>
      </c>
      <c r="J390" s="12">
        <v>0.54430000000000001</v>
      </c>
      <c r="K390" s="13">
        <v>2</v>
      </c>
      <c r="L390" s="14">
        <v>80</v>
      </c>
      <c r="M390" s="10">
        <v>44</v>
      </c>
      <c r="N390" s="10">
        <v>8840</v>
      </c>
      <c r="O390" s="10">
        <v>3450</v>
      </c>
      <c r="P390" s="10">
        <v>12290</v>
      </c>
    </row>
    <row r="391" spans="1:16" ht="27" customHeight="1" x14ac:dyDescent="0.2">
      <c r="A391" s="9" t="s">
        <v>1292</v>
      </c>
      <c r="B391" s="10" t="s">
        <v>1443</v>
      </c>
      <c r="C391" s="11" t="s">
        <v>18</v>
      </c>
      <c r="D391" s="11" t="s">
        <v>19</v>
      </c>
      <c r="E391" s="11" t="s">
        <v>19</v>
      </c>
      <c r="F391" s="11" t="s">
        <v>1444</v>
      </c>
      <c r="G391" s="11" t="s">
        <v>83</v>
      </c>
      <c r="H391" s="11" t="s">
        <v>1444</v>
      </c>
      <c r="I391" s="11" t="s">
        <v>1445</v>
      </c>
      <c r="J391" s="12">
        <v>0.55289999999999995</v>
      </c>
      <c r="K391" s="13">
        <v>2</v>
      </c>
      <c r="L391" s="14">
        <v>85</v>
      </c>
      <c r="M391" s="10">
        <v>47</v>
      </c>
      <c r="N391" s="10">
        <v>9393</v>
      </c>
      <c r="O391" s="10">
        <v>3686</v>
      </c>
      <c r="P391" s="10">
        <v>13079</v>
      </c>
    </row>
    <row r="392" spans="1:16" ht="27" customHeight="1" x14ac:dyDescent="0.2">
      <c r="A392" s="9" t="s">
        <v>1292</v>
      </c>
      <c r="B392" s="10" t="s">
        <v>1446</v>
      </c>
      <c r="C392" s="11" t="s">
        <v>18</v>
      </c>
      <c r="D392" s="11" t="s">
        <v>19</v>
      </c>
      <c r="E392" s="11" t="s">
        <v>19</v>
      </c>
      <c r="F392" s="11" t="s">
        <v>1447</v>
      </c>
      <c r="G392" s="11" t="s">
        <v>83</v>
      </c>
      <c r="H392" s="11" t="s">
        <v>1448</v>
      </c>
      <c r="I392" s="11" t="s">
        <v>1449</v>
      </c>
      <c r="J392" s="12">
        <v>0.93479999999999996</v>
      </c>
      <c r="K392" s="13">
        <v>7</v>
      </c>
      <c r="L392" s="14">
        <v>3015</v>
      </c>
      <c r="M392" s="10">
        <v>2685</v>
      </c>
      <c r="N392" s="10">
        <v>333163</v>
      </c>
      <c r="O392" s="10">
        <v>210556</v>
      </c>
      <c r="P392" s="10">
        <v>543719</v>
      </c>
    </row>
    <row r="393" spans="1:16" ht="27" customHeight="1" x14ac:dyDescent="0.2">
      <c r="A393" s="9" t="s">
        <v>1292</v>
      </c>
      <c r="B393" s="10" t="s">
        <v>1450</v>
      </c>
      <c r="C393" s="11" t="s">
        <v>18</v>
      </c>
      <c r="D393" s="11" t="s">
        <v>19</v>
      </c>
      <c r="E393" s="11" t="s">
        <v>19</v>
      </c>
      <c r="F393" s="11" t="s">
        <v>1451</v>
      </c>
      <c r="G393" s="11" t="s">
        <v>83</v>
      </c>
      <c r="H393" s="11" t="s">
        <v>1452</v>
      </c>
      <c r="I393" s="11" t="s">
        <v>1453</v>
      </c>
      <c r="J393" s="12">
        <v>0.68620000000000003</v>
      </c>
      <c r="K393" s="13">
        <v>7</v>
      </c>
      <c r="L393" s="14">
        <v>1743</v>
      </c>
      <c r="M393" s="10">
        <v>488</v>
      </c>
      <c r="N393" s="10">
        <v>192604</v>
      </c>
      <c r="O393" s="10">
        <v>38268</v>
      </c>
      <c r="P393" s="10">
        <v>230872</v>
      </c>
    </row>
    <row r="394" spans="1:16" ht="27" customHeight="1" x14ac:dyDescent="0.2">
      <c r="A394" s="9" t="s">
        <v>1292</v>
      </c>
      <c r="B394" s="10" t="s">
        <v>1454</v>
      </c>
      <c r="C394" s="11" t="s">
        <v>18</v>
      </c>
      <c r="D394" s="11" t="s">
        <v>19</v>
      </c>
      <c r="E394" s="11" t="s">
        <v>19</v>
      </c>
      <c r="F394" s="11" t="s">
        <v>1455</v>
      </c>
      <c r="G394" s="11" t="s">
        <v>83</v>
      </c>
      <c r="H394" s="11" t="s">
        <v>1456</v>
      </c>
      <c r="I394" s="11" t="s">
        <v>1457</v>
      </c>
      <c r="J394" s="12">
        <v>0.34760000000000002</v>
      </c>
      <c r="K394" s="13">
        <v>6</v>
      </c>
      <c r="L394" s="14">
        <v>3892</v>
      </c>
      <c r="M394" s="10">
        <v>1258</v>
      </c>
      <c r="N394" s="10">
        <v>430072</v>
      </c>
      <c r="O394" s="10">
        <v>98651</v>
      </c>
      <c r="P394" s="10">
        <v>528723</v>
      </c>
    </row>
    <row r="395" spans="1:16" ht="27" customHeight="1" x14ac:dyDescent="0.2">
      <c r="A395" s="9" t="s">
        <v>1292</v>
      </c>
      <c r="B395" s="10" t="s">
        <v>1458</v>
      </c>
      <c r="C395" s="11" t="s">
        <v>18</v>
      </c>
      <c r="D395" s="11" t="s">
        <v>19</v>
      </c>
      <c r="E395" s="11" t="s">
        <v>19</v>
      </c>
      <c r="F395" s="11" t="s">
        <v>1459</v>
      </c>
      <c r="G395" s="11" t="s">
        <v>83</v>
      </c>
      <c r="H395" s="11" t="s">
        <v>1460</v>
      </c>
      <c r="I395" s="11" t="s">
        <v>1461</v>
      </c>
      <c r="J395" s="12">
        <v>0.9022</v>
      </c>
      <c r="K395" s="13">
        <v>2</v>
      </c>
      <c r="L395" s="14">
        <v>184</v>
      </c>
      <c r="M395" s="10">
        <v>166</v>
      </c>
      <c r="N395" s="10">
        <v>20332</v>
      </c>
      <c r="O395" s="10">
        <v>13018</v>
      </c>
      <c r="P395" s="10">
        <v>33350</v>
      </c>
    </row>
    <row r="396" spans="1:16" ht="27" customHeight="1" x14ac:dyDescent="0.2">
      <c r="A396" s="9" t="s">
        <v>1292</v>
      </c>
      <c r="B396" s="10" t="s">
        <v>1462</v>
      </c>
      <c r="C396" s="11" t="s">
        <v>18</v>
      </c>
      <c r="D396" s="11" t="s">
        <v>19</v>
      </c>
      <c r="E396" s="11" t="s">
        <v>19</v>
      </c>
      <c r="F396" s="11" t="s">
        <v>1463</v>
      </c>
      <c r="G396" s="11" t="s">
        <v>83</v>
      </c>
      <c r="H396" s="11" t="s">
        <v>1464</v>
      </c>
      <c r="I396" s="11" t="s">
        <v>1465</v>
      </c>
      <c r="J396" s="12">
        <v>0.52749999999999997</v>
      </c>
      <c r="K396" s="13">
        <v>10</v>
      </c>
      <c r="L396" s="14">
        <v>6121</v>
      </c>
      <c r="M396" s="10">
        <v>2016</v>
      </c>
      <c r="N396" s="10">
        <v>676381</v>
      </c>
      <c r="O396" s="10">
        <v>158091</v>
      </c>
      <c r="P396" s="10">
        <v>834472</v>
      </c>
    </row>
    <row r="397" spans="1:16" ht="27" customHeight="1" x14ac:dyDescent="0.2">
      <c r="A397" s="9" t="s">
        <v>1292</v>
      </c>
      <c r="B397" s="10" t="s">
        <v>1466</v>
      </c>
      <c r="C397" s="11" t="s">
        <v>18</v>
      </c>
      <c r="D397" s="11" t="s">
        <v>19</v>
      </c>
      <c r="E397" s="11" t="s">
        <v>19</v>
      </c>
      <c r="F397" s="11" t="s">
        <v>1467</v>
      </c>
      <c r="G397" s="11" t="s">
        <v>83</v>
      </c>
      <c r="H397" s="11" t="s">
        <v>1467</v>
      </c>
      <c r="I397" s="11" t="s">
        <v>1468</v>
      </c>
      <c r="J397" s="12">
        <v>0.62909999999999999</v>
      </c>
      <c r="K397" s="13">
        <v>2</v>
      </c>
      <c r="L397" s="14">
        <v>151</v>
      </c>
      <c r="M397" s="10">
        <v>95</v>
      </c>
      <c r="N397" s="10">
        <v>16686</v>
      </c>
      <c r="O397" s="10">
        <v>7450</v>
      </c>
      <c r="P397" s="10">
        <v>24136</v>
      </c>
    </row>
    <row r="398" spans="1:16" ht="27" customHeight="1" x14ac:dyDescent="0.2">
      <c r="A398" s="9" t="s">
        <v>1292</v>
      </c>
      <c r="B398" s="10" t="s">
        <v>1469</v>
      </c>
      <c r="C398" s="11" t="s">
        <v>18</v>
      </c>
      <c r="D398" s="11" t="s">
        <v>19</v>
      </c>
      <c r="E398" s="11" t="s">
        <v>19</v>
      </c>
      <c r="F398" s="11" t="s">
        <v>1470</v>
      </c>
      <c r="G398" s="11" t="s">
        <v>83</v>
      </c>
      <c r="H398" s="11" t="s">
        <v>1471</v>
      </c>
      <c r="I398" s="11" t="s">
        <v>1472</v>
      </c>
      <c r="J398" s="12">
        <v>0.94189999999999996</v>
      </c>
      <c r="K398" s="13">
        <v>7</v>
      </c>
      <c r="L398" s="14">
        <v>3687</v>
      </c>
      <c r="M398" s="10">
        <v>3096</v>
      </c>
      <c r="N398" s="10">
        <v>407419</v>
      </c>
      <c r="O398" s="10">
        <v>242784</v>
      </c>
      <c r="P398" s="10">
        <v>650203</v>
      </c>
    </row>
    <row r="399" spans="1:16" ht="27" customHeight="1" x14ac:dyDescent="0.2">
      <c r="A399" s="9" t="s">
        <v>1292</v>
      </c>
      <c r="B399" s="10" t="s">
        <v>1473</v>
      </c>
      <c r="C399" s="11" t="s">
        <v>18</v>
      </c>
      <c r="D399" s="11" t="s">
        <v>19</v>
      </c>
      <c r="E399" s="11" t="s">
        <v>19</v>
      </c>
      <c r="F399" s="11" t="s">
        <v>1474</v>
      </c>
      <c r="G399" s="11" t="s">
        <v>83</v>
      </c>
      <c r="H399" s="11" t="s">
        <v>1475</v>
      </c>
      <c r="I399" s="11" t="s">
        <v>1476</v>
      </c>
      <c r="J399" s="12">
        <v>0.70930000000000004</v>
      </c>
      <c r="K399" s="13">
        <v>2</v>
      </c>
      <c r="L399" s="14">
        <v>346</v>
      </c>
      <c r="M399" s="10">
        <v>245</v>
      </c>
      <c r="N399" s="10">
        <v>38234</v>
      </c>
      <c r="O399" s="10">
        <v>19213</v>
      </c>
      <c r="P399" s="10">
        <v>57447</v>
      </c>
    </row>
    <row r="400" spans="1:16" ht="27" customHeight="1" x14ac:dyDescent="0.2">
      <c r="A400" s="9" t="s">
        <v>1292</v>
      </c>
      <c r="B400" s="10" t="s">
        <v>1477</v>
      </c>
      <c r="C400" s="11" t="s">
        <v>18</v>
      </c>
      <c r="D400" s="11" t="s">
        <v>19</v>
      </c>
      <c r="E400" s="11" t="s">
        <v>19</v>
      </c>
      <c r="F400" s="11" t="s">
        <v>1478</v>
      </c>
      <c r="G400" s="11" t="s">
        <v>83</v>
      </c>
      <c r="H400" s="11" t="s">
        <v>1478</v>
      </c>
      <c r="I400" s="11" t="s">
        <v>1479</v>
      </c>
      <c r="J400" s="12">
        <v>0.95650000000000002</v>
      </c>
      <c r="K400" s="13">
        <v>5</v>
      </c>
      <c r="L400" s="14">
        <v>3074</v>
      </c>
      <c r="M400" s="10">
        <v>2733</v>
      </c>
      <c r="N400" s="10">
        <v>339682</v>
      </c>
      <c r="O400" s="10">
        <v>214319</v>
      </c>
      <c r="P400" s="10">
        <v>554001</v>
      </c>
    </row>
    <row r="401" spans="1:16" ht="27" customHeight="1" x14ac:dyDescent="0.2">
      <c r="A401" s="9" t="s">
        <v>1292</v>
      </c>
      <c r="B401" s="10" t="s">
        <v>1480</v>
      </c>
      <c r="C401" s="11" t="s">
        <v>18</v>
      </c>
      <c r="D401" s="11" t="s">
        <v>19</v>
      </c>
      <c r="E401" s="11" t="s">
        <v>19</v>
      </c>
      <c r="F401" s="11" t="s">
        <v>1481</v>
      </c>
      <c r="G401" s="11" t="s">
        <v>83</v>
      </c>
      <c r="H401" s="11" t="s">
        <v>1482</v>
      </c>
      <c r="I401" s="11" t="s">
        <v>1483</v>
      </c>
      <c r="J401" s="12">
        <v>0.98350000000000004</v>
      </c>
      <c r="K401" s="13">
        <v>7</v>
      </c>
      <c r="L401" s="14">
        <v>2424</v>
      </c>
      <c r="M401" s="10">
        <v>2162</v>
      </c>
      <c r="N401" s="10">
        <v>267857</v>
      </c>
      <c r="O401" s="10">
        <v>169542</v>
      </c>
      <c r="P401" s="10">
        <v>437399</v>
      </c>
    </row>
    <row r="402" spans="1:16" ht="27" customHeight="1" x14ac:dyDescent="0.2">
      <c r="A402" s="9" t="s">
        <v>1292</v>
      </c>
      <c r="B402" s="10" t="s">
        <v>1484</v>
      </c>
      <c r="C402" s="11" t="s">
        <v>18</v>
      </c>
      <c r="D402" s="11" t="s">
        <v>19</v>
      </c>
      <c r="E402" s="11" t="s">
        <v>19</v>
      </c>
      <c r="F402" s="11" t="s">
        <v>1485</v>
      </c>
      <c r="G402" s="11" t="s">
        <v>83</v>
      </c>
      <c r="H402" s="11" t="s">
        <v>1295</v>
      </c>
      <c r="I402" s="11" t="s">
        <v>1296</v>
      </c>
      <c r="J402" s="12">
        <v>1</v>
      </c>
      <c r="K402" s="13">
        <v>3</v>
      </c>
      <c r="L402" s="14">
        <v>1186</v>
      </c>
      <c r="M402" s="10">
        <v>727</v>
      </c>
      <c r="N402" s="10">
        <v>131055</v>
      </c>
      <c r="O402" s="10">
        <v>57010</v>
      </c>
      <c r="P402" s="10">
        <v>188065</v>
      </c>
    </row>
    <row r="403" spans="1:16" ht="27" customHeight="1" x14ac:dyDescent="0.2">
      <c r="A403" s="9" t="s">
        <v>1292</v>
      </c>
      <c r="B403" s="10" t="s">
        <v>1486</v>
      </c>
      <c r="C403" s="11" t="s">
        <v>18</v>
      </c>
      <c r="D403" s="11" t="s">
        <v>19</v>
      </c>
      <c r="E403" s="11" t="s">
        <v>19</v>
      </c>
      <c r="F403" s="11" t="s">
        <v>1487</v>
      </c>
      <c r="G403" s="11" t="s">
        <v>83</v>
      </c>
      <c r="H403" s="11" t="s">
        <v>1488</v>
      </c>
      <c r="I403" s="11" t="s">
        <v>1489</v>
      </c>
      <c r="J403" s="12">
        <v>0.43459999999999999</v>
      </c>
      <c r="K403" s="13">
        <v>8</v>
      </c>
      <c r="L403" s="14">
        <v>4187</v>
      </c>
      <c r="M403" s="10">
        <v>1445</v>
      </c>
      <c r="N403" s="10">
        <v>462671</v>
      </c>
      <c r="O403" s="10">
        <v>113316</v>
      </c>
      <c r="P403" s="10">
        <v>575987</v>
      </c>
    </row>
    <row r="404" spans="1:16" ht="27" customHeight="1" x14ac:dyDescent="0.2">
      <c r="A404" s="9" t="s">
        <v>1292</v>
      </c>
      <c r="B404" s="10" t="s">
        <v>1490</v>
      </c>
      <c r="C404" s="11" t="s">
        <v>18</v>
      </c>
      <c r="D404" s="11" t="s">
        <v>19</v>
      </c>
      <c r="E404" s="11" t="s">
        <v>19</v>
      </c>
      <c r="F404" s="11" t="s">
        <v>1491</v>
      </c>
      <c r="G404" s="11" t="s">
        <v>83</v>
      </c>
      <c r="H404" s="11" t="s">
        <v>1491</v>
      </c>
      <c r="I404" s="11" t="s">
        <v>1492</v>
      </c>
      <c r="J404" s="12">
        <v>1</v>
      </c>
      <c r="K404" s="13">
        <v>3</v>
      </c>
      <c r="L404" s="14">
        <v>678</v>
      </c>
      <c r="M404" s="10">
        <v>678</v>
      </c>
      <c r="N404" s="10">
        <v>74920</v>
      </c>
      <c r="O404" s="10">
        <v>53168</v>
      </c>
      <c r="P404" s="10">
        <v>128088</v>
      </c>
    </row>
    <row r="405" spans="1:16" ht="27" customHeight="1" x14ac:dyDescent="0.2">
      <c r="A405" s="9" t="s">
        <v>1292</v>
      </c>
      <c r="B405" s="10" t="s">
        <v>1493</v>
      </c>
      <c r="C405" s="11" t="s">
        <v>18</v>
      </c>
      <c r="D405" s="11" t="s">
        <v>19</v>
      </c>
      <c r="E405" s="11" t="s">
        <v>19</v>
      </c>
      <c r="F405" s="11" t="s">
        <v>1494</v>
      </c>
      <c r="G405" s="11" t="s">
        <v>83</v>
      </c>
      <c r="H405" s="11" t="s">
        <v>1495</v>
      </c>
      <c r="I405" s="11" t="s">
        <v>1496</v>
      </c>
      <c r="J405" s="12">
        <v>0.95420000000000005</v>
      </c>
      <c r="K405" s="13">
        <v>7</v>
      </c>
      <c r="L405" s="14">
        <v>3445</v>
      </c>
      <c r="M405" s="10">
        <v>3188</v>
      </c>
      <c r="N405" s="10">
        <v>380678</v>
      </c>
      <c r="O405" s="10">
        <v>250000</v>
      </c>
      <c r="P405" s="10">
        <v>630678</v>
      </c>
    </row>
    <row r="406" spans="1:16" ht="27" customHeight="1" x14ac:dyDescent="0.2">
      <c r="A406" s="9" t="s">
        <v>1292</v>
      </c>
      <c r="B406" s="10" t="s">
        <v>1497</v>
      </c>
      <c r="C406" s="11" t="s">
        <v>18</v>
      </c>
      <c r="D406" s="11" t="s">
        <v>19</v>
      </c>
      <c r="E406" s="11" t="s">
        <v>19</v>
      </c>
      <c r="F406" s="11" t="s">
        <v>1498</v>
      </c>
      <c r="G406" s="11" t="s">
        <v>83</v>
      </c>
      <c r="H406" s="11" t="s">
        <v>1295</v>
      </c>
      <c r="I406" s="11" t="s">
        <v>1296</v>
      </c>
      <c r="J406" s="12">
        <v>1</v>
      </c>
      <c r="K406" s="13">
        <v>3</v>
      </c>
      <c r="L406" s="14">
        <v>1853</v>
      </c>
      <c r="M406" s="10">
        <v>1612</v>
      </c>
      <c r="N406" s="10">
        <v>204759</v>
      </c>
      <c r="O406" s="10">
        <v>126411</v>
      </c>
      <c r="P406" s="10">
        <v>331170</v>
      </c>
    </row>
    <row r="407" spans="1:16" ht="27" customHeight="1" x14ac:dyDescent="0.2">
      <c r="A407" s="9" t="s">
        <v>1292</v>
      </c>
      <c r="B407" s="10" t="s">
        <v>1499</v>
      </c>
      <c r="C407" s="11" t="s">
        <v>18</v>
      </c>
      <c r="D407" s="11" t="s">
        <v>19</v>
      </c>
      <c r="E407" s="11" t="s">
        <v>19</v>
      </c>
      <c r="F407" s="11" t="s">
        <v>1500</v>
      </c>
      <c r="G407" s="11" t="s">
        <v>83</v>
      </c>
      <c r="H407" s="11" t="s">
        <v>1501</v>
      </c>
      <c r="I407" s="11" t="s">
        <v>1502</v>
      </c>
      <c r="J407" s="12">
        <v>0.47649999999999998</v>
      </c>
      <c r="K407" s="13">
        <v>3</v>
      </c>
      <c r="L407" s="14">
        <v>1018</v>
      </c>
      <c r="M407" s="10">
        <v>505</v>
      </c>
      <c r="N407" s="10">
        <v>112491</v>
      </c>
      <c r="O407" s="10">
        <v>39602</v>
      </c>
      <c r="P407" s="10">
        <v>152093</v>
      </c>
    </row>
    <row r="408" spans="1:16" ht="27" customHeight="1" x14ac:dyDescent="0.2">
      <c r="A408" s="9" t="s">
        <v>1292</v>
      </c>
      <c r="B408" s="10" t="s">
        <v>1503</v>
      </c>
      <c r="C408" s="11" t="s">
        <v>18</v>
      </c>
      <c r="D408" s="11" t="s">
        <v>19</v>
      </c>
      <c r="E408" s="11" t="s">
        <v>19</v>
      </c>
      <c r="F408" s="11" t="s">
        <v>1504</v>
      </c>
      <c r="G408" s="11" t="s">
        <v>83</v>
      </c>
      <c r="H408" s="11" t="s">
        <v>1505</v>
      </c>
      <c r="I408" s="11" t="s">
        <v>1506</v>
      </c>
      <c r="J408" s="12">
        <v>0.70479999999999998</v>
      </c>
      <c r="K408" s="13">
        <v>12</v>
      </c>
      <c r="L408" s="14">
        <v>5190</v>
      </c>
      <c r="M408" s="10">
        <v>2433</v>
      </c>
      <c r="N408" s="10">
        <v>573504</v>
      </c>
      <c r="O408" s="10">
        <v>190792</v>
      </c>
      <c r="P408" s="10">
        <v>764296</v>
      </c>
    </row>
    <row r="409" spans="1:16" ht="27" customHeight="1" x14ac:dyDescent="0.2">
      <c r="A409" s="9" t="s">
        <v>1292</v>
      </c>
      <c r="B409" s="10" t="s">
        <v>1507</v>
      </c>
      <c r="C409" s="11" t="s">
        <v>18</v>
      </c>
      <c r="D409" s="11" t="s">
        <v>19</v>
      </c>
      <c r="E409" s="11" t="s">
        <v>19</v>
      </c>
      <c r="F409" s="11" t="s">
        <v>1508</v>
      </c>
      <c r="G409" s="11" t="s">
        <v>83</v>
      </c>
      <c r="H409" s="11" t="s">
        <v>1509</v>
      </c>
      <c r="I409" s="11" t="s">
        <v>1510</v>
      </c>
      <c r="J409" s="12">
        <v>0.9395</v>
      </c>
      <c r="K409" s="13">
        <v>8</v>
      </c>
      <c r="L409" s="14">
        <v>3417</v>
      </c>
      <c r="M409" s="10">
        <v>3011</v>
      </c>
      <c r="N409" s="10">
        <v>377584</v>
      </c>
      <c r="O409" s="10">
        <v>236119</v>
      </c>
      <c r="P409" s="10">
        <v>613703</v>
      </c>
    </row>
    <row r="410" spans="1:16" ht="27" customHeight="1" x14ac:dyDescent="0.2">
      <c r="A410" s="9" t="s">
        <v>1292</v>
      </c>
      <c r="B410" s="10" t="s">
        <v>1511</v>
      </c>
      <c r="C410" s="11" t="s">
        <v>18</v>
      </c>
      <c r="D410" s="11" t="s">
        <v>19</v>
      </c>
      <c r="E410" s="11" t="s">
        <v>19</v>
      </c>
      <c r="F410" s="11" t="s">
        <v>1512</v>
      </c>
      <c r="G410" s="11" t="s">
        <v>83</v>
      </c>
      <c r="H410" s="11" t="s">
        <v>1513</v>
      </c>
      <c r="I410" s="11" t="s">
        <v>1514</v>
      </c>
      <c r="J410" s="12">
        <v>0.75819999999999999</v>
      </c>
      <c r="K410" s="13">
        <v>4</v>
      </c>
      <c r="L410" s="14">
        <v>686</v>
      </c>
      <c r="M410" s="10">
        <v>526</v>
      </c>
      <c r="N410" s="10">
        <v>75804</v>
      </c>
      <c r="O410" s="10">
        <v>41249</v>
      </c>
      <c r="P410" s="10">
        <v>117053</v>
      </c>
    </row>
    <row r="411" spans="1:16" ht="27" customHeight="1" x14ac:dyDescent="0.2">
      <c r="A411" s="9" t="s">
        <v>1515</v>
      </c>
      <c r="B411" s="10" t="s">
        <v>1516</v>
      </c>
      <c r="C411" s="11" t="s">
        <v>18</v>
      </c>
      <c r="D411" s="11" t="s">
        <v>19</v>
      </c>
      <c r="E411" s="11" t="s">
        <v>19</v>
      </c>
      <c r="F411" s="11" t="s">
        <v>1517</v>
      </c>
      <c r="G411" s="11" t="s">
        <v>21</v>
      </c>
      <c r="H411" s="11" t="s">
        <v>1518</v>
      </c>
      <c r="I411" s="11" t="s">
        <v>1519</v>
      </c>
      <c r="J411" s="12">
        <v>0.96230000000000004</v>
      </c>
      <c r="K411" s="13">
        <v>4</v>
      </c>
      <c r="L411" s="14">
        <v>573</v>
      </c>
      <c r="M411" s="10">
        <v>440</v>
      </c>
      <c r="N411" s="10">
        <v>63318</v>
      </c>
      <c r="O411" s="10">
        <v>34504</v>
      </c>
      <c r="P411" s="10">
        <v>97822</v>
      </c>
    </row>
    <row r="412" spans="1:16" ht="27" customHeight="1" x14ac:dyDescent="0.2">
      <c r="A412" s="9" t="s">
        <v>1515</v>
      </c>
      <c r="B412" s="10" t="s">
        <v>1520</v>
      </c>
      <c r="C412" s="11" t="s">
        <v>18</v>
      </c>
      <c r="D412" s="11" t="s">
        <v>19</v>
      </c>
      <c r="E412" s="11" t="s">
        <v>19</v>
      </c>
      <c r="F412" s="11" t="s">
        <v>1521</v>
      </c>
      <c r="G412" s="11" t="s">
        <v>83</v>
      </c>
      <c r="H412" s="11" t="s">
        <v>1522</v>
      </c>
      <c r="I412" s="11" t="s">
        <v>1523</v>
      </c>
      <c r="J412" s="12">
        <v>0.877</v>
      </c>
      <c r="K412" s="13">
        <v>3</v>
      </c>
      <c r="L412" s="14">
        <v>982</v>
      </c>
      <c r="M412" s="10">
        <v>864</v>
      </c>
      <c r="N412" s="10">
        <v>108512</v>
      </c>
      <c r="O412" s="10">
        <v>67754</v>
      </c>
      <c r="P412" s="10">
        <v>176266</v>
      </c>
    </row>
    <row r="413" spans="1:16" ht="27" customHeight="1" x14ac:dyDescent="0.2">
      <c r="A413" s="9" t="s">
        <v>1515</v>
      </c>
      <c r="B413" s="10" t="s">
        <v>1520</v>
      </c>
      <c r="C413" s="11" t="s">
        <v>1524</v>
      </c>
      <c r="D413" s="11" t="s">
        <v>1525</v>
      </c>
      <c r="E413" s="11" t="s">
        <v>57</v>
      </c>
      <c r="F413" s="11" t="s">
        <v>1526</v>
      </c>
      <c r="G413" s="11" t="s">
        <v>28</v>
      </c>
      <c r="H413" s="11" t="s">
        <v>1526</v>
      </c>
      <c r="I413" s="11" t="s">
        <v>1527</v>
      </c>
      <c r="J413" s="12">
        <v>0.78849999999999998</v>
      </c>
      <c r="K413" s="13">
        <v>1</v>
      </c>
      <c r="L413" s="14">
        <v>156</v>
      </c>
      <c r="M413" s="10">
        <v>123</v>
      </c>
      <c r="N413" s="10">
        <v>17238</v>
      </c>
      <c r="O413" s="10">
        <v>9646</v>
      </c>
      <c r="P413" s="10">
        <v>26884</v>
      </c>
    </row>
    <row r="414" spans="1:16" ht="27" customHeight="1" x14ac:dyDescent="0.2">
      <c r="A414" s="9" t="s">
        <v>1515</v>
      </c>
      <c r="B414" s="10" t="s">
        <v>1520</v>
      </c>
      <c r="C414" s="11" t="s">
        <v>1528</v>
      </c>
      <c r="D414" s="11" t="s">
        <v>1529</v>
      </c>
      <c r="E414" s="11" t="s">
        <v>26</v>
      </c>
      <c r="F414" s="11" t="s">
        <v>1530</v>
      </c>
      <c r="G414" s="11" t="s">
        <v>28</v>
      </c>
      <c r="H414" s="11" t="s">
        <v>1530</v>
      </c>
      <c r="I414" s="11" t="s">
        <v>1531</v>
      </c>
      <c r="J414" s="12">
        <v>0.71120000000000005</v>
      </c>
      <c r="K414" s="13">
        <v>1</v>
      </c>
      <c r="L414" s="14">
        <v>547</v>
      </c>
      <c r="M414" s="10">
        <v>389</v>
      </c>
      <c r="N414" s="10">
        <v>60444</v>
      </c>
      <c r="O414" s="10">
        <v>30505</v>
      </c>
      <c r="P414" s="10">
        <v>90949</v>
      </c>
    </row>
    <row r="415" spans="1:16" ht="27" customHeight="1" x14ac:dyDescent="0.2">
      <c r="A415" s="9" t="s">
        <v>1515</v>
      </c>
      <c r="B415" s="10" t="s">
        <v>1532</v>
      </c>
      <c r="C415" s="11" t="s">
        <v>18</v>
      </c>
      <c r="D415" s="11" t="s">
        <v>19</v>
      </c>
      <c r="E415" s="11" t="s">
        <v>19</v>
      </c>
      <c r="F415" s="11" t="s">
        <v>1533</v>
      </c>
      <c r="G415" s="11" t="s">
        <v>83</v>
      </c>
      <c r="H415" s="11" t="s">
        <v>1534</v>
      </c>
      <c r="I415" s="11" t="s">
        <v>1535</v>
      </c>
      <c r="J415" s="12">
        <v>0.84750000000000003</v>
      </c>
      <c r="K415" s="13">
        <v>5</v>
      </c>
      <c r="L415" s="14">
        <v>1674</v>
      </c>
      <c r="M415" s="10">
        <v>746</v>
      </c>
      <c r="N415" s="10">
        <v>184980</v>
      </c>
      <c r="O415" s="10">
        <v>58501</v>
      </c>
      <c r="P415" s="10">
        <v>243481</v>
      </c>
    </row>
    <row r="416" spans="1:16" ht="27" customHeight="1" x14ac:dyDescent="0.2">
      <c r="A416" s="9" t="s">
        <v>1515</v>
      </c>
      <c r="B416" s="10" t="s">
        <v>1536</v>
      </c>
      <c r="C416" s="11" t="s">
        <v>18</v>
      </c>
      <c r="D416" s="11" t="s">
        <v>19</v>
      </c>
      <c r="E416" s="11" t="s">
        <v>19</v>
      </c>
      <c r="F416" s="11" t="s">
        <v>1537</v>
      </c>
      <c r="G416" s="11" t="s">
        <v>83</v>
      </c>
      <c r="H416" s="11" t="s">
        <v>1538</v>
      </c>
      <c r="I416" s="11" t="s">
        <v>1539</v>
      </c>
      <c r="J416" s="12">
        <v>0.9284</v>
      </c>
      <c r="K416" s="13">
        <v>9</v>
      </c>
      <c r="L416" s="14">
        <v>3344</v>
      </c>
      <c r="M416" s="10">
        <v>2939</v>
      </c>
      <c r="N416" s="10">
        <v>369518</v>
      </c>
      <c r="O416" s="10">
        <v>230473</v>
      </c>
      <c r="P416" s="10">
        <v>599991</v>
      </c>
    </row>
    <row r="417" spans="1:16" ht="27" customHeight="1" x14ac:dyDescent="0.2">
      <c r="A417" s="9" t="s">
        <v>1515</v>
      </c>
      <c r="B417" s="10" t="s">
        <v>1540</v>
      </c>
      <c r="C417" s="11" t="s">
        <v>18</v>
      </c>
      <c r="D417" s="11" t="s">
        <v>19</v>
      </c>
      <c r="E417" s="11" t="s">
        <v>19</v>
      </c>
      <c r="F417" s="11" t="s">
        <v>1541</v>
      </c>
      <c r="G417" s="11" t="s">
        <v>83</v>
      </c>
      <c r="H417" s="11" t="s">
        <v>1518</v>
      </c>
      <c r="I417" s="11" t="s">
        <v>1519</v>
      </c>
      <c r="J417" s="12">
        <v>0.96230000000000004</v>
      </c>
      <c r="K417" s="13">
        <v>13</v>
      </c>
      <c r="L417" s="14">
        <v>5526</v>
      </c>
      <c r="M417" s="10">
        <v>4324</v>
      </c>
      <c r="N417" s="10">
        <v>610632</v>
      </c>
      <c r="O417" s="10">
        <v>339083</v>
      </c>
      <c r="P417" s="10">
        <v>949715</v>
      </c>
    </row>
    <row r="418" spans="1:16" ht="27" customHeight="1" x14ac:dyDescent="0.2">
      <c r="A418" s="9" t="s">
        <v>1515</v>
      </c>
      <c r="B418" s="10" t="s">
        <v>1542</v>
      </c>
      <c r="C418" s="11" t="s">
        <v>18</v>
      </c>
      <c r="D418" s="11" t="s">
        <v>19</v>
      </c>
      <c r="E418" s="11" t="s">
        <v>19</v>
      </c>
      <c r="F418" s="11" t="s">
        <v>1543</v>
      </c>
      <c r="G418" s="11" t="s">
        <v>83</v>
      </c>
      <c r="H418" s="11" t="s">
        <v>1518</v>
      </c>
      <c r="I418" s="11" t="s">
        <v>1519</v>
      </c>
      <c r="J418" s="12">
        <v>0.96230000000000004</v>
      </c>
      <c r="K418" s="13">
        <v>6</v>
      </c>
      <c r="L418" s="14">
        <v>4071</v>
      </c>
      <c r="M418" s="10">
        <v>2999</v>
      </c>
      <c r="N418" s="10">
        <v>449853</v>
      </c>
      <c r="O418" s="10">
        <v>235178</v>
      </c>
      <c r="P418" s="10">
        <v>685031</v>
      </c>
    </row>
    <row r="419" spans="1:16" ht="27" customHeight="1" x14ac:dyDescent="0.2">
      <c r="A419" s="9" t="s">
        <v>1515</v>
      </c>
      <c r="B419" s="10" t="s">
        <v>1542</v>
      </c>
      <c r="C419" s="11" t="s">
        <v>1544</v>
      </c>
      <c r="D419" s="11" t="s">
        <v>1545</v>
      </c>
      <c r="E419" s="11" t="s">
        <v>57</v>
      </c>
      <c r="F419" s="11" t="s">
        <v>1546</v>
      </c>
      <c r="G419" s="11" t="s">
        <v>28</v>
      </c>
      <c r="H419" s="11" t="s">
        <v>1518</v>
      </c>
      <c r="I419" s="11" t="s">
        <v>1519</v>
      </c>
      <c r="J419" s="12">
        <v>0.96230000000000004</v>
      </c>
      <c r="K419" s="13">
        <v>1</v>
      </c>
      <c r="L419" s="14">
        <v>166</v>
      </c>
      <c r="M419" s="10">
        <v>113</v>
      </c>
      <c r="N419" s="10">
        <v>18343</v>
      </c>
      <c r="O419" s="10">
        <v>8861</v>
      </c>
      <c r="P419" s="10">
        <v>27204</v>
      </c>
    </row>
    <row r="420" spans="1:16" ht="27" customHeight="1" x14ac:dyDescent="0.2">
      <c r="A420" s="9" t="s">
        <v>1515</v>
      </c>
      <c r="B420" s="10" t="s">
        <v>1547</v>
      </c>
      <c r="C420" s="11" t="s">
        <v>18</v>
      </c>
      <c r="D420" s="11" t="s">
        <v>19</v>
      </c>
      <c r="E420" s="11" t="s">
        <v>19</v>
      </c>
      <c r="F420" s="11" t="s">
        <v>1548</v>
      </c>
      <c r="G420" s="11" t="s">
        <v>83</v>
      </c>
      <c r="H420" s="11" t="s">
        <v>1549</v>
      </c>
      <c r="I420" s="11" t="s">
        <v>1550</v>
      </c>
      <c r="J420" s="12">
        <v>0.42859999999999998</v>
      </c>
      <c r="K420" s="13">
        <v>2</v>
      </c>
      <c r="L420" s="14">
        <v>392</v>
      </c>
      <c r="M420" s="10">
        <v>168</v>
      </c>
      <c r="N420" s="10">
        <v>43317</v>
      </c>
      <c r="O420" s="10">
        <v>13174</v>
      </c>
      <c r="P420" s="10">
        <v>56491</v>
      </c>
    </row>
    <row r="421" spans="1:16" ht="27" customHeight="1" x14ac:dyDescent="0.2">
      <c r="A421" s="9" t="s">
        <v>1515</v>
      </c>
      <c r="B421" s="10" t="s">
        <v>1551</v>
      </c>
      <c r="C421" s="11" t="s">
        <v>18</v>
      </c>
      <c r="D421" s="11" t="s">
        <v>19</v>
      </c>
      <c r="E421" s="11" t="s">
        <v>19</v>
      </c>
      <c r="F421" s="11" t="s">
        <v>1552</v>
      </c>
      <c r="G421" s="11" t="s">
        <v>83</v>
      </c>
      <c r="H421" s="11" t="s">
        <v>1553</v>
      </c>
      <c r="I421" s="11" t="s">
        <v>1554</v>
      </c>
      <c r="J421" s="12">
        <v>0.30009999999999998</v>
      </c>
      <c r="K421" s="13">
        <v>2</v>
      </c>
      <c r="L421" s="14">
        <v>823</v>
      </c>
      <c r="M421" s="10">
        <v>247</v>
      </c>
      <c r="N421" s="10">
        <v>90943</v>
      </c>
      <c r="O421" s="10">
        <v>19369</v>
      </c>
      <c r="P421" s="10">
        <v>110312</v>
      </c>
    </row>
    <row r="422" spans="1:16" ht="27" customHeight="1" x14ac:dyDescent="0.2">
      <c r="A422" s="9" t="s">
        <v>1515</v>
      </c>
      <c r="B422" s="10" t="s">
        <v>1555</v>
      </c>
      <c r="C422" s="11" t="s">
        <v>18</v>
      </c>
      <c r="D422" s="11" t="s">
        <v>19</v>
      </c>
      <c r="E422" s="11" t="s">
        <v>19</v>
      </c>
      <c r="F422" s="11" t="s">
        <v>1556</v>
      </c>
      <c r="G422" s="11" t="s">
        <v>83</v>
      </c>
      <c r="H422" s="11" t="s">
        <v>1557</v>
      </c>
      <c r="I422" s="11" t="s">
        <v>1558</v>
      </c>
      <c r="J422" s="12">
        <v>0.746</v>
      </c>
      <c r="K422" s="13">
        <v>2</v>
      </c>
      <c r="L422" s="14">
        <v>378</v>
      </c>
      <c r="M422" s="10">
        <v>282</v>
      </c>
      <c r="N422" s="10">
        <v>41770</v>
      </c>
      <c r="O422" s="10">
        <v>22114</v>
      </c>
      <c r="P422" s="10">
        <v>63884</v>
      </c>
    </row>
    <row r="423" spans="1:16" ht="27" customHeight="1" x14ac:dyDescent="0.2">
      <c r="A423" s="9" t="s">
        <v>1515</v>
      </c>
      <c r="B423" s="10" t="s">
        <v>1555</v>
      </c>
      <c r="C423" s="11" t="s">
        <v>1559</v>
      </c>
      <c r="D423" s="11" t="s">
        <v>1560</v>
      </c>
      <c r="E423" s="11" t="s">
        <v>26</v>
      </c>
      <c r="F423" s="11" t="s">
        <v>1561</v>
      </c>
      <c r="G423" s="11" t="s">
        <v>28</v>
      </c>
      <c r="H423" s="11" t="s">
        <v>1561</v>
      </c>
      <c r="I423" s="11" t="s">
        <v>1562</v>
      </c>
      <c r="J423" s="12">
        <v>0.89080000000000004</v>
      </c>
      <c r="K423" s="13">
        <v>1</v>
      </c>
      <c r="L423" s="14">
        <v>1044</v>
      </c>
      <c r="M423" s="10">
        <v>930</v>
      </c>
      <c r="N423" s="10">
        <v>115364</v>
      </c>
      <c r="O423" s="10">
        <v>72930</v>
      </c>
      <c r="P423" s="10">
        <v>188294</v>
      </c>
    </row>
    <row r="424" spans="1:16" ht="27" customHeight="1" x14ac:dyDescent="0.2">
      <c r="A424" s="9" t="s">
        <v>1515</v>
      </c>
      <c r="B424" s="10" t="s">
        <v>1555</v>
      </c>
      <c r="C424" s="11" t="s">
        <v>1563</v>
      </c>
      <c r="D424" s="11" t="s">
        <v>1564</v>
      </c>
      <c r="E424" s="11" t="s">
        <v>57</v>
      </c>
      <c r="F424" s="11" t="s">
        <v>1565</v>
      </c>
      <c r="G424" s="11" t="s">
        <v>28</v>
      </c>
      <c r="H424" s="11" t="s">
        <v>1565</v>
      </c>
      <c r="I424" s="11" t="s">
        <v>1566</v>
      </c>
      <c r="J424" s="12">
        <v>0.75</v>
      </c>
      <c r="K424" s="13">
        <v>1</v>
      </c>
      <c r="L424" s="14">
        <v>56</v>
      </c>
      <c r="M424" s="10">
        <v>42</v>
      </c>
      <c r="N424" s="10">
        <v>6188</v>
      </c>
      <c r="O424" s="10">
        <v>3294</v>
      </c>
      <c r="P424" s="10">
        <v>9482</v>
      </c>
    </row>
    <row r="425" spans="1:16" ht="27" customHeight="1" x14ac:dyDescent="0.2">
      <c r="A425" s="9" t="s">
        <v>1515</v>
      </c>
      <c r="B425" s="10" t="s">
        <v>1567</v>
      </c>
      <c r="C425" s="11" t="s">
        <v>18</v>
      </c>
      <c r="D425" s="11" t="s">
        <v>19</v>
      </c>
      <c r="E425" s="11" t="s">
        <v>19</v>
      </c>
      <c r="F425" s="11" t="s">
        <v>1568</v>
      </c>
      <c r="G425" s="11" t="s">
        <v>83</v>
      </c>
      <c r="H425" s="11" t="s">
        <v>1569</v>
      </c>
      <c r="I425" s="11" t="s">
        <v>1570</v>
      </c>
      <c r="J425" s="12">
        <v>0.92859999999999998</v>
      </c>
      <c r="K425" s="13">
        <v>2</v>
      </c>
      <c r="L425" s="14">
        <v>238</v>
      </c>
      <c r="M425" s="10">
        <v>221</v>
      </c>
      <c r="N425" s="10">
        <v>26299</v>
      </c>
      <c r="O425" s="10">
        <v>17331</v>
      </c>
      <c r="P425" s="10">
        <v>43630</v>
      </c>
    </row>
    <row r="426" spans="1:16" ht="27" customHeight="1" x14ac:dyDescent="0.2">
      <c r="A426" s="9" t="s">
        <v>1515</v>
      </c>
      <c r="B426" s="10" t="s">
        <v>1571</v>
      </c>
      <c r="C426" s="11" t="s">
        <v>18</v>
      </c>
      <c r="D426" s="11" t="s">
        <v>19</v>
      </c>
      <c r="E426" s="11" t="s">
        <v>19</v>
      </c>
      <c r="F426" s="11" t="s">
        <v>1572</v>
      </c>
      <c r="G426" s="11" t="s">
        <v>83</v>
      </c>
      <c r="H426" s="11" t="s">
        <v>1573</v>
      </c>
      <c r="I426" s="11" t="s">
        <v>1574</v>
      </c>
      <c r="J426" s="12">
        <v>0.80379999999999996</v>
      </c>
      <c r="K426" s="13">
        <v>8</v>
      </c>
      <c r="L426" s="14">
        <v>3093</v>
      </c>
      <c r="M426" s="10">
        <v>2403</v>
      </c>
      <c r="N426" s="10">
        <v>341781</v>
      </c>
      <c r="O426" s="10">
        <v>188439</v>
      </c>
      <c r="P426" s="10">
        <v>530220</v>
      </c>
    </row>
    <row r="427" spans="1:16" ht="27" customHeight="1" x14ac:dyDescent="0.2">
      <c r="A427" s="9" t="s">
        <v>1515</v>
      </c>
      <c r="B427" s="10" t="s">
        <v>1571</v>
      </c>
      <c r="C427" s="11" t="s">
        <v>1575</v>
      </c>
      <c r="D427" s="11" t="s">
        <v>1576</v>
      </c>
      <c r="E427" s="11" t="s">
        <v>57</v>
      </c>
      <c r="F427" s="11" t="s">
        <v>1577</v>
      </c>
      <c r="G427" s="11" t="s">
        <v>28</v>
      </c>
      <c r="H427" s="11" t="s">
        <v>1518</v>
      </c>
      <c r="I427" s="11" t="s">
        <v>1519</v>
      </c>
      <c r="J427" s="12">
        <v>0.96230000000000004</v>
      </c>
      <c r="K427" s="13">
        <v>1</v>
      </c>
      <c r="L427" s="14">
        <v>136</v>
      </c>
      <c r="M427" s="10">
        <v>86</v>
      </c>
      <c r="N427" s="10">
        <v>15028</v>
      </c>
      <c r="O427" s="10">
        <v>6744</v>
      </c>
      <c r="P427" s="10">
        <v>21772</v>
      </c>
    </row>
    <row r="428" spans="1:16" ht="27" customHeight="1" x14ac:dyDescent="0.2">
      <c r="A428" s="9" t="s">
        <v>1515</v>
      </c>
      <c r="B428" s="10" t="s">
        <v>1578</v>
      </c>
      <c r="C428" s="11" t="s">
        <v>18</v>
      </c>
      <c r="D428" s="11" t="s">
        <v>19</v>
      </c>
      <c r="E428" s="11" t="s">
        <v>19</v>
      </c>
      <c r="F428" s="11" t="s">
        <v>1579</v>
      </c>
      <c r="G428" s="11" t="s">
        <v>83</v>
      </c>
      <c r="H428" s="11" t="s">
        <v>1518</v>
      </c>
      <c r="I428" s="11" t="s">
        <v>1519</v>
      </c>
      <c r="J428" s="12">
        <v>0.96230000000000004</v>
      </c>
      <c r="K428" s="13">
        <v>3</v>
      </c>
      <c r="L428" s="14">
        <v>1946</v>
      </c>
      <c r="M428" s="10">
        <v>1023</v>
      </c>
      <c r="N428" s="10">
        <v>215037</v>
      </c>
      <c r="O428" s="10">
        <v>80223</v>
      </c>
      <c r="P428" s="10">
        <v>295260</v>
      </c>
    </row>
    <row r="429" spans="1:16" ht="27" customHeight="1" x14ac:dyDescent="0.2">
      <c r="A429" s="9" t="s">
        <v>1515</v>
      </c>
      <c r="B429" s="10" t="s">
        <v>1578</v>
      </c>
      <c r="C429" s="11" t="s">
        <v>1580</v>
      </c>
      <c r="D429" s="11" t="s">
        <v>1581</v>
      </c>
      <c r="E429" s="11" t="s">
        <v>26</v>
      </c>
      <c r="F429" s="11" t="s">
        <v>1582</v>
      </c>
      <c r="G429" s="11" t="s">
        <v>28</v>
      </c>
      <c r="H429" s="11" t="s">
        <v>1518</v>
      </c>
      <c r="I429" s="11" t="s">
        <v>1519</v>
      </c>
      <c r="J429" s="12">
        <v>0.96230000000000004</v>
      </c>
      <c r="K429" s="13">
        <v>1</v>
      </c>
      <c r="L429" s="14">
        <v>237</v>
      </c>
      <c r="M429" s="10">
        <v>70</v>
      </c>
      <c r="N429" s="10">
        <v>26189</v>
      </c>
      <c r="O429" s="10">
        <v>5489</v>
      </c>
      <c r="P429" s="10">
        <v>31678</v>
      </c>
    </row>
    <row r="430" spans="1:16" ht="27" customHeight="1" x14ac:dyDescent="0.2">
      <c r="A430" s="9" t="s">
        <v>1515</v>
      </c>
      <c r="B430" s="10" t="s">
        <v>1578</v>
      </c>
      <c r="C430" s="11" t="s">
        <v>1583</v>
      </c>
      <c r="D430" s="11" t="s">
        <v>1584</v>
      </c>
      <c r="E430" s="11" t="s">
        <v>26</v>
      </c>
      <c r="F430" s="11" t="s">
        <v>1585</v>
      </c>
      <c r="G430" s="11" t="s">
        <v>28</v>
      </c>
      <c r="H430" s="11" t="s">
        <v>1518</v>
      </c>
      <c r="I430" s="11" t="s">
        <v>1519</v>
      </c>
      <c r="J430" s="12">
        <v>0.96230000000000004</v>
      </c>
      <c r="K430" s="13">
        <v>1</v>
      </c>
      <c r="L430" s="14">
        <v>162</v>
      </c>
      <c r="M430" s="10">
        <v>78</v>
      </c>
      <c r="N430" s="10">
        <v>17901</v>
      </c>
      <c r="O430" s="10">
        <v>6117</v>
      </c>
      <c r="P430" s="10">
        <v>24018</v>
      </c>
    </row>
    <row r="431" spans="1:16" ht="27" customHeight="1" x14ac:dyDescent="0.2">
      <c r="A431" s="9" t="s">
        <v>1515</v>
      </c>
      <c r="B431" s="10" t="s">
        <v>1586</v>
      </c>
      <c r="C431" s="11" t="s">
        <v>18</v>
      </c>
      <c r="D431" s="11" t="s">
        <v>19</v>
      </c>
      <c r="E431" s="11" t="s">
        <v>19</v>
      </c>
      <c r="F431" s="11" t="s">
        <v>427</v>
      </c>
      <c r="G431" s="11" t="s">
        <v>83</v>
      </c>
      <c r="H431" s="11" t="s">
        <v>1587</v>
      </c>
      <c r="I431" s="11" t="s">
        <v>1588</v>
      </c>
      <c r="J431" s="12">
        <v>0.49</v>
      </c>
      <c r="K431" s="13">
        <v>4</v>
      </c>
      <c r="L431" s="14">
        <v>1573</v>
      </c>
      <c r="M431" s="10">
        <v>717</v>
      </c>
      <c r="N431" s="10">
        <v>173819</v>
      </c>
      <c r="O431" s="10">
        <v>56227</v>
      </c>
      <c r="P431" s="10">
        <v>230046</v>
      </c>
    </row>
    <row r="432" spans="1:16" ht="27" customHeight="1" x14ac:dyDescent="0.2">
      <c r="A432" s="9" t="s">
        <v>1515</v>
      </c>
      <c r="B432" s="10" t="s">
        <v>1589</v>
      </c>
      <c r="C432" s="11" t="s">
        <v>18</v>
      </c>
      <c r="D432" s="11" t="s">
        <v>19</v>
      </c>
      <c r="E432" s="11" t="s">
        <v>19</v>
      </c>
      <c r="F432" s="11" t="s">
        <v>1590</v>
      </c>
      <c r="G432" s="11" t="s">
        <v>83</v>
      </c>
      <c r="H432" s="11" t="s">
        <v>1591</v>
      </c>
      <c r="I432" s="11" t="s">
        <v>1592</v>
      </c>
      <c r="J432" s="12">
        <v>0.95250000000000001</v>
      </c>
      <c r="K432" s="13">
        <v>10</v>
      </c>
      <c r="L432" s="14">
        <v>2763</v>
      </c>
      <c r="M432" s="10">
        <v>2518</v>
      </c>
      <c r="N432" s="10">
        <v>305317</v>
      </c>
      <c r="O432" s="10">
        <v>197457</v>
      </c>
      <c r="P432" s="10">
        <v>502774</v>
      </c>
    </row>
    <row r="433" spans="1:16" ht="27" customHeight="1" x14ac:dyDescent="0.2">
      <c r="A433" s="9" t="s">
        <v>1593</v>
      </c>
      <c r="B433" s="10" t="s">
        <v>1594</v>
      </c>
      <c r="C433" s="11" t="s">
        <v>18</v>
      </c>
      <c r="D433" s="11" t="s">
        <v>19</v>
      </c>
      <c r="E433" s="11" t="s">
        <v>19</v>
      </c>
      <c r="F433" s="11" t="s">
        <v>1595</v>
      </c>
      <c r="G433" s="11" t="s">
        <v>21</v>
      </c>
      <c r="H433" s="11" t="s">
        <v>1596</v>
      </c>
      <c r="I433" s="11" t="s">
        <v>1597</v>
      </c>
      <c r="J433" s="12">
        <v>0.89339999999999997</v>
      </c>
      <c r="K433" s="13">
        <v>4</v>
      </c>
      <c r="L433" s="14">
        <v>287</v>
      </c>
      <c r="M433" s="10">
        <v>255</v>
      </c>
      <c r="N433" s="10">
        <v>31714</v>
      </c>
      <c r="O433" s="10">
        <v>19997</v>
      </c>
      <c r="P433" s="10">
        <v>51711</v>
      </c>
    </row>
    <row r="434" spans="1:16" ht="27" customHeight="1" x14ac:dyDescent="0.2">
      <c r="A434" s="9" t="s">
        <v>1593</v>
      </c>
      <c r="B434" s="10" t="s">
        <v>1598</v>
      </c>
      <c r="C434" s="11" t="s">
        <v>18</v>
      </c>
      <c r="D434" s="11" t="s">
        <v>19</v>
      </c>
      <c r="E434" s="11" t="s">
        <v>19</v>
      </c>
      <c r="F434" s="11" t="s">
        <v>1599</v>
      </c>
      <c r="G434" s="11" t="s">
        <v>83</v>
      </c>
      <c r="H434" s="11" t="s">
        <v>1600</v>
      </c>
      <c r="I434" s="11" t="s">
        <v>1601</v>
      </c>
      <c r="J434" s="12">
        <v>0.79290000000000005</v>
      </c>
      <c r="K434" s="13">
        <v>8</v>
      </c>
      <c r="L434" s="14">
        <v>1845</v>
      </c>
      <c r="M434" s="10">
        <v>1293</v>
      </c>
      <c r="N434" s="10">
        <v>203876</v>
      </c>
      <c r="O434" s="10">
        <v>101396</v>
      </c>
      <c r="P434" s="10">
        <v>305272</v>
      </c>
    </row>
    <row r="435" spans="1:16" ht="27" customHeight="1" x14ac:dyDescent="0.2">
      <c r="A435" s="9" t="s">
        <v>1593</v>
      </c>
      <c r="B435" s="10" t="s">
        <v>1598</v>
      </c>
      <c r="C435" s="11" t="s">
        <v>1602</v>
      </c>
      <c r="D435" s="11" t="s">
        <v>1603</v>
      </c>
      <c r="E435" s="11" t="s">
        <v>26</v>
      </c>
      <c r="F435" s="11" t="s">
        <v>1604</v>
      </c>
      <c r="G435" s="11" t="s">
        <v>28</v>
      </c>
      <c r="H435" s="11" t="s">
        <v>1604</v>
      </c>
      <c r="I435" s="11" t="s">
        <v>1605</v>
      </c>
      <c r="J435" s="12">
        <v>0</v>
      </c>
      <c r="K435" s="13">
        <v>1</v>
      </c>
      <c r="L435" s="14">
        <v>0</v>
      </c>
      <c r="M435" s="10">
        <v>0</v>
      </c>
      <c r="N435" s="10">
        <v>0</v>
      </c>
      <c r="O435" s="10">
        <v>0</v>
      </c>
      <c r="P435" s="10">
        <v>0</v>
      </c>
    </row>
    <row r="436" spans="1:16" ht="27" customHeight="1" x14ac:dyDescent="0.2">
      <c r="A436" s="9" t="s">
        <v>1593</v>
      </c>
      <c r="B436" s="10" t="s">
        <v>1606</v>
      </c>
      <c r="C436" s="11" t="s">
        <v>18</v>
      </c>
      <c r="D436" s="11" t="s">
        <v>19</v>
      </c>
      <c r="E436" s="11" t="s">
        <v>19</v>
      </c>
      <c r="F436" s="11" t="s">
        <v>1607</v>
      </c>
      <c r="G436" s="11" t="s">
        <v>83</v>
      </c>
      <c r="H436" s="11" t="s">
        <v>1596</v>
      </c>
      <c r="I436" s="11" t="s">
        <v>1597</v>
      </c>
      <c r="J436" s="12">
        <v>0.89339999999999997</v>
      </c>
      <c r="K436" s="13">
        <v>12</v>
      </c>
      <c r="L436" s="14">
        <v>3527</v>
      </c>
      <c r="M436" s="10">
        <v>2926</v>
      </c>
      <c r="N436" s="10">
        <v>389739</v>
      </c>
      <c r="O436" s="10">
        <v>229456</v>
      </c>
      <c r="P436" s="10">
        <v>619195</v>
      </c>
    </row>
    <row r="437" spans="1:16" ht="27" customHeight="1" x14ac:dyDescent="0.2">
      <c r="A437" s="9" t="s">
        <v>1593</v>
      </c>
      <c r="B437" s="10" t="s">
        <v>1608</v>
      </c>
      <c r="C437" s="11" t="s">
        <v>18</v>
      </c>
      <c r="D437" s="11" t="s">
        <v>19</v>
      </c>
      <c r="E437" s="11" t="s">
        <v>19</v>
      </c>
      <c r="F437" s="11" t="s">
        <v>1609</v>
      </c>
      <c r="G437" s="11" t="s">
        <v>83</v>
      </c>
      <c r="H437" s="11" t="s">
        <v>1610</v>
      </c>
      <c r="I437" s="11" t="s">
        <v>1611</v>
      </c>
      <c r="J437" s="12">
        <v>0.65739999999999998</v>
      </c>
      <c r="K437" s="13">
        <v>7</v>
      </c>
      <c r="L437" s="14">
        <v>1349</v>
      </c>
      <c r="M437" s="10">
        <v>873</v>
      </c>
      <c r="N437" s="10">
        <v>149068</v>
      </c>
      <c r="O437" s="10">
        <v>68460</v>
      </c>
      <c r="P437" s="10">
        <v>217528</v>
      </c>
    </row>
    <row r="438" spans="1:16" ht="27" customHeight="1" x14ac:dyDescent="0.2">
      <c r="A438" s="9" t="s">
        <v>1593</v>
      </c>
      <c r="B438" s="10" t="s">
        <v>1612</v>
      </c>
      <c r="C438" s="11" t="s">
        <v>18</v>
      </c>
      <c r="D438" s="11" t="s">
        <v>19</v>
      </c>
      <c r="E438" s="11" t="s">
        <v>19</v>
      </c>
      <c r="F438" s="11" t="s">
        <v>1613</v>
      </c>
      <c r="G438" s="11" t="s">
        <v>83</v>
      </c>
      <c r="H438" s="11" t="s">
        <v>1613</v>
      </c>
      <c r="I438" s="11" t="s">
        <v>1614</v>
      </c>
      <c r="J438" s="12">
        <v>0.78600000000000003</v>
      </c>
      <c r="K438" s="13">
        <v>2</v>
      </c>
      <c r="L438" s="14">
        <v>299</v>
      </c>
      <c r="M438" s="10">
        <v>235</v>
      </c>
      <c r="N438" s="10">
        <v>33040</v>
      </c>
      <c r="O438" s="10">
        <v>18428</v>
      </c>
      <c r="P438" s="10">
        <v>51468</v>
      </c>
    </row>
    <row r="439" spans="1:16" ht="27" customHeight="1" x14ac:dyDescent="0.2">
      <c r="A439" s="9" t="s">
        <v>1593</v>
      </c>
      <c r="B439" s="10" t="s">
        <v>1615</v>
      </c>
      <c r="C439" s="11" t="s">
        <v>18</v>
      </c>
      <c r="D439" s="11" t="s">
        <v>19</v>
      </c>
      <c r="E439" s="11" t="s">
        <v>19</v>
      </c>
      <c r="F439" s="11" t="s">
        <v>1616</v>
      </c>
      <c r="G439" s="11" t="s">
        <v>83</v>
      </c>
      <c r="H439" s="11" t="s">
        <v>1617</v>
      </c>
      <c r="I439" s="11" t="s">
        <v>1618</v>
      </c>
      <c r="J439" s="12">
        <v>0.66479999999999995</v>
      </c>
      <c r="K439" s="13">
        <v>7</v>
      </c>
      <c r="L439" s="14">
        <v>1448</v>
      </c>
      <c r="M439" s="10">
        <v>684</v>
      </c>
      <c r="N439" s="10">
        <v>160007</v>
      </c>
      <c r="O439" s="10">
        <v>53638</v>
      </c>
      <c r="P439" s="10">
        <v>213645</v>
      </c>
    </row>
    <row r="440" spans="1:16" ht="27" customHeight="1" x14ac:dyDescent="0.2">
      <c r="A440" s="9" t="s">
        <v>1593</v>
      </c>
      <c r="B440" s="10" t="s">
        <v>1615</v>
      </c>
      <c r="C440" s="11" t="s">
        <v>1619</v>
      </c>
      <c r="D440" s="11" t="s">
        <v>1620</v>
      </c>
      <c r="E440" s="11" t="s">
        <v>26</v>
      </c>
      <c r="F440" s="11" t="s">
        <v>1621</v>
      </c>
      <c r="G440" s="11" t="s">
        <v>28</v>
      </c>
      <c r="H440" s="11" t="s">
        <v>1621</v>
      </c>
      <c r="I440" s="11" t="s">
        <v>1622</v>
      </c>
      <c r="J440" s="12">
        <v>0.70669999999999999</v>
      </c>
      <c r="K440" s="13">
        <v>1</v>
      </c>
      <c r="L440" s="14">
        <v>75</v>
      </c>
      <c r="M440" s="10">
        <v>53</v>
      </c>
      <c r="N440" s="10">
        <v>8288</v>
      </c>
      <c r="O440" s="10">
        <v>4156</v>
      </c>
      <c r="P440" s="10">
        <v>12444</v>
      </c>
    </row>
    <row r="441" spans="1:16" ht="27" customHeight="1" x14ac:dyDescent="0.2">
      <c r="A441" s="9" t="s">
        <v>1593</v>
      </c>
      <c r="B441" s="10" t="s">
        <v>1615</v>
      </c>
      <c r="C441" s="11" t="s">
        <v>1623</v>
      </c>
      <c r="D441" s="11" t="s">
        <v>1624</v>
      </c>
      <c r="E441" s="11" t="s">
        <v>26</v>
      </c>
      <c r="F441" s="11" t="s">
        <v>1625</v>
      </c>
      <c r="G441" s="11" t="s">
        <v>28</v>
      </c>
      <c r="H441" s="11" t="s">
        <v>1625</v>
      </c>
      <c r="I441" s="11" t="s">
        <v>1626</v>
      </c>
      <c r="J441" s="12">
        <v>0.59740000000000004</v>
      </c>
      <c r="K441" s="13">
        <v>1</v>
      </c>
      <c r="L441" s="14">
        <v>154</v>
      </c>
      <c r="M441" s="10">
        <v>92</v>
      </c>
      <c r="N441" s="10">
        <v>17017</v>
      </c>
      <c r="O441" s="10">
        <v>7215</v>
      </c>
      <c r="P441" s="10">
        <v>24232</v>
      </c>
    </row>
    <row r="442" spans="1:16" ht="27" customHeight="1" x14ac:dyDescent="0.2">
      <c r="A442" s="9" t="s">
        <v>1593</v>
      </c>
      <c r="B442" s="10" t="s">
        <v>1627</v>
      </c>
      <c r="C442" s="11" t="s">
        <v>18</v>
      </c>
      <c r="D442" s="11" t="s">
        <v>19</v>
      </c>
      <c r="E442" s="11" t="s">
        <v>19</v>
      </c>
      <c r="F442" s="11" t="s">
        <v>1628</v>
      </c>
      <c r="G442" s="11" t="s">
        <v>83</v>
      </c>
      <c r="H442" s="11" t="s">
        <v>1629</v>
      </c>
      <c r="I442" s="11" t="s">
        <v>1630</v>
      </c>
      <c r="J442" s="12">
        <v>0.84660000000000002</v>
      </c>
      <c r="K442" s="13">
        <v>6</v>
      </c>
      <c r="L442" s="14">
        <v>893</v>
      </c>
      <c r="M442" s="10">
        <v>754</v>
      </c>
      <c r="N442" s="10">
        <v>98678</v>
      </c>
      <c r="O442" s="10">
        <v>59127</v>
      </c>
      <c r="P442" s="10">
        <v>157805</v>
      </c>
    </row>
    <row r="443" spans="1:16" ht="27" customHeight="1" x14ac:dyDescent="0.2">
      <c r="A443" s="9" t="s">
        <v>1631</v>
      </c>
      <c r="B443" s="10" t="s">
        <v>1632</v>
      </c>
      <c r="C443" s="11" t="s">
        <v>18</v>
      </c>
      <c r="D443" s="11" t="s">
        <v>19</v>
      </c>
      <c r="E443" s="11" t="s">
        <v>19</v>
      </c>
      <c r="F443" s="11" t="s">
        <v>1633</v>
      </c>
      <c r="G443" s="11" t="s">
        <v>21</v>
      </c>
      <c r="H443" s="11" t="s">
        <v>1634</v>
      </c>
      <c r="I443" s="11" t="s">
        <v>1635</v>
      </c>
      <c r="J443" s="12">
        <v>1</v>
      </c>
      <c r="K443" s="13">
        <v>4</v>
      </c>
      <c r="L443" s="14">
        <v>59</v>
      </c>
      <c r="M443" s="10">
        <v>49</v>
      </c>
      <c r="N443" s="10">
        <v>6520</v>
      </c>
      <c r="O443" s="10">
        <v>3843</v>
      </c>
      <c r="P443" s="10">
        <v>10363</v>
      </c>
    </row>
    <row r="444" spans="1:16" ht="27" customHeight="1" x14ac:dyDescent="0.2">
      <c r="A444" s="9" t="s">
        <v>1631</v>
      </c>
      <c r="B444" s="10" t="s">
        <v>1636</v>
      </c>
      <c r="C444" s="11" t="s">
        <v>18</v>
      </c>
      <c r="D444" s="11" t="s">
        <v>19</v>
      </c>
      <c r="E444" s="11" t="s">
        <v>19</v>
      </c>
      <c r="F444" s="11" t="s">
        <v>1637</v>
      </c>
      <c r="G444" s="11" t="s">
        <v>83</v>
      </c>
      <c r="H444" s="11" t="s">
        <v>1638</v>
      </c>
      <c r="I444" s="11" t="s">
        <v>1639</v>
      </c>
      <c r="J444" s="12">
        <v>0.70830000000000004</v>
      </c>
      <c r="K444" s="13">
        <v>3</v>
      </c>
      <c r="L444" s="14">
        <v>132</v>
      </c>
      <c r="M444" s="10">
        <v>87</v>
      </c>
      <c r="N444" s="10">
        <v>14586</v>
      </c>
      <c r="O444" s="10">
        <v>6822</v>
      </c>
      <c r="P444" s="10">
        <v>21408</v>
      </c>
    </row>
    <row r="445" spans="1:16" ht="27" customHeight="1" x14ac:dyDescent="0.2">
      <c r="A445" s="9" t="s">
        <v>1631</v>
      </c>
      <c r="B445" s="10" t="s">
        <v>1640</v>
      </c>
      <c r="C445" s="11" t="s">
        <v>18</v>
      </c>
      <c r="D445" s="11" t="s">
        <v>19</v>
      </c>
      <c r="E445" s="11" t="s">
        <v>19</v>
      </c>
      <c r="F445" s="11" t="s">
        <v>1641</v>
      </c>
      <c r="G445" s="11" t="s">
        <v>83</v>
      </c>
      <c r="H445" s="11" t="s">
        <v>1642</v>
      </c>
      <c r="I445" s="11" t="s">
        <v>1643</v>
      </c>
      <c r="J445" s="12">
        <v>0.41589999999999999</v>
      </c>
      <c r="K445" s="13">
        <v>2</v>
      </c>
      <c r="L445" s="14">
        <v>315</v>
      </c>
      <c r="M445" s="10">
        <v>131</v>
      </c>
      <c r="N445" s="10">
        <v>34808</v>
      </c>
      <c r="O445" s="10">
        <v>10273</v>
      </c>
      <c r="P445" s="10">
        <v>45081</v>
      </c>
    </row>
    <row r="446" spans="1:16" ht="27" customHeight="1" x14ac:dyDescent="0.2">
      <c r="A446" s="9" t="s">
        <v>1631</v>
      </c>
      <c r="B446" s="10" t="s">
        <v>1644</v>
      </c>
      <c r="C446" s="11" t="s">
        <v>18</v>
      </c>
      <c r="D446" s="11" t="s">
        <v>19</v>
      </c>
      <c r="E446" s="11" t="s">
        <v>19</v>
      </c>
      <c r="F446" s="11" t="s">
        <v>1645</v>
      </c>
      <c r="G446" s="11" t="s">
        <v>83</v>
      </c>
      <c r="H446" s="11" t="s">
        <v>1645</v>
      </c>
      <c r="I446" s="11" t="s">
        <v>1646</v>
      </c>
      <c r="J446" s="12">
        <v>0.57069999999999999</v>
      </c>
      <c r="K446" s="13">
        <v>2</v>
      </c>
      <c r="L446" s="14">
        <v>198</v>
      </c>
      <c r="M446" s="10">
        <v>113</v>
      </c>
      <c r="N446" s="10">
        <v>21879</v>
      </c>
      <c r="O446" s="10">
        <v>8861</v>
      </c>
      <c r="P446" s="10">
        <v>30740</v>
      </c>
    </row>
    <row r="447" spans="1:16" ht="27" customHeight="1" x14ac:dyDescent="0.2">
      <c r="A447" s="9" t="s">
        <v>1631</v>
      </c>
      <c r="B447" s="10" t="s">
        <v>1647</v>
      </c>
      <c r="C447" s="11" t="s">
        <v>18</v>
      </c>
      <c r="D447" s="11" t="s">
        <v>19</v>
      </c>
      <c r="E447" s="11" t="s">
        <v>19</v>
      </c>
      <c r="F447" s="11" t="s">
        <v>1648</v>
      </c>
      <c r="G447" s="11" t="s">
        <v>83</v>
      </c>
      <c r="H447" s="11" t="s">
        <v>1634</v>
      </c>
      <c r="I447" s="11" t="s">
        <v>1635</v>
      </c>
      <c r="J447" s="12">
        <v>1</v>
      </c>
      <c r="K447" s="13">
        <v>4</v>
      </c>
      <c r="L447" s="14">
        <v>864</v>
      </c>
      <c r="M447" s="10">
        <v>304</v>
      </c>
      <c r="N447" s="10">
        <v>95473</v>
      </c>
      <c r="O447" s="10">
        <v>23839</v>
      </c>
      <c r="P447" s="10">
        <v>119312</v>
      </c>
    </row>
    <row r="448" spans="1:16" ht="27" customHeight="1" x14ac:dyDescent="0.2">
      <c r="A448" s="9" t="s">
        <v>1631</v>
      </c>
      <c r="B448" s="10" t="s">
        <v>1649</v>
      </c>
      <c r="C448" s="11" t="s">
        <v>18</v>
      </c>
      <c r="D448" s="11" t="s">
        <v>19</v>
      </c>
      <c r="E448" s="11" t="s">
        <v>19</v>
      </c>
      <c r="F448" s="11" t="s">
        <v>1650</v>
      </c>
      <c r="G448" s="11" t="s">
        <v>83</v>
      </c>
      <c r="H448" s="11" t="s">
        <v>1634</v>
      </c>
      <c r="I448" s="11" t="s">
        <v>1635</v>
      </c>
      <c r="J448" s="12">
        <v>1</v>
      </c>
      <c r="K448" s="13">
        <v>2</v>
      </c>
      <c r="L448" s="14">
        <v>9</v>
      </c>
      <c r="M448" s="10">
        <v>9</v>
      </c>
      <c r="N448" s="10">
        <v>995</v>
      </c>
      <c r="O448" s="10">
        <v>706</v>
      </c>
      <c r="P448" s="10">
        <v>1701</v>
      </c>
    </row>
    <row r="449" spans="1:16" ht="27" customHeight="1" x14ac:dyDescent="0.2">
      <c r="A449" s="9" t="s">
        <v>1631</v>
      </c>
      <c r="B449" s="10" t="s">
        <v>1651</v>
      </c>
      <c r="C449" s="11" t="s">
        <v>18</v>
      </c>
      <c r="D449" s="11" t="s">
        <v>19</v>
      </c>
      <c r="E449" s="11" t="s">
        <v>19</v>
      </c>
      <c r="F449" s="11" t="s">
        <v>1652</v>
      </c>
      <c r="G449" s="11" t="s">
        <v>83</v>
      </c>
      <c r="H449" s="11" t="s">
        <v>1652</v>
      </c>
      <c r="I449" s="11" t="s">
        <v>1653</v>
      </c>
      <c r="J449" s="12">
        <v>0.1832</v>
      </c>
      <c r="K449" s="13">
        <v>2</v>
      </c>
      <c r="L449" s="14">
        <v>191</v>
      </c>
      <c r="M449" s="10">
        <v>35</v>
      </c>
      <c r="N449" s="10">
        <v>21106</v>
      </c>
      <c r="O449" s="10">
        <v>2745</v>
      </c>
      <c r="P449" s="10">
        <v>23851</v>
      </c>
    </row>
    <row r="450" spans="1:16" ht="27" customHeight="1" x14ac:dyDescent="0.2">
      <c r="A450" s="9" t="s">
        <v>1631</v>
      </c>
      <c r="B450" s="10" t="s">
        <v>1654</v>
      </c>
      <c r="C450" s="11" t="s">
        <v>18</v>
      </c>
      <c r="D450" s="11" t="s">
        <v>19</v>
      </c>
      <c r="E450" s="11" t="s">
        <v>19</v>
      </c>
      <c r="F450" s="11" t="s">
        <v>1655</v>
      </c>
      <c r="G450" s="11" t="s">
        <v>83</v>
      </c>
      <c r="H450" s="11" t="s">
        <v>1656</v>
      </c>
      <c r="I450" s="11" t="s">
        <v>1657</v>
      </c>
      <c r="J450" s="12">
        <v>0.56520000000000004</v>
      </c>
      <c r="K450" s="13">
        <v>2</v>
      </c>
      <c r="L450" s="14">
        <v>207</v>
      </c>
      <c r="M450" s="10">
        <v>117</v>
      </c>
      <c r="N450" s="10">
        <v>22874</v>
      </c>
      <c r="O450" s="10">
        <v>9175</v>
      </c>
      <c r="P450" s="10">
        <v>32049</v>
      </c>
    </row>
    <row r="451" spans="1:16" ht="27" customHeight="1" x14ac:dyDescent="0.2">
      <c r="A451" s="9" t="s">
        <v>1631</v>
      </c>
      <c r="B451" s="10" t="s">
        <v>1658</v>
      </c>
      <c r="C451" s="11" t="s">
        <v>18</v>
      </c>
      <c r="D451" s="11" t="s">
        <v>19</v>
      </c>
      <c r="E451" s="11" t="s">
        <v>19</v>
      </c>
      <c r="F451" s="11" t="s">
        <v>1659</v>
      </c>
      <c r="G451" s="11" t="s">
        <v>83</v>
      </c>
      <c r="H451" s="11" t="s">
        <v>1660</v>
      </c>
      <c r="I451" s="11" t="s">
        <v>1661</v>
      </c>
      <c r="J451" s="12">
        <v>0.65239999999999998</v>
      </c>
      <c r="K451" s="13">
        <v>4</v>
      </c>
      <c r="L451" s="14">
        <v>1044</v>
      </c>
      <c r="M451" s="10">
        <v>672</v>
      </c>
      <c r="N451" s="10">
        <v>115364</v>
      </c>
      <c r="O451" s="10">
        <v>52698</v>
      </c>
      <c r="P451" s="10">
        <v>168062</v>
      </c>
    </row>
    <row r="452" spans="1:16" ht="27" customHeight="1" x14ac:dyDescent="0.2">
      <c r="A452" s="9" t="s">
        <v>1631</v>
      </c>
      <c r="B452" s="10" t="s">
        <v>1658</v>
      </c>
      <c r="C452" s="11" t="s">
        <v>1662</v>
      </c>
      <c r="D452" s="11" t="s">
        <v>1663</v>
      </c>
      <c r="E452" s="11" t="s">
        <v>26</v>
      </c>
      <c r="F452" s="11" t="s">
        <v>1664</v>
      </c>
      <c r="G452" s="11" t="s">
        <v>28</v>
      </c>
      <c r="H452" s="11" t="s">
        <v>1664</v>
      </c>
      <c r="I452" s="11" t="s">
        <v>1665</v>
      </c>
      <c r="J452" s="12">
        <v>0.60840000000000005</v>
      </c>
      <c r="K452" s="13">
        <v>1</v>
      </c>
      <c r="L452" s="14">
        <v>143</v>
      </c>
      <c r="M452" s="10">
        <v>87</v>
      </c>
      <c r="N452" s="10">
        <v>15802</v>
      </c>
      <c r="O452" s="10">
        <v>6822</v>
      </c>
      <c r="P452" s="10">
        <v>22624</v>
      </c>
    </row>
    <row r="453" spans="1:16" ht="27" customHeight="1" x14ac:dyDescent="0.2">
      <c r="A453" s="9" t="s">
        <v>1631</v>
      </c>
      <c r="B453" s="10" t="s">
        <v>1666</v>
      </c>
      <c r="C453" s="11" t="s">
        <v>18</v>
      </c>
      <c r="D453" s="11" t="s">
        <v>19</v>
      </c>
      <c r="E453" s="11" t="s">
        <v>19</v>
      </c>
      <c r="F453" s="11" t="s">
        <v>1667</v>
      </c>
      <c r="G453" s="11" t="s">
        <v>83</v>
      </c>
      <c r="H453" s="11" t="s">
        <v>1668</v>
      </c>
      <c r="I453" s="11" t="s">
        <v>1669</v>
      </c>
      <c r="J453" s="12">
        <v>0.79779999999999995</v>
      </c>
      <c r="K453" s="13">
        <v>3</v>
      </c>
      <c r="L453" s="14">
        <v>174</v>
      </c>
      <c r="M453" s="10">
        <v>130</v>
      </c>
      <c r="N453" s="10">
        <v>19228</v>
      </c>
      <c r="O453" s="10">
        <v>10195</v>
      </c>
      <c r="P453" s="10">
        <v>29423</v>
      </c>
    </row>
    <row r="454" spans="1:16" ht="27" customHeight="1" x14ac:dyDescent="0.2">
      <c r="A454" s="9" t="s">
        <v>1631</v>
      </c>
      <c r="B454" s="10" t="s">
        <v>1670</v>
      </c>
      <c r="C454" s="11" t="s">
        <v>18</v>
      </c>
      <c r="D454" s="11" t="s">
        <v>19</v>
      </c>
      <c r="E454" s="11" t="s">
        <v>19</v>
      </c>
      <c r="F454" s="11" t="s">
        <v>1671</v>
      </c>
      <c r="G454" s="11" t="s">
        <v>83</v>
      </c>
      <c r="H454" s="11" t="s">
        <v>1672</v>
      </c>
      <c r="I454" s="11" t="s">
        <v>1673</v>
      </c>
      <c r="J454" s="12">
        <v>0.8478</v>
      </c>
      <c r="K454" s="13">
        <v>4</v>
      </c>
      <c r="L454" s="14">
        <v>101</v>
      </c>
      <c r="M454" s="10">
        <v>85</v>
      </c>
      <c r="N454" s="10">
        <v>11161</v>
      </c>
      <c r="O454" s="10">
        <v>6666</v>
      </c>
      <c r="P454" s="10">
        <v>17827</v>
      </c>
    </row>
    <row r="455" spans="1:16" ht="27" customHeight="1" x14ac:dyDescent="0.2">
      <c r="A455" s="9" t="s">
        <v>1631</v>
      </c>
      <c r="B455" s="10" t="s">
        <v>1670</v>
      </c>
      <c r="C455" s="11" t="s">
        <v>1674</v>
      </c>
      <c r="D455" s="11" t="s">
        <v>1675</v>
      </c>
      <c r="E455" s="11" t="s">
        <v>57</v>
      </c>
      <c r="F455" s="11" t="s">
        <v>1676</v>
      </c>
      <c r="G455" s="11" t="s">
        <v>28</v>
      </c>
      <c r="H455" s="11" t="s">
        <v>1676</v>
      </c>
      <c r="I455" s="11" t="s">
        <v>1677</v>
      </c>
      <c r="J455" s="12">
        <v>0.63270000000000004</v>
      </c>
      <c r="K455" s="13">
        <v>1</v>
      </c>
      <c r="L455" s="14">
        <v>147</v>
      </c>
      <c r="M455" s="10">
        <v>93</v>
      </c>
      <c r="N455" s="10">
        <v>16244</v>
      </c>
      <c r="O455" s="10">
        <v>7293</v>
      </c>
      <c r="P455" s="10">
        <v>23537</v>
      </c>
    </row>
    <row r="456" spans="1:16" ht="27" customHeight="1" x14ac:dyDescent="0.2">
      <c r="A456" s="9" t="s">
        <v>1631</v>
      </c>
      <c r="B456" s="10" t="s">
        <v>1670</v>
      </c>
      <c r="C456" s="11" t="s">
        <v>1678</v>
      </c>
      <c r="D456" s="11" t="s">
        <v>1679</v>
      </c>
      <c r="E456" s="11" t="s">
        <v>26</v>
      </c>
      <c r="F456" s="11" t="s">
        <v>1680</v>
      </c>
      <c r="G456" s="11" t="s">
        <v>28</v>
      </c>
      <c r="H456" s="11" t="s">
        <v>1680</v>
      </c>
      <c r="I456" s="11" t="s">
        <v>1681</v>
      </c>
      <c r="J456" s="12">
        <v>0.62929999999999997</v>
      </c>
      <c r="K456" s="13">
        <v>1</v>
      </c>
      <c r="L456" s="14">
        <v>232</v>
      </c>
      <c r="M456" s="10">
        <v>146</v>
      </c>
      <c r="N456" s="10">
        <v>25636</v>
      </c>
      <c r="O456" s="10">
        <v>11449</v>
      </c>
      <c r="P456" s="10">
        <v>37085</v>
      </c>
    </row>
    <row r="457" spans="1:16" ht="27" customHeight="1" x14ac:dyDescent="0.2">
      <c r="A457" s="9" t="s">
        <v>1682</v>
      </c>
      <c r="B457" s="10" t="s">
        <v>1683</v>
      </c>
      <c r="C457" s="11" t="s">
        <v>18</v>
      </c>
      <c r="D457" s="11" t="s">
        <v>19</v>
      </c>
      <c r="E457" s="11" t="s">
        <v>19</v>
      </c>
      <c r="F457" s="11" t="s">
        <v>1684</v>
      </c>
      <c r="G457" s="11" t="s">
        <v>21</v>
      </c>
      <c r="H457" s="11" t="s">
        <v>1685</v>
      </c>
      <c r="I457" s="11" t="s">
        <v>1686</v>
      </c>
      <c r="J457" s="12">
        <v>1</v>
      </c>
      <c r="K457" s="13">
        <v>11</v>
      </c>
      <c r="L457" s="14">
        <v>2602</v>
      </c>
      <c r="M457" s="10">
        <v>1761</v>
      </c>
      <c r="N457" s="10">
        <v>287524</v>
      </c>
      <c r="O457" s="10">
        <v>138095</v>
      </c>
      <c r="P457" s="10">
        <v>425619</v>
      </c>
    </row>
    <row r="458" spans="1:16" ht="27" customHeight="1" x14ac:dyDescent="0.2">
      <c r="A458" s="9" t="s">
        <v>1682</v>
      </c>
      <c r="B458" s="10" t="s">
        <v>1683</v>
      </c>
      <c r="C458" s="11" t="s">
        <v>1687</v>
      </c>
      <c r="D458" s="11" t="s">
        <v>1688</v>
      </c>
      <c r="E458" s="11" t="s">
        <v>26</v>
      </c>
      <c r="F458" s="11" t="s">
        <v>1689</v>
      </c>
      <c r="G458" s="11" t="s">
        <v>28</v>
      </c>
      <c r="H458" s="11" t="s">
        <v>1689</v>
      </c>
      <c r="I458" s="11" t="s">
        <v>1690</v>
      </c>
      <c r="J458" s="12">
        <v>0</v>
      </c>
      <c r="K458" s="13">
        <v>1</v>
      </c>
      <c r="L458" s="14">
        <v>0</v>
      </c>
      <c r="M458" s="10">
        <v>0</v>
      </c>
      <c r="N458" s="10">
        <v>0</v>
      </c>
      <c r="O458" s="10">
        <v>0</v>
      </c>
      <c r="P458" s="10">
        <v>0</v>
      </c>
    </row>
    <row r="459" spans="1:16" ht="27" customHeight="1" x14ac:dyDescent="0.2">
      <c r="A459" s="9" t="s">
        <v>1682</v>
      </c>
      <c r="B459" s="10" t="s">
        <v>1683</v>
      </c>
      <c r="C459" s="11" t="s">
        <v>1691</v>
      </c>
      <c r="D459" s="11" t="s">
        <v>1692</v>
      </c>
      <c r="E459" s="11" t="s">
        <v>26</v>
      </c>
      <c r="F459" s="11" t="s">
        <v>1693</v>
      </c>
      <c r="G459" s="11" t="s">
        <v>28</v>
      </c>
      <c r="H459" s="11" t="s">
        <v>1693</v>
      </c>
      <c r="I459" s="11" t="s">
        <v>1694</v>
      </c>
      <c r="J459" s="12">
        <v>1</v>
      </c>
      <c r="K459" s="13">
        <v>1</v>
      </c>
      <c r="L459" s="14">
        <v>14</v>
      </c>
      <c r="M459" s="10">
        <v>14</v>
      </c>
      <c r="N459" s="10">
        <v>1547</v>
      </c>
      <c r="O459" s="10">
        <v>1098</v>
      </c>
      <c r="P459" s="10">
        <v>2645</v>
      </c>
    </row>
    <row r="460" spans="1:16" ht="27" customHeight="1" x14ac:dyDescent="0.2">
      <c r="A460" s="9" t="s">
        <v>1682</v>
      </c>
      <c r="B460" s="10" t="s">
        <v>1683</v>
      </c>
      <c r="C460" s="11" t="s">
        <v>1695</v>
      </c>
      <c r="D460" s="11" t="s">
        <v>1696</v>
      </c>
      <c r="E460" s="11" t="s">
        <v>26</v>
      </c>
      <c r="F460" s="11" t="s">
        <v>1697</v>
      </c>
      <c r="G460" s="11" t="s">
        <v>28</v>
      </c>
      <c r="H460" s="11" t="s">
        <v>1697</v>
      </c>
      <c r="I460" s="11" t="s">
        <v>1698</v>
      </c>
      <c r="J460" s="12">
        <v>0.80289999999999995</v>
      </c>
      <c r="K460" s="13">
        <v>1</v>
      </c>
      <c r="L460" s="14">
        <v>421</v>
      </c>
      <c r="M460" s="10">
        <v>338</v>
      </c>
      <c r="N460" s="10">
        <v>46521</v>
      </c>
      <c r="O460" s="10">
        <v>26506</v>
      </c>
      <c r="P460" s="10">
        <v>73027</v>
      </c>
    </row>
    <row r="461" spans="1:16" ht="27" customHeight="1" x14ac:dyDescent="0.2">
      <c r="A461" s="9" t="s">
        <v>1682</v>
      </c>
      <c r="B461" s="10" t="s">
        <v>1683</v>
      </c>
      <c r="C461" s="11" t="s">
        <v>1699</v>
      </c>
      <c r="D461" s="11" t="s">
        <v>1700</v>
      </c>
      <c r="E461" s="11" t="s">
        <v>26</v>
      </c>
      <c r="F461" s="11" t="s">
        <v>1701</v>
      </c>
      <c r="G461" s="11" t="s">
        <v>28</v>
      </c>
      <c r="H461" s="11" t="s">
        <v>1701</v>
      </c>
      <c r="I461" s="11" t="s">
        <v>1702</v>
      </c>
      <c r="J461" s="12">
        <v>0.89049999999999996</v>
      </c>
      <c r="K461" s="13">
        <v>1</v>
      </c>
      <c r="L461" s="14">
        <v>557</v>
      </c>
      <c r="M461" s="10">
        <v>496</v>
      </c>
      <c r="N461" s="10">
        <v>61549</v>
      </c>
      <c r="O461" s="10">
        <v>38896</v>
      </c>
      <c r="P461" s="10">
        <v>100445</v>
      </c>
    </row>
    <row r="462" spans="1:16" ht="27" customHeight="1" x14ac:dyDescent="0.2">
      <c r="A462" s="9" t="s">
        <v>1682</v>
      </c>
      <c r="B462" s="10" t="s">
        <v>1683</v>
      </c>
      <c r="C462" s="11" t="s">
        <v>1703</v>
      </c>
      <c r="D462" s="11" t="s">
        <v>1704</v>
      </c>
      <c r="E462" s="11" t="s">
        <v>26</v>
      </c>
      <c r="F462" s="11" t="s">
        <v>1705</v>
      </c>
      <c r="G462" s="11" t="s">
        <v>28</v>
      </c>
      <c r="H462" s="11" t="s">
        <v>1705</v>
      </c>
      <c r="I462" s="11" t="s">
        <v>1706</v>
      </c>
      <c r="J462" s="12">
        <v>0.6623</v>
      </c>
      <c r="K462" s="13">
        <v>1</v>
      </c>
      <c r="L462" s="14">
        <v>379</v>
      </c>
      <c r="M462" s="10">
        <v>251</v>
      </c>
      <c r="N462" s="10">
        <v>41880</v>
      </c>
      <c r="O462" s="10">
        <v>19683</v>
      </c>
      <c r="P462" s="10">
        <v>61563</v>
      </c>
    </row>
    <row r="463" spans="1:16" ht="27" customHeight="1" x14ac:dyDescent="0.2">
      <c r="A463" s="9" t="s">
        <v>1682</v>
      </c>
      <c r="B463" s="10" t="s">
        <v>1683</v>
      </c>
      <c r="C463" s="11" t="s">
        <v>1707</v>
      </c>
      <c r="D463" s="11" t="s">
        <v>1708</v>
      </c>
      <c r="E463" s="11" t="s">
        <v>26</v>
      </c>
      <c r="F463" s="11" t="s">
        <v>1709</v>
      </c>
      <c r="G463" s="11" t="s">
        <v>28</v>
      </c>
      <c r="H463" s="11" t="s">
        <v>1709</v>
      </c>
      <c r="I463" s="11" t="s">
        <v>1710</v>
      </c>
      <c r="J463" s="12">
        <v>0.84540000000000004</v>
      </c>
      <c r="K463" s="13">
        <v>1</v>
      </c>
      <c r="L463" s="14">
        <v>511</v>
      </c>
      <c r="M463" s="10">
        <v>432</v>
      </c>
      <c r="N463" s="10">
        <v>56466</v>
      </c>
      <c r="O463" s="10">
        <v>33877</v>
      </c>
      <c r="P463" s="10">
        <v>90343</v>
      </c>
    </row>
    <row r="464" spans="1:16" ht="27" customHeight="1" x14ac:dyDescent="0.2">
      <c r="A464" s="9" t="s">
        <v>1682</v>
      </c>
      <c r="B464" s="10" t="s">
        <v>1683</v>
      </c>
      <c r="C464" s="11" t="s">
        <v>1711</v>
      </c>
      <c r="D464" s="11" t="s">
        <v>1712</v>
      </c>
      <c r="E464" s="11" t="s">
        <v>26</v>
      </c>
      <c r="F464" s="11" t="s">
        <v>1713</v>
      </c>
      <c r="G464" s="11" t="s">
        <v>28</v>
      </c>
      <c r="H464" s="11" t="s">
        <v>1685</v>
      </c>
      <c r="I464" s="11" t="s">
        <v>1686</v>
      </c>
      <c r="J464" s="12">
        <v>1</v>
      </c>
      <c r="K464" s="13">
        <v>1</v>
      </c>
      <c r="L464" s="14">
        <v>349</v>
      </c>
      <c r="M464" s="10">
        <v>324</v>
      </c>
      <c r="N464" s="10">
        <v>38565</v>
      </c>
      <c r="O464" s="10">
        <v>25408</v>
      </c>
      <c r="P464" s="10">
        <v>63973</v>
      </c>
    </row>
    <row r="465" spans="1:16" ht="27" customHeight="1" x14ac:dyDescent="0.2">
      <c r="A465" s="9" t="s">
        <v>1682</v>
      </c>
      <c r="B465" s="10" t="s">
        <v>1683</v>
      </c>
      <c r="C465" s="11" t="s">
        <v>1714</v>
      </c>
      <c r="D465" s="11" t="s">
        <v>1715</v>
      </c>
      <c r="E465" s="11" t="s">
        <v>26</v>
      </c>
      <c r="F465" s="11" t="s">
        <v>1716</v>
      </c>
      <c r="G465" s="11" t="s">
        <v>28</v>
      </c>
      <c r="H465" s="11" t="s">
        <v>1685</v>
      </c>
      <c r="I465" s="11" t="s">
        <v>1686</v>
      </c>
      <c r="J465" s="12">
        <v>1</v>
      </c>
      <c r="K465" s="13">
        <v>1</v>
      </c>
      <c r="L465" s="14">
        <v>358</v>
      </c>
      <c r="M465" s="10">
        <v>325</v>
      </c>
      <c r="N465" s="10">
        <v>39560</v>
      </c>
      <c r="O465" s="10">
        <v>25486</v>
      </c>
      <c r="P465" s="10">
        <v>65046</v>
      </c>
    </row>
    <row r="466" spans="1:16" ht="27" customHeight="1" x14ac:dyDescent="0.2">
      <c r="A466" s="9" t="s">
        <v>1682</v>
      </c>
      <c r="B466" s="10" t="s">
        <v>1683</v>
      </c>
      <c r="C466" s="11" t="s">
        <v>1717</v>
      </c>
      <c r="D466" s="11" t="s">
        <v>1718</v>
      </c>
      <c r="E466" s="11" t="s">
        <v>26</v>
      </c>
      <c r="F466" s="11" t="s">
        <v>1719</v>
      </c>
      <c r="G466" s="11" t="s">
        <v>28</v>
      </c>
      <c r="H466" s="11" t="s">
        <v>1719</v>
      </c>
      <c r="I466" s="11" t="s">
        <v>1720</v>
      </c>
      <c r="J466" s="12">
        <v>0.48480000000000001</v>
      </c>
      <c r="K466" s="13">
        <v>1</v>
      </c>
      <c r="L466" s="14">
        <v>526</v>
      </c>
      <c r="M466" s="10">
        <v>255</v>
      </c>
      <c r="N466" s="10">
        <v>58124</v>
      </c>
      <c r="O466" s="10">
        <v>19997</v>
      </c>
      <c r="P466" s="10">
        <v>78121</v>
      </c>
    </row>
    <row r="467" spans="1:16" ht="27" customHeight="1" x14ac:dyDescent="0.2">
      <c r="A467" s="9" t="s">
        <v>1682</v>
      </c>
      <c r="B467" s="10" t="s">
        <v>1683</v>
      </c>
      <c r="C467" s="11" t="s">
        <v>1721</v>
      </c>
      <c r="D467" s="11" t="s">
        <v>1722</v>
      </c>
      <c r="E467" s="11" t="s">
        <v>26</v>
      </c>
      <c r="F467" s="11" t="s">
        <v>1723</v>
      </c>
      <c r="G467" s="11" t="s">
        <v>28</v>
      </c>
      <c r="H467" s="11" t="s">
        <v>1685</v>
      </c>
      <c r="I467" s="11" t="s">
        <v>1686</v>
      </c>
      <c r="J467" s="12">
        <v>1</v>
      </c>
      <c r="K467" s="13">
        <v>1</v>
      </c>
      <c r="L467" s="14">
        <v>116</v>
      </c>
      <c r="M467" s="10">
        <v>114</v>
      </c>
      <c r="N467" s="10">
        <v>12818</v>
      </c>
      <c r="O467" s="10">
        <v>8940</v>
      </c>
      <c r="P467" s="10">
        <v>21758</v>
      </c>
    </row>
    <row r="468" spans="1:16" ht="27" customHeight="1" x14ac:dyDescent="0.2">
      <c r="A468" s="9" t="s">
        <v>1682</v>
      </c>
      <c r="B468" s="10" t="s">
        <v>1683</v>
      </c>
      <c r="C468" s="11" t="s">
        <v>1724</v>
      </c>
      <c r="D468" s="11" t="s">
        <v>1725</v>
      </c>
      <c r="E468" s="11" t="s">
        <v>26</v>
      </c>
      <c r="F468" s="11" t="s">
        <v>1726</v>
      </c>
      <c r="G468" s="11" t="s">
        <v>28</v>
      </c>
      <c r="H468" s="11" t="s">
        <v>1685</v>
      </c>
      <c r="I468" s="11" t="s">
        <v>1686</v>
      </c>
      <c r="J468" s="12">
        <v>1</v>
      </c>
      <c r="K468" s="13">
        <v>1</v>
      </c>
      <c r="L468" s="14">
        <v>95</v>
      </c>
      <c r="M468" s="10">
        <v>55</v>
      </c>
      <c r="N468" s="10">
        <v>10498</v>
      </c>
      <c r="O468" s="10">
        <v>4313</v>
      </c>
      <c r="P468" s="10">
        <v>14811</v>
      </c>
    </row>
    <row r="469" spans="1:16" ht="27" customHeight="1" x14ac:dyDescent="0.2">
      <c r="A469" s="9" t="s">
        <v>1682</v>
      </c>
      <c r="B469" s="10" t="s">
        <v>1683</v>
      </c>
      <c r="C469" s="11" t="s">
        <v>1727</v>
      </c>
      <c r="D469" s="11" t="s">
        <v>1728</v>
      </c>
      <c r="E469" s="11" t="s">
        <v>26</v>
      </c>
      <c r="F469" s="11" t="s">
        <v>1729</v>
      </c>
      <c r="G469" s="11" t="s">
        <v>28</v>
      </c>
      <c r="H469" s="11" t="s">
        <v>1685</v>
      </c>
      <c r="I469" s="11" t="s">
        <v>1686</v>
      </c>
      <c r="J469" s="12">
        <v>1</v>
      </c>
      <c r="K469" s="13">
        <v>1</v>
      </c>
      <c r="L469" s="14">
        <v>133</v>
      </c>
      <c r="M469" s="10">
        <v>133</v>
      </c>
      <c r="N469" s="10">
        <v>14697</v>
      </c>
      <c r="O469" s="10">
        <v>10430</v>
      </c>
      <c r="P469" s="10">
        <v>25127</v>
      </c>
    </row>
    <row r="470" spans="1:16" ht="27" customHeight="1" x14ac:dyDescent="0.2">
      <c r="A470" s="9" t="s">
        <v>1682</v>
      </c>
      <c r="B470" s="10" t="s">
        <v>1683</v>
      </c>
      <c r="C470" s="11" t="s">
        <v>1730</v>
      </c>
      <c r="D470" s="11" t="s">
        <v>1731</v>
      </c>
      <c r="E470" s="11" t="s">
        <v>26</v>
      </c>
      <c r="F470" s="11" t="s">
        <v>1732</v>
      </c>
      <c r="G470" s="11" t="s">
        <v>28</v>
      </c>
      <c r="H470" s="11" t="s">
        <v>1732</v>
      </c>
      <c r="I470" s="11" t="s">
        <v>1733</v>
      </c>
      <c r="J470" s="12">
        <v>0.68279999999999996</v>
      </c>
      <c r="K470" s="13">
        <v>1</v>
      </c>
      <c r="L470" s="14">
        <v>145</v>
      </c>
      <c r="M470" s="10">
        <v>99</v>
      </c>
      <c r="N470" s="10">
        <v>16023</v>
      </c>
      <c r="O470" s="10">
        <v>7763</v>
      </c>
      <c r="P470" s="10">
        <v>23786</v>
      </c>
    </row>
    <row r="471" spans="1:16" ht="27" customHeight="1" x14ac:dyDescent="0.2">
      <c r="A471" s="9" t="s">
        <v>1682</v>
      </c>
      <c r="B471" s="10" t="s">
        <v>1683</v>
      </c>
      <c r="C471" s="11" t="s">
        <v>1734</v>
      </c>
      <c r="D471" s="11" t="s">
        <v>1735</v>
      </c>
      <c r="E471" s="11" t="s">
        <v>26</v>
      </c>
      <c r="F471" s="11" t="s">
        <v>1736</v>
      </c>
      <c r="G471" s="11" t="s">
        <v>28</v>
      </c>
      <c r="H471" s="11" t="s">
        <v>1685</v>
      </c>
      <c r="I471" s="11" t="s">
        <v>1686</v>
      </c>
      <c r="J471" s="12">
        <v>1</v>
      </c>
      <c r="K471" s="13">
        <v>1</v>
      </c>
      <c r="L471" s="14">
        <v>224</v>
      </c>
      <c r="M471" s="10">
        <v>193</v>
      </c>
      <c r="N471" s="10">
        <v>24752</v>
      </c>
      <c r="O471" s="10">
        <v>15135</v>
      </c>
      <c r="P471" s="10">
        <v>39887</v>
      </c>
    </row>
    <row r="472" spans="1:16" ht="27" customHeight="1" x14ac:dyDescent="0.2">
      <c r="A472" s="9" t="s">
        <v>1682</v>
      </c>
      <c r="B472" s="10" t="s">
        <v>1683</v>
      </c>
      <c r="C472" s="11" t="s">
        <v>1737</v>
      </c>
      <c r="D472" s="11" t="s">
        <v>1738</v>
      </c>
      <c r="E472" s="11" t="s">
        <v>26</v>
      </c>
      <c r="F472" s="11" t="s">
        <v>1739</v>
      </c>
      <c r="G472" s="11" t="s">
        <v>28</v>
      </c>
      <c r="H472" s="11" t="s">
        <v>1685</v>
      </c>
      <c r="I472" s="11" t="s">
        <v>1686</v>
      </c>
      <c r="J472" s="12">
        <v>1</v>
      </c>
      <c r="K472" s="13">
        <v>1</v>
      </c>
      <c r="L472" s="14">
        <v>315</v>
      </c>
      <c r="M472" s="10">
        <v>279</v>
      </c>
      <c r="N472" s="10">
        <v>34808</v>
      </c>
      <c r="O472" s="10">
        <v>21879</v>
      </c>
      <c r="P472" s="10">
        <v>56687</v>
      </c>
    </row>
    <row r="473" spans="1:16" ht="27" customHeight="1" x14ac:dyDescent="0.2">
      <c r="A473" s="9" t="s">
        <v>1682</v>
      </c>
      <c r="B473" s="10" t="s">
        <v>1683</v>
      </c>
      <c r="C473" s="11" t="s">
        <v>1740</v>
      </c>
      <c r="D473" s="11" t="s">
        <v>1741</v>
      </c>
      <c r="E473" s="11" t="s">
        <v>26</v>
      </c>
      <c r="F473" s="11" t="s">
        <v>1742</v>
      </c>
      <c r="G473" s="11" t="s">
        <v>28</v>
      </c>
      <c r="H473" s="11" t="s">
        <v>1742</v>
      </c>
      <c r="I473" s="11" t="s">
        <v>1743</v>
      </c>
      <c r="J473" s="12">
        <v>0.76119999999999999</v>
      </c>
      <c r="K473" s="13">
        <v>1</v>
      </c>
      <c r="L473" s="14">
        <v>268</v>
      </c>
      <c r="M473" s="10">
        <v>204</v>
      </c>
      <c r="N473" s="10">
        <v>29614</v>
      </c>
      <c r="O473" s="10">
        <v>15997</v>
      </c>
      <c r="P473" s="10">
        <v>45611</v>
      </c>
    </row>
    <row r="474" spans="1:16" ht="27" customHeight="1" x14ac:dyDescent="0.2">
      <c r="A474" s="9" t="s">
        <v>1682</v>
      </c>
      <c r="B474" s="10" t="s">
        <v>1683</v>
      </c>
      <c r="C474" s="11" t="s">
        <v>1744</v>
      </c>
      <c r="D474" s="11" t="s">
        <v>1745</v>
      </c>
      <c r="E474" s="11" t="s">
        <v>26</v>
      </c>
      <c r="F474" s="11" t="s">
        <v>1746</v>
      </c>
      <c r="G474" s="11" t="s">
        <v>28</v>
      </c>
      <c r="H474" s="11" t="s">
        <v>1746</v>
      </c>
      <c r="I474" s="11" t="s">
        <v>1747</v>
      </c>
      <c r="J474" s="12">
        <v>0.71850000000000003</v>
      </c>
      <c r="K474" s="13">
        <v>1</v>
      </c>
      <c r="L474" s="14">
        <v>238</v>
      </c>
      <c r="M474" s="10">
        <v>171</v>
      </c>
      <c r="N474" s="10">
        <v>26299</v>
      </c>
      <c r="O474" s="10">
        <v>13410</v>
      </c>
      <c r="P474" s="10">
        <v>39709</v>
      </c>
    </row>
    <row r="475" spans="1:16" ht="27" customHeight="1" x14ac:dyDescent="0.2">
      <c r="A475" s="9" t="s">
        <v>1682</v>
      </c>
      <c r="B475" s="10" t="s">
        <v>1683</v>
      </c>
      <c r="C475" s="11" t="s">
        <v>1748</v>
      </c>
      <c r="D475" s="11" t="s">
        <v>1749</v>
      </c>
      <c r="E475" s="11" t="s">
        <v>26</v>
      </c>
      <c r="F475" s="11" t="s">
        <v>1750</v>
      </c>
      <c r="G475" s="11" t="s">
        <v>28</v>
      </c>
      <c r="H475" s="11" t="s">
        <v>1685</v>
      </c>
      <c r="I475" s="11" t="s">
        <v>1686</v>
      </c>
      <c r="J475" s="12">
        <v>1</v>
      </c>
      <c r="K475" s="13">
        <v>1</v>
      </c>
      <c r="L475" s="14">
        <v>187</v>
      </c>
      <c r="M475" s="10">
        <v>168</v>
      </c>
      <c r="N475" s="10">
        <v>20664</v>
      </c>
      <c r="O475" s="10">
        <v>13174</v>
      </c>
      <c r="P475" s="10">
        <v>33838</v>
      </c>
    </row>
    <row r="476" spans="1:16" ht="27" customHeight="1" x14ac:dyDescent="0.2">
      <c r="A476" s="9" t="s">
        <v>1682</v>
      </c>
      <c r="B476" s="10" t="s">
        <v>1683</v>
      </c>
      <c r="C476" s="11" t="s">
        <v>1751</v>
      </c>
      <c r="D476" s="11" t="s">
        <v>1752</v>
      </c>
      <c r="E476" s="11" t="s">
        <v>26</v>
      </c>
      <c r="F476" s="11" t="s">
        <v>1753</v>
      </c>
      <c r="G476" s="11" t="s">
        <v>28</v>
      </c>
      <c r="H476" s="11" t="s">
        <v>1753</v>
      </c>
      <c r="I476" s="11" t="s">
        <v>1754</v>
      </c>
      <c r="J476" s="12">
        <v>0.58330000000000004</v>
      </c>
      <c r="K476" s="13">
        <v>1</v>
      </c>
      <c r="L476" s="14">
        <v>72</v>
      </c>
      <c r="M476" s="10">
        <v>42</v>
      </c>
      <c r="N476" s="10">
        <v>7956</v>
      </c>
      <c r="O476" s="10">
        <v>3294</v>
      </c>
      <c r="P476" s="10">
        <v>11250</v>
      </c>
    </row>
    <row r="477" spans="1:16" ht="27" customHeight="1" x14ac:dyDescent="0.2">
      <c r="A477" s="9" t="s">
        <v>1682</v>
      </c>
      <c r="B477" s="10" t="s">
        <v>1683</v>
      </c>
      <c r="C477" s="11" t="s">
        <v>1755</v>
      </c>
      <c r="D477" s="11" t="s">
        <v>1756</v>
      </c>
      <c r="E477" s="11" t="s">
        <v>26</v>
      </c>
      <c r="F477" s="11" t="s">
        <v>1757</v>
      </c>
      <c r="G477" s="11" t="s">
        <v>28</v>
      </c>
      <c r="H477" s="11" t="s">
        <v>1685</v>
      </c>
      <c r="I477" s="11" t="s">
        <v>1686</v>
      </c>
      <c r="J477" s="12">
        <v>1</v>
      </c>
      <c r="K477" s="13">
        <v>1</v>
      </c>
      <c r="L477" s="14">
        <v>38</v>
      </c>
      <c r="M477" s="10">
        <v>30</v>
      </c>
      <c r="N477" s="10">
        <v>4199</v>
      </c>
      <c r="O477" s="10">
        <v>2353</v>
      </c>
      <c r="P477" s="10">
        <v>6552</v>
      </c>
    </row>
    <row r="478" spans="1:16" ht="27" customHeight="1" x14ac:dyDescent="0.2">
      <c r="A478" s="9" t="s">
        <v>1682</v>
      </c>
      <c r="B478" s="10" t="s">
        <v>1683</v>
      </c>
      <c r="C478" s="11" t="s">
        <v>1758</v>
      </c>
      <c r="D478" s="11" t="s">
        <v>1759</v>
      </c>
      <c r="E478" s="11" t="s">
        <v>26</v>
      </c>
      <c r="F478" s="11" t="s">
        <v>1760</v>
      </c>
      <c r="G478" s="11" t="s">
        <v>28</v>
      </c>
      <c r="H478" s="11" t="s">
        <v>1685</v>
      </c>
      <c r="I478" s="11" t="s">
        <v>1686</v>
      </c>
      <c r="J478" s="12">
        <v>1</v>
      </c>
      <c r="K478" s="13">
        <v>1</v>
      </c>
      <c r="L478" s="14">
        <v>221</v>
      </c>
      <c r="M478" s="10">
        <v>190</v>
      </c>
      <c r="N478" s="10">
        <v>24421</v>
      </c>
      <c r="O478" s="10">
        <v>14900</v>
      </c>
      <c r="P478" s="10">
        <v>39321</v>
      </c>
    </row>
    <row r="479" spans="1:16" ht="27" customHeight="1" x14ac:dyDescent="0.2">
      <c r="A479" s="9" t="s">
        <v>1682</v>
      </c>
      <c r="B479" s="10" t="s">
        <v>1683</v>
      </c>
      <c r="C479" s="11" t="s">
        <v>1761</v>
      </c>
      <c r="D479" s="11" t="s">
        <v>1762</v>
      </c>
      <c r="E479" s="11" t="s">
        <v>26</v>
      </c>
      <c r="F479" s="11" t="s">
        <v>1763</v>
      </c>
      <c r="G479" s="11" t="s">
        <v>28</v>
      </c>
      <c r="H479" s="11" t="s">
        <v>1763</v>
      </c>
      <c r="I479" s="11" t="s">
        <v>1764</v>
      </c>
      <c r="J479" s="12">
        <v>0.7722</v>
      </c>
      <c r="K479" s="13">
        <v>1</v>
      </c>
      <c r="L479" s="14">
        <v>158</v>
      </c>
      <c r="M479" s="10">
        <v>122</v>
      </c>
      <c r="N479" s="10">
        <v>17459</v>
      </c>
      <c r="O479" s="10">
        <v>9567</v>
      </c>
      <c r="P479" s="10">
        <v>27026</v>
      </c>
    </row>
    <row r="480" spans="1:16" ht="27" customHeight="1" x14ac:dyDescent="0.2">
      <c r="A480" s="9" t="s">
        <v>1682</v>
      </c>
      <c r="B480" s="10" t="s">
        <v>1683</v>
      </c>
      <c r="C480" s="11" t="s">
        <v>1765</v>
      </c>
      <c r="D480" s="11" t="s">
        <v>1766</v>
      </c>
      <c r="E480" s="11" t="s">
        <v>26</v>
      </c>
      <c r="F480" s="11" t="s">
        <v>1767</v>
      </c>
      <c r="G480" s="11" t="s">
        <v>28</v>
      </c>
      <c r="H480" s="11" t="s">
        <v>1685</v>
      </c>
      <c r="I480" s="11" t="s">
        <v>1686</v>
      </c>
      <c r="J480" s="12">
        <v>1</v>
      </c>
      <c r="K480" s="13">
        <v>1</v>
      </c>
      <c r="L480" s="14">
        <v>118</v>
      </c>
      <c r="M480" s="10">
        <v>73</v>
      </c>
      <c r="N480" s="10">
        <v>13039</v>
      </c>
      <c r="O480" s="10">
        <v>5725</v>
      </c>
      <c r="P480" s="10">
        <v>18764</v>
      </c>
    </row>
    <row r="481" spans="1:16" ht="27" customHeight="1" x14ac:dyDescent="0.2">
      <c r="A481" s="9" t="s">
        <v>1682</v>
      </c>
      <c r="B481" s="10" t="s">
        <v>1683</v>
      </c>
      <c r="C481" s="11" t="s">
        <v>1768</v>
      </c>
      <c r="D481" s="11" t="s">
        <v>1769</v>
      </c>
      <c r="E481" s="11" t="s">
        <v>26</v>
      </c>
      <c r="F481" s="11" t="s">
        <v>1770</v>
      </c>
      <c r="G481" s="11" t="s">
        <v>28</v>
      </c>
      <c r="H481" s="11" t="s">
        <v>1685</v>
      </c>
      <c r="I481" s="11" t="s">
        <v>1686</v>
      </c>
      <c r="J481" s="12">
        <v>1</v>
      </c>
      <c r="K481" s="13">
        <v>1</v>
      </c>
      <c r="L481" s="14">
        <v>67</v>
      </c>
      <c r="M481" s="10">
        <v>44</v>
      </c>
      <c r="N481" s="10">
        <v>7404</v>
      </c>
      <c r="O481" s="10">
        <v>3450</v>
      </c>
      <c r="P481" s="10">
        <v>10854</v>
      </c>
    </row>
    <row r="482" spans="1:16" ht="27" customHeight="1" x14ac:dyDescent="0.2">
      <c r="A482" s="9" t="s">
        <v>1682</v>
      </c>
      <c r="B482" s="10" t="s">
        <v>1683</v>
      </c>
      <c r="C482" s="11" t="s">
        <v>1771</v>
      </c>
      <c r="D482" s="11" t="s">
        <v>1772</v>
      </c>
      <c r="E482" s="11" t="s">
        <v>26</v>
      </c>
      <c r="F482" s="11" t="s">
        <v>1773</v>
      </c>
      <c r="G482" s="11" t="s">
        <v>28</v>
      </c>
      <c r="H482" s="11" t="s">
        <v>1773</v>
      </c>
      <c r="I482" s="11" t="s">
        <v>1774</v>
      </c>
      <c r="J482" s="12">
        <v>0.23430000000000001</v>
      </c>
      <c r="K482" s="13">
        <v>1</v>
      </c>
      <c r="L482" s="14">
        <v>461</v>
      </c>
      <c r="M482" s="10">
        <v>108</v>
      </c>
      <c r="N482" s="10">
        <v>50941</v>
      </c>
      <c r="O482" s="10">
        <v>8469</v>
      </c>
      <c r="P482" s="10">
        <v>59410</v>
      </c>
    </row>
    <row r="483" spans="1:16" ht="27" customHeight="1" x14ac:dyDescent="0.2">
      <c r="A483" s="9" t="s">
        <v>1682</v>
      </c>
      <c r="B483" s="10" t="s">
        <v>1683</v>
      </c>
      <c r="C483" s="11" t="s">
        <v>1775</v>
      </c>
      <c r="D483" s="11" t="s">
        <v>1776</v>
      </c>
      <c r="E483" s="11" t="s">
        <v>26</v>
      </c>
      <c r="F483" s="11" t="s">
        <v>1777</v>
      </c>
      <c r="G483" s="11" t="s">
        <v>28</v>
      </c>
      <c r="H483" s="11" t="s">
        <v>1777</v>
      </c>
      <c r="I483" s="11" t="s">
        <v>1778</v>
      </c>
      <c r="J483" s="12">
        <v>0.79110000000000003</v>
      </c>
      <c r="K483" s="13">
        <v>1</v>
      </c>
      <c r="L483" s="14">
        <v>694</v>
      </c>
      <c r="M483" s="10">
        <v>549</v>
      </c>
      <c r="N483" s="10">
        <v>76688</v>
      </c>
      <c r="O483" s="10">
        <v>43052</v>
      </c>
      <c r="P483" s="10">
        <v>119740</v>
      </c>
    </row>
    <row r="484" spans="1:16" ht="27" customHeight="1" x14ac:dyDescent="0.2">
      <c r="A484" s="9" t="s">
        <v>1682</v>
      </c>
      <c r="B484" s="10" t="s">
        <v>1779</v>
      </c>
      <c r="C484" s="11" t="s">
        <v>18</v>
      </c>
      <c r="D484" s="11" t="s">
        <v>19</v>
      </c>
      <c r="E484" s="11" t="s">
        <v>19</v>
      </c>
      <c r="F484" s="11" t="s">
        <v>1780</v>
      </c>
      <c r="G484" s="11" t="s">
        <v>83</v>
      </c>
      <c r="H484" s="11" t="s">
        <v>1781</v>
      </c>
      <c r="I484" s="11" t="s">
        <v>1782</v>
      </c>
      <c r="J484" s="12">
        <v>0.96319999999999995</v>
      </c>
      <c r="K484" s="13">
        <v>32</v>
      </c>
      <c r="L484" s="14">
        <v>18480</v>
      </c>
      <c r="M484" s="10">
        <v>10455</v>
      </c>
      <c r="N484" s="10">
        <v>2042071</v>
      </c>
      <c r="O484" s="10">
        <v>819872</v>
      </c>
      <c r="P484" s="10">
        <v>2861943</v>
      </c>
    </row>
    <row r="485" spans="1:16" ht="27" customHeight="1" x14ac:dyDescent="0.2">
      <c r="A485" s="9" t="s">
        <v>1682</v>
      </c>
      <c r="B485" s="10" t="s">
        <v>1783</v>
      </c>
      <c r="C485" s="11" t="s">
        <v>18</v>
      </c>
      <c r="D485" s="11" t="s">
        <v>19</v>
      </c>
      <c r="E485" s="11" t="s">
        <v>19</v>
      </c>
      <c r="F485" s="11" t="s">
        <v>1784</v>
      </c>
      <c r="G485" s="11" t="s">
        <v>83</v>
      </c>
      <c r="H485" s="11" t="s">
        <v>1685</v>
      </c>
      <c r="I485" s="11" t="s">
        <v>1686</v>
      </c>
      <c r="J485" s="12">
        <v>1</v>
      </c>
      <c r="K485" s="13">
        <v>13</v>
      </c>
      <c r="L485" s="14">
        <v>21336</v>
      </c>
      <c r="M485" s="10">
        <v>12901</v>
      </c>
      <c r="N485" s="10">
        <v>2357664</v>
      </c>
      <c r="O485" s="10">
        <v>1011682</v>
      </c>
      <c r="P485" s="10">
        <v>3369346</v>
      </c>
    </row>
    <row r="486" spans="1:16" ht="27" customHeight="1" x14ac:dyDescent="0.2">
      <c r="A486" s="9" t="s">
        <v>1682</v>
      </c>
      <c r="B486" s="10" t="s">
        <v>1783</v>
      </c>
      <c r="C486" s="11" t="s">
        <v>1785</v>
      </c>
      <c r="D486" s="11" t="s">
        <v>1786</v>
      </c>
      <c r="E486" s="11" t="s">
        <v>57</v>
      </c>
      <c r="F486" s="11" t="s">
        <v>1787</v>
      </c>
      <c r="G486" s="11" t="s">
        <v>28</v>
      </c>
      <c r="H486" s="11" t="s">
        <v>1787</v>
      </c>
      <c r="I486" s="11" t="s">
        <v>1788</v>
      </c>
      <c r="J486" s="12">
        <v>0.65410000000000001</v>
      </c>
      <c r="K486" s="13">
        <v>1</v>
      </c>
      <c r="L486" s="14">
        <v>665</v>
      </c>
      <c r="M486" s="10">
        <v>435</v>
      </c>
      <c r="N486" s="10">
        <v>73484</v>
      </c>
      <c r="O486" s="10">
        <v>34112</v>
      </c>
      <c r="P486" s="10">
        <v>107596</v>
      </c>
    </row>
    <row r="487" spans="1:16" ht="27" customHeight="1" x14ac:dyDescent="0.2">
      <c r="A487" s="9" t="s">
        <v>1682</v>
      </c>
      <c r="B487" s="10" t="s">
        <v>1783</v>
      </c>
      <c r="C487" s="11" t="s">
        <v>1789</v>
      </c>
      <c r="D487" s="11" t="s">
        <v>1790</v>
      </c>
      <c r="E487" s="11" t="s">
        <v>26</v>
      </c>
      <c r="F487" s="11" t="s">
        <v>1791</v>
      </c>
      <c r="G487" s="11" t="s">
        <v>28</v>
      </c>
      <c r="H487" s="11" t="s">
        <v>1791</v>
      </c>
      <c r="I487" s="11" t="s">
        <v>1792</v>
      </c>
      <c r="J487" s="12">
        <v>0</v>
      </c>
      <c r="K487" s="13">
        <v>1</v>
      </c>
      <c r="L487" s="14">
        <v>0</v>
      </c>
      <c r="M487" s="10">
        <v>0</v>
      </c>
      <c r="N487" s="10">
        <v>0</v>
      </c>
      <c r="O487" s="10">
        <v>0</v>
      </c>
      <c r="P487" s="10">
        <v>0</v>
      </c>
    </row>
    <row r="488" spans="1:16" ht="27" customHeight="1" x14ac:dyDescent="0.2">
      <c r="A488" s="9" t="s">
        <v>1682</v>
      </c>
      <c r="B488" s="10" t="s">
        <v>1783</v>
      </c>
      <c r="C488" s="11" t="s">
        <v>1793</v>
      </c>
      <c r="D488" s="11" t="s">
        <v>1794</v>
      </c>
      <c r="E488" s="11" t="s">
        <v>26</v>
      </c>
      <c r="F488" s="11" t="s">
        <v>1795</v>
      </c>
      <c r="G488" s="11" t="s">
        <v>28</v>
      </c>
      <c r="H488" s="11" t="s">
        <v>1685</v>
      </c>
      <c r="I488" s="11" t="s">
        <v>1686</v>
      </c>
      <c r="J488" s="12">
        <v>1</v>
      </c>
      <c r="K488" s="13">
        <v>1</v>
      </c>
      <c r="L488" s="14">
        <v>742</v>
      </c>
      <c r="M488" s="10">
        <v>629</v>
      </c>
      <c r="N488" s="10">
        <v>81992</v>
      </c>
      <c r="O488" s="10">
        <v>49326</v>
      </c>
      <c r="P488" s="10">
        <v>131318</v>
      </c>
    </row>
    <row r="489" spans="1:16" ht="27" customHeight="1" x14ac:dyDescent="0.2">
      <c r="A489" s="9" t="s">
        <v>1682</v>
      </c>
      <c r="B489" s="10" t="s">
        <v>1796</v>
      </c>
      <c r="C489" s="11" t="s">
        <v>18</v>
      </c>
      <c r="D489" s="11" t="s">
        <v>19</v>
      </c>
      <c r="E489" s="11" t="s">
        <v>19</v>
      </c>
      <c r="F489" s="11" t="s">
        <v>1797</v>
      </c>
      <c r="G489" s="11" t="s">
        <v>83</v>
      </c>
      <c r="H489" s="11" t="s">
        <v>1798</v>
      </c>
      <c r="I489" s="11" t="s">
        <v>1799</v>
      </c>
      <c r="J489" s="12">
        <v>0.4103</v>
      </c>
      <c r="K489" s="13">
        <v>12</v>
      </c>
      <c r="L489" s="14">
        <v>8864</v>
      </c>
      <c r="M489" s="10">
        <v>2795</v>
      </c>
      <c r="N489" s="10">
        <v>979487</v>
      </c>
      <c r="O489" s="10">
        <v>219182</v>
      </c>
      <c r="P489" s="10">
        <v>1198669</v>
      </c>
    </row>
    <row r="490" spans="1:16" ht="27" customHeight="1" x14ac:dyDescent="0.2">
      <c r="A490" s="9" t="s">
        <v>1682</v>
      </c>
      <c r="B490" s="10" t="s">
        <v>1800</v>
      </c>
      <c r="C490" s="11" t="s">
        <v>18</v>
      </c>
      <c r="D490" s="11" t="s">
        <v>19</v>
      </c>
      <c r="E490" s="11" t="s">
        <v>19</v>
      </c>
      <c r="F490" s="11" t="s">
        <v>1801</v>
      </c>
      <c r="G490" s="11" t="s">
        <v>83</v>
      </c>
      <c r="H490" s="11" t="s">
        <v>1802</v>
      </c>
      <c r="I490" s="11" t="s">
        <v>1803</v>
      </c>
      <c r="J490" s="12">
        <v>0.89219999999999999</v>
      </c>
      <c r="K490" s="13">
        <v>12</v>
      </c>
      <c r="L490" s="14">
        <v>5569</v>
      </c>
      <c r="M490" s="10">
        <v>4823</v>
      </c>
      <c r="N490" s="10">
        <v>615386</v>
      </c>
      <c r="O490" s="10">
        <v>378215</v>
      </c>
      <c r="P490" s="10">
        <v>993601</v>
      </c>
    </row>
    <row r="491" spans="1:16" ht="27" customHeight="1" x14ac:dyDescent="0.2">
      <c r="A491" s="9" t="s">
        <v>1682</v>
      </c>
      <c r="B491" s="10" t="s">
        <v>1804</v>
      </c>
      <c r="C491" s="11" t="s">
        <v>18</v>
      </c>
      <c r="D491" s="11" t="s">
        <v>19</v>
      </c>
      <c r="E491" s="11" t="s">
        <v>19</v>
      </c>
      <c r="F491" s="11" t="s">
        <v>1805</v>
      </c>
      <c r="G491" s="11" t="s">
        <v>83</v>
      </c>
      <c r="H491" s="11" t="s">
        <v>1806</v>
      </c>
      <c r="I491" s="11" t="s">
        <v>1807</v>
      </c>
      <c r="J491" s="12">
        <v>0.93330000000000002</v>
      </c>
      <c r="K491" s="13">
        <v>18</v>
      </c>
      <c r="L491" s="14">
        <v>10419</v>
      </c>
      <c r="M491" s="10">
        <v>9147</v>
      </c>
      <c r="N491" s="10">
        <v>1151317</v>
      </c>
      <c r="O491" s="10">
        <v>717298</v>
      </c>
      <c r="P491" s="10">
        <v>1868615</v>
      </c>
    </row>
    <row r="492" spans="1:16" ht="27" customHeight="1" x14ac:dyDescent="0.2">
      <c r="A492" s="9" t="s">
        <v>1682</v>
      </c>
      <c r="B492" s="10" t="s">
        <v>1804</v>
      </c>
      <c r="C492" s="11" t="s">
        <v>1808</v>
      </c>
      <c r="D492" s="11" t="s">
        <v>1809</v>
      </c>
      <c r="E492" s="11" t="s">
        <v>26</v>
      </c>
      <c r="F492" s="11" t="s">
        <v>1810</v>
      </c>
      <c r="G492" s="11" t="s">
        <v>28</v>
      </c>
      <c r="H492" s="11" t="s">
        <v>1685</v>
      </c>
      <c r="I492" s="11" t="s">
        <v>1686</v>
      </c>
      <c r="J492" s="12">
        <v>1</v>
      </c>
      <c r="K492" s="13">
        <v>1</v>
      </c>
      <c r="L492" s="14">
        <v>480</v>
      </c>
      <c r="M492" s="10">
        <v>383</v>
      </c>
      <c r="N492" s="10">
        <v>53041</v>
      </c>
      <c r="O492" s="10">
        <v>30034</v>
      </c>
      <c r="P492" s="10">
        <v>83075</v>
      </c>
    </row>
    <row r="493" spans="1:16" ht="27" customHeight="1" x14ac:dyDescent="0.2">
      <c r="A493" s="9" t="s">
        <v>1682</v>
      </c>
      <c r="B493" s="10" t="s">
        <v>1811</v>
      </c>
      <c r="C493" s="11" t="s">
        <v>18</v>
      </c>
      <c r="D493" s="11" t="s">
        <v>19</v>
      </c>
      <c r="E493" s="11" t="s">
        <v>19</v>
      </c>
      <c r="F493" s="11" t="s">
        <v>1812</v>
      </c>
      <c r="G493" s="11" t="s">
        <v>83</v>
      </c>
      <c r="H493" s="11" t="s">
        <v>1813</v>
      </c>
      <c r="I493" s="11" t="s">
        <v>1814</v>
      </c>
      <c r="J493" s="12">
        <v>0.93659999999999999</v>
      </c>
      <c r="K493" s="13">
        <v>8</v>
      </c>
      <c r="L493" s="14">
        <v>3023</v>
      </c>
      <c r="M493" s="10">
        <v>2733</v>
      </c>
      <c r="N493" s="10">
        <v>334047</v>
      </c>
      <c r="O493" s="10">
        <v>214320</v>
      </c>
      <c r="P493" s="10">
        <v>548367</v>
      </c>
    </row>
    <row r="494" spans="1:16" ht="27" customHeight="1" x14ac:dyDescent="0.2">
      <c r="A494" s="9" t="s">
        <v>1682</v>
      </c>
      <c r="B494" s="10" t="s">
        <v>1815</v>
      </c>
      <c r="C494" s="11" t="s">
        <v>18</v>
      </c>
      <c r="D494" s="11" t="s">
        <v>19</v>
      </c>
      <c r="E494" s="11" t="s">
        <v>19</v>
      </c>
      <c r="F494" s="11" t="s">
        <v>1816</v>
      </c>
      <c r="G494" s="11" t="s">
        <v>83</v>
      </c>
      <c r="H494" s="11" t="s">
        <v>1817</v>
      </c>
      <c r="I494" s="11" t="s">
        <v>1818</v>
      </c>
      <c r="J494" s="12">
        <v>0.90259999999999996</v>
      </c>
      <c r="K494" s="13">
        <v>16</v>
      </c>
      <c r="L494" s="14">
        <v>10295</v>
      </c>
      <c r="M494" s="10">
        <v>7939</v>
      </c>
      <c r="N494" s="10">
        <v>1137612</v>
      </c>
      <c r="O494" s="10">
        <v>622570</v>
      </c>
      <c r="P494" s="10">
        <v>1760182</v>
      </c>
    </row>
    <row r="495" spans="1:16" ht="27" customHeight="1" x14ac:dyDescent="0.2">
      <c r="A495" s="9" t="s">
        <v>1682</v>
      </c>
      <c r="B495" s="10" t="s">
        <v>1819</v>
      </c>
      <c r="C495" s="11" t="s">
        <v>18</v>
      </c>
      <c r="D495" s="11" t="s">
        <v>19</v>
      </c>
      <c r="E495" s="11" t="s">
        <v>19</v>
      </c>
      <c r="F495" s="11" t="s">
        <v>1820</v>
      </c>
      <c r="G495" s="11" t="s">
        <v>83</v>
      </c>
      <c r="H495" s="11" t="s">
        <v>1821</v>
      </c>
      <c r="I495" s="11" t="s">
        <v>1822</v>
      </c>
      <c r="J495" s="12">
        <v>0.17699999999999999</v>
      </c>
      <c r="K495" s="13">
        <v>7</v>
      </c>
      <c r="L495" s="14">
        <v>3151</v>
      </c>
      <c r="M495" s="10">
        <v>515</v>
      </c>
      <c r="N495" s="10">
        <v>348191</v>
      </c>
      <c r="O495" s="10">
        <v>40386</v>
      </c>
      <c r="P495" s="10">
        <v>388577</v>
      </c>
    </row>
    <row r="496" spans="1:16" ht="27" customHeight="1" x14ac:dyDescent="0.2">
      <c r="A496" s="9" t="s">
        <v>1682</v>
      </c>
      <c r="B496" s="10" t="s">
        <v>1823</v>
      </c>
      <c r="C496" s="11" t="s">
        <v>18</v>
      </c>
      <c r="D496" s="11" t="s">
        <v>19</v>
      </c>
      <c r="E496" s="11" t="s">
        <v>19</v>
      </c>
      <c r="F496" s="11" t="s">
        <v>1824</v>
      </c>
      <c r="G496" s="11" t="s">
        <v>83</v>
      </c>
      <c r="H496" s="11" t="s">
        <v>1825</v>
      </c>
      <c r="I496" s="11" t="s">
        <v>1826</v>
      </c>
      <c r="J496" s="12">
        <v>0.51319999999999999</v>
      </c>
      <c r="K496" s="13">
        <v>16</v>
      </c>
      <c r="L496" s="14">
        <v>9970</v>
      </c>
      <c r="M496" s="10">
        <v>3383</v>
      </c>
      <c r="N496" s="10">
        <v>1101703</v>
      </c>
      <c r="O496" s="10">
        <v>265291</v>
      </c>
      <c r="P496" s="10">
        <v>1366994</v>
      </c>
    </row>
    <row r="497" spans="1:16" ht="27" customHeight="1" x14ac:dyDescent="0.2">
      <c r="A497" s="9" t="s">
        <v>1682</v>
      </c>
      <c r="B497" s="10" t="s">
        <v>1827</v>
      </c>
      <c r="C497" s="11" t="s">
        <v>18</v>
      </c>
      <c r="D497" s="11" t="s">
        <v>19</v>
      </c>
      <c r="E497" s="11" t="s">
        <v>19</v>
      </c>
      <c r="F497" s="11" t="s">
        <v>1828</v>
      </c>
      <c r="G497" s="11" t="s">
        <v>83</v>
      </c>
      <c r="H497" s="11" t="s">
        <v>1829</v>
      </c>
      <c r="I497" s="11" t="s">
        <v>1830</v>
      </c>
      <c r="J497" s="12">
        <v>0.5</v>
      </c>
      <c r="K497" s="13">
        <v>22</v>
      </c>
      <c r="L497" s="14">
        <v>14494</v>
      </c>
      <c r="M497" s="10">
        <v>4448</v>
      </c>
      <c r="N497" s="10">
        <v>1601612</v>
      </c>
      <c r="O497" s="10">
        <v>348810</v>
      </c>
      <c r="P497" s="10">
        <v>1950422</v>
      </c>
    </row>
    <row r="498" spans="1:16" ht="27" customHeight="1" x14ac:dyDescent="0.2">
      <c r="A498" s="9" t="s">
        <v>1682</v>
      </c>
      <c r="B498" s="10" t="s">
        <v>1831</v>
      </c>
      <c r="C498" s="11" t="s">
        <v>18</v>
      </c>
      <c r="D498" s="11" t="s">
        <v>19</v>
      </c>
      <c r="E498" s="11" t="s">
        <v>19</v>
      </c>
      <c r="F498" s="11" t="s">
        <v>1832</v>
      </c>
      <c r="G498" s="11" t="s">
        <v>83</v>
      </c>
      <c r="H498" s="11" t="s">
        <v>1833</v>
      </c>
      <c r="I498" s="11" t="s">
        <v>1834</v>
      </c>
      <c r="J498" s="12">
        <v>0.58120000000000005</v>
      </c>
      <c r="K498" s="13">
        <v>6</v>
      </c>
      <c r="L498" s="14">
        <v>1959</v>
      </c>
      <c r="M498" s="10">
        <v>981</v>
      </c>
      <c r="N498" s="10">
        <v>216473</v>
      </c>
      <c r="O498" s="10">
        <v>76929</v>
      </c>
      <c r="P498" s="10">
        <v>293402</v>
      </c>
    </row>
    <row r="499" spans="1:16" ht="27" customHeight="1" x14ac:dyDescent="0.2">
      <c r="A499" s="9" t="s">
        <v>1682</v>
      </c>
      <c r="B499" s="10" t="s">
        <v>1835</v>
      </c>
      <c r="C499" s="11" t="s">
        <v>18</v>
      </c>
      <c r="D499" s="11" t="s">
        <v>19</v>
      </c>
      <c r="E499" s="11" t="s">
        <v>19</v>
      </c>
      <c r="F499" s="11" t="s">
        <v>1836</v>
      </c>
      <c r="G499" s="11" t="s">
        <v>83</v>
      </c>
      <c r="H499" s="11" t="s">
        <v>1685</v>
      </c>
      <c r="I499" s="11" t="s">
        <v>1686</v>
      </c>
      <c r="J499" s="12">
        <v>1</v>
      </c>
      <c r="K499" s="13">
        <v>6</v>
      </c>
      <c r="L499" s="14">
        <v>5874</v>
      </c>
      <c r="M499" s="10">
        <v>4327</v>
      </c>
      <c r="N499" s="10">
        <v>649087</v>
      </c>
      <c r="O499" s="10">
        <v>339320</v>
      </c>
      <c r="P499" s="10">
        <v>988407</v>
      </c>
    </row>
    <row r="500" spans="1:16" ht="27" customHeight="1" x14ac:dyDescent="0.2">
      <c r="A500" s="9" t="s">
        <v>1682</v>
      </c>
      <c r="B500" s="10" t="s">
        <v>1835</v>
      </c>
      <c r="C500" s="11" t="s">
        <v>1837</v>
      </c>
      <c r="D500" s="11" t="s">
        <v>1838</v>
      </c>
      <c r="E500" s="11" t="s">
        <v>26</v>
      </c>
      <c r="F500" s="11" t="s">
        <v>1839</v>
      </c>
      <c r="G500" s="11" t="s">
        <v>28</v>
      </c>
      <c r="H500" s="11" t="s">
        <v>1685</v>
      </c>
      <c r="I500" s="11" t="s">
        <v>1686</v>
      </c>
      <c r="J500" s="12">
        <v>1</v>
      </c>
      <c r="K500" s="13">
        <v>1</v>
      </c>
      <c r="L500" s="14">
        <v>461</v>
      </c>
      <c r="M500" s="10">
        <v>26</v>
      </c>
      <c r="N500" s="10">
        <v>50941</v>
      </c>
      <c r="O500" s="10">
        <v>2039</v>
      </c>
      <c r="P500" s="10">
        <v>52980</v>
      </c>
    </row>
    <row r="501" spans="1:16" ht="27" customHeight="1" x14ac:dyDescent="0.2">
      <c r="A501" s="9" t="s">
        <v>1682</v>
      </c>
      <c r="B501" s="10" t="s">
        <v>1835</v>
      </c>
      <c r="C501" s="11" t="s">
        <v>1840</v>
      </c>
      <c r="D501" s="11" t="s">
        <v>1841</v>
      </c>
      <c r="E501" s="11" t="s">
        <v>26</v>
      </c>
      <c r="F501" s="11" t="s">
        <v>1842</v>
      </c>
      <c r="G501" s="11" t="s">
        <v>28</v>
      </c>
      <c r="H501" s="11" t="s">
        <v>1685</v>
      </c>
      <c r="I501" s="11" t="s">
        <v>1686</v>
      </c>
      <c r="J501" s="12">
        <v>1</v>
      </c>
      <c r="K501" s="13">
        <v>1</v>
      </c>
      <c r="L501" s="14">
        <v>348</v>
      </c>
      <c r="M501" s="10">
        <v>15</v>
      </c>
      <c r="N501" s="10">
        <v>38455</v>
      </c>
      <c r="O501" s="10">
        <v>1176</v>
      </c>
      <c r="P501" s="10">
        <v>39631</v>
      </c>
    </row>
    <row r="502" spans="1:16" ht="27" customHeight="1" x14ac:dyDescent="0.2">
      <c r="A502" s="9" t="s">
        <v>1682</v>
      </c>
      <c r="B502" s="10" t="s">
        <v>1843</v>
      </c>
      <c r="C502" s="11" t="s">
        <v>18</v>
      </c>
      <c r="D502" s="11" t="s">
        <v>19</v>
      </c>
      <c r="E502" s="11" t="s">
        <v>19</v>
      </c>
      <c r="F502" s="11" t="s">
        <v>1844</v>
      </c>
      <c r="G502" s="11" t="s">
        <v>83</v>
      </c>
      <c r="H502" s="11" t="s">
        <v>1845</v>
      </c>
      <c r="I502" s="11" t="s">
        <v>1846</v>
      </c>
      <c r="J502" s="12">
        <v>0.67320000000000002</v>
      </c>
      <c r="K502" s="13">
        <v>11</v>
      </c>
      <c r="L502" s="14">
        <v>4305</v>
      </c>
      <c r="M502" s="10">
        <v>2642</v>
      </c>
      <c r="N502" s="10">
        <v>475711</v>
      </c>
      <c r="O502" s="10">
        <v>207181</v>
      </c>
      <c r="P502" s="10">
        <v>682892</v>
      </c>
    </row>
    <row r="503" spans="1:16" ht="27" customHeight="1" x14ac:dyDescent="0.2">
      <c r="A503" s="9" t="s">
        <v>1682</v>
      </c>
      <c r="B503" s="10" t="s">
        <v>1847</v>
      </c>
      <c r="C503" s="11" t="s">
        <v>18</v>
      </c>
      <c r="D503" s="11" t="s">
        <v>19</v>
      </c>
      <c r="E503" s="11" t="s">
        <v>19</v>
      </c>
      <c r="F503" s="11" t="s">
        <v>1848</v>
      </c>
      <c r="G503" s="11" t="s">
        <v>83</v>
      </c>
      <c r="H503" s="11" t="s">
        <v>1849</v>
      </c>
      <c r="I503" s="11" t="s">
        <v>1850</v>
      </c>
      <c r="J503" s="12">
        <v>0.5</v>
      </c>
      <c r="K503" s="13">
        <v>12</v>
      </c>
      <c r="L503" s="14">
        <v>6461</v>
      </c>
      <c r="M503" s="10">
        <v>2131</v>
      </c>
      <c r="N503" s="10">
        <v>713953</v>
      </c>
      <c r="O503" s="10">
        <v>167110</v>
      </c>
      <c r="P503" s="10">
        <v>881063</v>
      </c>
    </row>
    <row r="504" spans="1:16" ht="27" customHeight="1" x14ac:dyDescent="0.2">
      <c r="A504" s="9" t="s">
        <v>1682</v>
      </c>
      <c r="B504" s="10" t="s">
        <v>1851</v>
      </c>
      <c r="C504" s="11" t="s">
        <v>18</v>
      </c>
      <c r="D504" s="11" t="s">
        <v>19</v>
      </c>
      <c r="E504" s="11" t="s">
        <v>19</v>
      </c>
      <c r="F504" s="11" t="s">
        <v>1852</v>
      </c>
      <c r="G504" s="11" t="s">
        <v>83</v>
      </c>
      <c r="H504" s="11" t="s">
        <v>1853</v>
      </c>
      <c r="I504" s="11" t="s">
        <v>1854</v>
      </c>
      <c r="J504" s="12">
        <v>0.78290000000000004</v>
      </c>
      <c r="K504" s="13">
        <v>19</v>
      </c>
      <c r="L504" s="14">
        <v>11290</v>
      </c>
      <c r="M504" s="10">
        <v>7382</v>
      </c>
      <c r="N504" s="10">
        <v>1247563</v>
      </c>
      <c r="O504" s="10">
        <v>578887</v>
      </c>
      <c r="P504" s="10">
        <v>1826450</v>
      </c>
    </row>
    <row r="505" spans="1:16" ht="27" customHeight="1" x14ac:dyDescent="0.2">
      <c r="A505" s="9" t="s">
        <v>1682</v>
      </c>
      <c r="B505" s="10" t="s">
        <v>1855</v>
      </c>
      <c r="C505" s="11" t="s">
        <v>18</v>
      </c>
      <c r="D505" s="11" t="s">
        <v>19</v>
      </c>
      <c r="E505" s="11" t="s">
        <v>19</v>
      </c>
      <c r="F505" s="11" t="s">
        <v>1856</v>
      </c>
      <c r="G505" s="11" t="s">
        <v>83</v>
      </c>
      <c r="H505" s="11" t="s">
        <v>1857</v>
      </c>
      <c r="I505" s="11" t="s">
        <v>1858</v>
      </c>
      <c r="J505" s="12">
        <v>0.53169999999999995</v>
      </c>
      <c r="K505" s="13">
        <v>10</v>
      </c>
      <c r="L505" s="14">
        <v>6900</v>
      </c>
      <c r="M505" s="10">
        <v>2554</v>
      </c>
      <c r="N505" s="10">
        <v>762461</v>
      </c>
      <c r="O505" s="10">
        <v>200282</v>
      </c>
      <c r="P505" s="10">
        <v>962743</v>
      </c>
    </row>
    <row r="506" spans="1:16" ht="27" customHeight="1" x14ac:dyDescent="0.2">
      <c r="A506" s="9" t="s">
        <v>1682</v>
      </c>
      <c r="B506" s="10" t="s">
        <v>1859</v>
      </c>
      <c r="C506" s="11" t="s">
        <v>18</v>
      </c>
      <c r="D506" s="11" t="s">
        <v>19</v>
      </c>
      <c r="E506" s="11" t="s">
        <v>19</v>
      </c>
      <c r="F506" s="11" t="s">
        <v>1860</v>
      </c>
      <c r="G506" s="11" t="s">
        <v>83</v>
      </c>
      <c r="H506" s="11" t="s">
        <v>1861</v>
      </c>
      <c r="I506" s="11" t="s">
        <v>1862</v>
      </c>
      <c r="J506" s="12">
        <v>0.80759999999999998</v>
      </c>
      <c r="K506" s="13">
        <v>23</v>
      </c>
      <c r="L506" s="14">
        <v>22455</v>
      </c>
      <c r="M506" s="10">
        <v>15728</v>
      </c>
      <c r="N506" s="10">
        <v>2481315</v>
      </c>
      <c r="O506" s="10">
        <v>1233375</v>
      </c>
      <c r="P506" s="10">
        <v>3714690</v>
      </c>
    </row>
    <row r="507" spans="1:16" ht="27" customHeight="1" x14ac:dyDescent="0.2">
      <c r="A507" s="9" t="s">
        <v>1682</v>
      </c>
      <c r="B507" s="10" t="s">
        <v>1863</v>
      </c>
      <c r="C507" s="11" t="s">
        <v>18</v>
      </c>
      <c r="D507" s="11" t="s">
        <v>19</v>
      </c>
      <c r="E507" s="11" t="s">
        <v>19</v>
      </c>
      <c r="F507" s="11" t="s">
        <v>1864</v>
      </c>
      <c r="G507" s="11" t="s">
        <v>83</v>
      </c>
      <c r="H507" s="11" t="s">
        <v>1865</v>
      </c>
      <c r="I507" s="11" t="s">
        <v>1866</v>
      </c>
      <c r="J507" s="12">
        <v>0.71499999999999997</v>
      </c>
      <c r="K507" s="13">
        <v>7</v>
      </c>
      <c r="L507" s="14">
        <v>3188</v>
      </c>
      <c r="M507" s="10">
        <v>1772</v>
      </c>
      <c r="N507" s="10">
        <v>352279</v>
      </c>
      <c r="O507" s="10">
        <v>138959</v>
      </c>
      <c r="P507" s="10">
        <v>491238</v>
      </c>
    </row>
    <row r="508" spans="1:16" ht="27" customHeight="1" x14ac:dyDescent="0.2">
      <c r="A508" s="9" t="s">
        <v>1682</v>
      </c>
      <c r="B508" s="10" t="s">
        <v>1863</v>
      </c>
      <c r="C508" s="11" t="s">
        <v>1867</v>
      </c>
      <c r="D508" s="11" t="s">
        <v>1868</v>
      </c>
      <c r="E508" s="11" t="s">
        <v>26</v>
      </c>
      <c r="F508" s="11" t="s">
        <v>1869</v>
      </c>
      <c r="G508" s="11" t="s">
        <v>28</v>
      </c>
      <c r="H508" s="11" t="s">
        <v>1869</v>
      </c>
      <c r="I508" s="11" t="s">
        <v>1870</v>
      </c>
      <c r="J508" s="12">
        <v>0.625</v>
      </c>
      <c r="K508" s="13">
        <v>1</v>
      </c>
      <c r="L508" s="14">
        <v>88</v>
      </c>
      <c r="M508" s="10">
        <v>55</v>
      </c>
      <c r="N508" s="10">
        <v>9724</v>
      </c>
      <c r="O508" s="10">
        <v>4313</v>
      </c>
      <c r="P508" s="10">
        <v>14037</v>
      </c>
    </row>
    <row r="509" spans="1:16" ht="27" customHeight="1" x14ac:dyDescent="0.2">
      <c r="A509" s="9" t="s">
        <v>1682</v>
      </c>
      <c r="B509" s="10" t="s">
        <v>1863</v>
      </c>
      <c r="C509" s="11" t="s">
        <v>1871</v>
      </c>
      <c r="D509" s="11" t="s">
        <v>1872</v>
      </c>
      <c r="E509" s="11" t="s">
        <v>26</v>
      </c>
      <c r="F509" s="11" t="s">
        <v>1873</v>
      </c>
      <c r="G509" s="11" t="s">
        <v>28</v>
      </c>
      <c r="H509" s="11" t="s">
        <v>1685</v>
      </c>
      <c r="I509" s="11" t="s">
        <v>1686</v>
      </c>
      <c r="J509" s="12">
        <v>1</v>
      </c>
      <c r="K509" s="13">
        <v>1</v>
      </c>
      <c r="L509" s="14">
        <v>945</v>
      </c>
      <c r="M509" s="10">
        <v>184</v>
      </c>
      <c r="N509" s="10">
        <v>104424</v>
      </c>
      <c r="O509" s="10">
        <v>14429</v>
      </c>
      <c r="P509" s="10">
        <v>118853</v>
      </c>
    </row>
    <row r="510" spans="1:16" ht="27" customHeight="1" x14ac:dyDescent="0.2">
      <c r="A510" s="9" t="s">
        <v>1682</v>
      </c>
      <c r="B510" s="10" t="s">
        <v>1863</v>
      </c>
      <c r="C510" s="11" t="s">
        <v>1874</v>
      </c>
      <c r="D510" s="11" t="s">
        <v>1875</v>
      </c>
      <c r="E510" s="11" t="s">
        <v>26</v>
      </c>
      <c r="F510" s="11" t="s">
        <v>1876</v>
      </c>
      <c r="G510" s="11" t="s">
        <v>28</v>
      </c>
      <c r="H510" s="11" t="s">
        <v>1685</v>
      </c>
      <c r="I510" s="11" t="s">
        <v>1686</v>
      </c>
      <c r="J510" s="12">
        <v>1</v>
      </c>
      <c r="K510" s="13">
        <v>1</v>
      </c>
      <c r="L510" s="14">
        <v>2354</v>
      </c>
      <c r="M510" s="10">
        <v>2057</v>
      </c>
      <c r="N510" s="10">
        <v>260121</v>
      </c>
      <c r="O510" s="10">
        <v>161308</v>
      </c>
      <c r="P510" s="10">
        <v>421429</v>
      </c>
    </row>
    <row r="511" spans="1:16" ht="27" customHeight="1" x14ac:dyDescent="0.2">
      <c r="A511" s="9" t="s">
        <v>1682</v>
      </c>
      <c r="B511" s="10" t="s">
        <v>1877</v>
      </c>
      <c r="C511" s="11" t="s">
        <v>18</v>
      </c>
      <c r="D511" s="11" t="s">
        <v>19</v>
      </c>
      <c r="E511" s="11" t="s">
        <v>19</v>
      </c>
      <c r="F511" s="11" t="s">
        <v>1878</v>
      </c>
      <c r="G511" s="11" t="s">
        <v>83</v>
      </c>
      <c r="H511" s="11" t="s">
        <v>1879</v>
      </c>
      <c r="I511" s="11" t="s">
        <v>1880</v>
      </c>
      <c r="J511" s="12">
        <v>0.93789999999999996</v>
      </c>
      <c r="K511" s="13">
        <v>7</v>
      </c>
      <c r="L511" s="14">
        <v>3143</v>
      </c>
      <c r="M511" s="10">
        <v>2829</v>
      </c>
      <c r="N511" s="10">
        <v>347308</v>
      </c>
      <c r="O511" s="10">
        <v>221847</v>
      </c>
      <c r="P511" s="10">
        <v>569155</v>
      </c>
    </row>
    <row r="512" spans="1:16" ht="27" customHeight="1" x14ac:dyDescent="0.2">
      <c r="A512" s="9" t="s">
        <v>1682</v>
      </c>
      <c r="B512" s="10" t="s">
        <v>1881</v>
      </c>
      <c r="C512" s="11" t="s">
        <v>18</v>
      </c>
      <c r="D512" s="11" t="s">
        <v>19</v>
      </c>
      <c r="E512" s="11" t="s">
        <v>19</v>
      </c>
      <c r="F512" s="11" t="s">
        <v>1882</v>
      </c>
      <c r="G512" s="11" t="s">
        <v>83</v>
      </c>
      <c r="H512" s="11" t="s">
        <v>1883</v>
      </c>
      <c r="I512" s="11" t="s">
        <v>1884</v>
      </c>
      <c r="J512" s="12">
        <v>0.871</v>
      </c>
      <c r="K512" s="13">
        <v>14</v>
      </c>
      <c r="L512" s="14">
        <v>7802</v>
      </c>
      <c r="M512" s="10">
        <v>4431</v>
      </c>
      <c r="N512" s="10">
        <v>862134</v>
      </c>
      <c r="O512" s="10">
        <v>347474</v>
      </c>
      <c r="P512" s="10">
        <v>1209608</v>
      </c>
    </row>
    <row r="513" spans="1:16" ht="27" customHeight="1" x14ac:dyDescent="0.2">
      <c r="A513" s="9" t="s">
        <v>1682</v>
      </c>
      <c r="B513" s="10" t="s">
        <v>1885</v>
      </c>
      <c r="C513" s="11" t="s">
        <v>18</v>
      </c>
      <c r="D513" s="11" t="s">
        <v>19</v>
      </c>
      <c r="E513" s="11" t="s">
        <v>19</v>
      </c>
      <c r="F513" s="11" t="s">
        <v>1886</v>
      </c>
      <c r="G513" s="11" t="s">
        <v>83</v>
      </c>
      <c r="H513" s="11" t="s">
        <v>1887</v>
      </c>
      <c r="I513" s="11" t="s">
        <v>1888</v>
      </c>
      <c r="J513" s="12">
        <v>0.95379999999999998</v>
      </c>
      <c r="K513" s="13">
        <v>16</v>
      </c>
      <c r="L513" s="14">
        <v>7359</v>
      </c>
      <c r="M513" s="10">
        <v>6214</v>
      </c>
      <c r="N513" s="10">
        <v>813183</v>
      </c>
      <c r="O513" s="10">
        <v>487295</v>
      </c>
      <c r="P513" s="10">
        <v>1300478</v>
      </c>
    </row>
    <row r="514" spans="1:16" ht="27" customHeight="1" x14ac:dyDescent="0.2">
      <c r="A514" s="9" t="s">
        <v>1682</v>
      </c>
      <c r="B514" s="10" t="s">
        <v>1889</v>
      </c>
      <c r="C514" s="11" t="s">
        <v>18</v>
      </c>
      <c r="D514" s="11" t="s">
        <v>19</v>
      </c>
      <c r="E514" s="11" t="s">
        <v>19</v>
      </c>
      <c r="F514" s="11" t="s">
        <v>1890</v>
      </c>
      <c r="G514" s="11" t="s">
        <v>83</v>
      </c>
      <c r="H514" s="11" t="s">
        <v>1685</v>
      </c>
      <c r="I514" s="11" t="s">
        <v>1686</v>
      </c>
      <c r="J514" s="12">
        <v>1</v>
      </c>
      <c r="K514" s="13">
        <v>8</v>
      </c>
      <c r="L514" s="14">
        <v>7860</v>
      </c>
      <c r="M514" s="10">
        <v>6797</v>
      </c>
      <c r="N514" s="10">
        <v>868543</v>
      </c>
      <c r="O514" s="10">
        <v>533013</v>
      </c>
      <c r="P514" s="10">
        <v>1401556</v>
      </c>
    </row>
    <row r="515" spans="1:16" ht="27" customHeight="1" x14ac:dyDescent="0.2">
      <c r="A515" s="9" t="s">
        <v>1682</v>
      </c>
      <c r="B515" s="10" t="s">
        <v>1891</v>
      </c>
      <c r="C515" s="11" t="s">
        <v>18</v>
      </c>
      <c r="D515" s="11" t="s">
        <v>19</v>
      </c>
      <c r="E515" s="11" t="s">
        <v>19</v>
      </c>
      <c r="F515" s="11" t="s">
        <v>1892</v>
      </c>
      <c r="G515" s="11" t="s">
        <v>83</v>
      </c>
      <c r="H515" s="11" t="s">
        <v>1893</v>
      </c>
      <c r="I515" s="11" t="s">
        <v>1894</v>
      </c>
      <c r="J515" s="12">
        <v>0.85560000000000003</v>
      </c>
      <c r="K515" s="13">
        <v>15</v>
      </c>
      <c r="L515" s="14">
        <v>7537</v>
      </c>
      <c r="M515" s="10">
        <v>5948</v>
      </c>
      <c r="N515" s="10">
        <v>832852</v>
      </c>
      <c r="O515" s="10">
        <v>466436</v>
      </c>
      <c r="P515" s="10">
        <v>1299288</v>
      </c>
    </row>
    <row r="516" spans="1:16" ht="27" customHeight="1" x14ac:dyDescent="0.2">
      <c r="A516" s="9" t="s">
        <v>1682</v>
      </c>
      <c r="B516" s="10" t="s">
        <v>1895</v>
      </c>
      <c r="C516" s="11" t="s">
        <v>18</v>
      </c>
      <c r="D516" s="11" t="s">
        <v>19</v>
      </c>
      <c r="E516" s="11" t="s">
        <v>19</v>
      </c>
      <c r="F516" s="11" t="s">
        <v>1896</v>
      </c>
      <c r="G516" s="11" t="s">
        <v>83</v>
      </c>
      <c r="H516" s="11" t="s">
        <v>1897</v>
      </c>
      <c r="I516" s="11" t="s">
        <v>1898</v>
      </c>
      <c r="J516" s="12">
        <v>9.4399999999999998E-2</v>
      </c>
      <c r="K516" s="13">
        <v>6</v>
      </c>
      <c r="L516" s="14">
        <v>3532</v>
      </c>
      <c r="M516" s="10">
        <v>375</v>
      </c>
      <c r="N516" s="10">
        <v>390292</v>
      </c>
      <c r="O516" s="10">
        <v>29408</v>
      </c>
      <c r="P516" s="10">
        <v>419700</v>
      </c>
    </row>
    <row r="517" spans="1:16" ht="27" customHeight="1" x14ac:dyDescent="0.2">
      <c r="A517" s="9" t="s">
        <v>1682</v>
      </c>
      <c r="B517" s="10" t="s">
        <v>1899</v>
      </c>
      <c r="C517" s="11" t="s">
        <v>18</v>
      </c>
      <c r="D517" s="11" t="s">
        <v>19</v>
      </c>
      <c r="E517" s="11" t="s">
        <v>19</v>
      </c>
      <c r="F517" s="11" t="s">
        <v>1900</v>
      </c>
      <c r="G517" s="11" t="s">
        <v>83</v>
      </c>
      <c r="H517" s="11" t="s">
        <v>1901</v>
      </c>
      <c r="I517" s="11" t="s">
        <v>1902</v>
      </c>
      <c r="J517" s="12">
        <v>0.83489999999999998</v>
      </c>
      <c r="K517" s="13">
        <v>13</v>
      </c>
      <c r="L517" s="14">
        <v>4405</v>
      </c>
      <c r="M517" s="10">
        <v>3034</v>
      </c>
      <c r="N517" s="10">
        <v>486760</v>
      </c>
      <c r="O517" s="10">
        <v>237922</v>
      </c>
      <c r="P517" s="10">
        <v>724682</v>
      </c>
    </row>
    <row r="518" spans="1:16" ht="27" customHeight="1" x14ac:dyDescent="0.2">
      <c r="A518" s="9" t="s">
        <v>1682</v>
      </c>
      <c r="B518" s="10" t="s">
        <v>1903</v>
      </c>
      <c r="C518" s="11" t="s">
        <v>18</v>
      </c>
      <c r="D518" s="11" t="s">
        <v>19</v>
      </c>
      <c r="E518" s="11" t="s">
        <v>19</v>
      </c>
      <c r="F518" s="11" t="s">
        <v>1904</v>
      </c>
      <c r="G518" s="11" t="s">
        <v>83</v>
      </c>
      <c r="H518" s="11" t="s">
        <v>1821</v>
      </c>
      <c r="I518" s="11" t="s">
        <v>1905</v>
      </c>
      <c r="J518" s="12">
        <v>0.75780000000000003</v>
      </c>
      <c r="K518" s="13">
        <v>35</v>
      </c>
      <c r="L518" s="14">
        <v>24802</v>
      </c>
      <c r="M518" s="10">
        <v>11352</v>
      </c>
      <c r="N518" s="10">
        <v>2740661</v>
      </c>
      <c r="O518" s="10">
        <v>890213</v>
      </c>
      <c r="P518" s="10">
        <v>3630874</v>
      </c>
    </row>
    <row r="519" spans="1:16" ht="27" customHeight="1" x14ac:dyDescent="0.2">
      <c r="A519" s="9" t="s">
        <v>1682</v>
      </c>
      <c r="B519" s="10" t="s">
        <v>1906</v>
      </c>
      <c r="C519" s="11" t="s">
        <v>18</v>
      </c>
      <c r="D519" s="11" t="s">
        <v>19</v>
      </c>
      <c r="E519" s="11" t="s">
        <v>19</v>
      </c>
      <c r="F519" s="11" t="s">
        <v>1907</v>
      </c>
      <c r="G519" s="11" t="s">
        <v>83</v>
      </c>
      <c r="H519" s="11" t="s">
        <v>1908</v>
      </c>
      <c r="I519" s="11" t="s">
        <v>1909</v>
      </c>
      <c r="J519" s="12">
        <v>0.6532</v>
      </c>
      <c r="K519" s="13">
        <v>11</v>
      </c>
      <c r="L519" s="14">
        <v>6552</v>
      </c>
      <c r="M519" s="10">
        <v>2786</v>
      </c>
      <c r="N519" s="10">
        <v>724006</v>
      </c>
      <c r="O519" s="10">
        <v>218476</v>
      </c>
      <c r="P519" s="10">
        <v>942482</v>
      </c>
    </row>
    <row r="520" spans="1:16" ht="27" customHeight="1" x14ac:dyDescent="0.2">
      <c r="A520" s="9" t="s">
        <v>1682</v>
      </c>
      <c r="B520" s="10" t="s">
        <v>1910</v>
      </c>
      <c r="C520" s="11" t="s">
        <v>18</v>
      </c>
      <c r="D520" s="11" t="s">
        <v>19</v>
      </c>
      <c r="E520" s="11" t="s">
        <v>19</v>
      </c>
      <c r="F520" s="11" t="s">
        <v>1911</v>
      </c>
      <c r="G520" s="11" t="s">
        <v>83</v>
      </c>
      <c r="H520" s="11" t="s">
        <v>1912</v>
      </c>
      <c r="I520" s="11" t="s">
        <v>1913</v>
      </c>
      <c r="J520" s="12">
        <v>0.63859999999999995</v>
      </c>
      <c r="K520" s="13">
        <v>2</v>
      </c>
      <c r="L520" s="14">
        <v>83</v>
      </c>
      <c r="M520" s="10">
        <v>53</v>
      </c>
      <c r="N520" s="10">
        <v>9172</v>
      </c>
      <c r="O520" s="10">
        <v>4156</v>
      </c>
      <c r="P520" s="10">
        <v>13328</v>
      </c>
    </row>
    <row r="521" spans="1:16" ht="27" customHeight="1" x14ac:dyDescent="0.2">
      <c r="A521" s="9" t="s">
        <v>1682</v>
      </c>
      <c r="B521" s="10" t="s">
        <v>1910</v>
      </c>
      <c r="C521" s="11" t="s">
        <v>1914</v>
      </c>
      <c r="D521" s="11" t="s">
        <v>1915</v>
      </c>
      <c r="E521" s="11" t="s">
        <v>26</v>
      </c>
      <c r="F521" s="11" t="s">
        <v>1916</v>
      </c>
      <c r="G521" s="11" t="s">
        <v>28</v>
      </c>
      <c r="H521" s="11" t="s">
        <v>1916</v>
      </c>
      <c r="I521" s="11" t="s">
        <v>1917</v>
      </c>
      <c r="J521" s="12">
        <v>0.38300000000000001</v>
      </c>
      <c r="K521" s="13">
        <v>1</v>
      </c>
      <c r="L521" s="14">
        <v>1188</v>
      </c>
      <c r="M521" s="10">
        <v>455</v>
      </c>
      <c r="N521" s="10">
        <v>131276</v>
      </c>
      <c r="O521" s="10">
        <v>35681</v>
      </c>
      <c r="P521" s="10">
        <v>166957</v>
      </c>
    </row>
    <row r="522" spans="1:16" ht="27" customHeight="1" x14ac:dyDescent="0.2">
      <c r="A522" s="9" t="s">
        <v>1682</v>
      </c>
      <c r="B522" s="10" t="s">
        <v>1918</v>
      </c>
      <c r="C522" s="11" t="s">
        <v>18</v>
      </c>
      <c r="D522" s="11" t="s">
        <v>19</v>
      </c>
      <c r="E522" s="11" t="s">
        <v>19</v>
      </c>
      <c r="F522" s="11" t="s">
        <v>1919</v>
      </c>
      <c r="G522" s="11" t="s">
        <v>83</v>
      </c>
      <c r="H522" s="11" t="s">
        <v>1920</v>
      </c>
      <c r="I522" s="11" t="s">
        <v>1921</v>
      </c>
      <c r="J522" s="12">
        <v>0.74180000000000001</v>
      </c>
      <c r="K522" s="13">
        <v>11</v>
      </c>
      <c r="L522" s="14">
        <v>6729</v>
      </c>
      <c r="M522" s="10">
        <v>4296</v>
      </c>
      <c r="N522" s="10">
        <v>743564</v>
      </c>
      <c r="O522" s="10">
        <v>336888</v>
      </c>
      <c r="P522" s="10">
        <v>1080452</v>
      </c>
    </row>
    <row r="523" spans="1:16" ht="27" customHeight="1" x14ac:dyDescent="0.2">
      <c r="A523" s="9" t="s">
        <v>1682</v>
      </c>
      <c r="B523" s="10" t="s">
        <v>1918</v>
      </c>
      <c r="C523" s="11" t="s">
        <v>1922</v>
      </c>
      <c r="D523" s="11" t="s">
        <v>1923</v>
      </c>
      <c r="E523" s="11" t="s">
        <v>57</v>
      </c>
      <c r="F523" s="11" t="s">
        <v>1924</v>
      </c>
      <c r="G523" s="11" t="s">
        <v>28</v>
      </c>
      <c r="H523" s="11" t="s">
        <v>1685</v>
      </c>
      <c r="I523" s="11" t="s">
        <v>1686</v>
      </c>
      <c r="J523" s="12">
        <v>1</v>
      </c>
      <c r="K523" s="13">
        <v>1</v>
      </c>
      <c r="L523" s="14">
        <v>534</v>
      </c>
      <c r="M523" s="10">
        <v>266</v>
      </c>
      <c r="N523" s="10">
        <v>59008</v>
      </c>
      <c r="O523" s="10">
        <v>20859</v>
      </c>
      <c r="P523" s="10">
        <v>79867</v>
      </c>
    </row>
    <row r="524" spans="1:16" ht="27" customHeight="1" x14ac:dyDescent="0.2">
      <c r="A524" s="9" t="s">
        <v>1682</v>
      </c>
      <c r="B524" s="10" t="s">
        <v>1925</v>
      </c>
      <c r="C524" s="11" t="s">
        <v>18</v>
      </c>
      <c r="D524" s="11" t="s">
        <v>19</v>
      </c>
      <c r="E524" s="11" t="s">
        <v>19</v>
      </c>
      <c r="F524" s="11" t="s">
        <v>1926</v>
      </c>
      <c r="G524" s="11" t="s">
        <v>83</v>
      </c>
      <c r="H524" s="11" t="s">
        <v>1927</v>
      </c>
      <c r="I524" s="11" t="s">
        <v>1928</v>
      </c>
      <c r="J524" s="12">
        <v>7.4899999999999994E-2</v>
      </c>
      <c r="K524" s="13">
        <v>4</v>
      </c>
      <c r="L524" s="14">
        <v>1279</v>
      </c>
      <c r="M524" s="10">
        <v>92</v>
      </c>
      <c r="N524" s="10">
        <v>141331</v>
      </c>
      <c r="O524" s="10">
        <v>7214</v>
      </c>
      <c r="P524" s="10">
        <v>148545</v>
      </c>
    </row>
    <row r="525" spans="1:16" ht="27" customHeight="1" x14ac:dyDescent="0.2">
      <c r="A525" s="9" t="s">
        <v>1682</v>
      </c>
      <c r="B525" s="10" t="s">
        <v>1929</v>
      </c>
      <c r="C525" s="11" t="s">
        <v>18</v>
      </c>
      <c r="D525" s="11" t="s">
        <v>19</v>
      </c>
      <c r="E525" s="11" t="s">
        <v>19</v>
      </c>
      <c r="F525" s="11" t="s">
        <v>1930</v>
      </c>
      <c r="G525" s="11" t="s">
        <v>83</v>
      </c>
      <c r="H525" s="11" t="s">
        <v>1931</v>
      </c>
      <c r="I525" s="11" t="s">
        <v>1932</v>
      </c>
      <c r="J525" s="12">
        <v>0.35370000000000001</v>
      </c>
      <c r="K525" s="13">
        <v>2</v>
      </c>
      <c r="L525" s="14">
        <v>158</v>
      </c>
      <c r="M525" s="10">
        <v>53</v>
      </c>
      <c r="N525" s="10">
        <v>17460</v>
      </c>
      <c r="O525" s="10">
        <v>4156</v>
      </c>
      <c r="P525" s="10">
        <v>21616</v>
      </c>
    </row>
    <row r="526" spans="1:16" ht="27" customHeight="1" x14ac:dyDescent="0.2">
      <c r="A526" s="9" t="s">
        <v>1682</v>
      </c>
      <c r="B526" s="10" t="s">
        <v>1933</v>
      </c>
      <c r="C526" s="11" t="s">
        <v>18</v>
      </c>
      <c r="D526" s="11" t="s">
        <v>19</v>
      </c>
      <c r="E526" s="11" t="s">
        <v>19</v>
      </c>
      <c r="F526" s="11" t="s">
        <v>1934</v>
      </c>
      <c r="G526" s="11" t="s">
        <v>83</v>
      </c>
      <c r="H526" s="11" t="s">
        <v>1935</v>
      </c>
      <c r="I526" s="11" t="s">
        <v>1936</v>
      </c>
      <c r="J526" s="12">
        <v>0.89849999999999997</v>
      </c>
      <c r="K526" s="13">
        <v>15</v>
      </c>
      <c r="L526" s="14">
        <v>6582</v>
      </c>
      <c r="M526" s="10">
        <v>5264</v>
      </c>
      <c r="N526" s="10">
        <v>727322</v>
      </c>
      <c r="O526" s="10">
        <v>412797</v>
      </c>
      <c r="P526" s="10">
        <v>1140119</v>
      </c>
    </row>
    <row r="527" spans="1:16" ht="27" customHeight="1" x14ac:dyDescent="0.2">
      <c r="A527" s="9" t="s">
        <v>1682</v>
      </c>
      <c r="B527" s="10" t="s">
        <v>1933</v>
      </c>
      <c r="C527" s="11" t="s">
        <v>1937</v>
      </c>
      <c r="D527" s="11" t="s">
        <v>1938</v>
      </c>
      <c r="E527" s="11" t="s">
        <v>26</v>
      </c>
      <c r="F527" s="11" t="s">
        <v>1939</v>
      </c>
      <c r="G527" s="11" t="s">
        <v>28</v>
      </c>
      <c r="H527" s="11" t="s">
        <v>1939</v>
      </c>
      <c r="I527" s="11" t="s">
        <v>1940</v>
      </c>
      <c r="J527" s="12">
        <v>0.62119999999999997</v>
      </c>
      <c r="K527" s="13">
        <v>1</v>
      </c>
      <c r="L527" s="14">
        <v>396</v>
      </c>
      <c r="M527" s="10">
        <v>246</v>
      </c>
      <c r="N527" s="10">
        <v>43759</v>
      </c>
      <c r="O527" s="10">
        <v>19291</v>
      </c>
      <c r="P527" s="10">
        <v>63050</v>
      </c>
    </row>
    <row r="528" spans="1:16" ht="27" customHeight="1" x14ac:dyDescent="0.2">
      <c r="A528" s="9" t="s">
        <v>1682</v>
      </c>
      <c r="B528" s="10" t="s">
        <v>1933</v>
      </c>
      <c r="C528" s="11" t="s">
        <v>1941</v>
      </c>
      <c r="D528" s="11" t="s">
        <v>1942</v>
      </c>
      <c r="E528" s="11" t="s">
        <v>26</v>
      </c>
      <c r="F528" s="11" t="s">
        <v>1943</v>
      </c>
      <c r="G528" s="11" t="s">
        <v>28</v>
      </c>
      <c r="H528" s="11" t="s">
        <v>1685</v>
      </c>
      <c r="I528" s="11" t="s">
        <v>1686</v>
      </c>
      <c r="J528" s="12">
        <v>1</v>
      </c>
      <c r="K528" s="13">
        <v>1</v>
      </c>
      <c r="L528" s="14">
        <v>195</v>
      </c>
      <c r="M528" s="10">
        <v>86</v>
      </c>
      <c r="N528" s="10">
        <v>21548</v>
      </c>
      <c r="O528" s="10">
        <v>6744</v>
      </c>
      <c r="P528" s="10">
        <v>28292</v>
      </c>
    </row>
    <row r="529" spans="1:16" ht="27" customHeight="1" x14ac:dyDescent="0.2">
      <c r="A529" s="9" t="s">
        <v>1682</v>
      </c>
      <c r="B529" s="10" t="s">
        <v>1933</v>
      </c>
      <c r="C529" s="11" t="s">
        <v>1944</v>
      </c>
      <c r="D529" s="11" t="s">
        <v>1945</v>
      </c>
      <c r="E529" s="11" t="s">
        <v>26</v>
      </c>
      <c r="F529" s="11" t="s">
        <v>1946</v>
      </c>
      <c r="G529" s="11" t="s">
        <v>28</v>
      </c>
      <c r="H529" s="11" t="s">
        <v>1946</v>
      </c>
      <c r="I529" s="11" t="s">
        <v>1947</v>
      </c>
      <c r="J529" s="12">
        <v>0.96</v>
      </c>
      <c r="K529" s="13">
        <v>1</v>
      </c>
      <c r="L529" s="14">
        <v>375</v>
      </c>
      <c r="M529" s="10">
        <v>360</v>
      </c>
      <c r="N529" s="10">
        <v>41438</v>
      </c>
      <c r="O529" s="10">
        <v>28231</v>
      </c>
      <c r="P529" s="10">
        <v>69669</v>
      </c>
    </row>
    <row r="530" spans="1:16" ht="27" customHeight="1" x14ac:dyDescent="0.2">
      <c r="A530" s="9" t="s">
        <v>1682</v>
      </c>
      <c r="B530" s="10" t="s">
        <v>1933</v>
      </c>
      <c r="C530" s="11" t="s">
        <v>1948</v>
      </c>
      <c r="D530" s="11" t="s">
        <v>1949</v>
      </c>
      <c r="E530" s="11" t="s">
        <v>26</v>
      </c>
      <c r="F530" s="11" t="s">
        <v>1950</v>
      </c>
      <c r="G530" s="11" t="s">
        <v>28</v>
      </c>
      <c r="H530" s="11" t="s">
        <v>1685</v>
      </c>
      <c r="I530" s="11" t="s">
        <v>1686</v>
      </c>
      <c r="J530" s="12">
        <v>1</v>
      </c>
      <c r="K530" s="13">
        <v>1</v>
      </c>
      <c r="L530" s="14">
        <v>70</v>
      </c>
      <c r="M530" s="10">
        <v>69</v>
      </c>
      <c r="N530" s="10">
        <v>7735</v>
      </c>
      <c r="O530" s="10">
        <v>5411</v>
      </c>
      <c r="P530" s="10">
        <v>13146</v>
      </c>
    </row>
    <row r="531" spans="1:16" ht="27" customHeight="1" x14ac:dyDescent="0.2">
      <c r="A531" s="9" t="s">
        <v>1682</v>
      </c>
      <c r="B531" s="10" t="s">
        <v>1933</v>
      </c>
      <c r="C531" s="11" t="s">
        <v>1951</v>
      </c>
      <c r="D531" s="11" t="s">
        <v>1952</v>
      </c>
      <c r="E531" s="11" t="s">
        <v>57</v>
      </c>
      <c r="F531" s="11" t="s">
        <v>1953</v>
      </c>
      <c r="G531" s="11" t="s">
        <v>28</v>
      </c>
      <c r="H531" s="11" t="s">
        <v>1685</v>
      </c>
      <c r="I531" s="11" t="s">
        <v>1686</v>
      </c>
      <c r="J531" s="12">
        <v>1</v>
      </c>
      <c r="K531" s="13">
        <v>1</v>
      </c>
      <c r="L531" s="14">
        <v>289</v>
      </c>
      <c r="M531" s="10">
        <v>260</v>
      </c>
      <c r="N531" s="10">
        <v>31935</v>
      </c>
      <c r="O531" s="10">
        <v>20389</v>
      </c>
      <c r="P531" s="10">
        <v>52324</v>
      </c>
    </row>
    <row r="532" spans="1:16" ht="27" customHeight="1" x14ac:dyDescent="0.2">
      <c r="A532" s="9" t="s">
        <v>1682</v>
      </c>
      <c r="B532" s="10" t="s">
        <v>1933</v>
      </c>
      <c r="C532" s="11" t="s">
        <v>1954</v>
      </c>
      <c r="D532" s="11" t="s">
        <v>1955</v>
      </c>
      <c r="E532" s="11" t="s">
        <v>26</v>
      </c>
      <c r="F532" s="11" t="s">
        <v>1956</v>
      </c>
      <c r="G532" s="11" t="s">
        <v>28</v>
      </c>
      <c r="H532" s="11" t="s">
        <v>1685</v>
      </c>
      <c r="I532" s="11" t="s">
        <v>1686</v>
      </c>
      <c r="J532" s="12">
        <v>1</v>
      </c>
      <c r="K532" s="13">
        <v>1</v>
      </c>
      <c r="L532" s="14">
        <v>621</v>
      </c>
      <c r="M532" s="10">
        <v>574</v>
      </c>
      <c r="N532" s="10">
        <v>68622</v>
      </c>
      <c r="O532" s="10">
        <v>45012</v>
      </c>
      <c r="P532" s="10">
        <v>113634</v>
      </c>
    </row>
    <row r="533" spans="1:16" ht="27" customHeight="1" x14ac:dyDescent="0.2">
      <c r="A533" s="9" t="s">
        <v>1682</v>
      </c>
      <c r="B533" s="10" t="s">
        <v>1933</v>
      </c>
      <c r="C533" s="11" t="s">
        <v>1957</v>
      </c>
      <c r="D533" s="11" t="s">
        <v>1958</v>
      </c>
      <c r="E533" s="11" t="s">
        <v>57</v>
      </c>
      <c r="F533" s="11" t="s">
        <v>1959</v>
      </c>
      <c r="G533" s="11" t="s">
        <v>28</v>
      </c>
      <c r="H533" s="11" t="s">
        <v>1959</v>
      </c>
      <c r="I533" s="11" t="s">
        <v>1960</v>
      </c>
      <c r="J533" s="12">
        <v>0.70530000000000004</v>
      </c>
      <c r="K533" s="13">
        <v>1</v>
      </c>
      <c r="L533" s="14">
        <v>604</v>
      </c>
      <c r="M533" s="10">
        <v>426</v>
      </c>
      <c r="N533" s="10">
        <v>66743</v>
      </c>
      <c r="O533" s="10">
        <v>33406</v>
      </c>
      <c r="P533" s="10">
        <v>100149</v>
      </c>
    </row>
    <row r="534" spans="1:16" ht="27" customHeight="1" x14ac:dyDescent="0.2">
      <c r="A534" s="9" t="s">
        <v>1682</v>
      </c>
      <c r="B534" s="10" t="s">
        <v>1961</v>
      </c>
      <c r="C534" s="11" t="s">
        <v>18</v>
      </c>
      <c r="D534" s="11" t="s">
        <v>19</v>
      </c>
      <c r="E534" s="11" t="s">
        <v>19</v>
      </c>
      <c r="F534" s="11" t="s">
        <v>1962</v>
      </c>
      <c r="G534" s="11" t="s">
        <v>83</v>
      </c>
      <c r="H534" s="11" t="s">
        <v>1963</v>
      </c>
      <c r="I534" s="11" t="s">
        <v>1964</v>
      </c>
      <c r="J534" s="12">
        <v>0.85399999999999998</v>
      </c>
      <c r="K534" s="13">
        <v>8</v>
      </c>
      <c r="L534" s="14">
        <v>2704</v>
      </c>
      <c r="M534" s="10">
        <v>2122</v>
      </c>
      <c r="N534" s="10">
        <v>298796</v>
      </c>
      <c r="O534" s="10">
        <v>166406</v>
      </c>
      <c r="P534" s="10">
        <v>465202</v>
      </c>
    </row>
    <row r="535" spans="1:16" ht="27" customHeight="1" x14ac:dyDescent="0.2">
      <c r="A535" s="9" t="s">
        <v>1682</v>
      </c>
      <c r="B535" s="10" t="s">
        <v>1961</v>
      </c>
      <c r="C535" s="11" t="s">
        <v>1965</v>
      </c>
      <c r="D535" s="11" t="s">
        <v>1966</v>
      </c>
      <c r="E535" s="11" t="s">
        <v>26</v>
      </c>
      <c r="F535" s="11" t="s">
        <v>1967</v>
      </c>
      <c r="G535" s="11" t="s">
        <v>28</v>
      </c>
      <c r="H535" s="11" t="s">
        <v>1967</v>
      </c>
      <c r="I535" s="11" t="s">
        <v>1968</v>
      </c>
      <c r="J535" s="12">
        <v>0.43940000000000001</v>
      </c>
      <c r="K535" s="13">
        <v>1</v>
      </c>
      <c r="L535" s="14">
        <v>437</v>
      </c>
      <c r="M535" s="10">
        <v>192</v>
      </c>
      <c r="N535" s="10">
        <v>48289</v>
      </c>
      <c r="O535" s="10">
        <v>15056</v>
      </c>
      <c r="P535" s="10">
        <v>63345</v>
      </c>
    </row>
    <row r="536" spans="1:16" ht="27" customHeight="1" x14ac:dyDescent="0.2">
      <c r="A536" s="9" t="s">
        <v>1682</v>
      </c>
      <c r="B536" s="10" t="s">
        <v>1969</v>
      </c>
      <c r="C536" s="11" t="s">
        <v>18</v>
      </c>
      <c r="D536" s="11" t="s">
        <v>19</v>
      </c>
      <c r="E536" s="11" t="s">
        <v>19</v>
      </c>
      <c r="F536" s="11" t="s">
        <v>1970</v>
      </c>
      <c r="G536" s="11" t="s">
        <v>83</v>
      </c>
      <c r="H536" s="11" t="s">
        <v>1971</v>
      </c>
      <c r="I536" s="11" t="s">
        <v>1972</v>
      </c>
      <c r="J536" s="12">
        <v>5.79E-2</v>
      </c>
      <c r="K536" s="13">
        <v>5</v>
      </c>
      <c r="L536" s="14">
        <v>3892</v>
      </c>
      <c r="M536" s="10">
        <v>199</v>
      </c>
      <c r="N536" s="10">
        <v>430073</v>
      </c>
      <c r="O536" s="10">
        <v>15605</v>
      </c>
      <c r="P536" s="10">
        <v>445678</v>
      </c>
    </row>
    <row r="537" spans="1:16" ht="27" customHeight="1" x14ac:dyDescent="0.2">
      <c r="A537" s="9" t="s">
        <v>1682</v>
      </c>
      <c r="B537" s="10" t="s">
        <v>1973</v>
      </c>
      <c r="C537" s="11" t="s">
        <v>18</v>
      </c>
      <c r="D537" s="11" t="s">
        <v>19</v>
      </c>
      <c r="E537" s="11" t="s">
        <v>19</v>
      </c>
      <c r="F537" s="11" t="s">
        <v>1974</v>
      </c>
      <c r="G537" s="11" t="s">
        <v>83</v>
      </c>
      <c r="H537" s="11" t="s">
        <v>1975</v>
      </c>
      <c r="I537" s="11" t="s">
        <v>1976</v>
      </c>
      <c r="J537" s="12">
        <v>0.95630000000000004</v>
      </c>
      <c r="K537" s="13">
        <v>25</v>
      </c>
      <c r="L537" s="14">
        <v>14614</v>
      </c>
      <c r="M537" s="10">
        <v>13220</v>
      </c>
      <c r="N537" s="10">
        <v>1614873</v>
      </c>
      <c r="O537" s="10">
        <v>1036698</v>
      </c>
      <c r="P537" s="10">
        <v>2651571</v>
      </c>
    </row>
    <row r="538" spans="1:16" ht="27" customHeight="1" x14ac:dyDescent="0.2">
      <c r="A538" s="9" t="s">
        <v>1682</v>
      </c>
      <c r="B538" s="10" t="s">
        <v>1973</v>
      </c>
      <c r="C538" s="11" t="s">
        <v>1977</v>
      </c>
      <c r="D538" s="11" t="s">
        <v>1978</v>
      </c>
      <c r="E538" s="11" t="s">
        <v>26</v>
      </c>
      <c r="F538" s="11" t="s">
        <v>1979</v>
      </c>
      <c r="G538" s="11" t="s">
        <v>28</v>
      </c>
      <c r="H538" s="11" t="s">
        <v>1979</v>
      </c>
      <c r="I538" s="11" t="s">
        <v>1980</v>
      </c>
      <c r="J538" s="12">
        <v>0.71740000000000004</v>
      </c>
      <c r="K538" s="13">
        <v>1</v>
      </c>
      <c r="L538" s="14">
        <v>276</v>
      </c>
      <c r="M538" s="10">
        <v>198</v>
      </c>
      <c r="N538" s="10">
        <v>30498</v>
      </c>
      <c r="O538" s="10">
        <v>15527</v>
      </c>
      <c r="P538" s="10">
        <v>46025</v>
      </c>
    </row>
    <row r="539" spans="1:16" ht="27" customHeight="1" x14ac:dyDescent="0.2">
      <c r="A539" s="9" t="s">
        <v>1682</v>
      </c>
      <c r="B539" s="10" t="s">
        <v>1973</v>
      </c>
      <c r="C539" s="11" t="s">
        <v>1981</v>
      </c>
      <c r="D539" s="11" t="s">
        <v>1982</v>
      </c>
      <c r="E539" s="11" t="s">
        <v>26</v>
      </c>
      <c r="F539" s="11" t="s">
        <v>1983</v>
      </c>
      <c r="G539" s="11" t="s">
        <v>28</v>
      </c>
      <c r="H539" s="11" t="s">
        <v>1983</v>
      </c>
      <c r="I539" s="11" t="s">
        <v>1984</v>
      </c>
      <c r="J539" s="12">
        <v>0.74219999999999997</v>
      </c>
      <c r="K539" s="13">
        <v>1</v>
      </c>
      <c r="L539" s="14">
        <v>741</v>
      </c>
      <c r="M539" s="10">
        <v>550</v>
      </c>
      <c r="N539" s="10">
        <v>81882</v>
      </c>
      <c r="O539" s="10">
        <v>43130</v>
      </c>
      <c r="P539" s="10">
        <v>125012</v>
      </c>
    </row>
    <row r="540" spans="1:16" ht="27" customHeight="1" x14ac:dyDescent="0.2">
      <c r="A540" s="9" t="s">
        <v>1682</v>
      </c>
      <c r="B540" s="10" t="s">
        <v>1985</v>
      </c>
      <c r="C540" s="11" t="s">
        <v>18</v>
      </c>
      <c r="D540" s="11" t="s">
        <v>19</v>
      </c>
      <c r="E540" s="11" t="s">
        <v>19</v>
      </c>
      <c r="F540" s="11" t="s">
        <v>1986</v>
      </c>
      <c r="G540" s="11" t="s">
        <v>83</v>
      </c>
      <c r="H540" s="11" t="s">
        <v>1987</v>
      </c>
      <c r="I540" s="11" t="s">
        <v>1988</v>
      </c>
      <c r="J540" s="12">
        <v>0.3861</v>
      </c>
      <c r="K540" s="13">
        <v>18</v>
      </c>
      <c r="L540" s="14">
        <v>9760</v>
      </c>
      <c r="M540" s="10">
        <v>2332</v>
      </c>
      <c r="N540" s="10">
        <v>1078496</v>
      </c>
      <c r="O540" s="10">
        <v>182874</v>
      </c>
      <c r="P540" s="10">
        <v>1261370</v>
      </c>
    </row>
    <row r="541" spans="1:16" ht="27" customHeight="1" x14ac:dyDescent="0.2">
      <c r="A541" s="9" t="s">
        <v>1682</v>
      </c>
      <c r="B541" s="10" t="s">
        <v>1989</v>
      </c>
      <c r="C541" s="11" t="s">
        <v>18</v>
      </c>
      <c r="D541" s="11" t="s">
        <v>19</v>
      </c>
      <c r="E541" s="11" t="s">
        <v>19</v>
      </c>
      <c r="F541" s="11" t="s">
        <v>1990</v>
      </c>
      <c r="G541" s="11" t="s">
        <v>83</v>
      </c>
      <c r="H541" s="11" t="s">
        <v>1991</v>
      </c>
      <c r="I541" s="11" t="s">
        <v>1992</v>
      </c>
      <c r="J541" s="12">
        <v>0.90149999999999997</v>
      </c>
      <c r="K541" s="13">
        <v>10</v>
      </c>
      <c r="L541" s="14">
        <v>4808</v>
      </c>
      <c r="M541" s="10">
        <v>3823</v>
      </c>
      <c r="N541" s="10">
        <v>531291</v>
      </c>
      <c r="O541" s="10">
        <v>299796</v>
      </c>
      <c r="P541" s="10">
        <v>831087</v>
      </c>
    </row>
    <row r="542" spans="1:16" ht="27" customHeight="1" x14ac:dyDescent="0.2">
      <c r="A542" s="9" t="s">
        <v>1682</v>
      </c>
      <c r="B542" s="10" t="s">
        <v>1989</v>
      </c>
      <c r="C542" s="11" t="s">
        <v>1993</v>
      </c>
      <c r="D542" s="11" t="s">
        <v>1994</v>
      </c>
      <c r="E542" s="11" t="s">
        <v>26</v>
      </c>
      <c r="F542" s="11" t="s">
        <v>1995</v>
      </c>
      <c r="G542" s="11" t="s">
        <v>28</v>
      </c>
      <c r="H542" s="11" t="s">
        <v>1685</v>
      </c>
      <c r="I542" s="11" t="s">
        <v>1686</v>
      </c>
      <c r="J542" s="12">
        <v>1</v>
      </c>
      <c r="K542" s="13">
        <v>1</v>
      </c>
      <c r="L542" s="14">
        <v>502</v>
      </c>
      <c r="M542" s="10">
        <v>391</v>
      </c>
      <c r="N542" s="10">
        <v>55472</v>
      </c>
      <c r="O542" s="10">
        <v>30662</v>
      </c>
      <c r="P542" s="10">
        <v>86134</v>
      </c>
    </row>
    <row r="543" spans="1:16" ht="27" customHeight="1" x14ac:dyDescent="0.2">
      <c r="A543" s="9" t="s">
        <v>1682</v>
      </c>
      <c r="B543" s="10" t="s">
        <v>1996</v>
      </c>
      <c r="C543" s="11" t="s">
        <v>18</v>
      </c>
      <c r="D543" s="11" t="s">
        <v>19</v>
      </c>
      <c r="E543" s="11" t="s">
        <v>19</v>
      </c>
      <c r="F543" s="11" t="s">
        <v>1997</v>
      </c>
      <c r="G543" s="11" t="s">
        <v>83</v>
      </c>
      <c r="H543" s="11" t="s">
        <v>1998</v>
      </c>
      <c r="I543" s="11" t="s">
        <v>1999</v>
      </c>
      <c r="J543" s="12">
        <v>0.92889999999999995</v>
      </c>
      <c r="K543" s="13">
        <v>7</v>
      </c>
      <c r="L543" s="14">
        <v>4519</v>
      </c>
      <c r="M543" s="10">
        <v>4156</v>
      </c>
      <c r="N543" s="10">
        <v>499357</v>
      </c>
      <c r="O543" s="10">
        <v>325909</v>
      </c>
      <c r="P543" s="10">
        <v>825266</v>
      </c>
    </row>
    <row r="544" spans="1:16" ht="27" customHeight="1" x14ac:dyDescent="0.2">
      <c r="A544" s="9" t="s">
        <v>1682</v>
      </c>
      <c r="B544" s="10" t="s">
        <v>1996</v>
      </c>
      <c r="C544" s="11" t="s">
        <v>2000</v>
      </c>
      <c r="D544" s="11" t="s">
        <v>2001</v>
      </c>
      <c r="E544" s="11" t="s">
        <v>26</v>
      </c>
      <c r="F544" s="11" t="s">
        <v>2002</v>
      </c>
      <c r="G544" s="11" t="s">
        <v>28</v>
      </c>
      <c r="H544" s="11" t="s">
        <v>1685</v>
      </c>
      <c r="I544" s="11" t="s">
        <v>1686</v>
      </c>
      <c r="J544" s="12">
        <v>1</v>
      </c>
      <c r="K544" s="13">
        <v>1</v>
      </c>
      <c r="L544" s="14">
        <v>583</v>
      </c>
      <c r="M544" s="10">
        <v>503</v>
      </c>
      <c r="N544" s="10">
        <v>64422</v>
      </c>
      <c r="O544" s="10">
        <v>39445</v>
      </c>
      <c r="P544" s="10">
        <v>103867</v>
      </c>
    </row>
    <row r="545" spans="1:16" ht="27" customHeight="1" x14ac:dyDescent="0.2">
      <c r="A545" s="9" t="s">
        <v>1682</v>
      </c>
      <c r="B545" s="10" t="s">
        <v>1996</v>
      </c>
      <c r="C545" s="11" t="s">
        <v>2003</v>
      </c>
      <c r="D545" s="11" t="s">
        <v>2004</v>
      </c>
      <c r="E545" s="11" t="s">
        <v>26</v>
      </c>
      <c r="F545" s="11" t="s">
        <v>2005</v>
      </c>
      <c r="G545" s="11" t="s">
        <v>28</v>
      </c>
      <c r="H545" s="11" t="s">
        <v>1685</v>
      </c>
      <c r="I545" s="11" t="s">
        <v>1686</v>
      </c>
      <c r="J545" s="12">
        <v>1</v>
      </c>
      <c r="K545" s="13">
        <v>1</v>
      </c>
      <c r="L545" s="14">
        <v>452</v>
      </c>
      <c r="M545" s="10">
        <v>375</v>
      </c>
      <c r="N545" s="10">
        <v>49947</v>
      </c>
      <c r="O545" s="10">
        <v>29407</v>
      </c>
      <c r="P545" s="10">
        <v>79354</v>
      </c>
    </row>
    <row r="546" spans="1:16" ht="27" customHeight="1" x14ac:dyDescent="0.2">
      <c r="A546" s="9" t="s">
        <v>1682</v>
      </c>
      <c r="B546" s="10" t="s">
        <v>1996</v>
      </c>
      <c r="C546" s="11" t="s">
        <v>2006</v>
      </c>
      <c r="D546" s="11" t="s">
        <v>2007</v>
      </c>
      <c r="E546" s="11" t="s">
        <v>26</v>
      </c>
      <c r="F546" s="11" t="s">
        <v>2008</v>
      </c>
      <c r="G546" s="11" t="s">
        <v>28</v>
      </c>
      <c r="H546" s="11" t="s">
        <v>1685</v>
      </c>
      <c r="I546" s="11" t="s">
        <v>1686</v>
      </c>
      <c r="J546" s="12">
        <v>1</v>
      </c>
      <c r="K546" s="13">
        <v>1</v>
      </c>
      <c r="L546" s="14">
        <v>655</v>
      </c>
      <c r="M546" s="10">
        <v>611</v>
      </c>
      <c r="N546" s="10">
        <v>72379</v>
      </c>
      <c r="O546" s="10">
        <v>47914</v>
      </c>
      <c r="P546" s="10">
        <v>120293</v>
      </c>
    </row>
    <row r="547" spans="1:16" ht="27" customHeight="1" x14ac:dyDescent="0.2">
      <c r="A547" s="9" t="s">
        <v>1682</v>
      </c>
      <c r="B547" s="10" t="s">
        <v>2009</v>
      </c>
      <c r="C547" s="11" t="s">
        <v>18</v>
      </c>
      <c r="D547" s="11" t="s">
        <v>19</v>
      </c>
      <c r="E547" s="11" t="s">
        <v>19</v>
      </c>
      <c r="F547" s="11" t="s">
        <v>2010</v>
      </c>
      <c r="G547" s="11" t="s">
        <v>83</v>
      </c>
      <c r="H547" s="11" t="s">
        <v>2011</v>
      </c>
      <c r="I547" s="11" t="s">
        <v>2012</v>
      </c>
      <c r="J547" s="12">
        <v>0.84809999999999997</v>
      </c>
      <c r="K547" s="13">
        <v>10</v>
      </c>
      <c r="L547" s="14">
        <v>3818</v>
      </c>
      <c r="M547" s="10">
        <v>2727</v>
      </c>
      <c r="N547" s="10">
        <v>421897</v>
      </c>
      <c r="O547" s="10">
        <v>213851</v>
      </c>
      <c r="P547" s="10">
        <v>635748</v>
      </c>
    </row>
    <row r="548" spans="1:16" ht="27" customHeight="1" x14ac:dyDescent="0.2">
      <c r="A548" s="9" t="s">
        <v>1682</v>
      </c>
      <c r="B548" s="10" t="s">
        <v>2013</v>
      </c>
      <c r="C548" s="11" t="s">
        <v>18</v>
      </c>
      <c r="D548" s="11" t="s">
        <v>19</v>
      </c>
      <c r="E548" s="11" t="s">
        <v>19</v>
      </c>
      <c r="F548" s="11" t="s">
        <v>2014</v>
      </c>
      <c r="G548" s="11" t="s">
        <v>83</v>
      </c>
      <c r="H548" s="11" t="s">
        <v>2015</v>
      </c>
      <c r="I548" s="11" t="s">
        <v>2016</v>
      </c>
      <c r="J548" s="12">
        <v>0.75860000000000005</v>
      </c>
      <c r="K548" s="13">
        <v>85</v>
      </c>
      <c r="L548" s="14">
        <v>66584</v>
      </c>
      <c r="M548" s="10">
        <v>35601</v>
      </c>
      <c r="N548" s="10">
        <v>7357640</v>
      </c>
      <c r="O548" s="10">
        <v>2791793</v>
      </c>
      <c r="P548" s="10">
        <v>10149433</v>
      </c>
    </row>
    <row r="549" spans="1:16" ht="27" customHeight="1" x14ac:dyDescent="0.2">
      <c r="A549" s="9" t="s">
        <v>1682</v>
      </c>
      <c r="B549" s="10" t="s">
        <v>2013</v>
      </c>
      <c r="C549" s="11" t="s">
        <v>2017</v>
      </c>
      <c r="D549" s="11" t="s">
        <v>2018</v>
      </c>
      <c r="E549" s="11" t="s">
        <v>26</v>
      </c>
      <c r="F549" s="11" t="s">
        <v>2019</v>
      </c>
      <c r="G549" s="11" t="s">
        <v>28</v>
      </c>
      <c r="H549" s="11" t="s">
        <v>1685</v>
      </c>
      <c r="I549" s="11" t="s">
        <v>1686</v>
      </c>
      <c r="J549" s="12">
        <v>1</v>
      </c>
      <c r="K549" s="13">
        <v>1</v>
      </c>
      <c r="L549" s="14">
        <v>233</v>
      </c>
      <c r="M549" s="10">
        <v>63</v>
      </c>
      <c r="N549" s="10">
        <v>25747</v>
      </c>
      <c r="O549" s="10">
        <v>4940</v>
      </c>
      <c r="P549" s="10">
        <v>30687</v>
      </c>
    </row>
    <row r="550" spans="1:16" ht="27" customHeight="1" x14ac:dyDescent="0.2">
      <c r="A550" s="9" t="s">
        <v>1682</v>
      </c>
      <c r="B550" s="10" t="s">
        <v>2013</v>
      </c>
      <c r="C550" s="11" t="s">
        <v>2020</v>
      </c>
      <c r="D550" s="11" t="s">
        <v>2021</v>
      </c>
      <c r="E550" s="11" t="s">
        <v>26</v>
      </c>
      <c r="F550" s="11" t="s">
        <v>2022</v>
      </c>
      <c r="G550" s="11" t="s">
        <v>28</v>
      </c>
      <c r="H550" s="11" t="s">
        <v>1685</v>
      </c>
      <c r="I550" s="11" t="s">
        <v>1686</v>
      </c>
      <c r="J550" s="12">
        <v>1</v>
      </c>
      <c r="K550" s="13">
        <v>1</v>
      </c>
      <c r="L550" s="14">
        <v>39</v>
      </c>
      <c r="M550" s="10">
        <v>35</v>
      </c>
      <c r="N550" s="10">
        <v>4310</v>
      </c>
      <c r="O550" s="10">
        <v>2745</v>
      </c>
      <c r="P550" s="10">
        <v>7055</v>
      </c>
    </row>
    <row r="551" spans="1:16" ht="27" customHeight="1" x14ac:dyDescent="0.2">
      <c r="A551" s="9" t="s">
        <v>1682</v>
      </c>
      <c r="B551" s="10" t="s">
        <v>2023</v>
      </c>
      <c r="C551" s="11" t="s">
        <v>18</v>
      </c>
      <c r="D551" s="11" t="s">
        <v>19</v>
      </c>
      <c r="E551" s="11" t="s">
        <v>19</v>
      </c>
      <c r="F551" s="11" t="s">
        <v>2024</v>
      </c>
      <c r="G551" s="11" t="s">
        <v>83</v>
      </c>
      <c r="H551" s="11" t="s">
        <v>1685</v>
      </c>
      <c r="I551" s="11" t="s">
        <v>1686</v>
      </c>
      <c r="J551" s="12">
        <v>1</v>
      </c>
      <c r="K551" s="13">
        <v>735</v>
      </c>
      <c r="L551" s="14">
        <v>399465</v>
      </c>
      <c r="M551" s="10">
        <v>343005</v>
      </c>
      <c r="N551" s="10">
        <v>44141547</v>
      </c>
      <c r="O551" s="10">
        <v>26898106</v>
      </c>
      <c r="P551" s="10">
        <v>71039653</v>
      </c>
    </row>
    <row r="552" spans="1:16" ht="27" customHeight="1" x14ac:dyDescent="0.2">
      <c r="A552" s="9" t="s">
        <v>1682</v>
      </c>
      <c r="B552" s="10" t="s">
        <v>2023</v>
      </c>
      <c r="C552" s="11" t="s">
        <v>2025</v>
      </c>
      <c r="D552" s="11" t="s">
        <v>2026</v>
      </c>
      <c r="E552" s="11" t="s">
        <v>26</v>
      </c>
      <c r="F552" s="11" t="s">
        <v>2027</v>
      </c>
      <c r="G552" s="11" t="s">
        <v>28</v>
      </c>
      <c r="H552" s="11" t="s">
        <v>2027</v>
      </c>
      <c r="I552" s="11" t="s">
        <v>2028</v>
      </c>
      <c r="J552" s="12">
        <v>0.99750000000000005</v>
      </c>
      <c r="K552" s="13">
        <v>1</v>
      </c>
      <c r="L552" s="14">
        <v>408</v>
      </c>
      <c r="M552" s="10">
        <v>407</v>
      </c>
      <c r="N552" s="10">
        <v>45085</v>
      </c>
      <c r="O552" s="10">
        <v>31917</v>
      </c>
      <c r="P552" s="10">
        <v>77002</v>
      </c>
    </row>
    <row r="553" spans="1:16" ht="27" customHeight="1" x14ac:dyDescent="0.2">
      <c r="A553" s="9" t="s">
        <v>1682</v>
      </c>
      <c r="B553" s="10" t="s">
        <v>2023</v>
      </c>
      <c r="C553" s="11" t="s">
        <v>2029</v>
      </c>
      <c r="D553" s="11" t="s">
        <v>2030</v>
      </c>
      <c r="E553" s="11" t="s">
        <v>26</v>
      </c>
      <c r="F553" s="11" t="s">
        <v>2031</v>
      </c>
      <c r="G553" s="11" t="s">
        <v>28</v>
      </c>
      <c r="H553" s="11" t="s">
        <v>1685</v>
      </c>
      <c r="I553" s="11" t="s">
        <v>1686</v>
      </c>
      <c r="J553" s="12">
        <v>1</v>
      </c>
      <c r="K553" s="13">
        <v>1</v>
      </c>
      <c r="L553" s="14">
        <v>479</v>
      </c>
      <c r="M553" s="10">
        <v>460</v>
      </c>
      <c r="N553" s="10">
        <v>52930</v>
      </c>
      <c r="O553" s="10">
        <v>36073</v>
      </c>
      <c r="P553" s="10">
        <v>89003</v>
      </c>
    </row>
    <row r="554" spans="1:16" ht="27" customHeight="1" x14ac:dyDescent="0.2">
      <c r="A554" s="9" t="s">
        <v>1682</v>
      </c>
      <c r="B554" s="10" t="s">
        <v>2023</v>
      </c>
      <c r="C554" s="11" t="s">
        <v>2032</v>
      </c>
      <c r="D554" s="11" t="s">
        <v>2033</v>
      </c>
      <c r="E554" s="11" t="s">
        <v>26</v>
      </c>
      <c r="F554" s="11" t="s">
        <v>2034</v>
      </c>
      <c r="G554" s="11" t="s">
        <v>28</v>
      </c>
      <c r="H554" s="11" t="s">
        <v>1685</v>
      </c>
      <c r="I554" s="11" t="s">
        <v>1686</v>
      </c>
      <c r="J554" s="12">
        <v>1</v>
      </c>
      <c r="K554" s="13">
        <v>1</v>
      </c>
      <c r="L554" s="14">
        <v>359</v>
      </c>
      <c r="M554" s="10">
        <v>172</v>
      </c>
      <c r="N554" s="10">
        <v>39670</v>
      </c>
      <c r="O554" s="10">
        <v>13488</v>
      </c>
      <c r="P554" s="10">
        <v>53158</v>
      </c>
    </row>
    <row r="555" spans="1:16" ht="27" customHeight="1" x14ac:dyDescent="0.2">
      <c r="A555" s="9" t="s">
        <v>1682</v>
      </c>
      <c r="B555" s="10" t="s">
        <v>2023</v>
      </c>
      <c r="C555" s="11" t="s">
        <v>2035</v>
      </c>
      <c r="D555" s="11" t="s">
        <v>2036</v>
      </c>
      <c r="E555" s="11" t="s">
        <v>26</v>
      </c>
      <c r="F555" s="11" t="s">
        <v>2037</v>
      </c>
      <c r="G555" s="11" t="s">
        <v>28</v>
      </c>
      <c r="H555" s="11" t="s">
        <v>2037</v>
      </c>
      <c r="I555" s="11" t="s">
        <v>2038</v>
      </c>
      <c r="J555" s="12">
        <v>0.96599999999999997</v>
      </c>
      <c r="K555" s="13">
        <v>1</v>
      </c>
      <c r="L555" s="14">
        <v>500</v>
      </c>
      <c r="M555" s="10">
        <v>483</v>
      </c>
      <c r="N555" s="10">
        <v>55251</v>
      </c>
      <c r="O555" s="10">
        <v>37876</v>
      </c>
      <c r="P555" s="10">
        <v>93127</v>
      </c>
    </row>
    <row r="556" spans="1:16" ht="27" customHeight="1" x14ac:dyDescent="0.2">
      <c r="A556" s="9" t="s">
        <v>1682</v>
      </c>
      <c r="B556" s="10" t="s">
        <v>2023</v>
      </c>
      <c r="C556" s="11" t="s">
        <v>2039</v>
      </c>
      <c r="D556" s="11" t="s">
        <v>2040</v>
      </c>
      <c r="E556" s="11" t="s">
        <v>26</v>
      </c>
      <c r="F556" s="11" t="s">
        <v>2041</v>
      </c>
      <c r="G556" s="11" t="s">
        <v>28</v>
      </c>
      <c r="H556" s="11" t="s">
        <v>1685</v>
      </c>
      <c r="I556" s="11" t="s">
        <v>1686</v>
      </c>
      <c r="J556" s="12">
        <v>1</v>
      </c>
      <c r="K556" s="13">
        <v>1</v>
      </c>
      <c r="L556" s="14">
        <v>464</v>
      </c>
      <c r="M556" s="10">
        <v>338</v>
      </c>
      <c r="N556" s="10">
        <v>51273</v>
      </c>
      <c r="O556" s="10">
        <v>26506</v>
      </c>
      <c r="P556" s="10">
        <v>77779</v>
      </c>
    </row>
    <row r="557" spans="1:16" ht="27" customHeight="1" x14ac:dyDescent="0.2">
      <c r="A557" s="9" t="s">
        <v>1682</v>
      </c>
      <c r="B557" s="10" t="s">
        <v>2023</v>
      </c>
      <c r="C557" s="11" t="s">
        <v>2042</v>
      </c>
      <c r="D557" s="11" t="s">
        <v>2043</v>
      </c>
      <c r="E557" s="11" t="s">
        <v>26</v>
      </c>
      <c r="F557" s="11" t="s">
        <v>2044</v>
      </c>
      <c r="G557" s="11" t="s">
        <v>28</v>
      </c>
      <c r="H557" s="11" t="s">
        <v>1685</v>
      </c>
      <c r="I557" s="11" t="s">
        <v>1686</v>
      </c>
      <c r="J557" s="12">
        <v>1</v>
      </c>
      <c r="K557" s="13">
        <v>1</v>
      </c>
      <c r="L557" s="14">
        <v>481</v>
      </c>
      <c r="M557" s="10">
        <v>408</v>
      </c>
      <c r="N557" s="10">
        <v>53151</v>
      </c>
      <c r="O557" s="10">
        <v>31995</v>
      </c>
      <c r="P557" s="10">
        <v>85146</v>
      </c>
    </row>
    <row r="558" spans="1:16" ht="27" customHeight="1" x14ac:dyDescent="0.2">
      <c r="A558" s="9" t="s">
        <v>1682</v>
      </c>
      <c r="B558" s="10" t="s">
        <v>2023</v>
      </c>
      <c r="C558" s="11" t="s">
        <v>2045</v>
      </c>
      <c r="D558" s="11" t="s">
        <v>2046</v>
      </c>
      <c r="E558" s="11" t="s">
        <v>26</v>
      </c>
      <c r="F558" s="11" t="s">
        <v>2047</v>
      </c>
      <c r="G558" s="11" t="s">
        <v>28</v>
      </c>
      <c r="H558" s="11" t="s">
        <v>1685</v>
      </c>
      <c r="I558" s="11" t="s">
        <v>1686</v>
      </c>
      <c r="J558" s="12">
        <v>1</v>
      </c>
      <c r="K558" s="13">
        <v>1</v>
      </c>
      <c r="L558" s="14">
        <v>513</v>
      </c>
      <c r="M558" s="10">
        <v>458</v>
      </c>
      <c r="N558" s="10">
        <v>56687</v>
      </c>
      <c r="O558" s="10">
        <v>35916</v>
      </c>
      <c r="P558" s="10">
        <v>92603</v>
      </c>
    </row>
    <row r="559" spans="1:16" ht="27" customHeight="1" x14ac:dyDescent="0.2">
      <c r="A559" s="9" t="s">
        <v>1682</v>
      </c>
      <c r="B559" s="10" t="s">
        <v>2023</v>
      </c>
      <c r="C559" s="11" t="s">
        <v>2048</v>
      </c>
      <c r="D559" s="11" t="s">
        <v>2049</v>
      </c>
      <c r="E559" s="11" t="s">
        <v>26</v>
      </c>
      <c r="F559" s="11" t="s">
        <v>2050</v>
      </c>
      <c r="G559" s="11" t="s">
        <v>28</v>
      </c>
      <c r="H559" s="11" t="s">
        <v>1685</v>
      </c>
      <c r="I559" s="11" t="s">
        <v>1686</v>
      </c>
      <c r="J559" s="12">
        <v>1</v>
      </c>
      <c r="K559" s="13">
        <v>1</v>
      </c>
      <c r="L559" s="14">
        <v>375</v>
      </c>
      <c r="M559" s="10">
        <v>368</v>
      </c>
      <c r="N559" s="10">
        <v>41438</v>
      </c>
      <c r="O559" s="10">
        <v>28858</v>
      </c>
      <c r="P559" s="10">
        <v>70296</v>
      </c>
    </row>
    <row r="560" spans="1:16" ht="27" customHeight="1" x14ac:dyDescent="0.2">
      <c r="A560" s="9" t="s">
        <v>1682</v>
      </c>
      <c r="B560" s="10" t="s">
        <v>2023</v>
      </c>
      <c r="C560" s="11" t="s">
        <v>2051</v>
      </c>
      <c r="D560" s="11" t="s">
        <v>2052</v>
      </c>
      <c r="E560" s="11" t="s">
        <v>26</v>
      </c>
      <c r="F560" s="11" t="s">
        <v>2053</v>
      </c>
      <c r="G560" s="11" t="s">
        <v>28</v>
      </c>
      <c r="H560" s="11" t="s">
        <v>1685</v>
      </c>
      <c r="I560" s="11" t="s">
        <v>1686</v>
      </c>
      <c r="J560" s="12">
        <v>1</v>
      </c>
      <c r="K560" s="13">
        <v>1</v>
      </c>
      <c r="L560" s="14">
        <v>472</v>
      </c>
      <c r="M560" s="10">
        <v>447</v>
      </c>
      <c r="N560" s="10">
        <v>52157</v>
      </c>
      <c r="O560" s="10">
        <v>35053</v>
      </c>
      <c r="P560" s="10">
        <v>87210</v>
      </c>
    </row>
    <row r="561" spans="1:16" ht="27" customHeight="1" x14ac:dyDescent="0.2">
      <c r="A561" s="9" t="s">
        <v>1682</v>
      </c>
      <c r="B561" s="10" t="s">
        <v>2023</v>
      </c>
      <c r="C561" s="11" t="s">
        <v>2054</v>
      </c>
      <c r="D561" s="11" t="s">
        <v>2055</v>
      </c>
      <c r="E561" s="11" t="s">
        <v>26</v>
      </c>
      <c r="F561" s="11" t="s">
        <v>2056</v>
      </c>
      <c r="G561" s="11" t="s">
        <v>28</v>
      </c>
      <c r="H561" s="11" t="s">
        <v>1685</v>
      </c>
      <c r="I561" s="11" t="s">
        <v>1686</v>
      </c>
      <c r="J561" s="12">
        <v>1</v>
      </c>
      <c r="K561" s="13">
        <v>1</v>
      </c>
      <c r="L561" s="14">
        <v>147</v>
      </c>
      <c r="M561" s="10">
        <v>145</v>
      </c>
      <c r="N561" s="10">
        <v>16244</v>
      </c>
      <c r="O561" s="10">
        <v>11371</v>
      </c>
      <c r="P561" s="10">
        <v>27615</v>
      </c>
    </row>
    <row r="562" spans="1:16" ht="27" customHeight="1" x14ac:dyDescent="0.2">
      <c r="A562" s="9" t="s">
        <v>1682</v>
      </c>
      <c r="B562" s="10" t="s">
        <v>2023</v>
      </c>
      <c r="C562" s="11" t="s">
        <v>2057</v>
      </c>
      <c r="D562" s="11" t="s">
        <v>2058</v>
      </c>
      <c r="E562" s="11" t="s">
        <v>26</v>
      </c>
      <c r="F562" s="11" t="s">
        <v>2059</v>
      </c>
      <c r="G562" s="11" t="s">
        <v>28</v>
      </c>
      <c r="H562" s="11" t="s">
        <v>1685</v>
      </c>
      <c r="I562" s="11" t="s">
        <v>1686</v>
      </c>
      <c r="J562" s="12">
        <v>1</v>
      </c>
      <c r="K562" s="13">
        <v>1</v>
      </c>
      <c r="L562" s="14">
        <v>606</v>
      </c>
      <c r="M562" s="10">
        <v>573</v>
      </c>
      <c r="N562" s="10">
        <v>66964</v>
      </c>
      <c r="O562" s="10">
        <v>44934</v>
      </c>
      <c r="P562" s="10">
        <v>111898</v>
      </c>
    </row>
    <row r="563" spans="1:16" ht="27" customHeight="1" x14ac:dyDescent="0.2">
      <c r="A563" s="9" t="s">
        <v>1682</v>
      </c>
      <c r="B563" s="10" t="s">
        <v>2023</v>
      </c>
      <c r="C563" s="11" t="s">
        <v>2060</v>
      </c>
      <c r="D563" s="11" t="s">
        <v>2061</v>
      </c>
      <c r="E563" s="11" t="s">
        <v>26</v>
      </c>
      <c r="F563" s="11" t="s">
        <v>2062</v>
      </c>
      <c r="G563" s="11" t="s">
        <v>28</v>
      </c>
      <c r="H563" s="11" t="s">
        <v>2062</v>
      </c>
      <c r="I563" s="11" t="s">
        <v>2063</v>
      </c>
      <c r="J563" s="12">
        <v>0.64539999999999997</v>
      </c>
      <c r="K563" s="13">
        <v>1</v>
      </c>
      <c r="L563" s="14">
        <v>454</v>
      </c>
      <c r="M563" s="10">
        <v>293</v>
      </c>
      <c r="N563" s="10">
        <v>50168</v>
      </c>
      <c r="O563" s="10">
        <v>22977</v>
      </c>
      <c r="P563" s="10">
        <v>73145</v>
      </c>
    </row>
    <row r="564" spans="1:16" ht="27" customHeight="1" x14ac:dyDescent="0.2">
      <c r="A564" s="9" t="s">
        <v>1682</v>
      </c>
      <c r="B564" s="10" t="s">
        <v>2023</v>
      </c>
      <c r="C564" s="11" t="s">
        <v>2064</v>
      </c>
      <c r="D564" s="11" t="s">
        <v>2065</v>
      </c>
      <c r="E564" s="11" t="s">
        <v>26</v>
      </c>
      <c r="F564" s="11" t="s">
        <v>2066</v>
      </c>
      <c r="G564" s="11" t="s">
        <v>28</v>
      </c>
      <c r="H564" s="11" t="s">
        <v>2066</v>
      </c>
      <c r="I564" s="11" t="s">
        <v>2067</v>
      </c>
      <c r="J564" s="12">
        <v>0.16489999999999999</v>
      </c>
      <c r="K564" s="13">
        <v>1</v>
      </c>
      <c r="L564" s="14">
        <v>552</v>
      </c>
      <c r="M564" s="10">
        <v>91</v>
      </c>
      <c r="N564" s="10">
        <v>60997</v>
      </c>
      <c r="O564" s="10">
        <v>7136</v>
      </c>
      <c r="P564" s="10">
        <v>68133</v>
      </c>
    </row>
    <row r="565" spans="1:16" ht="27" customHeight="1" x14ac:dyDescent="0.2">
      <c r="A565" s="9" t="s">
        <v>1682</v>
      </c>
      <c r="B565" s="10" t="s">
        <v>2023</v>
      </c>
      <c r="C565" s="11" t="s">
        <v>2068</v>
      </c>
      <c r="D565" s="11" t="s">
        <v>2069</v>
      </c>
      <c r="E565" s="11" t="s">
        <v>26</v>
      </c>
      <c r="F565" s="11" t="s">
        <v>2070</v>
      </c>
      <c r="G565" s="11" t="s">
        <v>28</v>
      </c>
      <c r="H565" s="11" t="s">
        <v>2070</v>
      </c>
      <c r="I565" s="11" t="s">
        <v>2071</v>
      </c>
      <c r="J565" s="12">
        <v>0.92279999999999995</v>
      </c>
      <c r="K565" s="13">
        <v>1</v>
      </c>
      <c r="L565" s="14">
        <v>272</v>
      </c>
      <c r="M565" s="10">
        <v>251</v>
      </c>
      <c r="N565" s="10">
        <v>30056</v>
      </c>
      <c r="O565" s="10">
        <v>19683</v>
      </c>
      <c r="P565" s="10">
        <v>49739</v>
      </c>
    </row>
    <row r="566" spans="1:16" ht="27" customHeight="1" x14ac:dyDescent="0.2">
      <c r="A566" s="9" t="s">
        <v>1682</v>
      </c>
      <c r="B566" s="10" t="s">
        <v>2023</v>
      </c>
      <c r="C566" s="11" t="s">
        <v>2072</v>
      </c>
      <c r="D566" s="11" t="s">
        <v>2073</v>
      </c>
      <c r="E566" s="11" t="s">
        <v>26</v>
      </c>
      <c r="F566" s="11" t="s">
        <v>2074</v>
      </c>
      <c r="G566" s="11" t="s">
        <v>28</v>
      </c>
      <c r="H566" s="11" t="s">
        <v>1685</v>
      </c>
      <c r="I566" s="11" t="s">
        <v>1686</v>
      </c>
      <c r="J566" s="12">
        <v>1</v>
      </c>
      <c r="K566" s="13">
        <v>1</v>
      </c>
      <c r="L566" s="14">
        <v>617</v>
      </c>
      <c r="M566" s="10">
        <v>598</v>
      </c>
      <c r="N566" s="10">
        <v>68180</v>
      </c>
      <c r="O566" s="10">
        <v>46895</v>
      </c>
      <c r="P566" s="10">
        <v>115075</v>
      </c>
    </row>
    <row r="567" spans="1:16" ht="27" customHeight="1" x14ac:dyDescent="0.2">
      <c r="A567" s="9" t="s">
        <v>1682</v>
      </c>
      <c r="B567" s="10" t="s">
        <v>2023</v>
      </c>
      <c r="C567" s="11" t="s">
        <v>2075</v>
      </c>
      <c r="D567" s="11" t="s">
        <v>2076</v>
      </c>
      <c r="E567" s="11" t="s">
        <v>26</v>
      </c>
      <c r="F567" s="11" t="s">
        <v>2077</v>
      </c>
      <c r="G567" s="11" t="s">
        <v>28</v>
      </c>
      <c r="H567" s="11" t="s">
        <v>1685</v>
      </c>
      <c r="I567" s="11" t="s">
        <v>1686</v>
      </c>
      <c r="J567" s="12">
        <v>1</v>
      </c>
      <c r="K567" s="13">
        <v>1</v>
      </c>
      <c r="L567" s="14">
        <v>298</v>
      </c>
      <c r="M567" s="10">
        <v>266</v>
      </c>
      <c r="N567" s="10">
        <v>32929</v>
      </c>
      <c r="O567" s="10">
        <v>20859</v>
      </c>
      <c r="P567" s="10">
        <v>53788</v>
      </c>
    </row>
    <row r="568" spans="1:16" ht="27" customHeight="1" x14ac:dyDescent="0.2">
      <c r="A568" s="9" t="s">
        <v>1682</v>
      </c>
      <c r="B568" s="10" t="s">
        <v>2023</v>
      </c>
      <c r="C568" s="11" t="s">
        <v>2078</v>
      </c>
      <c r="D568" s="11" t="s">
        <v>2079</v>
      </c>
      <c r="E568" s="11" t="s">
        <v>26</v>
      </c>
      <c r="F568" s="11" t="s">
        <v>2080</v>
      </c>
      <c r="G568" s="11" t="s">
        <v>28</v>
      </c>
      <c r="H568" s="11" t="s">
        <v>2080</v>
      </c>
      <c r="I568" s="11" t="s">
        <v>2081</v>
      </c>
      <c r="J568" s="12">
        <v>0.97340000000000004</v>
      </c>
      <c r="K568" s="13">
        <v>1</v>
      </c>
      <c r="L568" s="14">
        <v>414</v>
      </c>
      <c r="M568" s="10">
        <v>403</v>
      </c>
      <c r="N568" s="10">
        <v>45748</v>
      </c>
      <c r="O568" s="10">
        <v>31603</v>
      </c>
      <c r="P568" s="10">
        <v>77351</v>
      </c>
    </row>
    <row r="569" spans="1:16" ht="27" customHeight="1" x14ac:dyDescent="0.2">
      <c r="A569" s="9" t="s">
        <v>1682</v>
      </c>
      <c r="B569" s="10" t="s">
        <v>2023</v>
      </c>
      <c r="C569" s="11" t="s">
        <v>2082</v>
      </c>
      <c r="D569" s="11" t="s">
        <v>2083</v>
      </c>
      <c r="E569" s="11" t="s">
        <v>57</v>
      </c>
      <c r="F569" s="11" t="s">
        <v>2084</v>
      </c>
      <c r="G569" s="11" t="s">
        <v>28</v>
      </c>
      <c r="H569" s="11" t="s">
        <v>2084</v>
      </c>
      <c r="I569" s="11" t="s">
        <v>2085</v>
      </c>
      <c r="J569" s="12">
        <v>0.86209999999999998</v>
      </c>
      <c r="K569" s="13">
        <v>1</v>
      </c>
      <c r="L569" s="14">
        <v>609</v>
      </c>
      <c r="M569" s="10">
        <v>525</v>
      </c>
      <c r="N569" s="10">
        <v>67296</v>
      </c>
      <c r="O569" s="10">
        <v>41170</v>
      </c>
      <c r="P569" s="10">
        <v>108466</v>
      </c>
    </row>
    <row r="570" spans="1:16" ht="27" customHeight="1" x14ac:dyDescent="0.2">
      <c r="A570" s="9" t="s">
        <v>1682</v>
      </c>
      <c r="B570" s="10" t="s">
        <v>2023</v>
      </c>
      <c r="C570" s="11" t="s">
        <v>2086</v>
      </c>
      <c r="D570" s="11" t="s">
        <v>2087</v>
      </c>
      <c r="E570" s="11" t="s">
        <v>26</v>
      </c>
      <c r="F570" s="11" t="s">
        <v>2088</v>
      </c>
      <c r="G570" s="11" t="s">
        <v>28</v>
      </c>
      <c r="H570" s="11" t="s">
        <v>2088</v>
      </c>
      <c r="I570" s="11" t="s">
        <v>2089</v>
      </c>
      <c r="J570" s="12">
        <v>0.82120000000000004</v>
      </c>
      <c r="K570" s="13">
        <v>1</v>
      </c>
      <c r="L570" s="14">
        <v>744</v>
      </c>
      <c r="M570" s="10">
        <v>611</v>
      </c>
      <c r="N570" s="10">
        <v>82213</v>
      </c>
      <c r="O570" s="10">
        <v>47914</v>
      </c>
      <c r="P570" s="10">
        <v>130127</v>
      </c>
    </row>
    <row r="571" spans="1:16" ht="27" customHeight="1" x14ac:dyDescent="0.2">
      <c r="A571" s="9" t="s">
        <v>1682</v>
      </c>
      <c r="B571" s="10" t="s">
        <v>2023</v>
      </c>
      <c r="C571" s="11" t="s">
        <v>2090</v>
      </c>
      <c r="D571" s="11" t="s">
        <v>2091</v>
      </c>
      <c r="E571" s="11" t="s">
        <v>26</v>
      </c>
      <c r="F571" s="11" t="s">
        <v>2092</v>
      </c>
      <c r="G571" s="11" t="s">
        <v>28</v>
      </c>
      <c r="H571" s="11" t="s">
        <v>2092</v>
      </c>
      <c r="I571" s="11" t="s">
        <v>2093</v>
      </c>
      <c r="J571" s="12">
        <v>0.77590000000000003</v>
      </c>
      <c r="K571" s="13">
        <v>1</v>
      </c>
      <c r="L571" s="14">
        <v>522</v>
      </c>
      <c r="M571" s="10">
        <v>405</v>
      </c>
      <c r="N571" s="10">
        <v>57682</v>
      </c>
      <c r="O571" s="10">
        <v>31760</v>
      </c>
      <c r="P571" s="10">
        <v>89442</v>
      </c>
    </row>
    <row r="572" spans="1:16" ht="27" customHeight="1" x14ac:dyDescent="0.2">
      <c r="A572" s="9" t="s">
        <v>1682</v>
      </c>
      <c r="B572" s="10" t="s">
        <v>2023</v>
      </c>
      <c r="C572" s="11" t="s">
        <v>2094</v>
      </c>
      <c r="D572" s="11" t="s">
        <v>2095</v>
      </c>
      <c r="E572" s="11" t="s">
        <v>26</v>
      </c>
      <c r="F572" s="11" t="s">
        <v>2096</v>
      </c>
      <c r="G572" s="11" t="s">
        <v>28</v>
      </c>
      <c r="H572" s="11" t="s">
        <v>2096</v>
      </c>
      <c r="I572" s="11" t="s">
        <v>2097</v>
      </c>
      <c r="J572" s="12">
        <v>0.9607</v>
      </c>
      <c r="K572" s="13">
        <v>1</v>
      </c>
      <c r="L572" s="14">
        <v>305</v>
      </c>
      <c r="M572" s="10">
        <v>293</v>
      </c>
      <c r="N572" s="10">
        <v>33703</v>
      </c>
      <c r="O572" s="10">
        <v>22977</v>
      </c>
      <c r="P572" s="10">
        <v>56680</v>
      </c>
    </row>
    <row r="573" spans="1:16" ht="27" customHeight="1" x14ac:dyDescent="0.2">
      <c r="A573" s="9" t="s">
        <v>1682</v>
      </c>
      <c r="B573" s="10" t="s">
        <v>2023</v>
      </c>
      <c r="C573" s="11" t="s">
        <v>2098</v>
      </c>
      <c r="D573" s="11" t="s">
        <v>2099</v>
      </c>
      <c r="E573" s="11" t="s">
        <v>26</v>
      </c>
      <c r="F573" s="11" t="s">
        <v>2100</v>
      </c>
      <c r="G573" s="11" t="s">
        <v>28</v>
      </c>
      <c r="H573" s="11" t="s">
        <v>1685</v>
      </c>
      <c r="I573" s="11" t="s">
        <v>1686</v>
      </c>
      <c r="J573" s="12">
        <v>1</v>
      </c>
      <c r="K573" s="13">
        <v>1</v>
      </c>
      <c r="L573" s="14">
        <v>414</v>
      </c>
      <c r="M573" s="10">
        <v>380</v>
      </c>
      <c r="N573" s="10">
        <v>45748</v>
      </c>
      <c r="O573" s="10">
        <v>29799</v>
      </c>
      <c r="P573" s="10">
        <v>75547</v>
      </c>
    </row>
    <row r="574" spans="1:16" ht="27" customHeight="1" x14ac:dyDescent="0.2">
      <c r="A574" s="9" t="s">
        <v>1682</v>
      </c>
      <c r="B574" s="10" t="s">
        <v>2023</v>
      </c>
      <c r="C574" s="11" t="s">
        <v>2101</v>
      </c>
      <c r="D574" s="11" t="s">
        <v>2102</v>
      </c>
      <c r="E574" s="11" t="s">
        <v>26</v>
      </c>
      <c r="F574" s="11" t="s">
        <v>2103</v>
      </c>
      <c r="G574" s="11" t="s">
        <v>28</v>
      </c>
      <c r="H574" s="11" t="s">
        <v>1685</v>
      </c>
      <c r="I574" s="11" t="s">
        <v>1686</v>
      </c>
      <c r="J574" s="12">
        <v>1</v>
      </c>
      <c r="K574" s="13">
        <v>1</v>
      </c>
      <c r="L574" s="14">
        <v>605</v>
      </c>
      <c r="M574" s="10">
        <v>590</v>
      </c>
      <c r="N574" s="10">
        <v>66853</v>
      </c>
      <c r="O574" s="10">
        <v>46267</v>
      </c>
      <c r="P574" s="10">
        <v>113120</v>
      </c>
    </row>
    <row r="575" spans="1:16" ht="27" customHeight="1" x14ac:dyDescent="0.2">
      <c r="A575" s="9" t="s">
        <v>1682</v>
      </c>
      <c r="B575" s="10" t="s">
        <v>2023</v>
      </c>
      <c r="C575" s="11" t="s">
        <v>2104</v>
      </c>
      <c r="D575" s="11" t="s">
        <v>2105</v>
      </c>
      <c r="E575" s="11" t="s">
        <v>26</v>
      </c>
      <c r="F575" s="11" t="s">
        <v>2106</v>
      </c>
      <c r="G575" s="11" t="s">
        <v>28</v>
      </c>
      <c r="H575" s="11" t="s">
        <v>2106</v>
      </c>
      <c r="I575" s="11" t="s">
        <v>2107</v>
      </c>
      <c r="J575" s="12">
        <v>0.93989999999999996</v>
      </c>
      <c r="K575" s="13">
        <v>1</v>
      </c>
      <c r="L575" s="14">
        <v>998</v>
      </c>
      <c r="M575" s="10">
        <v>938</v>
      </c>
      <c r="N575" s="10">
        <v>110281</v>
      </c>
      <c r="O575" s="10">
        <v>73557</v>
      </c>
      <c r="P575" s="10">
        <v>183838</v>
      </c>
    </row>
    <row r="576" spans="1:16" ht="27" customHeight="1" x14ac:dyDescent="0.2">
      <c r="A576" s="9" t="s">
        <v>1682</v>
      </c>
      <c r="B576" s="10" t="s">
        <v>2023</v>
      </c>
      <c r="C576" s="11" t="s">
        <v>2108</v>
      </c>
      <c r="D576" s="11" t="s">
        <v>2109</v>
      </c>
      <c r="E576" s="11" t="s">
        <v>26</v>
      </c>
      <c r="F576" s="11" t="s">
        <v>2110</v>
      </c>
      <c r="G576" s="11" t="s">
        <v>28</v>
      </c>
      <c r="H576" s="11" t="s">
        <v>1685</v>
      </c>
      <c r="I576" s="11" t="s">
        <v>1686</v>
      </c>
      <c r="J576" s="12">
        <v>1</v>
      </c>
      <c r="K576" s="13">
        <v>1</v>
      </c>
      <c r="L576" s="14">
        <v>337</v>
      </c>
      <c r="M576" s="10">
        <v>281</v>
      </c>
      <c r="N576" s="10">
        <v>37239</v>
      </c>
      <c r="O576" s="10">
        <v>22036</v>
      </c>
      <c r="P576" s="10">
        <v>59275</v>
      </c>
    </row>
    <row r="577" spans="1:16" ht="27" customHeight="1" x14ac:dyDescent="0.2">
      <c r="A577" s="9" t="s">
        <v>1682</v>
      </c>
      <c r="B577" s="10" t="s">
        <v>2023</v>
      </c>
      <c r="C577" s="11" t="s">
        <v>2111</v>
      </c>
      <c r="D577" s="11" t="s">
        <v>2112</v>
      </c>
      <c r="E577" s="11" t="s">
        <v>26</v>
      </c>
      <c r="F577" s="11" t="s">
        <v>2113</v>
      </c>
      <c r="G577" s="11" t="s">
        <v>28</v>
      </c>
      <c r="H577" s="11" t="s">
        <v>1685</v>
      </c>
      <c r="I577" s="11" t="s">
        <v>1686</v>
      </c>
      <c r="J577" s="12">
        <v>1</v>
      </c>
      <c r="K577" s="13">
        <v>1</v>
      </c>
      <c r="L577" s="14">
        <v>928</v>
      </c>
      <c r="M577" s="10">
        <v>620</v>
      </c>
      <c r="N577" s="10">
        <v>102546</v>
      </c>
      <c r="O577" s="10">
        <v>48620</v>
      </c>
      <c r="P577" s="10">
        <v>151166</v>
      </c>
    </row>
    <row r="578" spans="1:16" ht="27" customHeight="1" x14ac:dyDescent="0.2">
      <c r="A578" s="9" t="s">
        <v>1682</v>
      </c>
      <c r="B578" s="10" t="s">
        <v>2023</v>
      </c>
      <c r="C578" s="11" t="s">
        <v>2114</v>
      </c>
      <c r="D578" s="11" t="s">
        <v>2115</v>
      </c>
      <c r="E578" s="11" t="s">
        <v>26</v>
      </c>
      <c r="F578" s="11" t="s">
        <v>2116</v>
      </c>
      <c r="G578" s="11" t="s">
        <v>28</v>
      </c>
      <c r="H578" s="11" t="s">
        <v>1685</v>
      </c>
      <c r="I578" s="11" t="s">
        <v>1686</v>
      </c>
      <c r="J578" s="12">
        <v>1</v>
      </c>
      <c r="K578" s="13">
        <v>1</v>
      </c>
      <c r="L578" s="14">
        <v>458</v>
      </c>
      <c r="M578" s="10">
        <v>259</v>
      </c>
      <c r="N578" s="10">
        <v>50610</v>
      </c>
      <c r="O578" s="10">
        <v>20311</v>
      </c>
      <c r="P578" s="10">
        <v>70921</v>
      </c>
    </row>
    <row r="579" spans="1:16" ht="27" customHeight="1" x14ac:dyDescent="0.2">
      <c r="A579" s="9" t="s">
        <v>1682</v>
      </c>
      <c r="B579" s="10" t="s">
        <v>2023</v>
      </c>
      <c r="C579" s="11" t="s">
        <v>2117</v>
      </c>
      <c r="D579" s="11" t="s">
        <v>2118</v>
      </c>
      <c r="E579" s="11" t="s">
        <v>26</v>
      </c>
      <c r="F579" s="11" t="s">
        <v>2119</v>
      </c>
      <c r="G579" s="11" t="s">
        <v>28</v>
      </c>
      <c r="H579" s="11" t="s">
        <v>2119</v>
      </c>
      <c r="I579" s="11" t="s">
        <v>2120</v>
      </c>
      <c r="J579" s="12">
        <v>0.87619999999999998</v>
      </c>
      <c r="K579" s="13">
        <v>1</v>
      </c>
      <c r="L579" s="14">
        <v>412</v>
      </c>
      <c r="M579" s="10">
        <v>361</v>
      </c>
      <c r="N579" s="10">
        <v>45527</v>
      </c>
      <c r="O579" s="10">
        <v>28309</v>
      </c>
      <c r="P579" s="10">
        <v>73836</v>
      </c>
    </row>
    <row r="580" spans="1:16" ht="27" customHeight="1" x14ac:dyDescent="0.2">
      <c r="A580" s="9" t="s">
        <v>1682</v>
      </c>
      <c r="B580" s="10" t="s">
        <v>2023</v>
      </c>
      <c r="C580" s="11" t="s">
        <v>2121</v>
      </c>
      <c r="D580" s="11" t="s">
        <v>2122</v>
      </c>
      <c r="E580" s="11" t="s">
        <v>26</v>
      </c>
      <c r="F580" s="11" t="s">
        <v>2123</v>
      </c>
      <c r="G580" s="11" t="s">
        <v>28</v>
      </c>
      <c r="H580" s="11" t="s">
        <v>1685</v>
      </c>
      <c r="I580" s="11" t="s">
        <v>1686</v>
      </c>
      <c r="J580" s="12">
        <v>1</v>
      </c>
      <c r="K580" s="13">
        <v>1</v>
      </c>
      <c r="L580" s="14">
        <v>608</v>
      </c>
      <c r="M580" s="10">
        <v>596</v>
      </c>
      <c r="N580" s="10">
        <v>67185</v>
      </c>
      <c r="O580" s="10">
        <v>46738</v>
      </c>
      <c r="P580" s="10">
        <v>113923</v>
      </c>
    </row>
    <row r="581" spans="1:16" ht="27" customHeight="1" x14ac:dyDescent="0.2">
      <c r="A581" s="9" t="s">
        <v>1682</v>
      </c>
      <c r="B581" s="10" t="s">
        <v>2023</v>
      </c>
      <c r="C581" s="11" t="s">
        <v>2124</v>
      </c>
      <c r="D581" s="11" t="s">
        <v>2125</v>
      </c>
      <c r="E581" s="11" t="s">
        <v>26</v>
      </c>
      <c r="F581" s="11" t="s">
        <v>2126</v>
      </c>
      <c r="G581" s="11" t="s">
        <v>28</v>
      </c>
      <c r="H581" s="11" t="s">
        <v>2126</v>
      </c>
      <c r="I581" s="11" t="s">
        <v>2127</v>
      </c>
      <c r="J581" s="12">
        <v>0.90080000000000005</v>
      </c>
      <c r="K581" s="13">
        <v>1</v>
      </c>
      <c r="L581" s="14">
        <v>524</v>
      </c>
      <c r="M581" s="10">
        <v>472</v>
      </c>
      <c r="N581" s="10">
        <v>57903</v>
      </c>
      <c r="O581" s="10">
        <v>37014</v>
      </c>
      <c r="P581" s="10">
        <v>94917</v>
      </c>
    </row>
    <row r="582" spans="1:16" ht="27" customHeight="1" x14ac:dyDescent="0.2">
      <c r="A582" s="9" t="s">
        <v>1682</v>
      </c>
      <c r="B582" s="10" t="s">
        <v>2023</v>
      </c>
      <c r="C582" s="11" t="s">
        <v>2128</v>
      </c>
      <c r="D582" s="11" t="s">
        <v>2129</v>
      </c>
      <c r="E582" s="11" t="s">
        <v>26</v>
      </c>
      <c r="F582" s="11" t="s">
        <v>2130</v>
      </c>
      <c r="G582" s="11" t="s">
        <v>28</v>
      </c>
      <c r="H582" s="11" t="s">
        <v>2130</v>
      </c>
      <c r="I582" s="11" t="s">
        <v>2131</v>
      </c>
      <c r="J582" s="12">
        <v>0.4778</v>
      </c>
      <c r="K582" s="13">
        <v>1</v>
      </c>
      <c r="L582" s="14">
        <v>1620</v>
      </c>
      <c r="M582" s="10">
        <v>774</v>
      </c>
      <c r="N582" s="10">
        <v>179013</v>
      </c>
      <c r="O582" s="10">
        <v>60696</v>
      </c>
      <c r="P582" s="10">
        <v>239709</v>
      </c>
    </row>
    <row r="583" spans="1:16" ht="27" customHeight="1" x14ac:dyDescent="0.2">
      <c r="A583" s="9" t="s">
        <v>1682</v>
      </c>
      <c r="B583" s="10" t="s">
        <v>2023</v>
      </c>
      <c r="C583" s="11" t="s">
        <v>2132</v>
      </c>
      <c r="D583" s="11" t="s">
        <v>2133</v>
      </c>
      <c r="E583" s="11" t="s">
        <v>26</v>
      </c>
      <c r="F583" s="11" t="s">
        <v>2134</v>
      </c>
      <c r="G583" s="11" t="s">
        <v>28</v>
      </c>
      <c r="H583" s="11" t="s">
        <v>1685</v>
      </c>
      <c r="I583" s="11" t="s">
        <v>1686</v>
      </c>
      <c r="J583" s="12">
        <v>1</v>
      </c>
      <c r="K583" s="13">
        <v>1</v>
      </c>
      <c r="L583" s="14">
        <v>611</v>
      </c>
      <c r="M583" s="10">
        <v>514</v>
      </c>
      <c r="N583" s="10">
        <v>67517</v>
      </c>
      <c r="O583" s="10">
        <v>40307</v>
      </c>
      <c r="P583" s="10">
        <v>107824</v>
      </c>
    </row>
    <row r="584" spans="1:16" ht="27" customHeight="1" x14ac:dyDescent="0.2">
      <c r="A584" s="9" t="s">
        <v>1682</v>
      </c>
      <c r="B584" s="10" t="s">
        <v>2023</v>
      </c>
      <c r="C584" s="11" t="s">
        <v>2135</v>
      </c>
      <c r="D584" s="11" t="s">
        <v>2136</v>
      </c>
      <c r="E584" s="11" t="s">
        <v>26</v>
      </c>
      <c r="F584" s="11" t="s">
        <v>2137</v>
      </c>
      <c r="G584" s="11" t="s">
        <v>28</v>
      </c>
      <c r="H584" s="11" t="s">
        <v>1685</v>
      </c>
      <c r="I584" s="11" t="s">
        <v>1686</v>
      </c>
      <c r="J584" s="12">
        <v>1</v>
      </c>
      <c r="K584" s="13">
        <v>1</v>
      </c>
      <c r="L584" s="14">
        <v>449</v>
      </c>
      <c r="M584" s="10">
        <v>390</v>
      </c>
      <c r="N584" s="10">
        <v>49615</v>
      </c>
      <c r="O584" s="10">
        <v>30583</v>
      </c>
      <c r="P584" s="10">
        <v>80198</v>
      </c>
    </row>
    <row r="585" spans="1:16" ht="27" customHeight="1" x14ac:dyDescent="0.2">
      <c r="A585" s="9" t="s">
        <v>1682</v>
      </c>
      <c r="B585" s="10" t="s">
        <v>2023</v>
      </c>
      <c r="C585" s="11" t="s">
        <v>2138</v>
      </c>
      <c r="D585" s="11" t="s">
        <v>2139</v>
      </c>
      <c r="E585" s="11" t="s">
        <v>26</v>
      </c>
      <c r="F585" s="11" t="s">
        <v>2140</v>
      </c>
      <c r="G585" s="11" t="s">
        <v>28</v>
      </c>
      <c r="H585" s="11" t="s">
        <v>2140</v>
      </c>
      <c r="I585" s="11" t="s">
        <v>2141</v>
      </c>
      <c r="J585" s="12">
        <v>0.23699999999999999</v>
      </c>
      <c r="K585" s="13">
        <v>1</v>
      </c>
      <c r="L585" s="14">
        <v>405</v>
      </c>
      <c r="M585" s="10">
        <v>96</v>
      </c>
      <c r="N585" s="10">
        <v>44753</v>
      </c>
      <c r="O585" s="10">
        <v>7528</v>
      </c>
      <c r="P585" s="10">
        <v>52281</v>
      </c>
    </row>
    <row r="586" spans="1:16" ht="27" customHeight="1" x14ac:dyDescent="0.2">
      <c r="A586" s="9" t="s">
        <v>1682</v>
      </c>
      <c r="B586" s="10" t="s">
        <v>2023</v>
      </c>
      <c r="C586" s="11" t="s">
        <v>2142</v>
      </c>
      <c r="D586" s="11" t="s">
        <v>2143</v>
      </c>
      <c r="E586" s="11" t="s">
        <v>26</v>
      </c>
      <c r="F586" s="11" t="s">
        <v>2144</v>
      </c>
      <c r="G586" s="11" t="s">
        <v>28</v>
      </c>
      <c r="H586" s="11" t="s">
        <v>2144</v>
      </c>
      <c r="I586" s="11" t="s">
        <v>2145</v>
      </c>
      <c r="J586" s="12">
        <v>0.79620000000000002</v>
      </c>
      <c r="K586" s="13">
        <v>1</v>
      </c>
      <c r="L586" s="14">
        <v>265</v>
      </c>
      <c r="M586" s="10">
        <v>211</v>
      </c>
      <c r="N586" s="10">
        <v>29283</v>
      </c>
      <c r="O586" s="10">
        <v>16546</v>
      </c>
      <c r="P586" s="10">
        <v>45829</v>
      </c>
    </row>
    <row r="587" spans="1:16" ht="27" customHeight="1" x14ac:dyDescent="0.2">
      <c r="A587" s="9" t="s">
        <v>1682</v>
      </c>
      <c r="B587" s="10" t="s">
        <v>2023</v>
      </c>
      <c r="C587" s="11" t="s">
        <v>2146</v>
      </c>
      <c r="D587" s="11" t="s">
        <v>2147</v>
      </c>
      <c r="E587" s="11" t="s">
        <v>26</v>
      </c>
      <c r="F587" s="11" t="s">
        <v>2148</v>
      </c>
      <c r="G587" s="11" t="s">
        <v>28</v>
      </c>
      <c r="H587" s="11" t="s">
        <v>2148</v>
      </c>
      <c r="I587" s="11" t="s">
        <v>2149</v>
      </c>
      <c r="J587" s="12">
        <v>0.90369999999999995</v>
      </c>
      <c r="K587" s="13">
        <v>1</v>
      </c>
      <c r="L587" s="14">
        <v>405</v>
      </c>
      <c r="M587" s="10">
        <v>366</v>
      </c>
      <c r="N587" s="10">
        <v>44753</v>
      </c>
      <c r="O587" s="10">
        <v>28701</v>
      </c>
      <c r="P587" s="10">
        <v>73454</v>
      </c>
    </row>
    <row r="588" spans="1:16" ht="27" customHeight="1" x14ac:dyDescent="0.2">
      <c r="A588" s="9" t="s">
        <v>1682</v>
      </c>
      <c r="B588" s="10" t="s">
        <v>2023</v>
      </c>
      <c r="C588" s="11" t="s">
        <v>2150</v>
      </c>
      <c r="D588" s="11" t="s">
        <v>2151</v>
      </c>
      <c r="E588" s="11" t="s">
        <v>26</v>
      </c>
      <c r="F588" s="11" t="s">
        <v>2152</v>
      </c>
      <c r="G588" s="11" t="s">
        <v>28</v>
      </c>
      <c r="H588" s="11" t="s">
        <v>1685</v>
      </c>
      <c r="I588" s="11" t="s">
        <v>1686</v>
      </c>
      <c r="J588" s="12">
        <v>1</v>
      </c>
      <c r="K588" s="13">
        <v>1</v>
      </c>
      <c r="L588" s="14">
        <v>79</v>
      </c>
      <c r="M588" s="10">
        <v>77</v>
      </c>
      <c r="N588" s="10">
        <v>8730</v>
      </c>
      <c r="O588" s="10">
        <v>6038</v>
      </c>
      <c r="P588" s="10">
        <v>14768</v>
      </c>
    </row>
    <row r="589" spans="1:16" ht="27" customHeight="1" x14ac:dyDescent="0.2">
      <c r="A589" s="9" t="s">
        <v>1682</v>
      </c>
      <c r="B589" s="10" t="s">
        <v>2023</v>
      </c>
      <c r="C589" s="11" t="s">
        <v>2153</v>
      </c>
      <c r="D589" s="11" t="s">
        <v>2154</v>
      </c>
      <c r="E589" s="11" t="s">
        <v>26</v>
      </c>
      <c r="F589" s="11" t="s">
        <v>2155</v>
      </c>
      <c r="G589" s="11" t="s">
        <v>28</v>
      </c>
      <c r="H589" s="11" t="s">
        <v>1685</v>
      </c>
      <c r="I589" s="11" t="s">
        <v>1686</v>
      </c>
      <c r="J589" s="12">
        <v>1</v>
      </c>
      <c r="K589" s="13">
        <v>1</v>
      </c>
      <c r="L589" s="14">
        <v>614</v>
      </c>
      <c r="M589" s="10">
        <v>606</v>
      </c>
      <c r="N589" s="10">
        <v>67848</v>
      </c>
      <c r="O589" s="10">
        <v>47522</v>
      </c>
      <c r="P589" s="10">
        <v>115370</v>
      </c>
    </row>
    <row r="590" spans="1:16" ht="27" customHeight="1" x14ac:dyDescent="0.2">
      <c r="A590" s="9" t="s">
        <v>1682</v>
      </c>
      <c r="B590" s="10" t="s">
        <v>2023</v>
      </c>
      <c r="C590" s="11" t="s">
        <v>2156</v>
      </c>
      <c r="D590" s="11" t="s">
        <v>2157</v>
      </c>
      <c r="E590" s="11" t="s">
        <v>26</v>
      </c>
      <c r="F590" s="11" t="s">
        <v>2158</v>
      </c>
      <c r="G590" s="11" t="s">
        <v>28</v>
      </c>
      <c r="H590" s="11" t="s">
        <v>1685</v>
      </c>
      <c r="I590" s="11" t="s">
        <v>1686</v>
      </c>
      <c r="J590" s="12">
        <v>1</v>
      </c>
      <c r="K590" s="13">
        <v>1</v>
      </c>
      <c r="L590" s="14">
        <v>466</v>
      </c>
      <c r="M590" s="10">
        <v>449</v>
      </c>
      <c r="N590" s="10">
        <v>51494</v>
      </c>
      <c r="O590" s="10">
        <v>35210</v>
      </c>
      <c r="P590" s="10">
        <v>86704</v>
      </c>
    </row>
    <row r="591" spans="1:16" ht="27" customHeight="1" x14ac:dyDescent="0.2">
      <c r="A591" s="9" t="s">
        <v>1682</v>
      </c>
      <c r="B591" s="10" t="s">
        <v>2023</v>
      </c>
      <c r="C591" s="11" t="s">
        <v>2159</v>
      </c>
      <c r="D591" s="11" t="s">
        <v>2160</v>
      </c>
      <c r="E591" s="11" t="s">
        <v>26</v>
      </c>
      <c r="F591" s="11" t="s">
        <v>2161</v>
      </c>
      <c r="G591" s="11" t="s">
        <v>28</v>
      </c>
      <c r="H591" s="11" t="s">
        <v>1685</v>
      </c>
      <c r="I591" s="11" t="s">
        <v>1686</v>
      </c>
      <c r="J591" s="12">
        <v>1</v>
      </c>
      <c r="K591" s="13">
        <v>1</v>
      </c>
      <c r="L591" s="14">
        <v>400</v>
      </c>
      <c r="M591" s="10">
        <v>393</v>
      </c>
      <c r="N591" s="10">
        <v>44201</v>
      </c>
      <c r="O591" s="10">
        <v>30819</v>
      </c>
      <c r="P591" s="10">
        <v>75020</v>
      </c>
    </row>
    <row r="592" spans="1:16" ht="27" customHeight="1" x14ac:dyDescent="0.2">
      <c r="A592" s="9" t="s">
        <v>1682</v>
      </c>
      <c r="B592" s="10" t="s">
        <v>2023</v>
      </c>
      <c r="C592" s="11" t="s">
        <v>2162</v>
      </c>
      <c r="D592" s="11" t="s">
        <v>2163</v>
      </c>
      <c r="E592" s="11" t="s">
        <v>26</v>
      </c>
      <c r="F592" s="11" t="s">
        <v>2164</v>
      </c>
      <c r="G592" s="11" t="s">
        <v>28</v>
      </c>
      <c r="H592" s="11" t="s">
        <v>1685</v>
      </c>
      <c r="I592" s="11" t="s">
        <v>1686</v>
      </c>
      <c r="J592" s="12">
        <v>1</v>
      </c>
      <c r="K592" s="13">
        <v>1</v>
      </c>
      <c r="L592" s="14">
        <v>622</v>
      </c>
      <c r="M592" s="10">
        <v>609</v>
      </c>
      <c r="N592" s="10">
        <v>68732</v>
      </c>
      <c r="O592" s="10">
        <v>47757</v>
      </c>
      <c r="P592" s="10">
        <v>116489</v>
      </c>
    </row>
    <row r="593" spans="1:16" ht="27" customHeight="1" x14ac:dyDescent="0.2">
      <c r="A593" s="9" t="s">
        <v>1682</v>
      </c>
      <c r="B593" s="10" t="s">
        <v>2023</v>
      </c>
      <c r="C593" s="11" t="s">
        <v>2165</v>
      </c>
      <c r="D593" s="11" t="s">
        <v>2166</v>
      </c>
      <c r="E593" s="11" t="s">
        <v>26</v>
      </c>
      <c r="F593" s="11" t="s">
        <v>2167</v>
      </c>
      <c r="G593" s="11" t="s">
        <v>28</v>
      </c>
      <c r="H593" s="11" t="s">
        <v>1685</v>
      </c>
      <c r="I593" s="11" t="s">
        <v>1686</v>
      </c>
      <c r="J593" s="12">
        <v>1</v>
      </c>
      <c r="K593" s="13">
        <v>1</v>
      </c>
      <c r="L593" s="14">
        <v>604</v>
      </c>
      <c r="M593" s="10">
        <v>582</v>
      </c>
      <c r="N593" s="10">
        <v>66743</v>
      </c>
      <c r="O593" s="10">
        <v>45640</v>
      </c>
      <c r="P593" s="10">
        <v>112383</v>
      </c>
    </row>
    <row r="594" spans="1:16" ht="27" customHeight="1" x14ac:dyDescent="0.2">
      <c r="A594" s="9" t="s">
        <v>1682</v>
      </c>
      <c r="B594" s="10" t="s">
        <v>2023</v>
      </c>
      <c r="C594" s="11" t="s">
        <v>2168</v>
      </c>
      <c r="D594" s="11" t="s">
        <v>2169</v>
      </c>
      <c r="E594" s="11" t="s">
        <v>26</v>
      </c>
      <c r="F594" s="11" t="s">
        <v>2170</v>
      </c>
      <c r="G594" s="11" t="s">
        <v>28</v>
      </c>
      <c r="H594" s="11" t="s">
        <v>1685</v>
      </c>
      <c r="I594" s="11" t="s">
        <v>1686</v>
      </c>
      <c r="J594" s="12">
        <v>1</v>
      </c>
      <c r="K594" s="13">
        <v>1</v>
      </c>
      <c r="L594" s="14">
        <v>572</v>
      </c>
      <c r="M594" s="10">
        <v>547</v>
      </c>
      <c r="N594" s="10">
        <v>63207</v>
      </c>
      <c r="O594" s="10">
        <v>42895</v>
      </c>
      <c r="P594" s="10">
        <v>106102</v>
      </c>
    </row>
    <row r="595" spans="1:16" ht="27" customHeight="1" x14ac:dyDescent="0.2">
      <c r="A595" s="9" t="s">
        <v>1682</v>
      </c>
      <c r="B595" s="10" t="s">
        <v>2023</v>
      </c>
      <c r="C595" s="11" t="s">
        <v>2171</v>
      </c>
      <c r="D595" s="11" t="s">
        <v>2172</v>
      </c>
      <c r="E595" s="11" t="s">
        <v>26</v>
      </c>
      <c r="F595" s="11" t="s">
        <v>2173</v>
      </c>
      <c r="G595" s="11" t="s">
        <v>28</v>
      </c>
      <c r="H595" s="11" t="s">
        <v>2173</v>
      </c>
      <c r="I595" s="11" t="s">
        <v>2174</v>
      </c>
      <c r="J595" s="12">
        <v>0.97640000000000005</v>
      </c>
      <c r="K595" s="13">
        <v>1</v>
      </c>
      <c r="L595" s="14">
        <v>976</v>
      </c>
      <c r="M595" s="10">
        <v>953</v>
      </c>
      <c r="N595" s="10">
        <v>107850</v>
      </c>
      <c r="O595" s="10">
        <v>74733</v>
      </c>
      <c r="P595" s="10">
        <v>182583</v>
      </c>
    </row>
    <row r="596" spans="1:16" ht="27" customHeight="1" x14ac:dyDescent="0.2">
      <c r="A596" s="9" t="s">
        <v>1682</v>
      </c>
      <c r="B596" s="10" t="s">
        <v>2023</v>
      </c>
      <c r="C596" s="11" t="s">
        <v>2175</v>
      </c>
      <c r="D596" s="11" t="s">
        <v>2176</v>
      </c>
      <c r="E596" s="11" t="s">
        <v>26</v>
      </c>
      <c r="F596" s="11" t="s">
        <v>2177</v>
      </c>
      <c r="G596" s="11" t="s">
        <v>28</v>
      </c>
      <c r="H596" s="11" t="s">
        <v>1685</v>
      </c>
      <c r="I596" s="11" t="s">
        <v>1686</v>
      </c>
      <c r="J596" s="12">
        <v>1</v>
      </c>
      <c r="K596" s="13">
        <v>1</v>
      </c>
      <c r="L596" s="14">
        <v>570</v>
      </c>
      <c r="M596" s="10">
        <v>506</v>
      </c>
      <c r="N596" s="10">
        <v>62986</v>
      </c>
      <c r="O596" s="10">
        <v>39680</v>
      </c>
      <c r="P596" s="10">
        <v>102666</v>
      </c>
    </row>
    <row r="597" spans="1:16" ht="27" customHeight="1" x14ac:dyDescent="0.2">
      <c r="A597" s="9" t="s">
        <v>1682</v>
      </c>
      <c r="B597" s="10" t="s">
        <v>2023</v>
      </c>
      <c r="C597" s="11" t="s">
        <v>2178</v>
      </c>
      <c r="D597" s="11" t="s">
        <v>2179</v>
      </c>
      <c r="E597" s="11" t="s">
        <v>57</v>
      </c>
      <c r="F597" s="11" t="s">
        <v>2180</v>
      </c>
      <c r="G597" s="11" t="s">
        <v>28</v>
      </c>
      <c r="H597" s="11" t="s">
        <v>2180</v>
      </c>
      <c r="I597" s="11" t="s">
        <v>2181</v>
      </c>
      <c r="J597" s="12">
        <v>0.1477</v>
      </c>
      <c r="K597" s="13">
        <v>1</v>
      </c>
      <c r="L597" s="14">
        <v>501</v>
      </c>
      <c r="M597" s="10">
        <v>74</v>
      </c>
      <c r="N597" s="10">
        <v>55361</v>
      </c>
      <c r="O597" s="10">
        <v>5803</v>
      </c>
      <c r="P597" s="10">
        <v>61164</v>
      </c>
    </row>
    <row r="598" spans="1:16" ht="27" customHeight="1" x14ac:dyDescent="0.2">
      <c r="A598" s="9" t="s">
        <v>1682</v>
      </c>
      <c r="B598" s="10" t="s">
        <v>2023</v>
      </c>
      <c r="C598" s="11" t="s">
        <v>2182</v>
      </c>
      <c r="D598" s="11" t="s">
        <v>2183</v>
      </c>
      <c r="E598" s="11" t="s">
        <v>26</v>
      </c>
      <c r="F598" s="11" t="s">
        <v>2184</v>
      </c>
      <c r="G598" s="11" t="s">
        <v>28</v>
      </c>
      <c r="H598" s="11" t="s">
        <v>1685</v>
      </c>
      <c r="I598" s="11" t="s">
        <v>1686</v>
      </c>
      <c r="J598" s="12">
        <v>1</v>
      </c>
      <c r="K598" s="13">
        <v>1</v>
      </c>
      <c r="L598" s="14">
        <v>277</v>
      </c>
      <c r="M598" s="10">
        <v>258</v>
      </c>
      <c r="N598" s="10">
        <v>30609</v>
      </c>
      <c r="O598" s="10">
        <v>20232</v>
      </c>
      <c r="P598" s="10">
        <v>50841</v>
      </c>
    </row>
    <row r="599" spans="1:16" ht="27" customHeight="1" x14ac:dyDescent="0.2">
      <c r="A599" s="9" t="s">
        <v>1682</v>
      </c>
      <c r="B599" s="10" t="s">
        <v>2023</v>
      </c>
      <c r="C599" s="11" t="s">
        <v>2185</v>
      </c>
      <c r="D599" s="11" t="s">
        <v>2186</v>
      </c>
      <c r="E599" s="11" t="s">
        <v>26</v>
      </c>
      <c r="F599" s="11" t="s">
        <v>2187</v>
      </c>
      <c r="G599" s="11" t="s">
        <v>28</v>
      </c>
      <c r="H599" s="11" t="s">
        <v>2187</v>
      </c>
      <c r="I599" s="11" t="s">
        <v>2188</v>
      </c>
      <c r="J599" s="12">
        <v>0.46079999999999999</v>
      </c>
      <c r="K599" s="13">
        <v>1</v>
      </c>
      <c r="L599" s="14">
        <v>395</v>
      </c>
      <c r="M599" s="10">
        <v>182</v>
      </c>
      <c r="N599" s="10">
        <v>43648</v>
      </c>
      <c r="O599" s="10">
        <v>14272</v>
      </c>
      <c r="P599" s="10">
        <v>57920</v>
      </c>
    </row>
    <row r="600" spans="1:16" ht="27" customHeight="1" x14ac:dyDescent="0.2">
      <c r="A600" s="9" t="s">
        <v>1682</v>
      </c>
      <c r="B600" s="10" t="s">
        <v>2023</v>
      </c>
      <c r="C600" s="11" t="s">
        <v>2189</v>
      </c>
      <c r="D600" s="11" t="s">
        <v>2190</v>
      </c>
      <c r="E600" s="11" t="s">
        <v>26</v>
      </c>
      <c r="F600" s="11" t="s">
        <v>2191</v>
      </c>
      <c r="G600" s="11" t="s">
        <v>28</v>
      </c>
      <c r="H600" s="11" t="s">
        <v>1685</v>
      </c>
      <c r="I600" s="11" t="s">
        <v>1686</v>
      </c>
      <c r="J600" s="12">
        <v>1</v>
      </c>
      <c r="K600" s="13">
        <v>1</v>
      </c>
      <c r="L600" s="14">
        <v>521</v>
      </c>
      <c r="M600" s="10">
        <v>491</v>
      </c>
      <c r="N600" s="10">
        <v>57571</v>
      </c>
      <c r="O600" s="10">
        <v>38504</v>
      </c>
      <c r="P600" s="10">
        <v>96075</v>
      </c>
    </row>
    <row r="601" spans="1:16" ht="27" customHeight="1" x14ac:dyDescent="0.2">
      <c r="A601" s="9" t="s">
        <v>1682</v>
      </c>
      <c r="B601" s="10" t="s">
        <v>2023</v>
      </c>
      <c r="C601" s="11" t="s">
        <v>2192</v>
      </c>
      <c r="D601" s="11" t="s">
        <v>2193</v>
      </c>
      <c r="E601" s="11" t="s">
        <v>26</v>
      </c>
      <c r="F601" s="11" t="s">
        <v>2194</v>
      </c>
      <c r="G601" s="11" t="s">
        <v>28</v>
      </c>
      <c r="H601" s="11" t="s">
        <v>2194</v>
      </c>
      <c r="I601" s="11" t="s">
        <v>2195</v>
      </c>
      <c r="J601" s="12">
        <v>0.68210000000000004</v>
      </c>
      <c r="K601" s="13">
        <v>1</v>
      </c>
      <c r="L601" s="14">
        <v>324</v>
      </c>
      <c r="M601" s="10">
        <v>221</v>
      </c>
      <c r="N601" s="10">
        <v>35803</v>
      </c>
      <c r="O601" s="10">
        <v>17331</v>
      </c>
      <c r="P601" s="10">
        <v>53134</v>
      </c>
    </row>
    <row r="602" spans="1:16" ht="27" customHeight="1" x14ac:dyDescent="0.2">
      <c r="A602" s="9" t="s">
        <v>1682</v>
      </c>
      <c r="B602" s="10" t="s">
        <v>2023</v>
      </c>
      <c r="C602" s="11" t="s">
        <v>2196</v>
      </c>
      <c r="D602" s="11" t="s">
        <v>2197</v>
      </c>
      <c r="E602" s="11" t="s">
        <v>26</v>
      </c>
      <c r="F602" s="11" t="s">
        <v>2198</v>
      </c>
      <c r="G602" s="11" t="s">
        <v>28</v>
      </c>
      <c r="H602" s="11" t="s">
        <v>1685</v>
      </c>
      <c r="I602" s="11" t="s">
        <v>1686</v>
      </c>
      <c r="J602" s="12">
        <v>1</v>
      </c>
      <c r="K602" s="13">
        <v>1</v>
      </c>
      <c r="L602" s="14">
        <v>277</v>
      </c>
      <c r="M602" s="10">
        <v>247</v>
      </c>
      <c r="N602" s="10">
        <v>30609</v>
      </c>
      <c r="O602" s="10">
        <v>19369</v>
      </c>
      <c r="P602" s="10">
        <v>49978</v>
      </c>
    </row>
    <row r="603" spans="1:16" ht="27" customHeight="1" x14ac:dyDescent="0.2">
      <c r="A603" s="9" t="s">
        <v>1682</v>
      </c>
      <c r="B603" s="10" t="s">
        <v>2023</v>
      </c>
      <c r="C603" s="11" t="s">
        <v>2199</v>
      </c>
      <c r="D603" s="11" t="s">
        <v>2200</v>
      </c>
      <c r="E603" s="11" t="s">
        <v>26</v>
      </c>
      <c r="F603" s="11" t="s">
        <v>2201</v>
      </c>
      <c r="G603" s="11" t="s">
        <v>28</v>
      </c>
      <c r="H603" s="11" t="s">
        <v>2201</v>
      </c>
      <c r="I603" s="11" t="s">
        <v>2202</v>
      </c>
      <c r="J603" s="12">
        <v>0.67579999999999996</v>
      </c>
      <c r="K603" s="13">
        <v>1</v>
      </c>
      <c r="L603" s="14">
        <v>364</v>
      </c>
      <c r="M603" s="10">
        <v>246</v>
      </c>
      <c r="N603" s="10">
        <v>40223</v>
      </c>
      <c r="O603" s="10">
        <v>19291</v>
      </c>
      <c r="P603" s="10">
        <v>59514</v>
      </c>
    </row>
    <row r="604" spans="1:16" ht="27" customHeight="1" x14ac:dyDescent="0.2">
      <c r="A604" s="9" t="s">
        <v>1682</v>
      </c>
      <c r="B604" s="10" t="s">
        <v>2023</v>
      </c>
      <c r="C604" s="11" t="s">
        <v>2203</v>
      </c>
      <c r="D604" s="11" t="s">
        <v>2204</v>
      </c>
      <c r="E604" s="11" t="s">
        <v>26</v>
      </c>
      <c r="F604" s="11" t="s">
        <v>2205</v>
      </c>
      <c r="G604" s="11" t="s">
        <v>28</v>
      </c>
      <c r="H604" s="11" t="s">
        <v>2205</v>
      </c>
      <c r="I604" s="11" t="s">
        <v>2206</v>
      </c>
      <c r="J604" s="12">
        <v>0.85529999999999995</v>
      </c>
      <c r="K604" s="13">
        <v>1</v>
      </c>
      <c r="L604" s="14">
        <v>532</v>
      </c>
      <c r="M604" s="10">
        <v>455</v>
      </c>
      <c r="N604" s="10">
        <v>58787</v>
      </c>
      <c r="O604" s="10">
        <v>35681</v>
      </c>
      <c r="P604" s="10">
        <v>94468</v>
      </c>
    </row>
    <row r="605" spans="1:16" ht="27" customHeight="1" x14ac:dyDescent="0.2">
      <c r="A605" s="9" t="s">
        <v>1682</v>
      </c>
      <c r="B605" s="10" t="s">
        <v>2023</v>
      </c>
      <c r="C605" s="11" t="s">
        <v>2207</v>
      </c>
      <c r="D605" s="11" t="s">
        <v>2208</v>
      </c>
      <c r="E605" s="11" t="s">
        <v>26</v>
      </c>
      <c r="F605" s="11" t="s">
        <v>2209</v>
      </c>
      <c r="G605" s="11" t="s">
        <v>28</v>
      </c>
      <c r="H605" s="11" t="s">
        <v>1685</v>
      </c>
      <c r="I605" s="11" t="s">
        <v>1686</v>
      </c>
      <c r="J605" s="12">
        <v>1</v>
      </c>
      <c r="K605" s="13">
        <v>1</v>
      </c>
      <c r="L605" s="14">
        <v>139</v>
      </c>
      <c r="M605" s="10">
        <v>69</v>
      </c>
      <c r="N605" s="10">
        <v>15360</v>
      </c>
      <c r="O605" s="10">
        <v>5411</v>
      </c>
      <c r="P605" s="10">
        <v>20771</v>
      </c>
    </row>
    <row r="606" spans="1:16" ht="27" customHeight="1" x14ac:dyDescent="0.2">
      <c r="A606" s="9" t="s">
        <v>1682</v>
      </c>
      <c r="B606" s="10" t="s">
        <v>2023</v>
      </c>
      <c r="C606" s="11" t="s">
        <v>2210</v>
      </c>
      <c r="D606" s="11" t="s">
        <v>2211</v>
      </c>
      <c r="E606" s="11" t="s">
        <v>26</v>
      </c>
      <c r="F606" s="11" t="s">
        <v>2212</v>
      </c>
      <c r="G606" s="11" t="s">
        <v>28</v>
      </c>
      <c r="H606" s="11" t="s">
        <v>2212</v>
      </c>
      <c r="I606" s="11" t="s">
        <v>2213</v>
      </c>
      <c r="J606" s="12">
        <v>0.9385</v>
      </c>
      <c r="K606" s="13">
        <v>1</v>
      </c>
      <c r="L606" s="14">
        <v>260</v>
      </c>
      <c r="M606" s="10">
        <v>244</v>
      </c>
      <c r="N606" s="10">
        <v>28730</v>
      </c>
      <c r="O606" s="10">
        <v>19134</v>
      </c>
      <c r="P606" s="10">
        <v>47864</v>
      </c>
    </row>
    <row r="607" spans="1:16" ht="27" customHeight="1" x14ac:dyDescent="0.2">
      <c r="A607" s="9" t="s">
        <v>1682</v>
      </c>
      <c r="B607" s="10" t="s">
        <v>2023</v>
      </c>
      <c r="C607" s="11" t="s">
        <v>2214</v>
      </c>
      <c r="D607" s="11" t="s">
        <v>2215</v>
      </c>
      <c r="E607" s="11" t="s">
        <v>26</v>
      </c>
      <c r="F607" s="11" t="s">
        <v>2216</v>
      </c>
      <c r="G607" s="11" t="s">
        <v>28</v>
      </c>
      <c r="H607" s="11" t="s">
        <v>1685</v>
      </c>
      <c r="I607" s="11" t="s">
        <v>1686</v>
      </c>
      <c r="J607" s="12">
        <v>1</v>
      </c>
      <c r="K607" s="13">
        <v>1</v>
      </c>
      <c r="L607" s="14">
        <v>191</v>
      </c>
      <c r="M607" s="10">
        <v>99</v>
      </c>
      <c r="N607" s="10">
        <v>21106</v>
      </c>
      <c r="O607" s="10">
        <v>7763</v>
      </c>
      <c r="P607" s="10">
        <v>28869</v>
      </c>
    </row>
    <row r="608" spans="1:16" ht="27" customHeight="1" x14ac:dyDescent="0.2">
      <c r="A608" s="9" t="s">
        <v>1682</v>
      </c>
      <c r="B608" s="10" t="s">
        <v>2023</v>
      </c>
      <c r="C608" s="11" t="s">
        <v>2217</v>
      </c>
      <c r="D608" s="11" t="s">
        <v>2218</v>
      </c>
      <c r="E608" s="11" t="s">
        <v>26</v>
      </c>
      <c r="F608" s="11" t="s">
        <v>2219</v>
      </c>
      <c r="G608" s="11" t="s">
        <v>28</v>
      </c>
      <c r="H608" s="11" t="s">
        <v>1685</v>
      </c>
      <c r="I608" s="11" t="s">
        <v>1686</v>
      </c>
      <c r="J608" s="12">
        <v>1</v>
      </c>
      <c r="K608" s="13">
        <v>1</v>
      </c>
      <c r="L608" s="14">
        <v>209</v>
      </c>
      <c r="M608" s="10">
        <v>200</v>
      </c>
      <c r="N608" s="10">
        <v>23095</v>
      </c>
      <c r="O608" s="10">
        <v>15684</v>
      </c>
      <c r="P608" s="10">
        <v>38779</v>
      </c>
    </row>
    <row r="609" spans="1:16" ht="27" customHeight="1" x14ac:dyDescent="0.2">
      <c r="A609" s="9" t="s">
        <v>1682</v>
      </c>
      <c r="B609" s="10" t="s">
        <v>2023</v>
      </c>
      <c r="C609" s="11" t="s">
        <v>2220</v>
      </c>
      <c r="D609" s="11" t="s">
        <v>2221</v>
      </c>
      <c r="E609" s="11" t="s">
        <v>26</v>
      </c>
      <c r="F609" s="11" t="s">
        <v>2222</v>
      </c>
      <c r="G609" s="11" t="s">
        <v>28</v>
      </c>
      <c r="H609" s="11" t="s">
        <v>1685</v>
      </c>
      <c r="I609" s="11" t="s">
        <v>1686</v>
      </c>
      <c r="J609" s="12">
        <v>1</v>
      </c>
      <c r="K609" s="13">
        <v>1</v>
      </c>
      <c r="L609" s="14">
        <v>462</v>
      </c>
      <c r="M609" s="10">
        <v>439</v>
      </c>
      <c r="N609" s="10">
        <v>51052</v>
      </c>
      <c r="O609" s="10">
        <v>34426</v>
      </c>
      <c r="P609" s="10">
        <v>85478</v>
      </c>
    </row>
    <row r="610" spans="1:16" ht="27" customHeight="1" x14ac:dyDescent="0.2">
      <c r="A610" s="9" t="s">
        <v>1682</v>
      </c>
      <c r="B610" s="10" t="s">
        <v>2023</v>
      </c>
      <c r="C610" s="11" t="s">
        <v>2223</v>
      </c>
      <c r="D610" s="11" t="s">
        <v>2224</v>
      </c>
      <c r="E610" s="11" t="s">
        <v>57</v>
      </c>
      <c r="F610" s="11" t="s">
        <v>2225</v>
      </c>
      <c r="G610" s="11" t="s">
        <v>28</v>
      </c>
      <c r="H610" s="11" t="s">
        <v>2225</v>
      </c>
      <c r="I610" s="11" t="s">
        <v>2226</v>
      </c>
      <c r="J610" s="12">
        <v>0.72060000000000002</v>
      </c>
      <c r="K610" s="13">
        <v>1</v>
      </c>
      <c r="L610" s="14">
        <v>204</v>
      </c>
      <c r="M610" s="10">
        <v>147</v>
      </c>
      <c r="N610" s="10">
        <v>22542</v>
      </c>
      <c r="O610" s="10">
        <v>11528</v>
      </c>
      <c r="P610" s="10">
        <v>34070</v>
      </c>
    </row>
    <row r="611" spans="1:16" ht="27" customHeight="1" x14ac:dyDescent="0.2">
      <c r="A611" s="9" t="s">
        <v>1682</v>
      </c>
      <c r="B611" s="10" t="s">
        <v>2023</v>
      </c>
      <c r="C611" s="11" t="s">
        <v>2227</v>
      </c>
      <c r="D611" s="11" t="s">
        <v>2228</v>
      </c>
      <c r="E611" s="11" t="s">
        <v>26</v>
      </c>
      <c r="F611" s="11" t="s">
        <v>2229</v>
      </c>
      <c r="G611" s="11" t="s">
        <v>28</v>
      </c>
      <c r="H611" s="11" t="s">
        <v>1685</v>
      </c>
      <c r="I611" s="11" t="s">
        <v>1686</v>
      </c>
      <c r="J611" s="12">
        <v>1</v>
      </c>
      <c r="K611" s="13">
        <v>1</v>
      </c>
      <c r="L611" s="14">
        <v>497</v>
      </c>
      <c r="M611" s="10">
        <v>480</v>
      </c>
      <c r="N611" s="10">
        <v>54919</v>
      </c>
      <c r="O611" s="10">
        <v>37641</v>
      </c>
      <c r="P611" s="10">
        <v>92560</v>
      </c>
    </row>
    <row r="612" spans="1:16" ht="27" customHeight="1" x14ac:dyDescent="0.2">
      <c r="A612" s="9" t="s">
        <v>1682</v>
      </c>
      <c r="B612" s="10" t="s">
        <v>2023</v>
      </c>
      <c r="C612" s="11" t="s">
        <v>2230</v>
      </c>
      <c r="D612" s="11" t="s">
        <v>2231</v>
      </c>
      <c r="E612" s="11" t="s">
        <v>26</v>
      </c>
      <c r="F612" s="11" t="s">
        <v>2232</v>
      </c>
      <c r="G612" s="11" t="s">
        <v>28</v>
      </c>
      <c r="H612" s="11" t="s">
        <v>1685</v>
      </c>
      <c r="I612" s="11" t="s">
        <v>1686</v>
      </c>
      <c r="J612" s="12">
        <v>1</v>
      </c>
      <c r="K612" s="13">
        <v>1</v>
      </c>
      <c r="L612" s="14">
        <v>339</v>
      </c>
      <c r="M612" s="10">
        <v>303</v>
      </c>
      <c r="N612" s="10">
        <v>37460</v>
      </c>
      <c r="O612" s="10">
        <v>23761</v>
      </c>
      <c r="P612" s="10">
        <v>61221</v>
      </c>
    </row>
    <row r="613" spans="1:16" ht="27" customHeight="1" x14ac:dyDescent="0.2">
      <c r="A613" s="9" t="s">
        <v>1682</v>
      </c>
      <c r="B613" s="10" t="s">
        <v>2023</v>
      </c>
      <c r="C613" s="11" t="s">
        <v>2233</v>
      </c>
      <c r="D613" s="11" t="s">
        <v>2234</v>
      </c>
      <c r="E613" s="11" t="s">
        <v>26</v>
      </c>
      <c r="F613" s="11" t="s">
        <v>2235</v>
      </c>
      <c r="G613" s="11" t="s">
        <v>28</v>
      </c>
      <c r="H613" s="11" t="s">
        <v>1685</v>
      </c>
      <c r="I613" s="11" t="s">
        <v>1686</v>
      </c>
      <c r="J613" s="12">
        <v>1</v>
      </c>
      <c r="K613" s="13">
        <v>1</v>
      </c>
      <c r="L613" s="14">
        <v>329</v>
      </c>
      <c r="M613" s="10">
        <v>291</v>
      </c>
      <c r="N613" s="10">
        <v>36355</v>
      </c>
      <c r="O613" s="10">
        <v>22820</v>
      </c>
      <c r="P613" s="10">
        <v>59175</v>
      </c>
    </row>
    <row r="614" spans="1:16" ht="27" customHeight="1" x14ac:dyDescent="0.2">
      <c r="A614" s="9" t="s">
        <v>1682</v>
      </c>
      <c r="B614" s="10" t="s">
        <v>2023</v>
      </c>
      <c r="C614" s="11" t="s">
        <v>2236</v>
      </c>
      <c r="D614" s="11" t="s">
        <v>2237</v>
      </c>
      <c r="E614" s="11" t="s">
        <v>26</v>
      </c>
      <c r="F614" s="11" t="s">
        <v>2238</v>
      </c>
      <c r="G614" s="11" t="s">
        <v>28</v>
      </c>
      <c r="H614" s="11" t="s">
        <v>2238</v>
      </c>
      <c r="I614" s="11" t="s">
        <v>2239</v>
      </c>
      <c r="J614" s="12">
        <v>0.96079999999999999</v>
      </c>
      <c r="K614" s="13">
        <v>1</v>
      </c>
      <c r="L614" s="14">
        <v>102</v>
      </c>
      <c r="M614" s="10">
        <v>98</v>
      </c>
      <c r="N614" s="10">
        <v>11271</v>
      </c>
      <c r="O614" s="10">
        <v>7685</v>
      </c>
      <c r="P614" s="10">
        <v>18956</v>
      </c>
    </row>
    <row r="615" spans="1:16" ht="27" customHeight="1" x14ac:dyDescent="0.2">
      <c r="A615" s="9" t="s">
        <v>1682</v>
      </c>
      <c r="B615" s="10" t="s">
        <v>2023</v>
      </c>
      <c r="C615" s="11" t="s">
        <v>2240</v>
      </c>
      <c r="D615" s="11" t="s">
        <v>2241</v>
      </c>
      <c r="E615" s="11" t="s">
        <v>26</v>
      </c>
      <c r="F615" s="11" t="s">
        <v>2242</v>
      </c>
      <c r="G615" s="11" t="s">
        <v>28</v>
      </c>
      <c r="H615" s="11" t="s">
        <v>1685</v>
      </c>
      <c r="I615" s="11" t="s">
        <v>1686</v>
      </c>
      <c r="J615" s="12">
        <v>1</v>
      </c>
      <c r="K615" s="13">
        <v>1</v>
      </c>
      <c r="L615" s="14">
        <v>91</v>
      </c>
      <c r="M615" s="10">
        <v>85</v>
      </c>
      <c r="N615" s="10">
        <v>10056</v>
      </c>
      <c r="O615" s="10">
        <v>6666</v>
      </c>
      <c r="P615" s="10">
        <v>16722</v>
      </c>
    </row>
    <row r="616" spans="1:16" ht="27" customHeight="1" x14ac:dyDescent="0.2">
      <c r="A616" s="9" t="s">
        <v>1682</v>
      </c>
      <c r="B616" s="10" t="s">
        <v>2023</v>
      </c>
      <c r="C616" s="11" t="s">
        <v>2243</v>
      </c>
      <c r="D616" s="11" t="s">
        <v>2244</v>
      </c>
      <c r="E616" s="11" t="s">
        <v>26</v>
      </c>
      <c r="F616" s="11" t="s">
        <v>2245</v>
      </c>
      <c r="G616" s="11" t="s">
        <v>28</v>
      </c>
      <c r="H616" s="11" t="s">
        <v>2245</v>
      </c>
      <c r="I616" s="11" t="s">
        <v>2246</v>
      </c>
      <c r="J616" s="12">
        <v>0.80989999999999995</v>
      </c>
      <c r="K616" s="13">
        <v>1</v>
      </c>
      <c r="L616" s="14">
        <v>263</v>
      </c>
      <c r="M616" s="10">
        <v>213</v>
      </c>
      <c r="N616" s="10">
        <v>29062</v>
      </c>
      <c r="O616" s="10">
        <v>16703</v>
      </c>
      <c r="P616" s="10">
        <v>45765</v>
      </c>
    </row>
    <row r="617" spans="1:16" ht="27" customHeight="1" x14ac:dyDescent="0.2">
      <c r="A617" s="9" t="s">
        <v>1682</v>
      </c>
      <c r="B617" s="10" t="s">
        <v>2023</v>
      </c>
      <c r="C617" s="11" t="s">
        <v>2247</v>
      </c>
      <c r="D617" s="11" t="s">
        <v>2248</v>
      </c>
      <c r="E617" s="11" t="s">
        <v>26</v>
      </c>
      <c r="F617" s="11" t="s">
        <v>2249</v>
      </c>
      <c r="G617" s="11" t="s">
        <v>28</v>
      </c>
      <c r="H617" s="11" t="s">
        <v>1685</v>
      </c>
      <c r="I617" s="11" t="s">
        <v>1686</v>
      </c>
      <c r="J617" s="12">
        <v>1</v>
      </c>
      <c r="K617" s="13">
        <v>1</v>
      </c>
      <c r="L617" s="14">
        <v>298</v>
      </c>
      <c r="M617" s="10">
        <v>264</v>
      </c>
      <c r="N617" s="10">
        <v>32929</v>
      </c>
      <c r="O617" s="10">
        <v>20703</v>
      </c>
      <c r="P617" s="10">
        <v>53632</v>
      </c>
    </row>
    <row r="618" spans="1:16" ht="27" customHeight="1" x14ac:dyDescent="0.2">
      <c r="A618" s="9" t="s">
        <v>1682</v>
      </c>
      <c r="B618" s="10" t="s">
        <v>2023</v>
      </c>
      <c r="C618" s="11" t="s">
        <v>2250</v>
      </c>
      <c r="D618" s="11" t="s">
        <v>2251</v>
      </c>
      <c r="E618" s="11" t="s">
        <v>26</v>
      </c>
      <c r="F618" s="11" t="s">
        <v>2252</v>
      </c>
      <c r="G618" s="11" t="s">
        <v>28</v>
      </c>
      <c r="H618" s="11" t="s">
        <v>1685</v>
      </c>
      <c r="I618" s="11" t="s">
        <v>1686</v>
      </c>
      <c r="J618" s="12">
        <v>1</v>
      </c>
      <c r="K618" s="13">
        <v>1</v>
      </c>
      <c r="L618" s="14">
        <v>447</v>
      </c>
      <c r="M618" s="10">
        <v>445</v>
      </c>
      <c r="N618" s="10">
        <v>49394</v>
      </c>
      <c r="O618" s="10">
        <v>34896</v>
      </c>
      <c r="P618" s="10">
        <v>84290</v>
      </c>
    </row>
    <row r="619" spans="1:16" ht="27" customHeight="1" x14ac:dyDescent="0.2">
      <c r="A619" s="9" t="s">
        <v>1682</v>
      </c>
      <c r="B619" s="10" t="s">
        <v>2023</v>
      </c>
      <c r="C619" s="11" t="s">
        <v>2253</v>
      </c>
      <c r="D619" s="11" t="s">
        <v>2254</v>
      </c>
      <c r="E619" s="11" t="s">
        <v>26</v>
      </c>
      <c r="F619" s="11" t="s">
        <v>2255</v>
      </c>
      <c r="G619" s="11" t="s">
        <v>28</v>
      </c>
      <c r="H619" s="11" t="s">
        <v>2255</v>
      </c>
      <c r="I619" s="11" t="s">
        <v>2256</v>
      </c>
      <c r="J619" s="12">
        <v>0.79139999999999999</v>
      </c>
      <c r="K619" s="13">
        <v>1</v>
      </c>
      <c r="L619" s="14">
        <v>561</v>
      </c>
      <c r="M619" s="10">
        <v>444</v>
      </c>
      <c r="N619" s="10">
        <v>61991</v>
      </c>
      <c r="O619" s="10">
        <v>34818</v>
      </c>
      <c r="P619" s="10">
        <v>96809</v>
      </c>
    </row>
    <row r="620" spans="1:16" ht="27" customHeight="1" x14ac:dyDescent="0.2">
      <c r="A620" s="9" t="s">
        <v>1682</v>
      </c>
      <c r="B620" s="10" t="s">
        <v>2023</v>
      </c>
      <c r="C620" s="11" t="s">
        <v>2257</v>
      </c>
      <c r="D620" s="11" t="s">
        <v>2258</v>
      </c>
      <c r="E620" s="11" t="s">
        <v>26</v>
      </c>
      <c r="F620" s="11" t="s">
        <v>2259</v>
      </c>
      <c r="G620" s="11" t="s">
        <v>28</v>
      </c>
      <c r="H620" s="11" t="s">
        <v>1685</v>
      </c>
      <c r="I620" s="11" t="s">
        <v>1686</v>
      </c>
      <c r="J620" s="12">
        <v>1</v>
      </c>
      <c r="K620" s="13">
        <v>1</v>
      </c>
      <c r="L620" s="14">
        <v>151</v>
      </c>
      <c r="M620" s="10">
        <v>126</v>
      </c>
      <c r="N620" s="10">
        <v>16686</v>
      </c>
      <c r="O620" s="10">
        <v>9881</v>
      </c>
      <c r="P620" s="10">
        <v>26567</v>
      </c>
    </row>
    <row r="621" spans="1:16" ht="27" customHeight="1" x14ac:dyDescent="0.2">
      <c r="A621" s="9" t="s">
        <v>1682</v>
      </c>
      <c r="B621" s="10" t="s">
        <v>2023</v>
      </c>
      <c r="C621" s="11" t="s">
        <v>2260</v>
      </c>
      <c r="D621" s="11" t="s">
        <v>2261</v>
      </c>
      <c r="E621" s="11" t="s">
        <v>26</v>
      </c>
      <c r="F621" s="11" t="s">
        <v>2262</v>
      </c>
      <c r="G621" s="11" t="s">
        <v>28</v>
      </c>
      <c r="H621" s="11" t="s">
        <v>2262</v>
      </c>
      <c r="I621" s="11" t="s">
        <v>2263</v>
      </c>
      <c r="J621" s="12">
        <v>0.97609999999999997</v>
      </c>
      <c r="K621" s="13">
        <v>1</v>
      </c>
      <c r="L621" s="14">
        <v>293</v>
      </c>
      <c r="M621" s="10">
        <v>286</v>
      </c>
      <c r="N621" s="10">
        <v>32377</v>
      </c>
      <c r="O621" s="10">
        <v>22428</v>
      </c>
      <c r="P621" s="10">
        <v>54805</v>
      </c>
    </row>
    <row r="622" spans="1:16" ht="27" customHeight="1" x14ac:dyDescent="0.2">
      <c r="A622" s="9" t="s">
        <v>1682</v>
      </c>
      <c r="B622" s="10" t="s">
        <v>2023</v>
      </c>
      <c r="C622" s="11" t="s">
        <v>2264</v>
      </c>
      <c r="D622" s="11" t="s">
        <v>2265</v>
      </c>
      <c r="E622" s="11" t="s">
        <v>26</v>
      </c>
      <c r="F622" s="11" t="s">
        <v>2266</v>
      </c>
      <c r="G622" s="11" t="s">
        <v>28</v>
      </c>
      <c r="H622" s="11" t="s">
        <v>2266</v>
      </c>
      <c r="I622" s="11" t="s">
        <v>2267</v>
      </c>
      <c r="J622" s="12">
        <v>0.97989999999999999</v>
      </c>
      <c r="K622" s="13">
        <v>1</v>
      </c>
      <c r="L622" s="14">
        <v>249</v>
      </c>
      <c r="M622" s="10">
        <v>244</v>
      </c>
      <c r="N622" s="10">
        <v>27515</v>
      </c>
      <c r="O622" s="10">
        <v>19134</v>
      </c>
      <c r="P622" s="10">
        <v>46649</v>
      </c>
    </row>
    <row r="623" spans="1:16" ht="27" customHeight="1" x14ac:dyDescent="0.2">
      <c r="A623" s="9" t="s">
        <v>1682</v>
      </c>
      <c r="B623" s="10" t="s">
        <v>2023</v>
      </c>
      <c r="C623" s="11" t="s">
        <v>2268</v>
      </c>
      <c r="D623" s="11" t="s">
        <v>2269</v>
      </c>
      <c r="E623" s="11" t="s">
        <v>26</v>
      </c>
      <c r="F623" s="11" t="s">
        <v>2270</v>
      </c>
      <c r="G623" s="11" t="s">
        <v>28</v>
      </c>
      <c r="H623" s="11" t="s">
        <v>2270</v>
      </c>
      <c r="I623" s="11" t="s">
        <v>2271</v>
      </c>
      <c r="J623" s="12">
        <v>0.22650000000000001</v>
      </c>
      <c r="K623" s="13">
        <v>1</v>
      </c>
      <c r="L623" s="14">
        <v>393</v>
      </c>
      <c r="M623" s="10">
        <v>89</v>
      </c>
      <c r="N623" s="10">
        <v>43427</v>
      </c>
      <c r="O623" s="10">
        <v>6979</v>
      </c>
      <c r="P623" s="10">
        <v>50406</v>
      </c>
    </row>
    <row r="624" spans="1:16" ht="27" customHeight="1" x14ac:dyDescent="0.2">
      <c r="A624" s="9" t="s">
        <v>1682</v>
      </c>
      <c r="B624" s="10" t="s">
        <v>2023</v>
      </c>
      <c r="C624" s="11" t="s">
        <v>2272</v>
      </c>
      <c r="D624" s="11" t="s">
        <v>2273</v>
      </c>
      <c r="E624" s="11" t="s">
        <v>26</v>
      </c>
      <c r="F624" s="11" t="s">
        <v>2274</v>
      </c>
      <c r="G624" s="11" t="s">
        <v>28</v>
      </c>
      <c r="H624" s="11" t="s">
        <v>1685</v>
      </c>
      <c r="I624" s="11" t="s">
        <v>1686</v>
      </c>
      <c r="J624" s="12">
        <v>1</v>
      </c>
      <c r="K624" s="13">
        <v>1</v>
      </c>
      <c r="L624" s="14">
        <v>1256</v>
      </c>
      <c r="M624" s="10">
        <v>1172</v>
      </c>
      <c r="N624" s="10">
        <v>138790</v>
      </c>
      <c r="O624" s="10">
        <v>91907</v>
      </c>
      <c r="P624" s="10">
        <v>230697</v>
      </c>
    </row>
    <row r="625" spans="1:16" ht="27" customHeight="1" x14ac:dyDescent="0.2">
      <c r="A625" s="9" t="s">
        <v>1682</v>
      </c>
      <c r="B625" s="10" t="s">
        <v>2023</v>
      </c>
      <c r="C625" s="11" t="s">
        <v>2275</v>
      </c>
      <c r="D625" s="11" t="s">
        <v>2276</v>
      </c>
      <c r="E625" s="11" t="s">
        <v>26</v>
      </c>
      <c r="F625" s="11" t="s">
        <v>2277</v>
      </c>
      <c r="G625" s="11" t="s">
        <v>28</v>
      </c>
      <c r="H625" s="11" t="s">
        <v>2277</v>
      </c>
      <c r="I625" s="11" t="s">
        <v>2278</v>
      </c>
      <c r="J625" s="12">
        <v>0.91610000000000003</v>
      </c>
      <c r="K625" s="13">
        <v>1</v>
      </c>
      <c r="L625" s="14">
        <v>453</v>
      </c>
      <c r="M625" s="10">
        <v>415</v>
      </c>
      <c r="N625" s="10">
        <v>50057</v>
      </c>
      <c r="O625" s="10">
        <v>32544</v>
      </c>
      <c r="P625" s="10">
        <v>82601</v>
      </c>
    </row>
    <row r="626" spans="1:16" ht="27" customHeight="1" x14ac:dyDescent="0.2">
      <c r="A626" s="9" t="s">
        <v>1682</v>
      </c>
      <c r="B626" s="10" t="s">
        <v>2023</v>
      </c>
      <c r="C626" s="11" t="s">
        <v>2279</v>
      </c>
      <c r="D626" s="11" t="s">
        <v>2280</v>
      </c>
      <c r="E626" s="11" t="s">
        <v>26</v>
      </c>
      <c r="F626" s="11" t="s">
        <v>2281</v>
      </c>
      <c r="G626" s="11" t="s">
        <v>28</v>
      </c>
      <c r="H626" s="11" t="s">
        <v>2281</v>
      </c>
      <c r="I626" s="11" t="s">
        <v>2282</v>
      </c>
      <c r="J626" s="12">
        <v>0.96020000000000005</v>
      </c>
      <c r="K626" s="13">
        <v>1</v>
      </c>
      <c r="L626" s="14">
        <v>528</v>
      </c>
      <c r="M626" s="10">
        <v>507</v>
      </c>
      <c r="N626" s="10">
        <v>58345</v>
      </c>
      <c r="O626" s="10">
        <v>39758</v>
      </c>
      <c r="P626" s="10">
        <v>98103</v>
      </c>
    </row>
    <row r="627" spans="1:16" ht="27" customHeight="1" x14ac:dyDescent="0.2">
      <c r="A627" s="9" t="s">
        <v>1682</v>
      </c>
      <c r="B627" s="10" t="s">
        <v>2023</v>
      </c>
      <c r="C627" s="11" t="s">
        <v>2283</v>
      </c>
      <c r="D627" s="11" t="s">
        <v>2284</v>
      </c>
      <c r="E627" s="11" t="s">
        <v>26</v>
      </c>
      <c r="F627" s="11" t="s">
        <v>2285</v>
      </c>
      <c r="G627" s="11" t="s">
        <v>28</v>
      </c>
      <c r="H627" s="11" t="s">
        <v>1685</v>
      </c>
      <c r="I627" s="11" t="s">
        <v>1686</v>
      </c>
      <c r="J627" s="12">
        <v>1</v>
      </c>
      <c r="K627" s="13">
        <v>1</v>
      </c>
      <c r="L627" s="14">
        <v>510</v>
      </c>
      <c r="M627" s="10">
        <v>487</v>
      </c>
      <c r="N627" s="10">
        <v>56356</v>
      </c>
      <c r="O627" s="10">
        <v>38190</v>
      </c>
      <c r="P627" s="10">
        <v>94546</v>
      </c>
    </row>
    <row r="628" spans="1:16" ht="27" customHeight="1" x14ac:dyDescent="0.2">
      <c r="A628" s="9" t="s">
        <v>1682</v>
      </c>
      <c r="B628" s="10" t="s">
        <v>2023</v>
      </c>
      <c r="C628" s="11" t="s">
        <v>2286</v>
      </c>
      <c r="D628" s="11" t="s">
        <v>2287</v>
      </c>
      <c r="E628" s="11" t="s">
        <v>26</v>
      </c>
      <c r="F628" s="11" t="s">
        <v>2288</v>
      </c>
      <c r="G628" s="11" t="s">
        <v>28</v>
      </c>
      <c r="H628" s="11" t="s">
        <v>1685</v>
      </c>
      <c r="I628" s="11" t="s">
        <v>1686</v>
      </c>
      <c r="J628" s="12">
        <v>1</v>
      </c>
      <c r="K628" s="13">
        <v>1</v>
      </c>
      <c r="L628" s="14">
        <v>460</v>
      </c>
      <c r="M628" s="10">
        <v>455</v>
      </c>
      <c r="N628" s="10">
        <v>50831</v>
      </c>
      <c r="O628" s="10">
        <v>35681</v>
      </c>
      <c r="P628" s="10">
        <v>86512</v>
      </c>
    </row>
    <row r="629" spans="1:16" ht="27" customHeight="1" x14ac:dyDescent="0.2">
      <c r="A629" s="9" t="s">
        <v>1682</v>
      </c>
      <c r="B629" s="10" t="s">
        <v>2023</v>
      </c>
      <c r="C629" s="11" t="s">
        <v>2289</v>
      </c>
      <c r="D629" s="11" t="s">
        <v>2290</v>
      </c>
      <c r="E629" s="11" t="s">
        <v>26</v>
      </c>
      <c r="F629" s="11" t="s">
        <v>2291</v>
      </c>
      <c r="G629" s="11" t="s">
        <v>28</v>
      </c>
      <c r="H629" s="11" t="s">
        <v>2291</v>
      </c>
      <c r="I629" s="11" t="s">
        <v>2292</v>
      </c>
      <c r="J629" s="12">
        <v>0.63529999999999998</v>
      </c>
      <c r="K629" s="13">
        <v>1</v>
      </c>
      <c r="L629" s="14">
        <v>255</v>
      </c>
      <c r="M629" s="10">
        <v>162</v>
      </c>
      <c r="N629" s="10">
        <v>28178</v>
      </c>
      <c r="O629" s="10">
        <v>12704</v>
      </c>
      <c r="P629" s="10">
        <v>40882</v>
      </c>
    </row>
    <row r="630" spans="1:16" ht="27" customHeight="1" x14ac:dyDescent="0.2">
      <c r="A630" s="9" t="s">
        <v>1682</v>
      </c>
      <c r="B630" s="10" t="s">
        <v>2023</v>
      </c>
      <c r="C630" s="11" t="s">
        <v>2293</v>
      </c>
      <c r="D630" s="11" t="s">
        <v>2294</v>
      </c>
      <c r="E630" s="11" t="s">
        <v>26</v>
      </c>
      <c r="F630" s="11" t="s">
        <v>2295</v>
      </c>
      <c r="G630" s="11" t="s">
        <v>28</v>
      </c>
      <c r="H630" s="11" t="s">
        <v>2295</v>
      </c>
      <c r="I630" s="11" t="s">
        <v>2296</v>
      </c>
      <c r="J630" s="12">
        <v>0.92720000000000002</v>
      </c>
      <c r="K630" s="13">
        <v>1</v>
      </c>
      <c r="L630" s="14">
        <v>453</v>
      </c>
      <c r="M630" s="10">
        <v>420</v>
      </c>
      <c r="N630" s="10">
        <v>50057</v>
      </c>
      <c r="O630" s="10">
        <v>32936</v>
      </c>
      <c r="P630" s="10">
        <v>82993</v>
      </c>
    </row>
    <row r="631" spans="1:16" ht="27" customHeight="1" x14ac:dyDescent="0.2">
      <c r="A631" s="9" t="s">
        <v>1682</v>
      </c>
      <c r="B631" s="10" t="s">
        <v>2023</v>
      </c>
      <c r="C631" s="11" t="s">
        <v>2297</v>
      </c>
      <c r="D631" s="11" t="s">
        <v>2298</v>
      </c>
      <c r="E631" s="11" t="s">
        <v>26</v>
      </c>
      <c r="F631" s="11" t="s">
        <v>2299</v>
      </c>
      <c r="G631" s="11" t="s">
        <v>28</v>
      </c>
      <c r="H631" s="11" t="s">
        <v>2299</v>
      </c>
      <c r="I631" s="11" t="s">
        <v>2300</v>
      </c>
      <c r="J631" s="12">
        <v>0.71430000000000005</v>
      </c>
      <c r="K631" s="13">
        <v>1</v>
      </c>
      <c r="L631" s="14">
        <v>315</v>
      </c>
      <c r="M631" s="10">
        <v>225</v>
      </c>
      <c r="N631" s="10">
        <v>34808</v>
      </c>
      <c r="O631" s="10">
        <v>17644</v>
      </c>
      <c r="P631" s="10">
        <v>52452</v>
      </c>
    </row>
    <row r="632" spans="1:16" ht="27" customHeight="1" x14ac:dyDescent="0.2">
      <c r="A632" s="9" t="s">
        <v>1682</v>
      </c>
      <c r="B632" s="10" t="s">
        <v>2023</v>
      </c>
      <c r="C632" s="11" t="s">
        <v>2301</v>
      </c>
      <c r="D632" s="11" t="s">
        <v>2302</v>
      </c>
      <c r="E632" s="11" t="s">
        <v>26</v>
      </c>
      <c r="F632" s="11" t="s">
        <v>2303</v>
      </c>
      <c r="G632" s="11" t="s">
        <v>28</v>
      </c>
      <c r="H632" s="11" t="s">
        <v>1685</v>
      </c>
      <c r="I632" s="11" t="s">
        <v>1686</v>
      </c>
      <c r="J632" s="12">
        <v>1</v>
      </c>
      <c r="K632" s="13">
        <v>1</v>
      </c>
      <c r="L632" s="14">
        <v>399</v>
      </c>
      <c r="M632" s="10">
        <v>392</v>
      </c>
      <c r="N632" s="10">
        <v>44090</v>
      </c>
      <c r="O632" s="10">
        <v>30740</v>
      </c>
      <c r="P632" s="10">
        <v>74830</v>
      </c>
    </row>
    <row r="633" spans="1:16" ht="27" customHeight="1" x14ac:dyDescent="0.2">
      <c r="A633" s="9" t="s">
        <v>1682</v>
      </c>
      <c r="B633" s="10" t="s">
        <v>2023</v>
      </c>
      <c r="C633" s="11" t="s">
        <v>2304</v>
      </c>
      <c r="D633" s="11" t="s">
        <v>2305</v>
      </c>
      <c r="E633" s="11" t="s">
        <v>26</v>
      </c>
      <c r="F633" s="11" t="s">
        <v>2306</v>
      </c>
      <c r="G633" s="11" t="s">
        <v>28</v>
      </c>
      <c r="H633" s="11" t="s">
        <v>2306</v>
      </c>
      <c r="I633" s="11" t="s">
        <v>2307</v>
      </c>
      <c r="J633" s="12">
        <v>0.76619999999999999</v>
      </c>
      <c r="K633" s="13">
        <v>1</v>
      </c>
      <c r="L633" s="14">
        <v>325</v>
      </c>
      <c r="M633" s="10">
        <v>249</v>
      </c>
      <c r="N633" s="10">
        <v>35913</v>
      </c>
      <c r="O633" s="10">
        <v>19526</v>
      </c>
      <c r="P633" s="10">
        <v>55439</v>
      </c>
    </row>
    <row r="634" spans="1:16" ht="27" customHeight="1" x14ac:dyDescent="0.2">
      <c r="A634" s="9" t="s">
        <v>1682</v>
      </c>
      <c r="B634" s="10" t="s">
        <v>2023</v>
      </c>
      <c r="C634" s="11" t="s">
        <v>2308</v>
      </c>
      <c r="D634" s="11" t="s">
        <v>2309</v>
      </c>
      <c r="E634" s="11" t="s">
        <v>26</v>
      </c>
      <c r="F634" s="11" t="s">
        <v>2310</v>
      </c>
      <c r="G634" s="11" t="s">
        <v>28</v>
      </c>
      <c r="H634" s="11" t="s">
        <v>2310</v>
      </c>
      <c r="I634" s="11" t="s">
        <v>2311</v>
      </c>
      <c r="J634" s="12">
        <v>0.87829999999999997</v>
      </c>
      <c r="K634" s="13">
        <v>1</v>
      </c>
      <c r="L634" s="14">
        <v>304</v>
      </c>
      <c r="M634" s="10">
        <v>267</v>
      </c>
      <c r="N634" s="10">
        <v>33593</v>
      </c>
      <c r="O634" s="10">
        <v>20938</v>
      </c>
      <c r="P634" s="10">
        <v>54531</v>
      </c>
    </row>
    <row r="635" spans="1:16" ht="27" customHeight="1" x14ac:dyDescent="0.2">
      <c r="A635" s="9" t="s">
        <v>1682</v>
      </c>
      <c r="B635" s="10" t="s">
        <v>2023</v>
      </c>
      <c r="C635" s="11" t="s">
        <v>2312</v>
      </c>
      <c r="D635" s="11" t="s">
        <v>2313</v>
      </c>
      <c r="E635" s="11" t="s">
        <v>26</v>
      </c>
      <c r="F635" s="11" t="s">
        <v>2314</v>
      </c>
      <c r="G635" s="11" t="s">
        <v>28</v>
      </c>
      <c r="H635" s="11" t="s">
        <v>1685</v>
      </c>
      <c r="I635" s="11" t="s">
        <v>1686</v>
      </c>
      <c r="J635" s="12">
        <v>1</v>
      </c>
      <c r="K635" s="13">
        <v>1</v>
      </c>
      <c r="L635" s="14">
        <v>507</v>
      </c>
      <c r="M635" s="10">
        <v>491</v>
      </c>
      <c r="N635" s="10">
        <v>56024</v>
      </c>
      <c r="O635" s="10">
        <v>38504</v>
      </c>
      <c r="P635" s="10">
        <v>94528</v>
      </c>
    </row>
    <row r="636" spans="1:16" ht="27" customHeight="1" x14ac:dyDescent="0.2">
      <c r="A636" s="9" t="s">
        <v>1682</v>
      </c>
      <c r="B636" s="10" t="s">
        <v>2023</v>
      </c>
      <c r="C636" s="11" t="s">
        <v>2315</v>
      </c>
      <c r="D636" s="11" t="s">
        <v>2316</v>
      </c>
      <c r="E636" s="11" t="s">
        <v>26</v>
      </c>
      <c r="F636" s="11" t="s">
        <v>2317</v>
      </c>
      <c r="G636" s="11" t="s">
        <v>28</v>
      </c>
      <c r="H636" s="11" t="s">
        <v>1685</v>
      </c>
      <c r="I636" s="11" t="s">
        <v>1686</v>
      </c>
      <c r="J636" s="12">
        <v>1</v>
      </c>
      <c r="K636" s="13">
        <v>1</v>
      </c>
      <c r="L636" s="14">
        <v>205</v>
      </c>
      <c r="M636" s="10">
        <v>200</v>
      </c>
      <c r="N636" s="10">
        <v>22653</v>
      </c>
      <c r="O636" s="10">
        <v>15684</v>
      </c>
      <c r="P636" s="10">
        <v>38337</v>
      </c>
    </row>
    <row r="637" spans="1:16" ht="27" customHeight="1" x14ac:dyDescent="0.2">
      <c r="A637" s="9" t="s">
        <v>1682</v>
      </c>
      <c r="B637" s="10" t="s">
        <v>2023</v>
      </c>
      <c r="C637" s="11" t="s">
        <v>2318</v>
      </c>
      <c r="D637" s="11" t="s">
        <v>2319</v>
      </c>
      <c r="E637" s="11" t="s">
        <v>26</v>
      </c>
      <c r="F637" s="11" t="s">
        <v>2320</v>
      </c>
      <c r="G637" s="11" t="s">
        <v>28</v>
      </c>
      <c r="H637" s="11" t="s">
        <v>2320</v>
      </c>
      <c r="I637" s="11" t="s">
        <v>2321</v>
      </c>
      <c r="J637" s="12">
        <v>0.97699999999999998</v>
      </c>
      <c r="K637" s="13">
        <v>1</v>
      </c>
      <c r="L637" s="14">
        <v>564</v>
      </c>
      <c r="M637" s="10">
        <v>551</v>
      </c>
      <c r="N637" s="10">
        <v>62323</v>
      </c>
      <c r="O637" s="10">
        <v>43209</v>
      </c>
      <c r="P637" s="10">
        <v>105532</v>
      </c>
    </row>
    <row r="638" spans="1:16" ht="27" customHeight="1" x14ac:dyDescent="0.2">
      <c r="A638" s="9" t="s">
        <v>1682</v>
      </c>
      <c r="B638" s="10" t="s">
        <v>2023</v>
      </c>
      <c r="C638" s="11" t="s">
        <v>2322</v>
      </c>
      <c r="D638" s="11" t="s">
        <v>2323</v>
      </c>
      <c r="E638" s="11" t="s">
        <v>26</v>
      </c>
      <c r="F638" s="11" t="s">
        <v>2324</v>
      </c>
      <c r="G638" s="11" t="s">
        <v>28</v>
      </c>
      <c r="H638" s="11" t="s">
        <v>2324</v>
      </c>
      <c r="I638" s="11" t="s">
        <v>2325</v>
      </c>
      <c r="J638" s="12">
        <v>0.91920000000000002</v>
      </c>
      <c r="K638" s="13">
        <v>1</v>
      </c>
      <c r="L638" s="14">
        <v>1077</v>
      </c>
      <c r="M638" s="10">
        <v>990</v>
      </c>
      <c r="N638" s="10">
        <v>119010</v>
      </c>
      <c r="O638" s="10">
        <v>77635</v>
      </c>
      <c r="P638" s="10">
        <v>196645</v>
      </c>
    </row>
    <row r="639" spans="1:16" ht="27" customHeight="1" x14ac:dyDescent="0.2">
      <c r="A639" s="9" t="s">
        <v>1682</v>
      </c>
      <c r="B639" s="10" t="s">
        <v>2023</v>
      </c>
      <c r="C639" s="11" t="s">
        <v>2326</v>
      </c>
      <c r="D639" s="11" t="s">
        <v>2327</v>
      </c>
      <c r="E639" s="11" t="s">
        <v>26</v>
      </c>
      <c r="F639" s="11" t="s">
        <v>2328</v>
      </c>
      <c r="G639" s="11" t="s">
        <v>28</v>
      </c>
      <c r="H639" s="11" t="s">
        <v>1685</v>
      </c>
      <c r="I639" s="11" t="s">
        <v>1686</v>
      </c>
      <c r="J639" s="12">
        <v>1</v>
      </c>
      <c r="K639" s="13">
        <v>1</v>
      </c>
      <c r="L639" s="14">
        <v>431</v>
      </c>
      <c r="M639" s="10">
        <v>409</v>
      </c>
      <c r="N639" s="10">
        <v>47626</v>
      </c>
      <c r="O639" s="10">
        <v>32073</v>
      </c>
      <c r="P639" s="10">
        <v>79699</v>
      </c>
    </row>
    <row r="640" spans="1:16" ht="27" customHeight="1" x14ac:dyDescent="0.2">
      <c r="A640" s="9" t="s">
        <v>1682</v>
      </c>
      <c r="B640" s="10" t="s">
        <v>2023</v>
      </c>
      <c r="C640" s="11" t="s">
        <v>2329</v>
      </c>
      <c r="D640" s="11" t="s">
        <v>2330</v>
      </c>
      <c r="E640" s="11" t="s">
        <v>26</v>
      </c>
      <c r="F640" s="11" t="s">
        <v>2331</v>
      </c>
      <c r="G640" s="11" t="s">
        <v>28</v>
      </c>
      <c r="H640" s="11" t="s">
        <v>1685</v>
      </c>
      <c r="I640" s="11" t="s">
        <v>1686</v>
      </c>
      <c r="J640" s="12">
        <v>1</v>
      </c>
      <c r="K640" s="13">
        <v>1</v>
      </c>
      <c r="L640" s="14">
        <v>403</v>
      </c>
      <c r="M640" s="10">
        <v>395</v>
      </c>
      <c r="N640" s="10">
        <v>44532</v>
      </c>
      <c r="O640" s="10">
        <v>30975</v>
      </c>
      <c r="P640" s="10">
        <v>75507</v>
      </c>
    </row>
    <row r="641" spans="1:16" ht="27" customHeight="1" x14ac:dyDescent="0.2">
      <c r="A641" s="9" t="s">
        <v>1682</v>
      </c>
      <c r="B641" s="10" t="s">
        <v>2023</v>
      </c>
      <c r="C641" s="11" t="s">
        <v>2332</v>
      </c>
      <c r="D641" s="11" t="s">
        <v>2333</v>
      </c>
      <c r="E641" s="11" t="s">
        <v>26</v>
      </c>
      <c r="F641" s="11" t="s">
        <v>2334</v>
      </c>
      <c r="G641" s="11" t="s">
        <v>28</v>
      </c>
      <c r="H641" s="11" t="s">
        <v>1685</v>
      </c>
      <c r="I641" s="11" t="s">
        <v>1686</v>
      </c>
      <c r="J641" s="12">
        <v>1</v>
      </c>
      <c r="K641" s="13">
        <v>1</v>
      </c>
      <c r="L641" s="14">
        <v>491</v>
      </c>
      <c r="M641" s="10">
        <v>480</v>
      </c>
      <c r="N641" s="10">
        <v>54256</v>
      </c>
      <c r="O641" s="10">
        <v>37641</v>
      </c>
      <c r="P641" s="10">
        <v>91897</v>
      </c>
    </row>
    <row r="642" spans="1:16" ht="27" customHeight="1" x14ac:dyDescent="0.2">
      <c r="A642" s="9" t="s">
        <v>1682</v>
      </c>
      <c r="B642" s="10" t="s">
        <v>2023</v>
      </c>
      <c r="C642" s="11" t="s">
        <v>2335</v>
      </c>
      <c r="D642" s="11" t="s">
        <v>2336</v>
      </c>
      <c r="E642" s="11" t="s">
        <v>26</v>
      </c>
      <c r="F642" s="11" t="s">
        <v>2337</v>
      </c>
      <c r="G642" s="11" t="s">
        <v>28</v>
      </c>
      <c r="H642" s="11" t="s">
        <v>2337</v>
      </c>
      <c r="I642" s="11" t="s">
        <v>2338</v>
      </c>
      <c r="J642" s="12">
        <v>0.49070000000000003</v>
      </c>
      <c r="K642" s="13">
        <v>1</v>
      </c>
      <c r="L642" s="14">
        <v>428</v>
      </c>
      <c r="M642" s="10">
        <v>210</v>
      </c>
      <c r="N642" s="10">
        <v>47295</v>
      </c>
      <c r="O642" s="10">
        <v>16468</v>
      </c>
      <c r="P642" s="10">
        <v>63763</v>
      </c>
    </row>
    <row r="643" spans="1:16" ht="27" customHeight="1" x14ac:dyDescent="0.2">
      <c r="A643" s="9" t="s">
        <v>1682</v>
      </c>
      <c r="B643" s="10" t="s">
        <v>2023</v>
      </c>
      <c r="C643" s="11" t="s">
        <v>2339</v>
      </c>
      <c r="D643" s="11" t="s">
        <v>2340</v>
      </c>
      <c r="E643" s="11" t="s">
        <v>26</v>
      </c>
      <c r="F643" s="11" t="s">
        <v>2341</v>
      </c>
      <c r="G643" s="11" t="s">
        <v>28</v>
      </c>
      <c r="H643" s="11" t="s">
        <v>2341</v>
      </c>
      <c r="I643" s="11" t="s">
        <v>2342</v>
      </c>
      <c r="J643" s="12">
        <v>0.93610000000000004</v>
      </c>
      <c r="K643" s="13">
        <v>1</v>
      </c>
      <c r="L643" s="14">
        <v>736</v>
      </c>
      <c r="M643" s="10">
        <v>689</v>
      </c>
      <c r="N643" s="10">
        <v>81329</v>
      </c>
      <c r="O643" s="10">
        <v>54031</v>
      </c>
      <c r="P643" s="10">
        <v>135360</v>
      </c>
    </row>
    <row r="644" spans="1:16" ht="27" customHeight="1" x14ac:dyDescent="0.2">
      <c r="A644" s="9" t="s">
        <v>1682</v>
      </c>
      <c r="B644" s="10" t="s">
        <v>2023</v>
      </c>
      <c r="C644" s="11" t="s">
        <v>2343</v>
      </c>
      <c r="D644" s="11" t="s">
        <v>2344</v>
      </c>
      <c r="E644" s="11" t="s">
        <v>26</v>
      </c>
      <c r="F644" s="11" t="s">
        <v>2345</v>
      </c>
      <c r="G644" s="11" t="s">
        <v>28</v>
      </c>
      <c r="H644" s="11" t="s">
        <v>1685</v>
      </c>
      <c r="I644" s="11" t="s">
        <v>1686</v>
      </c>
      <c r="J644" s="12">
        <v>1</v>
      </c>
      <c r="K644" s="13">
        <v>1</v>
      </c>
      <c r="L644" s="14">
        <v>432</v>
      </c>
      <c r="M644" s="10">
        <v>398</v>
      </c>
      <c r="N644" s="10">
        <v>47737</v>
      </c>
      <c r="O644" s="10">
        <v>31211</v>
      </c>
      <c r="P644" s="10">
        <v>78948</v>
      </c>
    </row>
    <row r="645" spans="1:16" ht="27" customHeight="1" x14ac:dyDescent="0.2">
      <c r="A645" s="9" t="s">
        <v>1682</v>
      </c>
      <c r="B645" s="10" t="s">
        <v>2023</v>
      </c>
      <c r="C645" s="11" t="s">
        <v>2346</v>
      </c>
      <c r="D645" s="11" t="s">
        <v>2347</v>
      </c>
      <c r="E645" s="11" t="s">
        <v>26</v>
      </c>
      <c r="F645" s="11" t="s">
        <v>2348</v>
      </c>
      <c r="G645" s="11" t="s">
        <v>28</v>
      </c>
      <c r="H645" s="11" t="s">
        <v>2348</v>
      </c>
      <c r="I645" s="11" t="s">
        <v>2349</v>
      </c>
      <c r="J645" s="12">
        <v>0.7611</v>
      </c>
      <c r="K645" s="13">
        <v>1</v>
      </c>
      <c r="L645" s="14">
        <v>339</v>
      </c>
      <c r="M645" s="10">
        <v>258</v>
      </c>
      <c r="N645" s="10">
        <v>37460</v>
      </c>
      <c r="O645" s="10">
        <v>20232</v>
      </c>
      <c r="P645" s="10">
        <v>57692</v>
      </c>
    </row>
    <row r="646" spans="1:16" ht="27" customHeight="1" x14ac:dyDescent="0.2">
      <c r="A646" s="9" t="s">
        <v>1682</v>
      </c>
      <c r="B646" s="10" t="s">
        <v>2023</v>
      </c>
      <c r="C646" s="11" t="s">
        <v>2350</v>
      </c>
      <c r="D646" s="11" t="s">
        <v>2351</v>
      </c>
      <c r="E646" s="11" t="s">
        <v>26</v>
      </c>
      <c r="F646" s="11" t="s">
        <v>2352</v>
      </c>
      <c r="G646" s="11" t="s">
        <v>28</v>
      </c>
      <c r="H646" s="11" t="s">
        <v>2352</v>
      </c>
      <c r="I646" s="11" t="s">
        <v>2353</v>
      </c>
      <c r="J646" s="12">
        <v>0.82489999999999997</v>
      </c>
      <c r="K646" s="13">
        <v>1</v>
      </c>
      <c r="L646" s="14">
        <v>337</v>
      </c>
      <c r="M646" s="10">
        <v>278</v>
      </c>
      <c r="N646" s="10">
        <v>37239</v>
      </c>
      <c r="O646" s="10">
        <v>21800</v>
      </c>
      <c r="P646" s="10">
        <v>59039</v>
      </c>
    </row>
    <row r="647" spans="1:16" ht="27" customHeight="1" x14ac:dyDescent="0.2">
      <c r="A647" s="9" t="s">
        <v>1682</v>
      </c>
      <c r="B647" s="10" t="s">
        <v>2023</v>
      </c>
      <c r="C647" s="11" t="s">
        <v>2354</v>
      </c>
      <c r="D647" s="11" t="s">
        <v>2355</v>
      </c>
      <c r="E647" s="11" t="s">
        <v>26</v>
      </c>
      <c r="F647" s="11" t="s">
        <v>2356</v>
      </c>
      <c r="G647" s="11" t="s">
        <v>28</v>
      </c>
      <c r="H647" s="11" t="s">
        <v>2356</v>
      </c>
      <c r="I647" s="11" t="s">
        <v>2357</v>
      </c>
      <c r="J647" s="12">
        <v>0.86880000000000002</v>
      </c>
      <c r="K647" s="13">
        <v>1</v>
      </c>
      <c r="L647" s="14">
        <v>161</v>
      </c>
      <c r="M647" s="10">
        <v>140</v>
      </c>
      <c r="N647" s="10">
        <v>17791</v>
      </c>
      <c r="O647" s="10">
        <v>10979</v>
      </c>
      <c r="P647" s="10">
        <v>28770</v>
      </c>
    </row>
    <row r="648" spans="1:16" ht="27" customHeight="1" x14ac:dyDescent="0.2">
      <c r="A648" s="9" t="s">
        <v>1682</v>
      </c>
      <c r="B648" s="10" t="s">
        <v>2023</v>
      </c>
      <c r="C648" s="11" t="s">
        <v>2358</v>
      </c>
      <c r="D648" s="11" t="s">
        <v>2359</v>
      </c>
      <c r="E648" s="11" t="s">
        <v>26</v>
      </c>
      <c r="F648" s="11" t="s">
        <v>2360</v>
      </c>
      <c r="G648" s="11" t="s">
        <v>28</v>
      </c>
      <c r="H648" s="11" t="s">
        <v>2360</v>
      </c>
      <c r="I648" s="11" t="s">
        <v>2361</v>
      </c>
      <c r="J648" s="12">
        <v>0.77600000000000002</v>
      </c>
      <c r="K648" s="13">
        <v>1</v>
      </c>
      <c r="L648" s="14">
        <v>375</v>
      </c>
      <c r="M648" s="10">
        <v>291</v>
      </c>
      <c r="N648" s="10">
        <v>41438</v>
      </c>
      <c r="O648" s="10">
        <v>22820</v>
      </c>
      <c r="P648" s="10">
        <v>64258</v>
      </c>
    </row>
    <row r="649" spans="1:16" ht="27" customHeight="1" x14ac:dyDescent="0.2">
      <c r="A649" s="9" t="s">
        <v>1682</v>
      </c>
      <c r="B649" s="10" t="s">
        <v>2023</v>
      </c>
      <c r="C649" s="11" t="s">
        <v>2362</v>
      </c>
      <c r="D649" s="11" t="s">
        <v>2363</v>
      </c>
      <c r="E649" s="11" t="s">
        <v>26</v>
      </c>
      <c r="F649" s="11" t="s">
        <v>2364</v>
      </c>
      <c r="G649" s="11" t="s">
        <v>28</v>
      </c>
      <c r="H649" s="11" t="s">
        <v>2364</v>
      </c>
      <c r="I649" s="11" t="s">
        <v>2365</v>
      </c>
      <c r="J649" s="12">
        <v>0.87619999999999998</v>
      </c>
      <c r="K649" s="13">
        <v>1</v>
      </c>
      <c r="L649" s="14">
        <v>517</v>
      </c>
      <c r="M649" s="10">
        <v>453</v>
      </c>
      <c r="N649" s="10">
        <v>57129</v>
      </c>
      <c r="O649" s="10">
        <v>35524</v>
      </c>
      <c r="P649" s="10">
        <v>92653</v>
      </c>
    </row>
    <row r="650" spans="1:16" ht="27" customHeight="1" x14ac:dyDescent="0.2">
      <c r="A650" s="9" t="s">
        <v>1682</v>
      </c>
      <c r="B650" s="10" t="s">
        <v>2023</v>
      </c>
      <c r="C650" s="11" t="s">
        <v>2366</v>
      </c>
      <c r="D650" s="11" t="s">
        <v>2367</v>
      </c>
      <c r="E650" s="11" t="s">
        <v>26</v>
      </c>
      <c r="F650" s="11" t="s">
        <v>2368</v>
      </c>
      <c r="G650" s="11" t="s">
        <v>28</v>
      </c>
      <c r="H650" s="11" t="s">
        <v>1685</v>
      </c>
      <c r="I650" s="11" t="s">
        <v>1686</v>
      </c>
      <c r="J650" s="12">
        <v>1</v>
      </c>
      <c r="K650" s="13">
        <v>1</v>
      </c>
      <c r="L650" s="14">
        <v>354</v>
      </c>
      <c r="M650" s="10">
        <v>330</v>
      </c>
      <c r="N650" s="10">
        <v>39118</v>
      </c>
      <c r="O650" s="10">
        <v>25878</v>
      </c>
      <c r="P650" s="10">
        <v>64996</v>
      </c>
    </row>
    <row r="651" spans="1:16" ht="27" customHeight="1" x14ac:dyDescent="0.2">
      <c r="A651" s="9" t="s">
        <v>1682</v>
      </c>
      <c r="B651" s="10" t="s">
        <v>2023</v>
      </c>
      <c r="C651" s="11" t="s">
        <v>2369</v>
      </c>
      <c r="D651" s="11" t="s">
        <v>2370</v>
      </c>
      <c r="E651" s="11" t="s">
        <v>26</v>
      </c>
      <c r="F651" s="11" t="s">
        <v>2371</v>
      </c>
      <c r="G651" s="11" t="s">
        <v>28</v>
      </c>
      <c r="H651" s="11" t="s">
        <v>1685</v>
      </c>
      <c r="I651" s="11" t="s">
        <v>1686</v>
      </c>
      <c r="J651" s="12">
        <v>1</v>
      </c>
      <c r="K651" s="13">
        <v>1</v>
      </c>
      <c r="L651" s="14">
        <v>384</v>
      </c>
      <c r="M651" s="10">
        <v>310</v>
      </c>
      <c r="N651" s="10">
        <v>42433</v>
      </c>
      <c r="O651" s="10">
        <v>24310</v>
      </c>
      <c r="P651" s="10">
        <v>66743</v>
      </c>
    </row>
    <row r="652" spans="1:16" ht="27" customHeight="1" x14ac:dyDescent="0.2">
      <c r="A652" s="9" t="s">
        <v>1682</v>
      </c>
      <c r="B652" s="10" t="s">
        <v>2023</v>
      </c>
      <c r="C652" s="11" t="s">
        <v>2372</v>
      </c>
      <c r="D652" s="11" t="s">
        <v>2373</v>
      </c>
      <c r="E652" s="11" t="s">
        <v>26</v>
      </c>
      <c r="F652" s="11" t="s">
        <v>2374</v>
      </c>
      <c r="G652" s="11" t="s">
        <v>28</v>
      </c>
      <c r="H652" s="11" t="s">
        <v>2374</v>
      </c>
      <c r="I652" s="11" t="s">
        <v>2375</v>
      </c>
      <c r="J652" s="12">
        <v>0.40350000000000003</v>
      </c>
      <c r="K652" s="13">
        <v>1</v>
      </c>
      <c r="L652" s="14">
        <v>285</v>
      </c>
      <c r="M652" s="10">
        <v>115</v>
      </c>
      <c r="N652" s="10">
        <v>31493</v>
      </c>
      <c r="O652" s="10">
        <v>9018</v>
      </c>
      <c r="P652" s="10">
        <v>40511</v>
      </c>
    </row>
    <row r="653" spans="1:16" ht="27" customHeight="1" x14ac:dyDescent="0.2">
      <c r="A653" s="9" t="s">
        <v>1682</v>
      </c>
      <c r="B653" s="10" t="s">
        <v>2023</v>
      </c>
      <c r="C653" s="11" t="s">
        <v>2376</v>
      </c>
      <c r="D653" s="11" t="s">
        <v>2377</v>
      </c>
      <c r="E653" s="11" t="s">
        <v>26</v>
      </c>
      <c r="F653" s="11" t="s">
        <v>2378</v>
      </c>
      <c r="G653" s="11" t="s">
        <v>28</v>
      </c>
      <c r="H653" s="11" t="s">
        <v>1685</v>
      </c>
      <c r="I653" s="11" t="s">
        <v>1686</v>
      </c>
      <c r="J653" s="12">
        <v>1</v>
      </c>
      <c r="K653" s="13">
        <v>1</v>
      </c>
      <c r="L653" s="14">
        <v>228</v>
      </c>
      <c r="M653" s="10">
        <v>156</v>
      </c>
      <c r="N653" s="10">
        <v>25194</v>
      </c>
      <c r="O653" s="10">
        <v>12233</v>
      </c>
      <c r="P653" s="10">
        <v>37427</v>
      </c>
    </row>
    <row r="654" spans="1:16" ht="27" customHeight="1" x14ac:dyDescent="0.2">
      <c r="A654" s="9" t="s">
        <v>1682</v>
      </c>
      <c r="B654" s="10" t="s">
        <v>2023</v>
      </c>
      <c r="C654" s="11" t="s">
        <v>2379</v>
      </c>
      <c r="D654" s="11" t="s">
        <v>2380</v>
      </c>
      <c r="E654" s="11" t="s">
        <v>26</v>
      </c>
      <c r="F654" s="11" t="s">
        <v>2381</v>
      </c>
      <c r="G654" s="11" t="s">
        <v>28</v>
      </c>
      <c r="H654" s="11" t="s">
        <v>2381</v>
      </c>
      <c r="I654" s="11" t="s">
        <v>2382</v>
      </c>
      <c r="J654" s="12">
        <v>0.90580000000000005</v>
      </c>
      <c r="K654" s="13">
        <v>1</v>
      </c>
      <c r="L654" s="14">
        <v>669</v>
      </c>
      <c r="M654" s="10">
        <v>606</v>
      </c>
      <c r="N654" s="10">
        <v>73926</v>
      </c>
      <c r="O654" s="10">
        <v>47522</v>
      </c>
      <c r="P654" s="10">
        <v>121448</v>
      </c>
    </row>
    <row r="655" spans="1:16" ht="27" customHeight="1" x14ac:dyDescent="0.2">
      <c r="A655" s="9" t="s">
        <v>1682</v>
      </c>
      <c r="B655" s="10" t="s">
        <v>2023</v>
      </c>
      <c r="C655" s="11" t="s">
        <v>2383</v>
      </c>
      <c r="D655" s="11" t="s">
        <v>2384</v>
      </c>
      <c r="E655" s="11" t="s">
        <v>26</v>
      </c>
      <c r="F655" s="11" t="s">
        <v>2385</v>
      </c>
      <c r="G655" s="11" t="s">
        <v>28</v>
      </c>
      <c r="H655" s="11" t="s">
        <v>1685</v>
      </c>
      <c r="I655" s="11" t="s">
        <v>1686</v>
      </c>
      <c r="J655" s="12">
        <v>1</v>
      </c>
      <c r="K655" s="13">
        <v>1</v>
      </c>
      <c r="L655" s="14">
        <v>307</v>
      </c>
      <c r="M655" s="10">
        <v>294</v>
      </c>
      <c r="N655" s="10">
        <v>33924</v>
      </c>
      <c r="O655" s="10">
        <v>23055</v>
      </c>
      <c r="P655" s="10">
        <v>56979</v>
      </c>
    </row>
    <row r="656" spans="1:16" ht="27" customHeight="1" x14ac:dyDescent="0.2">
      <c r="A656" s="9" t="s">
        <v>1682</v>
      </c>
      <c r="B656" s="10" t="s">
        <v>2023</v>
      </c>
      <c r="C656" s="11" t="s">
        <v>2386</v>
      </c>
      <c r="D656" s="11" t="s">
        <v>2387</v>
      </c>
      <c r="E656" s="11" t="s">
        <v>26</v>
      </c>
      <c r="F656" s="11" t="s">
        <v>2388</v>
      </c>
      <c r="G656" s="11" t="s">
        <v>28</v>
      </c>
      <c r="H656" s="11" t="s">
        <v>1685</v>
      </c>
      <c r="I656" s="11" t="s">
        <v>1686</v>
      </c>
      <c r="J656" s="12">
        <v>1</v>
      </c>
      <c r="K656" s="13">
        <v>1</v>
      </c>
      <c r="L656" s="14">
        <v>477</v>
      </c>
      <c r="M656" s="10">
        <v>465</v>
      </c>
      <c r="N656" s="10">
        <v>52709</v>
      </c>
      <c r="O656" s="10">
        <v>36465</v>
      </c>
      <c r="P656" s="10">
        <v>89174</v>
      </c>
    </row>
    <row r="657" spans="1:16" ht="27" customHeight="1" x14ac:dyDescent="0.2">
      <c r="A657" s="9" t="s">
        <v>1682</v>
      </c>
      <c r="B657" s="10" t="s">
        <v>2023</v>
      </c>
      <c r="C657" s="11" t="s">
        <v>2389</v>
      </c>
      <c r="D657" s="11" t="s">
        <v>2390</v>
      </c>
      <c r="E657" s="11" t="s">
        <v>26</v>
      </c>
      <c r="F657" s="11" t="s">
        <v>2391</v>
      </c>
      <c r="G657" s="11" t="s">
        <v>28</v>
      </c>
      <c r="H657" s="11" t="s">
        <v>2391</v>
      </c>
      <c r="I657" s="11" t="s">
        <v>2392</v>
      </c>
      <c r="J657" s="12">
        <v>0.64939999999999998</v>
      </c>
      <c r="K657" s="13">
        <v>1</v>
      </c>
      <c r="L657" s="14">
        <v>385</v>
      </c>
      <c r="M657" s="10">
        <v>250</v>
      </c>
      <c r="N657" s="10">
        <v>42543</v>
      </c>
      <c r="O657" s="10">
        <v>19605</v>
      </c>
      <c r="P657" s="10">
        <v>62148</v>
      </c>
    </row>
    <row r="658" spans="1:16" ht="27" customHeight="1" x14ac:dyDescent="0.2">
      <c r="A658" s="9" t="s">
        <v>1682</v>
      </c>
      <c r="B658" s="10" t="s">
        <v>2023</v>
      </c>
      <c r="C658" s="11" t="s">
        <v>2393</v>
      </c>
      <c r="D658" s="11" t="s">
        <v>2394</v>
      </c>
      <c r="E658" s="11" t="s">
        <v>26</v>
      </c>
      <c r="F658" s="11" t="s">
        <v>2395</v>
      </c>
      <c r="G658" s="11" t="s">
        <v>28</v>
      </c>
      <c r="H658" s="11" t="s">
        <v>2395</v>
      </c>
      <c r="I658" s="11" t="s">
        <v>2396</v>
      </c>
      <c r="J658" s="12">
        <v>0.82540000000000002</v>
      </c>
      <c r="K658" s="13">
        <v>1</v>
      </c>
      <c r="L658" s="14">
        <v>355</v>
      </c>
      <c r="M658" s="10">
        <v>293</v>
      </c>
      <c r="N658" s="10">
        <v>39228</v>
      </c>
      <c r="O658" s="10">
        <v>22977</v>
      </c>
      <c r="P658" s="10">
        <v>62205</v>
      </c>
    </row>
    <row r="659" spans="1:16" ht="27" customHeight="1" x14ac:dyDescent="0.2">
      <c r="A659" s="9" t="s">
        <v>1682</v>
      </c>
      <c r="B659" s="10" t="s">
        <v>2023</v>
      </c>
      <c r="C659" s="11" t="s">
        <v>2397</v>
      </c>
      <c r="D659" s="11" t="s">
        <v>2398</v>
      </c>
      <c r="E659" s="11" t="s">
        <v>26</v>
      </c>
      <c r="F659" s="11" t="s">
        <v>2399</v>
      </c>
      <c r="G659" s="11" t="s">
        <v>28</v>
      </c>
      <c r="H659" s="11" t="s">
        <v>2399</v>
      </c>
      <c r="I659" s="11" t="s">
        <v>2400</v>
      </c>
      <c r="J659" s="12">
        <v>0.83220000000000005</v>
      </c>
      <c r="K659" s="13">
        <v>1</v>
      </c>
      <c r="L659" s="14">
        <v>298</v>
      </c>
      <c r="M659" s="10">
        <v>248</v>
      </c>
      <c r="N659" s="10">
        <v>32929</v>
      </c>
      <c r="O659" s="10">
        <v>19448</v>
      </c>
      <c r="P659" s="10">
        <v>52377</v>
      </c>
    </row>
    <row r="660" spans="1:16" ht="27" customHeight="1" x14ac:dyDescent="0.2">
      <c r="A660" s="9" t="s">
        <v>1682</v>
      </c>
      <c r="B660" s="10" t="s">
        <v>2023</v>
      </c>
      <c r="C660" s="11" t="s">
        <v>2401</v>
      </c>
      <c r="D660" s="11" t="s">
        <v>2402</v>
      </c>
      <c r="E660" s="11" t="s">
        <v>26</v>
      </c>
      <c r="F660" s="11" t="s">
        <v>2403</v>
      </c>
      <c r="G660" s="11" t="s">
        <v>28</v>
      </c>
      <c r="H660" s="11" t="s">
        <v>1685</v>
      </c>
      <c r="I660" s="11" t="s">
        <v>1686</v>
      </c>
      <c r="J660" s="12">
        <v>1</v>
      </c>
      <c r="K660" s="13">
        <v>1</v>
      </c>
      <c r="L660" s="14">
        <v>306</v>
      </c>
      <c r="M660" s="10">
        <v>290</v>
      </c>
      <c r="N660" s="10">
        <v>33814</v>
      </c>
      <c r="O660" s="10">
        <v>22742</v>
      </c>
      <c r="P660" s="10">
        <v>56556</v>
      </c>
    </row>
    <row r="661" spans="1:16" ht="27" customHeight="1" x14ac:dyDescent="0.2">
      <c r="A661" s="9" t="s">
        <v>1682</v>
      </c>
      <c r="B661" s="10" t="s">
        <v>2023</v>
      </c>
      <c r="C661" s="11" t="s">
        <v>2404</v>
      </c>
      <c r="D661" s="11" t="s">
        <v>2405</v>
      </c>
      <c r="E661" s="11" t="s">
        <v>26</v>
      </c>
      <c r="F661" s="11" t="s">
        <v>2406</v>
      </c>
      <c r="G661" s="11" t="s">
        <v>28</v>
      </c>
      <c r="H661" s="11" t="s">
        <v>1685</v>
      </c>
      <c r="I661" s="11" t="s">
        <v>1686</v>
      </c>
      <c r="J661" s="12">
        <v>1</v>
      </c>
      <c r="K661" s="13">
        <v>1</v>
      </c>
      <c r="L661" s="14">
        <v>518</v>
      </c>
      <c r="M661" s="10">
        <v>503</v>
      </c>
      <c r="N661" s="10">
        <v>57240</v>
      </c>
      <c r="O661" s="10">
        <v>39445</v>
      </c>
      <c r="P661" s="10">
        <v>96685</v>
      </c>
    </row>
    <row r="662" spans="1:16" ht="27" customHeight="1" x14ac:dyDescent="0.2">
      <c r="A662" s="9" t="s">
        <v>1682</v>
      </c>
      <c r="B662" s="10" t="s">
        <v>2023</v>
      </c>
      <c r="C662" s="11" t="s">
        <v>2407</v>
      </c>
      <c r="D662" s="11" t="s">
        <v>2408</v>
      </c>
      <c r="E662" s="11" t="s">
        <v>26</v>
      </c>
      <c r="F662" s="11" t="s">
        <v>2409</v>
      </c>
      <c r="G662" s="11" t="s">
        <v>28</v>
      </c>
      <c r="H662" s="11" t="s">
        <v>1685</v>
      </c>
      <c r="I662" s="11" t="s">
        <v>1686</v>
      </c>
      <c r="J662" s="12">
        <v>1</v>
      </c>
      <c r="K662" s="13">
        <v>1</v>
      </c>
      <c r="L662" s="14">
        <v>917</v>
      </c>
      <c r="M662" s="10">
        <v>867</v>
      </c>
      <c r="N662" s="10">
        <v>101330</v>
      </c>
      <c r="O662" s="10">
        <v>67989</v>
      </c>
      <c r="P662" s="10">
        <v>169319</v>
      </c>
    </row>
    <row r="663" spans="1:16" ht="27" customHeight="1" x14ac:dyDescent="0.2">
      <c r="A663" s="9" t="s">
        <v>1682</v>
      </c>
      <c r="B663" s="10" t="s">
        <v>2023</v>
      </c>
      <c r="C663" s="11" t="s">
        <v>2410</v>
      </c>
      <c r="D663" s="11" t="s">
        <v>2411</v>
      </c>
      <c r="E663" s="11" t="s">
        <v>26</v>
      </c>
      <c r="F663" s="11" t="s">
        <v>2412</v>
      </c>
      <c r="G663" s="11" t="s">
        <v>28</v>
      </c>
      <c r="H663" s="11" t="s">
        <v>2412</v>
      </c>
      <c r="I663" s="11" t="s">
        <v>2413</v>
      </c>
      <c r="J663" s="12">
        <v>0.96230000000000004</v>
      </c>
      <c r="K663" s="13">
        <v>1</v>
      </c>
      <c r="L663" s="14">
        <v>345</v>
      </c>
      <c r="M663" s="10">
        <v>332</v>
      </c>
      <c r="N663" s="10">
        <v>38123</v>
      </c>
      <c r="O663" s="10">
        <v>26035</v>
      </c>
      <c r="P663" s="10">
        <v>64158</v>
      </c>
    </row>
    <row r="664" spans="1:16" ht="27" customHeight="1" x14ac:dyDescent="0.2">
      <c r="A664" s="9" t="s">
        <v>1682</v>
      </c>
      <c r="B664" s="10" t="s">
        <v>2023</v>
      </c>
      <c r="C664" s="11" t="s">
        <v>2414</v>
      </c>
      <c r="D664" s="11" t="s">
        <v>2415</v>
      </c>
      <c r="E664" s="11" t="s">
        <v>26</v>
      </c>
      <c r="F664" s="11" t="s">
        <v>2416</v>
      </c>
      <c r="G664" s="11" t="s">
        <v>28</v>
      </c>
      <c r="H664" s="11" t="s">
        <v>1685</v>
      </c>
      <c r="I664" s="11" t="s">
        <v>1686</v>
      </c>
      <c r="J664" s="12">
        <v>1</v>
      </c>
      <c r="K664" s="13">
        <v>1</v>
      </c>
      <c r="L664" s="14">
        <v>339</v>
      </c>
      <c r="M664" s="10">
        <v>316</v>
      </c>
      <c r="N664" s="10">
        <v>37460</v>
      </c>
      <c r="O664" s="10">
        <v>24780</v>
      </c>
      <c r="P664" s="10">
        <v>62240</v>
      </c>
    </row>
    <row r="665" spans="1:16" ht="27" customHeight="1" x14ac:dyDescent="0.2">
      <c r="A665" s="9" t="s">
        <v>1682</v>
      </c>
      <c r="B665" s="10" t="s">
        <v>2023</v>
      </c>
      <c r="C665" s="11" t="s">
        <v>2417</v>
      </c>
      <c r="D665" s="11" t="s">
        <v>2418</v>
      </c>
      <c r="E665" s="11" t="s">
        <v>26</v>
      </c>
      <c r="F665" s="11" t="s">
        <v>2419</v>
      </c>
      <c r="G665" s="11" t="s">
        <v>28</v>
      </c>
      <c r="H665" s="11" t="s">
        <v>1685</v>
      </c>
      <c r="I665" s="11" t="s">
        <v>1686</v>
      </c>
      <c r="J665" s="12">
        <v>1</v>
      </c>
      <c r="K665" s="13">
        <v>1</v>
      </c>
      <c r="L665" s="14">
        <v>543</v>
      </c>
      <c r="M665" s="10">
        <v>536</v>
      </c>
      <c r="N665" s="10">
        <v>60002</v>
      </c>
      <c r="O665" s="10">
        <v>42033</v>
      </c>
      <c r="P665" s="10">
        <v>102035</v>
      </c>
    </row>
    <row r="666" spans="1:16" ht="27" customHeight="1" x14ac:dyDescent="0.2">
      <c r="A666" s="9" t="s">
        <v>1682</v>
      </c>
      <c r="B666" s="10" t="s">
        <v>2023</v>
      </c>
      <c r="C666" s="11" t="s">
        <v>2420</v>
      </c>
      <c r="D666" s="11" t="s">
        <v>2421</v>
      </c>
      <c r="E666" s="11" t="s">
        <v>26</v>
      </c>
      <c r="F666" s="11" t="s">
        <v>2422</v>
      </c>
      <c r="G666" s="11" t="s">
        <v>28</v>
      </c>
      <c r="H666" s="11" t="s">
        <v>2422</v>
      </c>
      <c r="I666" s="11" t="s">
        <v>2423</v>
      </c>
      <c r="J666" s="12">
        <v>0.63880000000000003</v>
      </c>
      <c r="K666" s="13">
        <v>1</v>
      </c>
      <c r="L666" s="14">
        <v>299</v>
      </c>
      <c r="M666" s="10">
        <v>191</v>
      </c>
      <c r="N666" s="10">
        <v>33040</v>
      </c>
      <c r="O666" s="10">
        <v>14978</v>
      </c>
      <c r="P666" s="10">
        <v>48018</v>
      </c>
    </row>
    <row r="667" spans="1:16" ht="27" customHeight="1" x14ac:dyDescent="0.2">
      <c r="A667" s="9" t="s">
        <v>1682</v>
      </c>
      <c r="B667" s="10" t="s">
        <v>2023</v>
      </c>
      <c r="C667" s="11" t="s">
        <v>2424</v>
      </c>
      <c r="D667" s="11" t="s">
        <v>2425</v>
      </c>
      <c r="E667" s="11" t="s">
        <v>26</v>
      </c>
      <c r="F667" s="11" t="s">
        <v>2426</v>
      </c>
      <c r="G667" s="11" t="s">
        <v>28</v>
      </c>
      <c r="H667" s="11" t="s">
        <v>2426</v>
      </c>
      <c r="I667" s="11" t="s">
        <v>2427</v>
      </c>
      <c r="J667" s="12">
        <v>0.69620000000000004</v>
      </c>
      <c r="K667" s="13">
        <v>1</v>
      </c>
      <c r="L667" s="14">
        <v>339</v>
      </c>
      <c r="M667" s="10">
        <v>236</v>
      </c>
      <c r="N667" s="10">
        <v>37460</v>
      </c>
      <c r="O667" s="10">
        <v>18507</v>
      </c>
      <c r="P667" s="10">
        <v>55967</v>
      </c>
    </row>
    <row r="668" spans="1:16" ht="27" customHeight="1" x14ac:dyDescent="0.2">
      <c r="A668" s="9" t="s">
        <v>1682</v>
      </c>
      <c r="B668" s="10" t="s">
        <v>2023</v>
      </c>
      <c r="C668" s="11" t="s">
        <v>2428</v>
      </c>
      <c r="D668" s="11" t="s">
        <v>2429</v>
      </c>
      <c r="E668" s="11" t="s">
        <v>26</v>
      </c>
      <c r="F668" s="11" t="s">
        <v>2430</v>
      </c>
      <c r="G668" s="11" t="s">
        <v>28</v>
      </c>
      <c r="H668" s="11" t="s">
        <v>2430</v>
      </c>
      <c r="I668" s="11" t="s">
        <v>2431</v>
      </c>
      <c r="J668" s="12">
        <v>0.69510000000000005</v>
      </c>
      <c r="K668" s="13">
        <v>1</v>
      </c>
      <c r="L668" s="14">
        <v>328</v>
      </c>
      <c r="M668" s="10">
        <v>228</v>
      </c>
      <c r="N668" s="10">
        <v>36245</v>
      </c>
      <c r="O668" s="10">
        <v>17880</v>
      </c>
      <c r="P668" s="10">
        <v>54125</v>
      </c>
    </row>
    <row r="669" spans="1:16" ht="27" customHeight="1" x14ac:dyDescent="0.2">
      <c r="A669" s="9" t="s">
        <v>1682</v>
      </c>
      <c r="B669" s="10" t="s">
        <v>2023</v>
      </c>
      <c r="C669" s="11" t="s">
        <v>2432</v>
      </c>
      <c r="D669" s="11" t="s">
        <v>2433</v>
      </c>
      <c r="E669" s="11" t="s">
        <v>26</v>
      </c>
      <c r="F669" s="11" t="s">
        <v>2434</v>
      </c>
      <c r="G669" s="11" t="s">
        <v>28</v>
      </c>
      <c r="H669" s="11" t="s">
        <v>2434</v>
      </c>
      <c r="I669" s="11" t="s">
        <v>2435</v>
      </c>
      <c r="J669" s="12">
        <v>0.84440000000000004</v>
      </c>
      <c r="K669" s="13">
        <v>1</v>
      </c>
      <c r="L669" s="14">
        <v>302</v>
      </c>
      <c r="M669" s="10">
        <v>255</v>
      </c>
      <c r="N669" s="10">
        <v>33371</v>
      </c>
      <c r="O669" s="10">
        <v>19997</v>
      </c>
      <c r="P669" s="10">
        <v>53368</v>
      </c>
    </row>
    <row r="670" spans="1:16" ht="27" customHeight="1" x14ac:dyDescent="0.2">
      <c r="A670" s="9" t="s">
        <v>1682</v>
      </c>
      <c r="B670" s="10" t="s">
        <v>2023</v>
      </c>
      <c r="C670" s="11" t="s">
        <v>2436</v>
      </c>
      <c r="D670" s="11" t="s">
        <v>2437</v>
      </c>
      <c r="E670" s="11" t="s">
        <v>26</v>
      </c>
      <c r="F670" s="11" t="s">
        <v>2438</v>
      </c>
      <c r="G670" s="11" t="s">
        <v>28</v>
      </c>
      <c r="H670" s="11" t="s">
        <v>2438</v>
      </c>
      <c r="I670" s="11" t="s">
        <v>2439</v>
      </c>
      <c r="J670" s="12">
        <v>0.89339999999999997</v>
      </c>
      <c r="K670" s="13">
        <v>1</v>
      </c>
      <c r="L670" s="14">
        <v>544</v>
      </c>
      <c r="M670" s="10">
        <v>486</v>
      </c>
      <c r="N670" s="10">
        <v>60113</v>
      </c>
      <c r="O670" s="10">
        <v>38112</v>
      </c>
      <c r="P670" s="10">
        <v>98225</v>
      </c>
    </row>
    <row r="671" spans="1:16" ht="27" customHeight="1" x14ac:dyDescent="0.2">
      <c r="A671" s="9" t="s">
        <v>1682</v>
      </c>
      <c r="B671" s="10" t="s">
        <v>2023</v>
      </c>
      <c r="C671" s="11" t="s">
        <v>2440</v>
      </c>
      <c r="D671" s="11" t="s">
        <v>2441</v>
      </c>
      <c r="E671" s="11" t="s">
        <v>26</v>
      </c>
      <c r="F671" s="11" t="s">
        <v>2442</v>
      </c>
      <c r="G671" s="11" t="s">
        <v>28</v>
      </c>
      <c r="H671" s="11" t="s">
        <v>1685</v>
      </c>
      <c r="I671" s="11" t="s">
        <v>1686</v>
      </c>
      <c r="J671" s="12">
        <v>1</v>
      </c>
      <c r="K671" s="13">
        <v>1</v>
      </c>
      <c r="L671" s="14">
        <v>502</v>
      </c>
      <c r="M671" s="10">
        <v>490</v>
      </c>
      <c r="N671" s="10">
        <v>55472</v>
      </c>
      <c r="O671" s="10">
        <v>38425</v>
      </c>
      <c r="P671" s="10">
        <v>93897</v>
      </c>
    </row>
    <row r="672" spans="1:16" ht="27" customHeight="1" x14ac:dyDescent="0.2">
      <c r="A672" s="9" t="s">
        <v>1682</v>
      </c>
      <c r="B672" s="10" t="s">
        <v>2023</v>
      </c>
      <c r="C672" s="11" t="s">
        <v>2443</v>
      </c>
      <c r="D672" s="11" t="s">
        <v>2444</v>
      </c>
      <c r="E672" s="11" t="s">
        <v>26</v>
      </c>
      <c r="F672" s="11" t="s">
        <v>2445</v>
      </c>
      <c r="G672" s="11" t="s">
        <v>28</v>
      </c>
      <c r="H672" s="11" t="s">
        <v>1685</v>
      </c>
      <c r="I672" s="11" t="s">
        <v>1686</v>
      </c>
      <c r="J672" s="12">
        <v>1</v>
      </c>
      <c r="K672" s="13">
        <v>1</v>
      </c>
      <c r="L672" s="14">
        <v>199</v>
      </c>
      <c r="M672" s="10">
        <v>187</v>
      </c>
      <c r="N672" s="10">
        <v>21990</v>
      </c>
      <c r="O672" s="10">
        <v>14664</v>
      </c>
      <c r="P672" s="10">
        <v>36654</v>
      </c>
    </row>
    <row r="673" spans="1:16" ht="27" customHeight="1" x14ac:dyDescent="0.2">
      <c r="A673" s="9" t="s">
        <v>1682</v>
      </c>
      <c r="B673" s="10" t="s">
        <v>2023</v>
      </c>
      <c r="C673" s="11" t="s">
        <v>2446</v>
      </c>
      <c r="D673" s="11" t="s">
        <v>2447</v>
      </c>
      <c r="E673" s="11" t="s">
        <v>26</v>
      </c>
      <c r="F673" s="11" t="s">
        <v>2448</v>
      </c>
      <c r="G673" s="11" t="s">
        <v>28</v>
      </c>
      <c r="H673" s="11" t="s">
        <v>1685</v>
      </c>
      <c r="I673" s="11" t="s">
        <v>1686</v>
      </c>
      <c r="J673" s="12">
        <v>1</v>
      </c>
      <c r="K673" s="13">
        <v>1</v>
      </c>
      <c r="L673" s="14">
        <v>579</v>
      </c>
      <c r="M673" s="10">
        <v>546</v>
      </c>
      <c r="N673" s="10">
        <v>63980</v>
      </c>
      <c r="O673" s="10">
        <v>42817</v>
      </c>
      <c r="P673" s="10">
        <v>106797</v>
      </c>
    </row>
    <row r="674" spans="1:16" ht="27" customHeight="1" x14ac:dyDescent="0.2">
      <c r="A674" s="9" t="s">
        <v>1682</v>
      </c>
      <c r="B674" s="10" t="s">
        <v>2023</v>
      </c>
      <c r="C674" s="11" t="s">
        <v>2449</v>
      </c>
      <c r="D674" s="11" t="s">
        <v>2450</v>
      </c>
      <c r="E674" s="11" t="s">
        <v>26</v>
      </c>
      <c r="F674" s="11" t="s">
        <v>2451</v>
      </c>
      <c r="G674" s="11" t="s">
        <v>28</v>
      </c>
      <c r="H674" s="11" t="s">
        <v>1685</v>
      </c>
      <c r="I674" s="11" t="s">
        <v>1686</v>
      </c>
      <c r="J674" s="12">
        <v>1</v>
      </c>
      <c r="K674" s="13">
        <v>1</v>
      </c>
      <c r="L674" s="14">
        <v>362</v>
      </c>
      <c r="M674" s="10">
        <v>345</v>
      </c>
      <c r="N674" s="10">
        <v>40002</v>
      </c>
      <c r="O674" s="10">
        <v>27055</v>
      </c>
      <c r="P674" s="10">
        <v>67057</v>
      </c>
    </row>
    <row r="675" spans="1:16" ht="27" customHeight="1" x14ac:dyDescent="0.2">
      <c r="A675" s="9" t="s">
        <v>1682</v>
      </c>
      <c r="B675" s="10" t="s">
        <v>2023</v>
      </c>
      <c r="C675" s="11" t="s">
        <v>2452</v>
      </c>
      <c r="D675" s="11" t="s">
        <v>2453</v>
      </c>
      <c r="E675" s="11" t="s">
        <v>26</v>
      </c>
      <c r="F675" s="11" t="s">
        <v>2454</v>
      </c>
      <c r="G675" s="11" t="s">
        <v>28</v>
      </c>
      <c r="H675" s="11" t="s">
        <v>1685</v>
      </c>
      <c r="I675" s="11" t="s">
        <v>1686</v>
      </c>
      <c r="J675" s="12">
        <v>1</v>
      </c>
      <c r="K675" s="13">
        <v>1</v>
      </c>
      <c r="L675" s="14">
        <v>362</v>
      </c>
      <c r="M675" s="10">
        <v>342</v>
      </c>
      <c r="N675" s="10">
        <v>40002</v>
      </c>
      <c r="O675" s="10">
        <v>26819</v>
      </c>
      <c r="P675" s="10">
        <v>66821</v>
      </c>
    </row>
    <row r="676" spans="1:16" ht="27" customHeight="1" x14ac:dyDescent="0.2">
      <c r="A676" s="9" t="s">
        <v>1682</v>
      </c>
      <c r="B676" s="10" t="s">
        <v>2023</v>
      </c>
      <c r="C676" s="11" t="s">
        <v>2455</v>
      </c>
      <c r="D676" s="11" t="s">
        <v>2456</v>
      </c>
      <c r="E676" s="11" t="s">
        <v>26</v>
      </c>
      <c r="F676" s="11" t="s">
        <v>2457</v>
      </c>
      <c r="G676" s="11" t="s">
        <v>28</v>
      </c>
      <c r="H676" s="11" t="s">
        <v>1685</v>
      </c>
      <c r="I676" s="11" t="s">
        <v>1686</v>
      </c>
      <c r="J676" s="12">
        <v>1</v>
      </c>
      <c r="K676" s="13">
        <v>1</v>
      </c>
      <c r="L676" s="14">
        <v>494</v>
      </c>
      <c r="M676" s="10">
        <v>410</v>
      </c>
      <c r="N676" s="10">
        <v>54588</v>
      </c>
      <c r="O676" s="10">
        <v>32152</v>
      </c>
      <c r="P676" s="10">
        <v>86740</v>
      </c>
    </row>
    <row r="677" spans="1:16" ht="27" customHeight="1" x14ac:dyDescent="0.2">
      <c r="A677" s="9" t="s">
        <v>1682</v>
      </c>
      <c r="B677" s="10" t="s">
        <v>2023</v>
      </c>
      <c r="C677" s="11" t="s">
        <v>2458</v>
      </c>
      <c r="D677" s="11" t="s">
        <v>2459</v>
      </c>
      <c r="E677" s="11" t="s">
        <v>26</v>
      </c>
      <c r="F677" s="11" t="s">
        <v>2460</v>
      </c>
      <c r="G677" s="11" t="s">
        <v>28</v>
      </c>
      <c r="H677" s="11" t="s">
        <v>1685</v>
      </c>
      <c r="I677" s="11" t="s">
        <v>1686</v>
      </c>
      <c r="J677" s="12">
        <v>1</v>
      </c>
      <c r="K677" s="13">
        <v>1</v>
      </c>
      <c r="L677" s="14">
        <v>520</v>
      </c>
      <c r="M677" s="10">
        <v>434</v>
      </c>
      <c r="N677" s="10">
        <v>57461</v>
      </c>
      <c r="O677" s="10">
        <v>34034</v>
      </c>
      <c r="P677" s="10">
        <v>91495</v>
      </c>
    </row>
    <row r="678" spans="1:16" ht="27" customHeight="1" x14ac:dyDescent="0.2">
      <c r="A678" s="9" t="s">
        <v>1682</v>
      </c>
      <c r="B678" s="10" t="s">
        <v>2023</v>
      </c>
      <c r="C678" s="11" t="s">
        <v>2461</v>
      </c>
      <c r="D678" s="11" t="s">
        <v>2462</v>
      </c>
      <c r="E678" s="11" t="s">
        <v>26</v>
      </c>
      <c r="F678" s="11" t="s">
        <v>2463</v>
      </c>
      <c r="G678" s="11" t="s">
        <v>28</v>
      </c>
      <c r="H678" s="11" t="s">
        <v>1685</v>
      </c>
      <c r="I678" s="11" t="s">
        <v>1686</v>
      </c>
      <c r="J678" s="12">
        <v>1</v>
      </c>
      <c r="K678" s="13">
        <v>1</v>
      </c>
      <c r="L678" s="14">
        <v>539</v>
      </c>
      <c r="M678" s="10">
        <v>486</v>
      </c>
      <c r="N678" s="10">
        <v>59560</v>
      </c>
      <c r="O678" s="10">
        <v>38112</v>
      </c>
      <c r="P678" s="10">
        <v>97672</v>
      </c>
    </row>
    <row r="679" spans="1:16" ht="27" customHeight="1" x14ac:dyDescent="0.2">
      <c r="A679" s="9" t="s">
        <v>1682</v>
      </c>
      <c r="B679" s="10" t="s">
        <v>2023</v>
      </c>
      <c r="C679" s="11" t="s">
        <v>2464</v>
      </c>
      <c r="D679" s="11" t="s">
        <v>2465</v>
      </c>
      <c r="E679" s="11" t="s">
        <v>26</v>
      </c>
      <c r="F679" s="11" t="s">
        <v>2466</v>
      </c>
      <c r="G679" s="11" t="s">
        <v>28</v>
      </c>
      <c r="H679" s="11" t="s">
        <v>1685</v>
      </c>
      <c r="I679" s="11" t="s">
        <v>1686</v>
      </c>
      <c r="J679" s="12">
        <v>1</v>
      </c>
      <c r="K679" s="13">
        <v>1</v>
      </c>
      <c r="L679" s="14">
        <v>388</v>
      </c>
      <c r="M679" s="10">
        <v>357</v>
      </c>
      <c r="N679" s="10">
        <v>42875</v>
      </c>
      <c r="O679" s="10">
        <v>27996</v>
      </c>
      <c r="P679" s="10">
        <v>70871</v>
      </c>
    </row>
    <row r="680" spans="1:16" ht="27" customHeight="1" x14ac:dyDescent="0.2">
      <c r="A680" s="9" t="s">
        <v>1682</v>
      </c>
      <c r="B680" s="10" t="s">
        <v>2023</v>
      </c>
      <c r="C680" s="11" t="s">
        <v>2467</v>
      </c>
      <c r="D680" s="11" t="s">
        <v>2468</v>
      </c>
      <c r="E680" s="11" t="s">
        <v>26</v>
      </c>
      <c r="F680" s="11" t="s">
        <v>2469</v>
      </c>
      <c r="G680" s="11" t="s">
        <v>28</v>
      </c>
      <c r="H680" s="11" t="s">
        <v>2469</v>
      </c>
      <c r="I680" s="11" t="s">
        <v>2470</v>
      </c>
      <c r="J680" s="12">
        <v>0.55659999999999998</v>
      </c>
      <c r="K680" s="13">
        <v>1</v>
      </c>
      <c r="L680" s="14">
        <v>715</v>
      </c>
      <c r="M680" s="10">
        <v>398</v>
      </c>
      <c r="N680" s="10">
        <v>79009</v>
      </c>
      <c r="O680" s="10">
        <v>31211</v>
      </c>
      <c r="P680" s="10">
        <v>110220</v>
      </c>
    </row>
    <row r="681" spans="1:16" ht="27" customHeight="1" x14ac:dyDescent="0.2">
      <c r="A681" s="9" t="s">
        <v>1682</v>
      </c>
      <c r="B681" s="10" t="s">
        <v>2023</v>
      </c>
      <c r="C681" s="11" t="s">
        <v>2471</v>
      </c>
      <c r="D681" s="11" t="s">
        <v>2472</v>
      </c>
      <c r="E681" s="11" t="s">
        <v>26</v>
      </c>
      <c r="F681" s="11" t="s">
        <v>2473</v>
      </c>
      <c r="G681" s="11" t="s">
        <v>28</v>
      </c>
      <c r="H681" s="11" t="s">
        <v>2473</v>
      </c>
      <c r="I681" s="11" t="s">
        <v>2474</v>
      </c>
      <c r="J681" s="12">
        <v>0.49630000000000002</v>
      </c>
      <c r="K681" s="13">
        <v>1</v>
      </c>
      <c r="L681" s="14">
        <v>536</v>
      </c>
      <c r="M681" s="10">
        <v>266</v>
      </c>
      <c r="N681" s="10">
        <v>59229</v>
      </c>
      <c r="O681" s="10">
        <v>20859</v>
      </c>
      <c r="P681" s="10">
        <v>80088</v>
      </c>
    </row>
    <row r="682" spans="1:16" ht="27" customHeight="1" x14ac:dyDescent="0.2">
      <c r="A682" s="9" t="s">
        <v>1682</v>
      </c>
      <c r="B682" s="10" t="s">
        <v>2023</v>
      </c>
      <c r="C682" s="11" t="s">
        <v>2475</v>
      </c>
      <c r="D682" s="11" t="s">
        <v>2476</v>
      </c>
      <c r="E682" s="11" t="s">
        <v>26</v>
      </c>
      <c r="F682" s="11" t="s">
        <v>2477</v>
      </c>
      <c r="G682" s="11" t="s">
        <v>28</v>
      </c>
      <c r="H682" s="11" t="s">
        <v>1685</v>
      </c>
      <c r="I682" s="11" t="s">
        <v>1686</v>
      </c>
      <c r="J682" s="12">
        <v>1</v>
      </c>
      <c r="K682" s="13">
        <v>1</v>
      </c>
      <c r="L682" s="14">
        <v>477</v>
      </c>
      <c r="M682" s="10">
        <v>412</v>
      </c>
      <c r="N682" s="10">
        <v>52709</v>
      </c>
      <c r="O682" s="10">
        <v>32309</v>
      </c>
      <c r="P682" s="10">
        <v>85018</v>
      </c>
    </row>
    <row r="683" spans="1:16" ht="27" customHeight="1" x14ac:dyDescent="0.2">
      <c r="A683" s="9" t="s">
        <v>1682</v>
      </c>
      <c r="B683" s="10" t="s">
        <v>2023</v>
      </c>
      <c r="C683" s="11" t="s">
        <v>2478</v>
      </c>
      <c r="D683" s="11" t="s">
        <v>2479</v>
      </c>
      <c r="E683" s="11" t="s">
        <v>26</v>
      </c>
      <c r="F683" s="11" t="s">
        <v>2480</v>
      </c>
      <c r="G683" s="11" t="s">
        <v>28</v>
      </c>
      <c r="H683" s="11" t="s">
        <v>2480</v>
      </c>
      <c r="I683" s="11" t="s">
        <v>2481</v>
      </c>
      <c r="J683" s="12">
        <v>0.83040000000000003</v>
      </c>
      <c r="K683" s="13">
        <v>1</v>
      </c>
      <c r="L683" s="14">
        <v>560</v>
      </c>
      <c r="M683" s="10">
        <v>465</v>
      </c>
      <c r="N683" s="10">
        <v>61881</v>
      </c>
      <c r="O683" s="10">
        <v>36465</v>
      </c>
      <c r="P683" s="10">
        <v>98346</v>
      </c>
    </row>
    <row r="684" spans="1:16" ht="27" customHeight="1" x14ac:dyDescent="0.2">
      <c r="A684" s="9" t="s">
        <v>1682</v>
      </c>
      <c r="B684" s="10" t="s">
        <v>2023</v>
      </c>
      <c r="C684" s="11" t="s">
        <v>2482</v>
      </c>
      <c r="D684" s="11" t="s">
        <v>2483</v>
      </c>
      <c r="E684" s="11" t="s">
        <v>26</v>
      </c>
      <c r="F684" s="11" t="s">
        <v>2484</v>
      </c>
      <c r="G684" s="11" t="s">
        <v>28</v>
      </c>
      <c r="H684" s="11" t="s">
        <v>2484</v>
      </c>
      <c r="I684" s="11" t="s">
        <v>2485</v>
      </c>
      <c r="J684" s="12">
        <v>0.54049999999999998</v>
      </c>
      <c r="K684" s="13">
        <v>1</v>
      </c>
      <c r="L684" s="14">
        <v>407</v>
      </c>
      <c r="M684" s="10">
        <v>220</v>
      </c>
      <c r="N684" s="10">
        <v>44974</v>
      </c>
      <c r="O684" s="10">
        <v>17252</v>
      </c>
      <c r="P684" s="10">
        <v>62226</v>
      </c>
    </row>
    <row r="685" spans="1:16" ht="27" customHeight="1" x14ac:dyDescent="0.2">
      <c r="A685" s="9" t="s">
        <v>1682</v>
      </c>
      <c r="B685" s="10" t="s">
        <v>2023</v>
      </c>
      <c r="C685" s="11" t="s">
        <v>2486</v>
      </c>
      <c r="D685" s="11" t="s">
        <v>2487</v>
      </c>
      <c r="E685" s="11" t="s">
        <v>26</v>
      </c>
      <c r="F685" s="11" t="s">
        <v>2488</v>
      </c>
      <c r="G685" s="11" t="s">
        <v>28</v>
      </c>
      <c r="H685" s="11" t="s">
        <v>1685</v>
      </c>
      <c r="I685" s="11" t="s">
        <v>1686</v>
      </c>
      <c r="J685" s="12">
        <v>1</v>
      </c>
      <c r="K685" s="13">
        <v>1</v>
      </c>
      <c r="L685" s="14">
        <v>498</v>
      </c>
      <c r="M685" s="10">
        <v>471</v>
      </c>
      <c r="N685" s="10">
        <v>55030</v>
      </c>
      <c r="O685" s="10">
        <v>36935</v>
      </c>
      <c r="P685" s="10">
        <v>91965</v>
      </c>
    </row>
    <row r="686" spans="1:16" ht="27" customHeight="1" x14ac:dyDescent="0.2">
      <c r="A686" s="9" t="s">
        <v>1682</v>
      </c>
      <c r="B686" s="10" t="s">
        <v>2023</v>
      </c>
      <c r="C686" s="11" t="s">
        <v>2489</v>
      </c>
      <c r="D686" s="11" t="s">
        <v>2490</v>
      </c>
      <c r="E686" s="11" t="s">
        <v>26</v>
      </c>
      <c r="F686" s="11" t="s">
        <v>2491</v>
      </c>
      <c r="G686" s="11" t="s">
        <v>28</v>
      </c>
      <c r="H686" s="11" t="s">
        <v>1685</v>
      </c>
      <c r="I686" s="11" t="s">
        <v>1686</v>
      </c>
      <c r="J686" s="12">
        <v>1</v>
      </c>
      <c r="K686" s="13">
        <v>1</v>
      </c>
      <c r="L686" s="14">
        <v>465</v>
      </c>
      <c r="M686" s="10">
        <v>448</v>
      </c>
      <c r="N686" s="10">
        <v>51383</v>
      </c>
      <c r="O686" s="10">
        <v>35132</v>
      </c>
      <c r="P686" s="10">
        <v>86515</v>
      </c>
    </row>
    <row r="687" spans="1:16" ht="27" customHeight="1" x14ac:dyDescent="0.2">
      <c r="A687" s="9" t="s">
        <v>1682</v>
      </c>
      <c r="B687" s="10" t="s">
        <v>2023</v>
      </c>
      <c r="C687" s="11" t="s">
        <v>2492</v>
      </c>
      <c r="D687" s="11" t="s">
        <v>2493</v>
      </c>
      <c r="E687" s="11" t="s">
        <v>26</v>
      </c>
      <c r="F687" s="11" t="s">
        <v>2494</v>
      </c>
      <c r="G687" s="11" t="s">
        <v>28</v>
      </c>
      <c r="H687" s="11" t="s">
        <v>1685</v>
      </c>
      <c r="I687" s="11" t="s">
        <v>1686</v>
      </c>
      <c r="J687" s="12">
        <v>1</v>
      </c>
      <c r="K687" s="13">
        <v>1</v>
      </c>
      <c r="L687" s="14">
        <v>291</v>
      </c>
      <c r="M687" s="10">
        <v>286</v>
      </c>
      <c r="N687" s="10">
        <v>32156</v>
      </c>
      <c r="O687" s="10">
        <v>22428</v>
      </c>
      <c r="P687" s="10">
        <v>54584</v>
      </c>
    </row>
    <row r="688" spans="1:16" ht="27" customHeight="1" x14ac:dyDescent="0.2">
      <c r="A688" s="9" t="s">
        <v>1682</v>
      </c>
      <c r="B688" s="10" t="s">
        <v>2023</v>
      </c>
      <c r="C688" s="11" t="s">
        <v>2495</v>
      </c>
      <c r="D688" s="11" t="s">
        <v>2496</v>
      </c>
      <c r="E688" s="11" t="s">
        <v>26</v>
      </c>
      <c r="F688" s="11" t="s">
        <v>2497</v>
      </c>
      <c r="G688" s="11" t="s">
        <v>28</v>
      </c>
      <c r="H688" s="11" t="s">
        <v>1685</v>
      </c>
      <c r="I688" s="11" t="s">
        <v>1686</v>
      </c>
      <c r="J688" s="12">
        <v>1</v>
      </c>
      <c r="K688" s="13">
        <v>1</v>
      </c>
      <c r="L688" s="14">
        <v>144</v>
      </c>
      <c r="M688" s="10">
        <v>91</v>
      </c>
      <c r="N688" s="10">
        <v>15912</v>
      </c>
      <c r="O688" s="10">
        <v>7136</v>
      </c>
      <c r="P688" s="10">
        <v>23048</v>
      </c>
    </row>
    <row r="689" spans="1:16" ht="27" customHeight="1" x14ac:dyDescent="0.2">
      <c r="A689" s="9" t="s">
        <v>1682</v>
      </c>
      <c r="B689" s="10" t="s">
        <v>2023</v>
      </c>
      <c r="C689" s="11" t="s">
        <v>2498</v>
      </c>
      <c r="D689" s="11" t="s">
        <v>2499</v>
      </c>
      <c r="E689" s="11" t="s">
        <v>26</v>
      </c>
      <c r="F689" s="11" t="s">
        <v>2500</v>
      </c>
      <c r="G689" s="11" t="s">
        <v>28</v>
      </c>
      <c r="H689" s="11" t="s">
        <v>1685</v>
      </c>
      <c r="I689" s="11" t="s">
        <v>1686</v>
      </c>
      <c r="J689" s="12">
        <v>1</v>
      </c>
      <c r="K689" s="13">
        <v>1</v>
      </c>
      <c r="L689" s="14">
        <v>387</v>
      </c>
      <c r="M689" s="10">
        <v>377</v>
      </c>
      <c r="N689" s="10">
        <v>42764</v>
      </c>
      <c r="O689" s="10">
        <v>29564</v>
      </c>
      <c r="P689" s="10">
        <v>72328</v>
      </c>
    </row>
    <row r="690" spans="1:16" ht="27" customHeight="1" x14ac:dyDescent="0.2">
      <c r="A690" s="9" t="s">
        <v>1682</v>
      </c>
      <c r="B690" s="10" t="s">
        <v>2023</v>
      </c>
      <c r="C690" s="11" t="s">
        <v>2501</v>
      </c>
      <c r="D690" s="11" t="s">
        <v>2502</v>
      </c>
      <c r="E690" s="11" t="s">
        <v>26</v>
      </c>
      <c r="F690" s="11" t="s">
        <v>2503</v>
      </c>
      <c r="G690" s="11" t="s">
        <v>28</v>
      </c>
      <c r="H690" s="11" t="s">
        <v>1685</v>
      </c>
      <c r="I690" s="11" t="s">
        <v>1686</v>
      </c>
      <c r="J690" s="12">
        <v>1</v>
      </c>
      <c r="K690" s="13">
        <v>1</v>
      </c>
      <c r="L690" s="14">
        <v>407</v>
      </c>
      <c r="M690" s="10">
        <v>389</v>
      </c>
      <c r="N690" s="10">
        <v>44974</v>
      </c>
      <c r="O690" s="10">
        <v>30505</v>
      </c>
      <c r="P690" s="10">
        <v>75479</v>
      </c>
    </row>
    <row r="691" spans="1:16" ht="27" customHeight="1" x14ac:dyDescent="0.2">
      <c r="A691" s="9" t="s">
        <v>1682</v>
      </c>
      <c r="B691" s="10" t="s">
        <v>2023</v>
      </c>
      <c r="C691" s="11" t="s">
        <v>2504</v>
      </c>
      <c r="D691" s="11" t="s">
        <v>2505</v>
      </c>
      <c r="E691" s="11" t="s">
        <v>26</v>
      </c>
      <c r="F691" s="11" t="s">
        <v>2506</v>
      </c>
      <c r="G691" s="11" t="s">
        <v>28</v>
      </c>
      <c r="H691" s="11" t="s">
        <v>1685</v>
      </c>
      <c r="I691" s="11" t="s">
        <v>1686</v>
      </c>
      <c r="J691" s="12">
        <v>1</v>
      </c>
      <c r="K691" s="13">
        <v>1</v>
      </c>
      <c r="L691" s="14">
        <v>463</v>
      </c>
      <c r="M691" s="10">
        <v>448</v>
      </c>
      <c r="N691" s="10">
        <v>51162</v>
      </c>
      <c r="O691" s="10">
        <v>35132</v>
      </c>
      <c r="P691" s="10">
        <v>86294</v>
      </c>
    </row>
    <row r="692" spans="1:16" ht="27" customHeight="1" x14ac:dyDescent="0.2">
      <c r="A692" s="9" t="s">
        <v>1682</v>
      </c>
      <c r="B692" s="10" t="s">
        <v>2023</v>
      </c>
      <c r="C692" s="11" t="s">
        <v>2507</v>
      </c>
      <c r="D692" s="11" t="s">
        <v>2508</v>
      </c>
      <c r="E692" s="11" t="s">
        <v>26</v>
      </c>
      <c r="F692" s="11" t="s">
        <v>2509</v>
      </c>
      <c r="G692" s="11" t="s">
        <v>28</v>
      </c>
      <c r="H692" s="11" t="s">
        <v>1685</v>
      </c>
      <c r="I692" s="11" t="s">
        <v>1686</v>
      </c>
      <c r="J692" s="12">
        <v>1</v>
      </c>
      <c r="K692" s="13">
        <v>1</v>
      </c>
      <c r="L692" s="14">
        <v>493</v>
      </c>
      <c r="M692" s="10">
        <v>486</v>
      </c>
      <c r="N692" s="10">
        <v>54477</v>
      </c>
      <c r="O692" s="10">
        <v>38112</v>
      </c>
      <c r="P692" s="10">
        <v>92589</v>
      </c>
    </row>
    <row r="693" spans="1:16" ht="27" customHeight="1" x14ac:dyDescent="0.2">
      <c r="A693" s="9" t="s">
        <v>1682</v>
      </c>
      <c r="B693" s="10" t="s">
        <v>2023</v>
      </c>
      <c r="C693" s="11" t="s">
        <v>2510</v>
      </c>
      <c r="D693" s="11" t="s">
        <v>2511</v>
      </c>
      <c r="E693" s="11" t="s">
        <v>26</v>
      </c>
      <c r="F693" s="11" t="s">
        <v>2512</v>
      </c>
      <c r="G693" s="11" t="s">
        <v>28</v>
      </c>
      <c r="H693" s="11" t="s">
        <v>2512</v>
      </c>
      <c r="I693" s="11" t="s">
        <v>2513</v>
      </c>
      <c r="J693" s="12">
        <v>0.99529999999999996</v>
      </c>
      <c r="K693" s="13">
        <v>1</v>
      </c>
      <c r="L693" s="14">
        <v>215</v>
      </c>
      <c r="M693" s="10">
        <v>214</v>
      </c>
      <c r="N693" s="10">
        <v>23758</v>
      </c>
      <c r="O693" s="10">
        <v>16782</v>
      </c>
      <c r="P693" s="10">
        <v>40540</v>
      </c>
    </row>
    <row r="694" spans="1:16" ht="27" customHeight="1" x14ac:dyDescent="0.2">
      <c r="A694" s="9" t="s">
        <v>1682</v>
      </c>
      <c r="B694" s="10" t="s">
        <v>2023</v>
      </c>
      <c r="C694" s="11" t="s">
        <v>2514</v>
      </c>
      <c r="D694" s="11" t="s">
        <v>2515</v>
      </c>
      <c r="E694" s="11" t="s">
        <v>26</v>
      </c>
      <c r="F694" s="11" t="s">
        <v>2516</v>
      </c>
      <c r="G694" s="11" t="s">
        <v>28</v>
      </c>
      <c r="H694" s="11" t="s">
        <v>2516</v>
      </c>
      <c r="I694" s="11" t="s">
        <v>2517</v>
      </c>
      <c r="J694" s="12">
        <v>0.82030000000000003</v>
      </c>
      <c r="K694" s="13">
        <v>1</v>
      </c>
      <c r="L694" s="14">
        <v>256</v>
      </c>
      <c r="M694" s="10">
        <v>210</v>
      </c>
      <c r="N694" s="10">
        <v>28288</v>
      </c>
      <c r="O694" s="10">
        <v>16468</v>
      </c>
      <c r="P694" s="10">
        <v>44756</v>
      </c>
    </row>
    <row r="695" spans="1:16" ht="27" customHeight="1" x14ac:dyDescent="0.2">
      <c r="A695" s="9" t="s">
        <v>1682</v>
      </c>
      <c r="B695" s="10" t="s">
        <v>2023</v>
      </c>
      <c r="C695" s="11" t="s">
        <v>2518</v>
      </c>
      <c r="D695" s="11" t="s">
        <v>2519</v>
      </c>
      <c r="E695" s="11" t="s">
        <v>26</v>
      </c>
      <c r="F695" s="11" t="s">
        <v>2520</v>
      </c>
      <c r="G695" s="11" t="s">
        <v>28</v>
      </c>
      <c r="H695" s="11" t="s">
        <v>1685</v>
      </c>
      <c r="I695" s="11" t="s">
        <v>1686</v>
      </c>
      <c r="J695" s="12">
        <v>1</v>
      </c>
      <c r="K695" s="13">
        <v>1</v>
      </c>
      <c r="L695" s="14">
        <v>459</v>
      </c>
      <c r="M695" s="10">
        <v>411</v>
      </c>
      <c r="N695" s="10">
        <v>50720</v>
      </c>
      <c r="O695" s="10">
        <v>32230</v>
      </c>
      <c r="P695" s="10">
        <v>82950</v>
      </c>
    </row>
    <row r="696" spans="1:16" ht="27" customHeight="1" x14ac:dyDescent="0.2">
      <c r="A696" s="9" t="s">
        <v>1682</v>
      </c>
      <c r="B696" s="10" t="s">
        <v>2023</v>
      </c>
      <c r="C696" s="11" t="s">
        <v>2521</v>
      </c>
      <c r="D696" s="11" t="s">
        <v>2522</v>
      </c>
      <c r="E696" s="11" t="s">
        <v>26</v>
      </c>
      <c r="F696" s="11" t="s">
        <v>2523</v>
      </c>
      <c r="G696" s="11" t="s">
        <v>28</v>
      </c>
      <c r="H696" s="11" t="s">
        <v>1685</v>
      </c>
      <c r="I696" s="11" t="s">
        <v>1686</v>
      </c>
      <c r="J696" s="12">
        <v>1</v>
      </c>
      <c r="K696" s="13">
        <v>1</v>
      </c>
      <c r="L696" s="14">
        <v>472</v>
      </c>
      <c r="M696" s="10">
        <v>455</v>
      </c>
      <c r="N696" s="10">
        <v>52157</v>
      </c>
      <c r="O696" s="10">
        <v>35681</v>
      </c>
      <c r="P696" s="10">
        <v>87838</v>
      </c>
    </row>
    <row r="697" spans="1:16" ht="27" customHeight="1" x14ac:dyDescent="0.2">
      <c r="A697" s="9" t="s">
        <v>1682</v>
      </c>
      <c r="B697" s="10" t="s">
        <v>2023</v>
      </c>
      <c r="C697" s="11" t="s">
        <v>2524</v>
      </c>
      <c r="D697" s="11" t="s">
        <v>2525</v>
      </c>
      <c r="E697" s="11" t="s">
        <v>26</v>
      </c>
      <c r="F697" s="11" t="s">
        <v>2526</v>
      </c>
      <c r="G697" s="11" t="s">
        <v>28</v>
      </c>
      <c r="H697" s="11" t="s">
        <v>2526</v>
      </c>
      <c r="I697" s="11" t="s">
        <v>2527</v>
      </c>
      <c r="J697" s="12">
        <v>0.92779999999999996</v>
      </c>
      <c r="K697" s="13">
        <v>1</v>
      </c>
      <c r="L697" s="14">
        <v>568</v>
      </c>
      <c r="M697" s="10">
        <v>527</v>
      </c>
      <c r="N697" s="10">
        <v>62765</v>
      </c>
      <c r="O697" s="10">
        <v>41327</v>
      </c>
      <c r="P697" s="10">
        <v>104092</v>
      </c>
    </row>
    <row r="698" spans="1:16" ht="27" customHeight="1" x14ac:dyDescent="0.2">
      <c r="A698" s="9" t="s">
        <v>1682</v>
      </c>
      <c r="B698" s="10" t="s">
        <v>2023</v>
      </c>
      <c r="C698" s="11" t="s">
        <v>2528</v>
      </c>
      <c r="D698" s="11" t="s">
        <v>2529</v>
      </c>
      <c r="E698" s="11" t="s">
        <v>26</v>
      </c>
      <c r="F698" s="11" t="s">
        <v>2530</v>
      </c>
      <c r="G698" s="11" t="s">
        <v>28</v>
      </c>
      <c r="H698" s="11" t="s">
        <v>1685</v>
      </c>
      <c r="I698" s="11" t="s">
        <v>1686</v>
      </c>
      <c r="J698" s="12">
        <v>1</v>
      </c>
      <c r="K698" s="13">
        <v>1</v>
      </c>
      <c r="L698" s="14">
        <v>195</v>
      </c>
      <c r="M698" s="10">
        <v>191</v>
      </c>
      <c r="N698" s="10">
        <v>21548</v>
      </c>
      <c r="O698" s="10">
        <v>14978</v>
      </c>
      <c r="P698" s="10">
        <v>36526</v>
      </c>
    </row>
    <row r="699" spans="1:16" ht="27" customHeight="1" x14ac:dyDescent="0.2">
      <c r="A699" s="9" t="s">
        <v>1682</v>
      </c>
      <c r="B699" s="10" t="s">
        <v>2023</v>
      </c>
      <c r="C699" s="11" t="s">
        <v>2531</v>
      </c>
      <c r="D699" s="11" t="s">
        <v>2532</v>
      </c>
      <c r="E699" s="11" t="s">
        <v>26</v>
      </c>
      <c r="F699" s="11" t="s">
        <v>2533</v>
      </c>
      <c r="G699" s="11" t="s">
        <v>28</v>
      </c>
      <c r="H699" s="11" t="s">
        <v>2533</v>
      </c>
      <c r="I699" s="11" t="s">
        <v>2534</v>
      </c>
      <c r="J699" s="12">
        <v>0.87709999999999999</v>
      </c>
      <c r="K699" s="13">
        <v>1</v>
      </c>
      <c r="L699" s="14">
        <v>301</v>
      </c>
      <c r="M699" s="10">
        <v>264</v>
      </c>
      <c r="N699" s="10">
        <v>33261</v>
      </c>
      <c r="O699" s="10">
        <v>20703</v>
      </c>
      <c r="P699" s="10">
        <v>53964</v>
      </c>
    </row>
    <row r="700" spans="1:16" ht="27" customHeight="1" x14ac:dyDescent="0.2">
      <c r="A700" s="9" t="s">
        <v>1682</v>
      </c>
      <c r="B700" s="10" t="s">
        <v>2023</v>
      </c>
      <c r="C700" s="11" t="s">
        <v>2535</v>
      </c>
      <c r="D700" s="11" t="s">
        <v>2536</v>
      </c>
      <c r="E700" s="11" t="s">
        <v>26</v>
      </c>
      <c r="F700" s="11" t="s">
        <v>2537</v>
      </c>
      <c r="G700" s="11" t="s">
        <v>28</v>
      </c>
      <c r="H700" s="11" t="s">
        <v>1685</v>
      </c>
      <c r="I700" s="11" t="s">
        <v>1686</v>
      </c>
      <c r="J700" s="12">
        <v>1</v>
      </c>
      <c r="K700" s="13">
        <v>1</v>
      </c>
      <c r="L700" s="14">
        <v>410</v>
      </c>
      <c r="M700" s="10">
        <v>399</v>
      </c>
      <c r="N700" s="10">
        <v>45306</v>
      </c>
      <c r="O700" s="10">
        <v>31289</v>
      </c>
      <c r="P700" s="10">
        <v>76595</v>
      </c>
    </row>
    <row r="701" spans="1:16" ht="27" customHeight="1" x14ac:dyDescent="0.2">
      <c r="A701" s="9" t="s">
        <v>1682</v>
      </c>
      <c r="B701" s="10" t="s">
        <v>2023</v>
      </c>
      <c r="C701" s="11" t="s">
        <v>2538</v>
      </c>
      <c r="D701" s="11" t="s">
        <v>2539</v>
      </c>
      <c r="E701" s="11" t="s">
        <v>26</v>
      </c>
      <c r="F701" s="11" t="s">
        <v>2540</v>
      </c>
      <c r="G701" s="11" t="s">
        <v>28</v>
      </c>
      <c r="H701" s="11" t="s">
        <v>2540</v>
      </c>
      <c r="I701" s="11" t="s">
        <v>2541</v>
      </c>
      <c r="J701" s="12">
        <v>0.88580000000000003</v>
      </c>
      <c r="K701" s="13">
        <v>1</v>
      </c>
      <c r="L701" s="14">
        <v>473</v>
      </c>
      <c r="M701" s="10">
        <v>419</v>
      </c>
      <c r="N701" s="10">
        <v>52267</v>
      </c>
      <c r="O701" s="10">
        <v>32858</v>
      </c>
      <c r="P701" s="10">
        <v>85125</v>
      </c>
    </row>
    <row r="702" spans="1:16" ht="27" customHeight="1" x14ac:dyDescent="0.2">
      <c r="A702" s="9" t="s">
        <v>1682</v>
      </c>
      <c r="B702" s="10" t="s">
        <v>2023</v>
      </c>
      <c r="C702" s="11" t="s">
        <v>2542</v>
      </c>
      <c r="D702" s="11" t="s">
        <v>2543</v>
      </c>
      <c r="E702" s="11" t="s">
        <v>26</v>
      </c>
      <c r="F702" s="11" t="s">
        <v>2544</v>
      </c>
      <c r="G702" s="11" t="s">
        <v>28</v>
      </c>
      <c r="H702" s="11" t="s">
        <v>2544</v>
      </c>
      <c r="I702" s="11" t="s">
        <v>2545</v>
      </c>
      <c r="J702" s="12">
        <v>0.78949999999999998</v>
      </c>
      <c r="K702" s="13">
        <v>1</v>
      </c>
      <c r="L702" s="14">
        <v>76</v>
      </c>
      <c r="M702" s="10">
        <v>60</v>
      </c>
      <c r="N702" s="10">
        <v>8398</v>
      </c>
      <c r="O702" s="10">
        <v>4705</v>
      </c>
      <c r="P702" s="10">
        <v>13103</v>
      </c>
    </row>
    <row r="703" spans="1:16" ht="27" customHeight="1" x14ac:dyDescent="0.2">
      <c r="A703" s="9" t="s">
        <v>1682</v>
      </c>
      <c r="B703" s="10" t="s">
        <v>2023</v>
      </c>
      <c r="C703" s="11" t="s">
        <v>2546</v>
      </c>
      <c r="D703" s="11" t="s">
        <v>2547</v>
      </c>
      <c r="E703" s="11" t="s">
        <v>26</v>
      </c>
      <c r="F703" s="11" t="s">
        <v>2548</v>
      </c>
      <c r="G703" s="11" t="s">
        <v>28</v>
      </c>
      <c r="H703" s="11" t="s">
        <v>2548</v>
      </c>
      <c r="I703" s="11" t="s">
        <v>2549</v>
      </c>
      <c r="J703" s="12">
        <v>0.72389999999999999</v>
      </c>
      <c r="K703" s="13">
        <v>1</v>
      </c>
      <c r="L703" s="14">
        <v>326</v>
      </c>
      <c r="M703" s="10">
        <v>236</v>
      </c>
      <c r="N703" s="10">
        <v>36024</v>
      </c>
      <c r="O703" s="10">
        <v>18507</v>
      </c>
      <c r="P703" s="10">
        <v>54531</v>
      </c>
    </row>
    <row r="704" spans="1:16" ht="27" customHeight="1" x14ac:dyDescent="0.2">
      <c r="A704" s="9" t="s">
        <v>1682</v>
      </c>
      <c r="B704" s="10" t="s">
        <v>2023</v>
      </c>
      <c r="C704" s="11" t="s">
        <v>2550</v>
      </c>
      <c r="D704" s="11" t="s">
        <v>2551</v>
      </c>
      <c r="E704" s="11" t="s">
        <v>26</v>
      </c>
      <c r="F704" s="11" t="s">
        <v>2552</v>
      </c>
      <c r="G704" s="11" t="s">
        <v>28</v>
      </c>
      <c r="H704" s="11" t="s">
        <v>2552</v>
      </c>
      <c r="I704" s="11" t="s">
        <v>2553</v>
      </c>
      <c r="J704" s="12">
        <v>0.77890000000000004</v>
      </c>
      <c r="K704" s="13">
        <v>1</v>
      </c>
      <c r="L704" s="14">
        <v>294</v>
      </c>
      <c r="M704" s="10">
        <v>229</v>
      </c>
      <c r="N704" s="10">
        <v>32487</v>
      </c>
      <c r="O704" s="10">
        <v>17958</v>
      </c>
      <c r="P704" s="10">
        <v>50445</v>
      </c>
    </row>
    <row r="705" spans="1:16" ht="27" customHeight="1" x14ac:dyDescent="0.2">
      <c r="A705" s="9" t="s">
        <v>1682</v>
      </c>
      <c r="B705" s="10" t="s">
        <v>2023</v>
      </c>
      <c r="C705" s="11" t="s">
        <v>2554</v>
      </c>
      <c r="D705" s="11" t="s">
        <v>2555</v>
      </c>
      <c r="E705" s="11" t="s">
        <v>26</v>
      </c>
      <c r="F705" s="11" t="s">
        <v>2556</v>
      </c>
      <c r="G705" s="11" t="s">
        <v>28</v>
      </c>
      <c r="H705" s="11" t="s">
        <v>2556</v>
      </c>
      <c r="I705" s="11" t="s">
        <v>2557</v>
      </c>
      <c r="J705" s="12">
        <v>0.80469999999999997</v>
      </c>
      <c r="K705" s="13">
        <v>1</v>
      </c>
      <c r="L705" s="14">
        <v>297</v>
      </c>
      <c r="M705" s="10">
        <v>239</v>
      </c>
      <c r="N705" s="10">
        <v>32819</v>
      </c>
      <c r="O705" s="10">
        <v>18742</v>
      </c>
      <c r="P705" s="10">
        <v>51561</v>
      </c>
    </row>
    <row r="706" spans="1:16" ht="27" customHeight="1" x14ac:dyDescent="0.2">
      <c r="A706" s="9" t="s">
        <v>1682</v>
      </c>
      <c r="B706" s="10" t="s">
        <v>2023</v>
      </c>
      <c r="C706" s="11" t="s">
        <v>2558</v>
      </c>
      <c r="D706" s="11" t="s">
        <v>2559</v>
      </c>
      <c r="E706" s="11" t="s">
        <v>26</v>
      </c>
      <c r="F706" s="11" t="s">
        <v>2560</v>
      </c>
      <c r="G706" s="11" t="s">
        <v>28</v>
      </c>
      <c r="H706" s="11" t="s">
        <v>2560</v>
      </c>
      <c r="I706" s="11" t="s">
        <v>2561</v>
      </c>
      <c r="J706" s="12">
        <v>0.80649999999999999</v>
      </c>
      <c r="K706" s="13">
        <v>1</v>
      </c>
      <c r="L706" s="14">
        <v>310</v>
      </c>
      <c r="M706" s="10">
        <v>250</v>
      </c>
      <c r="N706" s="10">
        <v>34256</v>
      </c>
      <c r="O706" s="10">
        <v>19605</v>
      </c>
      <c r="P706" s="10">
        <v>53861</v>
      </c>
    </row>
    <row r="707" spans="1:16" ht="27" customHeight="1" x14ac:dyDescent="0.2">
      <c r="A707" s="9" t="s">
        <v>1682</v>
      </c>
      <c r="B707" s="10" t="s">
        <v>2023</v>
      </c>
      <c r="C707" s="11" t="s">
        <v>2562</v>
      </c>
      <c r="D707" s="11" t="s">
        <v>2563</v>
      </c>
      <c r="E707" s="11" t="s">
        <v>26</v>
      </c>
      <c r="F707" s="11" t="s">
        <v>2564</v>
      </c>
      <c r="G707" s="11" t="s">
        <v>28</v>
      </c>
      <c r="H707" s="11" t="s">
        <v>2564</v>
      </c>
      <c r="I707" s="11" t="s">
        <v>2565</v>
      </c>
      <c r="J707" s="12">
        <v>0.95640000000000003</v>
      </c>
      <c r="K707" s="13">
        <v>1</v>
      </c>
      <c r="L707" s="14">
        <v>413</v>
      </c>
      <c r="M707" s="10">
        <v>395</v>
      </c>
      <c r="N707" s="10">
        <v>45637</v>
      </c>
      <c r="O707" s="10">
        <v>30975</v>
      </c>
      <c r="P707" s="10">
        <v>76612</v>
      </c>
    </row>
    <row r="708" spans="1:16" ht="27" customHeight="1" x14ac:dyDescent="0.2">
      <c r="A708" s="9" t="s">
        <v>1682</v>
      </c>
      <c r="B708" s="10" t="s">
        <v>2023</v>
      </c>
      <c r="C708" s="11" t="s">
        <v>2566</v>
      </c>
      <c r="D708" s="11" t="s">
        <v>2567</v>
      </c>
      <c r="E708" s="11" t="s">
        <v>26</v>
      </c>
      <c r="F708" s="11" t="s">
        <v>2568</v>
      </c>
      <c r="G708" s="11" t="s">
        <v>28</v>
      </c>
      <c r="H708" s="11" t="s">
        <v>2568</v>
      </c>
      <c r="I708" s="11" t="s">
        <v>2569</v>
      </c>
      <c r="J708" s="12">
        <v>0.86929999999999996</v>
      </c>
      <c r="K708" s="13">
        <v>1</v>
      </c>
      <c r="L708" s="14">
        <v>482</v>
      </c>
      <c r="M708" s="10">
        <v>419</v>
      </c>
      <c r="N708" s="10">
        <v>53262</v>
      </c>
      <c r="O708" s="10">
        <v>32858</v>
      </c>
      <c r="P708" s="10">
        <v>86120</v>
      </c>
    </row>
    <row r="709" spans="1:16" ht="27" customHeight="1" x14ac:dyDescent="0.2">
      <c r="A709" s="9" t="s">
        <v>1682</v>
      </c>
      <c r="B709" s="10" t="s">
        <v>2023</v>
      </c>
      <c r="C709" s="11" t="s">
        <v>2570</v>
      </c>
      <c r="D709" s="11" t="s">
        <v>2571</v>
      </c>
      <c r="E709" s="11" t="s">
        <v>26</v>
      </c>
      <c r="F709" s="11" t="s">
        <v>2572</v>
      </c>
      <c r="G709" s="11" t="s">
        <v>28</v>
      </c>
      <c r="H709" s="11" t="s">
        <v>1685</v>
      </c>
      <c r="I709" s="11" t="s">
        <v>1686</v>
      </c>
      <c r="J709" s="12">
        <v>1</v>
      </c>
      <c r="K709" s="13">
        <v>1</v>
      </c>
      <c r="L709" s="14">
        <v>162</v>
      </c>
      <c r="M709" s="10">
        <v>149</v>
      </c>
      <c r="N709" s="10">
        <v>17901</v>
      </c>
      <c r="O709" s="10">
        <v>11684</v>
      </c>
      <c r="P709" s="10">
        <v>29585</v>
      </c>
    </row>
    <row r="710" spans="1:16" ht="27" customHeight="1" x14ac:dyDescent="0.2">
      <c r="A710" s="9" t="s">
        <v>1682</v>
      </c>
      <c r="B710" s="10" t="s">
        <v>2023</v>
      </c>
      <c r="C710" s="11" t="s">
        <v>2573</v>
      </c>
      <c r="D710" s="11" t="s">
        <v>2574</v>
      </c>
      <c r="E710" s="11" t="s">
        <v>26</v>
      </c>
      <c r="F710" s="11" t="s">
        <v>2575</v>
      </c>
      <c r="G710" s="11" t="s">
        <v>28</v>
      </c>
      <c r="H710" s="11" t="s">
        <v>2575</v>
      </c>
      <c r="I710" s="11" t="s">
        <v>2576</v>
      </c>
      <c r="J710" s="12">
        <v>0.81850000000000001</v>
      </c>
      <c r="K710" s="13">
        <v>1</v>
      </c>
      <c r="L710" s="14">
        <v>270</v>
      </c>
      <c r="M710" s="10">
        <v>221</v>
      </c>
      <c r="N710" s="10">
        <v>29835</v>
      </c>
      <c r="O710" s="10">
        <v>17331</v>
      </c>
      <c r="P710" s="10">
        <v>47166</v>
      </c>
    </row>
    <row r="711" spans="1:16" ht="27" customHeight="1" x14ac:dyDescent="0.2">
      <c r="A711" s="9" t="s">
        <v>1682</v>
      </c>
      <c r="B711" s="10" t="s">
        <v>2023</v>
      </c>
      <c r="C711" s="11" t="s">
        <v>2577</v>
      </c>
      <c r="D711" s="11" t="s">
        <v>2578</v>
      </c>
      <c r="E711" s="11" t="s">
        <v>26</v>
      </c>
      <c r="F711" s="11" t="s">
        <v>2579</v>
      </c>
      <c r="G711" s="11" t="s">
        <v>28</v>
      </c>
      <c r="H711" s="11" t="s">
        <v>1685</v>
      </c>
      <c r="I711" s="11" t="s">
        <v>1686</v>
      </c>
      <c r="J711" s="12">
        <v>1</v>
      </c>
      <c r="K711" s="13">
        <v>1</v>
      </c>
      <c r="L711" s="14">
        <v>485</v>
      </c>
      <c r="M711" s="10">
        <v>318</v>
      </c>
      <c r="N711" s="10">
        <v>53593</v>
      </c>
      <c r="O711" s="10">
        <v>24937</v>
      </c>
      <c r="P711" s="10">
        <v>78530</v>
      </c>
    </row>
    <row r="712" spans="1:16" ht="27" customHeight="1" x14ac:dyDescent="0.2">
      <c r="A712" s="9" t="s">
        <v>1682</v>
      </c>
      <c r="B712" s="10" t="s">
        <v>2023</v>
      </c>
      <c r="C712" s="11" t="s">
        <v>2580</v>
      </c>
      <c r="D712" s="11" t="s">
        <v>2581</v>
      </c>
      <c r="E712" s="11" t="s">
        <v>26</v>
      </c>
      <c r="F712" s="11" t="s">
        <v>2582</v>
      </c>
      <c r="G712" s="11" t="s">
        <v>28</v>
      </c>
      <c r="H712" s="11" t="s">
        <v>2582</v>
      </c>
      <c r="I712" s="11" t="s">
        <v>2583</v>
      </c>
      <c r="J712" s="12">
        <v>0.92300000000000004</v>
      </c>
      <c r="K712" s="13">
        <v>1</v>
      </c>
      <c r="L712" s="14">
        <v>1013</v>
      </c>
      <c r="M712" s="10">
        <v>935</v>
      </c>
      <c r="N712" s="10">
        <v>111938</v>
      </c>
      <c r="O712" s="10">
        <v>73322</v>
      </c>
      <c r="P712" s="10">
        <v>185260</v>
      </c>
    </row>
    <row r="713" spans="1:16" ht="27" customHeight="1" x14ac:dyDescent="0.2">
      <c r="A713" s="9" t="s">
        <v>1682</v>
      </c>
      <c r="B713" s="10" t="s">
        <v>2023</v>
      </c>
      <c r="C713" s="11" t="s">
        <v>2584</v>
      </c>
      <c r="D713" s="11" t="s">
        <v>2585</v>
      </c>
      <c r="E713" s="11" t="s">
        <v>26</v>
      </c>
      <c r="F713" s="11" t="s">
        <v>2586</v>
      </c>
      <c r="G713" s="11" t="s">
        <v>28</v>
      </c>
      <c r="H713" s="11" t="s">
        <v>1685</v>
      </c>
      <c r="I713" s="11" t="s">
        <v>1686</v>
      </c>
      <c r="J713" s="12">
        <v>1</v>
      </c>
      <c r="K713" s="13">
        <v>1</v>
      </c>
      <c r="L713" s="14">
        <v>200</v>
      </c>
      <c r="M713" s="10">
        <v>183</v>
      </c>
      <c r="N713" s="10">
        <v>22100</v>
      </c>
      <c r="O713" s="10">
        <v>14351</v>
      </c>
      <c r="P713" s="10">
        <v>36451</v>
      </c>
    </row>
    <row r="714" spans="1:16" ht="27" customHeight="1" x14ac:dyDescent="0.2">
      <c r="A714" s="9" t="s">
        <v>1682</v>
      </c>
      <c r="B714" s="10" t="s">
        <v>2023</v>
      </c>
      <c r="C714" s="11" t="s">
        <v>2587</v>
      </c>
      <c r="D714" s="11" t="s">
        <v>2588</v>
      </c>
      <c r="E714" s="11" t="s">
        <v>26</v>
      </c>
      <c r="F714" s="11" t="s">
        <v>2589</v>
      </c>
      <c r="G714" s="11" t="s">
        <v>28</v>
      </c>
      <c r="H714" s="11" t="s">
        <v>1685</v>
      </c>
      <c r="I714" s="11" t="s">
        <v>1686</v>
      </c>
      <c r="J714" s="12">
        <v>1</v>
      </c>
      <c r="K714" s="13">
        <v>1</v>
      </c>
      <c r="L714" s="14">
        <v>350</v>
      </c>
      <c r="M714" s="10">
        <v>276</v>
      </c>
      <c r="N714" s="10">
        <v>38676</v>
      </c>
      <c r="O714" s="10">
        <v>21644</v>
      </c>
      <c r="P714" s="10">
        <v>60320</v>
      </c>
    </row>
    <row r="715" spans="1:16" ht="27" customHeight="1" x14ac:dyDescent="0.2">
      <c r="A715" s="9" t="s">
        <v>1682</v>
      </c>
      <c r="B715" s="10" t="s">
        <v>2023</v>
      </c>
      <c r="C715" s="11" t="s">
        <v>2590</v>
      </c>
      <c r="D715" s="11" t="s">
        <v>2591</v>
      </c>
      <c r="E715" s="11" t="s">
        <v>26</v>
      </c>
      <c r="F715" s="11" t="s">
        <v>2592</v>
      </c>
      <c r="G715" s="11" t="s">
        <v>28</v>
      </c>
      <c r="H715" s="11" t="s">
        <v>2592</v>
      </c>
      <c r="I715" s="11" t="s">
        <v>2593</v>
      </c>
      <c r="J715" s="12">
        <v>0.86970000000000003</v>
      </c>
      <c r="K715" s="13">
        <v>1</v>
      </c>
      <c r="L715" s="14">
        <v>261</v>
      </c>
      <c r="M715" s="10">
        <v>227</v>
      </c>
      <c r="N715" s="10">
        <v>28841</v>
      </c>
      <c r="O715" s="10">
        <v>17801</v>
      </c>
      <c r="P715" s="10">
        <v>46642</v>
      </c>
    </row>
    <row r="716" spans="1:16" ht="27" customHeight="1" x14ac:dyDescent="0.2">
      <c r="A716" s="9" t="s">
        <v>1682</v>
      </c>
      <c r="B716" s="10" t="s">
        <v>2023</v>
      </c>
      <c r="C716" s="11" t="s">
        <v>2594</v>
      </c>
      <c r="D716" s="11" t="s">
        <v>2595</v>
      </c>
      <c r="E716" s="11" t="s">
        <v>26</v>
      </c>
      <c r="F716" s="11" t="s">
        <v>2596</v>
      </c>
      <c r="G716" s="11" t="s">
        <v>28</v>
      </c>
      <c r="H716" s="11" t="s">
        <v>2596</v>
      </c>
      <c r="I716" s="11" t="s">
        <v>2597</v>
      </c>
      <c r="J716" s="12">
        <v>0.95850000000000002</v>
      </c>
      <c r="K716" s="13">
        <v>1</v>
      </c>
      <c r="L716" s="14">
        <v>796</v>
      </c>
      <c r="M716" s="10">
        <v>763</v>
      </c>
      <c r="N716" s="10">
        <v>87959</v>
      </c>
      <c r="O716" s="10">
        <v>59834</v>
      </c>
      <c r="P716" s="10">
        <v>147793</v>
      </c>
    </row>
    <row r="717" spans="1:16" ht="27" customHeight="1" x14ac:dyDescent="0.2">
      <c r="A717" s="9" t="s">
        <v>1682</v>
      </c>
      <c r="B717" s="10" t="s">
        <v>2023</v>
      </c>
      <c r="C717" s="11" t="s">
        <v>2598</v>
      </c>
      <c r="D717" s="11" t="s">
        <v>2599</v>
      </c>
      <c r="E717" s="11" t="s">
        <v>26</v>
      </c>
      <c r="F717" s="11" t="s">
        <v>2600</v>
      </c>
      <c r="G717" s="11" t="s">
        <v>28</v>
      </c>
      <c r="H717" s="11" t="s">
        <v>1685</v>
      </c>
      <c r="I717" s="11" t="s">
        <v>1686</v>
      </c>
      <c r="J717" s="12">
        <v>1</v>
      </c>
      <c r="K717" s="13">
        <v>1</v>
      </c>
      <c r="L717" s="14">
        <v>346</v>
      </c>
      <c r="M717" s="10">
        <v>316</v>
      </c>
      <c r="N717" s="10">
        <v>38234</v>
      </c>
      <c r="O717" s="10">
        <v>24780</v>
      </c>
      <c r="P717" s="10">
        <v>63014</v>
      </c>
    </row>
    <row r="718" spans="1:16" ht="27" customHeight="1" x14ac:dyDescent="0.2">
      <c r="A718" s="9" t="s">
        <v>1682</v>
      </c>
      <c r="B718" s="10" t="s">
        <v>2023</v>
      </c>
      <c r="C718" s="11" t="s">
        <v>2601</v>
      </c>
      <c r="D718" s="11" t="s">
        <v>2602</v>
      </c>
      <c r="E718" s="11" t="s">
        <v>26</v>
      </c>
      <c r="F718" s="11" t="s">
        <v>2603</v>
      </c>
      <c r="G718" s="11" t="s">
        <v>28</v>
      </c>
      <c r="H718" s="11" t="s">
        <v>2603</v>
      </c>
      <c r="I718" s="11" t="s">
        <v>2604</v>
      </c>
      <c r="J718" s="12">
        <v>0.89810000000000001</v>
      </c>
      <c r="K718" s="13">
        <v>1</v>
      </c>
      <c r="L718" s="14">
        <v>373</v>
      </c>
      <c r="M718" s="10">
        <v>335</v>
      </c>
      <c r="N718" s="10">
        <v>41217</v>
      </c>
      <c r="O718" s="10">
        <v>26270</v>
      </c>
      <c r="P718" s="10">
        <v>67487</v>
      </c>
    </row>
    <row r="719" spans="1:16" ht="27" customHeight="1" x14ac:dyDescent="0.2">
      <c r="A719" s="9" t="s">
        <v>1682</v>
      </c>
      <c r="B719" s="10" t="s">
        <v>2023</v>
      </c>
      <c r="C719" s="11" t="s">
        <v>2605</v>
      </c>
      <c r="D719" s="11" t="s">
        <v>2606</v>
      </c>
      <c r="E719" s="11" t="s">
        <v>26</v>
      </c>
      <c r="F719" s="11" t="s">
        <v>2607</v>
      </c>
      <c r="G719" s="11" t="s">
        <v>28</v>
      </c>
      <c r="H719" s="11" t="s">
        <v>1685</v>
      </c>
      <c r="I719" s="11" t="s">
        <v>1686</v>
      </c>
      <c r="J719" s="12">
        <v>1</v>
      </c>
      <c r="K719" s="13">
        <v>1</v>
      </c>
      <c r="L719" s="14">
        <v>390</v>
      </c>
      <c r="M719" s="10">
        <v>361</v>
      </c>
      <c r="N719" s="10">
        <v>43096</v>
      </c>
      <c r="O719" s="10">
        <v>28309</v>
      </c>
      <c r="P719" s="10">
        <v>71405</v>
      </c>
    </row>
    <row r="720" spans="1:16" ht="27" customHeight="1" x14ac:dyDescent="0.2">
      <c r="A720" s="9" t="s">
        <v>1682</v>
      </c>
      <c r="B720" s="10" t="s">
        <v>2023</v>
      </c>
      <c r="C720" s="11" t="s">
        <v>2608</v>
      </c>
      <c r="D720" s="11" t="s">
        <v>2609</v>
      </c>
      <c r="E720" s="11" t="s">
        <v>26</v>
      </c>
      <c r="F720" s="11" t="s">
        <v>2610</v>
      </c>
      <c r="G720" s="11" t="s">
        <v>28</v>
      </c>
      <c r="H720" s="11" t="s">
        <v>2610</v>
      </c>
      <c r="I720" s="11" t="s">
        <v>2611</v>
      </c>
      <c r="J720" s="12">
        <v>0.88949999999999996</v>
      </c>
      <c r="K720" s="13">
        <v>1</v>
      </c>
      <c r="L720" s="14">
        <v>371</v>
      </c>
      <c r="M720" s="10">
        <v>330</v>
      </c>
      <c r="N720" s="10">
        <v>40996</v>
      </c>
      <c r="O720" s="10">
        <v>25878</v>
      </c>
      <c r="P720" s="10">
        <v>66874</v>
      </c>
    </row>
    <row r="721" spans="1:16" ht="27" customHeight="1" x14ac:dyDescent="0.2">
      <c r="A721" s="9" t="s">
        <v>1682</v>
      </c>
      <c r="B721" s="10" t="s">
        <v>2023</v>
      </c>
      <c r="C721" s="11" t="s">
        <v>2612</v>
      </c>
      <c r="D721" s="11" t="s">
        <v>2613</v>
      </c>
      <c r="E721" s="11" t="s">
        <v>26</v>
      </c>
      <c r="F721" s="11" t="s">
        <v>2614</v>
      </c>
      <c r="G721" s="11" t="s">
        <v>28</v>
      </c>
      <c r="H721" s="11" t="s">
        <v>2614</v>
      </c>
      <c r="I721" s="11" t="s">
        <v>2615</v>
      </c>
      <c r="J721" s="12">
        <v>0.80830000000000002</v>
      </c>
      <c r="K721" s="13">
        <v>1</v>
      </c>
      <c r="L721" s="14">
        <v>193</v>
      </c>
      <c r="M721" s="10">
        <v>156</v>
      </c>
      <c r="N721" s="10">
        <v>21327</v>
      </c>
      <c r="O721" s="10">
        <v>12233</v>
      </c>
      <c r="P721" s="10">
        <v>33560</v>
      </c>
    </row>
    <row r="722" spans="1:16" ht="27" customHeight="1" x14ac:dyDescent="0.2">
      <c r="A722" s="9" t="s">
        <v>1682</v>
      </c>
      <c r="B722" s="10" t="s">
        <v>2023</v>
      </c>
      <c r="C722" s="11" t="s">
        <v>2616</v>
      </c>
      <c r="D722" s="11" t="s">
        <v>2617</v>
      </c>
      <c r="E722" s="11" t="s">
        <v>26</v>
      </c>
      <c r="F722" s="11" t="s">
        <v>2618</v>
      </c>
      <c r="G722" s="11" t="s">
        <v>28</v>
      </c>
      <c r="H722" s="11" t="s">
        <v>1685</v>
      </c>
      <c r="I722" s="11" t="s">
        <v>1686</v>
      </c>
      <c r="J722" s="12">
        <v>1</v>
      </c>
      <c r="K722" s="13">
        <v>1</v>
      </c>
      <c r="L722" s="14">
        <v>157</v>
      </c>
      <c r="M722" s="10">
        <v>135</v>
      </c>
      <c r="N722" s="10">
        <v>17349</v>
      </c>
      <c r="O722" s="10">
        <v>10587</v>
      </c>
      <c r="P722" s="10">
        <v>27936</v>
      </c>
    </row>
    <row r="723" spans="1:16" ht="27" customHeight="1" x14ac:dyDescent="0.2">
      <c r="A723" s="9" t="s">
        <v>1682</v>
      </c>
      <c r="B723" s="10" t="s">
        <v>2023</v>
      </c>
      <c r="C723" s="11" t="s">
        <v>2619</v>
      </c>
      <c r="D723" s="11" t="s">
        <v>2620</v>
      </c>
      <c r="E723" s="11" t="s">
        <v>26</v>
      </c>
      <c r="F723" s="11" t="s">
        <v>2621</v>
      </c>
      <c r="G723" s="11" t="s">
        <v>28</v>
      </c>
      <c r="H723" s="11" t="s">
        <v>1685</v>
      </c>
      <c r="I723" s="11" t="s">
        <v>1686</v>
      </c>
      <c r="J723" s="12">
        <v>1</v>
      </c>
      <c r="K723" s="13">
        <v>1</v>
      </c>
      <c r="L723" s="14">
        <v>473</v>
      </c>
      <c r="M723" s="10">
        <v>437</v>
      </c>
      <c r="N723" s="10">
        <v>52267</v>
      </c>
      <c r="O723" s="10">
        <v>34269</v>
      </c>
      <c r="P723" s="10">
        <v>86536</v>
      </c>
    </row>
    <row r="724" spans="1:16" ht="27" customHeight="1" x14ac:dyDescent="0.2">
      <c r="A724" s="9" t="s">
        <v>1682</v>
      </c>
      <c r="B724" s="10" t="s">
        <v>2023</v>
      </c>
      <c r="C724" s="11" t="s">
        <v>2622</v>
      </c>
      <c r="D724" s="11" t="s">
        <v>2623</v>
      </c>
      <c r="E724" s="11" t="s">
        <v>26</v>
      </c>
      <c r="F724" s="11" t="s">
        <v>2624</v>
      </c>
      <c r="G724" s="11" t="s">
        <v>28</v>
      </c>
      <c r="H724" s="11" t="s">
        <v>1685</v>
      </c>
      <c r="I724" s="11" t="s">
        <v>1686</v>
      </c>
      <c r="J724" s="12">
        <v>1</v>
      </c>
      <c r="K724" s="13">
        <v>1</v>
      </c>
      <c r="L724" s="14">
        <v>443</v>
      </c>
      <c r="M724" s="10">
        <v>435</v>
      </c>
      <c r="N724" s="10">
        <v>48952</v>
      </c>
      <c r="O724" s="10">
        <v>34112</v>
      </c>
      <c r="P724" s="10">
        <v>83064</v>
      </c>
    </row>
    <row r="725" spans="1:16" ht="27" customHeight="1" x14ac:dyDescent="0.2">
      <c r="A725" s="9" t="s">
        <v>1682</v>
      </c>
      <c r="B725" s="10" t="s">
        <v>2023</v>
      </c>
      <c r="C725" s="11" t="s">
        <v>2625</v>
      </c>
      <c r="D725" s="11" t="s">
        <v>2626</v>
      </c>
      <c r="E725" s="11" t="s">
        <v>26</v>
      </c>
      <c r="F725" s="11" t="s">
        <v>2627</v>
      </c>
      <c r="G725" s="11" t="s">
        <v>28</v>
      </c>
      <c r="H725" s="11" t="s">
        <v>1685</v>
      </c>
      <c r="I725" s="11" t="s">
        <v>1686</v>
      </c>
      <c r="J725" s="12">
        <v>1</v>
      </c>
      <c r="K725" s="13">
        <v>1</v>
      </c>
      <c r="L725" s="14">
        <v>255</v>
      </c>
      <c r="M725" s="10">
        <v>243</v>
      </c>
      <c r="N725" s="10">
        <v>28178</v>
      </c>
      <c r="O725" s="10">
        <v>19056</v>
      </c>
      <c r="P725" s="10">
        <v>47234</v>
      </c>
    </row>
    <row r="726" spans="1:16" ht="27" customHeight="1" x14ac:dyDescent="0.2">
      <c r="A726" s="9" t="s">
        <v>1682</v>
      </c>
      <c r="B726" s="10" t="s">
        <v>2023</v>
      </c>
      <c r="C726" s="11" t="s">
        <v>2628</v>
      </c>
      <c r="D726" s="11" t="s">
        <v>2629</v>
      </c>
      <c r="E726" s="11" t="s">
        <v>26</v>
      </c>
      <c r="F726" s="11" t="s">
        <v>2630</v>
      </c>
      <c r="G726" s="11" t="s">
        <v>28</v>
      </c>
      <c r="H726" s="11" t="s">
        <v>2630</v>
      </c>
      <c r="I726" s="11" t="s">
        <v>2631</v>
      </c>
      <c r="J726" s="12">
        <v>0.96519999999999995</v>
      </c>
      <c r="K726" s="13">
        <v>1</v>
      </c>
      <c r="L726" s="14">
        <v>374</v>
      </c>
      <c r="M726" s="10">
        <v>361</v>
      </c>
      <c r="N726" s="10">
        <v>41328</v>
      </c>
      <c r="O726" s="10">
        <v>28309</v>
      </c>
      <c r="P726" s="10">
        <v>69637</v>
      </c>
    </row>
    <row r="727" spans="1:16" ht="27" customHeight="1" x14ac:dyDescent="0.2">
      <c r="A727" s="9" t="s">
        <v>1682</v>
      </c>
      <c r="B727" s="10" t="s">
        <v>2023</v>
      </c>
      <c r="C727" s="11" t="s">
        <v>2632</v>
      </c>
      <c r="D727" s="11" t="s">
        <v>2633</v>
      </c>
      <c r="E727" s="11" t="s">
        <v>26</v>
      </c>
      <c r="F727" s="11" t="s">
        <v>2634</v>
      </c>
      <c r="G727" s="11" t="s">
        <v>28</v>
      </c>
      <c r="H727" s="11" t="s">
        <v>2634</v>
      </c>
      <c r="I727" s="11" t="s">
        <v>2635</v>
      </c>
      <c r="J727" s="12">
        <v>0.85509999999999997</v>
      </c>
      <c r="K727" s="13">
        <v>1</v>
      </c>
      <c r="L727" s="14">
        <v>1056</v>
      </c>
      <c r="M727" s="10">
        <v>903</v>
      </c>
      <c r="N727" s="10">
        <v>116690</v>
      </c>
      <c r="O727" s="10">
        <v>70812</v>
      </c>
      <c r="P727" s="10">
        <v>187502</v>
      </c>
    </row>
    <row r="728" spans="1:16" ht="27" customHeight="1" x14ac:dyDescent="0.2">
      <c r="A728" s="9" t="s">
        <v>1682</v>
      </c>
      <c r="B728" s="10" t="s">
        <v>2023</v>
      </c>
      <c r="C728" s="11" t="s">
        <v>2636</v>
      </c>
      <c r="D728" s="11" t="s">
        <v>2637</v>
      </c>
      <c r="E728" s="11" t="s">
        <v>26</v>
      </c>
      <c r="F728" s="11" t="s">
        <v>2638</v>
      </c>
      <c r="G728" s="11" t="s">
        <v>28</v>
      </c>
      <c r="H728" s="11" t="s">
        <v>2638</v>
      </c>
      <c r="I728" s="11" t="s">
        <v>2639</v>
      </c>
      <c r="J728" s="12">
        <v>0.92120000000000002</v>
      </c>
      <c r="K728" s="13">
        <v>1</v>
      </c>
      <c r="L728" s="14">
        <v>330</v>
      </c>
      <c r="M728" s="10">
        <v>304</v>
      </c>
      <c r="N728" s="10">
        <v>36466</v>
      </c>
      <c r="O728" s="10">
        <v>23839</v>
      </c>
      <c r="P728" s="10">
        <v>60305</v>
      </c>
    </row>
    <row r="729" spans="1:16" ht="27" customHeight="1" x14ac:dyDescent="0.2">
      <c r="A729" s="9" t="s">
        <v>1682</v>
      </c>
      <c r="B729" s="10" t="s">
        <v>2023</v>
      </c>
      <c r="C729" s="11" t="s">
        <v>2640</v>
      </c>
      <c r="D729" s="11" t="s">
        <v>2641</v>
      </c>
      <c r="E729" s="11" t="s">
        <v>26</v>
      </c>
      <c r="F729" s="11" t="s">
        <v>2642</v>
      </c>
      <c r="G729" s="11" t="s">
        <v>28</v>
      </c>
      <c r="H729" s="11" t="s">
        <v>1685</v>
      </c>
      <c r="I729" s="11" t="s">
        <v>1686</v>
      </c>
      <c r="J729" s="12">
        <v>1</v>
      </c>
      <c r="K729" s="13">
        <v>1</v>
      </c>
      <c r="L729" s="14">
        <v>276</v>
      </c>
      <c r="M729" s="10">
        <v>92</v>
      </c>
      <c r="N729" s="10">
        <v>30498</v>
      </c>
      <c r="O729" s="10">
        <v>7215</v>
      </c>
      <c r="P729" s="10">
        <v>37713</v>
      </c>
    </row>
    <row r="730" spans="1:16" ht="27" customHeight="1" x14ac:dyDescent="0.2">
      <c r="A730" s="9" t="s">
        <v>1682</v>
      </c>
      <c r="B730" s="10" t="s">
        <v>2023</v>
      </c>
      <c r="C730" s="11" t="s">
        <v>2643</v>
      </c>
      <c r="D730" s="11" t="s">
        <v>2644</v>
      </c>
      <c r="E730" s="11" t="s">
        <v>26</v>
      </c>
      <c r="F730" s="11" t="s">
        <v>2645</v>
      </c>
      <c r="G730" s="11" t="s">
        <v>28</v>
      </c>
      <c r="H730" s="11" t="s">
        <v>1685</v>
      </c>
      <c r="I730" s="11" t="s">
        <v>1686</v>
      </c>
      <c r="J730" s="12">
        <v>1</v>
      </c>
      <c r="K730" s="13">
        <v>1</v>
      </c>
      <c r="L730" s="14">
        <v>494</v>
      </c>
      <c r="M730" s="10">
        <v>377</v>
      </c>
      <c r="N730" s="10">
        <v>54588</v>
      </c>
      <c r="O730" s="10">
        <v>29564</v>
      </c>
      <c r="P730" s="10">
        <v>84152</v>
      </c>
    </row>
    <row r="731" spans="1:16" ht="27" customHeight="1" x14ac:dyDescent="0.2">
      <c r="A731" s="9" t="s">
        <v>1682</v>
      </c>
      <c r="B731" s="10" t="s">
        <v>2023</v>
      </c>
      <c r="C731" s="11" t="s">
        <v>2646</v>
      </c>
      <c r="D731" s="11" t="s">
        <v>2647</v>
      </c>
      <c r="E731" s="11" t="s">
        <v>26</v>
      </c>
      <c r="F731" s="11" t="s">
        <v>2648</v>
      </c>
      <c r="G731" s="11" t="s">
        <v>28</v>
      </c>
      <c r="H731" s="11" t="s">
        <v>1685</v>
      </c>
      <c r="I731" s="11" t="s">
        <v>1686</v>
      </c>
      <c r="J731" s="12">
        <v>1</v>
      </c>
      <c r="K731" s="13">
        <v>1</v>
      </c>
      <c r="L731" s="14">
        <v>484</v>
      </c>
      <c r="M731" s="10">
        <v>251</v>
      </c>
      <c r="N731" s="10">
        <v>53483</v>
      </c>
      <c r="O731" s="10">
        <v>19683</v>
      </c>
      <c r="P731" s="10">
        <v>73166</v>
      </c>
    </row>
    <row r="732" spans="1:16" ht="27" customHeight="1" x14ac:dyDescent="0.2">
      <c r="A732" s="9" t="s">
        <v>1682</v>
      </c>
      <c r="B732" s="10" t="s">
        <v>2023</v>
      </c>
      <c r="C732" s="11" t="s">
        <v>2649</v>
      </c>
      <c r="D732" s="11" t="s">
        <v>2650</v>
      </c>
      <c r="E732" s="11" t="s">
        <v>26</v>
      </c>
      <c r="F732" s="11" t="s">
        <v>2651</v>
      </c>
      <c r="G732" s="11" t="s">
        <v>28</v>
      </c>
      <c r="H732" s="11" t="s">
        <v>2651</v>
      </c>
      <c r="I732" s="11" t="s">
        <v>2652</v>
      </c>
      <c r="J732" s="12">
        <v>0.1976</v>
      </c>
      <c r="K732" s="13">
        <v>1</v>
      </c>
      <c r="L732" s="14">
        <v>850</v>
      </c>
      <c r="M732" s="10">
        <v>168</v>
      </c>
      <c r="N732" s="10">
        <v>93926</v>
      </c>
      <c r="O732" s="10">
        <v>13174</v>
      </c>
      <c r="P732" s="10">
        <v>107100</v>
      </c>
    </row>
    <row r="733" spans="1:16" ht="27" customHeight="1" x14ac:dyDescent="0.2">
      <c r="A733" s="9" t="s">
        <v>1682</v>
      </c>
      <c r="B733" s="10" t="s">
        <v>2023</v>
      </c>
      <c r="C733" s="11" t="s">
        <v>2653</v>
      </c>
      <c r="D733" s="11" t="s">
        <v>2654</v>
      </c>
      <c r="E733" s="11" t="s">
        <v>26</v>
      </c>
      <c r="F733" s="11" t="s">
        <v>2655</v>
      </c>
      <c r="G733" s="11" t="s">
        <v>28</v>
      </c>
      <c r="H733" s="11" t="s">
        <v>2655</v>
      </c>
      <c r="I733" s="11" t="s">
        <v>2656</v>
      </c>
      <c r="J733" s="12">
        <v>0.88100000000000001</v>
      </c>
      <c r="K733" s="13">
        <v>1</v>
      </c>
      <c r="L733" s="14">
        <v>630</v>
      </c>
      <c r="M733" s="10">
        <v>555</v>
      </c>
      <c r="N733" s="10">
        <v>69616</v>
      </c>
      <c r="O733" s="10">
        <v>43523</v>
      </c>
      <c r="P733" s="10">
        <v>113139</v>
      </c>
    </row>
    <row r="734" spans="1:16" ht="27" customHeight="1" x14ac:dyDescent="0.2">
      <c r="A734" s="9" t="s">
        <v>1682</v>
      </c>
      <c r="B734" s="10" t="s">
        <v>2023</v>
      </c>
      <c r="C734" s="11" t="s">
        <v>2657</v>
      </c>
      <c r="D734" s="11" t="s">
        <v>2658</v>
      </c>
      <c r="E734" s="11" t="s">
        <v>26</v>
      </c>
      <c r="F734" s="11" t="s">
        <v>2659</v>
      </c>
      <c r="G734" s="11" t="s">
        <v>28</v>
      </c>
      <c r="H734" s="11" t="s">
        <v>2659</v>
      </c>
      <c r="I734" s="11" t="s">
        <v>2660</v>
      </c>
      <c r="J734" s="12">
        <v>0.82150000000000001</v>
      </c>
      <c r="K734" s="13">
        <v>1</v>
      </c>
      <c r="L734" s="14">
        <v>325</v>
      </c>
      <c r="M734" s="10">
        <v>267</v>
      </c>
      <c r="N734" s="10">
        <v>35913</v>
      </c>
      <c r="O734" s="10">
        <v>20938</v>
      </c>
      <c r="P734" s="10">
        <v>56851</v>
      </c>
    </row>
    <row r="735" spans="1:16" ht="27" customHeight="1" x14ac:dyDescent="0.2">
      <c r="A735" s="9" t="s">
        <v>1682</v>
      </c>
      <c r="B735" s="10" t="s">
        <v>2023</v>
      </c>
      <c r="C735" s="11" t="s">
        <v>2661</v>
      </c>
      <c r="D735" s="11" t="s">
        <v>2662</v>
      </c>
      <c r="E735" s="11" t="s">
        <v>26</v>
      </c>
      <c r="F735" s="11" t="s">
        <v>2663</v>
      </c>
      <c r="G735" s="11" t="s">
        <v>28</v>
      </c>
      <c r="H735" s="11" t="s">
        <v>2663</v>
      </c>
      <c r="I735" s="11" t="s">
        <v>2664</v>
      </c>
      <c r="J735" s="12">
        <v>0.94589999999999996</v>
      </c>
      <c r="K735" s="13">
        <v>1</v>
      </c>
      <c r="L735" s="14">
        <v>185</v>
      </c>
      <c r="M735" s="10">
        <v>175</v>
      </c>
      <c r="N735" s="10">
        <v>20443</v>
      </c>
      <c r="O735" s="10">
        <v>13723</v>
      </c>
      <c r="P735" s="10">
        <v>34166</v>
      </c>
    </row>
    <row r="736" spans="1:16" ht="27" customHeight="1" x14ac:dyDescent="0.2">
      <c r="A736" s="9" t="s">
        <v>1682</v>
      </c>
      <c r="B736" s="10" t="s">
        <v>2023</v>
      </c>
      <c r="C736" s="11" t="s">
        <v>2665</v>
      </c>
      <c r="D736" s="11" t="s">
        <v>2666</v>
      </c>
      <c r="E736" s="11" t="s">
        <v>26</v>
      </c>
      <c r="F736" s="11" t="s">
        <v>2667</v>
      </c>
      <c r="G736" s="11" t="s">
        <v>28</v>
      </c>
      <c r="H736" s="11" t="s">
        <v>1685</v>
      </c>
      <c r="I736" s="11" t="s">
        <v>1686</v>
      </c>
      <c r="J736" s="12">
        <v>1</v>
      </c>
      <c r="K736" s="13">
        <v>1</v>
      </c>
      <c r="L736" s="14">
        <v>122</v>
      </c>
      <c r="M736" s="10">
        <v>61</v>
      </c>
      <c r="N736" s="10">
        <v>13481</v>
      </c>
      <c r="O736" s="10">
        <v>4784</v>
      </c>
      <c r="P736" s="10">
        <v>18265</v>
      </c>
    </row>
    <row r="737" spans="1:16" ht="27" customHeight="1" x14ac:dyDescent="0.2">
      <c r="A737" s="9" t="s">
        <v>1682</v>
      </c>
      <c r="B737" s="10" t="s">
        <v>2023</v>
      </c>
      <c r="C737" s="11" t="s">
        <v>2668</v>
      </c>
      <c r="D737" s="11" t="s">
        <v>2669</v>
      </c>
      <c r="E737" s="11" t="s">
        <v>26</v>
      </c>
      <c r="F737" s="11" t="s">
        <v>2670</v>
      </c>
      <c r="G737" s="11" t="s">
        <v>28</v>
      </c>
      <c r="H737" s="11" t="s">
        <v>1685</v>
      </c>
      <c r="I737" s="11" t="s">
        <v>1686</v>
      </c>
      <c r="J737" s="12">
        <v>1</v>
      </c>
      <c r="K737" s="13">
        <v>1</v>
      </c>
      <c r="L737" s="14">
        <v>235</v>
      </c>
      <c r="M737" s="10">
        <v>121</v>
      </c>
      <c r="N737" s="10">
        <v>25968</v>
      </c>
      <c r="O737" s="10">
        <v>9489</v>
      </c>
      <c r="P737" s="10">
        <v>35457</v>
      </c>
    </row>
    <row r="738" spans="1:16" ht="27" customHeight="1" x14ac:dyDescent="0.2">
      <c r="A738" s="9" t="s">
        <v>1682</v>
      </c>
      <c r="B738" s="10" t="s">
        <v>2023</v>
      </c>
      <c r="C738" s="11" t="s">
        <v>2671</v>
      </c>
      <c r="D738" s="11" t="s">
        <v>2672</v>
      </c>
      <c r="E738" s="11" t="s">
        <v>26</v>
      </c>
      <c r="F738" s="11" t="s">
        <v>2673</v>
      </c>
      <c r="G738" s="11" t="s">
        <v>28</v>
      </c>
      <c r="H738" s="11" t="s">
        <v>2673</v>
      </c>
      <c r="I738" s="11" t="s">
        <v>2674</v>
      </c>
      <c r="J738" s="12">
        <v>0.68810000000000004</v>
      </c>
      <c r="K738" s="13">
        <v>1</v>
      </c>
      <c r="L738" s="14">
        <v>109</v>
      </c>
      <c r="M738" s="10">
        <v>75</v>
      </c>
      <c r="N738" s="10">
        <v>12045</v>
      </c>
      <c r="O738" s="10">
        <v>5881</v>
      </c>
      <c r="P738" s="10">
        <v>17926</v>
      </c>
    </row>
    <row r="739" spans="1:16" ht="27" customHeight="1" x14ac:dyDescent="0.2">
      <c r="A739" s="9" t="s">
        <v>1682</v>
      </c>
      <c r="B739" s="10" t="s">
        <v>2023</v>
      </c>
      <c r="C739" s="11" t="s">
        <v>2675</v>
      </c>
      <c r="D739" s="11" t="s">
        <v>2676</v>
      </c>
      <c r="E739" s="11" t="s">
        <v>26</v>
      </c>
      <c r="F739" s="11" t="s">
        <v>2677</v>
      </c>
      <c r="G739" s="11" t="s">
        <v>28</v>
      </c>
      <c r="H739" s="11" t="s">
        <v>2677</v>
      </c>
      <c r="I739" s="11" t="s">
        <v>2678</v>
      </c>
      <c r="J739" s="12">
        <v>0.96150000000000002</v>
      </c>
      <c r="K739" s="13">
        <v>1</v>
      </c>
      <c r="L739" s="14">
        <v>182</v>
      </c>
      <c r="M739" s="10">
        <v>175</v>
      </c>
      <c r="N739" s="10">
        <v>20111</v>
      </c>
      <c r="O739" s="10">
        <v>13723</v>
      </c>
      <c r="P739" s="10">
        <v>33834</v>
      </c>
    </row>
    <row r="740" spans="1:16" ht="27" customHeight="1" x14ac:dyDescent="0.2">
      <c r="A740" s="9" t="s">
        <v>1682</v>
      </c>
      <c r="B740" s="10" t="s">
        <v>2023</v>
      </c>
      <c r="C740" s="11" t="s">
        <v>2679</v>
      </c>
      <c r="D740" s="11" t="s">
        <v>2680</v>
      </c>
      <c r="E740" s="11" t="s">
        <v>26</v>
      </c>
      <c r="F740" s="11" t="s">
        <v>2681</v>
      </c>
      <c r="G740" s="11" t="s">
        <v>28</v>
      </c>
      <c r="H740" s="11" t="s">
        <v>1685</v>
      </c>
      <c r="I740" s="11" t="s">
        <v>1686</v>
      </c>
      <c r="J740" s="12">
        <v>1</v>
      </c>
      <c r="K740" s="13">
        <v>1</v>
      </c>
      <c r="L740" s="14">
        <v>170</v>
      </c>
      <c r="M740" s="10">
        <v>160</v>
      </c>
      <c r="N740" s="10">
        <v>18785</v>
      </c>
      <c r="O740" s="10">
        <v>12547</v>
      </c>
      <c r="P740" s="10">
        <v>31332</v>
      </c>
    </row>
    <row r="741" spans="1:16" ht="27" customHeight="1" x14ac:dyDescent="0.2">
      <c r="A741" s="9" t="s">
        <v>1682</v>
      </c>
      <c r="B741" s="10" t="s">
        <v>2023</v>
      </c>
      <c r="C741" s="11" t="s">
        <v>2682</v>
      </c>
      <c r="D741" s="11" t="s">
        <v>2683</v>
      </c>
      <c r="E741" s="11" t="s">
        <v>26</v>
      </c>
      <c r="F741" s="11" t="s">
        <v>2684</v>
      </c>
      <c r="G741" s="11" t="s">
        <v>28</v>
      </c>
      <c r="H741" s="11" t="s">
        <v>2684</v>
      </c>
      <c r="I741" s="11" t="s">
        <v>2685</v>
      </c>
      <c r="J741" s="12">
        <v>0.9355</v>
      </c>
      <c r="K741" s="13">
        <v>1</v>
      </c>
      <c r="L741" s="14">
        <v>248</v>
      </c>
      <c r="M741" s="10">
        <v>232</v>
      </c>
      <c r="N741" s="10">
        <v>27404</v>
      </c>
      <c r="O741" s="10">
        <v>18193</v>
      </c>
      <c r="P741" s="10">
        <v>45597</v>
      </c>
    </row>
    <row r="742" spans="1:16" ht="27" customHeight="1" x14ac:dyDescent="0.2">
      <c r="A742" s="9" t="s">
        <v>1682</v>
      </c>
      <c r="B742" s="10" t="s">
        <v>2023</v>
      </c>
      <c r="C742" s="11" t="s">
        <v>2686</v>
      </c>
      <c r="D742" s="11" t="s">
        <v>2687</v>
      </c>
      <c r="E742" s="11" t="s">
        <v>26</v>
      </c>
      <c r="F742" s="11" t="s">
        <v>2688</v>
      </c>
      <c r="G742" s="11" t="s">
        <v>28</v>
      </c>
      <c r="H742" s="11" t="s">
        <v>1685</v>
      </c>
      <c r="I742" s="11" t="s">
        <v>1686</v>
      </c>
      <c r="J742" s="12">
        <v>1</v>
      </c>
      <c r="K742" s="13">
        <v>1</v>
      </c>
      <c r="L742" s="14">
        <v>275</v>
      </c>
      <c r="M742" s="10">
        <v>74</v>
      </c>
      <c r="N742" s="10">
        <v>30388</v>
      </c>
      <c r="O742" s="10">
        <v>5803</v>
      </c>
      <c r="P742" s="10">
        <v>36191</v>
      </c>
    </row>
    <row r="743" spans="1:16" ht="27" customHeight="1" x14ac:dyDescent="0.2">
      <c r="A743" s="9" t="s">
        <v>1682</v>
      </c>
      <c r="B743" s="10" t="s">
        <v>2023</v>
      </c>
      <c r="C743" s="11" t="s">
        <v>2689</v>
      </c>
      <c r="D743" s="11" t="s">
        <v>2690</v>
      </c>
      <c r="E743" s="11" t="s">
        <v>26</v>
      </c>
      <c r="F743" s="11" t="s">
        <v>2691</v>
      </c>
      <c r="G743" s="11" t="s">
        <v>28</v>
      </c>
      <c r="H743" s="11" t="s">
        <v>2691</v>
      </c>
      <c r="I743" s="11" t="s">
        <v>2692</v>
      </c>
      <c r="J743" s="12">
        <v>0.9718</v>
      </c>
      <c r="K743" s="13">
        <v>1</v>
      </c>
      <c r="L743" s="14">
        <v>248</v>
      </c>
      <c r="M743" s="10">
        <v>241</v>
      </c>
      <c r="N743" s="10">
        <v>27404</v>
      </c>
      <c r="O743" s="10">
        <v>18899</v>
      </c>
      <c r="P743" s="10">
        <v>46303</v>
      </c>
    </row>
    <row r="744" spans="1:16" ht="27" customHeight="1" x14ac:dyDescent="0.2">
      <c r="A744" s="9" t="s">
        <v>1682</v>
      </c>
      <c r="B744" s="10" t="s">
        <v>2023</v>
      </c>
      <c r="C744" s="11" t="s">
        <v>2693</v>
      </c>
      <c r="D744" s="11" t="s">
        <v>2694</v>
      </c>
      <c r="E744" s="11" t="s">
        <v>26</v>
      </c>
      <c r="F744" s="11" t="s">
        <v>2695</v>
      </c>
      <c r="G744" s="11" t="s">
        <v>28</v>
      </c>
      <c r="H744" s="11" t="s">
        <v>2695</v>
      </c>
      <c r="I744" s="11" t="s">
        <v>2696</v>
      </c>
      <c r="J744" s="12">
        <v>0.879</v>
      </c>
      <c r="K744" s="13">
        <v>1</v>
      </c>
      <c r="L744" s="14">
        <v>124</v>
      </c>
      <c r="M744" s="10">
        <v>109</v>
      </c>
      <c r="N744" s="10">
        <v>13702</v>
      </c>
      <c r="O744" s="10">
        <v>8548</v>
      </c>
      <c r="P744" s="10">
        <v>22250</v>
      </c>
    </row>
    <row r="745" spans="1:16" ht="27" customHeight="1" x14ac:dyDescent="0.2">
      <c r="A745" s="9" t="s">
        <v>1682</v>
      </c>
      <c r="B745" s="10" t="s">
        <v>2023</v>
      </c>
      <c r="C745" s="11" t="s">
        <v>2697</v>
      </c>
      <c r="D745" s="11" t="s">
        <v>2698</v>
      </c>
      <c r="E745" s="11" t="s">
        <v>26</v>
      </c>
      <c r="F745" s="11" t="s">
        <v>2699</v>
      </c>
      <c r="G745" s="11" t="s">
        <v>28</v>
      </c>
      <c r="H745" s="11" t="s">
        <v>2699</v>
      </c>
      <c r="I745" s="11" t="s">
        <v>2700</v>
      </c>
      <c r="J745" s="12">
        <v>0.9446</v>
      </c>
      <c r="K745" s="13">
        <v>1</v>
      </c>
      <c r="L745" s="14">
        <v>343</v>
      </c>
      <c r="M745" s="10">
        <v>324</v>
      </c>
      <c r="N745" s="10">
        <v>37902</v>
      </c>
      <c r="O745" s="10">
        <v>25408</v>
      </c>
      <c r="P745" s="10">
        <v>63310</v>
      </c>
    </row>
    <row r="746" spans="1:16" ht="27" customHeight="1" x14ac:dyDescent="0.2">
      <c r="A746" s="9" t="s">
        <v>1682</v>
      </c>
      <c r="B746" s="10" t="s">
        <v>2023</v>
      </c>
      <c r="C746" s="11" t="s">
        <v>2701</v>
      </c>
      <c r="D746" s="11" t="s">
        <v>2702</v>
      </c>
      <c r="E746" s="11" t="s">
        <v>26</v>
      </c>
      <c r="F746" s="11" t="s">
        <v>2703</v>
      </c>
      <c r="G746" s="11" t="s">
        <v>28</v>
      </c>
      <c r="H746" s="11" t="s">
        <v>2703</v>
      </c>
      <c r="I746" s="11" t="s">
        <v>2704</v>
      </c>
      <c r="J746" s="12">
        <v>0.79830000000000001</v>
      </c>
      <c r="K746" s="13">
        <v>1</v>
      </c>
      <c r="L746" s="14">
        <v>119</v>
      </c>
      <c r="M746" s="10">
        <v>95</v>
      </c>
      <c r="N746" s="10">
        <v>13150</v>
      </c>
      <c r="O746" s="10">
        <v>7450</v>
      </c>
      <c r="P746" s="10">
        <v>20600</v>
      </c>
    </row>
    <row r="747" spans="1:16" ht="27" customHeight="1" x14ac:dyDescent="0.2">
      <c r="A747" s="9" t="s">
        <v>1682</v>
      </c>
      <c r="B747" s="10" t="s">
        <v>2023</v>
      </c>
      <c r="C747" s="11" t="s">
        <v>2705</v>
      </c>
      <c r="D747" s="11" t="s">
        <v>2706</v>
      </c>
      <c r="E747" s="11" t="s">
        <v>26</v>
      </c>
      <c r="F747" s="11" t="s">
        <v>2707</v>
      </c>
      <c r="G747" s="11" t="s">
        <v>28</v>
      </c>
      <c r="H747" s="11" t="s">
        <v>2707</v>
      </c>
      <c r="I747" s="11" t="s">
        <v>2708</v>
      </c>
      <c r="J747" s="12">
        <v>0.9042</v>
      </c>
      <c r="K747" s="13">
        <v>1</v>
      </c>
      <c r="L747" s="14">
        <v>407</v>
      </c>
      <c r="M747" s="10">
        <v>368</v>
      </c>
      <c r="N747" s="10">
        <v>44974</v>
      </c>
      <c r="O747" s="10">
        <v>28858</v>
      </c>
      <c r="P747" s="10">
        <v>73832</v>
      </c>
    </row>
    <row r="748" spans="1:16" ht="27" customHeight="1" x14ac:dyDescent="0.2">
      <c r="A748" s="9" t="s">
        <v>1682</v>
      </c>
      <c r="B748" s="10" t="s">
        <v>2023</v>
      </c>
      <c r="C748" s="11" t="s">
        <v>2709</v>
      </c>
      <c r="D748" s="11" t="s">
        <v>2710</v>
      </c>
      <c r="E748" s="11" t="s">
        <v>26</v>
      </c>
      <c r="F748" s="11" t="s">
        <v>2711</v>
      </c>
      <c r="G748" s="11" t="s">
        <v>28</v>
      </c>
      <c r="H748" s="11" t="s">
        <v>2711</v>
      </c>
      <c r="I748" s="11" t="s">
        <v>2712</v>
      </c>
      <c r="J748" s="12">
        <v>0.90290000000000004</v>
      </c>
      <c r="K748" s="13">
        <v>1</v>
      </c>
      <c r="L748" s="14">
        <v>175</v>
      </c>
      <c r="M748" s="10">
        <v>158</v>
      </c>
      <c r="N748" s="10">
        <v>19338</v>
      </c>
      <c r="O748" s="10">
        <v>12390</v>
      </c>
      <c r="P748" s="10">
        <v>31728</v>
      </c>
    </row>
    <row r="749" spans="1:16" ht="27" customHeight="1" x14ac:dyDescent="0.2">
      <c r="A749" s="9" t="s">
        <v>1682</v>
      </c>
      <c r="B749" s="10" t="s">
        <v>2023</v>
      </c>
      <c r="C749" s="11" t="s">
        <v>2713</v>
      </c>
      <c r="D749" s="11" t="s">
        <v>2714</v>
      </c>
      <c r="E749" s="11" t="s">
        <v>26</v>
      </c>
      <c r="F749" s="11" t="s">
        <v>2715</v>
      </c>
      <c r="G749" s="11" t="s">
        <v>28</v>
      </c>
      <c r="H749" s="11" t="s">
        <v>2715</v>
      </c>
      <c r="I749" s="11" t="s">
        <v>2716</v>
      </c>
      <c r="J749" s="12">
        <v>0.25530000000000003</v>
      </c>
      <c r="K749" s="13">
        <v>1</v>
      </c>
      <c r="L749" s="14">
        <v>282</v>
      </c>
      <c r="M749" s="10">
        <v>72</v>
      </c>
      <c r="N749" s="10">
        <v>31161</v>
      </c>
      <c r="O749" s="10">
        <v>5646</v>
      </c>
      <c r="P749" s="10">
        <v>36807</v>
      </c>
    </row>
    <row r="750" spans="1:16" ht="27" customHeight="1" x14ac:dyDescent="0.2">
      <c r="A750" s="9" t="s">
        <v>1682</v>
      </c>
      <c r="B750" s="10" t="s">
        <v>2023</v>
      </c>
      <c r="C750" s="11" t="s">
        <v>2717</v>
      </c>
      <c r="D750" s="11" t="s">
        <v>2718</v>
      </c>
      <c r="E750" s="11" t="s">
        <v>26</v>
      </c>
      <c r="F750" s="11" t="s">
        <v>2719</v>
      </c>
      <c r="G750" s="11" t="s">
        <v>28</v>
      </c>
      <c r="H750" s="11" t="s">
        <v>2719</v>
      </c>
      <c r="I750" s="11" t="s">
        <v>2720</v>
      </c>
      <c r="J750" s="12">
        <v>0.13789999999999999</v>
      </c>
      <c r="K750" s="13">
        <v>1</v>
      </c>
      <c r="L750" s="14">
        <v>203</v>
      </c>
      <c r="M750" s="10">
        <v>28</v>
      </c>
      <c r="N750" s="10">
        <v>22432</v>
      </c>
      <c r="O750" s="10">
        <v>2196</v>
      </c>
      <c r="P750" s="10">
        <v>24628</v>
      </c>
    </row>
    <row r="751" spans="1:16" ht="27" customHeight="1" x14ac:dyDescent="0.2">
      <c r="A751" s="9" t="s">
        <v>1682</v>
      </c>
      <c r="B751" s="10" t="s">
        <v>2023</v>
      </c>
      <c r="C751" s="11" t="s">
        <v>2721</v>
      </c>
      <c r="D751" s="11" t="s">
        <v>2722</v>
      </c>
      <c r="E751" s="11" t="s">
        <v>26</v>
      </c>
      <c r="F751" s="11" t="s">
        <v>2723</v>
      </c>
      <c r="G751" s="11" t="s">
        <v>28</v>
      </c>
      <c r="H751" s="11" t="s">
        <v>2723</v>
      </c>
      <c r="I751" s="11" t="s">
        <v>2724</v>
      </c>
      <c r="J751" s="12">
        <v>0.94789999999999996</v>
      </c>
      <c r="K751" s="13">
        <v>1</v>
      </c>
      <c r="L751" s="14">
        <v>96</v>
      </c>
      <c r="M751" s="10">
        <v>91</v>
      </c>
      <c r="N751" s="10">
        <v>10608</v>
      </c>
      <c r="O751" s="10">
        <v>7136</v>
      </c>
      <c r="P751" s="10">
        <v>17744</v>
      </c>
    </row>
    <row r="752" spans="1:16" ht="27" customHeight="1" x14ac:dyDescent="0.2">
      <c r="A752" s="9" t="s">
        <v>1682</v>
      </c>
      <c r="B752" s="10" t="s">
        <v>2023</v>
      </c>
      <c r="C752" s="11" t="s">
        <v>2725</v>
      </c>
      <c r="D752" s="11" t="s">
        <v>2726</v>
      </c>
      <c r="E752" s="11" t="s">
        <v>26</v>
      </c>
      <c r="F752" s="11" t="s">
        <v>2727</v>
      </c>
      <c r="G752" s="11" t="s">
        <v>28</v>
      </c>
      <c r="H752" s="11" t="s">
        <v>1685</v>
      </c>
      <c r="I752" s="11" t="s">
        <v>1686</v>
      </c>
      <c r="J752" s="12">
        <v>1</v>
      </c>
      <c r="K752" s="13">
        <v>1</v>
      </c>
      <c r="L752" s="14">
        <v>327</v>
      </c>
      <c r="M752" s="10">
        <v>237</v>
      </c>
      <c r="N752" s="10">
        <v>36134</v>
      </c>
      <c r="O752" s="10">
        <v>18585</v>
      </c>
      <c r="P752" s="10">
        <v>54719</v>
      </c>
    </row>
    <row r="753" spans="1:16" ht="27" customHeight="1" x14ac:dyDescent="0.2">
      <c r="A753" s="9" t="s">
        <v>1682</v>
      </c>
      <c r="B753" s="10" t="s">
        <v>2023</v>
      </c>
      <c r="C753" s="11" t="s">
        <v>2728</v>
      </c>
      <c r="D753" s="11" t="s">
        <v>2729</v>
      </c>
      <c r="E753" s="11" t="s">
        <v>26</v>
      </c>
      <c r="F753" s="11" t="s">
        <v>2730</v>
      </c>
      <c r="G753" s="11" t="s">
        <v>28</v>
      </c>
      <c r="H753" s="11" t="s">
        <v>2730</v>
      </c>
      <c r="I753" s="11" t="s">
        <v>2731</v>
      </c>
      <c r="J753" s="12">
        <v>0.2</v>
      </c>
      <c r="K753" s="13">
        <v>1</v>
      </c>
      <c r="L753" s="14">
        <v>305</v>
      </c>
      <c r="M753" s="10">
        <v>61</v>
      </c>
      <c r="N753" s="10">
        <v>33703</v>
      </c>
      <c r="O753" s="10">
        <v>4784</v>
      </c>
      <c r="P753" s="10">
        <v>38487</v>
      </c>
    </row>
    <row r="754" spans="1:16" ht="27" customHeight="1" x14ac:dyDescent="0.2">
      <c r="A754" s="9" t="s">
        <v>1682</v>
      </c>
      <c r="B754" s="10" t="s">
        <v>2023</v>
      </c>
      <c r="C754" s="11" t="s">
        <v>2732</v>
      </c>
      <c r="D754" s="11" t="s">
        <v>2733</v>
      </c>
      <c r="E754" s="11" t="s">
        <v>26</v>
      </c>
      <c r="F754" s="11" t="s">
        <v>2734</v>
      </c>
      <c r="G754" s="11" t="s">
        <v>28</v>
      </c>
      <c r="H754" s="11" t="s">
        <v>2734</v>
      </c>
      <c r="I754" s="11" t="s">
        <v>2735</v>
      </c>
      <c r="J754" s="12">
        <v>0.76919999999999999</v>
      </c>
      <c r="K754" s="13">
        <v>1</v>
      </c>
      <c r="L754" s="14">
        <v>117</v>
      </c>
      <c r="M754" s="10">
        <v>90</v>
      </c>
      <c r="N754" s="10">
        <v>12929</v>
      </c>
      <c r="O754" s="10">
        <v>7058</v>
      </c>
      <c r="P754" s="10">
        <v>19987</v>
      </c>
    </row>
    <row r="755" spans="1:16" ht="27" customHeight="1" x14ac:dyDescent="0.2">
      <c r="A755" s="9" t="s">
        <v>1682</v>
      </c>
      <c r="B755" s="10" t="s">
        <v>2023</v>
      </c>
      <c r="C755" s="11" t="s">
        <v>2736</v>
      </c>
      <c r="D755" s="11" t="s">
        <v>2737</v>
      </c>
      <c r="E755" s="11" t="s">
        <v>26</v>
      </c>
      <c r="F755" s="11" t="s">
        <v>2738</v>
      </c>
      <c r="G755" s="11" t="s">
        <v>28</v>
      </c>
      <c r="H755" s="11" t="s">
        <v>1685</v>
      </c>
      <c r="I755" s="11" t="s">
        <v>1686</v>
      </c>
      <c r="J755" s="12">
        <v>1</v>
      </c>
      <c r="K755" s="13">
        <v>1</v>
      </c>
      <c r="L755" s="14">
        <v>3058</v>
      </c>
      <c r="M755" s="10">
        <v>2567</v>
      </c>
      <c r="N755" s="10">
        <v>337914</v>
      </c>
      <c r="O755" s="10">
        <v>201302</v>
      </c>
      <c r="P755" s="10">
        <v>539216</v>
      </c>
    </row>
    <row r="756" spans="1:16" ht="27" customHeight="1" x14ac:dyDescent="0.2">
      <c r="A756" s="9" t="s">
        <v>1682</v>
      </c>
      <c r="B756" s="10" t="s">
        <v>2023</v>
      </c>
      <c r="C756" s="11" t="s">
        <v>2739</v>
      </c>
      <c r="D756" s="11" t="s">
        <v>2740</v>
      </c>
      <c r="E756" s="11" t="s">
        <v>57</v>
      </c>
      <c r="F756" s="11" t="s">
        <v>2741</v>
      </c>
      <c r="G756" s="11" t="s">
        <v>28</v>
      </c>
      <c r="H756" s="11" t="s">
        <v>1685</v>
      </c>
      <c r="I756" s="11" t="s">
        <v>1686</v>
      </c>
      <c r="J756" s="12">
        <v>1</v>
      </c>
      <c r="K756" s="13">
        <v>1</v>
      </c>
      <c r="L756" s="14">
        <v>1696</v>
      </c>
      <c r="M756" s="10">
        <v>1162</v>
      </c>
      <c r="N756" s="10">
        <v>187411</v>
      </c>
      <c r="O756" s="10">
        <v>91123</v>
      </c>
      <c r="P756" s="10">
        <v>278534</v>
      </c>
    </row>
    <row r="757" spans="1:16" ht="27" customHeight="1" x14ac:dyDescent="0.2">
      <c r="A757" s="9" t="s">
        <v>1682</v>
      </c>
      <c r="B757" s="10" t="s">
        <v>2023</v>
      </c>
      <c r="C757" s="11" t="s">
        <v>2742</v>
      </c>
      <c r="D757" s="11" t="s">
        <v>2743</v>
      </c>
      <c r="E757" s="11" t="s">
        <v>57</v>
      </c>
      <c r="F757" s="11" t="s">
        <v>2744</v>
      </c>
      <c r="G757" s="11" t="s">
        <v>28</v>
      </c>
      <c r="H757" s="11" t="s">
        <v>1685</v>
      </c>
      <c r="I757" s="11" t="s">
        <v>1686</v>
      </c>
      <c r="J757" s="12">
        <v>1</v>
      </c>
      <c r="K757" s="13">
        <v>1</v>
      </c>
      <c r="L757" s="14">
        <v>2781</v>
      </c>
      <c r="M757" s="10">
        <v>1897</v>
      </c>
      <c r="N757" s="10">
        <v>307305</v>
      </c>
      <c r="O757" s="10">
        <v>148761</v>
      </c>
      <c r="P757" s="10">
        <v>456066</v>
      </c>
    </row>
    <row r="758" spans="1:16" ht="27" customHeight="1" x14ac:dyDescent="0.2">
      <c r="A758" s="9" t="s">
        <v>1682</v>
      </c>
      <c r="B758" s="10" t="s">
        <v>2023</v>
      </c>
      <c r="C758" s="11" t="s">
        <v>2745</v>
      </c>
      <c r="D758" s="11" t="s">
        <v>2746</v>
      </c>
      <c r="E758" s="11" t="s">
        <v>26</v>
      </c>
      <c r="F758" s="11" t="s">
        <v>2747</v>
      </c>
      <c r="G758" s="11" t="s">
        <v>28</v>
      </c>
      <c r="H758" s="11" t="s">
        <v>1685</v>
      </c>
      <c r="I758" s="11" t="s">
        <v>1686</v>
      </c>
      <c r="J758" s="12">
        <v>1</v>
      </c>
      <c r="K758" s="13">
        <v>1</v>
      </c>
      <c r="L758" s="14">
        <v>3577</v>
      </c>
      <c r="M758" s="10">
        <v>1114</v>
      </c>
      <c r="N758" s="10">
        <v>395264</v>
      </c>
      <c r="O758" s="10">
        <v>87359</v>
      </c>
      <c r="P758" s="10">
        <v>482623</v>
      </c>
    </row>
    <row r="759" spans="1:16" ht="27" customHeight="1" x14ac:dyDescent="0.2">
      <c r="A759" s="9" t="s">
        <v>1682</v>
      </c>
      <c r="B759" s="10" t="s">
        <v>2023</v>
      </c>
      <c r="C759" s="11" t="s">
        <v>2748</v>
      </c>
      <c r="D759" s="11" t="s">
        <v>2749</v>
      </c>
      <c r="E759" s="11" t="s">
        <v>26</v>
      </c>
      <c r="F759" s="11" t="s">
        <v>2750</v>
      </c>
      <c r="G759" s="11" t="s">
        <v>28</v>
      </c>
      <c r="H759" s="11" t="s">
        <v>2750</v>
      </c>
      <c r="I759" s="11" t="s">
        <v>2751</v>
      </c>
      <c r="J759" s="12">
        <v>0.48530000000000001</v>
      </c>
      <c r="K759" s="13">
        <v>1</v>
      </c>
      <c r="L759" s="14">
        <v>5869</v>
      </c>
      <c r="M759" s="10">
        <v>2848</v>
      </c>
      <c r="N759" s="10">
        <v>648534</v>
      </c>
      <c r="O759" s="10">
        <v>223337</v>
      </c>
      <c r="P759" s="10">
        <v>871871</v>
      </c>
    </row>
    <row r="760" spans="1:16" ht="27" customHeight="1" x14ac:dyDescent="0.2">
      <c r="A760" s="9" t="s">
        <v>1682</v>
      </c>
      <c r="B760" s="10" t="s">
        <v>2023</v>
      </c>
      <c r="C760" s="11" t="s">
        <v>2752</v>
      </c>
      <c r="D760" s="11" t="s">
        <v>2753</v>
      </c>
      <c r="E760" s="11" t="s">
        <v>57</v>
      </c>
      <c r="F760" s="11" t="s">
        <v>2754</v>
      </c>
      <c r="G760" s="11" t="s">
        <v>28</v>
      </c>
      <c r="H760" s="11" t="s">
        <v>2754</v>
      </c>
      <c r="I760" s="11" t="s">
        <v>2755</v>
      </c>
      <c r="J760" s="12">
        <v>0.88739999999999997</v>
      </c>
      <c r="K760" s="13">
        <v>1</v>
      </c>
      <c r="L760" s="14">
        <v>1403</v>
      </c>
      <c r="M760" s="10">
        <v>1245</v>
      </c>
      <c r="N760" s="10">
        <v>155034</v>
      </c>
      <c r="O760" s="10">
        <v>97632</v>
      </c>
      <c r="P760" s="10">
        <v>252666</v>
      </c>
    </row>
    <row r="761" spans="1:16" ht="27" customHeight="1" x14ac:dyDescent="0.2">
      <c r="A761" s="9" t="s">
        <v>1682</v>
      </c>
      <c r="B761" s="10" t="s">
        <v>2023</v>
      </c>
      <c r="C761" s="11" t="s">
        <v>2756</v>
      </c>
      <c r="D761" s="11" t="s">
        <v>2757</v>
      </c>
      <c r="E761" s="11" t="s">
        <v>57</v>
      </c>
      <c r="F761" s="11" t="s">
        <v>2758</v>
      </c>
      <c r="G761" s="11" t="s">
        <v>28</v>
      </c>
      <c r="H761" s="11" t="s">
        <v>1685</v>
      </c>
      <c r="I761" s="11" t="s">
        <v>1686</v>
      </c>
      <c r="J761" s="12">
        <v>1</v>
      </c>
      <c r="K761" s="13">
        <v>1</v>
      </c>
      <c r="L761" s="14">
        <v>1506</v>
      </c>
      <c r="M761" s="10">
        <v>1361</v>
      </c>
      <c r="N761" s="10">
        <v>166415</v>
      </c>
      <c r="O761" s="10">
        <v>106728</v>
      </c>
      <c r="P761" s="10">
        <v>273143</v>
      </c>
    </row>
    <row r="762" spans="1:16" ht="27" customHeight="1" x14ac:dyDescent="0.2">
      <c r="A762" s="9" t="s">
        <v>1682</v>
      </c>
      <c r="B762" s="10" t="s">
        <v>2023</v>
      </c>
      <c r="C762" s="11" t="s">
        <v>2759</v>
      </c>
      <c r="D762" s="11" t="s">
        <v>2760</v>
      </c>
      <c r="E762" s="11" t="s">
        <v>57</v>
      </c>
      <c r="F762" s="11" t="s">
        <v>2761</v>
      </c>
      <c r="G762" s="11" t="s">
        <v>28</v>
      </c>
      <c r="H762" s="11" t="s">
        <v>1685</v>
      </c>
      <c r="I762" s="11" t="s">
        <v>1686</v>
      </c>
      <c r="J762" s="12">
        <v>1</v>
      </c>
      <c r="K762" s="13">
        <v>1</v>
      </c>
      <c r="L762" s="14">
        <v>2147</v>
      </c>
      <c r="M762" s="10">
        <v>1134</v>
      </c>
      <c r="N762" s="10">
        <v>237247</v>
      </c>
      <c r="O762" s="10">
        <v>88927</v>
      </c>
      <c r="P762" s="10">
        <v>326174</v>
      </c>
    </row>
    <row r="763" spans="1:16" ht="27" customHeight="1" x14ac:dyDescent="0.2">
      <c r="A763" s="9" t="s">
        <v>1682</v>
      </c>
      <c r="B763" s="10" t="s">
        <v>2023</v>
      </c>
      <c r="C763" s="11" t="s">
        <v>2762</v>
      </c>
      <c r="D763" s="11" t="s">
        <v>2763</v>
      </c>
      <c r="E763" s="11" t="s">
        <v>57</v>
      </c>
      <c r="F763" s="11" t="s">
        <v>2764</v>
      </c>
      <c r="G763" s="11" t="s">
        <v>28</v>
      </c>
      <c r="H763" s="11" t="s">
        <v>1685</v>
      </c>
      <c r="I763" s="11" t="s">
        <v>1686</v>
      </c>
      <c r="J763" s="12">
        <v>1</v>
      </c>
      <c r="K763" s="13">
        <v>1</v>
      </c>
      <c r="L763" s="14">
        <v>1338</v>
      </c>
      <c r="M763" s="10">
        <v>960</v>
      </c>
      <c r="N763" s="10">
        <v>147851</v>
      </c>
      <c r="O763" s="10">
        <v>75282</v>
      </c>
      <c r="P763" s="10">
        <v>223133</v>
      </c>
    </row>
    <row r="764" spans="1:16" ht="27" customHeight="1" x14ac:dyDescent="0.2">
      <c r="A764" s="9" t="s">
        <v>1682</v>
      </c>
      <c r="B764" s="10" t="s">
        <v>2023</v>
      </c>
      <c r="C764" s="11" t="s">
        <v>2765</v>
      </c>
      <c r="D764" s="11" t="s">
        <v>2766</v>
      </c>
      <c r="E764" s="11" t="s">
        <v>26</v>
      </c>
      <c r="F764" s="11" t="s">
        <v>2767</v>
      </c>
      <c r="G764" s="11" t="s">
        <v>28</v>
      </c>
      <c r="H764" s="11" t="s">
        <v>1685</v>
      </c>
      <c r="I764" s="11" t="s">
        <v>1686</v>
      </c>
      <c r="J764" s="12">
        <v>1</v>
      </c>
      <c r="K764" s="13">
        <v>1</v>
      </c>
      <c r="L764" s="14">
        <v>2959</v>
      </c>
      <c r="M764" s="10">
        <v>783</v>
      </c>
      <c r="N764" s="10">
        <v>326974</v>
      </c>
      <c r="O764" s="10">
        <v>61402</v>
      </c>
      <c r="P764" s="10">
        <v>388376</v>
      </c>
    </row>
    <row r="765" spans="1:16" ht="27" customHeight="1" x14ac:dyDescent="0.2">
      <c r="A765" s="9" t="s">
        <v>1682</v>
      </c>
      <c r="B765" s="10" t="s">
        <v>2023</v>
      </c>
      <c r="C765" s="11" t="s">
        <v>2768</v>
      </c>
      <c r="D765" s="11" t="s">
        <v>2769</v>
      </c>
      <c r="E765" s="11" t="s">
        <v>26</v>
      </c>
      <c r="F765" s="11" t="s">
        <v>2770</v>
      </c>
      <c r="G765" s="11" t="s">
        <v>28</v>
      </c>
      <c r="H765" s="11" t="s">
        <v>2770</v>
      </c>
      <c r="I765" s="11" t="s">
        <v>2771</v>
      </c>
      <c r="J765" s="12">
        <v>0.85529999999999995</v>
      </c>
      <c r="K765" s="13">
        <v>1</v>
      </c>
      <c r="L765" s="14">
        <v>387</v>
      </c>
      <c r="M765" s="10">
        <v>331</v>
      </c>
      <c r="N765" s="10">
        <v>42764</v>
      </c>
      <c r="O765" s="10">
        <v>25957</v>
      </c>
      <c r="P765" s="10">
        <v>68721</v>
      </c>
    </row>
    <row r="766" spans="1:16" ht="27" customHeight="1" x14ac:dyDescent="0.2">
      <c r="A766" s="9" t="s">
        <v>1682</v>
      </c>
      <c r="B766" s="10" t="s">
        <v>2023</v>
      </c>
      <c r="C766" s="11" t="s">
        <v>2772</v>
      </c>
      <c r="D766" s="11" t="s">
        <v>2773</v>
      </c>
      <c r="E766" s="11" t="s">
        <v>57</v>
      </c>
      <c r="F766" s="11" t="s">
        <v>2774</v>
      </c>
      <c r="G766" s="11" t="s">
        <v>28</v>
      </c>
      <c r="H766" s="11" t="s">
        <v>2774</v>
      </c>
      <c r="I766" s="11" t="s">
        <v>2775</v>
      </c>
      <c r="J766" s="12">
        <v>0.22559999999999999</v>
      </c>
      <c r="K766" s="13">
        <v>1</v>
      </c>
      <c r="L766" s="14">
        <v>594</v>
      </c>
      <c r="M766" s="10">
        <v>134</v>
      </c>
      <c r="N766" s="10">
        <v>65638</v>
      </c>
      <c r="O766" s="10">
        <v>10508</v>
      </c>
      <c r="P766" s="10">
        <v>76146</v>
      </c>
    </row>
    <row r="767" spans="1:16" ht="27" customHeight="1" x14ac:dyDescent="0.2">
      <c r="A767" s="9" t="s">
        <v>1682</v>
      </c>
      <c r="B767" s="10" t="s">
        <v>2023</v>
      </c>
      <c r="C767" s="11" t="s">
        <v>2776</v>
      </c>
      <c r="D767" s="11" t="s">
        <v>2777</v>
      </c>
      <c r="E767" s="11" t="s">
        <v>57</v>
      </c>
      <c r="F767" s="11" t="s">
        <v>2778</v>
      </c>
      <c r="G767" s="11" t="s">
        <v>28</v>
      </c>
      <c r="H767" s="11" t="s">
        <v>2778</v>
      </c>
      <c r="I767" s="11" t="s">
        <v>2779</v>
      </c>
      <c r="J767" s="12">
        <v>0.20530000000000001</v>
      </c>
      <c r="K767" s="13">
        <v>1</v>
      </c>
      <c r="L767" s="14">
        <v>414</v>
      </c>
      <c r="M767" s="10">
        <v>85</v>
      </c>
      <c r="N767" s="10">
        <v>45748</v>
      </c>
      <c r="O767" s="10">
        <v>6666</v>
      </c>
      <c r="P767" s="10">
        <v>52414</v>
      </c>
    </row>
    <row r="768" spans="1:16" ht="27" customHeight="1" x14ac:dyDescent="0.2">
      <c r="A768" s="9" t="s">
        <v>1682</v>
      </c>
      <c r="B768" s="10" t="s">
        <v>2023</v>
      </c>
      <c r="C768" s="11" t="s">
        <v>2780</v>
      </c>
      <c r="D768" s="11" t="s">
        <v>2781</v>
      </c>
      <c r="E768" s="11" t="s">
        <v>57</v>
      </c>
      <c r="F768" s="11" t="s">
        <v>2782</v>
      </c>
      <c r="G768" s="11" t="s">
        <v>28</v>
      </c>
      <c r="H768" s="11" t="s">
        <v>2782</v>
      </c>
      <c r="I768" s="11" t="s">
        <v>2783</v>
      </c>
      <c r="J768" s="12">
        <v>0.73380000000000001</v>
      </c>
      <c r="K768" s="13">
        <v>1</v>
      </c>
      <c r="L768" s="14">
        <v>308</v>
      </c>
      <c r="M768" s="10">
        <v>226</v>
      </c>
      <c r="N768" s="10">
        <v>34035</v>
      </c>
      <c r="O768" s="10">
        <v>17723</v>
      </c>
      <c r="P768" s="10">
        <v>51758</v>
      </c>
    </row>
    <row r="769" spans="1:16" ht="27" customHeight="1" x14ac:dyDescent="0.2">
      <c r="A769" s="9" t="s">
        <v>1682</v>
      </c>
      <c r="B769" s="10" t="s">
        <v>2023</v>
      </c>
      <c r="C769" s="11" t="s">
        <v>2784</v>
      </c>
      <c r="D769" s="11" t="s">
        <v>2785</v>
      </c>
      <c r="E769" s="11" t="s">
        <v>57</v>
      </c>
      <c r="F769" s="11" t="s">
        <v>2786</v>
      </c>
      <c r="G769" s="11" t="s">
        <v>28</v>
      </c>
      <c r="H769" s="11" t="s">
        <v>2786</v>
      </c>
      <c r="I769" s="11" t="s">
        <v>2787</v>
      </c>
      <c r="J769" s="12">
        <v>8.4199999999999997E-2</v>
      </c>
      <c r="K769" s="13">
        <v>1</v>
      </c>
      <c r="L769" s="14">
        <v>392</v>
      </c>
      <c r="M769" s="10">
        <v>33</v>
      </c>
      <c r="N769" s="10">
        <v>43317</v>
      </c>
      <c r="O769" s="10">
        <v>2588</v>
      </c>
      <c r="P769" s="10">
        <v>45905</v>
      </c>
    </row>
    <row r="770" spans="1:16" ht="27" customHeight="1" x14ac:dyDescent="0.2">
      <c r="A770" s="9" t="s">
        <v>1682</v>
      </c>
      <c r="B770" s="10" t="s">
        <v>2023</v>
      </c>
      <c r="C770" s="11" t="s">
        <v>2788</v>
      </c>
      <c r="D770" s="11" t="s">
        <v>2789</v>
      </c>
      <c r="E770" s="11" t="s">
        <v>57</v>
      </c>
      <c r="F770" s="11" t="s">
        <v>2790</v>
      </c>
      <c r="G770" s="11" t="s">
        <v>28</v>
      </c>
      <c r="H770" s="11" t="s">
        <v>2790</v>
      </c>
      <c r="I770" s="11" t="s">
        <v>2791</v>
      </c>
      <c r="J770" s="12">
        <v>0.1096</v>
      </c>
      <c r="K770" s="13">
        <v>1</v>
      </c>
      <c r="L770" s="14">
        <v>858</v>
      </c>
      <c r="M770" s="10">
        <v>94</v>
      </c>
      <c r="N770" s="10">
        <v>94810</v>
      </c>
      <c r="O770" s="10">
        <v>7371</v>
      </c>
      <c r="P770" s="10">
        <v>102181</v>
      </c>
    </row>
    <row r="771" spans="1:16" ht="27" customHeight="1" x14ac:dyDescent="0.2">
      <c r="A771" s="9" t="s">
        <v>1682</v>
      </c>
      <c r="B771" s="10" t="s">
        <v>2023</v>
      </c>
      <c r="C771" s="11" t="s">
        <v>2792</v>
      </c>
      <c r="D771" s="11" t="s">
        <v>2793</v>
      </c>
      <c r="E771" s="11" t="s">
        <v>57</v>
      </c>
      <c r="F771" s="11" t="s">
        <v>2794</v>
      </c>
      <c r="G771" s="11" t="s">
        <v>28</v>
      </c>
      <c r="H771" s="11" t="s">
        <v>2794</v>
      </c>
      <c r="I771" s="11" t="s">
        <v>2795</v>
      </c>
      <c r="J771" s="12">
        <v>0.24690000000000001</v>
      </c>
      <c r="K771" s="13">
        <v>1</v>
      </c>
      <c r="L771" s="14">
        <v>721</v>
      </c>
      <c r="M771" s="10">
        <v>178</v>
      </c>
      <c r="N771" s="10">
        <v>79672</v>
      </c>
      <c r="O771" s="10">
        <v>13959</v>
      </c>
      <c r="P771" s="10">
        <v>93631</v>
      </c>
    </row>
    <row r="772" spans="1:16" ht="27" customHeight="1" x14ac:dyDescent="0.2">
      <c r="A772" s="9" t="s">
        <v>1682</v>
      </c>
      <c r="B772" s="10" t="s">
        <v>2023</v>
      </c>
      <c r="C772" s="11" t="s">
        <v>2796</v>
      </c>
      <c r="D772" s="11" t="s">
        <v>2797</v>
      </c>
      <c r="E772" s="11" t="s">
        <v>57</v>
      </c>
      <c r="F772" s="11" t="s">
        <v>2798</v>
      </c>
      <c r="G772" s="11" t="s">
        <v>28</v>
      </c>
      <c r="H772" s="11" t="s">
        <v>2798</v>
      </c>
      <c r="I772" s="11" t="s">
        <v>2799</v>
      </c>
      <c r="J772" s="12">
        <v>0.59919999999999995</v>
      </c>
      <c r="K772" s="13">
        <v>1</v>
      </c>
      <c r="L772" s="14">
        <v>514</v>
      </c>
      <c r="M772" s="10">
        <v>308</v>
      </c>
      <c r="N772" s="10">
        <v>56798</v>
      </c>
      <c r="O772" s="10">
        <v>24153</v>
      </c>
      <c r="P772" s="10">
        <v>80951</v>
      </c>
    </row>
    <row r="773" spans="1:16" ht="27" customHeight="1" x14ac:dyDescent="0.2">
      <c r="A773" s="9" t="s">
        <v>1682</v>
      </c>
      <c r="B773" s="10" t="s">
        <v>2023</v>
      </c>
      <c r="C773" s="11" t="s">
        <v>2800</v>
      </c>
      <c r="D773" s="11" t="s">
        <v>2801</v>
      </c>
      <c r="E773" s="11" t="s">
        <v>57</v>
      </c>
      <c r="F773" s="11" t="s">
        <v>2802</v>
      </c>
      <c r="G773" s="11" t="s">
        <v>28</v>
      </c>
      <c r="H773" s="11" t="s">
        <v>2802</v>
      </c>
      <c r="I773" s="11" t="s">
        <v>2803</v>
      </c>
      <c r="J773" s="12">
        <v>0.25740000000000002</v>
      </c>
      <c r="K773" s="13">
        <v>1</v>
      </c>
      <c r="L773" s="14">
        <v>623</v>
      </c>
      <c r="M773" s="10">
        <v>160</v>
      </c>
      <c r="N773" s="10">
        <v>68843</v>
      </c>
      <c r="O773" s="10">
        <v>12547</v>
      </c>
      <c r="P773" s="10">
        <v>81390</v>
      </c>
    </row>
    <row r="774" spans="1:16" ht="27" customHeight="1" x14ac:dyDescent="0.2">
      <c r="A774" s="9" t="s">
        <v>1682</v>
      </c>
      <c r="B774" s="10" t="s">
        <v>2023</v>
      </c>
      <c r="C774" s="11" t="s">
        <v>2804</v>
      </c>
      <c r="D774" s="11" t="s">
        <v>2805</v>
      </c>
      <c r="E774" s="11" t="s">
        <v>57</v>
      </c>
      <c r="F774" s="11" t="s">
        <v>2806</v>
      </c>
      <c r="G774" s="11" t="s">
        <v>28</v>
      </c>
      <c r="H774" s="11" t="s">
        <v>2806</v>
      </c>
      <c r="I774" s="11" t="s">
        <v>2807</v>
      </c>
      <c r="J774" s="12">
        <v>0.32800000000000001</v>
      </c>
      <c r="K774" s="13">
        <v>1</v>
      </c>
      <c r="L774" s="14">
        <v>439</v>
      </c>
      <c r="M774" s="10">
        <v>144</v>
      </c>
      <c r="N774" s="10">
        <v>48510</v>
      </c>
      <c r="O774" s="10">
        <v>11292</v>
      </c>
      <c r="P774" s="10">
        <v>59802</v>
      </c>
    </row>
    <row r="775" spans="1:16" ht="27" customHeight="1" x14ac:dyDescent="0.2">
      <c r="A775" s="9" t="s">
        <v>1682</v>
      </c>
      <c r="B775" s="10" t="s">
        <v>2023</v>
      </c>
      <c r="C775" s="11" t="s">
        <v>2808</v>
      </c>
      <c r="D775" s="11" t="s">
        <v>2809</v>
      </c>
      <c r="E775" s="11" t="s">
        <v>57</v>
      </c>
      <c r="F775" s="11" t="s">
        <v>2810</v>
      </c>
      <c r="G775" s="11" t="s">
        <v>28</v>
      </c>
      <c r="H775" s="11" t="s">
        <v>2810</v>
      </c>
      <c r="I775" s="11" t="s">
        <v>2811</v>
      </c>
      <c r="J775" s="12">
        <v>0.32690000000000002</v>
      </c>
      <c r="K775" s="13">
        <v>1</v>
      </c>
      <c r="L775" s="14">
        <v>520</v>
      </c>
      <c r="M775" s="10">
        <v>170</v>
      </c>
      <c r="N775" s="10">
        <v>57461</v>
      </c>
      <c r="O775" s="10">
        <v>13331</v>
      </c>
      <c r="P775" s="10">
        <v>70792</v>
      </c>
    </row>
    <row r="776" spans="1:16" ht="27" customHeight="1" x14ac:dyDescent="0.2">
      <c r="A776" s="9" t="s">
        <v>1682</v>
      </c>
      <c r="B776" s="10" t="s">
        <v>2023</v>
      </c>
      <c r="C776" s="11" t="s">
        <v>2812</v>
      </c>
      <c r="D776" s="11" t="s">
        <v>2813</v>
      </c>
      <c r="E776" s="11" t="s">
        <v>26</v>
      </c>
      <c r="F776" s="11" t="s">
        <v>2814</v>
      </c>
      <c r="G776" s="11" t="s">
        <v>28</v>
      </c>
      <c r="H776" s="11" t="s">
        <v>2814</v>
      </c>
      <c r="I776" s="11" t="s">
        <v>2815</v>
      </c>
      <c r="J776" s="12">
        <v>0.87219999999999998</v>
      </c>
      <c r="K776" s="13">
        <v>1</v>
      </c>
      <c r="L776" s="14">
        <v>634</v>
      </c>
      <c r="M776" s="10">
        <v>553</v>
      </c>
      <c r="N776" s="10">
        <v>70058</v>
      </c>
      <c r="O776" s="10">
        <v>43366</v>
      </c>
      <c r="P776" s="10">
        <v>113424</v>
      </c>
    </row>
    <row r="777" spans="1:16" ht="27" customHeight="1" x14ac:dyDescent="0.2">
      <c r="A777" s="9" t="s">
        <v>1682</v>
      </c>
      <c r="B777" s="10" t="s">
        <v>2023</v>
      </c>
      <c r="C777" s="11" t="s">
        <v>2816</v>
      </c>
      <c r="D777" s="11" t="s">
        <v>2817</v>
      </c>
      <c r="E777" s="11" t="s">
        <v>57</v>
      </c>
      <c r="F777" s="11" t="s">
        <v>2818</v>
      </c>
      <c r="G777" s="11" t="s">
        <v>28</v>
      </c>
      <c r="H777" s="11" t="s">
        <v>2818</v>
      </c>
      <c r="I777" s="11" t="s">
        <v>2819</v>
      </c>
      <c r="J777" s="12">
        <v>0.57520000000000004</v>
      </c>
      <c r="K777" s="13">
        <v>1</v>
      </c>
      <c r="L777" s="14">
        <v>319</v>
      </c>
      <c r="M777" s="10">
        <v>183</v>
      </c>
      <c r="N777" s="10">
        <v>35250</v>
      </c>
      <c r="O777" s="10">
        <v>14351</v>
      </c>
      <c r="P777" s="10">
        <v>49601</v>
      </c>
    </row>
    <row r="778" spans="1:16" ht="27" customHeight="1" x14ac:dyDescent="0.2">
      <c r="A778" s="9" t="s">
        <v>1682</v>
      </c>
      <c r="B778" s="10" t="s">
        <v>2023</v>
      </c>
      <c r="C778" s="11" t="s">
        <v>2820</v>
      </c>
      <c r="D778" s="11" t="s">
        <v>2821</v>
      </c>
      <c r="E778" s="11" t="s">
        <v>57</v>
      </c>
      <c r="F778" s="11" t="s">
        <v>2822</v>
      </c>
      <c r="G778" s="11" t="s">
        <v>28</v>
      </c>
      <c r="H778" s="11" t="s">
        <v>2822</v>
      </c>
      <c r="I778" s="11" t="s">
        <v>2823</v>
      </c>
      <c r="J778" s="12">
        <v>0.27860000000000001</v>
      </c>
      <c r="K778" s="13">
        <v>1</v>
      </c>
      <c r="L778" s="14">
        <v>411</v>
      </c>
      <c r="M778" s="10">
        <v>115</v>
      </c>
      <c r="N778" s="10">
        <v>45416</v>
      </c>
      <c r="O778" s="10">
        <v>9018</v>
      </c>
      <c r="P778" s="10">
        <v>54434</v>
      </c>
    </row>
    <row r="779" spans="1:16" ht="27" customHeight="1" x14ac:dyDescent="0.2">
      <c r="A779" s="9" t="s">
        <v>1682</v>
      </c>
      <c r="B779" s="10" t="s">
        <v>2023</v>
      </c>
      <c r="C779" s="11" t="s">
        <v>2824</v>
      </c>
      <c r="D779" s="11" t="s">
        <v>2825</v>
      </c>
      <c r="E779" s="11" t="s">
        <v>57</v>
      </c>
      <c r="F779" s="11" t="s">
        <v>2826</v>
      </c>
      <c r="G779" s="11" t="s">
        <v>28</v>
      </c>
      <c r="H779" s="11" t="s">
        <v>2826</v>
      </c>
      <c r="I779" s="11" t="s">
        <v>2827</v>
      </c>
      <c r="J779" s="12">
        <v>0.3508</v>
      </c>
      <c r="K779" s="13">
        <v>1</v>
      </c>
      <c r="L779" s="14">
        <v>382</v>
      </c>
      <c r="M779" s="10">
        <v>134</v>
      </c>
      <c r="N779" s="10">
        <v>42212</v>
      </c>
      <c r="O779" s="10">
        <v>10508</v>
      </c>
      <c r="P779" s="10">
        <v>52720</v>
      </c>
    </row>
    <row r="780" spans="1:16" ht="27" customHeight="1" x14ac:dyDescent="0.2">
      <c r="A780" s="9" t="s">
        <v>1682</v>
      </c>
      <c r="B780" s="10" t="s">
        <v>2023</v>
      </c>
      <c r="C780" s="11" t="s">
        <v>2828</v>
      </c>
      <c r="D780" s="11" t="s">
        <v>2829</v>
      </c>
      <c r="E780" s="11" t="s">
        <v>57</v>
      </c>
      <c r="F780" s="11" t="s">
        <v>2830</v>
      </c>
      <c r="G780" s="11" t="s">
        <v>28</v>
      </c>
      <c r="H780" s="11" t="s">
        <v>2830</v>
      </c>
      <c r="I780" s="11" t="s">
        <v>2831</v>
      </c>
      <c r="J780" s="12">
        <v>8.5900000000000004E-2</v>
      </c>
      <c r="K780" s="13">
        <v>1</v>
      </c>
      <c r="L780" s="14">
        <v>454</v>
      </c>
      <c r="M780" s="10">
        <v>39</v>
      </c>
      <c r="N780" s="10">
        <v>50168</v>
      </c>
      <c r="O780" s="10">
        <v>3058</v>
      </c>
      <c r="P780" s="10">
        <v>53226</v>
      </c>
    </row>
    <row r="781" spans="1:16" ht="27" customHeight="1" x14ac:dyDescent="0.2">
      <c r="A781" s="9" t="s">
        <v>1682</v>
      </c>
      <c r="B781" s="10" t="s">
        <v>2023</v>
      </c>
      <c r="C781" s="11" t="s">
        <v>2832</v>
      </c>
      <c r="D781" s="11" t="s">
        <v>2833</v>
      </c>
      <c r="E781" s="11" t="s">
        <v>57</v>
      </c>
      <c r="F781" s="11" t="s">
        <v>2834</v>
      </c>
      <c r="G781" s="11" t="s">
        <v>28</v>
      </c>
      <c r="H781" s="11" t="s">
        <v>2834</v>
      </c>
      <c r="I781" s="11" t="s">
        <v>2835</v>
      </c>
      <c r="J781" s="12">
        <v>0.57179999999999997</v>
      </c>
      <c r="K781" s="13">
        <v>1</v>
      </c>
      <c r="L781" s="14">
        <v>386</v>
      </c>
      <c r="M781" s="10">
        <v>221</v>
      </c>
      <c r="N781" s="10">
        <v>42654</v>
      </c>
      <c r="O781" s="10">
        <v>17331</v>
      </c>
      <c r="P781" s="10">
        <v>59985</v>
      </c>
    </row>
    <row r="782" spans="1:16" ht="27" customHeight="1" x14ac:dyDescent="0.2">
      <c r="A782" s="9" t="s">
        <v>1682</v>
      </c>
      <c r="B782" s="10" t="s">
        <v>2023</v>
      </c>
      <c r="C782" s="11" t="s">
        <v>2836</v>
      </c>
      <c r="D782" s="11" t="s">
        <v>2837</v>
      </c>
      <c r="E782" s="11" t="s">
        <v>57</v>
      </c>
      <c r="F782" s="11" t="s">
        <v>2838</v>
      </c>
      <c r="G782" s="11" t="s">
        <v>28</v>
      </c>
      <c r="H782" s="11" t="s">
        <v>2838</v>
      </c>
      <c r="I782" s="11" t="s">
        <v>2839</v>
      </c>
      <c r="J782" s="12">
        <v>0.2389</v>
      </c>
      <c r="K782" s="13">
        <v>1</v>
      </c>
      <c r="L782" s="14">
        <v>474</v>
      </c>
      <c r="M782" s="10">
        <v>113</v>
      </c>
      <c r="N782" s="10">
        <v>52378</v>
      </c>
      <c r="O782" s="10">
        <v>8861</v>
      </c>
      <c r="P782" s="10">
        <v>61239</v>
      </c>
    </row>
    <row r="783" spans="1:16" ht="27" customHeight="1" x14ac:dyDescent="0.2">
      <c r="A783" s="9" t="s">
        <v>1682</v>
      </c>
      <c r="B783" s="10" t="s">
        <v>2023</v>
      </c>
      <c r="C783" s="11" t="s">
        <v>2840</v>
      </c>
      <c r="D783" s="11" t="s">
        <v>2841</v>
      </c>
      <c r="E783" s="11" t="s">
        <v>57</v>
      </c>
      <c r="F783" s="11" t="s">
        <v>2842</v>
      </c>
      <c r="G783" s="11" t="s">
        <v>28</v>
      </c>
      <c r="H783" s="11" t="s">
        <v>2842</v>
      </c>
      <c r="I783" s="11" t="s">
        <v>2843</v>
      </c>
      <c r="J783" s="12">
        <v>0.14330000000000001</v>
      </c>
      <c r="K783" s="13">
        <v>1</v>
      </c>
      <c r="L783" s="14">
        <v>314</v>
      </c>
      <c r="M783" s="10">
        <v>45</v>
      </c>
      <c r="N783" s="10">
        <v>34698</v>
      </c>
      <c r="O783" s="10">
        <v>3529</v>
      </c>
      <c r="P783" s="10">
        <v>38227</v>
      </c>
    </row>
    <row r="784" spans="1:16" ht="27" customHeight="1" x14ac:dyDescent="0.2">
      <c r="A784" s="9" t="s">
        <v>1682</v>
      </c>
      <c r="B784" s="10" t="s">
        <v>2023</v>
      </c>
      <c r="C784" s="11" t="s">
        <v>2844</v>
      </c>
      <c r="D784" s="11" t="s">
        <v>2845</v>
      </c>
      <c r="E784" s="11" t="s">
        <v>26</v>
      </c>
      <c r="F784" s="11" t="s">
        <v>2846</v>
      </c>
      <c r="G784" s="11" t="s">
        <v>28</v>
      </c>
      <c r="H784" s="11" t="s">
        <v>2846</v>
      </c>
      <c r="I784" s="11" t="s">
        <v>2847</v>
      </c>
      <c r="J784" s="12">
        <v>0.85650000000000004</v>
      </c>
      <c r="K784" s="13">
        <v>1</v>
      </c>
      <c r="L784" s="14">
        <v>836</v>
      </c>
      <c r="M784" s="10">
        <v>716</v>
      </c>
      <c r="N784" s="10">
        <v>92379</v>
      </c>
      <c r="O784" s="10">
        <v>56148</v>
      </c>
      <c r="P784" s="10">
        <v>148527</v>
      </c>
    </row>
    <row r="785" spans="1:16" ht="27" customHeight="1" x14ac:dyDescent="0.2">
      <c r="A785" s="9" t="s">
        <v>1682</v>
      </c>
      <c r="B785" s="10" t="s">
        <v>2023</v>
      </c>
      <c r="C785" s="11" t="s">
        <v>2848</v>
      </c>
      <c r="D785" s="11" t="s">
        <v>2849</v>
      </c>
      <c r="E785" s="11" t="s">
        <v>57</v>
      </c>
      <c r="F785" s="11" t="s">
        <v>2850</v>
      </c>
      <c r="G785" s="11" t="s">
        <v>28</v>
      </c>
      <c r="H785" s="11" t="s">
        <v>2850</v>
      </c>
      <c r="I785" s="11" t="s">
        <v>2851</v>
      </c>
      <c r="J785" s="12">
        <v>0.60470000000000002</v>
      </c>
      <c r="K785" s="13">
        <v>1</v>
      </c>
      <c r="L785" s="14">
        <v>387</v>
      </c>
      <c r="M785" s="10">
        <v>234</v>
      </c>
      <c r="N785" s="10">
        <v>42764</v>
      </c>
      <c r="O785" s="10">
        <v>18350</v>
      </c>
      <c r="P785" s="10">
        <v>61114</v>
      </c>
    </row>
    <row r="786" spans="1:16" ht="27" customHeight="1" x14ac:dyDescent="0.2">
      <c r="A786" s="9" t="s">
        <v>1682</v>
      </c>
      <c r="B786" s="10" t="s">
        <v>2023</v>
      </c>
      <c r="C786" s="11" t="s">
        <v>2852</v>
      </c>
      <c r="D786" s="11" t="s">
        <v>2853</v>
      </c>
      <c r="E786" s="11" t="s">
        <v>57</v>
      </c>
      <c r="F786" s="11" t="s">
        <v>2854</v>
      </c>
      <c r="G786" s="11" t="s">
        <v>28</v>
      </c>
      <c r="H786" s="11" t="s">
        <v>2854</v>
      </c>
      <c r="I786" s="11" t="s">
        <v>2855</v>
      </c>
      <c r="J786" s="12">
        <v>0.10050000000000001</v>
      </c>
      <c r="K786" s="13">
        <v>1</v>
      </c>
      <c r="L786" s="14">
        <v>428</v>
      </c>
      <c r="M786" s="10">
        <v>43</v>
      </c>
      <c r="N786" s="10">
        <v>47295</v>
      </c>
      <c r="O786" s="10">
        <v>3372</v>
      </c>
      <c r="P786" s="10">
        <v>50667</v>
      </c>
    </row>
    <row r="787" spans="1:16" ht="27" customHeight="1" x14ac:dyDescent="0.2">
      <c r="A787" s="9" t="s">
        <v>1682</v>
      </c>
      <c r="B787" s="10" t="s">
        <v>2023</v>
      </c>
      <c r="C787" s="11" t="s">
        <v>2856</v>
      </c>
      <c r="D787" s="11" t="s">
        <v>2857</v>
      </c>
      <c r="E787" s="11" t="s">
        <v>26</v>
      </c>
      <c r="F787" s="11" t="s">
        <v>2858</v>
      </c>
      <c r="G787" s="11" t="s">
        <v>28</v>
      </c>
      <c r="H787" s="11" t="s">
        <v>2858</v>
      </c>
      <c r="I787" s="11" t="s">
        <v>2859</v>
      </c>
      <c r="J787" s="12">
        <v>0.81189999999999996</v>
      </c>
      <c r="K787" s="13">
        <v>1</v>
      </c>
      <c r="L787" s="14">
        <v>950</v>
      </c>
      <c r="M787" s="10">
        <v>771</v>
      </c>
      <c r="N787" s="10">
        <v>104977</v>
      </c>
      <c r="O787" s="10">
        <v>60461</v>
      </c>
      <c r="P787" s="10">
        <v>165438</v>
      </c>
    </row>
    <row r="788" spans="1:16" ht="27" customHeight="1" x14ac:dyDescent="0.2">
      <c r="A788" s="9" t="s">
        <v>1682</v>
      </c>
      <c r="B788" s="10" t="s">
        <v>2023</v>
      </c>
      <c r="C788" s="11" t="s">
        <v>2860</v>
      </c>
      <c r="D788" s="11" t="s">
        <v>2861</v>
      </c>
      <c r="E788" s="11" t="s">
        <v>57</v>
      </c>
      <c r="F788" s="11" t="s">
        <v>2862</v>
      </c>
      <c r="G788" s="11" t="s">
        <v>28</v>
      </c>
      <c r="H788" s="11" t="s">
        <v>2862</v>
      </c>
      <c r="I788" s="11" t="s">
        <v>2863</v>
      </c>
      <c r="J788" s="12">
        <v>0.91930000000000001</v>
      </c>
      <c r="K788" s="13">
        <v>1</v>
      </c>
      <c r="L788" s="14">
        <v>296</v>
      </c>
      <c r="M788" s="10">
        <v>272</v>
      </c>
      <c r="N788" s="10">
        <v>32708</v>
      </c>
      <c r="O788" s="10">
        <v>21330</v>
      </c>
      <c r="P788" s="10">
        <v>54038</v>
      </c>
    </row>
    <row r="789" spans="1:16" ht="27" customHeight="1" x14ac:dyDescent="0.2">
      <c r="A789" s="9" t="s">
        <v>1682</v>
      </c>
      <c r="B789" s="10" t="s">
        <v>2023</v>
      </c>
      <c r="C789" s="11" t="s">
        <v>2864</v>
      </c>
      <c r="D789" s="11" t="s">
        <v>2865</v>
      </c>
      <c r="E789" s="11" t="s">
        <v>57</v>
      </c>
      <c r="F789" s="11" t="s">
        <v>2866</v>
      </c>
      <c r="G789" s="11" t="s">
        <v>28</v>
      </c>
      <c r="H789" s="11" t="s">
        <v>2866</v>
      </c>
      <c r="I789" s="11" t="s">
        <v>2867</v>
      </c>
      <c r="J789" s="12">
        <v>0.23449999999999999</v>
      </c>
      <c r="K789" s="13">
        <v>1</v>
      </c>
      <c r="L789" s="14">
        <v>563</v>
      </c>
      <c r="M789" s="10">
        <v>132</v>
      </c>
      <c r="N789" s="10">
        <v>62212</v>
      </c>
      <c r="O789" s="10">
        <v>10351</v>
      </c>
      <c r="P789" s="10">
        <v>72563</v>
      </c>
    </row>
    <row r="790" spans="1:16" ht="27" customHeight="1" x14ac:dyDescent="0.2">
      <c r="A790" s="9" t="s">
        <v>1682</v>
      </c>
      <c r="B790" s="10" t="s">
        <v>2023</v>
      </c>
      <c r="C790" s="11" t="s">
        <v>2868</v>
      </c>
      <c r="D790" s="11" t="s">
        <v>2869</v>
      </c>
      <c r="E790" s="11" t="s">
        <v>57</v>
      </c>
      <c r="F790" s="11" t="s">
        <v>2870</v>
      </c>
      <c r="G790" s="11" t="s">
        <v>28</v>
      </c>
      <c r="H790" s="11" t="s">
        <v>2870</v>
      </c>
      <c r="I790" s="11" t="s">
        <v>2871</v>
      </c>
      <c r="J790" s="12">
        <v>0.372</v>
      </c>
      <c r="K790" s="13">
        <v>1</v>
      </c>
      <c r="L790" s="14">
        <v>379</v>
      </c>
      <c r="M790" s="10">
        <v>141</v>
      </c>
      <c r="N790" s="10">
        <v>41880</v>
      </c>
      <c r="O790" s="10">
        <v>11057</v>
      </c>
      <c r="P790" s="10">
        <v>52937</v>
      </c>
    </row>
    <row r="791" spans="1:16" ht="27" customHeight="1" x14ac:dyDescent="0.2">
      <c r="A791" s="9" t="s">
        <v>1682</v>
      </c>
      <c r="B791" s="10" t="s">
        <v>2023</v>
      </c>
      <c r="C791" s="11" t="s">
        <v>2872</v>
      </c>
      <c r="D791" s="11" t="s">
        <v>2873</v>
      </c>
      <c r="E791" s="11" t="s">
        <v>26</v>
      </c>
      <c r="F791" s="11" t="s">
        <v>2874</v>
      </c>
      <c r="G791" s="11" t="s">
        <v>28</v>
      </c>
      <c r="H791" s="11" t="s">
        <v>2874</v>
      </c>
      <c r="I791" s="11" t="s">
        <v>2875</v>
      </c>
      <c r="J791" s="12">
        <v>0.96279999999999999</v>
      </c>
      <c r="K791" s="13">
        <v>1</v>
      </c>
      <c r="L791" s="14">
        <v>780</v>
      </c>
      <c r="M791" s="10">
        <v>751</v>
      </c>
      <c r="N791" s="10">
        <v>86191</v>
      </c>
      <c r="O791" s="10">
        <v>58893</v>
      </c>
      <c r="P791" s="10">
        <v>145084</v>
      </c>
    </row>
    <row r="792" spans="1:16" ht="27" customHeight="1" x14ac:dyDescent="0.2">
      <c r="A792" s="9" t="s">
        <v>1682</v>
      </c>
      <c r="B792" s="10" t="s">
        <v>2023</v>
      </c>
      <c r="C792" s="11" t="s">
        <v>2876</v>
      </c>
      <c r="D792" s="11" t="s">
        <v>2877</v>
      </c>
      <c r="E792" s="11" t="s">
        <v>57</v>
      </c>
      <c r="F792" s="11" t="s">
        <v>2878</v>
      </c>
      <c r="G792" s="11" t="s">
        <v>28</v>
      </c>
      <c r="H792" s="11" t="s">
        <v>2878</v>
      </c>
      <c r="I792" s="11" t="s">
        <v>2879</v>
      </c>
      <c r="J792" s="12">
        <v>0.4536</v>
      </c>
      <c r="K792" s="13">
        <v>1</v>
      </c>
      <c r="L792" s="14">
        <v>549</v>
      </c>
      <c r="M792" s="10">
        <v>249</v>
      </c>
      <c r="N792" s="10">
        <v>60665</v>
      </c>
      <c r="O792" s="10">
        <v>19526</v>
      </c>
      <c r="P792" s="10">
        <v>80191</v>
      </c>
    </row>
    <row r="793" spans="1:16" ht="27" customHeight="1" x14ac:dyDescent="0.2">
      <c r="A793" s="9" t="s">
        <v>1682</v>
      </c>
      <c r="B793" s="10" t="s">
        <v>2023</v>
      </c>
      <c r="C793" s="11" t="s">
        <v>2880</v>
      </c>
      <c r="D793" s="11" t="s">
        <v>2881</v>
      </c>
      <c r="E793" s="11" t="s">
        <v>57</v>
      </c>
      <c r="F793" s="11" t="s">
        <v>2882</v>
      </c>
      <c r="G793" s="11" t="s">
        <v>28</v>
      </c>
      <c r="H793" s="11" t="s">
        <v>2882</v>
      </c>
      <c r="I793" s="11" t="s">
        <v>2883</v>
      </c>
      <c r="J793" s="12">
        <v>0.35959999999999998</v>
      </c>
      <c r="K793" s="13">
        <v>1</v>
      </c>
      <c r="L793" s="14">
        <v>501</v>
      </c>
      <c r="M793" s="10">
        <v>180</v>
      </c>
      <c r="N793" s="10">
        <v>55361</v>
      </c>
      <c r="O793" s="10">
        <v>14115</v>
      </c>
      <c r="P793" s="10">
        <v>69476</v>
      </c>
    </row>
    <row r="794" spans="1:16" ht="27" customHeight="1" x14ac:dyDescent="0.2">
      <c r="A794" s="9" t="s">
        <v>1682</v>
      </c>
      <c r="B794" s="10" t="s">
        <v>2023</v>
      </c>
      <c r="C794" s="11" t="s">
        <v>2884</v>
      </c>
      <c r="D794" s="11" t="s">
        <v>2885</v>
      </c>
      <c r="E794" s="11" t="s">
        <v>57</v>
      </c>
      <c r="F794" s="11" t="s">
        <v>2886</v>
      </c>
      <c r="G794" s="11" t="s">
        <v>28</v>
      </c>
      <c r="H794" s="11" t="s">
        <v>2886</v>
      </c>
      <c r="I794" s="11" t="s">
        <v>2887</v>
      </c>
      <c r="J794" s="12">
        <v>0.56950000000000001</v>
      </c>
      <c r="K794" s="13">
        <v>1</v>
      </c>
      <c r="L794" s="14">
        <v>448</v>
      </c>
      <c r="M794" s="10">
        <v>255</v>
      </c>
      <c r="N794" s="10">
        <v>49505</v>
      </c>
      <c r="O794" s="10">
        <v>19997</v>
      </c>
      <c r="P794" s="10">
        <v>69502</v>
      </c>
    </row>
    <row r="795" spans="1:16" ht="27" customHeight="1" x14ac:dyDescent="0.2">
      <c r="A795" s="9" t="s">
        <v>1682</v>
      </c>
      <c r="B795" s="10" t="s">
        <v>2023</v>
      </c>
      <c r="C795" s="11" t="s">
        <v>2888</v>
      </c>
      <c r="D795" s="11" t="s">
        <v>2889</v>
      </c>
      <c r="E795" s="11" t="s">
        <v>57</v>
      </c>
      <c r="F795" s="11" t="s">
        <v>2890</v>
      </c>
      <c r="G795" s="11" t="s">
        <v>28</v>
      </c>
      <c r="H795" s="11" t="s">
        <v>2890</v>
      </c>
      <c r="I795" s="11" t="s">
        <v>2891</v>
      </c>
      <c r="J795" s="12">
        <v>0.14960000000000001</v>
      </c>
      <c r="K795" s="13">
        <v>1</v>
      </c>
      <c r="L795" s="14">
        <v>234</v>
      </c>
      <c r="M795" s="10">
        <v>35</v>
      </c>
      <c r="N795" s="10">
        <v>25857</v>
      </c>
      <c r="O795" s="10">
        <v>2745</v>
      </c>
      <c r="P795" s="10">
        <v>28602</v>
      </c>
    </row>
    <row r="796" spans="1:16" ht="27" customHeight="1" x14ac:dyDescent="0.2">
      <c r="A796" s="9" t="s">
        <v>1682</v>
      </c>
      <c r="B796" s="10" t="s">
        <v>2023</v>
      </c>
      <c r="C796" s="11" t="s">
        <v>2892</v>
      </c>
      <c r="D796" s="11" t="s">
        <v>2893</v>
      </c>
      <c r="E796" s="11" t="s">
        <v>57</v>
      </c>
      <c r="F796" s="11" t="s">
        <v>2894</v>
      </c>
      <c r="G796" s="11" t="s">
        <v>28</v>
      </c>
      <c r="H796" s="11" t="s">
        <v>2894</v>
      </c>
      <c r="I796" s="11" t="s">
        <v>2895</v>
      </c>
      <c r="J796" s="12">
        <v>0.32840000000000003</v>
      </c>
      <c r="K796" s="13">
        <v>1</v>
      </c>
      <c r="L796" s="14">
        <v>555</v>
      </c>
      <c r="M796" s="10">
        <v>182</v>
      </c>
      <c r="N796" s="10">
        <v>61328</v>
      </c>
      <c r="O796" s="10">
        <v>14272</v>
      </c>
      <c r="P796" s="10">
        <v>75600</v>
      </c>
    </row>
    <row r="797" spans="1:16" ht="27" customHeight="1" x14ac:dyDescent="0.2">
      <c r="A797" s="9" t="s">
        <v>1682</v>
      </c>
      <c r="B797" s="10" t="s">
        <v>2023</v>
      </c>
      <c r="C797" s="11" t="s">
        <v>2896</v>
      </c>
      <c r="D797" s="11" t="s">
        <v>2897</v>
      </c>
      <c r="E797" s="11" t="s">
        <v>57</v>
      </c>
      <c r="F797" s="11" t="s">
        <v>2898</v>
      </c>
      <c r="G797" s="11" t="s">
        <v>28</v>
      </c>
      <c r="H797" s="11" t="s">
        <v>2898</v>
      </c>
      <c r="I797" s="11" t="s">
        <v>2899</v>
      </c>
      <c r="J797" s="12">
        <v>0.46729999999999999</v>
      </c>
      <c r="K797" s="13">
        <v>1</v>
      </c>
      <c r="L797" s="14">
        <v>413</v>
      </c>
      <c r="M797" s="10">
        <v>193</v>
      </c>
      <c r="N797" s="10">
        <v>45637</v>
      </c>
      <c r="O797" s="10">
        <v>15135</v>
      </c>
      <c r="P797" s="10">
        <v>60772</v>
      </c>
    </row>
    <row r="798" spans="1:16" ht="27" customHeight="1" x14ac:dyDescent="0.2">
      <c r="A798" s="9" t="s">
        <v>1682</v>
      </c>
      <c r="B798" s="10" t="s">
        <v>2023</v>
      </c>
      <c r="C798" s="11" t="s">
        <v>2900</v>
      </c>
      <c r="D798" s="11" t="s">
        <v>2901</v>
      </c>
      <c r="E798" s="11" t="s">
        <v>26</v>
      </c>
      <c r="F798" s="11" t="s">
        <v>2902</v>
      </c>
      <c r="G798" s="11" t="s">
        <v>28</v>
      </c>
      <c r="H798" s="11" t="s">
        <v>2902</v>
      </c>
      <c r="I798" s="11" t="s">
        <v>2903</v>
      </c>
      <c r="J798" s="12">
        <v>0.97709999999999997</v>
      </c>
      <c r="K798" s="13">
        <v>1</v>
      </c>
      <c r="L798" s="14">
        <v>2877</v>
      </c>
      <c r="M798" s="10">
        <v>2811</v>
      </c>
      <c r="N798" s="10">
        <v>317913</v>
      </c>
      <c r="O798" s="10">
        <v>220436</v>
      </c>
      <c r="P798" s="10">
        <v>538349</v>
      </c>
    </row>
    <row r="799" spans="1:16" ht="27" customHeight="1" x14ac:dyDescent="0.2">
      <c r="A799" s="9" t="s">
        <v>1682</v>
      </c>
      <c r="B799" s="10" t="s">
        <v>2023</v>
      </c>
      <c r="C799" s="11" t="s">
        <v>2904</v>
      </c>
      <c r="D799" s="11" t="s">
        <v>2905</v>
      </c>
      <c r="E799" s="11" t="s">
        <v>57</v>
      </c>
      <c r="F799" s="11" t="s">
        <v>2906</v>
      </c>
      <c r="G799" s="11" t="s">
        <v>28</v>
      </c>
      <c r="H799" s="11" t="s">
        <v>2906</v>
      </c>
      <c r="I799" s="11" t="s">
        <v>2907</v>
      </c>
      <c r="J799" s="12">
        <v>0.17599999999999999</v>
      </c>
      <c r="K799" s="13">
        <v>1</v>
      </c>
      <c r="L799" s="14">
        <v>750</v>
      </c>
      <c r="M799" s="10">
        <v>132</v>
      </c>
      <c r="N799" s="10">
        <v>82876</v>
      </c>
      <c r="O799" s="10">
        <v>10351</v>
      </c>
      <c r="P799" s="10">
        <v>93227</v>
      </c>
    </row>
    <row r="800" spans="1:16" ht="27" customHeight="1" x14ac:dyDescent="0.2">
      <c r="A800" s="9" t="s">
        <v>1682</v>
      </c>
      <c r="B800" s="10" t="s">
        <v>2023</v>
      </c>
      <c r="C800" s="11" t="s">
        <v>2908</v>
      </c>
      <c r="D800" s="11" t="s">
        <v>2909</v>
      </c>
      <c r="E800" s="11" t="s">
        <v>57</v>
      </c>
      <c r="F800" s="11" t="s">
        <v>2910</v>
      </c>
      <c r="G800" s="11" t="s">
        <v>28</v>
      </c>
      <c r="H800" s="11" t="s">
        <v>2910</v>
      </c>
      <c r="I800" s="11" t="s">
        <v>2911</v>
      </c>
      <c r="J800" s="12">
        <v>0.127</v>
      </c>
      <c r="K800" s="13">
        <v>1</v>
      </c>
      <c r="L800" s="14">
        <v>638</v>
      </c>
      <c r="M800" s="10">
        <v>81</v>
      </c>
      <c r="N800" s="10">
        <v>70500</v>
      </c>
      <c r="O800" s="10">
        <v>6352</v>
      </c>
      <c r="P800" s="10">
        <v>76852</v>
      </c>
    </row>
    <row r="801" spans="1:16" ht="27" customHeight="1" x14ac:dyDescent="0.2">
      <c r="A801" s="9" t="s">
        <v>1682</v>
      </c>
      <c r="B801" s="10" t="s">
        <v>2023</v>
      </c>
      <c r="C801" s="11" t="s">
        <v>2912</v>
      </c>
      <c r="D801" s="11" t="s">
        <v>2913</v>
      </c>
      <c r="E801" s="11" t="s">
        <v>57</v>
      </c>
      <c r="F801" s="11" t="s">
        <v>2914</v>
      </c>
      <c r="G801" s="11" t="s">
        <v>28</v>
      </c>
      <c r="H801" s="11" t="s">
        <v>2914</v>
      </c>
      <c r="I801" s="11" t="s">
        <v>2915</v>
      </c>
      <c r="J801" s="12">
        <v>0.3009</v>
      </c>
      <c r="K801" s="13">
        <v>1</v>
      </c>
      <c r="L801" s="14">
        <v>554</v>
      </c>
      <c r="M801" s="10">
        <v>167</v>
      </c>
      <c r="N801" s="10">
        <v>61218</v>
      </c>
      <c r="O801" s="10">
        <v>13096</v>
      </c>
      <c r="P801" s="10">
        <v>74314</v>
      </c>
    </row>
    <row r="802" spans="1:16" ht="27" customHeight="1" x14ac:dyDescent="0.2">
      <c r="A802" s="9" t="s">
        <v>1682</v>
      </c>
      <c r="B802" s="10" t="s">
        <v>2023</v>
      </c>
      <c r="C802" s="11" t="s">
        <v>2916</v>
      </c>
      <c r="D802" s="11" t="s">
        <v>2917</v>
      </c>
      <c r="E802" s="11" t="s">
        <v>57</v>
      </c>
      <c r="F802" s="11" t="s">
        <v>2918</v>
      </c>
      <c r="G802" s="11" t="s">
        <v>28</v>
      </c>
      <c r="H802" s="11" t="s">
        <v>2918</v>
      </c>
      <c r="I802" s="11" t="s">
        <v>2919</v>
      </c>
      <c r="J802" s="12">
        <v>0.30740000000000001</v>
      </c>
      <c r="K802" s="13">
        <v>1</v>
      </c>
      <c r="L802" s="14">
        <v>592</v>
      </c>
      <c r="M802" s="10">
        <v>182</v>
      </c>
      <c r="N802" s="10">
        <v>65417</v>
      </c>
      <c r="O802" s="10">
        <v>14272</v>
      </c>
      <c r="P802" s="10">
        <v>79689</v>
      </c>
    </row>
    <row r="803" spans="1:16" ht="27" customHeight="1" x14ac:dyDescent="0.2">
      <c r="A803" s="9" t="s">
        <v>1682</v>
      </c>
      <c r="B803" s="10" t="s">
        <v>2023</v>
      </c>
      <c r="C803" s="11" t="s">
        <v>2920</v>
      </c>
      <c r="D803" s="11" t="s">
        <v>2921</v>
      </c>
      <c r="E803" s="11" t="s">
        <v>57</v>
      </c>
      <c r="F803" s="11" t="s">
        <v>2922</v>
      </c>
      <c r="G803" s="11" t="s">
        <v>28</v>
      </c>
      <c r="H803" s="11" t="s">
        <v>2922</v>
      </c>
      <c r="I803" s="11" t="s">
        <v>2923</v>
      </c>
      <c r="J803" s="12">
        <v>0.24299999999999999</v>
      </c>
      <c r="K803" s="13">
        <v>1</v>
      </c>
      <c r="L803" s="14">
        <v>680</v>
      </c>
      <c r="M803" s="10">
        <v>165</v>
      </c>
      <c r="N803" s="10">
        <v>75141</v>
      </c>
      <c r="O803" s="10">
        <v>12939</v>
      </c>
      <c r="P803" s="10">
        <v>88080</v>
      </c>
    </row>
    <row r="804" spans="1:16" ht="27" customHeight="1" x14ac:dyDescent="0.2">
      <c r="A804" s="9" t="s">
        <v>1682</v>
      </c>
      <c r="B804" s="10" t="s">
        <v>2023</v>
      </c>
      <c r="C804" s="11" t="s">
        <v>2924</v>
      </c>
      <c r="D804" s="11" t="s">
        <v>2925</v>
      </c>
      <c r="E804" s="11" t="s">
        <v>57</v>
      </c>
      <c r="F804" s="11" t="s">
        <v>2926</v>
      </c>
      <c r="G804" s="11" t="s">
        <v>28</v>
      </c>
      <c r="H804" s="11" t="s">
        <v>1685</v>
      </c>
      <c r="I804" s="11" t="s">
        <v>1686</v>
      </c>
      <c r="J804" s="12">
        <v>1</v>
      </c>
      <c r="K804" s="13">
        <v>1</v>
      </c>
      <c r="L804" s="14">
        <v>492</v>
      </c>
      <c r="M804" s="10">
        <v>250</v>
      </c>
      <c r="N804" s="10">
        <v>54367</v>
      </c>
      <c r="O804" s="10">
        <v>19605</v>
      </c>
      <c r="P804" s="10">
        <v>73972</v>
      </c>
    </row>
    <row r="805" spans="1:16" ht="27" customHeight="1" x14ac:dyDescent="0.2">
      <c r="A805" s="9" t="s">
        <v>1682</v>
      </c>
      <c r="B805" s="10" t="s">
        <v>2023</v>
      </c>
      <c r="C805" s="11" t="s">
        <v>2927</v>
      </c>
      <c r="D805" s="11" t="s">
        <v>2928</v>
      </c>
      <c r="E805" s="11" t="s">
        <v>57</v>
      </c>
      <c r="F805" s="11" t="s">
        <v>2929</v>
      </c>
      <c r="G805" s="11" t="s">
        <v>28</v>
      </c>
      <c r="H805" s="11" t="s">
        <v>1685</v>
      </c>
      <c r="I805" s="11" t="s">
        <v>1686</v>
      </c>
      <c r="J805" s="12">
        <v>1</v>
      </c>
      <c r="K805" s="13">
        <v>1</v>
      </c>
      <c r="L805" s="14">
        <v>1329</v>
      </c>
      <c r="M805" s="10">
        <v>596</v>
      </c>
      <c r="N805" s="10">
        <v>146857</v>
      </c>
      <c r="O805" s="10">
        <v>46738</v>
      </c>
      <c r="P805" s="10">
        <v>193595</v>
      </c>
    </row>
    <row r="806" spans="1:16" ht="27" customHeight="1" x14ac:dyDescent="0.2">
      <c r="A806" s="9" t="s">
        <v>1682</v>
      </c>
      <c r="B806" s="10" t="s">
        <v>2023</v>
      </c>
      <c r="C806" s="11" t="s">
        <v>2930</v>
      </c>
      <c r="D806" s="11" t="s">
        <v>2931</v>
      </c>
      <c r="E806" s="11" t="s">
        <v>57</v>
      </c>
      <c r="F806" s="11" t="s">
        <v>2932</v>
      </c>
      <c r="G806" s="11" t="s">
        <v>28</v>
      </c>
      <c r="H806" s="11" t="s">
        <v>1685</v>
      </c>
      <c r="I806" s="11" t="s">
        <v>1686</v>
      </c>
      <c r="J806" s="12">
        <v>1</v>
      </c>
      <c r="K806" s="13">
        <v>1</v>
      </c>
      <c r="L806" s="14">
        <v>1718</v>
      </c>
      <c r="M806" s="10">
        <v>430</v>
      </c>
      <c r="N806" s="10">
        <v>189842</v>
      </c>
      <c r="O806" s="10">
        <v>33720</v>
      </c>
      <c r="P806" s="10">
        <v>223562</v>
      </c>
    </row>
    <row r="807" spans="1:16" ht="27" customHeight="1" x14ac:dyDescent="0.2">
      <c r="A807" s="9" t="s">
        <v>1682</v>
      </c>
      <c r="B807" s="10" t="s">
        <v>2023</v>
      </c>
      <c r="C807" s="11" t="s">
        <v>2933</v>
      </c>
      <c r="D807" s="11" t="s">
        <v>2934</v>
      </c>
      <c r="E807" s="11" t="s">
        <v>57</v>
      </c>
      <c r="F807" s="11" t="s">
        <v>2935</v>
      </c>
      <c r="G807" s="11" t="s">
        <v>28</v>
      </c>
      <c r="H807" s="11" t="s">
        <v>1685</v>
      </c>
      <c r="I807" s="11" t="s">
        <v>1686</v>
      </c>
      <c r="J807" s="12">
        <v>1</v>
      </c>
      <c r="K807" s="13">
        <v>1</v>
      </c>
      <c r="L807" s="14">
        <v>1887</v>
      </c>
      <c r="M807" s="10">
        <v>693</v>
      </c>
      <c r="N807" s="10">
        <v>208517</v>
      </c>
      <c r="O807" s="10">
        <v>54344</v>
      </c>
      <c r="P807" s="10">
        <v>262861</v>
      </c>
    </row>
    <row r="808" spans="1:16" ht="27" customHeight="1" x14ac:dyDescent="0.2">
      <c r="A808" s="9" t="s">
        <v>1682</v>
      </c>
      <c r="B808" s="10" t="s">
        <v>2023</v>
      </c>
      <c r="C808" s="11" t="s">
        <v>2936</v>
      </c>
      <c r="D808" s="11" t="s">
        <v>2937</v>
      </c>
      <c r="E808" s="11" t="s">
        <v>57</v>
      </c>
      <c r="F808" s="11" t="s">
        <v>2938</v>
      </c>
      <c r="G808" s="11" t="s">
        <v>28</v>
      </c>
      <c r="H808" s="11" t="s">
        <v>1685</v>
      </c>
      <c r="I808" s="11" t="s">
        <v>1686</v>
      </c>
      <c r="J808" s="12">
        <v>1</v>
      </c>
      <c r="K808" s="13">
        <v>1</v>
      </c>
      <c r="L808" s="14">
        <v>1940</v>
      </c>
      <c r="M808" s="10">
        <v>947</v>
      </c>
      <c r="N808" s="10">
        <v>214373</v>
      </c>
      <c r="O808" s="10">
        <v>74263</v>
      </c>
      <c r="P808" s="10">
        <v>288636</v>
      </c>
    </row>
    <row r="809" spans="1:16" ht="27" customHeight="1" x14ac:dyDescent="0.2">
      <c r="A809" s="9" t="s">
        <v>1682</v>
      </c>
      <c r="B809" s="10" t="s">
        <v>2023</v>
      </c>
      <c r="C809" s="11" t="s">
        <v>2939</v>
      </c>
      <c r="D809" s="11" t="s">
        <v>2940</v>
      </c>
      <c r="E809" s="11" t="s">
        <v>57</v>
      </c>
      <c r="F809" s="11" t="s">
        <v>2941</v>
      </c>
      <c r="G809" s="11" t="s">
        <v>28</v>
      </c>
      <c r="H809" s="11" t="s">
        <v>1685</v>
      </c>
      <c r="I809" s="11" t="s">
        <v>1686</v>
      </c>
      <c r="J809" s="12">
        <v>1</v>
      </c>
      <c r="K809" s="13">
        <v>1</v>
      </c>
      <c r="L809" s="14">
        <v>1441</v>
      </c>
      <c r="M809" s="10">
        <v>732</v>
      </c>
      <c r="N809" s="10">
        <v>159233</v>
      </c>
      <c r="O809" s="10">
        <v>57403</v>
      </c>
      <c r="P809" s="10">
        <v>216636</v>
      </c>
    </row>
    <row r="810" spans="1:16" ht="27" customHeight="1" x14ac:dyDescent="0.2">
      <c r="A810" s="9" t="s">
        <v>1682</v>
      </c>
      <c r="B810" s="10" t="s">
        <v>2023</v>
      </c>
      <c r="C810" s="11" t="s">
        <v>2942</v>
      </c>
      <c r="D810" s="11" t="s">
        <v>2943</v>
      </c>
      <c r="E810" s="11" t="s">
        <v>57</v>
      </c>
      <c r="F810" s="11" t="s">
        <v>2944</v>
      </c>
      <c r="G810" s="11" t="s">
        <v>28</v>
      </c>
      <c r="H810" s="11" t="s">
        <v>2944</v>
      </c>
      <c r="I810" s="11" t="s">
        <v>2945</v>
      </c>
      <c r="J810" s="12">
        <v>0.19769999999999999</v>
      </c>
      <c r="K810" s="13">
        <v>1</v>
      </c>
      <c r="L810" s="14">
        <v>597</v>
      </c>
      <c r="M810" s="10">
        <v>118</v>
      </c>
      <c r="N810" s="10">
        <v>65969</v>
      </c>
      <c r="O810" s="10">
        <v>9253</v>
      </c>
      <c r="P810" s="10">
        <v>75222</v>
      </c>
    </row>
    <row r="811" spans="1:16" ht="27" customHeight="1" x14ac:dyDescent="0.2">
      <c r="A811" s="9" t="s">
        <v>1682</v>
      </c>
      <c r="B811" s="10" t="s">
        <v>2023</v>
      </c>
      <c r="C811" s="11" t="s">
        <v>2946</v>
      </c>
      <c r="D811" s="11" t="s">
        <v>2947</v>
      </c>
      <c r="E811" s="11" t="s">
        <v>57</v>
      </c>
      <c r="F811" s="11" t="s">
        <v>2948</v>
      </c>
      <c r="G811" s="11" t="s">
        <v>28</v>
      </c>
      <c r="H811" s="11" t="s">
        <v>2948</v>
      </c>
      <c r="I811" s="11" t="s">
        <v>2949</v>
      </c>
      <c r="J811" s="12">
        <v>0.21149999999999999</v>
      </c>
      <c r="K811" s="13">
        <v>1</v>
      </c>
      <c r="L811" s="14">
        <v>435</v>
      </c>
      <c r="M811" s="10">
        <v>92</v>
      </c>
      <c r="N811" s="10">
        <v>48068</v>
      </c>
      <c r="O811" s="10">
        <v>7215</v>
      </c>
      <c r="P811" s="10">
        <v>55283</v>
      </c>
    </row>
    <row r="812" spans="1:16" ht="27" customHeight="1" x14ac:dyDescent="0.2">
      <c r="A812" s="9" t="s">
        <v>1682</v>
      </c>
      <c r="B812" s="10" t="s">
        <v>2023</v>
      </c>
      <c r="C812" s="11" t="s">
        <v>2950</v>
      </c>
      <c r="D812" s="11" t="s">
        <v>2951</v>
      </c>
      <c r="E812" s="11" t="s">
        <v>57</v>
      </c>
      <c r="F812" s="11" t="s">
        <v>2952</v>
      </c>
      <c r="G812" s="11" t="s">
        <v>28</v>
      </c>
      <c r="H812" s="11" t="s">
        <v>2952</v>
      </c>
      <c r="I812" s="11" t="s">
        <v>2953</v>
      </c>
      <c r="J812" s="12">
        <v>0.1285</v>
      </c>
      <c r="K812" s="13">
        <v>1</v>
      </c>
      <c r="L812" s="14">
        <v>397</v>
      </c>
      <c r="M812" s="10">
        <v>51</v>
      </c>
      <c r="N812" s="10">
        <v>43869</v>
      </c>
      <c r="O812" s="10">
        <v>3999</v>
      </c>
      <c r="P812" s="10">
        <v>47868</v>
      </c>
    </row>
    <row r="813" spans="1:16" ht="27" customHeight="1" x14ac:dyDescent="0.2">
      <c r="A813" s="9" t="s">
        <v>1682</v>
      </c>
      <c r="B813" s="10" t="s">
        <v>2023</v>
      </c>
      <c r="C813" s="11" t="s">
        <v>2954</v>
      </c>
      <c r="D813" s="11" t="s">
        <v>2955</v>
      </c>
      <c r="E813" s="11" t="s">
        <v>26</v>
      </c>
      <c r="F813" s="11" t="s">
        <v>2956</v>
      </c>
      <c r="G813" s="11" t="s">
        <v>28</v>
      </c>
      <c r="H813" s="11" t="s">
        <v>2956</v>
      </c>
      <c r="I813" s="11" t="s">
        <v>2957</v>
      </c>
      <c r="J813" s="12">
        <v>0.83830000000000005</v>
      </c>
      <c r="K813" s="13">
        <v>1</v>
      </c>
      <c r="L813" s="14">
        <v>773</v>
      </c>
      <c r="M813" s="10">
        <v>648</v>
      </c>
      <c r="N813" s="10">
        <v>85418</v>
      </c>
      <c r="O813" s="10">
        <v>50815</v>
      </c>
      <c r="P813" s="10">
        <v>136233</v>
      </c>
    </row>
    <row r="814" spans="1:16" ht="27" customHeight="1" x14ac:dyDescent="0.2">
      <c r="A814" s="9" t="s">
        <v>1682</v>
      </c>
      <c r="B814" s="10" t="s">
        <v>2023</v>
      </c>
      <c r="C814" s="11" t="s">
        <v>2958</v>
      </c>
      <c r="D814" s="11" t="s">
        <v>2959</v>
      </c>
      <c r="E814" s="11" t="s">
        <v>26</v>
      </c>
      <c r="F814" s="11" t="s">
        <v>2960</v>
      </c>
      <c r="G814" s="11" t="s">
        <v>28</v>
      </c>
      <c r="H814" s="11" t="s">
        <v>2960</v>
      </c>
      <c r="I814" s="11" t="s">
        <v>2961</v>
      </c>
      <c r="J814" s="12">
        <v>0.9829</v>
      </c>
      <c r="K814" s="13">
        <v>1</v>
      </c>
      <c r="L814" s="14">
        <v>350</v>
      </c>
      <c r="M814" s="10">
        <v>344</v>
      </c>
      <c r="N814" s="10">
        <v>38676</v>
      </c>
      <c r="O814" s="10">
        <v>26976</v>
      </c>
      <c r="P814" s="10">
        <v>65652</v>
      </c>
    </row>
    <row r="815" spans="1:16" ht="27" customHeight="1" x14ac:dyDescent="0.2">
      <c r="A815" s="9" t="s">
        <v>1682</v>
      </c>
      <c r="B815" s="10" t="s">
        <v>2023</v>
      </c>
      <c r="C815" s="11" t="s">
        <v>2962</v>
      </c>
      <c r="D815" s="11" t="s">
        <v>2963</v>
      </c>
      <c r="E815" s="11" t="s">
        <v>26</v>
      </c>
      <c r="F815" s="11" t="s">
        <v>2964</v>
      </c>
      <c r="G815" s="11" t="s">
        <v>28</v>
      </c>
      <c r="H815" s="11" t="s">
        <v>2964</v>
      </c>
      <c r="I815" s="11" t="s">
        <v>2965</v>
      </c>
      <c r="J815" s="12">
        <v>0.89410000000000001</v>
      </c>
      <c r="K815" s="13">
        <v>1</v>
      </c>
      <c r="L815" s="14">
        <v>784</v>
      </c>
      <c r="M815" s="10">
        <v>701</v>
      </c>
      <c r="N815" s="10">
        <v>86633</v>
      </c>
      <c r="O815" s="10">
        <v>54972</v>
      </c>
      <c r="P815" s="10">
        <v>141605</v>
      </c>
    </row>
    <row r="816" spans="1:16" ht="27" customHeight="1" x14ac:dyDescent="0.2">
      <c r="A816" s="9" t="s">
        <v>1682</v>
      </c>
      <c r="B816" s="10" t="s">
        <v>2023</v>
      </c>
      <c r="C816" s="11" t="s">
        <v>2966</v>
      </c>
      <c r="D816" s="11" t="s">
        <v>2967</v>
      </c>
      <c r="E816" s="11" t="s">
        <v>26</v>
      </c>
      <c r="F816" s="11" t="s">
        <v>2968</v>
      </c>
      <c r="G816" s="11" t="s">
        <v>28</v>
      </c>
      <c r="H816" s="11" t="s">
        <v>2968</v>
      </c>
      <c r="I816" s="11" t="s">
        <v>2969</v>
      </c>
      <c r="J816" s="12">
        <v>0.97660000000000002</v>
      </c>
      <c r="K816" s="13">
        <v>1</v>
      </c>
      <c r="L816" s="14">
        <v>427</v>
      </c>
      <c r="M816" s="10">
        <v>417</v>
      </c>
      <c r="N816" s="10">
        <v>47184</v>
      </c>
      <c r="O816" s="10">
        <v>32701</v>
      </c>
      <c r="P816" s="10">
        <v>79885</v>
      </c>
    </row>
    <row r="817" spans="1:16" ht="27" customHeight="1" x14ac:dyDescent="0.2">
      <c r="A817" s="9" t="s">
        <v>1682</v>
      </c>
      <c r="B817" s="10" t="s">
        <v>2023</v>
      </c>
      <c r="C817" s="11" t="s">
        <v>2970</v>
      </c>
      <c r="D817" s="11" t="s">
        <v>2971</v>
      </c>
      <c r="E817" s="11" t="s">
        <v>26</v>
      </c>
      <c r="F817" s="11" t="s">
        <v>2972</v>
      </c>
      <c r="G817" s="11" t="s">
        <v>28</v>
      </c>
      <c r="H817" s="11" t="s">
        <v>2972</v>
      </c>
      <c r="I817" s="11" t="s">
        <v>2973</v>
      </c>
      <c r="J817" s="12">
        <v>0.99170000000000003</v>
      </c>
      <c r="K817" s="13">
        <v>1</v>
      </c>
      <c r="L817" s="14">
        <v>602</v>
      </c>
      <c r="M817" s="10">
        <v>597</v>
      </c>
      <c r="N817" s="10">
        <v>66522</v>
      </c>
      <c r="O817" s="10">
        <v>46816</v>
      </c>
      <c r="P817" s="10">
        <v>113338</v>
      </c>
    </row>
    <row r="818" spans="1:16" ht="27" customHeight="1" x14ac:dyDescent="0.2">
      <c r="A818" s="9" t="s">
        <v>1682</v>
      </c>
      <c r="B818" s="10" t="s">
        <v>2023</v>
      </c>
      <c r="C818" s="11" t="s">
        <v>2974</v>
      </c>
      <c r="D818" s="11" t="s">
        <v>2975</v>
      </c>
      <c r="E818" s="11" t="s">
        <v>26</v>
      </c>
      <c r="F818" s="11" t="s">
        <v>2976</v>
      </c>
      <c r="G818" s="11" t="s">
        <v>28</v>
      </c>
      <c r="H818" s="11" t="s">
        <v>2976</v>
      </c>
      <c r="I818" s="11" t="s">
        <v>2977</v>
      </c>
      <c r="J818" s="12">
        <v>0.58440000000000003</v>
      </c>
      <c r="K818" s="13">
        <v>1</v>
      </c>
      <c r="L818" s="14">
        <v>474</v>
      </c>
      <c r="M818" s="10">
        <v>277</v>
      </c>
      <c r="N818" s="10">
        <v>52378</v>
      </c>
      <c r="O818" s="10">
        <v>21722</v>
      </c>
      <c r="P818" s="10">
        <v>74100</v>
      </c>
    </row>
    <row r="819" spans="1:16" ht="27" customHeight="1" x14ac:dyDescent="0.2">
      <c r="A819" s="9" t="s">
        <v>1682</v>
      </c>
      <c r="B819" s="10" t="s">
        <v>2023</v>
      </c>
      <c r="C819" s="11" t="s">
        <v>2978</v>
      </c>
      <c r="D819" s="11" t="s">
        <v>2979</v>
      </c>
      <c r="E819" s="11" t="s">
        <v>26</v>
      </c>
      <c r="F819" s="11" t="s">
        <v>2980</v>
      </c>
      <c r="G819" s="11" t="s">
        <v>28</v>
      </c>
      <c r="H819" s="11" t="s">
        <v>2980</v>
      </c>
      <c r="I819" s="11" t="s">
        <v>2981</v>
      </c>
      <c r="J819" s="12">
        <v>0.22270000000000001</v>
      </c>
      <c r="K819" s="13">
        <v>1</v>
      </c>
      <c r="L819" s="14">
        <v>741</v>
      </c>
      <c r="M819" s="10">
        <v>165</v>
      </c>
      <c r="N819" s="10">
        <v>81882</v>
      </c>
      <c r="O819" s="10">
        <v>12939</v>
      </c>
      <c r="P819" s="10">
        <v>94821</v>
      </c>
    </row>
    <row r="820" spans="1:16" ht="27" customHeight="1" x14ac:dyDescent="0.2">
      <c r="A820" s="9" t="s">
        <v>1682</v>
      </c>
      <c r="B820" s="10" t="s">
        <v>2023</v>
      </c>
      <c r="C820" s="11" t="s">
        <v>2982</v>
      </c>
      <c r="D820" s="11" t="s">
        <v>2983</v>
      </c>
      <c r="E820" s="11" t="s">
        <v>26</v>
      </c>
      <c r="F820" s="11" t="s">
        <v>2984</v>
      </c>
      <c r="G820" s="11" t="s">
        <v>28</v>
      </c>
      <c r="H820" s="11" t="s">
        <v>2984</v>
      </c>
      <c r="I820" s="11" t="s">
        <v>2985</v>
      </c>
      <c r="J820" s="12">
        <v>0.6865</v>
      </c>
      <c r="K820" s="13">
        <v>1</v>
      </c>
      <c r="L820" s="14">
        <v>437</v>
      </c>
      <c r="M820" s="10">
        <v>300</v>
      </c>
      <c r="N820" s="10">
        <v>48289</v>
      </c>
      <c r="O820" s="10">
        <v>23526</v>
      </c>
      <c r="P820" s="10">
        <v>71815</v>
      </c>
    </row>
    <row r="821" spans="1:16" ht="27" customHeight="1" x14ac:dyDescent="0.2">
      <c r="A821" s="9" t="s">
        <v>1682</v>
      </c>
      <c r="B821" s="10" t="s">
        <v>2023</v>
      </c>
      <c r="C821" s="11" t="s">
        <v>2986</v>
      </c>
      <c r="D821" s="11" t="s">
        <v>2987</v>
      </c>
      <c r="E821" s="11" t="s">
        <v>26</v>
      </c>
      <c r="F821" s="11" t="s">
        <v>2988</v>
      </c>
      <c r="G821" s="11" t="s">
        <v>28</v>
      </c>
      <c r="H821" s="11" t="s">
        <v>2988</v>
      </c>
      <c r="I821" s="11" t="s">
        <v>2989</v>
      </c>
      <c r="J821" s="12">
        <v>0.81140000000000001</v>
      </c>
      <c r="K821" s="13">
        <v>1</v>
      </c>
      <c r="L821" s="14">
        <v>297</v>
      </c>
      <c r="M821" s="10">
        <v>241</v>
      </c>
      <c r="N821" s="10">
        <v>32819</v>
      </c>
      <c r="O821" s="10">
        <v>18899</v>
      </c>
      <c r="P821" s="10">
        <v>51718</v>
      </c>
    </row>
    <row r="822" spans="1:16" ht="27" customHeight="1" x14ac:dyDescent="0.2">
      <c r="A822" s="9" t="s">
        <v>1682</v>
      </c>
      <c r="B822" s="10" t="s">
        <v>2023</v>
      </c>
      <c r="C822" s="11" t="s">
        <v>2990</v>
      </c>
      <c r="D822" s="11" t="s">
        <v>2991</v>
      </c>
      <c r="E822" s="11" t="s">
        <v>26</v>
      </c>
      <c r="F822" s="11" t="s">
        <v>2992</v>
      </c>
      <c r="G822" s="11" t="s">
        <v>28</v>
      </c>
      <c r="H822" s="11" t="s">
        <v>2992</v>
      </c>
      <c r="I822" s="11" t="s">
        <v>2993</v>
      </c>
      <c r="J822" s="12">
        <v>0.86499999999999999</v>
      </c>
      <c r="K822" s="13">
        <v>1</v>
      </c>
      <c r="L822" s="14">
        <v>274</v>
      </c>
      <c r="M822" s="10">
        <v>237</v>
      </c>
      <c r="N822" s="10">
        <v>30277</v>
      </c>
      <c r="O822" s="10">
        <v>18585</v>
      </c>
      <c r="P822" s="10">
        <v>48862</v>
      </c>
    </row>
    <row r="823" spans="1:16" ht="27" customHeight="1" x14ac:dyDescent="0.2">
      <c r="A823" s="9" t="s">
        <v>1682</v>
      </c>
      <c r="B823" s="10" t="s">
        <v>2023</v>
      </c>
      <c r="C823" s="11" t="s">
        <v>2994</v>
      </c>
      <c r="D823" s="11" t="s">
        <v>2995</v>
      </c>
      <c r="E823" s="11" t="s">
        <v>26</v>
      </c>
      <c r="F823" s="11" t="s">
        <v>2996</v>
      </c>
      <c r="G823" s="11" t="s">
        <v>28</v>
      </c>
      <c r="H823" s="11" t="s">
        <v>1685</v>
      </c>
      <c r="I823" s="11" t="s">
        <v>1686</v>
      </c>
      <c r="J823" s="12">
        <v>1</v>
      </c>
      <c r="K823" s="13">
        <v>1</v>
      </c>
      <c r="L823" s="14">
        <v>271</v>
      </c>
      <c r="M823" s="10">
        <v>265</v>
      </c>
      <c r="N823" s="10">
        <v>29946</v>
      </c>
      <c r="O823" s="10">
        <v>20781</v>
      </c>
      <c r="P823" s="10">
        <v>50727</v>
      </c>
    </row>
    <row r="824" spans="1:16" ht="27" customHeight="1" x14ac:dyDescent="0.2">
      <c r="A824" s="9" t="s">
        <v>1682</v>
      </c>
      <c r="B824" s="10" t="s">
        <v>2997</v>
      </c>
      <c r="C824" s="11" t="s">
        <v>18</v>
      </c>
      <c r="D824" s="11" t="s">
        <v>19</v>
      </c>
      <c r="E824" s="11" t="s">
        <v>19</v>
      </c>
      <c r="F824" s="11" t="s">
        <v>2998</v>
      </c>
      <c r="G824" s="11" t="s">
        <v>83</v>
      </c>
      <c r="H824" s="11" t="s">
        <v>2999</v>
      </c>
      <c r="I824" s="11" t="s">
        <v>3000</v>
      </c>
      <c r="J824" s="12">
        <v>0.83179999999999998</v>
      </c>
      <c r="K824" s="13">
        <v>5</v>
      </c>
      <c r="L824" s="14">
        <v>1269</v>
      </c>
      <c r="M824" s="10">
        <v>984</v>
      </c>
      <c r="N824" s="10">
        <v>140227</v>
      </c>
      <c r="O824" s="10">
        <v>77164</v>
      </c>
      <c r="P824" s="10">
        <v>217391</v>
      </c>
    </row>
    <row r="825" spans="1:16" ht="27" customHeight="1" x14ac:dyDescent="0.2">
      <c r="A825" s="9" t="s">
        <v>1682</v>
      </c>
      <c r="B825" s="10" t="s">
        <v>3001</v>
      </c>
      <c r="C825" s="11" t="s">
        <v>18</v>
      </c>
      <c r="D825" s="11" t="s">
        <v>19</v>
      </c>
      <c r="E825" s="11" t="s">
        <v>19</v>
      </c>
      <c r="F825" s="11" t="s">
        <v>3002</v>
      </c>
      <c r="G825" s="11" t="s">
        <v>83</v>
      </c>
      <c r="H825" s="11" t="s">
        <v>3003</v>
      </c>
      <c r="I825" s="11" t="s">
        <v>3004</v>
      </c>
      <c r="J825" s="12">
        <v>0.96389999999999998</v>
      </c>
      <c r="K825" s="13">
        <v>19</v>
      </c>
      <c r="L825" s="14">
        <v>12276</v>
      </c>
      <c r="M825" s="10">
        <v>11412</v>
      </c>
      <c r="N825" s="10">
        <v>1356518</v>
      </c>
      <c r="O825" s="10">
        <v>894919</v>
      </c>
      <c r="P825" s="10">
        <v>2251437</v>
      </c>
    </row>
    <row r="826" spans="1:16" ht="27" customHeight="1" x14ac:dyDescent="0.2">
      <c r="A826" s="9" t="s">
        <v>1682</v>
      </c>
      <c r="B826" s="10" t="s">
        <v>3005</v>
      </c>
      <c r="C826" s="11" t="s">
        <v>18</v>
      </c>
      <c r="D826" s="11" t="s">
        <v>19</v>
      </c>
      <c r="E826" s="11" t="s">
        <v>19</v>
      </c>
      <c r="F826" s="11" t="s">
        <v>3006</v>
      </c>
      <c r="G826" s="11" t="s">
        <v>83</v>
      </c>
      <c r="H826" s="11" t="s">
        <v>3007</v>
      </c>
      <c r="I826" s="11" t="s">
        <v>3008</v>
      </c>
      <c r="J826" s="12">
        <v>0.56089999999999995</v>
      </c>
      <c r="K826" s="13">
        <v>12</v>
      </c>
      <c r="L826" s="14">
        <v>5202</v>
      </c>
      <c r="M826" s="10">
        <v>2555</v>
      </c>
      <c r="N826" s="10">
        <v>574830</v>
      </c>
      <c r="O826" s="10">
        <v>200360</v>
      </c>
      <c r="P826" s="10">
        <v>775190</v>
      </c>
    </row>
    <row r="827" spans="1:16" ht="27" customHeight="1" x14ac:dyDescent="0.2">
      <c r="A827" s="9" t="s">
        <v>1682</v>
      </c>
      <c r="B827" s="10" t="s">
        <v>3009</v>
      </c>
      <c r="C827" s="11" t="s">
        <v>18</v>
      </c>
      <c r="D827" s="11" t="s">
        <v>19</v>
      </c>
      <c r="E827" s="11" t="s">
        <v>19</v>
      </c>
      <c r="F827" s="11" t="s">
        <v>3010</v>
      </c>
      <c r="G827" s="11" t="s">
        <v>83</v>
      </c>
      <c r="H827" s="11" t="s">
        <v>3011</v>
      </c>
      <c r="I827" s="11" t="s">
        <v>3012</v>
      </c>
      <c r="J827" s="12">
        <v>0.86270000000000002</v>
      </c>
      <c r="K827" s="13">
        <v>30</v>
      </c>
      <c r="L827" s="14">
        <v>20559</v>
      </c>
      <c r="M827" s="10">
        <v>15087</v>
      </c>
      <c r="N827" s="10">
        <v>2271804</v>
      </c>
      <c r="O827" s="10">
        <v>1183107</v>
      </c>
      <c r="P827" s="10">
        <v>3454911</v>
      </c>
    </row>
    <row r="828" spans="1:16" ht="27" customHeight="1" x14ac:dyDescent="0.2">
      <c r="A828" s="9" t="s">
        <v>1682</v>
      </c>
      <c r="B828" s="10" t="s">
        <v>3013</v>
      </c>
      <c r="C828" s="11" t="s">
        <v>18</v>
      </c>
      <c r="D828" s="11" t="s">
        <v>19</v>
      </c>
      <c r="E828" s="11" t="s">
        <v>19</v>
      </c>
      <c r="F828" s="11" t="s">
        <v>3014</v>
      </c>
      <c r="G828" s="11" t="s">
        <v>83</v>
      </c>
      <c r="H828" s="11" t="s">
        <v>3015</v>
      </c>
      <c r="I828" s="11" t="s">
        <v>3016</v>
      </c>
      <c r="J828" s="12">
        <v>0.85189999999999999</v>
      </c>
      <c r="K828" s="13">
        <v>9</v>
      </c>
      <c r="L828" s="14">
        <v>5053</v>
      </c>
      <c r="M828" s="10">
        <v>4037</v>
      </c>
      <c r="N828" s="10">
        <v>558364</v>
      </c>
      <c r="O828" s="10">
        <v>316577</v>
      </c>
      <c r="P828" s="10">
        <v>874941</v>
      </c>
    </row>
    <row r="829" spans="1:16" ht="27" customHeight="1" x14ac:dyDescent="0.2">
      <c r="A829" s="9" t="s">
        <v>1682</v>
      </c>
      <c r="B829" s="10" t="s">
        <v>3017</v>
      </c>
      <c r="C829" s="11" t="s">
        <v>18</v>
      </c>
      <c r="D829" s="11" t="s">
        <v>19</v>
      </c>
      <c r="E829" s="11" t="s">
        <v>19</v>
      </c>
      <c r="F829" s="11" t="s">
        <v>3018</v>
      </c>
      <c r="G829" s="11" t="s">
        <v>83</v>
      </c>
      <c r="H829" s="11" t="s">
        <v>3019</v>
      </c>
      <c r="I829" s="11" t="s">
        <v>3020</v>
      </c>
      <c r="J829" s="12">
        <v>0.8619</v>
      </c>
      <c r="K829" s="13">
        <v>11</v>
      </c>
      <c r="L829" s="14">
        <v>6106</v>
      </c>
      <c r="M829" s="10">
        <v>2791</v>
      </c>
      <c r="N829" s="10">
        <v>674721</v>
      </c>
      <c r="O829" s="10">
        <v>218868</v>
      </c>
      <c r="P829" s="10">
        <v>893589</v>
      </c>
    </row>
    <row r="830" spans="1:16" ht="27" customHeight="1" x14ac:dyDescent="0.2">
      <c r="A830" s="9" t="s">
        <v>1682</v>
      </c>
      <c r="B830" s="10" t="s">
        <v>3021</v>
      </c>
      <c r="C830" s="11" t="s">
        <v>18</v>
      </c>
      <c r="D830" s="11" t="s">
        <v>19</v>
      </c>
      <c r="E830" s="11" t="s">
        <v>19</v>
      </c>
      <c r="F830" s="11" t="s">
        <v>3022</v>
      </c>
      <c r="G830" s="11" t="s">
        <v>83</v>
      </c>
      <c r="H830" s="11" t="s">
        <v>3023</v>
      </c>
      <c r="I830" s="11" t="s">
        <v>3024</v>
      </c>
      <c r="J830" s="12">
        <v>0.89529999999999998</v>
      </c>
      <c r="K830" s="13">
        <v>27</v>
      </c>
      <c r="L830" s="14">
        <v>15744</v>
      </c>
      <c r="M830" s="10">
        <v>10195</v>
      </c>
      <c r="N830" s="10">
        <v>1739736</v>
      </c>
      <c r="O830" s="10">
        <v>799481</v>
      </c>
      <c r="P830" s="10">
        <v>2539217</v>
      </c>
    </row>
    <row r="831" spans="1:16" ht="27" customHeight="1" x14ac:dyDescent="0.2">
      <c r="A831" s="9" t="s">
        <v>1682</v>
      </c>
      <c r="B831" s="10" t="s">
        <v>3025</v>
      </c>
      <c r="C831" s="11" t="s">
        <v>18</v>
      </c>
      <c r="D831" s="11" t="s">
        <v>19</v>
      </c>
      <c r="E831" s="11" t="s">
        <v>19</v>
      </c>
      <c r="F831" s="11" t="s">
        <v>3026</v>
      </c>
      <c r="G831" s="11" t="s">
        <v>83</v>
      </c>
      <c r="H831" s="11" t="s">
        <v>3027</v>
      </c>
      <c r="I831" s="11" t="s">
        <v>3028</v>
      </c>
      <c r="J831" s="12">
        <v>0.95830000000000004</v>
      </c>
      <c r="K831" s="13">
        <v>29</v>
      </c>
      <c r="L831" s="14">
        <v>17980</v>
      </c>
      <c r="M831" s="10">
        <v>15844</v>
      </c>
      <c r="N831" s="10">
        <v>1986821</v>
      </c>
      <c r="O831" s="10">
        <v>1242468</v>
      </c>
      <c r="P831" s="10">
        <v>3229289</v>
      </c>
    </row>
    <row r="832" spans="1:16" ht="27" customHeight="1" x14ac:dyDescent="0.2">
      <c r="A832" s="9" t="s">
        <v>1682</v>
      </c>
      <c r="B832" s="10" t="s">
        <v>3025</v>
      </c>
      <c r="C832" s="11" t="s">
        <v>3029</v>
      </c>
      <c r="D832" s="11" t="s">
        <v>3030</v>
      </c>
      <c r="E832" s="11" t="s">
        <v>26</v>
      </c>
      <c r="F832" s="11" t="s">
        <v>3031</v>
      </c>
      <c r="G832" s="11" t="s">
        <v>28</v>
      </c>
      <c r="H832" s="11" t="s">
        <v>3031</v>
      </c>
      <c r="I832" s="11" t="s">
        <v>3032</v>
      </c>
      <c r="J832" s="12">
        <v>0.83909999999999996</v>
      </c>
      <c r="K832" s="13">
        <v>1</v>
      </c>
      <c r="L832" s="14">
        <v>1013</v>
      </c>
      <c r="M832" s="10">
        <v>850</v>
      </c>
      <c r="N832" s="10">
        <v>111938</v>
      </c>
      <c r="O832" s="10">
        <v>66656</v>
      </c>
      <c r="P832" s="10">
        <v>178594</v>
      </c>
    </row>
    <row r="833" spans="1:16" ht="27" customHeight="1" x14ac:dyDescent="0.2">
      <c r="A833" s="9" t="s">
        <v>1682</v>
      </c>
      <c r="B833" s="10" t="s">
        <v>3025</v>
      </c>
      <c r="C833" s="11" t="s">
        <v>3033</v>
      </c>
      <c r="D833" s="11" t="s">
        <v>3034</v>
      </c>
      <c r="E833" s="11" t="s">
        <v>26</v>
      </c>
      <c r="F833" s="11" t="s">
        <v>3035</v>
      </c>
      <c r="G833" s="11" t="s">
        <v>28</v>
      </c>
      <c r="H833" s="11" t="s">
        <v>3035</v>
      </c>
      <c r="I833" s="11" t="s">
        <v>3036</v>
      </c>
      <c r="J833" s="12">
        <v>0.54649999999999999</v>
      </c>
      <c r="K833" s="13">
        <v>1</v>
      </c>
      <c r="L833" s="14">
        <v>2278</v>
      </c>
      <c r="M833" s="10">
        <v>1245</v>
      </c>
      <c r="N833" s="10">
        <v>251723</v>
      </c>
      <c r="O833" s="10">
        <v>97632</v>
      </c>
      <c r="P833" s="10">
        <v>349355</v>
      </c>
    </row>
    <row r="834" spans="1:16" ht="27" customHeight="1" x14ac:dyDescent="0.2">
      <c r="A834" s="9" t="s">
        <v>1682</v>
      </c>
      <c r="B834" s="10" t="s">
        <v>3025</v>
      </c>
      <c r="C834" s="11" t="s">
        <v>3037</v>
      </c>
      <c r="D834" s="11" t="s">
        <v>3038</v>
      </c>
      <c r="E834" s="11" t="s">
        <v>57</v>
      </c>
      <c r="F834" s="11" t="s">
        <v>3039</v>
      </c>
      <c r="G834" s="11" t="s">
        <v>28</v>
      </c>
      <c r="H834" s="11" t="s">
        <v>3039</v>
      </c>
      <c r="I834" s="11" t="s">
        <v>3040</v>
      </c>
      <c r="J834" s="12">
        <v>0.83360000000000001</v>
      </c>
      <c r="K834" s="13">
        <v>1</v>
      </c>
      <c r="L834" s="14">
        <v>535</v>
      </c>
      <c r="M834" s="10">
        <v>446</v>
      </c>
      <c r="N834" s="10">
        <v>59118</v>
      </c>
      <c r="O834" s="10">
        <v>34975</v>
      </c>
      <c r="P834" s="10">
        <v>94093</v>
      </c>
    </row>
    <row r="835" spans="1:16" ht="27" customHeight="1" x14ac:dyDescent="0.2">
      <c r="A835" s="9" t="s">
        <v>1682</v>
      </c>
      <c r="B835" s="10" t="s">
        <v>3041</v>
      </c>
      <c r="C835" s="11" t="s">
        <v>18</v>
      </c>
      <c r="D835" s="11" t="s">
        <v>19</v>
      </c>
      <c r="E835" s="11" t="s">
        <v>19</v>
      </c>
      <c r="F835" s="11" t="s">
        <v>3042</v>
      </c>
      <c r="G835" s="11" t="s">
        <v>83</v>
      </c>
      <c r="H835" s="11" t="s">
        <v>3043</v>
      </c>
      <c r="I835" s="11" t="s">
        <v>3044</v>
      </c>
      <c r="J835" s="12">
        <v>0.1348</v>
      </c>
      <c r="K835" s="13">
        <v>19</v>
      </c>
      <c r="L835" s="14">
        <v>10439</v>
      </c>
      <c r="M835" s="10">
        <v>868</v>
      </c>
      <c r="N835" s="10">
        <v>1153529</v>
      </c>
      <c r="O835" s="10">
        <v>68068</v>
      </c>
      <c r="P835" s="10">
        <v>1221597</v>
      </c>
    </row>
    <row r="836" spans="1:16" ht="27" customHeight="1" x14ac:dyDescent="0.2">
      <c r="A836" s="9" t="s">
        <v>1682</v>
      </c>
      <c r="B836" s="10" t="s">
        <v>3045</v>
      </c>
      <c r="C836" s="11" t="s">
        <v>18</v>
      </c>
      <c r="D836" s="11" t="s">
        <v>19</v>
      </c>
      <c r="E836" s="11" t="s">
        <v>19</v>
      </c>
      <c r="F836" s="11" t="s">
        <v>3046</v>
      </c>
      <c r="G836" s="11" t="s">
        <v>83</v>
      </c>
      <c r="H836" s="11" t="s">
        <v>3047</v>
      </c>
      <c r="I836" s="11" t="s">
        <v>3048</v>
      </c>
      <c r="J836" s="12">
        <v>0.95930000000000004</v>
      </c>
      <c r="K836" s="13">
        <v>21</v>
      </c>
      <c r="L836" s="14">
        <v>13028</v>
      </c>
      <c r="M836" s="10">
        <v>12140</v>
      </c>
      <c r="N836" s="10">
        <v>1439618</v>
      </c>
      <c r="O836" s="10">
        <v>952009</v>
      </c>
      <c r="P836" s="10">
        <v>2391627</v>
      </c>
    </row>
    <row r="837" spans="1:16" ht="27" customHeight="1" x14ac:dyDescent="0.2">
      <c r="A837" s="9" t="s">
        <v>1682</v>
      </c>
      <c r="B837" s="10" t="s">
        <v>3049</v>
      </c>
      <c r="C837" s="11" t="s">
        <v>18</v>
      </c>
      <c r="D837" s="11" t="s">
        <v>19</v>
      </c>
      <c r="E837" s="11" t="s">
        <v>19</v>
      </c>
      <c r="F837" s="11" t="s">
        <v>3050</v>
      </c>
      <c r="G837" s="11" t="s">
        <v>83</v>
      </c>
      <c r="H837" s="11" t="s">
        <v>3051</v>
      </c>
      <c r="I837" s="11" t="s">
        <v>3052</v>
      </c>
      <c r="J837" s="12">
        <v>0.89859999999999995</v>
      </c>
      <c r="K837" s="13">
        <v>24</v>
      </c>
      <c r="L837" s="14">
        <v>14550</v>
      </c>
      <c r="M837" s="10">
        <v>10300</v>
      </c>
      <c r="N837" s="10">
        <v>1607800</v>
      </c>
      <c r="O837" s="10">
        <v>807715</v>
      </c>
      <c r="P837" s="10">
        <v>2415515</v>
      </c>
    </row>
    <row r="838" spans="1:16" ht="27" customHeight="1" x14ac:dyDescent="0.2">
      <c r="A838" s="9" t="s">
        <v>1682</v>
      </c>
      <c r="B838" s="10" t="s">
        <v>3049</v>
      </c>
      <c r="C838" s="11" t="s">
        <v>3053</v>
      </c>
      <c r="D838" s="11" t="s">
        <v>3054</v>
      </c>
      <c r="E838" s="11" t="s">
        <v>26</v>
      </c>
      <c r="F838" s="11" t="s">
        <v>3055</v>
      </c>
      <c r="G838" s="11" t="s">
        <v>28</v>
      </c>
      <c r="H838" s="11" t="s">
        <v>3055</v>
      </c>
      <c r="I838" s="11" t="s">
        <v>3056</v>
      </c>
      <c r="J838" s="12">
        <v>0.27929999999999999</v>
      </c>
      <c r="K838" s="13">
        <v>1</v>
      </c>
      <c r="L838" s="14">
        <v>222</v>
      </c>
      <c r="M838" s="10">
        <v>62</v>
      </c>
      <c r="N838" s="10">
        <v>24531</v>
      </c>
      <c r="O838" s="10">
        <v>4862</v>
      </c>
      <c r="P838" s="10">
        <v>29393</v>
      </c>
    </row>
    <row r="839" spans="1:16" ht="27" customHeight="1" x14ac:dyDescent="0.2">
      <c r="A839" s="9" t="s">
        <v>1682</v>
      </c>
      <c r="B839" s="10" t="s">
        <v>3049</v>
      </c>
      <c r="C839" s="11" t="s">
        <v>3057</v>
      </c>
      <c r="D839" s="11" t="s">
        <v>3058</v>
      </c>
      <c r="E839" s="11" t="s">
        <v>26</v>
      </c>
      <c r="F839" s="11" t="s">
        <v>3059</v>
      </c>
      <c r="G839" s="11" t="s">
        <v>28</v>
      </c>
      <c r="H839" s="11" t="s">
        <v>3059</v>
      </c>
      <c r="I839" s="11" t="s">
        <v>3060</v>
      </c>
      <c r="J839" s="12">
        <v>0.20749999999999999</v>
      </c>
      <c r="K839" s="13">
        <v>1</v>
      </c>
      <c r="L839" s="14">
        <v>347</v>
      </c>
      <c r="M839" s="10">
        <v>72</v>
      </c>
      <c r="N839" s="10">
        <v>38344</v>
      </c>
      <c r="O839" s="10">
        <v>5646</v>
      </c>
      <c r="P839" s="10">
        <v>43990</v>
      </c>
    </row>
    <row r="840" spans="1:16" ht="27" customHeight="1" x14ac:dyDescent="0.2">
      <c r="A840" s="9" t="s">
        <v>1682</v>
      </c>
      <c r="B840" s="10" t="s">
        <v>3049</v>
      </c>
      <c r="C840" s="11" t="s">
        <v>3061</v>
      </c>
      <c r="D840" s="11" t="s">
        <v>3062</v>
      </c>
      <c r="E840" s="11" t="s">
        <v>26</v>
      </c>
      <c r="F840" s="11" t="s">
        <v>3063</v>
      </c>
      <c r="G840" s="11" t="s">
        <v>28</v>
      </c>
      <c r="H840" s="11" t="s">
        <v>3063</v>
      </c>
      <c r="I840" s="11" t="s">
        <v>3064</v>
      </c>
      <c r="J840" s="12">
        <v>0.65129999999999999</v>
      </c>
      <c r="K840" s="13">
        <v>1</v>
      </c>
      <c r="L840" s="14">
        <v>152</v>
      </c>
      <c r="M840" s="10">
        <v>99</v>
      </c>
      <c r="N840" s="10">
        <v>16796</v>
      </c>
      <c r="O840" s="10">
        <v>7763</v>
      </c>
      <c r="P840" s="10">
        <v>24559</v>
      </c>
    </row>
    <row r="841" spans="1:16" ht="27" customHeight="1" x14ac:dyDescent="0.2">
      <c r="A841" s="9" t="s">
        <v>1682</v>
      </c>
      <c r="B841" s="10" t="s">
        <v>3049</v>
      </c>
      <c r="C841" s="11" t="s">
        <v>3065</v>
      </c>
      <c r="D841" s="11" t="s">
        <v>3066</v>
      </c>
      <c r="E841" s="11" t="s">
        <v>26</v>
      </c>
      <c r="F841" s="11" t="s">
        <v>3067</v>
      </c>
      <c r="G841" s="11" t="s">
        <v>28</v>
      </c>
      <c r="H841" s="11" t="s">
        <v>1685</v>
      </c>
      <c r="I841" s="11" t="s">
        <v>1686</v>
      </c>
      <c r="J841" s="12">
        <v>1</v>
      </c>
      <c r="K841" s="13">
        <v>1</v>
      </c>
      <c r="L841" s="14">
        <v>195</v>
      </c>
      <c r="M841" s="10">
        <v>175</v>
      </c>
      <c r="N841" s="10">
        <v>21548</v>
      </c>
      <c r="O841" s="10">
        <v>13723</v>
      </c>
      <c r="P841" s="10">
        <v>35271</v>
      </c>
    </row>
    <row r="842" spans="1:16" ht="27" customHeight="1" x14ac:dyDescent="0.2">
      <c r="A842" s="9" t="s">
        <v>1682</v>
      </c>
      <c r="B842" s="10" t="s">
        <v>3049</v>
      </c>
      <c r="C842" s="11" t="s">
        <v>3068</v>
      </c>
      <c r="D842" s="11" t="s">
        <v>3069</v>
      </c>
      <c r="E842" s="11" t="s">
        <v>26</v>
      </c>
      <c r="F842" s="11" t="s">
        <v>3070</v>
      </c>
      <c r="G842" s="11" t="s">
        <v>28</v>
      </c>
      <c r="H842" s="11" t="s">
        <v>3070</v>
      </c>
      <c r="I842" s="11" t="s">
        <v>3071</v>
      </c>
      <c r="J842" s="12">
        <v>0.28949999999999998</v>
      </c>
      <c r="K842" s="13">
        <v>1</v>
      </c>
      <c r="L842" s="14">
        <v>342</v>
      </c>
      <c r="M842" s="10">
        <v>99</v>
      </c>
      <c r="N842" s="10">
        <v>37792</v>
      </c>
      <c r="O842" s="10">
        <v>7763</v>
      </c>
      <c r="P842" s="10">
        <v>45555</v>
      </c>
    </row>
    <row r="843" spans="1:16" ht="27" customHeight="1" x14ac:dyDescent="0.2">
      <c r="A843" s="9" t="s">
        <v>1682</v>
      </c>
      <c r="B843" s="10" t="s">
        <v>3072</v>
      </c>
      <c r="C843" s="11" t="s">
        <v>18</v>
      </c>
      <c r="D843" s="11" t="s">
        <v>19</v>
      </c>
      <c r="E843" s="11" t="s">
        <v>19</v>
      </c>
      <c r="F843" s="11" t="s">
        <v>3073</v>
      </c>
      <c r="G843" s="11" t="s">
        <v>83</v>
      </c>
      <c r="H843" s="11" t="s">
        <v>3074</v>
      </c>
      <c r="I843" s="11" t="s">
        <v>3075</v>
      </c>
      <c r="J843" s="12">
        <v>0.98409999999999997</v>
      </c>
      <c r="K843" s="13">
        <v>36</v>
      </c>
      <c r="L843" s="14">
        <v>20105</v>
      </c>
      <c r="M843" s="10">
        <v>18230</v>
      </c>
      <c r="N843" s="10">
        <v>2221637</v>
      </c>
      <c r="O843" s="10">
        <v>1429579</v>
      </c>
      <c r="P843" s="10">
        <v>3651216</v>
      </c>
    </row>
    <row r="844" spans="1:16" ht="27" customHeight="1" x14ac:dyDescent="0.2">
      <c r="A844" s="9" t="s">
        <v>1682</v>
      </c>
      <c r="B844" s="10" t="s">
        <v>3072</v>
      </c>
      <c r="C844" s="11" t="s">
        <v>3076</v>
      </c>
      <c r="D844" s="11" t="s">
        <v>3077</v>
      </c>
      <c r="E844" s="11" t="s">
        <v>57</v>
      </c>
      <c r="F844" s="11" t="s">
        <v>3078</v>
      </c>
      <c r="G844" s="11" t="s">
        <v>28</v>
      </c>
      <c r="H844" s="11" t="s">
        <v>3078</v>
      </c>
      <c r="I844" s="11" t="s">
        <v>3079</v>
      </c>
      <c r="J844" s="12">
        <v>0.73509999999999998</v>
      </c>
      <c r="K844" s="13">
        <v>1</v>
      </c>
      <c r="L844" s="14">
        <v>970</v>
      </c>
      <c r="M844" s="10">
        <v>713</v>
      </c>
      <c r="N844" s="10">
        <v>107187</v>
      </c>
      <c r="O844" s="10">
        <v>55913</v>
      </c>
      <c r="P844" s="10">
        <v>163100</v>
      </c>
    </row>
    <row r="845" spans="1:16" ht="27" customHeight="1" x14ac:dyDescent="0.2">
      <c r="A845" s="9" t="s">
        <v>1682</v>
      </c>
      <c r="B845" s="10" t="s">
        <v>3072</v>
      </c>
      <c r="C845" s="11" t="s">
        <v>3080</v>
      </c>
      <c r="D845" s="11" t="s">
        <v>3081</v>
      </c>
      <c r="E845" s="11" t="s">
        <v>26</v>
      </c>
      <c r="F845" s="11" t="s">
        <v>3082</v>
      </c>
      <c r="G845" s="11" t="s">
        <v>28</v>
      </c>
      <c r="H845" s="11" t="s">
        <v>3082</v>
      </c>
      <c r="I845" s="11" t="s">
        <v>3083</v>
      </c>
      <c r="J845" s="12">
        <v>0.7571</v>
      </c>
      <c r="K845" s="13">
        <v>1</v>
      </c>
      <c r="L845" s="14">
        <v>667</v>
      </c>
      <c r="M845" s="10">
        <v>505</v>
      </c>
      <c r="N845" s="10">
        <v>73705</v>
      </c>
      <c r="O845" s="10">
        <v>39602</v>
      </c>
      <c r="P845" s="10">
        <v>113307</v>
      </c>
    </row>
    <row r="846" spans="1:16" ht="27" customHeight="1" x14ac:dyDescent="0.2">
      <c r="A846" s="9" t="s">
        <v>1682</v>
      </c>
      <c r="B846" s="10" t="s">
        <v>3072</v>
      </c>
      <c r="C846" s="11" t="s">
        <v>3084</v>
      </c>
      <c r="D846" s="11" t="s">
        <v>3085</v>
      </c>
      <c r="E846" s="11" t="s">
        <v>57</v>
      </c>
      <c r="F846" s="11" t="s">
        <v>3086</v>
      </c>
      <c r="G846" s="11" t="s">
        <v>28</v>
      </c>
      <c r="H846" s="11" t="s">
        <v>3086</v>
      </c>
      <c r="I846" s="11" t="s">
        <v>3087</v>
      </c>
      <c r="J846" s="12">
        <v>0.88629999999999998</v>
      </c>
      <c r="K846" s="13">
        <v>1</v>
      </c>
      <c r="L846" s="14">
        <v>344</v>
      </c>
      <c r="M846" s="10">
        <v>305</v>
      </c>
      <c r="N846" s="10">
        <v>38013</v>
      </c>
      <c r="O846" s="10">
        <v>23918</v>
      </c>
      <c r="P846" s="10">
        <v>61931</v>
      </c>
    </row>
    <row r="847" spans="1:16" ht="27" customHeight="1" x14ac:dyDescent="0.2">
      <c r="A847" s="9" t="s">
        <v>1682</v>
      </c>
      <c r="B847" s="10" t="s">
        <v>3088</v>
      </c>
      <c r="C847" s="11" t="s">
        <v>18</v>
      </c>
      <c r="D847" s="11" t="s">
        <v>19</v>
      </c>
      <c r="E847" s="11" t="s">
        <v>19</v>
      </c>
      <c r="F847" s="11" t="s">
        <v>3089</v>
      </c>
      <c r="G847" s="11" t="s">
        <v>83</v>
      </c>
      <c r="H847" s="11" t="s">
        <v>3090</v>
      </c>
      <c r="I847" s="11" t="s">
        <v>3091</v>
      </c>
      <c r="J847" s="12">
        <v>0.78180000000000005</v>
      </c>
      <c r="K847" s="13">
        <v>6</v>
      </c>
      <c r="L847" s="14">
        <v>2499</v>
      </c>
      <c r="M847" s="10">
        <v>1803</v>
      </c>
      <c r="N847" s="10">
        <v>276143</v>
      </c>
      <c r="O847" s="10">
        <v>141389</v>
      </c>
      <c r="P847" s="10">
        <v>417532</v>
      </c>
    </row>
    <row r="848" spans="1:16" ht="27" customHeight="1" x14ac:dyDescent="0.2">
      <c r="A848" s="9" t="s">
        <v>1682</v>
      </c>
      <c r="B848" s="10" t="s">
        <v>3092</v>
      </c>
      <c r="C848" s="11" t="s">
        <v>18</v>
      </c>
      <c r="D848" s="11" t="s">
        <v>19</v>
      </c>
      <c r="E848" s="11" t="s">
        <v>19</v>
      </c>
      <c r="F848" s="11" t="s">
        <v>3093</v>
      </c>
      <c r="G848" s="11" t="s">
        <v>83</v>
      </c>
      <c r="H848" s="11" t="s">
        <v>3094</v>
      </c>
      <c r="I848" s="11" t="s">
        <v>3095</v>
      </c>
      <c r="J848" s="12">
        <v>0.1061</v>
      </c>
      <c r="K848" s="13">
        <v>5</v>
      </c>
      <c r="L848" s="14">
        <v>2753</v>
      </c>
      <c r="M848" s="10">
        <v>263</v>
      </c>
      <c r="N848" s="10">
        <v>304212</v>
      </c>
      <c r="O848" s="10">
        <v>20623</v>
      </c>
      <c r="P848" s="10">
        <v>324835</v>
      </c>
    </row>
    <row r="849" spans="1:16" ht="27" customHeight="1" x14ac:dyDescent="0.2">
      <c r="A849" s="9" t="s">
        <v>1682</v>
      </c>
      <c r="B849" s="10" t="s">
        <v>3096</v>
      </c>
      <c r="C849" s="11" t="s">
        <v>18</v>
      </c>
      <c r="D849" s="11" t="s">
        <v>19</v>
      </c>
      <c r="E849" s="11" t="s">
        <v>19</v>
      </c>
      <c r="F849" s="11" t="s">
        <v>3097</v>
      </c>
      <c r="G849" s="11" t="s">
        <v>83</v>
      </c>
      <c r="H849" s="11" t="s">
        <v>3098</v>
      </c>
      <c r="I849" s="11" t="s">
        <v>3099</v>
      </c>
      <c r="J849" s="12">
        <v>0.34970000000000001</v>
      </c>
      <c r="K849" s="13">
        <v>18</v>
      </c>
      <c r="L849" s="14">
        <v>8954</v>
      </c>
      <c r="M849" s="10">
        <v>2324</v>
      </c>
      <c r="N849" s="10">
        <v>989433</v>
      </c>
      <c r="O849" s="10">
        <v>182246</v>
      </c>
      <c r="P849" s="10">
        <v>1171679</v>
      </c>
    </row>
    <row r="850" spans="1:16" ht="27" customHeight="1" x14ac:dyDescent="0.2">
      <c r="A850" s="9" t="s">
        <v>1682</v>
      </c>
      <c r="B850" s="10" t="s">
        <v>3100</v>
      </c>
      <c r="C850" s="11" t="s">
        <v>18</v>
      </c>
      <c r="D850" s="11" t="s">
        <v>19</v>
      </c>
      <c r="E850" s="11" t="s">
        <v>19</v>
      </c>
      <c r="F850" s="11" t="s">
        <v>3101</v>
      </c>
      <c r="G850" s="11" t="s">
        <v>83</v>
      </c>
      <c r="H850" s="11" t="s">
        <v>3102</v>
      </c>
      <c r="I850" s="11" t="s">
        <v>3103</v>
      </c>
      <c r="J850" s="12">
        <v>0.57599999999999996</v>
      </c>
      <c r="K850" s="13">
        <v>16</v>
      </c>
      <c r="L850" s="14">
        <v>9277</v>
      </c>
      <c r="M850" s="10">
        <v>2623</v>
      </c>
      <c r="N850" s="10">
        <v>1025125</v>
      </c>
      <c r="O850" s="10">
        <v>205693</v>
      </c>
      <c r="P850" s="10">
        <v>1230818</v>
      </c>
    </row>
    <row r="851" spans="1:16" ht="27" customHeight="1" x14ac:dyDescent="0.2">
      <c r="A851" s="9" t="s">
        <v>1682</v>
      </c>
      <c r="B851" s="10" t="s">
        <v>3104</v>
      </c>
      <c r="C851" s="11" t="s">
        <v>18</v>
      </c>
      <c r="D851" s="11" t="s">
        <v>19</v>
      </c>
      <c r="E851" s="11" t="s">
        <v>19</v>
      </c>
      <c r="F851" s="11" t="s">
        <v>3105</v>
      </c>
      <c r="G851" s="11" t="s">
        <v>83</v>
      </c>
      <c r="H851" s="11" t="s">
        <v>3106</v>
      </c>
      <c r="I851" s="11" t="s">
        <v>3107</v>
      </c>
      <c r="J851" s="12">
        <v>0.16639999999999999</v>
      </c>
      <c r="K851" s="13">
        <v>6</v>
      </c>
      <c r="L851" s="14">
        <v>4637</v>
      </c>
      <c r="M851" s="10">
        <v>730</v>
      </c>
      <c r="N851" s="10">
        <v>512396</v>
      </c>
      <c r="O851" s="10">
        <v>57245</v>
      </c>
      <c r="P851" s="10">
        <v>569641</v>
      </c>
    </row>
    <row r="852" spans="1:16" ht="27" customHeight="1" x14ac:dyDescent="0.2">
      <c r="A852" s="9" t="s">
        <v>1682</v>
      </c>
      <c r="B852" s="10" t="s">
        <v>3108</v>
      </c>
      <c r="C852" s="11" t="s">
        <v>18</v>
      </c>
      <c r="D852" s="11" t="s">
        <v>19</v>
      </c>
      <c r="E852" s="11" t="s">
        <v>19</v>
      </c>
      <c r="F852" s="11" t="s">
        <v>3109</v>
      </c>
      <c r="G852" s="11" t="s">
        <v>83</v>
      </c>
      <c r="H852" s="11" t="s">
        <v>3110</v>
      </c>
      <c r="I852" s="11" t="s">
        <v>3111</v>
      </c>
      <c r="J852" s="12">
        <v>0.91790000000000005</v>
      </c>
      <c r="K852" s="13">
        <v>7</v>
      </c>
      <c r="L852" s="14">
        <v>2354</v>
      </c>
      <c r="M852" s="10">
        <v>2135</v>
      </c>
      <c r="N852" s="10">
        <v>260120</v>
      </c>
      <c r="O852" s="10">
        <v>167424</v>
      </c>
      <c r="P852" s="10">
        <v>427544</v>
      </c>
    </row>
    <row r="853" spans="1:16" ht="27" customHeight="1" x14ac:dyDescent="0.2">
      <c r="A853" s="9" t="s">
        <v>1682</v>
      </c>
      <c r="B853" s="10" t="s">
        <v>3112</v>
      </c>
      <c r="C853" s="11" t="s">
        <v>18</v>
      </c>
      <c r="D853" s="11" t="s">
        <v>19</v>
      </c>
      <c r="E853" s="11" t="s">
        <v>19</v>
      </c>
      <c r="F853" s="11" t="s">
        <v>3113</v>
      </c>
      <c r="G853" s="11" t="s">
        <v>83</v>
      </c>
      <c r="H853" s="11" t="s">
        <v>3114</v>
      </c>
      <c r="I853" s="11" t="s">
        <v>3115</v>
      </c>
      <c r="J853" s="12">
        <v>0.81069999999999998</v>
      </c>
      <c r="K853" s="13">
        <v>11</v>
      </c>
      <c r="L853" s="14">
        <v>5410</v>
      </c>
      <c r="M853" s="10">
        <v>3190</v>
      </c>
      <c r="N853" s="10">
        <v>597813</v>
      </c>
      <c r="O853" s="10">
        <v>250157</v>
      </c>
      <c r="P853" s="10">
        <v>847970</v>
      </c>
    </row>
    <row r="854" spans="1:16" ht="27" customHeight="1" x14ac:dyDescent="0.2">
      <c r="A854" s="9" t="s">
        <v>1682</v>
      </c>
      <c r="B854" s="10" t="s">
        <v>3116</v>
      </c>
      <c r="C854" s="11" t="s">
        <v>18</v>
      </c>
      <c r="D854" s="11" t="s">
        <v>19</v>
      </c>
      <c r="E854" s="11" t="s">
        <v>19</v>
      </c>
      <c r="F854" s="11" t="s">
        <v>3117</v>
      </c>
      <c r="G854" s="11" t="s">
        <v>83</v>
      </c>
      <c r="H854" s="11" t="s">
        <v>3118</v>
      </c>
      <c r="I854" s="11" t="s">
        <v>3119</v>
      </c>
      <c r="J854" s="12">
        <v>0.41760000000000003</v>
      </c>
      <c r="K854" s="13">
        <v>10</v>
      </c>
      <c r="L854" s="14">
        <v>5243</v>
      </c>
      <c r="M854" s="10">
        <v>2032</v>
      </c>
      <c r="N854" s="10">
        <v>579361</v>
      </c>
      <c r="O854" s="10">
        <v>159348</v>
      </c>
      <c r="P854" s="10">
        <v>738709</v>
      </c>
    </row>
    <row r="855" spans="1:16" ht="27" customHeight="1" x14ac:dyDescent="0.2">
      <c r="A855" s="9" t="s">
        <v>1682</v>
      </c>
      <c r="B855" s="10" t="s">
        <v>3120</v>
      </c>
      <c r="C855" s="11" t="s">
        <v>18</v>
      </c>
      <c r="D855" s="11" t="s">
        <v>19</v>
      </c>
      <c r="E855" s="11" t="s">
        <v>19</v>
      </c>
      <c r="F855" s="11" t="s">
        <v>3121</v>
      </c>
      <c r="G855" s="11" t="s">
        <v>83</v>
      </c>
      <c r="H855" s="11" t="s">
        <v>3122</v>
      </c>
      <c r="I855" s="11" t="s">
        <v>3123</v>
      </c>
      <c r="J855" s="12">
        <v>0.5746</v>
      </c>
      <c r="K855" s="13">
        <v>33</v>
      </c>
      <c r="L855" s="14">
        <v>22106</v>
      </c>
      <c r="M855" s="10">
        <v>6063</v>
      </c>
      <c r="N855" s="10">
        <v>2442750</v>
      </c>
      <c r="O855" s="10">
        <v>475456</v>
      </c>
      <c r="P855" s="10">
        <v>2918206</v>
      </c>
    </row>
    <row r="856" spans="1:16" ht="27" customHeight="1" x14ac:dyDescent="0.2">
      <c r="A856" s="9" t="s">
        <v>1682</v>
      </c>
      <c r="B856" s="10" t="s">
        <v>3124</v>
      </c>
      <c r="C856" s="11" t="s">
        <v>18</v>
      </c>
      <c r="D856" s="11" t="s">
        <v>19</v>
      </c>
      <c r="E856" s="11" t="s">
        <v>19</v>
      </c>
      <c r="F856" s="11" t="s">
        <v>3125</v>
      </c>
      <c r="G856" s="11" t="s">
        <v>83</v>
      </c>
      <c r="H856" s="11" t="s">
        <v>3126</v>
      </c>
      <c r="I856" s="11" t="s">
        <v>3127</v>
      </c>
      <c r="J856" s="12">
        <v>0.63749999999999996</v>
      </c>
      <c r="K856" s="13">
        <v>3</v>
      </c>
      <c r="L856" s="14">
        <v>895</v>
      </c>
      <c r="M856" s="10">
        <v>584</v>
      </c>
      <c r="N856" s="10">
        <v>98899</v>
      </c>
      <c r="O856" s="10">
        <v>45797</v>
      </c>
      <c r="P856" s="10">
        <v>144696</v>
      </c>
    </row>
    <row r="857" spans="1:16" ht="27" customHeight="1" x14ac:dyDescent="0.2">
      <c r="A857" s="9" t="s">
        <v>1682</v>
      </c>
      <c r="B857" s="10" t="s">
        <v>3128</v>
      </c>
      <c r="C857" s="11" t="s">
        <v>18</v>
      </c>
      <c r="D857" s="11" t="s">
        <v>19</v>
      </c>
      <c r="E857" s="11" t="s">
        <v>19</v>
      </c>
      <c r="F857" s="11" t="s">
        <v>3129</v>
      </c>
      <c r="G857" s="11" t="s">
        <v>83</v>
      </c>
      <c r="H857" s="11" t="s">
        <v>3130</v>
      </c>
      <c r="I857" s="11" t="s">
        <v>3131</v>
      </c>
      <c r="J857" s="12">
        <v>0.81279999999999997</v>
      </c>
      <c r="K857" s="13">
        <v>16</v>
      </c>
      <c r="L857" s="14">
        <v>8013</v>
      </c>
      <c r="M857" s="10">
        <v>5641</v>
      </c>
      <c r="N857" s="10">
        <v>885449</v>
      </c>
      <c r="O857" s="10">
        <v>442362</v>
      </c>
      <c r="P857" s="10">
        <v>1327811</v>
      </c>
    </row>
    <row r="858" spans="1:16" ht="27" customHeight="1" x14ac:dyDescent="0.2">
      <c r="A858" s="9" t="s">
        <v>1682</v>
      </c>
      <c r="B858" s="10" t="s">
        <v>3128</v>
      </c>
      <c r="C858" s="11" t="s">
        <v>3132</v>
      </c>
      <c r="D858" s="11" t="s">
        <v>3133</v>
      </c>
      <c r="E858" s="11" t="s">
        <v>26</v>
      </c>
      <c r="F858" s="11" t="s">
        <v>3134</v>
      </c>
      <c r="G858" s="11" t="s">
        <v>28</v>
      </c>
      <c r="H858" s="11" t="s">
        <v>3134</v>
      </c>
      <c r="I858" s="11" t="s">
        <v>3135</v>
      </c>
      <c r="J858" s="12">
        <v>0.73740000000000006</v>
      </c>
      <c r="K858" s="13">
        <v>1</v>
      </c>
      <c r="L858" s="14">
        <v>5407</v>
      </c>
      <c r="M858" s="10">
        <v>3987</v>
      </c>
      <c r="N858" s="10">
        <v>597482</v>
      </c>
      <c r="O858" s="10">
        <v>312656</v>
      </c>
      <c r="P858" s="10">
        <v>910138</v>
      </c>
    </row>
    <row r="859" spans="1:16" ht="27" customHeight="1" x14ac:dyDescent="0.2">
      <c r="A859" s="9" t="s">
        <v>1682</v>
      </c>
      <c r="B859" s="10" t="s">
        <v>3128</v>
      </c>
      <c r="C859" s="11" t="s">
        <v>3136</v>
      </c>
      <c r="D859" s="11" t="s">
        <v>3137</v>
      </c>
      <c r="E859" s="11" t="s">
        <v>26</v>
      </c>
      <c r="F859" s="11" t="s">
        <v>3138</v>
      </c>
      <c r="G859" s="11" t="s">
        <v>28</v>
      </c>
      <c r="H859" s="11" t="s">
        <v>3138</v>
      </c>
      <c r="I859" s="11" t="s">
        <v>3139</v>
      </c>
      <c r="J859" s="12">
        <v>0.49759999999999999</v>
      </c>
      <c r="K859" s="13">
        <v>1</v>
      </c>
      <c r="L859" s="14">
        <v>1258</v>
      </c>
      <c r="M859" s="10">
        <v>626</v>
      </c>
      <c r="N859" s="10">
        <v>139011</v>
      </c>
      <c r="O859" s="10">
        <v>49090</v>
      </c>
      <c r="P859" s="10">
        <v>188101</v>
      </c>
    </row>
    <row r="860" spans="1:16" ht="27" customHeight="1" x14ac:dyDescent="0.2">
      <c r="A860" s="9" t="s">
        <v>1682</v>
      </c>
      <c r="B860" s="10" t="s">
        <v>3140</v>
      </c>
      <c r="C860" s="11" t="s">
        <v>18</v>
      </c>
      <c r="D860" s="11" t="s">
        <v>19</v>
      </c>
      <c r="E860" s="11" t="s">
        <v>19</v>
      </c>
      <c r="F860" s="11" t="s">
        <v>3141</v>
      </c>
      <c r="G860" s="11" t="s">
        <v>83</v>
      </c>
      <c r="H860" s="11" t="s">
        <v>3142</v>
      </c>
      <c r="I860" s="11" t="s">
        <v>3143</v>
      </c>
      <c r="J860" s="12">
        <v>0.6925</v>
      </c>
      <c r="K860" s="13">
        <v>13</v>
      </c>
      <c r="L860" s="14">
        <v>8952</v>
      </c>
      <c r="M860" s="10">
        <v>5109</v>
      </c>
      <c r="N860" s="10">
        <v>989210</v>
      </c>
      <c r="O860" s="10">
        <v>400643</v>
      </c>
      <c r="P860" s="10">
        <v>1389853</v>
      </c>
    </row>
    <row r="861" spans="1:16" ht="27" customHeight="1" x14ac:dyDescent="0.2">
      <c r="A861" s="9" t="s">
        <v>1682</v>
      </c>
      <c r="B861" s="10" t="s">
        <v>3144</v>
      </c>
      <c r="C861" s="11" t="s">
        <v>18</v>
      </c>
      <c r="D861" s="11" t="s">
        <v>19</v>
      </c>
      <c r="E861" s="11" t="s">
        <v>19</v>
      </c>
      <c r="F861" s="11" t="s">
        <v>3145</v>
      </c>
      <c r="G861" s="11" t="s">
        <v>83</v>
      </c>
      <c r="H861" s="11" t="s">
        <v>3146</v>
      </c>
      <c r="I861" s="11" t="s">
        <v>3147</v>
      </c>
      <c r="J861" s="12">
        <v>0.73780000000000001</v>
      </c>
      <c r="K861" s="13">
        <v>14</v>
      </c>
      <c r="L861" s="14">
        <v>5574</v>
      </c>
      <c r="M861" s="10">
        <v>3655</v>
      </c>
      <c r="N861" s="10">
        <v>615938</v>
      </c>
      <c r="O861" s="10">
        <v>286620</v>
      </c>
      <c r="P861" s="10">
        <v>902558</v>
      </c>
    </row>
    <row r="862" spans="1:16" ht="27" customHeight="1" x14ac:dyDescent="0.2">
      <c r="A862" s="9" t="s">
        <v>1682</v>
      </c>
      <c r="B862" s="10" t="s">
        <v>3148</v>
      </c>
      <c r="C862" s="11" t="s">
        <v>18</v>
      </c>
      <c r="D862" s="11" t="s">
        <v>19</v>
      </c>
      <c r="E862" s="11" t="s">
        <v>19</v>
      </c>
      <c r="F862" s="11" t="s">
        <v>3149</v>
      </c>
      <c r="G862" s="11" t="s">
        <v>83</v>
      </c>
      <c r="H862" s="11" t="s">
        <v>1685</v>
      </c>
      <c r="I862" s="11" t="s">
        <v>1686</v>
      </c>
      <c r="J862" s="12">
        <v>1</v>
      </c>
      <c r="K862" s="13">
        <v>8</v>
      </c>
      <c r="L862" s="14">
        <v>10568</v>
      </c>
      <c r="M862" s="10">
        <v>8117</v>
      </c>
      <c r="N862" s="10">
        <v>1167782</v>
      </c>
      <c r="O862" s="10">
        <v>636527</v>
      </c>
      <c r="P862" s="10">
        <v>1804309</v>
      </c>
    </row>
    <row r="863" spans="1:16" ht="27" customHeight="1" x14ac:dyDescent="0.2">
      <c r="A863" s="9" t="s">
        <v>1682</v>
      </c>
      <c r="B863" s="10" t="s">
        <v>3150</v>
      </c>
      <c r="C863" s="11" t="s">
        <v>18</v>
      </c>
      <c r="D863" s="11" t="s">
        <v>19</v>
      </c>
      <c r="E863" s="11" t="s">
        <v>19</v>
      </c>
      <c r="F863" s="11" t="s">
        <v>3151</v>
      </c>
      <c r="G863" s="11" t="s">
        <v>83</v>
      </c>
      <c r="H863" s="11" t="s">
        <v>1685</v>
      </c>
      <c r="I863" s="11" t="s">
        <v>1686</v>
      </c>
      <c r="J863" s="12">
        <v>1</v>
      </c>
      <c r="K863" s="13">
        <v>17</v>
      </c>
      <c r="L863" s="14">
        <v>20971</v>
      </c>
      <c r="M863" s="10">
        <v>5417</v>
      </c>
      <c r="N863" s="10">
        <v>2317330</v>
      </c>
      <c r="O863" s="10">
        <v>424795</v>
      </c>
      <c r="P863" s="10">
        <v>2742125</v>
      </c>
    </row>
    <row r="864" spans="1:16" ht="27" customHeight="1" x14ac:dyDescent="0.2">
      <c r="A864" s="9" t="s">
        <v>1682</v>
      </c>
      <c r="B864" s="10" t="s">
        <v>3150</v>
      </c>
      <c r="C864" s="11" t="s">
        <v>3152</v>
      </c>
      <c r="D864" s="11" t="s">
        <v>3153</v>
      </c>
      <c r="E864" s="11" t="s">
        <v>26</v>
      </c>
      <c r="F864" s="11" t="s">
        <v>3154</v>
      </c>
      <c r="G864" s="11" t="s">
        <v>28</v>
      </c>
      <c r="H864" s="11" t="s">
        <v>1685</v>
      </c>
      <c r="I864" s="11" t="s">
        <v>1686</v>
      </c>
      <c r="J864" s="12">
        <v>1</v>
      </c>
      <c r="K864" s="13">
        <v>1</v>
      </c>
      <c r="L864" s="14">
        <v>238</v>
      </c>
      <c r="M864" s="10">
        <v>164</v>
      </c>
      <c r="N864" s="10">
        <v>26299</v>
      </c>
      <c r="O864" s="10">
        <v>12861</v>
      </c>
      <c r="P864" s="10">
        <v>39160</v>
      </c>
    </row>
    <row r="865" spans="1:16" ht="27" customHeight="1" x14ac:dyDescent="0.2">
      <c r="A865" s="9" t="s">
        <v>1682</v>
      </c>
      <c r="B865" s="10" t="s">
        <v>3150</v>
      </c>
      <c r="C865" s="11" t="s">
        <v>3155</v>
      </c>
      <c r="D865" s="11" t="s">
        <v>3156</v>
      </c>
      <c r="E865" s="11" t="s">
        <v>26</v>
      </c>
      <c r="F865" s="11" t="s">
        <v>3157</v>
      </c>
      <c r="G865" s="11" t="s">
        <v>28</v>
      </c>
      <c r="H865" s="11" t="s">
        <v>3157</v>
      </c>
      <c r="I865" s="11" t="s">
        <v>3158</v>
      </c>
      <c r="J865" s="12">
        <v>0.32250000000000001</v>
      </c>
      <c r="K865" s="13">
        <v>1</v>
      </c>
      <c r="L865" s="14">
        <v>766</v>
      </c>
      <c r="M865" s="10">
        <v>247</v>
      </c>
      <c r="N865" s="10">
        <v>84644</v>
      </c>
      <c r="O865" s="10">
        <v>19369</v>
      </c>
      <c r="P865" s="10">
        <v>104013</v>
      </c>
    </row>
    <row r="866" spans="1:16" ht="27" customHeight="1" x14ac:dyDescent="0.2">
      <c r="A866" s="9" t="s">
        <v>1682</v>
      </c>
      <c r="B866" s="10" t="s">
        <v>3150</v>
      </c>
      <c r="C866" s="11" t="s">
        <v>3159</v>
      </c>
      <c r="D866" s="11" t="s">
        <v>3160</v>
      </c>
      <c r="E866" s="11" t="s">
        <v>26</v>
      </c>
      <c r="F866" s="11" t="s">
        <v>3161</v>
      </c>
      <c r="G866" s="11" t="s">
        <v>28</v>
      </c>
      <c r="H866" s="11" t="s">
        <v>1685</v>
      </c>
      <c r="I866" s="11" t="s">
        <v>1686</v>
      </c>
      <c r="J866" s="12">
        <v>1</v>
      </c>
      <c r="K866" s="13">
        <v>1</v>
      </c>
      <c r="L866" s="14">
        <v>454</v>
      </c>
      <c r="M866" s="10">
        <v>289</v>
      </c>
      <c r="N866" s="10">
        <v>50168</v>
      </c>
      <c r="O866" s="10">
        <v>22663</v>
      </c>
      <c r="P866" s="10">
        <v>72831</v>
      </c>
    </row>
    <row r="867" spans="1:16" ht="27" customHeight="1" x14ac:dyDescent="0.2">
      <c r="A867" s="9" t="s">
        <v>1682</v>
      </c>
      <c r="B867" s="10" t="s">
        <v>3162</v>
      </c>
      <c r="C867" s="11" t="s">
        <v>18</v>
      </c>
      <c r="D867" s="11" t="s">
        <v>19</v>
      </c>
      <c r="E867" s="11" t="s">
        <v>19</v>
      </c>
      <c r="F867" s="11" t="s">
        <v>3163</v>
      </c>
      <c r="G867" s="11" t="s">
        <v>83</v>
      </c>
      <c r="H867" s="11" t="s">
        <v>3164</v>
      </c>
      <c r="I867" s="11" t="s">
        <v>3165</v>
      </c>
      <c r="J867" s="12">
        <v>0.93740000000000001</v>
      </c>
      <c r="K867" s="13">
        <v>4</v>
      </c>
      <c r="L867" s="14">
        <v>1236</v>
      </c>
      <c r="M867" s="10">
        <v>1181</v>
      </c>
      <c r="N867" s="10">
        <v>136580</v>
      </c>
      <c r="O867" s="10">
        <v>92613</v>
      </c>
      <c r="P867" s="10">
        <v>229193</v>
      </c>
    </row>
    <row r="868" spans="1:16" ht="27" customHeight="1" x14ac:dyDescent="0.2">
      <c r="A868" s="9" t="s">
        <v>1682</v>
      </c>
      <c r="B868" s="10" t="s">
        <v>3166</v>
      </c>
      <c r="C868" s="11" t="s">
        <v>18</v>
      </c>
      <c r="D868" s="11" t="s">
        <v>19</v>
      </c>
      <c r="E868" s="11" t="s">
        <v>19</v>
      </c>
      <c r="F868" s="11" t="s">
        <v>3167</v>
      </c>
      <c r="G868" s="11" t="s">
        <v>83</v>
      </c>
      <c r="H868" s="11" t="s">
        <v>3168</v>
      </c>
      <c r="I868" s="11" t="s">
        <v>3169</v>
      </c>
      <c r="J868" s="12">
        <v>0.73619999999999997</v>
      </c>
      <c r="K868" s="13">
        <v>39</v>
      </c>
      <c r="L868" s="14">
        <v>18059</v>
      </c>
      <c r="M868" s="10">
        <v>11522</v>
      </c>
      <c r="N868" s="10">
        <v>1995548</v>
      </c>
      <c r="O868" s="10">
        <v>903544</v>
      </c>
      <c r="P868" s="10">
        <v>2899092</v>
      </c>
    </row>
    <row r="869" spans="1:16" ht="27" customHeight="1" x14ac:dyDescent="0.2">
      <c r="A869" s="9" t="s">
        <v>1682</v>
      </c>
      <c r="B869" s="10" t="s">
        <v>3166</v>
      </c>
      <c r="C869" s="11" t="s">
        <v>3170</v>
      </c>
      <c r="D869" s="11" t="s">
        <v>3171</v>
      </c>
      <c r="E869" s="11" t="s">
        <v>26</v>
      </c>
      <c r="F869" s="11" t="s">
        <v>3172</v>
      </c>
      <c r="G869" s="11" t="s">
        <v>28</v>
      </c>
      <c r="H869" s="11" t="s">
        <v>3172</v>
      </c>
      <c r="I869" s="11" t="s">
        <v>3173</v>
      </c>
      <c r="J869" s="12">
        <v>0.92049999999999998</v>
      </c>
      <c r="K869" s="13">
        <v>1</v>
      </c>
      <c r="L869" s="14">
        <v>704</v>
      </c>
      <c r="M869" s="10">
        <v>648</v>
      </c>
      <c r="N869" s="10">
        <v>77793</v>
      </c>
      <c r="O869" s="10">
        <v>50815</v>
      </c>
      <c r="P869" s="10">
        <v>128608</v>
      </c>
    </row>
    <row r="870" spans="1:16" ht="27" customHeight="1" x14ac:dyDescent="0.2">
      <c r="A870" s="9" t="s">
        <v>1682</v>
      </c>
      <c r="B870" s="10" t="s">
        <v>3166</v>
      </c>
      <c r="C870" s="11" t="s">
        <v>3174</v>
      </c>
      <c r="D870" s="11" t="s">
        <v>3175</v>
      </c>
      <c r="E870" s="11" t="s">
        <v>26</v>
      </c>
      <c r="F870" s="11" t="s">
        <v>3176</v>
      </c>
      <c r="G870" s="11" t="s">
        <v>28</v>
      </c>
      <c r="H870" s="11" t="s">
        <v>3176</v>
      </c>
      <c r="I870" s="11" t="s">
        <v>3177</v>
      </c>
      <c r="J870" s="12">
        <v>0.88009999999999999</v>
      </c>
      <c r="K870" s="13">
        <v>1</v>
      </c>
      <c r="L870" s="14">
        <v>417</v>
      </c>
      <c r="M870" s="10">
        <v>367</v>
      </c>
      <c r="N870" s="10">
        <v>46079</v>
      </c>
      <c r="O870" s="10">
        <v>28780</v>
      </c>
      <c r="P870" s="10">
        <v>74859</v>
      </c>
    </row>
    <row r="871" spans="1:16" ht="27" customHeight="1" x14ac:dyDescent="0.2">
      <c r="A871" s="9" t="s">
        <v>1682</v>
      </c>
      <c r="B871" s="10" t="s">
        <v>3166</v>
      </c>
      <c r="C871" s="11" t="s">
        <v>3178</v>
      </c>
      <c r="D871" s="11" t="s">
        <v>3179</v>
      </c>
      <c r="E871" s="11" t="s">
        <v>26</v>
      </c>
      <c r="F871" s="11" t="s">
        <v>3180</v>
      </c>
      <c r="G871" s="11" t="s">
        <v>28</v>
      </c>
      <c r="H871" s="11" t="s">
        <v>3180</v>
      </c>
      <c r="I871" s="11" t="s">
        <v>3181</v>
      </c>
      <c r="J871" s="12">
        <v>0.97070000000000001</v>
      </c>
      <c r="K871" s="13">
        <v>1</v>
      </c>
      <c r="L871" s="14">
        <v>444</v>
      </c>
      <c r="M871" s="10">
        <v>431</v>
      </c>
      <c r="N871" s="10">
        <v>49063</v>
      </c>
      <c r="O871" s="10">
        <v>33799</v>
      </c>
      <c r="P871" s="10">
        <v>82862</v>
      </c>
    </row>
    <row r="872" spans="1:16" ht="27" customHeight="1" x14ac:dyDescent="0.2">
      <c r="A872" s="9" t="s">
        <v>1682</v>
      </c>
      <c r="B872" s="10" t="s">
        <v>3166</v>
      </c>
      <c r="C872" s="11" t="s">
        <v>3182</v>
      </c>
      <c r="D872" s="11" t="s">
        <v>3183</v>
      </c>
      <c r="E872" s="11" t="s">
        <v>26</v>
      </c>
      <c r="F872" s="11" t="s">
        <v>3184</v>
      </c>
      <c r="G872" s="11" t="s">
        <v>28</v>
      </c>
      <c r="H872" s="11" t="s">
        <v>3184</v>
      </c>
      <c r="I872" s="11" t="s">
        <v>3185</v>
      </c>
      <c r="J872" s="12">
        <v>0.93940000000000001</v>
      </c>
      <c r="K872" s="13">
        <v>1</v>
      </c>
      <c r="L872" s="14">
        <v>429</v>
      </c>
      <c r="M872" s="10">
        <v>403</v>
      </c>
      <c r="N872" s="10">
        <v>47405</v>
      </c>
      <c r="O872" s="10">
        <v>31603</v>
      </c>
      <c r="P872" s="10">
        <v>79008</v>
      </c>
    </row>
    <row r="873" spans="1:16" ht="27" customHeight="1" x14ac:dyDescent="0.2">
      <c r="A873" s="9" t="s">
        <v>1682</v>
      </c>
      <c r="B873" s="10" t="s">
        <v>3166</v>
      </c>
      <c r="C873" s="11" t="s">
        <v>3186</v>
      </c>
      <c r="D873" s="11" t="s">
        <v>3187</v>
      </c>
      <c r="E873" s="11" t="s">
        <v>26</v>
      </c>
      <c r="F873" s="11" t="s">
        <v>3188</v>
      </c>
      <c r="G873" s="11" t="s">
        <v>28</v>
      </c>
      <c r="H873" s="11" t="s">
        <v>1685</v>
      </c>
      <c r="I873" s="11" t="s">
        <v>1686</v>
      </c>
      <c r="J873" s="12">
        <v>1</v>
      </c>
      <c r="K873" s="13">
        <v>1</v>
      </c>
      <c r="L873" s="14">
        <v>156</v>
      </c>
      <c r="M873" s="10">
        <v>122</v>
      </c>
      <c r="N873" s="10">
        <v>17238</v>
      </c>
      <c r="O873" s="10">
        <v>9567</v>
      </c>
      <c r="P873" s="10">
        <v>26805</v>
      </c>
    </row>
    <row r="874" spans="1:16" ht="27" customHeight="1" x14ac:dyDescent="0.2">
      <c r="A874" s="9" t="s">
        <v>1682</v>
      </c>
      <c r="B874" s="10" t="s">
        <v>3166</v>
      </c>
      <c r="C874" s="11" t="s">
        <v>3189</v>
      </c>
      <c r="D874" s="11" t="s">
        <v>3190</v>
      </c>
      <c r="E874" s="11" t="s">
        <v>26</v>
      </c>
      <c r="F874" s="11" t="s">
        <v>3191</v>
      </c>
      <c r="G874" s="11" t="s">
        <v>28</v>
      </c>
      <c r="H874" s="11" t="s">
        <v>3191</v>
      </c>
      <c r="I874" s="11" t="s">
        <v>3192</v>
      </c>
      <c r="J874" s="12">
        <v>0.86029999999999995</v>
      </c>
      <c r="K874" s="13">
        <v>1</v>
      </c>
      <c r="L874" s="14">
        <v>551</v>
      </c>
      <c r="M874" s="10">
        <v>474</v>
      </c>
      <c r="N874" s="10">
        <v>60886</v>
      </c>
      <c r="O874" s="10">
        <v>37171</v>
      </c>
      <c r="P874" s="10">
        <v>98057</v>
      </c>
    </row>
    <row r="875" spans="1:16" ht="27" customHeight="1" x14ac:dyDescent="0.2">
      <c r="A875" s="9" t="s">
        <v>1682</v>
      </c>
      <c r="B875" s="10" t="s">
        <v>3166</v>
      </c>
      <c r="C875" s="11" t="s">
        <v>3193</v>
      </c>
      <c r="D875" s="11" t="s">
        <v>3194</v>
      </c>
      <c r="E875" s="11" t="s">
        <v>26</v>
      </c>
      <c r="F875" s="11" t="s">
        <v>3195</v>
      </c>
      <c r="G875" s="11" t="s">
        <v>28</v>
      </c>
      <c r="H875" s="11" t="s">
        <v>3195</v>
      </c>
      <c r="I875" s="11" t="s">
        <v>3196</v>
      </c>
      <c r="J875" s="12">
        <v>0.91849999999999998</v>
      </c>
      <c r="K875" s="13">
        <v>1</v>
      </c>
      <c r="L875" s="14">
        <v>319</v>
      </c>
      <c r="M875" s="10">
        <v>293</v>
      </c>
      <c r="N875" s="10">
        <v>35250</v>
      </c>
      <c r="O875" s="10">
        <v>22977</v>
      </c>
      <c r="P875" s="10">
        <v>58227</v>
      </c>
    </row>
    <row r="876" spans="1:16" ht="27" customHeight="1" x14ac:dyDescent="0.2">
      <c r="A876" s="9" t="s">
        <v>1682</v>
      </c>
      <c r="B876" s="10" t="s">
        <v>3197</v>
      </c>
      <c r="C876" s="11" t="s">
        <v>18</v>
      </c>
      <c r="D876" s="11" t="s">
        <v>19</v>
      </c>
      <c r="E876" s="11" t="s">
        <v>19</v>
      </c>
      <c r="F876" s="11" t="s">
        <v>3198</v>
      </c>
      <c r="G876" s="11" t="s">
        <v>83</v>
      </c>
      <c r="H876" s="11" t="s">
        <v>3199</v>
      </c>
      <c r="I876" s="11" t="s">
        <v>3200</v>
      </c>
      <c r="J876" s="12">
        <v>0.88619999999999999</v>
      </c>
      <c r="K876" s="13">
        <v>36</v>
      </c>
      <c r="L876" s="14">
        <v>16582</v>
      </c>
      <c r="M876" s="10">
        <v>11519</v>
      </c>
      <c r="N876" s="10">
        <v>1832337</v>
      </c>
      <c r="O876" s="10">
        <v>903306</v>
      </c>
      <c r="P876" s="10">
        <v>2735643</v>
      </c>
    </row>
    <row r="877" spans="1:16" ht="27" customHeight="1" x14ac:dyDescent="0.2">
      <c r="A877" s="9" t="s">
        <v>1682</v>
      </c>
      <c r="B877" s="10" t="s">
        <v>3201</v>
      </c>
      <c r="C877" s="11" t="s">
        <v>18</v>
      </c>
      <c r="D877" s="11" t="s">
        <v>19</v>
      </c>
      <c r="E877" s="11" t="s">
        <v>19</v>
      </c>
      <c r="F877" s="11" t="s">
        <v>3202</v>
      </c>
      <c r="G877" s="11" t="s">
        <v>83</v>
      </c>
      <c r="H877" s="11" t="s">
        <v>3203</v>
      </c>
      <c r="I877" s="11" t="s">
        <v>3204</v>
      </c>
      <c r="J877" s="12">
        <v>0.95130000000000003</v>
      </c>
      <c r="K877" s="13">
        <v>24</v>
      </c>
      <c r="L877" s="14">
        <v>12055</v>
      </c>
      <c r="M877" s="10">
        <v>9360</v>
      </c>
      <c r="N877" s="10">
        <v>1332097</v>
      </c>
      <c r="O877" s="10">
        <v>733999</v>
      </c>
      <c r="P877" s="10">
        <v>2066096</v>
      </c>
    </row>
    <row r="878" spans="1:16" ht="27" customHeight="1" x14ac:dyDescent="0.2">
      <c r="A878" s="9" t="s">
        <v>1682</v>
      </c>
      <c r="B878" s="10" t="s">
        <v>3201</v>
      </c>
      <c r="C878" s="11" t="s">
        <v>3205</v>
      </c>
      <c r="D878" s="11" t="s">
        <v>3206</v>
      </c>
      <c r="E878" s="11" t="s">
        <v>26</v>
      </c>
      <c r="F878" s="11" t="s">
        <v>3207</v>
      </c>
      <c r="G878" s="11" t="s">
        <v>28</v>
      </c>
      <c r="H878" s="11" t="s">
        <v>3207</v>
      </c>
      <c r="I878" s="11" t="s">
        <v>3208</v>
      </c>
      <c r="J878" s="12">
        <v>0.74550000000000005</v>
      </c>
      <c r="K878" s="13">
        <v>1</v>
      </c>
      <c r="L878" s="14">
        <v>1289</v>
      </c>
      <c r="M878" s="10">
        <v>961</v>
      </c>
      <c r="N878" s="10">
        <v>142437</v>
      </c>
      <c r="O878" s="10">
        <v>75361</v>
      </c>
      <c r="P878" s="10">
        <v>217798</v>
      </c>
    </row>
    <row r="879" spans="1:16" ht="27" customHeight="1" x14ac:dyDescent="0.2">
      <c r="A879" s="9" t="s">
        <v>1682</v>
      </c>
      <c r="B879" s="10" t="s">
        <v>3209</v>
      </c>
      <c r="C879" s="11" t="s">
        <v>18</v>
      </c>
      <c r="D879" s="11" t="s">
        <v>19</v>
      </c>
      <c r="E879" s="11" t="s">
        <v>19</v>
      </c>
      <c r="F879" s="11" t="s">
        <v>3210</v>
      </c>
      <c r="G879" s="11" t="s">
        <v>83</v>
      </c>
      <c r="H879" s="11" t="s">
        <v>3211</v>
      </c>
      <c r="I879" s="11" t="s">
        <v>3212</v>
      </c>
      <c r="J879" s="12">
        <v>0.32129999999999997</v>
      </c>
      <c r="K879" s="13">
        <v>16</v>
      </c>
      <c r="L879" s="14">
        <v>13517</v>
      </c>
      <c r="M879" s="10">
        <v>3492</v>
      </c>
      <c r="N879" s="10">
        <v>1493653</v>
      </c>
      <c r="O879" s="10">
        <v>273838</v>
      </c>
      <c r="P879" s="10">
        <v>1767491</v>
      </c>
    </row>
    <row r="880" spans="1:16" ht="27" customHeight="1" x14ac:dyDescent="0.2">
      <c r="A880" s="9" t="s">
        <v>1682</v>
      </c>
      <c r="B880" s="10" t="s">
        <v>3213</v>
      </c>
      <c r="C880" s="11" t="s">
        <v>18</v>
      </c>
      <c r="D880" s="11" t="s">
        <v>19</v>
      </c>
      <c r="E880" s="11" t="s">
        <v>19</v>
      </c>
      <c r="F880" s="11" t="s">
        <v>3214</v>
      </c>
      <c r="G880" s="11" t="s">
        <v>83</v>
      </c>
      <c r="H880" s="11" t="s">
        <v>3215</v>
      </c>
      <c r="I880" s="11" t="s">
        <v>3216</v>
      </c>
      <c r="J880" s="12">
        <v>0.9</v>
      </c>
      <c r="K880" s="13">
        <v>9</v>
      </c>
      <c r="L880" s="14">
        <v>4617</v>
      </c>
      <c r="M880" s="10">
        <v>3128</v>
      </c>
      <c r="N880" s="10">
        <v>510186</v>
      </c>
      <c r="O880" s="10">
        <v>245295</v>
      </c>
      <c r="P880" s="10">
        <v>755481</v>
      </c>
    </row>
    <row r="881" spans="1:16" ht="27" customHeight="1" x14ac:dyDescent="0.2">
      <c r="A881" s="9" t="s">
        <v>1682</v>
      </c>
      <c r="B881" s="10" t="s">
        <v>3213</v>
      </c>
      <c r="C881" s="11" t="s">
        <v>3217</v>
      </c>
      <c r="D881" s="11" t="s">
        <v>3218</v>
      </c>
      <c r="E881" s="11" t="s">
        <v>26</v>
      </c>
      <c r="F881" s="11" t="s">
        <v>3219</v>
      </c>
      <c r="G881" s="11" t="s">
        <v>28</v>
      </c>
      <c r="H881" s="11" t="s">
        <v>1685</v>
      </c>
      <c r="I881" s="11" t="s">
        <v>1686</v>
      </c>
      <c r="J881" s="12">
        <v>1</v>
      </c>
      <c r="K881" s="13">
        <v>1</v>
      </c>
      <c r="L881" s="14">
        <v>341</v>
      </c>
      <c r="M881" s="10">
        <v>258</v>
      </c>
      <c r="N881" s="10">
        <v>37681</v>
      </c>
      <c r="O881" s="10">
        <v>20232</v>
      </c>
      <c r="P881" s="10">
        <v>57913</v>
      </c>
    </row>
    <row r="882" spans="1:16" ht="27" customHeight="1" x14ac:dyDescent="0.2">
      <c r="A882" s="9" t="s">
        <v>1682</v>
      </c>
      <c r="B882" s="10" t="s">
        <v>3220</v>
      </c>
      <c r="C882" s="11" t="s">
        <v>18</v>
      </c>
      <c r="D882" s="11" t="s">
        <v>19</v>
      </c>
      <c r="E882" s="11" t="s">
        <v>19</v>
      </c>
      <c r="F882" s="11" t="s">
        <v>3221</v>
      </c>
      <c r="G882" s="11" t="s">
        <v>83</v>
      </c>
      <c r="H882" s="11" t="s">
        <v>3222</v>
      </c>
      <c r="I882" s="11" t="s">
        <v>3223</v>
      </c>
      <c r="J882" s="12">
        <v>0.61129999999999995</v>
      </c>
      <c r="K882" s="13">
        <v>4</v>
      </c>
      <c r="L882" s="14">
        <v>1004</v>
      </c>
      <c r="M882" s="10">
        <v>618</v>
      </c>
      <c r="N882" s="10">
        <v>110944</v>
      </c>
      <c r="O882" s="10">
        <v>48463</v>
      </c>
      <c r="P882" s="10">
        <v>159407</v>
      </c>
    </row>
    <row r="883" spans="1:16" ht="27" customHeight="1" x14ac:dyDescent="0.2">
      <c r="A883" s="9" t="s">
        <v>1682</v>
      </c>
      <c r="B883" s="10" t="s">
        <v>3220</v>
      </c>
      <c r="C883" s="11" t="s">
        <v>3224</v>
      </c>
      <c r="D883" s="11" t="s">
        <v>3225</v>
      </c>
      <c r="E883" s="11" t="s">
        <v>26</v>
      </c>
      <c r="F883" s="11" t="s">
        <v>3226</v>
      </c>
      <c r="G883" s="11" t="s">
        <v>28</v>
      </c>
      <c r="H883" s="11" t="s">
        <v>3226</v>
      </c>
      <c r="I883" s="11" t="s">
        <v>3227</v>
      </c>
      <c r="J883" s="12">
        <v>0.87749999999999995</v>
      </c>
      <c r="K883" s="13">
        <v>1</v>
      </c>
      <c r="L883" s="14">
        <v>2915</v>
      </c>
      <c r="M883" s="10">
        <v>2558</v>
      </c>
      <c r="N883" s="10">
        <v>322112</v>
      </c>
      <c r="O883" s="10">
        <v>200596</v>
      </c>
      <c r="P883" s="10">
        <v>522708</v>
      </c>
    </row>
    <row r="884" spans="1:16" ht="27" customHeight="1" x14ac:dyDescent="0.2">
      <c r="A884" s="9" t="s">
        <v>1682</v>
      </c>
      <c r="B884" s="10" t="s">
        <v>3220</v>
      </c>
      <c r="C884" s="11" t="s">
        <v>3228</v>
      </c>
      <c r="D884" s="11" t="s">
        <v>3229</v>
      </c>
      <c r="E884" s="11" t="s">
        <v>26</v>
      </c>
      <c r="F884" s="11" t="s">
        <v>3230</v>
      </c>
      <c r="G884" s="11" t="s">
        <v>28</v>
      </c>
      <c r="H884" s="11" t="s">
        <v>1685</v>
      </c>
      <c r="I884" s="11" t="s">
        <v>1686</v>
      </c>
      <c r="J884" s="12">
        <v>1</v>
      </c>
      <c r="K884" s="13">
        <v>1</v>
      </c>
      <c r="L884" s="14">
        <v>148</v>
      </c>
      <c r="M884" s="10">
        <v>113</v>
      </c>
      <c r="N884" s="10">
        <v>16354</v>
      </c>
      <c r="O884" s="10">
        <v>8861</v>
      </c>
      <c r="P884" s="10">
        <v>25215</v>
      </c>
    </row>
    <row r="885" spans="1:16" ht="27" customHeight="1" x14ac:dyDescent="0.2">
      <c r="A885" s="9" t="s">
        <v>1682</v>
      </c>
      <c r="B885" s="10" t="s">
        <v>3220</v>
      </c>
      <c r="C885" s="11" t="s">
        <v>3231</v>
      </c>
      <c r="D885" s="11" t="s">
        <v>3232</v>
      </c>
      <c r="E885" s="11" t="s">
        <v>26</v>
      </c>
      <c r="F885" s="11" t="s">
        <v>3233</v>
      </c>
      <c r="G885" s="11" t="s">
        <v>28</v>
      </c>
      <c r="H885" s="11" t="s">
        <v>3233</v>
      </c>
      <c r="I885" s="11" t="s">
        <v>3234</v>
      </c>
      <c r="J885" s="12">
        <v>0.45229999999999998</v>
      </c>
      <c r="K885" s="13">
        <v>1</v>
      </c>
      <c r="L885" s="14">
        <v>3575</v>
      </c>
      <c r="M885" s="10">
        <v>1617</v>
      </c>
      <c r="N885" s="10">
        <v>395043</v>
      </c>
      <c r="O885" s="10">
        <v>126803</v>
      </c>
      <c r="P885" s="10">
        <v>521846</v>
      </c>
    </row>
    <row r="886" spans="1:16" ht="27" customHeight="1" x14ac:dyDescent="0.2">
      <c r="A886" s="9" t="s">
        <v>1682</v>
      </c>
      <c r="B886" s="10" t="s">
        <v>3220</v>
      </c>
      <c r="C886" s="11" t="s">
        <v>3235</v>
      </c>
      <c r="D886" s="11" t="s">
        <v>3236</v>
      </c>
      <c r="E886" s="11" t="s">
        <v>26</v>
      </c>
      <c r="F886" s="11" t="s">
        <v>3237</v>
      </c>
      <c r="G886" s="11" t="s">
        <v>28</v>
      </c>
      <c r="H886" s="11" t="s">
        <v>3237</v>
      </c>
      <c r="I886" s="11" t="s">
        <v>3238</v>
      </c>
      <c r="J886" s="12">
        <v>0.66379999999999995</v>
      </c>
      <c r="K886" s="13">
        <v>1</v>
      </c>
      <c r="L886" s="14">
        <v>351</v>
      </c>
      <c r="M886" s="10">
        <v>233</v>
      </c>
      <c r="N886" s="10">
        <v>38786</v>
      </c>
      <c r="O886" s="10">
        <v>18272</v>
      </c>
      <c r="P886" s="10">
        <v>57058</v>
      </c>
    </row>
    <row r="887" spans="1:16" ht="27" customHeight="1" x14ac:dyDescent="0.2">
      <c r="A887" s="9" t="s">
        <v>1682</v>
      </c>
      <c r="B887" s="10" t="s">
        <v>3220</v>
      </c>
      <c r="C887" s="11" t="s">
        <v>3239</v>
      </c>
      <c r="D887" s="11" t="s">
        <v>3240</v>
      </c>
      <c r="E887" s="11" t="s">
        <v>26</v>
      </c>
      <c r="F887" s="11" t="s">
        <v>3241</v>
      </c>
      <c r="G887" s="11" t="s">
        <v>28</v>
      </c>
      <c r="H887" s="11" t="s">
        <v>1685</v>
      </c>
      <c r="I887" s="11" t="s">
        <v>1686</v>
      </c>
      <c r="J887" s="12">
        <v>1</v>
      </c>
      <c r="K887" s="13">
        <v>1</v>
      </c>
      <c r="L887" s="14">
        <v>81</v>
      </c>
      <c r="M887" s="10">
        <v>62</v>
      </c>
      <c r="N887" s="10">
        <v>8951</v>
      </c>
      <c r="O887" s="10">
        <v>4862</v>
      </c>
      <c r="P887" s="10">
        <v>13813</v>
      </c>
    </row>
    <row r="888" spans="1:16" ht="27" customHeight="1" x14ac:dyDescent="0.2">
      <c r="A888" s="9" t="s">
        <v>1682</v>
      </c>
      <c r="B888" s="10" t="s">
        <v>3220</v>
      </c>
      <c r="C888" s="11" t="s">
        <v>3242</v>
      </c>
      <c r="D888" s="11" t="s">
        <v>3243</v>
      </c>
      <c r="E888" s="11" t="s">
        <v>26</v>
      </c>
      <c r="F888" s="11" t="s">
        <v>3244</v>
      </c>
      <c r="G888" s="11" t="s">
        <v>28</v>
      </c>
      <c r="H888" s="11" t="s">
        <v>3244</v>
      </c>
      <c r="I888" s="11" t="s">
        <v>3245</v>
      </c>
      <c r="J888" s="12">
        <v>0.54390000000000005</v>
      </c>
      <c r="K888" s="13">
        <v>1</v>
      </c>
      <c r="L888" s="14">
        <v>888</v>
      </c>
      <c r="M888" s="10">
        <v>483</v>
      </c>
      <c r="N888" s="10">
        <v>98125</v>
      </c>
      <c r="O888" s="10">
        <v>37876</v>
      </c>
      <c r="P888" s="10">
        <v>136001</v>
      </c>
    </row>
    <row r="889" spans="1:16" ht="27" customHeight="1" x14ac:dyDescent="0.2">
      <c r="A889" s="9" t="s">
        <v>1682</v>
      </c>
      <c r="B889" s="10" t="s">
        <v>3220</v>
      </c>
      <c r="C889" s="11" t="s">
        <v>3246</v>
      </c>
      <c r="D889" s="11" t="s">
        <v>3247</v>
      </c>
      <c r="E889" s="11" t="s">
        <v>26</v>
      </c>
      <c r="F889" s="11" t="s">
        <v>3248</v>
      </c>
      <c r="G889" s="11" t="s">
        <v>28</v>
      </c>
      <c r="H889" s="11" t="s">
        <v>3248</v>
      </c>
      <c r="I889" s="11" t="s">
        <v>3249</v>
      </c>
      <c r="J889" s="12">
        <v>0.53759999999999997</v>
      </c>
      <c r="K889" s="13">
        <v>1</v>
      </c>
      <c r="L889" s="14">
        <v>266</v>
      </c>
      <c r="M889" s="10">
        <v>143</v>
      </c>
      <c r="N889" s="10">
        <v>29393</v>
      </c>
      <c r="O889" s="10">
        <v>11214</v>
      </c>
      <c r="P889" s="10">
        <v>40607</v>
      </c>
    </row>
    <row r="890" spans="1:16" ht="27" customHeight="1" x14ac:dyDescent="0.2">
      <c r="A890" s="9" t="s">
        <v>1682</v>
      </c>
      <c r="B890" s="10" t="s">
        <v>3220</v>
      </c>
      <c r="C890" s="11" t="s">
        <v>3250</v>
      </c>
      <c r="D890" s="11" t="s">
        <v>3251</v>
      </c>
      <c r="E890" s="11" t="s">
        <v>26</v>
      </c>
      <c r="F890" s="11" t="s">
        <v>3252</v>
      </c>
      <c r="G890" s="11" t="s">
        <v>28</v>
      </c>
      <c r="H890" s="11" t="s">
        <v>1685</v>
      </c>
      <c r="I890" s="11" t="s">
        <v>1686</v>
      </c>
      <c r="J890" s="12">
        <v>1</v>
      </c>
      <c r="K890" s="13">
        <v>1</v>
      </c>
      <c r="L890" s="14">
        <v>1770</v>
      </c>
      <c r="M890" s="10">
        <v>1449</v>
      </c>
      <c r="N890" s="10">
        <v>195588</v>
      </c>
      <c r="O890" s="10">
        <v>113629</v>
      </c>
      <c r="P890" s="10">
        <v>309217</v>
      </c>
    </row>
    <row r="891" spans="1:16" ht="27" customHeight="1" x14ac:dyDescent="0.2">
      <c r="A891" s="9" t="s">
        <v>1682</v>
      </c>
      <c r="B891" s="10" t="s">
        <v>3220</v>
      </c>
      <c r="C891" s="11" t="s">
        <v>3253</v>
      </c>
      <c r="D891" s="11" t="s">
        <v>3254</v>
      </c>
      <c r="E891" s="11" t="s">
        <v>26</v>
      </c>
      <c r="F891" s="11" t="s">
        <v>3255</v>
      </c>
      <c r="G891" s="11" t="s">
        <v>28</v>
      </c>
      <c r="H891" s="11" t="s">
        <v>3255</v>
      </c>
      <c r="I891" s="11" t="s">
        <v>3256</v>
      </c>
      <c r="J891" s="12">
        <v>0.57220000000000004</v>
      </c>
      <c r="K891" s="13">
        <v>1</v>
      </c>
      <c r="L891" s="14">
        <v>194</v>
      </c>
      <c r="M891" s="10">
        <v>111</v>
      </c>
      <c r="N891" s="10">
        <v>21437</v>
      </c>
      <c r="O891" s="10">
        <v>8705</v>
      </c>
      <c r="P891" s="10">
        <v>30142</v>
      </c>
    </row>
    <row r="892" spans="1:16" ht="27" customHeight="1" x14ac:dyDescent="0.2">
      <c r="A892" s="9" t="s">
        <v>1682</v>
      </c>
      <c r="B892" s="10" t="s">
        <v>3220</v>
      </c>
      <c r="C892" s="11" t="s">
        <v>3257</v>
      </c>
      <c r="D892" s="11" t="s">
        <v>3258</v>
      </c>
      <c r="E892" s="11" t="s">
        <v>26</v>
      </c>
      <c r="F892" s="11" t="s">
        <v>3259</v>
      </c>
      <c r="G892" s="11" t="s">
        <v>28</v>
      </c>
      <c r="H892" s="11" t="s">
        <v>3259</v>
      </c>
      <c r="I892" s="11" t="s">
        <v>3260</v>
      </c>
      <c r="J892" s="12">
        <v>0.80469999999999997</v>
      </c>
      <c r="K892" s="13">
        <v>1</v>
      </c>
      <c r="L892" s="14">
        <v>384</v>
      </c>
      <c r="M892" s="10">
        <v>309</v>
      </c>
      <c r="N892" s="10">
        <v>42433</v>
      </c>
      <c r="O892" s="10">
        <v>24231</v>
      </c>
      <c r="P892" s="10">
        <v>66664</v>
      </c>
    </row>
    <row r="893" spans="1:16" ht="27" customHeight="1" x14ac:dyDescent="0.2">
      <c r="A893" s="9" t="s">
        <v>1682</v>
      </c>
      <c r="B893" s="10" t="s">
        <v>3220</v>
      </c>
      <c r="C893" s="11" t="s">
        <v>3261</v>
      </c>
      <c r="D893" s="11" t="s">
        <v>3262</v>
      </c>
      <c r="E893" s="11" t="s">
        <v>26</v>
      </c>
      <c r="F893" s="11" t="s">
        <v>3263</v>
      </c>
      <c r="G893" s="11" t="s">
        <v>28</v>
      </c>
      <c r="H893" s="11" t="s">
        <v>3263</v>
      </c>
      <c r="I893" s="11" t="s">
        <v>3264</v>
      </c>
      <c r="J893" s="12">
        <v>0.41799999999999998</v>
      </c>
      <c r="K893" s="13">
        <v>1</v>
      </c>
      <c r="L893" s="14">
        <v>323</v>
      </c>
      <c r="M893" s="10">
        <v>135</v>
      </c>
      <c r="N893" s="10">
        <v>35692</v>
      </c>
      <c r="O893" s="10">
        <v>10587</v>
      </c>
      <c r="P893" s="10">
        <v>46279</v>
      </c>
    </row>
    <row r="894" spans="1:16" ht="27" customHeight="1" x14ac:dyDescent="0.2">
      <c r="A894" s="9" t="s">
        <v>1682</v>
      </c>
      <c r="B894" s="10" t="s">
        <v>3265</v>
      </c>
      <c r="C894" s="11" t="s">
        <v>18</v>
      </c>
      <c r="D894" s="11" t="s">
        <v>19</v>
      </c>
      <c r="E894" s="11" t="s">
        <v>19</v>
      </c>
      <c r="F894" s="11" t="s">
        <v>3266</v>
      </c>
      <c r="G894" s="11" t="s">
        <v>83</v>
      </c>
      <c r="H894" s="11" t="s">
        <v>3267</v>
      </c>
      <c r="I894" s="11" t="s">
        <v>3268</v>
      </c>
      <c r="J894" s="12">
        <v>5.6599999999999998E-2</v>
      </c>
      <c r="K894" s="13">
        <v>9</v>
      </c>
      <c r="L894" s="14">
        <v>5929</v>
      </c>
      <c r="M894" s="10">
        <v>272</v>
      </c>
      <c r="N894" s="10">
        <v>655165</v>
      </c>
      <c r="O894" s="10">
        <v>21330</v>
      </c>
      <c r="P894" s="10">
        <v>676495</v>
      </c>
    </row>
    <row r="895" spans="1:16" ht="27" customHeight="1" x14ac:dyDescent="0.2">
      <c r="A895" s="9" t="s">
        <v>1682</v>
      </c>
      <c r="B895" s="10" t="s">
        <v>3269</v>
      </c>
      <c r="C895" s="11" t="s">
        <v>18</v>
      </c>
      <c r="D895" s="11" t="s">
        <v>19</v>
      </c>
      <c r="E895" s="11" t="s">
        <v>19</v>
      </c>
      <c r="F895" s="11" t="s">
        <v>3270</v>
      </c>
      <c r="G895" s="11" t="s">
        <v>83</v>
      </c>
      <c r="H895" s="11" t="s">
        <v>3051</v>
      </c>
      <c r="I895" s="11" t="s">
        <v>3271</v>
      </c>
      <c r="J895" s="12">
        <v>0.20810000000000001</v>
      </c>
      <c r="K895" s="13">
        <v>15</v>
      </c>
      <c r="L895" s="14">
        <v>9578</v>
      </c>
      <c r="M895" s="10">
        <v>1515</v>
      </c>
      <c r="N895" s="10">
        <v>1058383</v>
      </c>
      <c r="O895" s="10">
        <v>118805</v>
      </c>
      <c r="P895" s="10">
        <v>1177188</v>
      </c>
    </row>
    <row r="896" spans="1:16" ht="27" customHeight="1" x14ac:dyDescent="0.2">
      <c r="A896" s="9" t="s">
        <v>1682</v>
      </c>
      <c r="B896" s="10" t="s">
        <v>3272</v>
      </c>
      <c r="C896" s="11" t="s">
        <v>3273</v>
      </c>
      <c r="D896" s="11" t="s">
        <v>3274</v>
      </c>
      <c r="E896" s="11" t="s">
        <v>26</v>
      </c>
      <c r="F896" s="11" t="s">
        <v>3275</v>
      </c>
      <c r="G896" s="11" t="s">
        <v>28</v>
      </c>
      <c r="H896" s="11" t="s">
        <v>3275</v>
      </c>
      <c r="I896" s="11" t="s">
        <v>3276</v>
      </c>
      <c r="J896" s="12">
        <v>0.1615</v>
      </c>
      <c r="K896" s="13">
        <v>1</v>
      </c>
      <c r="L896" s="14">
        <v>997</v>
      </c>
      <c r="M896" s="10">
        <v>161</v>
      </c>
      <c r="N896" s="10">
        <v>110170</v>
      </c>
      <c r="O896" s="10">
        <v>12625</v>
      </c>
      <c r="P896" s="10">
        <v>122795</v>
      </c>
    </row>
    <row r="897" spans="1:16" ht="27" customHeight="1" x14ac:dyDescent="0.2">
      <c r="A897" s="9" t="s">
        <v>1682</v>
      </c>
      <c r="B897" s="10" t="s">
        <v>3277</v>
      </c>
      <c r="C897" s="11" t="s">
        <v>18</v>
      </c>
      <c r="D897" s="11" t="s">
        <v>19</v>
      </c>
      <c r="E897" s="11" t="s">
        <v>19</v>
      </c>
      <c r="F897" s="11" t="s">
        <v>3278</v>
      </c>
      <c r="G897" s="11" t="s">
        <v>83</v>
      </c>
      <c r="H897" s="11" t="s">
        <v>3279</v>
      </c>
      <c r="I897" s="11" t="s">
        <v>3280</v>
      </c>
      <c r="J897" s="12">
        <v>0.72160000000000002</v>
      </c>
      <c r="K897" s="13">
        <v>19</v>
      </c>
      <c r="L897" s="14">
        <v>15053</v>
      </c>
      <c r="M897" s="10">
        <v>8127</v>
      </c>
      <c r="N897" s="10">
        <v>1663383</v>
      </c>
      <c r="O897" s="10">
        <v>637311</v>
      </c>
      <c r="P897" s="10">
        <v>2300694</v>
      </c>
    </row>
    <row r="898" spans="1:16" ht="27" customHeight="1" x14ac:dyDescent="0.2">
      <c r="A898" s="9" t="s">
        <v>1682</v>
      </c>
      <c r="B898" s="10" t="s">
        <v>3281</v>
      </c>
      <c r="C898" s="11" t="s">
        <v>18</v>
      </c>
      <c r="D898" s="11" t="s">
        <v>19</v>
      </c>
      <c r="E898" s="11" t="s">
        <v>19</v>
      </c>
      <c r="F898" s="11" t="s">
        <v>3282</v>
      </c>
      <c r="G898" s="11" t="s">
        <v>83</v>
      </c>
      <c r="H898" s="11" t="s">
        <v>3283</v>
      </c>
      <c r="I898" s="11" t="s">
        <v>3284</v>
      </c>
      <c r="J898" s="12">
        <v>0.28110000000000002</v>
      </c>
      <c r="K898" s="13">
        <v>6</v>
      </c>
      <c r="L898" s="14">
        <v>2507</v>
      </c>
      <c r="M898" s="10">
        <v>734</v>
      </c>
      <c r="N898" s="10">
        <v>277029</v>
      </c>
      <c r="O898" s="10">
        <v>57560</v>
      </c>
      <c r="P898" s="10">
        <v>334589</v>
      </c>
    </row>
    <row r="899" spans="1:16" ht="27" customHeight="1" x14ac:dyDescent="0.2">
      <c r="A899" s="9" t="s">
        <v>1682</v>
      </c>
      <c r="B899" s="10" t="s">
        <v>3281</v>
      </c>
      <c r="C899" s="11" t="s">
        <v>3285</v>
      </c>
      <c r="D899" s="11" t="s">
        <v>3286</v>
      </c>
      <c r="E899" s="11" t="s">
        <v>26</v>
      </c>
      <c r="F899" s="11" t="s">
        <v>3287</v>
      </c>
      <c r="G899" s="11" t="s">
        <v>28</v>
      </c>
      <c r="H899" s="11" t="s">
        <v>1685</v>
      </c>
      <c r="I899" s="11" t="s">
        <v>1686</v>
      </c>
      <c r="J899" s="12">
        <v>1</v>
      </c>
      <c r="K899" s="13">
        <v>1</v>
      </c>
      <c r="L899" s="14">
        <v>560</v>
      </c>
      <c r="M899" s="10">
        <v>202</v>
      </c>
      <c r="N899" s="10">
        <v>61881</v>
      </c>
      <c r="O899" s="10">
        <v>15841</v>
      </c>
      <c r="P899" s="10">
        <v>77722</v>
      </c>
    </row>
    <row r="900" spans="1:16" ht="27" customHeight="1" x14ac:dyDescent="0.2">
      <c r="A900" s="9" t="s">
        <v>1682</v>
      </c>
      <c r="B900" s="10" t="s">
        <v>3281</v>
      </c>
      <c r="C900" s="11" t="s">
        <v>3288</v>
      </c>
      <c r="D900" s="11" t="s">
        <v>3289</v>
      </c>
      <c r="E900" s="11" t="s">
        <v>26</v>
      </c>
      <c r="F900" s="11" t="s">
        <v>3290</v>
      </c>
      <c r="G900" s="11" t="s">
        <v>28</v>
      </c>
      <c r="H900" s="11" t="s">
        <v>1685</v>
      </c>
      <c r="I900" s="11" t="s">
        <v>1686</v>
      </c>
      <c r="J900" s="12">
        <v>1</v>
      </c>
      <c r="K900" s="13">
        <v>1</v>
      </c>
      <c r="L900" s="14">
        <v>538</v>
      </c>
      <c r="M900" s="10">
        <v>287</v>
      </c>
      <c r="N900" s="10">
        <v>59450</v>
      </c>
      <c r="O900" s="10">
        <v>22506</v>
      </c>
      <c r="P900" s="10">
        <v>81956</v>
      </c>
    </row>
    <row r="901" spans="1:16" ht="27" customHeight="1" x14ac:dyDescent="0.2">
      <c r="A901" s="9" t="s">
        <v>1682</v>
      </c>
      <c r="B901" s="10" t="s">
        <v>3281</v>
      </c>
      <c r="C901" s="11" t="s">
        <v>3291</v>
      </c>
      <c r="D901" s="11" t="s">
        <v>3292</v>
      </c>
      <c r="E901" s="11" t="s">
        <v>26</v>
      </c>
      <c r="F901" s="11" t="s">
        <v>3293</v>
      </c>
      <c r="G901" s="11" t="s">
        <v>28</v>
      </c>
      <c r="H901" s="11" t="s">
        <v>3293</v>
      </c>
      <c r="I901" s="11" t="s">
        <v>3294</v>
      </c>
      <c r="J901" s="12">
        <v>0.41649999999999998</v>
      </c>
      <c r="K901" s="13">
        <v>1</v>
      </c>
      <c r="L901" s="14">
        <v>814</v>
      </c>
      <c r="M901" s="10">
        <v>339</v>
      </c>
      <c r="N901" s="10">
        <v>89948</v>
      </c>
      <c r="O901" s="10">
        <v>26584</v>
      </c>
      <c r="P901" s="10">
        <v>116532</v>
      </c>
    </row>
    <row r="902" spans="1:16" ht="27" customHeight="1" x14ac:dyDescent="0.2">
      <c r="A902" s="9" t="s">
        <v>1682</v>
      </c>
      <c r="B902" s="10" t="s">
        <v>3281</v>
      </c>
      <c r="C902" s="11" t="s">
        <v>3295</v>
      </c>
      <c r="D902" s="11" t="s">
        <v>3296</v>
      </c>
      <c r="E902" s="11" t="s">
        <v>26</v>
      </c>
      <c r="F902" s="11" t="s">
        <v>3297</v>
      </c>
      <c r="G902" s="11" t="s">
        <v>28</v>
      </c>
      <c r="H902" s="11" t="s">
        <v>1685</v>
      </c>
      <c r="I902" s="11" t="s">
        <v>1686</v>
      </c>
      <c r="J902" s="12">
        <v>1</v>
      </c>
      <c r="K902" s="13">
        <v>1</v>
      </c>
      <c r="L902" s="14">
        <v>538</v>
      </c>
      <c r="M902" s="10">
        <v>271</v>
      </c>
      <c r="N902" s="10">
        <v>59450</v>
      </c>
      <c r="O902" s="10">
        <v>21252</v>
      </c>
      <c r="P902" s="10">
        <v>80702</v>
      </c>
    </row>
    <row r="903" spans="1:16" ht="27" customHeight="1" x14ac:dyDescent="0.2">
      <c r="A903" s="9" t="s">
        <v>1682</v>
      </c>
      <c r="B903" s="10" t="s">
        <v>3298</v>
      </c>
      <c r="C903" s="11" t="s">
        <v>3299</v>
      </c>
      <c r="D903" s="11" t="s">
        <v>3300</v>
      </c>
      <c r="E903" s="11" t="s">
        <v>26</v>
      </c>
      <c r="F903" s="11" t="s">
        <v>3301</v>
      </c>
      <c r="G903" s="11" t="s">
        <v>28</v>
      </c>
      <c r="H903" s="11" t="s">
        <v>3301</v>
      </c>
      <c r="I903" s="11" t="s">
        <v>3302</v>
      </c>
      <c r="J903" s="12">
        <v>0.76170000000000004</v>
      </c>
      <c r="K903" s="13">
        <v>1</v>
      </c>
      <c r="L903" s="14">
        <v>256</v>
      </c>
      <c r="M903" s="10">
        <v>195</v>
      </c>
      <c r="N903" s="10">
        <v>28288</v>
      </c>
      <c r="O903" s="10">
        <v>15292</v>
      </c>
      <c r="P903" s="10">
        <v>43580</v>
      </c>
    </row>
    <row r="904" spans="1:16" ht="27" customHeight="1" x14ac:dyDescent="0.2">
      <c r="A904" s="9" t="s">
        <v>1682</v>
      </c>
      <c r="B904" s="10" t="s">
        <v>3303</v>
      </c>
      <c r="C904" s="11" t="s">
        <v>3304</v>
      </c>
      <c r="D904" s="11" t="s">
        <v>3305</v>
      </c>
      <c r="E904" s="11" t="s">
        <v>26</v>
      </c>
      <c r="F904" s="11" t="s">
        <v>3306</v>
      </c>
      <c r="G904" s="11" t="s">
        <v>28</v>
      </c>
      <c r="H904" s="11" t="s">
        <v>1685</v>
      </c>
      <c r="I904" s="11" t="s">
        <v>1686</v>
      </c>
      <c r="J904" s="12">
        <v>1</v>
      </c>
      <c r="K904" s="13">
        <v>1</v>
      </c>
      <c r="L904" s="14">
        <v>41</v>
      </c>
      <c r="M904" s="10">
        <v>34</v>
      </c>
      <c r="N904" s="10">
        <v>4531</v>
      </c>
      <c r="O904" s="10">
        <v>2666</v>
      </c>
      <c r="P904" s="10">
        <v>7197</v>
      </c>
    </row>
    <row r="905" spans="1:16" ht="27" customHeight="1" x14ac:dyDescent="0.2">
      <c r="A905" s="9" t="s">
        <v>3307</v>
      </c>
      <c r="B905" s="10" t="s">
        <v>3308</v>
      </c>
      <c r="C905" s="11" t="s">
        <v>18</v>
      </c>
      <c r="D905" s="11" t="s">
        <v>19</v>
      </c>
      <c r="E905" s="11" t="s">
        <v>19</v>
      </c>
      <c r="F905" s="11" t="s">
        <v>3309</v>
      </c>
      <c r="G905" s="11" t="s">
        <v>21</v>
      </c>
      <c r="H905" s="11" t="s">
        <v>3310</v>
      </c>
      <c r="I905" s="11" t="s">
        <v>3311</v>
      </c>
      <c r="J905" s="12">
        <v>0.98899999999999999</v>
      </c>
      <c r="K905" s="13">
        <v>4</v>
      </c>
      <c r="L905" s="14">
        <v>603</v>
      </c>
      <c r="M905" s="10">
        <v>514</v>
      </c>
      <c r="N905" s="10">
        <v>66632</v>
      </c>
      <c r="O905" s="10">
        <v>40307</v>
      </c>
      <c r="P905" s="10">
        <v>106939</v>
      </c>
    </row>
    <row r="906" spans="1:16" ht="27" customHeight="1" x14ac:dyDescent="0.2">
      <c r="A906" s="9" t="s">
        <v>3307</v>
      </c>
      <c r="B906" s="10" t="s">
        <v>3308</v>
      </c>
      <c r="C906" s="11" t="s">
        <v>3312</v>
      </c>
      <c r="D906" s="11" t="s">
        <v>3313</v>
      </c>
      <c r="E906" s="11" t="s">
        <v>57</v>
      </c>
      <c r="F906" s="11" t="s">
        <v>3314</v>
      </c>
      <c r="G906" s="11" t="s">
        <v>28</v>
      </c>
      <c r="H906" s="11" t="s">
        <v>3310</v>
      </c>
      <c r="I906" s="11" t="s">
        <v>3311</v>
      </c>
      <c r="J906" s="12">
        <v>0.98899999999999999</v>
      </c>
      <c r="K906" s="13">
        <v>1</v>
      </c>
      <c r="L906" s="14">
        <v>48</v>
      </c>
      <c r="M906" s="10">
        <v>39</v>
      </c>
      <c r="N906" s="10">
        <v>5304</v>
      </c>
      <c r="O906" s="10">
        <v>3058</v>
      </c>
      <c r="P906" s="10">
        <v>8362</v>
      </c>
    </row>
    <row r="907" spans="1:16" ht="27" customHeight="1" x14ac:dyDescent="0.2">
      <c r="A907" s="9" t="s">
        <v>3307</v>
      </c>
      <c r="B907" s="10" t="s">
        <v>3308</v>
      </c>
      <c r="C907" s="11" t="s">
        <v>3315</v>
      </c>
      <c r="D907" s="11" t="s">
        <v>3316</v>
      </c>
      <c r="E907" s="11" t="s">
        <v>57</v>
      </c>
      <c r="F907" s="11" t="s">
        <v>3317</v>
      </c>
      <c r="G907" s="11" t="s">
        <v>28</v>
      </c>
      <c r="H907" s="11" t="s">
        <v>3310</v>
      </c>
      <c r="I907" s="11" t="s">
        <v>3311</v>
      </c>
      <c r="J907" s="12">
        <v>0.98899999999999999</v>
      </c>
      <c r="K907" s="13">
        <v>1</v>
      </c>
      <c r="L907" s="14">
        <v>243</v>
      </c>
      <c r="M907" s="10">
        <v>200</v>
      </c>
      <c r="N907" s="10">
        <v>26852</v>
      </c>
      <c r="O907" s="10">
        <v>15684</v>
      </c>
      <c r="P907" s="10">
        <v>42536</v>
      </c>
    </row>
    <row r="908" spans="1:16" ht="27" customHeight="1" x14ac:dyDescent="0.2">
      <c r="A908" s="9" t="s">
        <v>3307</v>
      </c>
      <c r="B908" s="10" t="s">
        <v>3318</v>
      </c>
      <c r="C908" s="11" t="s">
        <v>18</v>
      </c>
      <c r="D908" s="11" t="s">
        <v>19</v>
      </c>
      <c r="E908" s="11" t="s">
        <v>19</v>
      </c>
      <c r="F908" s="11" t="s">
        <v>3319</v>
      </c>
      <c r="G908" s="11" t="s">
        <v>83</v>
      </c>
      <c r="H908" s="11" t="s">
        <v>3320</v>
      </c>
      <c r="I908" s="11" t="s">
        <v>3321</v>
      </c>
      <c r="J908" s="12">
        <v>0.75929999999999997</v>
      </c>
      <c r="K908" s="13">
        <v>3</v>
      </c>
      <c r="L908" s="14">
        <v>397</v>
      </c>
      <c r="M908" s="10">
        <v>294</v>
      </c>
      <c r="N908" s="10">
        <v>43869</v>
      </c>
      <c r="O908" s="10">
        <v>23056</v>
      </c>
      <c r="P908" s="10">
        <v>66925</v>
      </c>
    </row>
    <row r="909" spans="1:16" ht="27" customHeight="1" x14ac:dyDescent="0.2">
      <c r="A909" s="9" t="s">
        <v>3307</v>
      </c>
      <c r="B909" s="10" t="s">
        <v>3322</v>
      </c>
      <c r="C909" s="11" t="s">
        <v>18</v>
      </c>
      <c r="D909" s="11" t="s">
        <v>19</v>
      </c>
      <c r="E909" s="11" t="s">
        <v>19</v>
      </c>
      <c r="F909" s="11" t="s">
        <v>3323</v>
      </c>
      <c r="G909" s="11" t="s">
        <v>83</v>
      </c>
      <c r="H909" s="11" t="s">
        <v>3324</v>
      </c>
      <c r="I909" s="11" t="s">
        <v>3325</v>
      </c>
      <c r="J909" s="12">
        <v>0.63919999999999999</v>
      </c>
      <c r="K909" s="13">
        <v>5</v>
      </c>
      <c r="L909" s="14">
        <v>851</v>
      </c>
      <c r="M909" s="10">
        <v>514</v>
      </c>
      <c r="N909" s="10">
        <v>94038</v>
      </c>
      <c r="O909" s="10">
        <v>40307</v>
      </c>
      <c r="P909" s="10">
        <v>134345</v>
      </c>
    </row>
    <row r="910" spans="1:16" ht="27" customHeight="1" x14ac:dyDescent="0.2">
      <c r="A910" s="9" t="s">
        <v>3307</v>
      </c>
      <c r="B910" s="10" t="s">
        <v>3322</v>
      </c>
      <c r="C910" s="11" t="s">
        <v>3326</v>
      </c>
      <c r="D910" s="11" t="s">
        <v>3327</v>
      </c>
      <c r="E910" s="11" t="s">
        <v>26</v>
      </c>
      <c r="F910" s="11" t="s">
        <v>3328</v>
      </c>
      <c r="G910" s="11" t="s">
        <v>28</v>
      </c>
      <c r="H910" s="11" t="s">
        <v>3328</v>
      </c>
      <c r="I910" s="11" t="s">
        <v>3329</v>
      </c>
      <c r="J910" s="12">
        <v>0.53849999999999998</v>
      </c>
      <c r="K910" s="13">
        <v>1</v>
      </c>
      <c r="L910" s="14">
        <v>13</v>
      </c>
      <c r="M910" s="10">
        <v>7</v>
      </c>
      <c r="N910" s="10">
        <v>1437</v>
      </c>
      <c r="O910" s="10">
        <v>549</v>
      </c>
      <c r="P910" s="10">
        <v>1986</v>
      </c>
    </row>
    <row r="911" spans="1:16" ht="27" customHeight="1" x14ac:dyDescent="0.2">
      <c r="A911" s="9" t="s">
        <v>3307</v>
      </c>
      <c r="B911" s="10" t="s">
        <v>3330</v>
      </c>
      <c r="C911" s="11" t="s">
        <v>18</v>
      </c>
      <c r="D911" s="11" t="s">
        <v>19</v>
      </c>
      <c r="E911" s="11" t="s">
        <v>19</v>
      </c>
      <c r="F911" s="11" t="s">
        <v>3331</v>
      </c>
      <c r="G911" s="11" t="s">
        <v>83</v>
      </c>
      <c r="H911" s="11" t="s">
        <v>3332</v>
      </c>
      <c r="I911" s="11" t="s">
        <v>3333</v>
      </c>
      <c r="J911" s="12">
        <v>0.89749999999999996</v>
      </c>
      <c r="K911" s="13">
        <v>6</v>
      </c>
      <c r="L911" s="14">
        <v>2175</v>
      </c>
      <c r="M911" s="10">
        <v>1912</v>
      </c>
      <c r="N911" s="10">
        <v>240341</v>
      </c>
      <c r="O911" s="10">
        <v>149936</v>
      </c>
      <c r="P911" s="10">
        <v>390277</v>
      </c>
    </row>
    <row r="912" spans="1:16" ht="27" customHeight="1" x14ac:dyDescent="0.2">
      <c r="A912" s="9" t="s">
        <v>3307</v>
      </c>
      <c r="B912" s="10" t="s">
        <v>3334</v>
      </c>
      <c r="C912" s="11" t="s">
        <v>18</v>
      </c>
      <c r="D912" s="11" t="s">
        <v>19</v>
      </c>
      <c r="E912" s="11" t="s">
        <v>19</v>
      </c>
      <c r="F912" s="11" t="s">
        <v>3335</v>
      </c>
      <c r="G912" s="11" t="s">
        <v>83</v>
      </c>
      <c r="H912" s="11" t="s">
        <v>3310</v>
      </c>
      <c r="I912" s="11" t="s">
        <v>3311</v>
      </c>
      <c r="J912" s="12">
        <v>0.98899999999999999</v>
      </c>
      <c r="K912" s="13">
        <v>3</v>
      </c>
      <c r="L912" s="14">
        <v>1144</v>
      </c>
      <c r="M912" s="10">
        <v>964</v>
      </c>
      <c r="N912" s="10">
        <v>126414</v>
      </c>
      <c r="O912" s="10">
        <v>75596</v>
      </c>
      <c r="P912" s="10">
        <v>202010</v>
      </c>
    </row>
    <row r="913" spans="1:16" ht="27" customHeight="1" x14ac:dyDescent="0.2">
      <c r="A913" s="9" t="s">
        <v>3307</v>
      </c>
      <c r="B913" s="10" t="s">
        <v>3336</v>
      </c>
      <c r="C913" s="11" t="s">
        <v>18</v>
      </c>
      <c r="D913" s="11" t="s">
        <v>19</v>
      </c>
      <c r="E913" s="11" t="s">
        <v>19</v>
      </c>
      <c r="F913" s="11" t="s">
        <v>3337</v>
      </c>
      <c r="G913" s="11" t="s">
        <v>83</v>
      </c>
      <c r="H913" s="11" t="s">
        <v>3310</v>
      </c>
      <c r="I913" s="11" t="s">
        <v>3311</v>
      </c>
      <c r="J913" s="12">
        <v>0.98899999999999999</v>
      </c>
      <c r="K913" s="13">
        <v>29</v>
      </c>
      <c r="L913" s="14">
        <v>20615</v>
      </c>
      <c r="M913" s="10">
        <v>18693</v>
      </c>
      <c r="N913" s="10">
        <v>2277993</v>
      </c>
      <c r="O913" s="10">
        <v>1465888</v>
      </c>
      <c r="P913" s="10">
        <v>3743881</v>
      </c>
    </row>
    <row r="914" spans="1:16" ht="27" customHeight="1" x14ac:dyDescent="0.2">
      <c r="A914" s="9" t="s">
        <v>3307</v>
      </c>
      <c r="B914" s="10" t="s">
        <v>3336</v>
      </c>
      <c r="C914" s="11" t="s">
        <v>3338</v>
      </c>
      <c r="D914" s="11" t="s">
        <v>3339</v>
      </c>
      <c r="E914" s="11" t="s">
        <v>26</v>
      </c>
      <c r="F914" s="11" t="s">
        <v>3340</v>
      </c>
      <c r="G914" s="11" t="s">
        <v>28</v>
      </c>
      <c r="H914" s="11" t="s">
        <v>3340</v>
      </c>
      <c r="I914" s="11" t="s">
        <v>3341</v>
      </c>
      <c r="J914" s="12">
        <v>0.56159999999999999</v>
      </c>
      <c r="K914" s="13">
        <v>1</v>
      </c>
      <c r="L914" s="14">
        <v>219</v>
      </c>
      <c r="M914" s="10">
        <v>123</v>
      </c>
      <c r="N914" s="10">
        <v>24200</v>
      </c>
      <c r="O914" s="10">
        <v>9646</v>
      </c>
      <c r="P914" s="10">
        <v>33846</v>
      </c>
    </row>
    <row r="915" spans="1:16" ht="27" customHeight="1" x14ac:dyDescent="0.2">
      <c r="A915" s="9" t="s">
        <v>3307</v>
      </c>
      <c r="B915" s="10" t="s">
        <v>3336</v>
      </c>
      <c r="C915" s="11" t="s">
        <v>3342</v>
      </c>
      <c r="D915" s="11" t="s">
        <v>3343</v>
      </c>
      <c r="E915" s="11" t="s">
        <v>26</v>
      </c>
      <c r="F915" s="11" t="s">
        <v>3344</v>
      </c>
      <c r="G915" s="11" t="s">
        <v>28</v>
      </c>
      <c r="H915" s="11" t="s">
        <v>3344</v>
      </c>
      <c r="I915" s="11" t="s">
        <v>3345</v>
      </c>
      <c r="J915" s="12">
        <v>0.92149999999999999</v>
      </c>
      <c r="K915" s="13">
        <v>1</v>
      </c>
      <c r="L915" s="14">
        <v>650</v>
      </c>
      <c r="M915" s="10">
        <v>599</v>
      </c>
      <c r="N915" s="10">
        <v>71826</v>
      </c>
      <c r="O915" s="10">
        <v>46973</v>
      </c>
      <c r="P915" s="10">
        <v>118799</v>
      </c>
    </row>
    <row r="916" spans="1:16" ht="27" customHeight="1" x14ac:dyDescent="0.2">
      <c r="A916" s="9" t="s">
        <v>3307</v>
      </c>
      <c r="B916" s="10" t="s">
        <v>3336</v>
      </c>
      <c r="C916" s="11" t="s">
        <v>3346</v>
      </c>
      <c r="D916" s="11" t="s">
        <v>3347</v>
      </c>
      <c r="E916" s="11" t="s">
        <v>26</v>
      </c>
      <c r="F916" s="11" t="s">
        <v>3348</v>
      </c>
      <c r="G916" s="11" t="s">
        <v>28</v>
      </c>
      <c r="H916" s="11" t="s">
        <v>3310</v>
      </c>
      <c r="I916" s="11" t="s">
        <v>3311</v>
      </c>
      <c r="J916" s="12">
        <v>0.98899999999999999</v>
      </c>
      <c r="K916" s="13">
        <v>1</v>
      </c>
      <c r="L916" s="14">
        <v>84</v>
      </c>
      <c r="M916" s="10">
        <v>45</v>
      </c>
      <c r="N916" s="10">
        <v>9282</v>
      </c>
      <c r="O916" s="10">
        <v>3529</v>
      </c>
      <c r="P916" s="10">
        <v>12811</v>
      </c>
    </row>
    <row r="917" spans="1:16" ht="27" customHeight="1" x14ac:dyDescent="0.2">
      <c r="A917" s="9" t="s">
        <v>3307</v>
      </c>
      <c r="B917" s="10" t="s">
        <v>3336</v>
      </c>
      <c r="C917" s="11" t="s">
        <v>3349</v>
      </c>
      <c r="D917" s="11" t="s">
        <v>3350</v>
      </c>
      <c r="E917" s="11" t="s">
        <v>26</v>
      </c>
      <c r="F917" s="11" t="s">
        <v>3351</v>
      </c>
      <c r="G917" s="11" t="s">
        <v>28</v>
      </c>
      <c r="H917" s="11" t="s">
        <v>3310</v>
      </c>
      <c r="I917" s="11" t="s">
        <v>3311</v>
      </c>
      <c r="J917" s="12">
        <v>0.98899999999999999</v>
      </c>
      <c r="K917" s="13">
        <v>1</v>
      </c>
      <c r="L917" s="14">
        <v>75</v>
      </c>
      <c r="M917" s="10">
        <v>28</v>
      </c>
      <c r="N917" s="10">
        <v>8288</v>
      </c>
      <c r="O917" s="10">
        <v>2196</v>
      </c>
      <c r="P917" s="10">
        <v>10484</v>
      </c>
    </row>
    <row r="918" spans="1:16" ht="27" customHeight="1" x14ac:dyDescent="0.2">
      <c r="A918" s="9" t="s">
        <v>3307</v>
      </c>
      <c r="B918" s="10" t="s">
        <v>3352</v>
      </c>
      <c r="C918" s="11" t="s">
        <v>18</v>
      </c>
      <c r="D918" s="11" t="s">
        <v>19</v>
      </c>
      <c r="E918" s="11" t="s">
        <v>19</v>
      </c>
      <c r="F918" s="11" t="s">
        <v>3353</v>
      </c>
      <c r="G918" s="11" t="s">
        <v>83</v>
      </c>
      <c r="H918" s="11" t="s">
        <v>3354</v>
      </c>
      <c r="I918" s="11" t="s">
        <v>3355</v>
      </c>
      <c r="J918" s="12">
        <v>0.55700000000000005</v>
      </c>
      <c r="K918" s="13">
        <v>2</v>
      </c>
      <c r="L918" s="14">
        <v>79</v>
      </c>
      <c r="M918" s="10">
        <v>44</v>
      </c>
      <c r="N918" s="10">
        <v>8730</v>
      </c>
      <c r="O918" s="10">
        <v>3450</v>
      </c>
      <c r="P918" s="10">
        <v>12180</v>
      </c>
    </row>
    <row r="919" spans="1:16" ht="27" customHeight="1" x14ac:dyDescent="0.2">
      <c r="A919" s="9" t="s">
        <v>3307</v>
      </c>
      <c r="B919" s="10" t="s">
        <v>3356</v>
      </c>
      <c r="C919" s="11" t="s">
        <v>18</v>
      </c>
      <c r="D919" s="11" t="s">
        <v>19</v>
      </c>
      <c r="E919" s="11" t="s">
        <v>19</v>
      </c>
      <c r="F919" s="11" t="s">
        <v>3357</v>
      </c>
      <c r="G919" s="11" t="s">
        <v>83</v>
      </c>
      <c r="H919" s="11" t="s">
        <v>3358</v>
      </c>
      <c r="I919" s="11" t="s">
        <v>3359</v>
      </c>
      <c r="J919" s="12">
        <v>0.5</v>
      </c>
      <c r="K919" s="13">
        <v>11</v>
      </c>
      <c r="L919" s="14">
        <v>2578</v>
      </c>
      <c r="M919" s="10">
        <v>1045</v>
      </c>
      <c r="N919" s="10">
        <v>284875</v>
      </c>
      <c r="O919" s="10">
        <v>81947</v>
      </c>
      <c r="P919" s="10">
        <v>366822</v>
      </c>
    </row>
    <row r="920" spans="1:16" ht="27" customHeight="1" x14ac:dyDescent="0.2">
      <c r="A920" s="9" t="s">
        <v>3307</v>
      </c>
      <c r="B920" s="10" t="s">
        <v>3360</v>
      </c>
      <c r="C920" s="11" t="s">
        <v>18</v>
      </c>
      <c r="D920" s="11" t="s">
        <v>19</v>
      </c>
      <c r="E920" s="11" t="s">
        <v>19</v>
      </c>
      <c r="F920" s="11" t="s">
        <v>3361</v>
      </c>
      <c r="G920" s="11" t="s">
        <v>83</v>
      </c>
      <c r="H920" s="11" t="s">
        <v>3362</v>
      </c>
      <c r="I920" s="11" t="s">
        <v>3363</v>
      </c>
      <c r="J920" s="12">
        <v>0.76190000000000002</v>
      </c>
      <c r="K920" s="13">
        <v>8</v>
      </c>
      <c r="L920" s="14">
        <v>1015</v>
      </c>
      <c r="M920" s="10">
        <v>479</v>
      </c>
      <c r="N920" s="10">
        <v>112159</v>
      </c>
      <c r="O920" s="10">
        <v>37563</v>
      </c>
      <c r="P920" s="10">
        <v>149722</v>
      </c>
    </row>
    <row r="921" spans="1:16" ht="27" customHeight="1" x14ac:dyDescent="0.2">
      <c r="A921" s="9" t="s">
        <v>3307</v>
      </c>
      <c r="B921" s="10" t="s">
        <v>3360</v>
      </c>
      <c r="C921" s="11" t="s">
        <v>3364</v>
      </c>
      <c r="D921" s="11" t="s">
        <v>3365</v>
      </c>
      <c r="E921" s="11" t="s">
        <v>57</v>
      </c>
      <c r="F921" s="11" t="s">
        <v>3366</v>
      </c>
      <c r="G921" s="11" t="s">
        <v>28</v>
      </c>
      <c r="H921" s="11" t="s">
        <v>3310</v>
      </c>
      <c r="I921" s="11" t="s">
        <v>3311</v>
      </c>
      <c r="J921" s="12">
        <v>0.98899999999999999</v>
      </c>
      <c r="K921" s="13">
        <v>1</v>
      </c>
      <c r="L921" s="14">
        <v>214</v>
      </c>
      <c r="M921" s="10">
        <v>86</v>
      </c>
      <c r="N921" s="10">
        <v>23647</v>
      </c>
      <c r="O921" s="10">
        <v>6744</v>
      </c>
      <c r="P921" s="10">
        <v>30391</v>
      </c>
    </row>
    <row r="922" spans="1:16" ht="27" customHeight="1" x14ac:dyDescent="0.2">
      <c r="A922" s="9" t="s">
        <v>3307</v>
      </c>
      <c r="B922" s="10" t="s">
        <v>3360</v>
      </c>
      <c r="C922" s="11" t="s">
        <v>3367</v>
      </c>
      <c r="D922" s="11" t="s">
        <v>3368</v>
      </c>
      <c r="E922" s="11" t="s">
        <v>57</v>
      </c>
      <c r="F922" s="11" t="s">
        <v>3369</v>
      </c>
      <c r="G922" s="11" t="s">
        <v>28</v>
      </c>
      <c r="H922" s="11" t="s">
        <v>3369</v>
      </c>
      <c r="I922" s="11" t="s">
        <v>3370</v>
      </c>
      <c r="J922" s="12">
        <v>0.50970000000000004</v>
      </c>
      <c r="K922" s="13">
        <v>1</v>
      </c>
      <c r="L922" s="14">
        <v>206</v>
      </c>
      <c r="M922" s="10">
        <v>105</v>
      </c>
      <c r="N922" s="10">
        <v>22763</v>
      </c>
      <c r="O922" s="10">
        <v>8234</v>
      </c>
      <c r="P922" s="10">
        <v>30997</v>
      </c>
    </row>
    <row r="923" spans="1:16" ht="27" customHeight="1" x14ac:dyDescent="0.2">
      <c r="A923" s="9" t="s">
        <v>3307</v>
      </c>
      <c r="B923" s="10" t="s">
        <v>3371</v>
      </c>
      <c r="C923" s="11" t="s">
        <v>18</v>
      </c>
      <c r="D923" s="11" t="s">
        <v>19</v>
      </c>
      <c r="E923" s="11" t="s">
        <v>19</v>
      </c>
      <c r="F923" s="11" t="s">
        <v>3372</v>
      </c>
      <c r="G923" s="11" t="s">
        <v>83</v>
      </c>
      <c r="H923" s="11" t="s">
        <v>3373</v>
      </c>
      <c r="I923" s="11" t="s">
        <v>3374</v>
      </c>
      <c r="J923" s="12">
        <v>0.69740000000000002</v>
      </c>
      <c r="K923" s="13">
        <v>10</v>
      </c>
      <c r="L923" s="14">
        <v>1386</v>
      </c>
      <c r="M923" s="10">
        <v>797</v>
      </c>
      <c r="N923" s="10">
        <v>153156</v>
      </c>
      <c r="O923" s="10">
        <v>62500</v>
      </c>
      <c r="P923" s="10">
        <v>215656</v>
      </c>
    </row>
    <row r="924" spans="1:16" ht="27" customHeight="1" x14ac:dyDescent="0.2">
      <c r="A924" s="9" t="s">
        <v>3307</v>
      </c>
      <c r="B924" s="10" t="s">
        <v>3371</v>
      </c>
      <c r="C924" s="11" t="s">
        <v>3375</v>
      </c>
      <c r="D924" s="11" t="s">
        <v>3376</v>
      </c>
      <c r="E924" s="11" t="s">
        <v>26</v>
      </c>
      <c r="F924" s="11" t="s">
        <v>3377</v>
      </c>
      <c r="G924" s="11" t="s">
        <v>28</v>
      </c>
      <c r="H924" s="11" t="s">
        <v>3310</v>
      </c>
      <c r="I924" s="11" t="s">
        <v>3311</v>
      </c>
      <c r="J924" s="12">
        <v>0.98899999999999999</v>
      </c>
      <c r="K924" s="13">
        <v>1</v>
      </c>
      <c r="L924" s="14">
        <v>86</v>
      </c>
      <c r="M924" s="10">
        <v>31</v>
      </c>
      <c r="N924" s="10">
        <v>9503</v>
      </c>
      <c r="O924" s="10">
        <v>2431</v>
      </c>
      <c r="P924" s="10">
        <v>11934</v>
      </c>
    </row>
    <row r="925" spans="1:16" ht="27" customHeight="1" x14ac:dyDescent="0.2">
      <c r="A925" s="9" t="s">
        <v>3307</v>
      </c>
      <c r="B925" s="10" t="s">
        <v>3371</v>
      </c>
      <c r="C925" s="11" t="s">
        <v>3378</v>
      </c>
      <c r="D925" s="11" t="s">
        <v>3379</v>
      </c>
      <c r="E925" s="11" t="s">
        <v>26</v>
      </c>
      <c r="F925" s="11" t="s">
        <v>3380</v>
      </c>
      <c r="G925" s="11" t="s">
        <v>28</v>
      </c>
      <c r="H925" s="11" t="s">
        <v>3380</v>
      </c>
      <c r="I925" s="11" t="s">
        <v>3381</v>
      </c>
      <c r="J925" s="12">
        <v>0.39319999999999999</v>
      </c>
      <c r="K925" s="13">
        <v>1</v>
      </c>
      <c r="L925" s="14">
        <v>206</v>
      </c>
      <c r="M925" s="10">
        <v>81</v>
      </c>
      <c r="N925" s="10">
        <v>22763</v>
      </c>
      <c r="O925" s="10">
        <v>6352</v>
      </c>
      <c r="P925" s="10">
        <v>29115</v>
      </c>
    </row>
    <row r="926" spans="1:16" ht="27" customHeight="1" x14ac:dyDescent="0.2">
      <c r="A926" s="9" t="s">
        <v>3382</v>
      </c>
      <c r="B926" s="10" t="s">
        <v>3383</v>
      </c>
      <c r="C926" s="11" t="s">
        <v>18</v>
      </c>
      <c r="D926" s="11" t="s">
        <v>19</v>
      </c>
      <c r="E926" s="11" t="s">
        <v>19</v>
      </c>
      <c r="F926" s="11" t="s">
        <v>3384</v>
      </c>
      <c r="G926" s="11" t="s">
        <v>21</v>
      </c>
      <c r="H926" s="11" t="s">
        <v>3385</v>
      </c>
      <c r="I926" s="11" t="s">
        <v>3386</v>
      </c>
      <c r="J926" s="12">
        <v>0.98599999999999999</v>
      </c>
      <c r="K926" s="13">
        <v>4</v>
      </c>
      <c r="L926" s="14">
        <v>316</v>
      </c>
      <c r="M926" s="10">
        <v>159</v>
      </c>
      <c r="N926" s="10">
        <v>34919</v>
      </c>
      <c r="O926" s="10">
        <v>12469</v>
      </c>
      <c r="P926" s="10">
        <v>47388</v>
      </c>
    </row>
    <row r="927" spans="1:16" ht="27" customHeight="1" x14ac:dyDescent="0.2">
      <c r="A927" s="9" t="s">
        <v>3382</v>
      </c>
      <c r="B927" s="10" t="s">
        <v>3383</v>
      </c>
      <c r="C927" s="11" t="s">
        <v>3387</v>
      </c>
      <c r="D927" s="11" t="s">
        <v>3388</v>
      </c>
      <c r="E927" s="11" t="s">
        <v>26</v>
      </c>
      <c r="F927" s="11" t="s">
        <v>3389</v>
      </c>
      <c r="G927" s="11" t="s">
        <v>28</v>
      </c>
      <c r="H927" s="11" t="s">
        <v>3389</v>
      </c>
      <c r="I927" s="11" t="s">
        <v>3390</v>
      </c>
      <c r="J927" s="12">
        <v>0.25359999999999999</v>
      </c>
      <c r="K927" s="13">
        <v>1</v>
      </c>
      <c r="L927" s="14">
        <v>209</v>
      </c>
      <c r="M927" s="10">
        <v>53</v>
      </c>
      <c r="N927" s="10">
        <v>23095</v>
      </c>
      <c r="O927" s="10">
        <v>4156</v>
      </c>
      <c r="P927" s="10">
        <v>27251</v>
      </c>
    </row>
    <row r="928" spans="1:16" ht="27" customHeight="1" x14ac:dyDescent="0.2">
      <c r="A928" s="9" t="s">
        <v>3382</v>
      </c>
      <c r="B928" s="10" t="s">
        <v>3383</v>
      </c>
      <c r="C928" s="11" t="s">
        <v>3391</v>
      </c>
      <c r="D928" s="11" t="s">
        <v>3392</v>
      </c>
      <c r="E928" s="11" t="s">
        <v>57</v>
      </c>
      <c r="F928" s="11" t="s">
        <v>3393</v>
      </c>
      <c r="G928" s="11" t="s">
        <v>28</v>
      </c>
      <c r="H928" s="11" t="s">
        <v>3385</v>
      </c>
      <c r="I928" s="11" t="s">
        <v>3386</v>
      </c>
      <c r="J928" s="12">
        <v>0.98599999999999999</v>
      </c>
      <c r="K928" s="13">
        <v>1</v>
      </c>
      <c r="L928" s="14">
        <v>28</v>
      </c>
      <c r="M928" s="10">
        <v>18</v>
      </c>
      <c r="N928" s="10">
        <v>3094</v>
      </c>
      <c r="O928" s="10">
        <v>1412</v>
      </c>
      <c r="P928" s="10">
        <v>4506</v>
      </c>
    </row>
    <row r="929" spans="1:16" ht="27" customHeight="1" x14ac:dyDescent="0.2">
      <c r="A929" s="9" t="s">
        <v>3382</v>
      </c>
      <c r="B929" s="10" t="s">
        <v>3394</v>
      </c>
      <c r="C929" s="11" t="s">
        <v>18</v>
      </c>
      <c r="D929" s="11" t="s">
        <v>19</v>
      </c>
      <c r="E929" s="11" t="s">
        <v>19</v>
      </c>
      <c r="F929" s="11" t="s">
        <v>3395</v>
      </c>
      <c r="G929" s="11" t="s">
        <v>83</v>
      </c>
      <c r="H929" s="11" t="s">
        <v>3396</v>
      </c>
      <c r="I929" s="11" t="s">
        <v>3397</v>
      </c>
      <c r="J929" s="12">
        <v>0.43559999999999999</v>
      </c>
      <c r="K929" s="13">
        <v>2</v>
      </c>
      <c r="L929" s="14">
        <v>102</v>
      </c>
      <c r="M929" s="10">
        <v>44</v>
      </c>
      <c r="N929" s="10">
        <v>11271</v>
      </c>
      <c r="O929" s="10">
        <v>3450</v>
      </c>
      <c r="P929" s="10">
        <v>14721</v>
      </c>
    </row>
    <row r="930" spans="1:16" ht="27" customHeight="1" x14ac:dyDescent="0.2">
      <c r="A930" s="9" t="s">
        <v>3382</v>
      </c>
      <c r="B930" s="10" t="s">
        <v>3398</v>
      </c>
      <c r="C930" s="11" t="s">
        <v>18</v>
      </c>
      <c r="D930" s="11" t="s">
        <v>19</v>
      </c>
      <c r="E930" s="11" t="s">
        <v>19</v>
      </c>
      <c r="F930" s="11" t="s">
        <v>3399</v>
      </c>
      <c r="G930" s="11" t="s">
        <v>83</v>
      </c>
      <c r="H930" s="11" t="s">
        <v>3400</v>
      </c>
      <c r="I930" s="11" t="s">
        <v>3401</v>
      </c>
      <c r="J930" s="12">
        <v>0.24940000000000001</v>
      </c>
      <c r="K930" s="13">
        <v>5</v>
      </c>
      <c r="L930" s="14">
        <v>1815</v>
      </c>
      <c r="M930" s="10">
        <v>289</v>
      </c>
      <c r="N930" s="10">
        <v>200561</v>
      </c>
      <c r="O930" s="10">
        <v>22662</v>
      </c>
      <c r="P930" s="10">
        <v>223223</v>
      </c>
    </row>
    <row r="931" spans="1:16" ht="27" customHeight="1" x14ac:dyDescent="0.2">
      <c r="A931" s="9" t="s">
        <v>3382</v>
      </c>
      <c r="B931" s="10" t="s">
        <v>3402</v>
      </c>
      <c r="C931" s="11" t="s">
        <v>18</v>
      </c>
      <c r="D931" s="11" t="s">
        <v>19</v>
      </c>
      <c r="E931" s="11" t="s">
        <v>19</v>
      </c>
      <c r="F931" s="11" t="s">
        <v>3403</v>
      </c>
      <c r="G931" s="11" t="s">
        <v>83</v>
      </c>
      <c r="H931" s="11" t="s">
        <v>3404</v>
      </c>
      <c r="I931" s="11" t="s">
        <v>3405</v>
      </c>
      <c r="J931" s="12">
        <v>0.1331</v>
      </c>
      <c r="K931" s="13">
        <v>3</v>
      </c>
      <c r="L931" s="14">
        <v>1054</v>
      </c>
      <c r="M931" s="10">
        <v>130</v>
      </c>
      <c r="N931" s="10">
        <v>116468</v>
      </c>
      <c r="O931" s="10">
        <v>10194</v>
      </c>
      <c r="P931" s="10">
        <v>126662</v>
      </c>
    </row>
    <row r="932" spans="1:16" ht="27" customHeight="1" x14ac:dyDescent="0.2">
      <c r="A932" s="9" t="s">
        <v>3382</v>
      </c>
      <c r="B932" s="10" t="s">
        <v>3406</v>
      </c>
      <c r="C932" s="11" t="s">
        <v>18</v>
      </c>
      <c r="D932" s="11" t="s">
        <v>19</v>
      </c>
      <c r="E932" s="11" t="s">
        <v>19</v>
      </c>
      <c r="F932" s="11" t="s">
        <v>3407</v>
      </c>
      <c r="G932" s="11" t="s">
        <v>83</v>
      </c>
      <c r="H932" s="11" t="s">
        <v>3408</v>
      </c>
      <c r="I932" s="11" t="s">
        <v>3409</v>
      </c>
      <c r="J932" s="12">
        <v>0.77780000000000005</v>
      </c>
      <c r="K932" s="13">
        <v>3</v>
      </c>
      <c r="L932" s="14">
        <v>16</v>
      </c>
      <c r="M932" s="10">
        <v>7</v>
      </c>
      <c r="N932" s="10">
        <v>1769</v>
      </c>
      <c r="O932" s="10">
        <v>549</v>
      </c>
      <c r="P932" s="10">
        <v>2318</v>
      </c>
    </row>
    <row r="933" spans="1:16" ht="27" customHeight="1" x14ac:dyDescent="0.2">
      <c r="A933" s="9" t="s">
        <v>3382</v>
      </c>
      <c r="B933" s="10" t="s">
        <v>3410</v>
      </c>
      <c r="C933" s="11" t="s">
        <v>18</v>
      </c>
      <c r="D933" s="11" t="s">
        <v>19</v>
      </c>
      <c r="E933" s="11" t="s">
        <v>19</v>
      </c>
      <c r="F933" s="11" t="s">
        <v>3411</v>
      </c>
      <c r="G933" s="11" t="s">
        <v>83</v>
      </c>
      <c r="H933" s="11" t="s">
        <v>3412</v>
      </c>
      <c r="I933" s="11" t="s">
        <v>3413</v>
      </c>
      <c r="J933" s="12">
        <v>0.19350000000000001</v>
      </c>
      <c r="K933" s="13">
        <v>3</v>
      </c>
      <c r="L933" s="14">
        <v>160</v>
      </c>
      <c r="M933" s="10">
        <v>24</v>
      </c>
      <c r="N933" s="10">
        <v>17681</v>
      </c>
      <c r="O933" s="10">
        <v>1883</v>
      </c>
      <c r="P933" s="10">
        <v>19564</v>
      </c>
    </row>
    <row r="934" spans="1:16" ht="27" customHeight="1" x14ac:dyDescent="0.2">
      <c r="A934" s="9" t="s">
        <v>3382</v>
      </c>
      <c r="B934" s="10" t="s">
        <v>3414</v>
      </c>
      <c r="C934" s="11" t="s">
        <v>18</v>
      </c>
      <c r="D934" s="11" t="s">
        <v>19</v>
      </c>
      <c r="E934" s="11" t="s">
        <v>19</v>
      </c>
      <c r="F934" s="11" t="s">
        <v>3415</v>
      </c>
      <c r="G934" s="11" t="s">
        <v>83</v>
      </c>
      <c r="H934" s="11" t="s">
        <v>3416</v>
      </c>
      <c r="I934" s="11" t="s">
        <v>3417</v>
      </c>
      <c r="J934" s="12">
        <v>5.3100000000000001E-2</v>
      </c>
      <c r="K934" s="13">
        <v>4</v>
      </c>
      <c r="L934" s="14">
        <v>1269</v>
      </c>
      <c r="M934" s="10">
        <v>79</v>
      </c>
      <c r="N934" s="10">
        <v>140227</v>
      </c>
      <c r="O934" s="10">
        <v>6195</v>
      </c>
      <c r="P934" s="10">
        <v>146422</v>
      </c>
    </row>
    <row r="935" spans="1:16" ht="27" customHeight="1" x14ac:dyDescent="0.2">
      <c r="A935" s="9" t="s">
        <v>3382</v>
      </c>
      <c r="B935" s="10" t="s">
        <v>3418</v>
      </c>
      <c r="C935" s="11" t="s">
        <v>18</v>
      </c>
      <c r="D935" s="11" t="s">
        <v>19</v>
      </c>
      <c r="E935" s="11" t="s">
        <v>19</v>
      </c>
      <c r="F935" s="11" t="s">
        <v>3419</v>
      </c>
      <c r="G935" s="11" t="s">
        <v>83</v>
      </c>
      <c r="H935" s="11" t="s">
        <v>3420</v>
      </c>
      <c r="I935" s="11" t="s">
        <v>3421</v>
      </c>
      <c r="J935" s="12">
        <v>7.4800000000000005E-2</v>
      </c>
      <c r="K935" s="13">
        <v>7</v>
      </c>
      <c r="L935" s="14">
        <v>2364</v>
      </c>
      <c r="M935" s="10">
        <v>147</v>
      </c>
      <c r="N935" s="10">
        <v>261226</v>
      </c>
      <c r="O935" s="10">
        <v>11528</v>
      </c>
      <c r="P935" s="10">
        <v>272754</v>
      </c>
    </row>
    <row r="936" spans="1:16" ht="27" customHeight="1" x14ac:dyDescent="0.2">
      <c r="A936" s="9" t="s">
        <v>3382</v>
      </c>
      <c r="B936" s="10" t="s">
        <v>3422</v>
      </c>
      <c r="C936" s="11" t="s">
        <v>18</v>
      </c>
      <c r="D936" s="11" t="s">
        <v>19</v>
      </c>
      <c r="E936" s="11" t="s">
        <v>19</v>
      </c>
      <c r="F936" s="11" t="s">
        <v>3423</v>
      </c>
      <c r="G936" s="11" t="s">
        <v>83</v>
      </c>
      <c r="H936" s="11" t="s">
        <v>3423</v>
      </c>
      <c r="I936" s="11" t="s">
        <v>3424</v>
      </c>
      <c r="J936" s="12">
        <v>0.58819999999999995</v>
      </c>
      <c r="K936" s="13">
        <v>2</v>
      </c>
      <c r="L936" s="14">
        <v>34</v>
      </c>
      <c r="M936" s="10">
        <v>20</v>
      </c>
      <c r="N936" s="10">
        <v>3757</v>
      </c>
      <c r="O936" s="10">
        <v>1568</v>
      </c>
      <c r="P936" s="10">
        <v>5325</v>
      </c>
    </row>
    <row r="937" spans="1:16" ht="27" customHeight="1" x14ac:dyDescent="0.2">
      <c r="A937" s="9" t="s">
        <v>3382</v>
      </c>
      <c r="B937" s="10" t="s">
        <v>3425</v>
      </c>
      <c r="C937" s="11" t="s">
        <v>18</v>
      </c>
      <c r="D937" s="11" t="s">
        <v>19</v>
      </c>
      <c r="E937" s="11" t="s">
        <v>19</v>
      </c>
      <c r="F937" s="11" t="s">
        <v>3426</v>
      </c>
      <c r="G937" s="11" t="s">
        <v>83</v>
      </c>
      <c r="H937" s="11" t="s">
        <v>3427</v>
      </c>
      <c r="I937" s="11" t="s">
        <v>3428</v>
      </c>
      <c r="J937" s="12">
        <v>0.57820000000000005</v>
      </c>
      <c r="K937" s="13">
        <v>16</v>
      </c>
      <c r="L937" s="14">
        <v>7253</v>
      </c>
      <c r="M937" s="10">
        <v>2375</v>
      </c>
      <c r="N937" s="10">
        <v>801469</v>
      </c>
      <c r="O937" s="10">
        <v>186245</v>
      </c>
      <c r="P937" s="10">
        <v>987714</v>
      </c>
    </row>
    <row r="938" spans="1:16" ht="27" customHeight="1" x14ac:dyDescent="0.2">
      <c r="A938" s="9" t="s">
        <v>3382</v>
      </c>
      <c r="B938" s="10" t="s">
        <v>3425</v>
      </c>
      <c r="C938" s="11" t="s">
        <v>3429</v>
      </c>
      <c r="D938" s="11" t="s">
        <v>3430</v>
      </c>
      <c r="E938" s="11" t="s">
        <v>26</v>
      </c>
      <c r="F938" s="11" t="s">
        <v>3431</v>
      </c>
      <c r="G938" s="11" t="s">
        <v>28</v>
      </c>
      <c r="H938" s="11" t="s">
        <v>3431</v>
      </c>
      <c r="I938" s="11" t="s">
        <v>3432</v>
      </c>
      <c r="J938" s="12">
        <v>0.11650000000000001</v>
      </c>
      <c r="K938" s="13">
        <v>1</v>
      </c>
      <c r="L938" s="14">
        <v>266</v>
      </c>
      <c r="M938" s="10">
        <v>31</v>
      </c>
      <c r="N938" s="10">
        <v>29393</v>
      </c>
      <c r="O938" s="10">
        <v>2431</v>
      </c>
      <c r="P938" s="10">
        <v>31824</v>
      </c>
    </row>
    <row r="939" spans="1:16" ht="27" customHeight="1" x14ac:dyDescent="0.2">
      <c r="A939" s="9" t="s">
        <v>3382</v>
      </c>
      <c r="B939" s="10" t="s">
        <v>3433</v>
      </c>
      <c r="C939" s="11" t="s">
        <v>18</v>
      </c>
      <c r="D939" s="11" t="s">
        <v>19</v>
      </c>
      <c r="E939" s="11" t="s">
        <v>19</v>
      </c>
      <c r="F939" s="11" t="s">
        <v>3434</v>
      </c>
      <c r="G939" s="11" t="s">
        <v>83</v>
      </c>
      <c r="H939" s="11" t="s">
        <v>3435</v>
      </c>
      <c r="I939" s="11" t="s">
        <v>3436</v>
      </c>
      <c r="J939" s="12">
        <v>3.8800000000000001E-2</v>
      </c>
      <c r="K939" s="13">
        <v>4</v>
      </c>
      <c r="L939" s="14">
        <v>1023</v>
      </c>
      <c r="M939" s="10">
        <v>45</v>
      </c>
      <c r="N939" s="10">
        <v>113043</v>
      </c>
      <c r="O939" s="10">
        <v>3529</v>
      </c>
      <c r="P939" s="10">
        <v>116572</v>
      </c>
    </row>
    <row r="940" spans="1:16" ht="27" customHeight="1" x14ac:dyDescent="0.2">
      <c r="A940" s="9" t="s">
        <v>3382</v>
      </c>
      <c r="B940" s="10" t="s">
        <v>3437</v>
      </c>
      <c r="C940" s="11" t="s">
        <v>18</v>
      </c>
      <c r="D940" s="11" t="s">
        <v>19</v>
      </c>
      <c r="E940" s="11" t="s">
        <v>19</v>
      </c>
      <c r="F940" s="11" t="s">
        <v>3438</v>
      </c>
      <c r="G940" s="11" t="s">
        <v>83</v>
      </c>
      <c r="H940" s="11" t="s">
        <v>3438</v>
      </c>
      <c r="I940" s="11" t="s">
        <v>3439</v>
      </c>
      <c r="J940" s="12">
        <v>8.3999999999999995E-3</v>
      </c>
      <c r="K940" s="13">
        <v>2</v>
      </c>
      <c r="L940" s="14">
        <v>357</v>
      </c>
      <c r="M940" s="10">
        <v>3</v>
      </c>
      <c r="N940" s="10">
        <v>39449</v>
      </c>
      <c r="O940" s="10">
        <v>235</v>
      </c>
      <c r="P940" s="10">
        <v>39684</v>
      </c>
    </row>
    <row r="941" spans="1:16" ht="27" customHeight="1" x14ac:dyDescent="0.2">
      <c r="A941" s="9" t="s">
        <v>3382</v>
      </c>
      <c r="B941" s="10" t="s">
        <v>3440</v>
      </c>
      <c r="C941" s="11" t="s">
        <v>18</v>
      </c>
      <c r="D941" s="11" t="s">
        <v>19</v>
      </c>
      <c r="E941" s="11" t="s">
        <v>19</v>
      </c>
      <c r="F941" s="11" t="s">
        <v>3441</v>
      </c>
      <c r="G941" s="11" t="s">
        <v>83</v>
      </c>
      <c r="H941" s="11" t="s">
        <v>3385</v>
      </c>
      <c r="I941" s="11" t="s">
        <v>3386</v>
      </c>
      <c r="J941" s="12">
        <v>0.98599999999999999</v>
      </c>
      <c r="K941" s="13">
        <v>10</v>
      </c>
      <c r="L941" s="14">
        <v>4323</v>
      </c>
      <c r="M941" s="10">
        <v>3170</v>
      </c>
      <c r="N941" s="10">
        <v>477699</v>
      </c>
      <c r="O941" s="10">
        <v>248587</v>
      </c>
      <c r="P941" s="10">
        <v>726286</v>
      </c>
    </row>
    <row r="942" spans="1:16" ht="27" customHeight="1" x14ac:dyDescent="0.2">
      <c r="A942" s="9" t="s">
        <v>3382</v>
      </c>
      <c r="B942" s="10" t="s">
        <v>3442</v>
      </c>
      <c r="C942" s="11" t="s">
        <v>18</v>
      </c>
      <c r="D942" s="11" t="s">
        <v>19</v>
      </c>
      <c r="E942" s="11" t="s">
        <v>19</v>
      </c>
      <c r="F942" s="11" t="s">
        <v>3443</v>
      </c>
      <c r="G942" s="11" t="s">
        <v>83</v>
      </c>
      <c r="H942" s="11" t="s">
        <v>3385</v>
      </c>
      <c r="I942" s="11" t="s">
        <v>3386</v>
      </c>
      <c r="J942" s="12">
        <v>0.98599999999999999</v>
      </c>
      <c r="K942" s="13">
        <v>4</v>
      </c>
      <c r="L942" s="14">
        <v>2644</v>
      </c>
      <c r="M942" s="10">
        <v>1612</v>
      </c>
      <c r="N942" s="10">
        <v>292166</v>
      </c>
      <c r="O942" s="10">
        <v>126412</v>
      </c>
      <c r="P942" s="10">
        <v>418578</v>
      </c>
    </row>
    <row r="943" spans="1:16" ht="27" customHeight="1" x14ac:dyDescent="0.2">
      <c r="A943" s="9" t="s">
        <v>3382</v>
      </c>
      <c r="B943" s="10" t="s">
        <v>3444</v>
      </c>
      <c r="C943" s="11" t="s">
        <v>18</v>
      </c>
      <c r="D943" s="11" t="s">
        <v>19</v>
      </c>
      <c r="E943" s="11" t="s">
        <v>19</v>
      </c>
      <c r="F943" s="11" t="s">
        <v>3445</v>
      </c>
      <c r="G943" s="11" t="s">
        <v>83</v>
      </c>
      <c r="H943" s="11" t="s">
        <v>3446</v>
      </c>
      <c r="I943" s="11" t="s">
        <v>3447</v>
      </c>
      <c r="J943" s="12">
        <v>0.46539999999999998</v>
      </c>
      <c r="K943" s="13">
        <v>2</v>
      </c>
      <c r="L943" s="14">
        <v>318</v>
      </c>
      <c r="M943" s="10">
        <v>148</v>
      </c>
      <c r="N943" s="10">
        <v>35140</v>
      </c>
      <c r="O943" s="10">
        <v>11606</v>
      </c>
      <c r="P943" s="10">
        <v>46746</v>
      </c>
    </row>
    <row r="944" spans="1:16" ht="27" customHeight="1" x14ac:dyDescent="0.2">
      <c r="A944" s="9" t="s">
        <v>3382</v>
      </c>
      <c r="B944" s="10" t="s">
        <v>3448</v>
      </c>
      <c r="C944" s="11" t="s">
        <v>18</v>
      </c>
      <c r="D944" s="11" t="s">
        <v>19</v>
      </c>
      <c r="E944" s="11" t="s">
        <v>19</v>
      </c>
      <c r="F944" s="11" t="s">
        <v>3449</v>
      </c>
      <c r="G944" s="11" t="s">
        <v>83</v>
      </c>
      <c r="H944" s="11" t="s">
        <v>3385</v>
      </c>
      <c r="I944" s="11" t="s">
        <v>3386</v>
      </c>
      <c r="J944" s="12">
        <v>0.98599999999999999</v>
      </c>
      <c r="K944" s="13">
        <v>6</v>
      </c>
      <c r="L944" s="14">
        <v>4813</v>
      </c>
      <c r="M944" s="10">
        <v>476</v>
      </c>
      <c r="N944" s="10">
        <v>531845</v>
      </c>
      <c r="O944" s="10">
        <v>37328</v>
      </c>
      <c r="P944" s="10">
        <v>569173</v>
      </c>
    </row>
    <row r="945" spans="1:16" ht="27" customHeight="1" x14ac:dyDescent="0.2">
      <c r="A945" s="9" t="s">
        <v>3382</v>
      </c>
      <c r="B945" s="10" t="s">
        <v>3450</v>
      </c>
      <c r="C945" s="11" t="s">
        <v>18</v>
      </c>
      <c r="D945" s="11" t="s">
        <v>19</v>
      </c>
      <c r="E945" s="11" t="s">
        <v>19</v>
      </c>
      <c r="F945" s="11" t="s">
        <v>3451</v>
      </c>
      <c r="G945" s="11" t="s">
        <v>83</v>
      </c>
      <c r="H945" s="11" t="s">
        <v>3452</v>
      </c>
      <c r="I945" s="11" t="s">
        <v>3453</v>
      </c>
      <c r="J945" s="12">
        <v>0.70830000000000004</v>
      </c>
      <c r="K945" s="13">
        <v>6</v>
      </c>
      <c r="L945" s="14">
        <v>503</v>
      </c>
      <c r="M945" s="10">
        <v>298</v>
      </c>
      <c r="N945" s="10">
        <v>55583</v>
      </c>
      <c r="O945" s="10">
        <v>23369</v>
      </c>
      <c r="P945" s="10">
        <v>78952</v>
      </c>
    </row>
    <row r="946" spans="1:16" ht="27" customHeight="1" x14ac:dyDescent="0.2">
      <c r="A946" s="9" t="s">
        <v>3382</v>
      </c>
      <c r="B946" s="10" t="s">
        <v>3454</v>
      </c>
      <c r="C946" s="11" t="s">
        <v>18</v>
      </c>
      <c r="D946" s="11" t="s">
        <v>19</v>
      </c>
      <c r="E946" s="11" t="s">
        <v>19</v>
      </c>
      <c r="F946" s="11" t="s">
        <v>3455</v>
      </c>
      <c r="G946" s="11" t="s">
        <v>83</v>
      </c>
      <c r="H946" s="11" t="s">
        <v>3456</v>
      </c>
      <c r="I946" s="11" t="s">
        <v>3457</v>
      </c>
      <c r="J946" s="12">
        <v>0.16950000000000001</v>
      </c>
      <c r="K946" s="13">
        <v>6</v>
      </c>
      <c r="L946" s="14">
        <v>1721</v>
      </c>
      <c r="M946" s="10">
        <v>174</v>
      </c>
      <c r="N946" s="10">
        <v>190174</v>
      </c>
      <c r="O946" s="10">
        <v>13645</v>
      </c>
      <c r="P946" s="10">
        <v>203819</v>
      </c>
    </row>
    <row r="947" spans="1:16" ht="27" customHeight="1" x14ac:dyDescent="0.2">
      <c r="A947" s="9" t="s">
        <v>3458</v>
      </c>
      <c r="B947" s="10" t="s">
        <v>3459</v>
      </c>
      <c r="C947" s="11" t="s">
        <v>18</v>
      </c>
      <c r="D947" s="11" t="s">
        <v>19</v>
      </c>
      <c r="E947" s="11" t="s">
        <v>19</v>
      </c>
      <c r="F947" s="11" t="s">
        <v>3460</v>
      </c>
      <c r="G947" s="11" t="s">
        <v>21</v>
      </c>
      <c r="H947" s="11" t="s">
        <v>3461</v>
      </c>
      <c r="I947" s="11" t="s">
        <v>3462</v>
      </c>
      <c r="J947" s="12">
        <v>0.87880000000000003</v>
      </c>
      <c r="K947" s="13">
        <v>4</v>
      </c>
      <c r="L947" s="14">
        <v>52</v>
      </c>
      <c r="M947" s="10">
        <v>39</v>
      </c>
      <c r="N947" s="10">
        <v>5747</v>
      </c>
      <c r="O947" s="10">
        <v>3058</v>
      </c>
      <c r="P947" s="10">
        <v>8805</v>
      </c>
    </row>
    <row r="948" spans="1:16" ht="27" customHeight="1" x14ac:dyDescent="0.2">
      <c r="A948" s="9" t="s">
        <v>3458</v>
      </c>
      <c r="B948" s="10" t="s">
        <v>3463</v>
      </c>
      <c r="C948" s="11" t="s">
        <v>18</v>
      </c>
      <c r="D948" s="11" t="s">
        <v>19</v>
      </c>
      <c r="E948" s="11" t="s">
        <v>19</v>
      </c>
      <c r="F948" s="11" t="s">
        <v>3464</v>
      </c>
      <c r="G948" s="11" t="s">
        <v>83</v>
      </c>
      <c r="H948" s="11" t="s">
        <v>3461</v>
      </c>
      <c r="I948" s="11" t="s">
        <v>3462</v>
      </c>
      <c r="J948" s="12">
        <v>0.87880000000000003</v>
      </c>
      <c r="K948" s="13">
        <v>12</v>
      </c>
      <c r="L948" s="14">
        <v>1695</v>
      </c>
      <c r="M948" s="10">
        <v>1131</v>
      </c>
      <c r="N948" s="10">
        <v>187302</v>
      </c>
      <c r="O948" s="10">
        <v>88691</v>
      </c>
      <c r="P948" s="10">
        <v>275993</v>
      </c>
    </row>
    <row r="949" spans="1:16" ht="27" customHeight="1" x14ac:dyDescent="0.2">
      <c r="A949" s="9" t="s">
        <v>3458</v>
      </c>
      <c r="B949" s="10" t="s">
        <v>3463</v>
      </c>
      <c r="C949" s="11" t="s">
        <v>3465</v>
      </c>
      <c r="D949" s="11" t="s">
        <v>3466</v>
      </c>
      <c r="E949" s="11" t="s">
        <v>26</v>
      </c>
      <c r="F949" s="11" t="s">
        <v>3467</v>
      </c>
      <c r="G949" s="11" t="s">
        <v>28</v>
      </c>
      <c r="H949" s="11" t="s">
        <v>3467</v>
      </c>
      <c r="I949" s="11" t="s">
        <v>3468</v>
      </c>
      <c r="J949" s="12">
        <v>0.42420000000000002</v>
      </c>
      <c r="K949" s="13">
        <v>1</v>
      </c>
      <c r="L949" s="14">
        <v>132</v>
      </c>
      <c r="M949" s="10">
        <v>56</v>
      </c>
      <c r="N949" s="10">
        <v>14586</v>
      </c>
      <c r="O949" s="10">
        <v>4391</v>
      </c>
      <c r="P949" s="10">
        <v>18977</v>
      </c>
    </row>
    <row r="950" spans="1:16" ht="27" customHeight="1" x14ac:dyDescent="0.2">
      <c r="A950" s="9" t="s">
        <v>3469</v>
      </c>
      <c r="B950" s="10" t="s">
        <v>3470</v>
      </c>
      <c r="C950" s="11" t="s">
        <v>18</v>
      </c>
      <c r="D950" s="11" t="s">
        <v>19</v>
      </c>
      <c r="E950" s="11" t="s">
        <v>19</v>
      </c>
      <c r="F950" s="11" t="s">
        <v>3471</v>
      </c>
      <c r="G950" s="11" t="s">
        <v>21</v>
      </c>
      <c r="H950" s="11" t="s">
        <v>3472</v>
      </c>
      <c r="I950" s="11" t="s">
        <v>3473</v>
      </c>
      <c r="J950" s="12">
        <v>0.98109999999999997</v>
      </c>
      <c r="K950" s="13">
        <v>4</v>
      </c>
      <c r="L950" s="14">
        <v>434</v>
      </c>
      <c r="M950" s="10">
        <v>410</v>
      </c>
      <c r="N950" s="10">
        <v>47959</v>
      </c>
      <c r="O950" s="10">
        <v>32153</v>
      </c>
      <c r="P950" s="10">
        <v>80112</v>
      </c>
    </row>
    <row r="951" spans="1:16" ht="27" customHeight="1" x14ac:dyDescent="0.2">
      <c r="A951" s="9" t="s">
        <v>3469</v>
      </c>
      <c r="B951" s="10" t="s">
        <v>3474</v>
      </c>
      <c r="C951" s="11" t="s">
        <v>18</v>
      </c>
      <c r="D951" s="11" t="s">
        <v>19</v>
      </c>
      <c r="E951" s="11" t="s">
        <v>19</v>
      </c>
      <c r="F951" s="11" t="s">
        <v>3475</v>
      </c>
      <c r="G951" s="11" t="s">
        <v>83</v>
      </c>
      <c r="H951" s="11" t="s">
        <v>3476</v>
      </c>
      <c r="I951" s="11" t="s">
        <v>3477</v>
      </c>
      <c r="J951" s="12">
        <v>0.82140000000000002</v>
      </c>
      <c r="K951" s="13">
        <v>3</v>
      </c>
      <c r="L951" s="14">
        <v>423</v>
      </c>
      <c r="M951" s="10">
        <v>344</v>
      </c>
      <c r="N951" s="10">
        <v>46742</v>
      </c>
      <c r="O951" s="10">
        <v>26976</v>
      </c>
      <c r="P951" s="10">
        <v>73718</v>
      </c>
    </row>
    <row r="952" spans="1:16" ht="27" customHeight="1" x14ac:dyDescent="0.2">
      <c r="A952" s="9" t="s">
        <v>3469</v>
      </c>
      <c r="B952" s="10" t="s">
        <v>3478</v>
      </c>
      <c r="C952" s="11" t="s">
        <v>18</v>
      </c>
      <c r="D952" s="11" t="s">
        <v>19</v>
      </c>
      <c r="E952" s="11" t="s">
        <v>19</v>
      </c>
      <c r="F952" s="11" t="s">
        <v>3479</v>
      </c>
      <c r="G952" s="11" t="s">
        <v>83</v>
      </c>
      <c r="H952" s="11" t="s">
        <v>3480</v>
      </c>
      <c r="I952" s="11" t="s">
        <v>3481</v>
      </c>
      <c r="J952" s="12">
        <v>0.63109999999999999</v>
      </c>
      <c r="K952" s="13">
        <v>2</v>
      </c>
      <c r="L952" s="14">
        <v>225</v>
      </c>
      <c r="M952" s="10">
        <v>142</v>
      </c>
      <c r="N952" s="10">
        <v>24863</v>
      </c>
      <c r="O952" s="10">
        <v>11135</v>
      </c>
      <c r="P952" s="10">
        <v>35998</v>
      </c>
    </row>
    <row r="953" spans="1:16" ht="27" customHeight="1" x14ac:dyDescent="0.2">
      <c r="A953" s="9" t="s">
        <v>3469</v>
      </c>
      <c r="B953" s="10" t="s">
        <v>3478</v>
      </c>
      <c r="C953" s="11" t="s">
        <v>3482</v>
      </c>
      <c r="D953" s="11" t="s">
        <v>3483</v>
      </c>
      <c r="E953" s="11" t="s">
        <v>26</v>
      </c>
      <c r="F953" s="11" t="s">
        <v>3484</v>
      </c>
      <c r="G953" s="11" t="s">
        <v>28</v>
      </c>
      <c r="H953" s="11" t="s">
        <v>3484</v>
      </c>
      <c r="I953" s="11" t="s">
        <v>3485</v>
      </c>
      <c r="J953" s="12">
        <v>0.44290000000000002</v>
      </c>
      <c r="K953" s="13">
        <v>1</v>
      </c>
      <c r="L953" s="14">
        <v>70</v>
      </c>
      <c r="M953" s="10">
        <v>31</v>
      </c>
      <c r="N953" s="10">
        <v>7735</v>
      </c>
      <c r="O953" s="10">
        <v>2431</v>
      </c>
      <c r="P953" s="10">
        <v>10166</v>
      </c>
    </row>
    <row r="954" spans="1:16" ht="27" customHeight="1" x14ac:dyDescent="0.2">
      <c r="A954" s="9" t="s">
        <v>3469</v>
      </c>
      <c r="B954" s="10" t="s">
        <v>3486</v>
      </c>
      <c r="C954" s="11" t="s">
        <v>18</v>
      </c>
      <c r="D954" s="11" t="s">
        <v>19</v>
      </c>
      <c r="E954" s="11" t="s">
        <v>19</v>
      </c>
      <c r="F954" s="11" t="s">
        <v>3487</v>
      </c>
      <c r="G954" s="11" t="s">
        <v>83</v>
      </c>
      <c r="H954" s="11" t="s">
        <v>3488</v>
      </c>
      <c r="I954" s="11" t="s">
        <v>3489</v>
      </c>
      <c r="J954" s="12">
        <v>0.81020000000000003</v>
      </c>
      <c r="K954" s="13">
        <v>8</v>
      </c>
      <c r="L954" s="14">
        <v>1695</v>
      </c>
      <c r="M954" s="10">
        <v>1352</v>
      </c>
      <c r="N954" s="10">
        <v>187302</v>
      </c>
      <c r="O954" s="10">
        <v>106023</v>
      </c>
      <c r="P954" s="10">
        <v>293325</v>
      </c>
    </row>
    <row r="955" spans="1:16" ht="27" customHeight="1" x14ac:dyDescent="0.2">
      <c r="A955" s="9" t="s">
        <v>3469</v>
      </c>
      <c r="B955" s="10" t="s">
        <v>3486</v>
      </c>
      <c r="C955" s="11" t="s">
        <v>3490</v>
      </c>
      <c r="D955" s="11" t="s">
        <v>3491</v>
      </c>
      <c r="E955" s="11" t="s">
        <v>26</v>
      </c>
      <c r="F955" s="11" t="s">
        <v>3492</v>
      </c>
      <c r="G955" s="11" t="s">
        <v>28</v>
      </c>
      <c r="H955" s="11" t="s">
        <v>3492</v>
      </c>
      <c r="I955" s="11" t="s">
        <v>3493</v>
      </c>
      <c r="J955" s="12">
        <v>0.67069999999999996</v>
      </c>
      <c r="K955" s="13">
        <v>1</v>
      </c>
      <c r="L955" s="14">
        <v>82</v>
      </c>
      <c r="M955" s="10">
        <v>55</v>
      </c>
      <c r="N955" s="10">
        <v>9061</v>
      </c>
      <c r="O955" s="10">
        <v>4313</v>
      </c>
      <c r="P955" s="10">
        <v>13374</v>
      </c>
    </row>
    <row r="956" spans="1:16" ht="27" customHeight="1" x14ac:dyDescent="0.2">
      <c r="A956" s="9" t="s">
        <v>3469</v>
      </c>
      <c r="B956" s="10" t="s">
        <v>3494</v>
      </c>
      <c r="C956" s="11" t="s">
        <v>18</v>
      </c>
      <c r="D956" s="11" t="s">
        <v>19</v>
      </c>
      <c r="E956" s="11" t="s">
        <v>19</v>
      </c>
      <c r="F956" s="11" t="s">
        <v>3495</v>
      </c>
      <c r="G956" s="11" t="s">
        <v>83</v>
      </c>
      <c r="H956" s="11" t="s">
        <v>3496</v>
      </c>
      <c r="I956" s="11" t="s">
        <v>3497</v>
      </c>
      <c r="J956" s="12">
        <v>0.51429999999999998</v>
      </c>
      <c r="K956" s="13">
        <v>2</v>
      </c>
      <c r="L956" s="14">
        <v>35</v>
      </c>
      <c r="M956" s="10">
        <v>18</v>
      </c>
      <c r="N956" s="10">
        <v>3868</v>
      </c>
      <c r="O956" s="10">
        <v>1412</v>
      </c>
      <c r="P956" s="10">
        <v>5280</v>
      </c>
    </row>
    <row r="957" spans="1:16" ht="27" customHeight="1" x14ac:dyDescent="0.2">
      <c r="A957" s="9" t="s">
        <v>3469</v>
      </c>
      <c r="B957" s="10" t="s">
        <v>3498</v>
      </c>
      <c r="C957" s="11" t="s">
        <v>18</v>
      </c>
      <c r="D957" s="11" t="s">
        <v>19</v>
      </c>
      <c r="E957" s="11" t="s">
        <v>19</v>
      </c>
      <c r="F957" s="11" t="s">
        <v>3499</v>
      </c>
      <c r="G957" s="11" t="s">
        <v>83</v>
      </c>
      <c r="H957" s="11" t="s">
        <v>3500</v>
      </c>
      <c r="I957" s="11" t="s">
        <v>3501</v>
      </c>
      <c r="J957" s="12">
        <v>0.82350000000000001</v>
      </c>
      <c r="K957" s="13">
        <v>7</v>
      </c>
      <c r="L957" s="14">
        <v>462</v>
      </c>
      <c r="M957" s="10">
        <v>293</v>
      </c>
      <c r="N957" s="10">
        <v>51053</v>
      </c>
      <c r="O957" s="10">
        <v>22977</v>
      </c>
      <c r="P957" s="10">
        <v>74030</v>
      </c>
    </row>
    <row r="958" spans="1:16" ht="27" customHeight="1" x14ac:dyDescent="0.2">
      <c r="A958" s="9" t="s">
        <v>3469</v>
      </c>
      <c r="B958" s="10" t="s">
        <v>3502</v>
      </c>
      <c r="C958" s="11" t="s">
        <v>18</v>
      </c>
      <c r="D958" s="11" t="s">
        <v>19</v>
      </c>
      <c r="E958" s="11" t="s">
        <v>19</v>
      </c>
      <c r="F958" s="11" t="s">
        <v>3503</v>
      </c>
      <c r="G958" s="11" t="s">
        <v>83</v>
      </c>
      <c r="H958" s="11" t="s">
        <v>3472</v>
      </c>
      <c r="I958" s="11" t="s">
        <v>3473</v>
      </c>
      <c r="J958" s="12">
        <v>0.98109999999999997</v>
      </c>
      <c r="K958" s="13">
        <v>3</v>
      </c>
      <c r="L958" s="14">
        <v>130</v>
      </c>
      <c r="M958" s="10">
        <v>77</v>
      </c>
      <c r="N958" s="10">
        <v>14366</v>
      </c>
      <c r="O958" s="10">
        <v>6038</v>
      </c>
      <c r="P958" s="10">
        <v>20404</v>
      </c>
    </row>
    <row r="959" spans="1:16" ht="27" customHeight="1" x14ac:dyDescent="0.2">
      <c r="A959" s="9" t="s">
        <v>3469</v>
      </c>
      <c r="B959" s="10" t="s">
        <v>3504</v>
      </c>
      <c r="C959" s="11" t="s">
        <v>18</v>
      </c>
      <c r="D959" s="11" t="s">
        <v>19</v>
      </c>
      <c r="E959" s="11" t="s">
        <v>19</v>
      </c>
      <c r="F959" s="11" t="s">
        <v>3505</v>
      </c>
      <c r="G959" s="11" t="s">
        <v>83</v>
      </c>
      <c r="H959" s="11" t="s">
        <v>1286</v>
      </c>
      <c r="I959" s="11" t="s">
        <v>3506</v>
      </c>
      <c r="J959" s="12">
        <v>0.88490000000000002</v>
      </c>
      <c r="K959" s="13">
        <v>4</v>
      </c>
      <c r="L959" s="14">
        <v>438</v>
      </c>
      <c r="M959" s="10">
        <v>401</v>
      </c>
      <c r="N959" s="10">
        <v>48400</v>
      </c>
      <c r="O959" s="10">
        <v>31446</v>
      </c>
      <c r="P959" s="10">
        <v>79846</v>
      </c>
    </row>
    <row r="960" spans="1:16" ht="27" customHeight="1" x14ac:dyDescent="0.2">
      <c r="A960" s="9" t="s">
        <v>3469</v>
      </c>
      <c r="B960" s="10" t="s">
        <v>3504</v>
      </c>
      <c r="C960" s="11" t="s">
        <v>3507</v>
      </c>
      <c r="D960" s="11" t="s">
        <v>3508</v>
      </c>
      <c r="E960" s="11" t="s">
        <v>26</v>
      </c>
      <c r="F960" s="11" t="s">
        <v>3472</v>
      </c>
      <c r="G960" s="11" t="s">
        <v>28</v>
      </c>
      <c r="H960" s="11" t="s">
        <v>3472</v>
      </c>
      <c r="I960" s="11" t="s">
        <v>3473</v>
      </c>
      <c r="J960" s="12">
        <v>0.98109999999999997</v>
      </c>
      <c r="K960" s="13">
        <v>1</v>
      </c>
      <c r="L960" s="14">
        <v>53</v>
      </c>
      <c r="M960" s="10">
        <v>52</v>
      </c>
      <c r="N960" s="10">
        <v>5857</v>
      </c>
      <c r="O960" s="10">
        <v>4078</v>
      </c>
      <c r="P960" s="10">
        <v>9935</v>
      </c>
    </row>
    <row r="961" spans="1:16" ht="27" customHeight="1" x14ac:dyDescent="0.2">
      <c r="A961" s="9" t="s">
        <v>3469</v>
      </c>
      <c r="B961" s="10" t="s">
        <v>3509</v>
      </c>
      <c r="C961" s="11" t="s">
        <v>18</v>
      </c>
      <c r="D961" s="11" t="s">
        <v>19</v>
      </c>
      <c r="E961" s="11" t="s">
        <v>19</v>
      </c>
      <c r="F961" s="11" t="s">
        <v>3510</v>
      </c>
      <c r="G961" s="11" t="s">
        <v>83</v>
      </c>
      <c r="H961" s="11" t="s">
        <v>3511</v>
      </c>
      <c r="I961" s="11" t="s">
        <v>3512</v>
      </c>
      <c r="J961" s="12">
        <v>0.96050000000000002</v>
      </c>
      <c r="K961" s="13">
        <v>12</v>
      </c>
      <c r="L961" s="14">
        <v>5882</v>
      </c>
      <c r="M961" s="10">
        <v>4629</v>
      </c>
      <c r="N961" s="10">
        <v>649972</v>
      </c>
      <c r="O961" s="10">
        <v>363001</v>
      </c>
      <c r="P961" s="10">
        <v>1012973</v>
      </c>
    </row>
    <row r="962" spans="1:16" ht="27" customHeight="1" x14ac:dyDescent="0.2">
      <c r="A962" s="9" t="s">
        <v>3469</v>
      </c>
      <c r="B962" s="10" t="s">
        <v>3509</v>
      </c>
      <c r="C962" s="11" t="s">
        <v>3513</v>
      </c>
      <c r="D962" s="11" t="s">
        <v>3514</v>
      </c>
      <c r="E962" s="11" t="s">
        <v>26</v>
      </c>
      <c r="F962" s="11" t="s">
        <v>3515</v>
      </c>
      <c r="G962" s="11" t="s">
        <v>28</v>
      </c>
      <c r="H962" s="11" t="s">
        <v>3515</v>
      </c>
      <c r="I962" s="11" t="s">
        <v>3516</v>
      </c>
      <c r="J962" s="12">
        <v>0.41949999999999998</v>
      </c>
      <c r="K962" s="13">
        <v>1</v>
      </c>
      <c r="L962" s="14">
        <v>236</v>
      </c>
      <c r="M962" s="10">
        <v>99</v>
      </c>
      <c r="N962" s="10">
        <v>26078</v>
      </c>
      <c r="O962" s="10">
        <v>7763</v>
      </c>
      <c r="P962" s="10">
        <v>33841</v>
      </c>
    </row>
    <row r="963" spans="1:16" ht="27" customHeight="1" x14ac:dyDescent="0.2">
      <c r="A963" s="9" t="s">
        <v>3469</v>
      </c>
      <c r="B963" s="10" t="s">
        <v>3509</v>
      </c>
      <c r="C963" s="11" t="s">
        <v>3517</v>
      </c>
      <c r="D963" s="11" t="s">
        <v>3518</v>
      </c>
      <c r="E963" s="11" t="s">
        <v>26</v>
      </c>
      <c r="F963" s="11" t="s">
        <v>3519</v>
      </c>
      <c r="G963" s="11" t="s">
        <v>28</v>
      </c>
      <c r="H963" s="11" t="s">
        <v>3519</v>
      </c>
      <c r="I963" s="11" t="s">
        <v>3520</v>
      </c>
      <c r="J963" s="12">
        <v>0.72870000000000001</v>
      </c>
      <c r="K963" s="13">
        <v>1</v>
      </c>
      <c r="L963" s="14">
        <v>129</v>
      </c>
      <c r="M963" s="10">
        <v>94</v>
      </c>
      <c r="N963" s="10">
        <v>14255</v>
      </c>
      <c r="O963" s="10">
        <v>7371</v>
      </c>
      <c r="P963" s="10">
        <v>21626</v>
      </c>
    </row>
    <row r="964" spans="1:16" ht="27" customHeight="1" x14ac:dyDescent="0.2">
      <c r="A964" s="9" t="s">
        <v>3469</v>
      </c>
      <c r="B964" s="10" t="s">
        <v>3509</v>
      </c>
      <c r="C964" s="11" t="s">
        <v>3521</v>
      </c>
      <c r="D964" s="11" t="s">
        <v>3522</v>
      </c>
      <c r="E964" s="11" t="s">
        <v>26</v>
      </c>
      <c r="F964" s="11" t="s">
        <v>3523</v>
      </c>
      <c r="G964" s="11" t="s">
        <v>28</v>
      </c>
      <c r="H964" s="11" t="s">
        <v>3472</v>
      </c>
      <c r="I964" s="11" t="s">
        <v>3473</v>
      </c>
      <c r="J964" s="12">
        <v>0.98109999999999997</v>
      </c>
      <c r="K964" s="13">
        <v>1</v>
      </c>
      <c r="L964" s="14">
        <v>125</v>
      </c>
      <c r="M964" s="10">
        <v>83</v>
      </c>
      <c r="N964" s="10">
        <v>13813</v>
      </c>
      <c r="O964" s="10">
        <v>6509</v>
      </c>
      <c r="P964" s="10">
        <v>20322</v>
      </c>
    </row>
    <row r="965" spans="1:16" ht="27" customHeight="1" x14ac:dyDescent="0.2">
      <c r="A965" s="9" t="s">
        <v>3469</v>
      </c>
      <c r="B965" s="10" t="s">
        <v>3509</v>
      </c>
      <c r="C965" s="11" t="s">
        <v>3524</v>
      </c>
      <c r="D965" s="11" t="s">
        <v>3525</v>
      </c>
      <c r="E965" s="11" t="s">
        <v>26</v>
      </c>
      <c r="F965" s="11" t="s">
        <v>3526</v>
      </c>
      <c r="G965" s="11" t="s">
        <v>28</v>
      </c>
      <c r="H965" s="11" t="s">
        <v>3526</v>
      </c>
      <c r="I965" s="11" t="s">
        <v>3527</v>
      </c>
      <c r="J965" s="12">
        <v>0.86229999999999996</v>
      </c>
      <c r="K965" s="13">
        <v>1</v>
      </c>
      <c r="L965" s="14">
        <v>138</v>
      </c>
      <c r="M965" s="10">
        <v>119</v>
      </c>
      <c r="N965" s="10">
        <v>15249</v>
      </c>
      <c r="O965" s="10">
        <v>9332</v>
      </c>
      <c r="P965" s="10">
        <v>24581</v>
      </c>
    </row>
    <row r="966" spans="1:16" ht="27" customHeight="1" x14ac:dyDescent="0.2">
      <c r="A966" s="9" t="s">
        <v>3469</v>
      </c>
      <c r="B966" s="10" t="s">
        <v>3509</v>
      </c>
      <c r="C966" s="11" t="s">
        <v>3528</v>
      </c>
      <c r="D966" s="11" t="s">
        <v>3529</v>
      </c>
      <c r="E966" s="11" t="s">
        <v>26</v>
      </c>
      <c r="F966" s="11" t="s">
        <v>3530</v>
      </c>
      <c r="G966" s="11" t="s">
        <v>28</v>
      </c>
      <c r="H966" s="11" t="s">
        <v>3530</v>
      </c>
      <c r="I966" s="11" t="s">
        <v>3531</v>
      </c>
      <c r="J966" s="12">
        <v>0.59299999999999997</v>
      </c>
      <c r="K966" s="13">
        <v>1</v>
      </c>
      <c r="L966" s="14">
        <v>86</v>
      </c>
      <c r="M966" s="10">
        <v>51</v>
      </c>
      <c r="N966" s="10">
        <v>9503</v>
      </c>
      <c r="O966" s="10">
        <v>3999</v>
      </c>
      <c r="P966" s="10">
        <v>13502</v>
      </c>
    </row>
    <row r="967" spans="1:16" ht="27" customHeight="1" x14ac:dyDescent="0.2">
      <c r="A967" s="9" t="s">
        <v>3469</v>
      </c>
      <c r="B967" s="10" t="s">
        <v>3532</v>
      </c>
      <c r="C967" s="11" t="s">
        <v>18</v>
      </c>
      <c r="D967" s="11" t="s">
        <v>19</v>
      </c>
      <c r="E967" s="11" t="s">
        <v>19</v>
      </c>
      <c r="F967" s="11" t="s">
        <v>3533</v>
      </c>
      <c r="G967" s="11" t="s">
        <v>83</v>
      </c>
      <c r="H967" s="11" t="s">
        <v>3534</v>
      </c>
      <c r="I967" s="11" t="s">
        <v>3535</v>
      </c>
      <c r="J967" s="12">
        <v>0.69120000000000004</v>
      </c>
      <c r="K967" s="13">
        <v>7</v>
      </c>
      <c r="L967" s="14">
        <v>1535</v>
      </c>
      <c r="M967" s="10">
        <v>928</v>
      </c>
      <c r="N967" s="10">
        <v>169620</v>
      </c>
      <c r="O967" s="10">
        <v>72773</v>
      </c>
      <c r="P967" s="10">
        <v>242393</v>
      </c>
    </row>
    <row r="968" spans="1:16" ht="27" customHeight="1" x14ac:dyDescent="0.2">
      <c r="A968" s="9" t="s">
        <v>3469</v>
      </c>
      <c r="B968" s="10" t="s">
        <v>3532</v>
      </c>
      <c r="C968" s="11" t="s">
        <v>3536</v>
      </c>
      <c r="D968" s="11" t="s">
        <v>3537</v>
      </c>
      <c r="E968" s="11" t="s">
        <v>26</v>
      </c>
      <c r="F968" s="11" t="s">
        <v>3538</v>
      </c>
      <c r="G968" s="11" t="s">
        <v>28</v>
      </c>
      <c r="H968" s="11" t="s">
        <v>3538</v>
      </c>
      <c r="I968" s="11" t="s">
        <v>3539</v>
      </c>
      <c r="J968" s="12">
        <v>0.7722</v>
      </c>
      <c r="K968" s="13">
        <v>1</v>
      </c>
      <c r="L968" s="14">
        <v>79</v>
      </c>
      <c r="M968" s="10">
        <v>61</v>
      </c>
      <c r="N968" s="10">
        <v>8730</v>
      </c>
      <c r="O968" s="10">
        <v>4784</v>
      </c>
      <c r="P968" s="10">
        <v>13514</v>
      </c>
    </row>
    <row r="969" spans="1:16" ht="27" customHeight="1" x14ac:dyDescent="0.2">
      <c r="A969" s="9" t="s">
        <v>3469</v>
      </c>
      <c r="B969" s="10" t="s">
        <v>3532</v>
      </c>
      <c r="C969" s="11" t="s">
        <v>3540</v>
      </c>
      <c r="D969" s="11" t="s">
        <v>3541</v>
      </c>
      <c r="E969" s="11" t="s">
        <v>26</v>
      </c>
      <c r="F969" s="11" t="s">
        <v>3542</v>
      </c>
      <c r="G969" s="11" t="s">
        <v>28</v>
      </c>
      <c r="H969" s="11" t="s">
        <v>3542</v>
      </c>
      <c r="I969" s="11" t="s">
        <v>3543</v>
      </c>
      <c r="J969" s="12">
        <v>0.63449999999999995</v>
      </c>
      <c r="K969" s="13">
        <v>1</v>
      </c>
      <c r="L969" s="14">
        <v>145</v>
      </c>
      <c r="M969" s="10">
        <v>92</v>
      </c>
      <c r="N969" s="10">
        <v>16023</v>
      </c>
      <c r="O969" s="10">
        <v>7215</v>
      </c>
      <c r="P969" s="10">
        <v>23238</v>
      </c>
    </row>
    <row r="970" spans="1:16" ht="27" customHeight="1" x14ac:dyDescent="0.2">
      <c r="A970" s="9" t="s">
        <v>3469</v>
      </c>
      <c r="B970" s="10" t="s">
        <v>3532</v>
      </c>
      <c r="C970" s="11" t="s">
        <v>3544</v>
      </c>
      <c r="D970" s="11" t="s">
        <v>3545</v>
      </c>
      <c r="E970" s="11" t="s">
        <v>26</v>
      </c>
      <c r="F970" s="11" t="s">
        <v>3546</v>
      </c>
      <c r="G970" s="11" t="s">
        <v>28</v>
      </c>
      <c r="H970" s="11" t="s">
        <v>3546</v>
      </c>
      <c r="I970" s="11" t="s">
        <v>3547</v>
      </c>
      <c r="J970" s="12">
        <v>0.54869999999999997</v>
      </c>
      <c r="K970" s="13">
        <v>1</v>
      </c>
      <c r="L970" s="14">
        <v>113</v>
      </c>
      <c r="M970" s="10">
        <v>62</v>
      </c>
      <c r="N970" s="10">
        <v>12487</v>
      </c>
      <c r="O970" s="10">
        <v>4862</v>
      </c>
      <c r="P970" s="10">
        <v>17349</v>
      </c>
    </row>
    <row r="971" spans="1:16" ht="27" customHeight="1" x14ac:dyDescent="0.2">
      <c r="A971" s="9" t="s">
        <v>3469</v>
      </c>
      <c r="B971" s="10" t="s">
        <v>3548</v>
      </c>
      <c r="C971" s="11" t="s">
        <v>18</v>
      </c>
      <c r="D971" s="11" t="s">
        <v>19</v>
      </c>
      <c r="E971" s="11" t="s">
        <v>19</v>
      </c>
      <c r="F971" s="11" t="s">
        <v>3549</v>
      </c>
      <c r="G971" s="11" t="s">
        <v>83</v>
      </c>
      <c r="H971" s="11" t="s">
        <v>3550</v>
      </c>
      <c r="I971" s="11" t="s">
        <v>3551</v>
      </c>
      <c r="J971" s="12">
        <v>0.6</v>
      </c>
      <c r="K971" s="13">
        <v>5</v>
      </c>
      <c r="L971" s="14">
        <v>276</v>
      </c>
      <c r="M971" s="10">
        <v>162</v>
      </c>
      <c r="N971" s="10">
        <v>30499</v>
      </c>
      <c r="O971" s="10">
        <v>12704</v>
      </c>
      <c r="P971" s="10">
        <v>43203</v>
      </c>
    </row>
    <row r="972" spans="1:16" ht="27" customHeight="1" x14ac:dyDescent="0.2">
      <c r="A972" s="9" t="s">
        <v>3469</v>
      </c>
      <c r="B972" s="10" t="s">
        <v>3552</v>
      </c>
      <c r="C972" s="11" t="s">
        <v>18</v>
      </c>
      <c r="D972" s="11" t="s">
        <v>19</v>
      </c>
      <c r="E972" s="11" t="s">
        <v>19</v>
      </c>
      <c r="F972" s="11" t="s">
        <v>3553</v>
      </c>
      <c r="G972" s="11" t="s">
        <v>83</v>
      </c>
      <c r="H972" s="11" t="s">
        <v>3554</v>
      </c>
      <c r="I972" s="11" t="s">
        <v>3555</v>
      </c>
      <c r="J972" s="12">
        <v>0.68140000000000001</v>
      </c>
      <c r="K972" s="13">
        <v>4</v>
      </c>
      <c r="L972" s="14">
        <v>337</v>
      </c>
      <c r="M972" s="10">
        <v>231</v>
      </c>
      <c r="N972" s="10">
        <v>37239</v>
      </c>
      <c r="O972" s="10">
        <v>18115</v>
      </c>
      <c r="P972" s="10">
        <v>55354</v>
      </c>
    </row>
    <row r="973" spans="1:16" ht="27" customHeight="1" x14ac:dyDescent="0.2">
      <c r="A973" s="9" t="s">
        <v>3469</v>
      </c>
      <c r="B973" s="10" t="s">
        <v>3556</v>
      </c>
      <c r="C973" s="11" t="s">
        <v>18</v>
      </c>
      <c r="D973" s="11" t="s">
        <v>19</v>
      </c>
      <c r="E973" s="11" t="s">
        <v>19</v>
      </c>
      <c r="F973" s="11" t="s">
        <v>3557</v>
      </c>
      <c r="G973" s="11" t="s">
        <v>83</v>
      </c>
      <c r="H973" s="11" t="s">
        <v>3558</v>
      </c>
      <c r="I973" s="11" t="s">
        <v>3559</v>
      </c>
      <c r="J973" s="12">
        <v>0.51719999999999999</v>
      </c>
      <c r="K973" s="13">
        <v>6</v>
      </c>
      <c r="L973" s="14">
        <v>127</v>
      </c>
      <c r="M973" s="10">
        <v>56</v>
      </c>
      <c r="N973" s="10">
        <v>14035</v>
      </c>
      <c r="O973" s="10">
        <v>4391</v>
      </c>
      <c r="P973" s="10">
        <v>18426</v>
      </c>
    </row>
    <row r="974" spans="1:16" ht="27" customHeight="1" x14ac:dyDescent="0.2">
      <c r="A974" s="9" t="s">
        <v>3560</v>
      </c>
      <c r="B974" s="10" t="s">
        <v>3561</v>
      </c>
      <c r="C974" s="11" t="s">
        <v>18</v>
      </c>
      <c r="D974" s="11" t="s">
        <v>19</v>
      </c>
      <c r="E974" s="11" t="s">
        <v>19</v>
      </c>
      <c r="F974" s="11" t="s">
        <v>3562</v>
      </c>
      <c r="G974" s="11" t="s">
        <v>21</v>
      </c>
      <c r="H974" s="11" t="s">
        <v>3563</v>
      </c>
      <c r="I974" s="11" t="s">
        <v>3564</v>
      </c>
      <c r="J974" s="12">
        <v>0.98460000000000003</v>
      </c>
      <c r="K974" s="13">
        <v>7</v>
      </c>
      <c r="L974" s="14">
        <v>1509</v>
      </c>
      <c r="M974" s="10">
        <v>1110</v>
      </c>
      <c r="N974" s="10">
        <v>166747</v>
      </c>
      <c r="O974" s="10">
        <v>87044</v>
      </c>
      <c r="P974" s="10">
        <v>253791</v>
      </c>
    </row>
    <row r="975" spans="1:16" ht="27" customHeight="1" x14ac:dyDescent="0.2">
      <c r="A975" s="9" t="s">
        <v>3560</v>
      </c>
      <c r="B975" s="10" t="s">
        <v>3561</v>
      </c>
      <c r="C975" s="11" t="s">
        <v>3565</v>
      </c>
      <c r="D975" s="11" t="s">
        <v>3566</v>
      </c>
      <c r="E975" s="11" t="s">
        <v>57</v>
      </c>
      <c r="F975" s="11" t="s">
        <v>3567</v>
      </c>
      <c r="G975" s="11" t="s">
        <v>28</v>
      </c>
      <c r="H975" s="11" t="s">
        <v>3567</v>
      </c>
      <c r="I975" s="11" t="s">
        <v>3568</v>
      </c>
      <c r="J975" s="12">
        <v>0.79720000000000002</v>
      </c>
      <c r="K975" s="13">
        <v>1</v>
      </c>
      <c r="L975" s="14">
        <v>281</v>
      </c>
      <c r="M975" s="10">
        <v>224</v>
      </c>
      <c r="N975" s="10">
        <v>31051</v>
      </c>
      <c r="O975" s="10">
        <v>17566</v>
      </c>
      <c r="P975" s="10">
        <v>48617</v>
      </c>
    </row>
    <row r="976" spans="1:16" ht="27" customHeight="1" x14ac:dyDescent="0.2">
      <c r="A976" s="9" t="s">
        <v>3560</v>
      </c>
      <c r="B976" s="10" t="s">
        <v>3561</v>
      </c>
      <c r="C976" s="11" t="s">
        <v>3569</v>
      </c>
      <c r="D976" s="11" t="s">
        <v>3570</v>
      </c>
      <c r="E976" s="11" t="s">
        <v>57</v>
      </c>
      <c r="F976" s="11" t="s">
        <v>3571</v>
      </c>
      <c r="G976" s="11" t="s">
        <v>28</v>
      </c>
      <c r="H976" s="11" t="s">
        <v>3563</v>
      </c>
      <c r="I976" s="11" t="s">
        <v>3564</v>
      </c>
      <c r="J976" s="12">
        <v>0.98460000000000003</v>
      </c>
      <c r="K976" s="13">
        <v>1</v>
      </c>
      <c r="L976" s="14">
        <v>102</v>
      </c>
      <c r="M976" s="10">
        <v>90</v>
      </c>
      <c r="N976" s="10">
        <v>11271</v>
      </c>
      <c r="O976" s="10">
        <v>7058</v>
      </c>
      <c r="P976" s="10">
        <v>18329</v>
      </c>
    </row>
    <row r="977" spans="1:16" ht="27" customHeight="1" x14ac:dyDescent="0.2">
      <c r="A977" s="9" t="s">
        <v>3560</v>
      </c>
      <c r="B977" s="10" t="s">
        <v>3572</v>
      </c>
      <c r="C977" s="11" t="s">
        <v>18</v>
      </c>
      <c r="D977" s="11" t="s">
        <v>19</v>
      </c>
      <c r="E977" s="11" t="s">
        <v>19</v>
      </c>
      <c r="F977" s="11" t="s">
        <v>3573</v>
      </c>
      <c r="G977" s="11" t="s">
        <v>83</v>
      </c>
      <c r="H977" s="11" t="s">
        <v>3574</v>
      </c>
      <c r="I977" s="11" t="s">
        <v>3575</v>
      </c>
      <c r="J977" s="12">
        <v>0.90049999999999997</v>
      </c>
      <c r="K977" s="13">
        <v>12</v>
      </c>
      <c r="L977" s="14">
        <v>5048</v>
      </c>
      <c r="M977" s="10">
        <v>3991</v>
      </c>
      <c r="N977" s="10">
        <v>557813</v>
      </c>
      <c r="O977" s="10">
        <v>312967</v>
      </c>
      <c r="P977" s="10">
        <v>870780</v>
      </c>
    </row>
    <row r="978" spans="1:16" ht="27" customHeight="1" x14ac:dyDescent="0.2">
      <c r="A978" s="9" t="s">
        <v>3560</v>
      </c>
      <c r="B978" s="10" t="s">
        <v>3576</v>
      </c>
      <c r="C978" s="11" t="s">
        <v>18</v>
      </c>
      <c r="D978" s="11" t="s">
        <v>19</v>
      </c>
      <c r="E978" s="11" t="s">
        <v>19</v>
      </c>
      <c r="F978" s="11" t="s">
        <v>3577</v>
      </c>
      <c r="G978" s="11" t="s">
        <v>83</v>
      </c>
      <c r="H978" s="11" t="s">
        <v>3578</v>
      </c>
      <c r="I978" s="11" t="s">
        <v>3579</v>
      </c>
      <c r="J978" s="12">
        <v>0.3125</v>
      </c>
      <c r="K978" s="13">
        <v>2</v>
      </c>
      <c r="L978" s="14">
        <v>48</v>
      </c>
      <c r="M978" s="10">
        <v>15</v>
      </c>
      <c r="N978" s="10">
        <v>5304</v>
      </c>
      <c r="O978" s="10">
        <v>1176</v>
      </c>
      <c r="P978" s="10">
        <v>6480</v>
      </c>
    </row>
    <row r="979" spans="1:16" ht="27" customHeight="1" x14ac:dyDescent="0.2">
      <c r="A979" s="9" t="s">
        <v>3560</v>
      </c>
      <c r="B979" s="10" t="s">
        <v>3576</v>
      </c>
      <c r="C979" s="11" t="s">
        <v>3580</v>
      </c>
      <c r="D979" s="11" t="s">
        <v>3581</v>
      </c>
      <c r="E979" s="11" t="s">
        <v>57</v>
      </c>
      <c r="F979" s="11" t="s">
        <v>3582</v>
      </c>
      <c r="G979" s="11" t="s">
        <v>28</v>
      </c>
      <c r="H979" s="11" t="s">
        <v>3582</v>
      </c>
      <c r="I979" s="11" t="s">
        <v>3583</v>
      </c>
      <c r="J979" s="12">
        <v>0.44240000000000002</v>
      </c>
      <c r="K979" s="13">
        <v>1</v>
      </c>
      <c r="L979" s="14">
        <v>321</v>
      </c>
      <c r="M979" s="10">
        <v>142</v>
      </c>
      <c r="N979" s="10">
        <v>35471</v>
      </c>
      <c r="O979" s="10">
        <v>11135</v>
      </c>
      <c r="P979" s="10">
        <v>46606</v>
      </c>
    </row>
    <row r="980" spans="1:16" ht="27" customHeight="1" x14ac:dyDescent="0.2">
      <c r="A980" s="9" t="s">
        <v>3560</v>
      </c>
      <c r="B980" s="10" t="s">
        <v>3584</v>
      </c>
      <c r="C980" s="11" t="s">
        <v>18</v>
      </c>
      <c r="D980" s="11" t="s">
        <v>19</v>
      </c>
      <c r="E980" s="11" t="s">
        <v>19</v>
      </c>
      <c r="F980" s="11" t="s">
        <v>3585</v>
      </c>
      <c r="G980" s="11" t="s">
        <v>83</v>
      </c>
      <c r="H980" s="11" t="s">
        <v>3585</v>
      </c>
      <c r="I980" s="11" t="s">
        <v>3586</v>
      </c>
      <c r="J980" s="12">
        <v>0.93240000000000001</v>
      </c>
      <c r="K980" s="13">
        <v>3</v>
      </c>
      <c r="L980" s="14">
        <v>149</v>
      </c>
      <c r="M980" s="10">
        <v>139</v>
      </c>
      <c r="N980" s="10">
        <v>16465</v>
      </c>
      <c r="O980" s="10">
        <v>10900</v>
      </c>
      <c r="P980" s="10">
        <v>27365</v>
      </c>
    </row>
    <row r="981" spans="1:16" ht="27" customHeight="1" x14ac:dyDescent="0.2">
      <c r="A981" s="9" t="s">
        <v>3560</v>
      </c>
      <c r="B981" s="10" t="s">
        <v>3587</v>
      </c>
      <c r="C981" s="11" t="s">
        <v>18</v>
      </c>
      <c r="D981" s="11" t="s">
        <v>19</v>
      </c>
      <c r="E981" s="11" t="s">
        <v>19</v>
      </c>
      <c r="F981" s="11" t="s">
        <v>3588</v>
      </c>
      <c r="G981" s="11" t="s">
        <v>83</v>
      </c>
      <c r="H981" s="11" t="s">
        <v>3589</v>
      </c>
      <c r="I981" s="11" t="s">
        <v>3590</v>
      </c>
      <c r="J981" s="12">
        <v>0.74170000000000003</v>
      </c>
      <c r="K981" s="13">
        <v>7</v>
      </c>
      <c r="L981" s="14">
        <v>2321</v>
      </c>
      <c r="M981" s="10">
        <v>1113</v>
      </c>
      <c r="N981" s="10">
        <v>256475</v>
      </c>
      <c r="O981" s="10">
        <v>87280</v>
      </c>
      <c r="P981" s="10">
        <v>343755</v>
      </c>
    </row>
    <row r="982" spans="1:16" ht="27" customHeight="1" x14ac:dyDescent="0.2">
      <c r="A982" s="9" t="s">
        <v>3560</v>
      </c>
      <c r="B982" s="10" t="s">
        <v>3591</v>
      </c>
      <c r="C982" s="11" t="s">
        <v>18</v>
      </c>
      <c r="D982" s="11" t="s">
        <v>19</v>
      </c>
      <c r="E982" s="11" t="s">
        <v>19</v>
      </c>
      <c r="F982" s="11" t="s">
        <v>3592</v>
      </c>
      <c r="G982" s="11" t="s">
        <v>83</v>
      </c>
      <c r="H982" s="11" t="s">
        <v>3593</v>
      </c>
      <c r="I982" s="11" t="s">
        <v>3594</v>
      </c>
      <c r="J982" s="12">
        <v>0.80710000000000004</v>
      </c>
      <c r="K982" s="13">
        <v>2</v>
      </c>
      <c r="L982" s="14">
        <v>337</v>
      </c>
      <c r="M982" s="10">
        <v>272</v>
      </c>
      <c r="N982" s="10">
        <v>37239</v>
      </c>
      <c r="O982" s="10">
        <v>21330</v>
      </c>
      <c r="P982" s="10">
        <v>58569</v>
      </c>
    </row>
    <row r="983" spans="1:16" ht="27" customHeight="1" x14ac:dyDescent="0.2">
      <c r="A983" s="9" t="s">
        <v>3560</v>
      </c>
      <c r="B983" s="10" t="s">
        <v>3595</v>
      </c>
      <c r="C983" s="11" t="s">
        <v>18</v>
      </c>
      <c r="D983" s="11" t="s">
        <v>19</v>
      </c>
      <c r="E983" s="11" t="s">
        <v>19</v>
      </c>
      <c r="F983" s="11" t="s">
        <v>3596</v>
      </c>
      <c r="G983" s="11" t="s">
        <v>83</v>
      </c>
      <c r="H983" s="11" t="s">
        <v>3563</v>
      </c>
      <c r="I983" s="11" t="s">
        <v>3564</v>
      </c>
      <c r="J983" s="12">
        <v>0.98460000000000003</v>
      </c>
      <c r="K983" s="13">
        <v>3</v>
      </c>
      <c r="L983" s="14">
        <v>502</v>
      </c>
      <c r="M983" s="10">
        <v>417</v>
      </c>
      <c r="N983" s="10">
        <v>55472</v>
      </c>
      <c r="O983" s="10">
        <v>32701</v>
      </c>
      <c r="P983" s="10">
        <v>88173</v>
      </c>
    </row>
    <row r="984" spans="1:16" ht="27" customHeight="1" x14ac:dyDescent="0.2">
      <c r="A984" s="9" t="s">
        <v>3560</v>
      </c>
      <c r="B984" s="10" t="s">
        <v>3597</v>
      </c>
      <c r="C984" s="11" t="s">
        <v>18</v>
      </c>
      <c r="D984" s="11" t="s">
        <v>19</v>
      </c>
      <c r="E984" s="11" t="s">
        <v>19</v>
      </c>
      <c r="F984" s="11" t="s">
        <v>3598</v>
      </c>
      <c r="G984" s="11" t="s">
        <v>83</v>
      </c>
      <c r="H984" s="11" t="s">
        <v>3599</v>
      </c>
      <c r="I984" s="11" t="s">
        <v>3600</v>
      </c>
      <c r="J984" s="12">
        <v>0.8458</v>
      </c>
      <c r="K984" s="13">
        <v>6</v>
      </c>
      <c r="L984" s="14">
        <v>2595</v>
      </c>
      <c r="M984" s="10">
        <v>2017</v>
      </c>
      <c r="N984" s="10">
        <v>286751</v>
      </c>
      <c r="O984" s="10">
        <v>158170</v>
      </c>
      <c r="P984" s="10">
        <v>444921</v>
      </c>
    </row>
    <row r="985" spans="1:16" ht="27" customHeight="1" x14ac:dyDescent="0.2">
      <c r="A985" s="9" t="s">
        <v>3560</v>
      </c>
      <c r="B985" s="10" t="s">
        <v>3601</v>
      </c>
      <c r="C985" s="11" t="s">
        <v>18</v>
      </c>
      <c r="D985" s="11" t="s">
        <v>19</v>
      </c>
      <c r="E985" s="11" t="s">
        <v>19</v>
      </c>
      <c r="F985" s="11" t="s">
        <v>3602</v>
      </c>
      <c r="G985" s="11" t="s">
        <v>83</v>
      </c>
      <c r="H985" s="11" t="s">
        <v>3603</v>
      </c>
      <c r="I985" s="11" t="s">
        <v>3604</v>
      </c>
      <c r="J985" s="12">
        <v>0.88670000000000004</v>
      </c>
      <c r="K985" s="13">
        <v>18</v>
      </c>
      <c r="L985" s="14">
        <v>11205</v>
      </c>
      <c r="M985" s="10">
        <v>8715</v>
      </c>
      <c r="N985" s="10">
        <v>1238170</v>
      </c>
      <c r="O985" s="10">
        <v>683422</v>
      </c>
      <c r="P985" s="10">
        <v>1921592</v>
      </c>
    </row>
    <row r="986" spans="1:16" ht="27" customHeight="1" x14ac:dyDescent="0.2">
      <c r="A986" s="9" t="s">
        <v>3560</v>
      </c>
      <c r="B986" s="10" t="s">
        <v>3605</v>
      </c>
      <c r="C986" s="11" t="s">
        <v>18</v>
      </c>
      <c r="D986" s="11" t="s">
        <v>19</v>
      </c>
      <c r="E986" s="11" t="s">
        <v>19</v>
      </c>
      <c r="F986" s="11" t="s">
        <v>3606</v>
      </c>
      <c r="G986" s="11" t="s">
        <v>83</v>
      </c>
      <c r="H986" s="11" t="s">
        <v>3607</v>
      </c>
      <c r="I986" s="11" t="s">
        <v>3608</v>
      </c>
      <c r="J986" s="12">
        <v>0.3896</v>
      </c>
      <c r="K986" s="13">
        <v>2</v>
      </c>
      <c r="L986" s="14">
        <v>883</v>
      </c>
      <c r="M986" s="10">
        <v>344</v>
      </c>
      <c r="N986" s="10">
        <v>97573</v>
      </c>
      <c r="O986" s="10">
        <v>26976</v>
      </c>
      <c r="P986" s="10">
        <v>124549</v>
      </c>
    </row>
    <row r="987" spans="1:16" ht="27" customHeight="1" x14ac:dyDescent="0.2">
      <c r="A987" s="9" t="s">
        <v>3560</v>
      </c>
      <c r="B987" s="10" t="s">
        <v>3609</v>
      </c>
      <c r="C987" s="11" t="s">
        <v>18</v>
      </c>
      <c r="D987" s="11" t="s">
        <v>19</v>
      </c>
      <c r="E987" s="11" t="s">
        <v>19</v>
      </c>
      <c r="F987" s="11" t="s">
        <v>3610</v>
      </c>
      <c r="G987" s="11" t="s">
        <v>83</v>
      </c>
      <c r="H987" s="11" t="s">
        <v>3611</v>
      </c>
      <c r="I987" s="11" t="s">
        <v>3612</v>
      </c>
      <c r="J987" s="12">
        <v>0.97870000000000001</v>
      </c>
      <c r="K987" s="13">
        <v>20</v>
      </c>
      <c r="L987" s="14">
        <v>11532</v>
      </c>
      <c r="M987" s="10">
        <v>9321</v>
      </c>
      <c r="N987" s="10">
        <v>1274302</v>
      </c>
      <c r="O987" s="10">
        <v>730943</v>
      </c>
      <c r="P987" s="10">
        <v>2005245</v>
      </c>
    </row>
    <row r="988" spans="1:16" ht="27" customHeight="1" x14ac:dyDescent="0.2">
      <c r="A988" s="9" t="s">
        <v>3560</v>
      </c>
      <c r="B988" s="10" t="s">
        <v>3613</v>
      </c>
      <c r="C988" s="11" t="s">
        <v>18</v>
      </c>
      <c r="D988" s="11" t="s">
        <v>19</v>
      </c>
      <c r="E988" s="11" t="s">
        <v>19</v>
      </c>
      <c r="F988" s="11" t="s">
        <v>3614</v>
      </c>
      <c r="G988" s="11" t="s">
        <v>83</v>
      </c>
      <c r="H988" s="11" t="s">
        <v>3563</v>
      </c>
      <c r="I988" s="11" t="s">
        <v>3564</v>
      </c>
      <c r="J988" s="12">
        <v>0.98460000000000003</v>
      </c>
      <c r="K988" s="13">
        <v>10</v>
      </c>
      <c r="L988" s="14">
        <v>11226</v>
      </c>
      <c r="M988" s="10">
        <v>8609</v>
      </c>
      <c r="N988" s="10">
        <v>1240492</v>
      </c>
      <c r="O988" s="10">
        <v>675109</v>
      </c>
      <c r="P988" s="10">
        <v>1915601</v>
      </c>
    </row>
    <row r="989" spans="1:16" ht="27" customHeight="1" x14ac:dyDescent="0.2">
      <c r="A989" s="9" t="s">
        <v>3560</v>
      </c>
      <c r="B989" s="10" t="s">
        <v>3615</v>
      </c>
      <c r="C989" s="11" t="s">
        <v>18</v>
      </c>
      <c r="D989" s="11" t="s">
        <v>19</v>
      </c>
      <c r="E989" s="11" t="s">
        <v>19</v>
      </c>
      <c r="F989" s="11" t="s">
        <v>3616</v>
      </c>
      <c r="G989" s="11" t="s">
        <v>83</v>
      </c>
      <c r="H989" s="11" t="s">
        <v>3616</v>
      </c>
      <c r="I989" s="11" t="s">
        <v>3617</v>
      </c>
      <c r="J989" s="12">
        <v>0.48149999999999998</v>
      </c>
      <c r="K989" s="13">
        <v>2</v>
      </c>
      <c r="L989" s="14">
        <v>108</v>
      </c>
      <c r="M989" s="10">
        <v>52</v>
      </c>
      <c r="N989" s="10">
        <v>11934</v>
      </c>
      <c r="O989" s="10">
        <v>4078</v>
      </c>
      <c r="P989" s="10">
        <v>16012</v>
      </c>
    </row>
    <row r="990" spans="1:16" ht="27" customHeight="1" x14ac:dyDescent="0.2">
      <c r="A990" s="9" t="s">
        <v>3560</v>
      </c>
      <c r="B990" s="10" t="s">
        <v>3618</v>
      </c>
      <c r="C990" s="11" t="s">
        <v>18</v>
      </c>
      <c r="D990" s="11" t="s">
        <v>19</v>
      </c>
      <c r="E990" s="11" t="s">
        <v>19</v>
      </c>
      <c r="F990" s="11" t="s">
        <v>3563</v>
      </c>
      <c r="G990" s="11" t="s">
        <v>83</v>
      </c>
      <c r="H990" s="11" t="s">
        <v>3563</v>
      </c>
      <c r="I990" s="11" t="s">
        <v>3564</v>
      </c>
      <c r="J990" s="12">
        <v>0.98460000000000003</v>
      </c>
      <c r="K990" s="13">
        <v>3</v>
      </c>
      <c r="L990" s="14">
        <v>875</v>
      </c>
      <c r="M990" s="10">
        <v>865</v>
      </c>
      <c r="N990" s="10">
        <v>96688</v>
      </c>
      <c r="O990" s="10">
        <v>67832</v>
      </c>
      <c r="P990" s="10">
        <v>164520</v>
      </c>
    </row>
    <row r="991" spans="1:16" ht="27" customHeight="1" x14ac:dyDescent="0.2">
      <c r="A991" s="9" t="s">
        <v>3560</v>
      </c>
      <c r="B991" s="10" t="s">
        <v>3619</v>
      </c>
      <c r="C991" s="11" t="s">
        <v>18</v>
      </c>
      <c r="D991" s="11" t="s">
        <v>19</v>
      </c>
      <c r="E991" s="11" t="s">
        <v>19</v>
      </c>
      <c r="F991" s="11" t="s">
        <v>3620</v>
      </c>
      <c r="G991" s="11" t="s">
        <v>83</v>
      </c>
      <c r="H991" s="11" t="s">
        <v>3621</v>
      </c>
      <c r="I991" s="11" t="s">
        <v>3622</v>
      </c>
      <c r="J991" s="12">
        <v>0.88680000000000003</v>
      </c>
      <c r="K991" s="13">
        <v>2</v>
      </c>
      <c r="L991" s="14">
        <v>53</v>
      </c>
      <c r="M991" s="10">
        <v>47</v>
      </c>
      <c r="N991" s="10">
        <v>5857</v>
      </c>
      <c r="O991" s="10">
        <v>3686</v>
      </c>
      <c r="P991" s="10">
        <v>9543</v>
      </c>
    </row>
    <row r="992" spans="1:16" ht="27" customHeight="1" x14ac:dyDescent="0.2">
      <c r="A992" s="9" t="s">
        <v>3560</v>
      </c>
      <c r="B992" s="10" t="s">
        <v>3623</v>
      </c>
      <c r="C992" s="11" t="s">
        <v>18</v>
      </c>
      <c r="D992" s="11" t="s">
        <v>19</v>
      </c>
      <c r="E992" s="11" t="s">
        <v>19</v>
      </c>
      <c r="F992" s="11" t="s">
        <v>3624</v>
      </c>
      <c r="G992" s="11" t="s">
        <v>83</v>
      </c>
      <c r="H992" s="11" t="s">
        <v>3625</v>
      </c>
      <c r="I992" s="11" t="s">
        <v>3626</v>
      </c>
      <c r="J992" s="12">
        <v>0.69330000000000003</v>
      </c>
      <c r="K992" s="13">
        <v>5</v>
      </c>
      <c r="L992" s="14">
        <v>3238</v>
      </c>
      <c r="M992" s="10">
        <v>2169</v>
      </c>
      <c r="N992" s="10">
        <v>357804</v>
      </c>
      <c r="O992" s="10">
        <v>170091</v>
      </c>
      <c r="P992" s="10">
        <v>527895</v>
      </c>
    </row>
    <row r="993" spans="1:16" ht="27" customHeight="1" x14ac:dyDescent="0.2">
      <c r="A993" s="9" t="s">
        <v>3560</v>
      </c>
      <c r="B993" s="10" t="s">
        <v>3627</v>
      </c>
      <c r="C993" s="11" t="s">
        <v>18</v>
      </c>
      <c r="D993" s="11" t="s">
        <v>19</v>
      </c>
      <c r="E993" s="11" t="s">
        <v>19</v>
      </c>
      <c r="F993" s="11" t="s">
        <v>3628</v>
      </c>
      <c r="G993" s="11" t="s">
        <v>83</v>
      </c>
      <c r="H993" s="11" t="s">
        <v>3629</v>
      </c>
      <c r="I993" s="11" t="s">
        <v>3630</v>
      </c>
      <c r="J993" s="12">
        <v>0.9556</v>
      </c>
      <c r="K993" s="13">
        <v>5</v>
      </c>
      <c r="L993" s="14">
        <v>1990</v>
      </c>
      <c r="M993" s="10">
        <v>1842</v>
      </c>
      <c r="N993" s="10">
        <v>219899</v>
      </c>
      <c r="O993" s="10">
        <v>144447</v>
      </c>
      <c r="P993" s="10">
        <v>364346</v>
      </c>
    </row>
    <row r="994" spans="1:16" ht="27" customHeight="1" x14ac:dyDescent="0.2">
      <c r="A994" s="9" t="s">
        <v>3560</v>
      </c>
      <c r="B994" s="10" t="s">
        <v>3631</v>
      </c>
      <c r="C994" s="11" t="s">
        <v>18</v>
      </c>
      <c r="D994" s="11" t="s">
        <v>19</v>
      </c>
      <c r="E994" s="11" t="s">
        <v>19</v>
      </c>
      <c r="F994" s="11" t="s">
        <v>3632</v>
      </c>
      <c r="G994" s="11" t="s">
        <v>83</v>
      </c>
      <c r="H994" s="11" t="s">
        <v>3633</v>
      </c>
      <c r="I994" s="11" t="s">
        <v>3634</v>
      </c>
      <c r="J994" s="12">
        <v>0.82630000000000003</v>
      </c>
      <c r="K994" s="13">
        <v>7</v>
      </c>
      <c r="L994" s="14">
        <v>1746</v>
      </c>
      <c r="M994" s="10">
        <v>1367</v>
      </c>
      <c r="N994" s="10">
        <v>192936</v>
      </c>
      <c r="O994" s="10">
        <v>107199</v>
      </c>
      <c r="P994" s="10">
        <v>300135</v>
      </c>
    </row>
    <row r="995" spans="1:16" ht="27" customHeight="1" x14ac:dyDescent="0.2">
      <c r="A995" s="9" t="s">
        <v>3560</v>
      </c>
      <c r="B995" s="10" t="s">
        <v>3635</v>
      </c>
      <c r="C995" s="11" t="s">
        <v>18</v>
      </c>
      <c r="D995" s="11" t="s">
        <v>19</v>
      </c>
      <c r="E995" s="11" t="s">
        <v>19</v>
      </c>
      <c r="F995" s="11" t="s">
        <v>3636</v>
      </c>
      <c r="G995" s="11" t="s">
        <v>83</v>
      </c>
      <c r="H995" s="11" t="s">
        <v>948</v>
      </c>
      <c r="I995" s="11" t="s">
        <v>3637</v>
      </c>
      <c r="J995" s="12">
        <v>0.8327</v>
      </c>
      <c r="K995" s="13">
        <v>2</v>
      </c>
      <c r="L995" s="14">
        <v>275</v>
      </c>
      <c r="M995" s="10">
        <v>229</v>
      </c>
      <c r="N995" s="10">
        <v>30388</v>
      </c>
      <c r="O995" s="10">
        <v>17958</v>
      </c>
      <c r="P995" s="10">
        <v>48346</v>
      </c>
    </row>
    <row r="996" spans="1:16" ht="27" customHeight="1" x14ac:dyDescent="0.2">
      <c r="A996" s="9" t="s">
        <v>3560</v>
      </c>
      <c r="B996" s="10" t="s">
        <v>3638</v>
      </c>
      <c r="C996" s="11" t="s">
        <v>18</v>
      </c>
      <c r="D996" s="11" t="s">
        <v>19</v>
      </c>
      <c r="E996" s="11" t="s">
        <v>19</v>
      </c>
      <c r="F996" s="11" t="s">
        <v>3639</v>
      </c>
      <c r="G996" s="11" t="s">
        <v>83</v>
      </c>
      <c r="H996" s="11" t="s">
        <v>3640</v>
      </c>
      <c r="I996" s="11" t="s">
        <v>3641</v>
      </c>
      <c r="J996" s="12">
        <v>0.91269999999999996</v>
      </c>
      <c r="K996" s="13">
        <v>9</v>
      </c>
      <c r="L996" s="14">
        <v>2378</v>
      </c>
      <c r="M996" s="10">
        <v>2124</v>
      </c>
      <c r="N996" s="10">
        <v>262774</v>
      </c>
      <c r="O996" s="10">
        <v>166562</v>
      </c>
      <c r="P996" s="10">
        <v>429336</v>
      </c>
    </row>
    <row r="997" spans="1:16" ht="27" customHeight="1" x14ac:dyDescent="0.2">
      <c r="A997" s="9" t="s">
        <v>3560</v>
      </c>
      <c r="B997" s="10" t="s">
        <v>3642</v>
      </c>
      <c r="C997" s="11" t="s">
        <v>18</v>
      </c>
      <c r="D997" s="11" t="s">
        <v>19</v>
      </c>
      <c r="E997" s="11" t="s">
        <v>19</v>
      </c>
      <c r="F997" s="11" t="s">
        <v>3643</v>
      </c>
      <c r="G997" s="11" t="s">
        <v>83</v>
      </c>
      <c r="H997" s="11" t="s">
        <v>3644</v>
      </c>
      <c r="I997" s="11" t="s">
        <v>3645</v>
      </c>
      <c r="J997" s="12">
        <v>0.90610000000000002</v>
      </c>
      <c r="K997" s="13">
        <v>6</v>
      </c>
      <c r="L997" s="14">
        <v>2398</v>
      </c>
      <c r="M997" s="10">
        <v>1958</v>
      </c>
      <c r="N997" s="10">
        <v>264983</v>
      </c>
      <c r="O997" s="10">
        <v>153544</v>
      </c>
      <c r="P997" s="10">
        <v>418527</v>
      </c>
    </row>
    <row r="998" spans="1:16" ht="27" customHeight="1" x14ac:dyDescent="0.2">
      <c r="A998" s="9" t="s">
        <v>3646</v>
      </c>
      <c r="B998" s="10" t="s">
        <v>3647</v>
      </c>
      <c r="C998" s="11" t="s">
        <v>18</v>
      </c>
      <c r="D998" s="11" t="s">
        <v>19</v>
      </c>
      <c r="E998" s="11" t="s">
        <v>19</v>
      </c>
      <c r="F998" s="11" t="s">
        <v>3648</v>
      </c>
      <c r="G998" s="11" t="s">
        <v>21</v>
      </c>
      <c r="H998" s="11" t="s">
        <v>3649</v>
      </c>
      <c r="I998" s="11" t="s">
        <v>3650</v>
      </c>
      <c r="J998" s="12">
        <v>0.79749999999999999</v>
      </c>
      <c r="K998" s="13">
        <v>2</v>
      </c>
      <c r="L998" s="14">
        <v>83</v>
      </c>
      <c r="M998" s="10">
        <v>66</v>
      </c>
      <c r="N998" s="10">
        <v>9172</v>
      </c>
      <c r="O998" s="10">
        <v>5176</v>
      </c>
      <c r="P998" s="10">
        <v>14348</v>
      </c>
    </row>
    <row r="999" spans="1:16" ht="27" customHeight="1" x14ac:dyDescent="0.2">
      <c r="A999" s="9" t="s">
        <v>3646</v>
      </c>
      <c r="B999" s="10" t="s">
        <v>3651</v>
      </c>
      <c r="C999" s="11" t="s">
        <v>18</v>
      </c>
      <c r="D999" s="11" t="s">
        <v>19</v>
      </c>
      <c r="E999" s="11" t="s">
        <v>19</v>
      </c>
      <c r="F999" s="11" t="s">
        <v>3652</v>
      </c>
      <c r="G999" s="11" t="s">
        <v>83</v>
      </c>
      <c r="H999" s="11" t="s">
        <v>3653</v>
      </c>
      <c r="I999" s="11" t="s">
        <v>3654</v>
      </c>
      <c r="J999" s="12">
        <v>0.57689999999999997</v>
      </c>
      <c r="K999" s="13">
        <v>3</v>
      </c>
      <c r="L999" s="14">
        <v>96</v>
      </c>
      <c r="M999" s="10">
        <v>52</v>
      </c>
      <c r="N999" s="10">
        <v>10608</v>
      </c>
      <c r="O999" s="10">
        <v>4078</v>
      </c>
      <c r="P999" s="10">
        <v>14686</v>
      </c>
    </row>
    <row r="1000" spans="1:16" ht="27" customHeight="1" x14ac:dyDescent="0.2">
      <c r="A1000" s="9" t="s">
        <v>3646</v>
      </c>
      <c r="B1000" s="10" t="s">
        <v>3655</v>
      </c>
      <c r="C1000" s="11" t="s">
        <v>18</v>
      </c>
      <c r="D1000" s="11" t="s">
        <v>19</v>
      </c>
      <c r="E1000" s="11" t="s">
        <v>19</v>
      </c>
      <c r="F1000" s="11" t="s">
        <v>3656</v>
      </c>
      <c r="G1000" s="11" t="s">
        <v>83</v>
      </c>
      <c r="H1000" s="11" t="s">
        <v>3657</v>
      </c>
      <c r="I1000" s="11" t="s">
        <v>3658</v>
      </c>
      <c r="J1000" s="12">
        <v>0.66669999999999996</v>
      </c>
      <c r="K1000" s="13">
        <v>7</v>
      </c>
      <c r="L1000" s="14">
        <v>832</v>
      </c>
      <c r="M1000" s="10">
        <v>542</v>
      </c>
      <c r="N1000" s="10">
        <v>91938</v>
      </c>
      <c r="O1000" s="10">
        <v>42503</v>
      </c>
      <c r="P1000" s="10">
        <v>134441</v>
      </c>
    </row>
    <row r="1001" spans="1:16" ht="27" customHeight="1" x14ac:dyDescent="0.2">
      <c r="A1001" s="9" t="s">
        <v>3646</v>
      </c>
      <c r="B1001" s="10" t="s">
        <v>3659</v>
      </c>
      <c r="C1001" s="11" t="s">
        <v>18</v>
      </c>
      <c r="D1001" s="11" t="s">
        <v>19</v>
      </c>
      <c r="E1001" s="11" t="s">
        <v>19</v>
      </c>
      <c r="F1001" s="11" t="s">
        <v>3660</v>
      </c>
      <c r="G1001" s="11" t="s">
        <v>83</v>
      </c>
      <c r="H1001" s="11" t="s">
        <v>3649</v>
      </c>
      <c r="I1001" s="11" t="s">
        <v>3650</v>
      </c>
      <c r="J1001" s="12">
        <v>0.79749999999999999</v>
      </c>
      <c r="K1001" s="13">
        <v>4</v>
      </c>
      <c r="L1001" s="14">
        <v>411</v>
      </c>
      <c r="M1001" s="10">
        <v>334</v>
      </c>
      <c r="N1001" s="10">
        <v>45416</v>
      </c>
      <c r="O1001" s="10">
        <v>26192</v>
      </c>
      <c r="P1001" s="10">
        <v>71608</v>
      </c>
    </row>
    <row r="1002" spans="1:16" ht="27" customHeight="1" x14ac:dyDescent="0.2">
      <c r="A1002" s="9" t="s">
        <v>3661</v>
      </c>
      <c r="B1002" s="10" t="s">
        <v>3662</v>
      </c>
      <c r="C1002" s="11" t="s">
        <v>18</v>
      </c>
      <c r="D1002" s="11" t="s">
        <v>19</v>
      </c>
      <c r="E1002" s="11" t="s">
        <v>19</v>
      </c>
      <c r="F1002" s="11" t="s">
        <v>3663</v>
      </c>
      <c r="G1002" s="11" t="s">
        <v>21</v>
      </c>
      <c r="H1002" s="11" t="s">
        <v>3664</v>
      </c>
      <c r="I1002" s="11" t="s">
        <v>3665</v>
      </c>
      <c r="J1002" s="12">
        <v>0.51039999999999996</v>
      </c>
      <c r="K1002" s="13">
        <v>5</v>
      </c>
      <c r="L1002" s="14">
        <v>70</v>
      </c>
      <c r="M1002" s="10">
        <v>40</v>
      </c>
      <c r="N1002" s="10">
        <v>7736</v>
      </c>
      <c r="O1002" s="10">
        <v>3136</v>
      </c>
      <c r="P1002" s="10">
        <v>10872</v>
      </c>
    </row>
    <row r="1003" spans="1:16" ht="27" customHeight="1" x14ac:dyDescent="0.2">
      <c r="A1003" s="9" t="s">
        <v>3661</v>
      </c>
      <c r="B1003" s="10" t="s">
        <v>3662</v>
      </c>
      <c r="C1003" s="11" t="s">
        <v>3666</v>
      </c>
      <c r="D1003" s="11" t="s">
        <v>3667</v>
      </c>
      <c r="E1003" s="11" t="s">
        <v>57</v>
      </c>
      <c r="F1003" s="11" t="s">
        <v>3668</v>
      </c>
      <c r="G1003" s="11" t="s">
        <v>28</v>
      </c>
      <c r="H1003" s="11" t="s">
        <v>3664</v>
      </c>
      <c r="I1003" s="11" t="s">
        <v>3665</v>
      </c>
      <c r="J1003" s="12">
        <v>0.51039999999999996</v>
      </c>
      <c r="K1003" s="13">
        <v>1</v>
      </c>
      <c r="L1003" s="14">
        <v>183</v>
      </c>
      <c r="M1003" s="10">
        <v>179</v>
      </c>
      <c r="N1003" s="10">
        <v>20222</v>
      </c>
      <c r="O1003" s="10">
        <v>14037</v>
      </c>
      <c r="P1003" s="10">
        <v>34259</v>
      </c>
    </row>
    <row r="1004" spans="1:16" ht="27" customHeight="1" x14ac:dyDescent="0.2">
      <c r="A1004" s="9" t="s">
        <v>3661</v>
      </c>
      <c r="B1004" s="10" t="s">
        <v>3669</v>
      </c>
      <c r="C1004" s="11" t="s">
        <v>18</v>
      </c>
      <c r="D1004" s="11" t="s">
        <v>19</v>
      </c>
      <c r="E1004" s="11" t="s">
        <v>19</v>
      </c>
      <c r="F1004" s="11" t="s">
        <v>3670</v>
      </c>
      <c r="G1004" s="11" t="s">
        <v>83</v>
      </c>
      <c r="H1004" s="11" t="s">
        <v>1963</v>
      </c>
      <c r="I1004" s="11" t="s">
        <v>3671</v>
      </c>
      <c r="J1004" s="12">
        <v>0.48759999999999998</v>
      </c>
      <c r="K1004" s="13">
        <v>7</v>
      </c>
      <c r="L1004" s="14">
        <v>395</v>
      </c>
      <c r="M1004" s="10">
        <v>165</v>
      </c>
      <c r="N1004" s="10">
        <v>43649</v>
      </c>
      <c r="O1004" s="10">
        <v>12939</v>
      </c>
      <c r="P1004" s="10">
        <v>56588</v>
      </c>
    </row>
    <row r="1005" spans="1:16" ht="27" customHeight="1" x14ac:dyDescent="0.2">
      <c r="A1005" s="9" t="s">
        <v>3661</v>
      </c>
      <c r="B1005" s="10" t="s">
        <v>3672</v>
      </c>
      <c r="C1005" s="11" t="s">
        <v>18</v>
      </c>
      <c r="D1005" s="11" t="s">
        <v>19</v>
      </c>
      <c r="E1005" s="11" t="s">
        <v>19</v>
      </c>
      <c r="F1005" s="11" t="s">
        <v>3673</v>
      </c>
      <c r="G1005" s="11" t="s">
        <v>83</v>
      </c>
      <c r="H1005" s="11" t="s">
        <v>3664</v>
      </c>
      <c r="I1005" s="11" t="s">
        <v>3665</v>
      </c>
      <c r="J1005" s="12">
        <v>0.51039999999999996</v>
      </c>
      <c r="K1005" s="13">
        <v>5</v>
      </c>
      <c r="L1005" s="14">
        <v>1118</v>
      </c>
      <c r="M1005" s="10">
        <v>619</v>
      </c>
      <c r="N1005" s="10">
        <v>123541</v>
      </c>
      <c r="O1005" s="10">
        <v>48541</v>
      </c>
      <c r="P1005" s="10">
        <v>172082</v>
      </c>
    </row>
    <row r="1006" spans="1:16" ht="27" customHeight="1" x14ac:dyDescent="0.2">
      <c r="A1006" s="9" t="s">
        <v>3674</v>
      </c>
      <c r="B1006" s="10" t="s">
        <v>3675</v>
      </c>
      <c r="C1006" s="11" t="s">
        <v>18</v>
      </c>
      <c r="D1006" s="11" t="s">
        <v>19</v>
      </c>
      <c r="E1006" s="11" t="s">
        <v>19</v>
      </c>
      <c r="F1006" s="11" t="s">
        <v>3676</v>
      </c>
      <c r="G1006" s="11" t="s">
        <v>21</v>
      </c>
      <c r="H1006" s="11" t="s">
        <v>3677</v>
      </c>
      <c r="I1006" s="11" t="s">
        <v>3678</v>
      </c>
      <c r="J1006" s="12">
        <v>0.98270000000000002</v>
      </c>
      <c r="K1006" s="13">
        <v>4</v>
      </c>
      <c r="L1006" s="14">
        <v>818</v>
      </c>
      <c r="M1006" s="10">
        <v>650</v>
      </c>
      <c r="N1006" s="10">
        <v>90391</v>
      </c>
      <c r="O1006" s="10">
        <v>50972</v>
      </c>
      <c r="P1006" s="10">
        <v>141363</v>
      </c>
    </row>
    <row r="1007" spans="1:16" ht="27" customHeight="1" x14ac:dyDescent="0.2">
      <c r="A1007" s="9" t="s">
        <v>3674</v>
      </c>
      <c r="B1007" s="10" t="s">
        <v>3675</v>
      </c>
      <c r="C1007" s="11" t="s">
        <v>3679</v>
      </c>
      <c r="D1007" s="11" t="s">
        <v>3680</v>
      </c>
      <c r="E1007" s="11" t="s">
        <v>26</v>
      </c>
      <c r="F1007" s="11" t="s">
        <v>3681</v>
      </c>
      <c r="G1007" s="11" t="s">
        <v>28</v>
      </c>
      <c r="H1007" s="11" t="s">
        <v>3681</v>
      </c>
      <c r="I1007" s="11" t="s">
        <v>3682</v>
      </c>
      <c r="J1007" s="12">
        <v>0.18140000000000001</v>
      </c>
      <c r="K1007" s="13">
        <v>1</v>
      </c>
      <c r="L1007" s="14">
        <v>474</v>
      </c>
      <c r="M1007" s="10">
        <v>86</v>
      </c>
      <c r="N1007" s="10">
        <v>52378</v>
      </c>
      <c r="O1007" s="10">
        <v>6744</v>
      </c>
      <c r="P1007" s="10">
        <v>59122</v>
      </c>
    </row>
    <row r="1008" spans="1:16" ht="27" customHeight="1" x14ac:dyDescent="0.2">
      <c r="A1008" s="9" t="s">
        <v>3674</v>
      </c>
      <c r="B1008" s="10" t="s">
        <v>3675</v>
      </c>
      <c r="C1008" s="11" t="s">
        <v>3683</v>
      </c>
      <c r="D1008" s="11" t="s">
        <v>3684</v>
      </c>
      <c r="E1008" s="11" t="s">
        <v>57</v>
      </c>
      <c r="F1008" s="11" t="s">
        <v>3685</v>
      </c>
      <c r="G1008" s="11" t="s">
        <v>28</v>
      </c>
      <c r="H1008" s="11" t="s">
        <v>3677</v>
      </c>
      <c r="I1008" s="11" t="s">
        <v>3678</v>
      </c>
      <c r="J1008" s="12">
        <v>0.98270000000000002</v>
      </c>
      <c r="K1008" s="13">
        <v>1</v>
      </c>
      <c r="L1008" s="14">
        <v>55</v>
      </c>
      <c r="M1008" s="10">
        <v>54</v>
      </c>
      <c r="N1008" s="10">
        <v>6078</v>
      </c>
      <c r="O1008" s="10">
        <v>4235</v>
      </c>
      <c r="P1008" s="10">
        <v>10313</v>
      </c>
    </row>
    <row r="1009" spans="1:16" ht="27" customHeight="1" x14ac:dyDescent="0.2">
      <c r="A1009" s="9" t="s">
        <v>3674</v>
      </c>
      <c r="B1009" s="10" t="s">
        <v>3675</v>
      </c>
      <c r="C1009" s="11" t="s">
        <v>3686</v>
      </c>
      <c r="D1009" s="11" t="s">
        <v>3687</v>
      </c>
      <c r="E1009" s="11" t="s">
        <v>26</v>
      </c>
      <c r="F1009" s="11" t="s">
        <v>3688</v>
      </c>
      <c r="G1009" s="11" t="s">
        <v>28</v>
      </c>
      <c r="H1009" s="11" t="s">
        <v>3688</v>
      </c>
      <c r="I1009" s="11" t="s">
        <v>3689</v>
      </c>
      <c r="J1009" s="12">
        <v>0.46510000000000001</v>
      </c>
      <c r="K1009" s="13">
        <v>1</v>
      </c>
      <c r="L1009" s="14">
        <v>501</v>
      </c>
      <c r="M1009" s="10">
        <v>233</v>
      </c>
      <c r="N1009" s="10">
        <v>55361</v>
      </c>
      <c r="O1009" s="10">
        <v>18272</v>
      </c>
      <c r="P1009" s="10">
        <v>73633</v>
      </c>
    </row>
    <row r="1010" spans="1:16" ht="27" customHeight="1" x14ac:dyDescent="0.2">
      <c r="A1010" s="9" t="s">
        <v>3674</v>
      </c>
      <c r="B1010" s="10" t="s">
        <v>3675</v>
      </c>
      <c r="C1010" s="11" t="s">
        <v>3690</v>
      </c>
      <c r="D1010" s="11" t="s">
        <v>3691</v>
      </c>
      <c r="E1010" s="11" t="s">
        <v>57</v>
      </c>
      <c r="F1010" s="11" t="s">
        <v>3692</v>
      </c>
      <c r="G1010" s="11" t="s">
        <v>28</v>
      </c>
      <c r="H1010" s="11" t="s">
        <v>3692</v>
      </c>
      <c r="I1010" s="11" t="s">
        <v>3693</v>
      </c>
      <c r="J1010" s="12">
        <v>0.64729999999999999</v>
      </c>
      <c r="K1010" s="13">
        <v>1</v>
      </c>
      <c r="L1010" s="14">
        <v>241</v>
      </c>
      <c r="M1010" s="10">
        <v>156</v>
      </c>
      <c r="N1010" s="10">
        <v>26631</v>
      </c>
      <c r="O1010" s="10">
        <v>12233</v>
      </c>
      <c r="P1010" s="10">
        <v>38864</v>
      </c>
    </row>
    <row r="1011" spans="1:16" ht="27" customHeight="1" x14ac:dyDescent="0.2">
      <c r="A1011" s="9" t="s">
        <v>3674</v>
      </c>
      <c r="B1011" s="10" t="s">
        <v>3675</v>
      </c>
      <c r="C1011" s="11" t="s">
        <v>3694</v>
      </c>
      <c r="D1011" s="11" t="s">
        <v>3695</v>
      </c>
      <c r="E1011" s="11" t="s">
        <v>26</v>
      </c>
      <c r="F1011" s="11" t="s">
        <v>3696</v>
      </c>
      <c r="G1011" s="11" t="s">
        <v>28</v>
      </c>
      <c r="H1011" s="11" t="s">
        <v>3696</v>
      </c>
      <c r="I1011" s="11" t="s">
        <v>3697</v>
      </c>
      <c r="J1011" s="12">
        <v>0.5</v>
      </c>
      <c r="K1011" s="13">
        <v>1</v>
      </c>
      <c r="L1011" s="14">
        <v>162</v>
      </c>
      <c r="M1011" s="10">
        <v>81</v>
      </c>
      <c r="N1011" s="10">
        <v>17901</v>
      </c>
      <c r="O1011" s="10">
        <v>6352</v>
      </c>
      <c r="P1011" s="10">
        <v>24253</v>
      </c>
    </row>
    <row r="1012" spans="1:16" ht="27" customHeight="1" x14ac:dyDescent="0.2">
      <c r="A1012" s="9" t="s">
        <v>3674</v>
      </c>
      <c r="B1012" s="10" t="s">
        <v>3698</v>
      </c>
      <c r="C1012" s="11" t="s">
        <v>18</v>
      </c>
      <c r="D1012" s="11" t="s">
        <v>19</v>
      </c>
      <c r="E1012" s="11" t="s">
        <v>19</v>
      </c>
      <c r="F1012" s="11" t="s">
        <v>3699</v>
      </c>
      <c r="G1012" s="11" t="s">
        <v>83</v>
      </c>
      <c r="H1012" s="11" t="s">
        <v>3677</v>
      </c>
      <c r="I1012" s="11" t="s">
        <v>3678</v>
      </c>
      <c r="J1012" s="12">
        <v>0.98270000000000002</v>
      </c>
      <c r="K1012" s="13">
        <v>14</v>
      </c>
      <c r="L1012" s="14">
        <v>7706</v>
      </c>
      <c r="M1012" s="10">
        <v>6988</v>
      </c>
      <c r="N1012" s="10">
        <v>851525</v>
      </c>
      <c r="O1012" s="10">
        <v>547991</v>
      </c>
      <c r="P1012" s="10">
        <v>1399516</v>
      </c>
    </row>
    <row r="1013" spans="1:16" ht="27" customHeight="1" x14ac:dyDescent="0.2">
      <c r="A1013" s="9" t="s">
        <v>3674</v>
      </c>
      <c r="B1013" s="10" t="s">
        <v>3700</v>
      </c>
      <c r="C1013" s="11" t="s">
        <v>18</v>
      </c>
      <c r="D1013" s="11" t="s">
        <v>19</v>
      </c>
      <c r="E1013" s="11" t="s">
        <v>19</v>
      </c>
      <c r="F1013" s="11" t="s">
        <v>3701</v>
      </c>
      <c r="G1013" s="11" t="s">
        <v>83</v>
      </c>
      <c r="H1013" s="11" t="s">
        <v>3702</v>
      </c>
      <c r="I1013" s="11" t="s">
        <v>3703</v>
      </c>
      <c r="J1013" s="12">
        <v>0.2162</v>
      </c>
      <c r="K1013" s="13">
        <v>2</v>
      </c>
      <c r="L1013" s="14">
        <v>37</v>
      </c>
      <c r="M1013" s="10">
        <v>8</v>
      </c>
      <c r="N1013" s="10">
        <v>4089</v>
      </c>
      <c r="O1013" s="10">
        <v>627</v>
      </c>
      <c r="P1013" s="10">
        <v>4716</v>
      </c>
    </row>
    <row r="1014" spans="1:16" ht="27" customHeight="1" x14ac:dyDescent="0.2">
      <c r="A1014" s="9" t="s">
        <v>3674</v>
      </c>
      <c r="B1014" s="10" t="s">
        <v>3704</v>
      </c>
      <c r="C1014" s="11" t="s">
        <v>18</v>
      </c>
      <c r="D1014" s="11" t="s">
        <v>19</v>
      </c>
      <c r="E1014" s="11" t="s">
        <v>19</v>
      </c>
      <c r="F1014" s="11" t="s">
        <v>3705</v>
      </c>
      <c r="G1014" s="11" t="s">
        <v>83</v>
      </c>
      <c r="H1014" s="11" t="s">
        <v>3706</v>
      </c>
      <c r="I1014" s="11" t="s">
        <v>3707</v>
      </c>
      <c r="J1014" s="12">
        <v>0.66669999999999996</v>
      </c>
      <c r="K1014" s="13">
        <v>10</v>
      </c>
      <c r="L1014" s="14">
        <v>2307</v>
      </c>
      <c r="M1014" s="10">
        <v>419</v>
      </c>
      <c r="N1014" s="10">
        <v>254928</v>
      </c>
      <c r="O1014" s="10">
        <v>32858</v>
      </c>
      <c r="P1014" s="10">
        <v>287786</v>
      </c>
    </row>
    <row r="1015" spans="1:16" ht="27" customHeight="1" x14ac:dyDescent="0.2">
      <c r="A1015" s="9" t="s">
        <v>3674</v>
      </c>
      <c r="B1015" s="10" t="s">
        <v>3708</v>
      </c>
      <c r="C1015" s="11" t="s">
        <v>18</v>
      </c>
      <c r="D1015" s="11" t="s">
        <v>19</v>
      </c>
      <c r="E1015" s="11" t="s">
        <v>19</v>
      </c>
      <c r="F1015" s="11" t="s">
        <v>3709</v>
      </c>
      <c r="G1015" s="11" t="s">
        <v>83</v>
      </c>
      <c r="H1015" s="11" t="s">
        <v>3710</v>
      </c>
      <c r="I1015" s="11" t="s">
        <v>3711</v>
      </c>
      <c r="J1015" s="12">
        <v>0.90649999999999997</v>
      </c>
      <c r="K1015" s="13">
        <v>2</v>
      </c>
      <c r="L1015" s="14">
        <v>279</v>
      </c>
      <c r="M1015" s="10">
        <v>253</v>
      </c>
      <c r="N1015" s="10">
        <v>30830</v>
      </c>
      <c r="O1015" s="10">
        <v>19840</v>
      </c>
      <c r="P1015" s="10">
        <v>50670</v>
      </c>
    </row>
    <row r="1016" spans="1:16" ht="27" customHeight="1" x14ac:dyDescent="0.2">
      <c r="A1016" s="9" t="s">
        <v>3674</v>
      </c>
      <c r="B1016" s="10" t="s">
        <v>3712</v>
      </c>
      <c r="C1016" s="11" t="s">
        <v>18</v>
      </c>
      <c r="D1016" s="11" t="s">
        <v>19</v>
      </c>
      <c r="E1016" s="11" t="s">
        <v>19</v>
      </c>
      <c r="F1016" s="11" t="s">
        <v>3713</v>
      </c>
      <c r="G1016" s="11" t="s">
        <v>83</v>
      </c>
      <c r="H1016" s="11" t="s">
        <v>3713</v>
      </c>
      <c r="I1016" s="11" t="s">
        <v>3714</v>
      </c>
      <c r="J1016" s="12">
        <v>0.2581</v>
      </c>
      <c r="K1016" s="13">
        <v>2</v>
      </c>
      <c r="L1016" s="14">
        <v>31</v>
      </c>
      <c r="M1016" s="10">
        <v>8</v>
      </c>
      <c r="N1016" s="10">
        <v>3426</v>
      </c>
      <c r="O1016" s="10">
        <v>627</v>
      </c>
      <c r="P1016" s="10">
        <v>4053</v>
      </c>
    </row>
    <row r="1017" spans="1:16" ht="27" customHeight="1" x14ac:dyDescent="0.2">
      <c r="A1017" s="9" t="s">
        <v>3674</v>
      </c>
      <c r="B1017" s="10" t="s">
        <v>3715</v>
      </c>
      <c r="C1017" s="11" t="s">
        <v>18</v>
      </c>
      <c r="D1017" s="11" t="s">
        <v>19</v>
      </c>
      <c r="E1017" s="11" t="s">
        <v>19</v>
      </c>
      <c r="F1017" s="11" t="s">
        <v>3716</v>
      </c>
      <c r="G1017" s="11" t="s">
        <v>83</v>
      </c>
      <c r="H1017" s="11" t="s">
        <v>3717</v>
      </c>
      <c r="I1017" s="11" t="s">
        <v>3718</v>
      </c>
      <c r="J1017" s="12">
        <v>0.83120000000000005</v>
      </c>
      <c r="K1017" s="13">
        <v>6</v>
      </c>
      <c r="L1017" s="14">
        <v>3425</v>
      </c>
      <c r="M1017" s="10">
        <v>2694</v>
      </c>
      <c r="N1017" s="10">
        <v>378468</v>
      </c>
      <c r="O1017" s="10">
        <v>211261</v>
      </c>
      <c r="P1017" s="10">
        <v>589729</v>
      </c>
    </row>
    <row r="1018" spans="1:16" ht="27" customHeight="1" x14ac:dyDescent="0.2">
      <c r="A1018" s="9" t="s">
        <v>3674</v>
      </c>
      <c r="B1018" s="10" t="s">
        <v>3719</v>
      </c>
      <c r="C1018" s="11" t="s">
        <v>18</v>
      </c>
      <c r="D1018" s="11" t="s">
        <v>19</v>
      </c>
      <c r="E1018" s="11" t="s">
        <v>19</v>
      </c>
      <c r="F1018" s="11" t="s">
        <v>3720</v>
      </c>
      <c r="G1018" s="11" t="s">
        <v>83</v>
      </c>
      <c r="H1018" s="11" t="s">
        <v>3721</v>
      </c>
      <c r="I1018" s="11" t="s">
        <v>3722</v>
      </c>
      <c r="J1018" s="12">
        <v>0.89980000000000004</v>
      </c>
      <c r="K1018" s="13">
        <v>7</v>
      </c>
      <c r="L1018" s="14">
        <v>2657</v>
      </c>
      <c r="M1018" s="10">
        <v>2352</v>
      </c>
      <c r="N1018" s="10">
        <v>293603</v>
      </c>
      <c r="O1018" s="10">
        <v>184441</v>
      </c>
      <c r="P1018" s="10">
        <v>478044</v>
      </c>
    </row>
    <row r="1019" spans="1:16" ht="27" customHeight="1" x14ac:dyDescent="0.2">
      <c r="A1019" s="9" t="s">
        <v>3674</v>
      </c>
      <c r="B1019" s="10" t="s">
        <v>3723</v>
      </c>
      <c r="C1019" s="11" t="s">
        <v>18</v>
      </c>
      <c r="D1019" s="11" t="s">
        <v>19</v>
      </c>
      <c r="E1019" s="11" t="s">
        <v>19</v>
      </c>
      <c r="F1019" s="11" t="s">
        <v>3724</v>
      </c>
      <c r="G1019" s="11" t="s">
        <v>83</v>
      </c>
      <c r="H1019" s="11" t="s">
        <v>3677</v>
      </c>
      <c r="I1019" s="11" t="s">
        <v>3678</v>
      </c>
      <c r="J1019" s="12">
        <v>0.98270000000000002</v>
      </c>
      <c r="K1019" s="13">
        <v>5</v>
      </c>
      <c r="L1019" s="14">
        <v>2761</v>
      </c>
      <c r="M1019" s="10">
        <v>2334</v>
      </c>
      <c r="N1019" s="10">
        <v>305096</v>
      </c>
      <c r="O1019" s="10">
        <v>183030</v>
      </c>
      <c r="P1019" s="10">
        <v>488126</v>
      </c>
    </row>
    <row r="1020" spans="1:16" ht="27" customHeight="1" x14ac:dyDescent="0.2">
      <c r="A1020" s="9" t="s">
        <v>3674</v>
      </c>
      <c r="B1020" s="10" t="s">
        <v>3725</v>
      </c>
      <c r="C1020" s="11" t="s">
        <v>18</v>
      </c>
      <c r="D1020" s="11" t="s">
        <v>19</v>
      </c>
      <c r="E1020" s="11" t="s">
        <v>19</v>
      </c>
      <c r="F1020" s="11" t="s">
        <v>3726</v>
      </c>
      <c r="G1020" s="11" t="s">
        <v>83</v>
      </c>
      <c r="H1020" s="11" t="s">
        <v>3726</v>
      </c>
      <c r="I1020" s="11" t="s">
        <v>3727</v>
      </c>
      <c r="J1020" s="12">
        <v>0.15790000000000001</v>
      </c>
      <c r="K1020" s="13">
        <v>2</v>
      </c>
      <c r="L1020" s="14">
        <v>76</v>
      </c>
      <c r="M1020" s="10">
        <v>12</v>
      </c>
      <c r="N1020" s="10">
        <v>8398</v>
      </c>
      <c r="O1020" s="10">
        <v>941</v>
      </c>
      <c r="P1020" s="10">
        <v>9339</v>
      </c>
    </row>
    <row r="1021" spans="1:16" ht="27" customHeight="1" x14ac:dyDescent="0.2">
      <c r="A1021" s="9" t="s">
        <v>3674</v>
      </c>
      <c r="B1021" s="10" t="s">
        <v>3728</v>
      </c>
      <c r="C1021" s="11" t="s">
        <v>18</v>
      </c>
      <c r="D1021" s="11" t="s">
        <v>19</v>
      </c>
      <c r="E1021" s="11" t="s">
        <v>19</v>
      </c>
      <c r="F1021" s="11" t="s">
        <v>3729</v>
      </c>
      <c r="G1021" s="11" t="s">
        <v>83</v>
      </c>
      <c r="H1021" s="11" t="s">
        <v>3730</v>
      </c>
      <c r="I1021" s="11" t="s">
        <v>3731</v>
      </c>
      <c r="J1021" s="12">
        <v>0.1721</v>
      </c>
      <c r="K1021" s="13">
        <v>2</v>
      </c>
      <c r="L1021" s="14">
        <v>122</v>
      </c>
      <c r="M1021" s="10">
        <v>21</v>
      </c>
      <c r="N1021" s="10">
        <v>13481</v>
      </c>
      <c r="O1021" s="10">
        <v>1647</v>
      </c>
      <c r="P1021" s="10">
        <v>15128</v>
      </c>
    </row>
    <row r="1022" spans="1:16" ht="27" customHeight="1" x14ac:dyDescent="0.2">
      <c r="A1022" s="9" t="s">
        <v>3674</v>
      </c>
      <c r="B1022" s="10" t="s">
        <v>3732</v>
      </c>
      <c r="C1022" s="11" t="s">
        <v>18</v>
      </c>
      <c r="D1022" s="11" t="s">
        <v>19</v>
      </c>
      <c r="E1022" s="11" t="s">
        <v>19</v>
      </c>
      <c r="F1022" s="11" t="s">
        <v>3733</v>
      </c>
      <c r="G1022" s="11" t="s">
        <v>83</v>
      </c>
      <c r="H1022" s="11" t="s">
        <v>3734</v>
      </c>
      <c r="I1022" s="11" t="s">
        <v>3735</v>
      </c>
      <c r="J1022" s="12">
        <v>0.91200000000000003</v>
      </c>
      <c r="K1022" s="13">
        <v>21</v>
      </c>
      <c r="L1022" s="14">
        <v>9478</v>
      </c>
      <c r="M1022" s="10">
        <v>6265</v>
      </c>
      <c r="N1022" s="10">
        <v>1047336</v>
      </c>
      <c r="O1022" s="10">
        <v>491295</v>
      </c>
      <c r="P1022" s="10">
        <v>1538631</v>
      </c>
    </row>
    <row r="1023" spans="1:16" ht="27" customHeight="1" x14ac:dyDescent="0.2">
      <c r="A1023" s="9" t="s">
        <v>3674</v>
      </c>
      <c r="B1023" s="10" t="s">
        <v>3732</v>
      </c>
      <c r="C1023" s="11" t="s">
        <v>3736</v>
      </c>
      <c r="D1023" s="11" t="s">
        <v>3737</v>
      </c>
      <c r="E1023" s="11" t="s">
        <v>26</v>
      </c>
      <c r="F1023" s="11" t="s">
        <v>3738</v>
      </c>
      <c r="G1023" s="11" t="s">
        <v>28</v>
      </c>
      <c r="H1023" s="11" t="s">
        <v>3677</v>
      </c>
      <c r="I1023" s="11" t="s">
        <v>3678</v>
      </c>
      <c r="J1023" s="12">
        <v>0.98270000000000002</v>
      </c>
      <c r="K1023" s="13">
        <v>1</v>
      </c>
      <c r="L1023" s="14">
        <v>128</v>
      </c>
      <c r="M1023" s="10">
        <v>58</v>
      </c>
      <c r="N1023" s="10">
        <v>14144</v>
      </c>
      <c r="O1023" s="10">
        <v>4548</v>
      </c>
      <c r="P1023" s="10">
        <v>18692</v>
      </c>
    </row>
    <row r="1024" spans="1:16" ht="27" customHeight="1" x14ac:dyDescent="0.2">
      <c r="A1024" s="9" t="s">
        <v>3674</v>
      </c>
      <c r="B1024" s="10" t="s">
        <v>3732</v>
      </c>
      <c r="C1024" s="11" t="s">
        <v>3739</v>
      </c>
      <c r="D1024" s="11" t="s">
        <v>3740</v>
      </c>
      <c r="E1024" s="11" t="s">
        <v>26</v>
      </c>
      <c r="F1024" s="11" t="s">
        <v>3741</v>
      </c>
      <c r="G1024" s="11" t="s">
        <v>28</v>
      </c>
      <c r="H1024" s="11" t="s">
        <v>3741</v>
      </c>
      <c r="I1024" s="11" t="s">
        <v>3742</v>
      </c>
      <c r="J1024" s="12">
        <v>0.316</v>
      </c>
      <c r="K1024" s="13">
        <v>1</v>
      </c>
      <c r="L1024" s="14">
        <v>424</v>
      </c>
      <c r="M1024" s="10">
        <v>134</v>
      </c>
      <c r="N1024" s="10">
        <v>46853</v>
      </c>
      <c r="O1024" s="10">
        <v>10508</v>
      </c>
      <c r="P1024" s="10">
        <v>57361</v>
      </c>
    </row>
    <row r="1025" spans="1:16" ht="27" customHeight="1" x14ac:dyDescent="0.2">
      <c r="A1025" s="9" t="s">
        <v>3674</v>
      </c>
      <c r="B1025" s="10" t="s">
        <v>3743</v>
      </c>
      <c r="C1025" s="11" t="s">
        <v>18</v>
      </c>
      <c r="D1025" s="11" t="s">
        <v>19</v>
      </c>
      <c r="E1025" s="11" t="s">
        <v>19</v>
      </c>
      <c r="F1025" s="11" t="s">
        <v>3744</v>
      </c>
      <c r="G1025" s="11" t="s">
        <v>83</v>
      </c>
      <c r="H1025" s="11" t="s">
        <v>3745</v>
      </c>
      <c r="I1025" s="11" t="s">
        <v>3746</v>
      </c>
      <c r="J1025" s="12">
        <v>0.1938</v>
      </c>
      <c r="K1025" s="13">
        <v>6</v>
      </c>
      <c r="L1025" s="14">
        <v>1800</v>
      </c>
      <c r="M1025" s="10">
        <v>308</v>
      </c>
      <c r="N1025" s="10">
        <v>198903</v>
      </c>
      <c r="O1025" s="10">
        <v>24153</v>
      </c>
      <c r="P1025" s="10">
        <v>223056</v>
      </c>
    </row>
    <row r="1026" spans="1:16" ht="27" customHeight="1" x14ac:dyDescent="0.2">
      <c r="A1026" s="9" t="s">
        <v>3674</v>
      </c>
      <c r="B1026" s="10" t="s">
        <v>3747</v>
      </c>
      <c r="C1026" s="11" t="s">
        <v>18</v>
      </c>
      <c r="D1026" s="11" t="s">
        <v>19</v>
      </c>
      <c r="E1026" s="11" t="s">
        <v>19</v>
      </c>
      <c r="F1026" s="11" t="s">
        <v>3748</v>
      </c>
      <c r="G1026" s="11" t="s">
        <v>83</v>
      </c>
      <c r="H1026" s="11" t="s">
        <v>3749</v>
      </c>
      <c r="I1026" s="11" t="s">
        <v>3750</v>
      </c>
      <c r="J1026" s="12">
        <v>0.91990000000000005</v>
      </c>
      <c r="K1026" s="13">
        <v>16</v>
      </c>
      <c r="L1026" s="14">
        <v>8516</v>
      </c>
      <c r="M1026" s="10">
        <v>6154</v>
      </c>
      <c r="N1026" s="10">
        <v>941031</v>
      </c>
      <c r="O1026" s="10">
        <v>482590</v>
      </c>
      <c r="P1026" s="10">
        <v>1423621</v>
      </c>
    </row>
    <row r="1027" spans="1:16" ht="27" customHeight="1" x14ac:dyDescent="0.2">
      <c r="A1027" s="9" t="s">
        <v>3674</v>
      </c>
      <c r="B1027" s="10" t="s">
        <v>3751</v>
      </c>
      <c r="C1027" s="11" t="s">
        <v>18</v>
      </c>
      <c r="D1027" s="11" t="s">
        <v>19</v>
      </c>
      <c r="E1027" s="11" t="s">
        <v>19</v>
      </c>
      <c r="F1027" s="11" t="s">
        <v>3752</v>
      </c>
      <c r="G1027" s="11" t="s">
        <v>83</v>
      </c>
      <c r="H1027" s="11" t="s">
        <v>3677</v>
      </c>
      <c r="I1027" s="11" t="s">
        <v>3678</v>
      </c>
      <c r="J1027" s="12">
        <v>0.98270000000000002</v>
      </c>
      <c r="K1027" s="13">
        <v>13</v>
      </c>
      <c r="L1027" s="14">
        <v>16333</v>
      </c>
      <c r="M1027" s="10">
        <v>14803</v>
      </c>
      <c r="N1027" s="10">
        <v>1804824</v>
      </c>
      <c r="O1027" s="10">
        <v>1160837</v>
      </c>
      <c r="P1027" s="10">
        <v>2965661</v>
      </c>
    </row>
    <row r="1028" spans="1:16" ht="27" customHeight="1" x14ac:dyDescent="0.2">
      <c r="A1028" s="9" t="s">
        <v>3674</v>
      </c>
      <c r="B1028" s="10" t="s">
        <v>3753</v>
      </c>
      <c r="C1028" s="11" t="s">
        <v>18</v>
      </c>
      <c r="D1028" s="11" t="s">
        <v>19</v>
      </c>
      <c r="E1028" s="11" t="s">
        <v>19</v>
      </c>
      <c r="F1028" s="11" t="s">
        <v>3754</v>
      </c>
      <c r="G1028" s="11" t="s">
        <v>83</v>
      </c>
      <c r="H1028" s="11" t="s">
        <v>3755</v>
      </c>
      <c r="I1028" s="11" t="s">
        <v>3756</v>
      </c>
      <c r="J1028" s="12">
        <v>0.4672</v>
      </c>
      <c r="K1028" s="13">
        <v>2</v>
      </c>
      <c r="L1028" s="14">
        <v>137</v>
      </c>
      <c r="M1028" s="10">
        <v>64</v>
      </c>
      <c r="N1028" s="10">
        <v>15139</v>
      </c>
      <c r="O1028" s="10">
        <v>5019</v>
      </c>
      <c r="P1028" s="10">
        <v>20158</v>
      </c>
    </row>
    <row r="1029" spans="1:16" ht="27" customHeight="1" x14ac:dyDescent="0.2">
      <c r="A1029" s="9" t="s">
        <v>3674</v>
      </c>
      <c r="B1029" s="10" t="s">
        <v>3757</v>
      </c>
      <c r="C1029" s="11" t="s">
        <v>18</v>
      </c>
      <c r="D1029" s="11" t="s">
        <v>19</v>
      </c>
      <c r="E1029" s="11" t="s">
        <v>19</v>
      </c>
      <c r="F1029" s="11" t="s">
        <v>3758</v>
      </c>
      <c r="G1029" s="11" t="s">
        <v>83</v>
      </c>
      <c r="H1029" s="11" t="s">
        <v>3759</v>
      </c>
      <c r="I1029" s="11" t="s">
        <v>3760</v>
      </c>
      <c r="J1029" s="12">
        <v>0.74680000000000002</v>
      </c>
      <c r="K1029" s="13">
        <v>2</v>
      </c>
      <c r="L1029" s="14">
        <v>79</v>
      </c>
      <c r="M1029" s="10">
        <v>59</v>
      </c>
      <c r="N1029" s="10">
        <v>8730</v>
      </c>
      <c r="O1029" s="10">
        <v>4627</v>
      </c>
      <c r="P1029" s="10">
        <v>13357</v>
      </c>
    </row>
    <row r="1030" spans="1:16" ht="27" customHeight="1" x14ac:dyDescent="0.2">
      <c r="A1030" s="9" t="s">
        <v>3674</v>
      </c>
      <c r="B1030" s="10" t="s">
        <v>3761</v>
      </c>
      <c r="C1030" s="11" t="s">
        <v>18</v>
      </c>
      <c r="D1030" s="11" t="s">
        <v>19</v>
      </c>
      <c r="E1030" s="11" t="s">
        <v>19</v>
      </c>
      <c r="F1030" s="11" t="s">
        <v>3762</v>
      </c>
      <c r="G1030" s="11" t="s">
        <v>83</v>
      </c>
      <c r="H1030" s="11" t="s">
        <v>3763</v>
      </c>
      <c r="I1030" s="11" t="s">
        <v>3764</v>
      </c>
      <c r="J1030" s="12">
        <v>0.95709999999999995</v>
      </c>
      <c r="K1030" s="13">
        <v>2</v>
      </c>
      <c r="L1030" s="14">
        <v>70</v>
      </c>
      <c r="M1030" s="10">
        <v>67</v>
      </c>
      <c r="N1030" s="10">
        <v>7735</v>
      </c>
      <c r="O1030" s="10">
        <v>5254</v>
      </c>
      <c r="P1030" s="10">
        <v>12989</v>
      </c>
    </row>
    <row r="1031" spans="1:16" ht="27" customHeight="1" x14ac:dyDescent="0.2">
      <c r="A1031" s="9" t="s">
        <v>3674</v>
      </c>
      <c r="B1031" s="10" t="s">
        <v>3765</v>
      </c>
      <c r="C1031" s="11" t="s">
        <v>18</v>
      </c>
      <c r="D1031" s="11" t="s">
        <v>19</v>
      </c>
      <c r="E1031" s="11" t="s">
        <v>19</v>
      </c>
      <c r="F1031" s="11" t="s">
        <v>3766</v>
      </c>
      <c r="G1031" s="11" t="s">
        <v>83</v>
      </c>
      <c r="H1031" s="11" t="s">
        <v>3767</v>
      </c>
      <c r="I1031" s="11" t="s">
        <v>3768</v>
      </c>
      <c r="J1031" s="12">
        <v>0.84319999999999995</v>
      </c>
      <c r="K1031" s="13">
        <v>8</v>
      </c>
      <c r="L1031" s="14">
        <v>3315</v>
      </c>
      <c r="M1031" s="10">
        <v>2400</v>
      </c>
      <c r="N1031" s="10">
        <v>366313</v>
      </c>
      <c r="O1031" s="10">
        <v>188205</v>
      </c>
      <c r="P1031" s="10">
        <v>554518</v>
      </c>
    </row>
    <row r="1032" spans="1:16" ht="27" customHeight="1" x14ac:dyDescent="0.2">
      <c r="A1032" s="9" t="s">
        <v>3674</v>
      </c>
      <c r="B1032" s="10" t="s">
        <v>3769</v>
      </c>
      <c r="C1032" s="11" t="s">
        <v>18</v>
      </c>
      <c r="D1032" s="11" t="s">
        <v>19</v>
      </c>
      <c r="E1032" s="11" t="s">
        <v>19</v>
      </c>
      <c r="F1032" s="11" t="s">
        <v>3770</v>
      </c>
      <c r="G1032" s="11" t="s">
        <v>83</v>
      </c>
      <c r="H1032" s="11" t="s">
        <v>3771</v>
      </c>
      <c r="I1032" s="11" t="s">
        <v>3772</v>
      </c>
      <c r="J1032" s="12">
        <v>0.16639999999999999</v>
      </c>
      <c r="K1032" s="13">
        <v>3</v>
      </c>
      <c r="L1032" s="14">
        <v>921</v>
      </c>
      <c r="M1032" s="10">
        <v>146</v>
      </c>
      <c r="N1032" s="10">
        <v>101772</v>
      </c>
      <c r="O1032" s="10">
        <v>11450</v>
      </c>
      <c r="P1032" s="10">
        <v>113222</v>
      </c>
    </row>
    <row r="1033" spans="1:16" ht="27" customHeight="1" x14ac:dyDescent="0.2">
      <c r="A1033" s="9" t="s">
        <v>3674</v>
      </c>
      <c r="B1033" s="10" t="s">
        <v>3773</v>
      </c>
      <c r="C1033" s="11" t="s">
        <v>18</v>
      </c>
      <c r="D1033" s="11" t="s">
        <v>19</v>
      </c>
      <c r="E1033" s="11" t="s">
        <v>19</v>
      </c>
      <c r="F1033" s="11" t="s">
        <v>3774</v>
      </c>
      <c r="G1033" s="11" t="s">
        <v>83</v>
      </c>
      <c r="H1033" s="11" t="s">
        <v>3775</v>
      </c>
      <c r="I1033" s="11" t="s">
        <v>3776</v>
      </c>
      <c r="J1033" s="12">
        <v>0.1118</v>
      </c>
      <c r="K1033" s="13">
        <v>5</v>
      </c>
      <c r="L1033" s="14">
        <v>735</v>
      </c>
      <c r="M1033" s="10">
        <v>96</v>
      </c>
      <c r="N1033" s="10">
        <v>81218</v>
      </c>
      <c r="O1033" s="10">
        <v>7529</v>
      </c>
      <c r="P1033" s="10">
        <v>88747</v>
      </c>
    </row>
    <row r="1034" spans="1:16" ht="27" customHeight="1" x14ac:dyDescent="0.2">
      <c r="A1034" s="9" t="s">
        <v>3674</v>
      </c>
      <c r="B1034" s="10" t="s">
        <v>3777</v>
      </c>
      <c r="C1034" s="11" t="s">
        <v>18</v>
      </c>
      <c r="D1034" s="11" t="s">
        <v>19</v>
      </c>
      <c r="E1034" s="11" t="s">
        <v>19</v>
      </c>
      <c r="F1034" s="11" t="s">
        <v>3778</v>
      </c>
      <c r="G1034" s="11" t="s">
        <v>83</v>
      </c>
      <c r="H1034" s="11" t="s">
        <v>3779</v>
      </c>
      <c r="I1034" s="11" t="s">
        <v>3780</v>
      </c>
      <c r="J1034" s="12">
        <v>0.88870000000000005</v>
      </c>
      <c r="K1034" s="13">
        <v>9</v>
      </c>
      <c r="L1034" s="14">
        <v>4625</v>
      </c>
      <c r="M1034" s="10">
        <v>3696</v>
      </c>
      <c r="N1034" s="10">
        <v>511069</v>
      </c>
      <c r="O1034" s="10">
        <v>289836</v>
      </c>
      <c r="P1034" s="10">
        <v>800905</v>
      </c>
    </row>
    <row r="1035" spans="1:16" ht="27" customHeight="1" x14ac:dyDescent="0.2">
      <c r="A1035" s="9" t="s">
        <v>3674</v>
      </c>
      <c r="B1035" s="10" t="s">
        <v>3781</v>
      </c>
      <c r="C1035" s="11" t="s">
        <v>18</v>
      </c>
      <c r="D1035" s="11" t="s">
        <v>19</v>
      </c>
      <c r="E1035" s="11" t="s">
        <v>19</v>
      </c>
      <c r="F1035" s="11" t="s">
        <v>3782</v>
      </c>
      <c r="G1035" s="11" t="s">
        <v>83</v>
      </c>
      <c r="H1035" s="11" t="s">
        <v>3783</v>
      </c>
      <c r="I1035" s="11" t="s">
        <v>3784</v>
      </c>
      <c r="J1035" s="12">
        <v>0.73680000000000001</v>
      </c>
      <c r="K1035" s="13">
        <v>2</v>
      </c>
      <c r="L1035" s="14">
        <v>19</v>
      </c>
      <c r="M1035" s="10">
        <v>14</v>
      </c>
      <c r="N1035" s="10">
        <v>2100</v>
      </c>
      <c r="O1035" s="10">
        <v>1098</v>
      </c>
      <c r="P1035" s="10">
        <v>3198</v>
      </c>
    </row>
    <row r="1036" spans="1:16" ht="27" customHeight="1" x14ac:dyDescent="0.2">
      <c r="A1036" s="9" t="s">
        <v>3674</v>
      </c>
      <c r="B1036" s="10" t="s">
        <v>3781</v>
      </c>
      <c r="C1036" s="11" t="s">
        <v>3785</v>
      </c>
      <c r="D1036" s="11" t="s">
        <v>3786</v>
      </c>
      <c r="E1036" s="11" t="s">
        <v>26</v>
      </c>
      <c r="F1036" s="11" t="s">
        <v>3787</v>
      </c>
      <c r="G1036" s="11" t="s">
        <v>28</v>
      </c>
      <c r="H1036" s="11" t="s">
        <v>3787</v>
      </c>
      <c r="I1036" s="11" t="s">
        <v>3788</v>
      </c>
      <c r="J1036" s="12">
        <v>0.29409999999999997</v>
      </c>
      <c r="K1036" s="13">
        <v>1</v>
      </c>
      <c r="L1036" s="14">
        <v>85</v>
      </c>
      <c r="M1036" s="10">
        <v>25</v>
      </c>
      <c r="N1036" s="10">
        <v>9393</v>
      </c>
      <c r="O1036" s="10">
        <v>1960</v>
      </c>
      <c r="P1036" s="10">
        <v>11353</v>
      </c>
    </row>
    <row r="1037" spans="1:16" ht="27" customHeight="1" x14ac:dyDescent="0.2">
      <c r="A1037" s="9" t="s">
        <v>3674</v>
      </c>
      <c r="B1037" s="10" t="s">
        <v>3789</v>
      </c>
      <c r="C1037" s="11" t="s">
        <v>18</v>
      </c>
      <c r="D1037" s="11" t="s">
        <v>19</v>
      </c>
      <c r="E1037" s="11" t="s">
        <v>19</v>
      </c>
      <c r="F1037" s="11" t="s">
        <v>3790</v>
      </c>
      <c r="G1037" s="11" t="s">
        <v>83</v>
      </c>
      <c r="H1037" s="11" t="s">
        <v>3791</v>
      </c>
      <c r="I1037" s="11" t="s">
        <v>3792</v>
      </c>
      <c r="J1037" s="12">
        <v>0.86650000000000005</v>
      </c>
      <c r="K1037" s="13">
        <v>12</v>
      </c>
      <c r="L1037" s="14">
        <v>4874</v>
      </c>
      <c r="M1037" s="10">
        <v>3747</v>
      </c>
      <c r="N1037" s="10">
        <v>538587</v>
      </c>
      <c r="O1037" s="10">
        <v>293837</v>
      </c>
      <c r="P1037" s="10">
        <v>832424</v>
      </c>
    </row>
    <row r="1038" spans="1:16" ht="27" customHeight="1" x14ac:dyDescent="0.2">
      <c r="A1038" s="9" t="s">
        <v>3674</v>
      </c>
      <c r="B1038" s="10" t="s">
        <v>3793</v>
      </c>
      <c r="C1038" s="11" t="s">
        <v>18</v>
      </c>
      <c r="D1038" s="11" t="s">
        <v>19</v>
      </c>
      <c r="E1038" s="11" t="s">
        <v>19</v>
      </c>
      <c r="F1038" s="11" t="s">
        <v>3794</v>
      </c>
      <c r="G1038" s="11" t="s">
        <v>83</v>
      </c>
      <c r="H1038" s="11" t="s">
        <v>3795</v>
      </c>
      <c r="I1038" s="11" t="s">
        <v>3796</v>
      </c>
      <c r="J1038" s="12">
        <v>0.81669999999999998</v>
      </c>
      <c r="K1038" s="13">
        <v>4</v>
      </c>
      <c r="L1038" s="14">
        <v>2153</v>
      </c>
      <c r="M1038" s="10">
        <v>1902</v>
      </c>
      <c r="N1038" s="10">
        <v>237910</v>
      </c>
      <c r="O1038" s="10">
        <v>149152</v>
      </c>
      <c r="P1038" s="10">
        <v>387062</v>
      </c>
    </row>
    <row r="1039" spans="1:16" ht="27" customHeight="1" x14ac:dyDescent="0.2">
      <c r="A1039" s="9" t="s">
        <v>3797</v>
      </c>
      <c r="B1039" s="10" t="s">
        <v>3798</v>
      </c>
      <c r="C1039" s="11" t="s">
        <v>18</v>
      </c>
      <c r="D1039" s="11" t="s">
        <v>19</v>
      </c>
      <c r="E1039" s="11" t="s">
        <v>19</v>
      </c>
      <c r="F1039" s="11" t="s">
        <v>3799</v>
      </c>
      <c r="G1039" s="11" t="s">
        <v>21</v>
      </c>
      <c r="H1039" s="11" t="s">
        <v>3800</v>
      </c>
      <c r="I1039" s="11" t="s">
        <v>3801</v>
      </c>
      <c r="J1039" s="12">
        <v>0.9083</v>
      </c>
      <c r="K1039" s="13">
        <v>4</v>
      </c>
      <c r="L1039" s="14">
        <v>533</v>
      </c>
      <c r="M1039" s="10">
        <v>478</v>
      </c>
      <c r="N1039" s="10">
        <v>58898</v>
      </c>
      <c r="O1039" s="10">
        <v>37484</v>
      </c>
      <c r="P1039" s="10">
        <v>96382</v>
      </c>
    </row>
    <row r="1040" spans="1:16" ht="27" customHeight="1" x14ac:dyDescent="0.2">
      <c r="A1040" s="9" t="s">
        <v>3797</v>
      </c>
      <c r="B1040" s="10" t="s">
        <v>3798</v>
      </c>
      <c r="C1040" s="11" t="s">
        <v>3802</v>
      </c>
      <c r="D1040" s="11" t="s">
        <v>3803</v>
      </c>
      <c r="E1040" s="11" t="s">
        <v>26</v>
      </c>
      <c r="F1040" s="11" t="s">
        <v>3804</v>
      </c>
      <c r="G1040" s="11" t="s">
        <v>28</v>
      </c>
      <c r="H1040" s="11" t="s">
        <v>3800</v>
      </c>
      <c r="I1040" s="11" t="s">
        <v>3801</v>
      </c>
      <c r="J1040" s="12">
        <v>0.9083</v>
      </c>
      <c r="K1040" s="13">
        <v>1</v>
      </c>
      <c r="L1040" s="14">
        <v>0</v>
      </c>
      <c r="M1040" s="10">
        <v>0</v>
      </c>
      <c r="N1040" s="10">
        <v>0</v>
      </c>
      <c r="O1040" s="10">
        <v>0</v>
      </c>
      <c r="P1040" s="10">
        <v>0</v>
      </c>
    </row>
    <row r="1041" spans="1:16" ht="27" customHeight="1" x14ac:dyDescent="0.2">
      <c r="A1041" s="9" t="s">
        <v>3797</v>
      </c>
      <c r="B1041" s="10" t="s">
        <v>3805</v>
      </c>
      <c r="C1041" s="11" t="s">
        <v>18</v>
      </c>
      <c r="D1041" s="11" t="s">
        <v>19</v>
      </c>
      <c r="E1041" s="11" t="s">
        <v>19</v>
      </c>
      <c r="F1041" s="11" t="s">
        <v>3806</v>
      </c>
      <c r="G1041" s="11" t="s">
        <v>83</v>
      </c>
      <c r="H1041" s="11" t="s">
        <v>3807</v>
      </c>
      <c r="I1041" s="11" t="s">
        <v>3808</v>
      </c>
      <c r="J1041" s="12">
        <v>0.82279999999999998</v>
      </c>
      <c r="K1041" s="13">
        <v>4</v>
      </c>
      <c r="L1041" s="14">
        <v>805</v>
      </c>
      <c r="M1041" s="10">
        <v>655</v>
      </c>
      <c r="N1041" s="10">
        <v>88955</v>
      </c>
      <c r="O1041" s="10">
        <v>51364</v>
      </c>
      <c r="P1041" s="10">
        <v>140319</v>
      </c>
    </row>
    <row r="1042" spans="1:16" ht="27" customHeight="1" x14ac:dyDescent="0.2">
      <c r="A1042" s="9" t="s">
        <v>3797</v>
      </c>
      <c r="B1042" s="10" t="s">
        <v>3809</v>
      </c>
      <c r="C1042" s="11" t="s">
        <v>18</v>
      </c>
      <c r="D1042" s="11" t="s">
        <v>19</v>
      </c>
      <c r="E1042" s="11" t="s">
        <v>19</v>
      </c>
      <c r="F1042" s="11" t="s">
        <v>3810</v>
      </c>
      <c r="G1042" s="11" t="s">
        <v>83</v>
      </c>
      <c r="H1042" s="11" t="s">
        <v>3810</v>
      </c>
      <c r="I1042" s="11" t="s">
        <v>3811</v>
      </c>
      <c r="J1042" s="12">
        <v>0.58819999999999995</v>
      </c>
      <c r="K1042" s="13">
        <v>2</v>
      </c>
      <c r="L1042" s="14">
        <v>102</v>
      </c>
      <c r="M1042" s="10">
        <v>60</v>
      </c>
      <c r="N1042" s="10">
        <v>11271</v>
      </c>
      <c r="O1042" s="10">
        <v>4705</v>
      </c>
      <c r="P1042" s="10">
        <v>15976</v>
      </c>
    </row>
    <row r="1043" spans="1:16" ht="27" customHeight="1" x14ac:dyDescent="0.2">
      <c r="A1043" s="9" t="s">
        <v>3797</v>
      </c>
      <c r="B1043" s="10" t="s">
        <v>3812</v>
      </c>
      <c r="C1043" s="11" t="s">
        <v>18</v>
      </c>
      <c r="D1043" s="11" t="s">
        <v>19</v>
      </c>
      <c r="E1043" s="11" t="s">
        <v>19</v>
      </c>
      <c r="F1043" s="11" t="s">
        <v>3813</v>
      </c>
      <c r="G1043" s="11" t="s">
        <v>83</v>
      </c>
      <c r="H1043" s="11" t="s">
        <v>3800</v>
      </c>
      <c r="I1043" s="11" t="s">
        <v>3801</v>
      </c>
      <c r="J1043" s="12">
        <v>0.9083</v>
      </c>
      <c r="K1043" s="13">
        <v>27</v>
      </c>
      <c r="L1043" s="14">
        <v>16162</v>
      </c>
      <c r="M1043" s="10">
        <v>10187</v>
      </c>
      <c r="N1043" s="10">
        <v>1785926</v>
      </c>
      <c r="O1043" s="10">
        <v>798853</v>
      </c>
      <c r="P1043" s="10">
        <v>2584779</v>
      </c>
    </row>
    <row r="1044" spans="1:16" ht="27" customHeight="1" x14ac:dyDescent="0.2">
      <c r="A1044" s="9" t="s">
        <v>3797</v>
      </c>
      <c r="B1044" s="10" t="s">
        <v>3812</v>
      </c>
      <c r="C1044" s="11" t="s">
        <v>3814</v>
      </c>
      <c r="D1044" s="11" t="s">
        <v>3815</v>
      </c>
      <c r="E1044" s="11" t="s">
        <v>26</v>
      </c>
      <c r="F1044" s="11" t="s">
        <v>3816</v>
      </c>
      <c r="G1044" s="11" t="s">
        <v>28</v>
      </c>
      <c r="H1044" s="11" t="s">
        <v>3816</v>
      </c>
      <c r="I1044" s="11" t="s">
        <v>3817</v>
      </c>
      <c r="J1044" s="12">
        <v>0.1273</v>
      </c>
      <c r="K1044" s="13">
        <v>1</v>
      </c>
      <c r="L1044" s="14">
        <v>267</v>
      </c>
      <c r="M1044" s="10">
        <v>34</v>
      </c>
      <c r="N1044" s="10">
        <v>29504</v>
      </c>
      <c r="O1044" s="10">
        <v>2666</v>
      </c>
      <c r="P1044" s="10">
        <v>32170</v>
      </c>
    </row>
    <row r="1045" spans="1:16" ht="27" customHeight="1" x14ac:dyDescent="0.2">
      <c r="A1045" s="9" t="s">
        <v>3797</v>
      </c>
      <c r="B1045" s="10" t="s">
        <v>3818</v>
      </c>
      <c r="C1045" s="11" t="s">
        <v>18</v>
      </c>
      <c r="D1045" s="11" t="s">
        <v>19</v>
      </c>
      <c r="E1045" s="11" t="s">
        <v>19</v>
      </c>
      <c r="F1045" s="11" t="s">
        <v>3819</v>
      </c>
      <c r="G1045" s="11" t="s">
        <v>83</v>
      </c>
      <c r="H1045" s="11" t="s">
        <v>3820</v>
      </c>
      <c r="I1045" s="11" t="s">
        <v>3821</v>
      </c>
      <c r="J1045" s="12">
        <v>0.76359999999999995</v>
      </c>
      <c r="K1045" s="13">
        <v>2</v>
      </c>
      <c r="L1045" s="14">
        <v>55</v>
      </c>
      <c r="M1045" s="10">
        <v>42</v>
      </c>
      <c r="N1045" s="10">
        <v>6078</v>
      </c>
      <c r="O1045" s="10">
        <v>3294</v>
      </c>
      <c r="P1045" s="10">
        <v>9372</v>
      </c>
    </row>
    <row r="1046" spans="1:16" ht="27" customHeight="1" x14ac:dyDescent="0.2">
      <c r="A1046" s="9" t="s">
        <v>3797</v>
      </c>
      <c r="B1046" s="10" t="s">
        <v>3822</v>
      </c>
      <c r="C1046" s="11" t="s">
        <v>18</v>
      </c>
      <c r="D1046" s="11" t="s">
        <v>19</v>
      </c>
      <c r="E1046" s="11" t="s">
        <v>19</v>
      </c>
      <c r="F1046" s="11" t="s">
        <v>3823</v>
      </c>
      <c r="G1046" s="11" t="s">
        <v>83</v>
      </c>
      <c r="H1046" s="11" t="s">
        <v>3824</v>
      </c>
      <c r="I1046" s="11" t="s">
        <v>3825</v>
      </c>
      <c r="J1046" s="12">
        <v>0.36840000000000001</v>
      </c>
      <c r="K1046" s="13">
        <v>6</v>
      </c>
      <c r="L1046" s="14">
        <v>1120</v>
      </c>
      <c r="M1046" s="10">
        <v>394</v>
      </c>
      <c r="N1046" s="10">
        <v>123761</v>
      </c>
      <c r="O1046" s="10">
        <v>30897</v>
      </c>
      <c r="P1046" s="10">
        <v>154658</v>
      </c>
    </row>
    <row r="1047" spans="1:16" ht="27" customHeight="1" x14ac:dyDescent="0.2">
      <c r="A1047" s="9" t="s">
        <v>3826</v>
      </c>
      <c r="B1047" s="10" t="s">
        <v>3827</v>
      </c>
      <c r="C1047" s="11" t="s">
        <v>18</v>
      </c>
      <c r="D1047" s="11" t="s">
        <v>19</v>
      </c>
      <c r="E1047" s="11" t="s">
        <v>19</v>
      </c>
      <c r="F1047" s="11" t="s">
        <v>3828</v>
      </c>
      <c r="G1047" s="11" t="s">
        <v>21</v>
      </c>
      <c r="H1047" s="11" t="s">
        <v>3829</v>
      </c>
      <c r="I1047" s="11" t="s">
        <v>3830</v>
      </c>
      <c r="J1047" s="12">
        <v>0.94979999999999998</v>
      </c>
      <c r="K1047" s="13">
        <v>4</v>
      </c>
      <c r="L1047" s="14">
        <v>115</v>
      </c>
      <c r="M1047" s="10">
        <v>73</v>
      </c>
      <c r="N1047" s="10">
        <v>12708</v>
      </c>
      <c r="O1047" s="10">
        <v>5725</v>
      </c>
      <c r="P1047" s="10">
        <v>18433</v>
      </c>
    </row>
    <row r="1048" spans="1:16" ht="27" customHeight="1" x14ac:dyDescent="0.2">
      <c r="A1048" s="9" t="s">
        <v>3826</v>
      </c>
      <c r="B1048" s="10" t="s">
        <v>3827</v>
      </c>
      <c r="C1048" s="11" t="s">
        <v>3831</v>
      </c>
      <c r="D1048" s="11" t="s">
        <v>3832</v>
      </c>
      <c r="E1048" s="11" t="s">
        <v>57</v>
      </c>
      <c r="F1048" s="11" t="s">
        <v>3833</v>
      </c>
      <c r="G1048" s="11" t="s">
        <v>28</v>
      </c>
      <c r="H1048" s="11" t="s">
        <v>3829</v>
      </c>
      <c r="I1048" s="11" t="s">
        <v>3830</v>
      </c>
      <c r="J1048" s="12">
        <v>0.94979999999999998</v>
      </c>
      <c r="K1048" s="13">
        <v>1</v>
      </c>
      <c r="L1048" s="14">
        <v>87</v>
      </c>
      <c r="M1048" s="10">
        <v>38</v>
      </c>
      <c r="N1048" s="10">
        <v>9614</v>
      </c>
      <c r="O1048" s="10">
        <v>2980</v>
      </c>
      <c r="P1048" s="10">
        <v>12594</v>
      </c>
    </row>
    <row r="1049" spans="1:16" ht="27" customHeight="1" x14ac:dyDescent="0.2">
      <c r="A1049" s="9" t="s">
        <v>3826</v>
      </c>
      <c r="B1049" s="10" t="s">
        <v>3827</v>
      </c>
      <c r="C1049" s="11" t="s">
        <v>3834</v>
      </c>
      <c r="D1049" s="11" t="s">
        <v>3835</v>
      </c>
      <c r="E1049" s="11" t="s">
        <v>26</v>
      </c>
      <c r="F1049" s="11" t="s">
        <v>3836</v>
      </c>
      <c r="G1049" s="11" t="s">
        <v>28</v>
      </c>
      <c r="H1049" s="11" t="s">
        <v>3836</v>
      </c>
      <c r="I1049" s="11" t="s">
        <v>3837</v>
      </c>
      <c r="J1049" s="12">
        <v>0.46350000000000002</v>
      </c>
      <c r="K1049" s="13">
        <v>1</v>
      </c>
      <c r="L1049" s="14">
        <v>315</v>
      </c>
      <c r="M1049" s="10">
        <v>146</v>
      </c>
      <c r="N1049" s="10">
        <v>34808</v>
      </c>
      <c r="O1049" s="10">
        <v>11449</v>
      </c>
      <c r="P1049" s="10">
        <v>46257</v>
      </c>
    </row>
    <row r="1050" spans="1:16" ht="27" customHeight="1" x14ac:dyDescent="0.2">
      <c r="A1050" s="9" t="s">
        <v>3826</v>
      </c>
      <c r="B1050" s="10" t="s">
        <v>3827</v>
      </c>
      <c r="C1050" s="11" t="s">
        <v>3838</v>
      </c>
      <c r="D1050" s="11" t="s">
        <v>3839</v>
      </c>
      <c r="E1050" s="11" t="s">
        <v>26</v>
      </c>
      <c r="F1050" s="11" t="s">
        <v>3840</v>
      </c>
      <c r="G1050" s="11" t="s">
        <v>28</v>
      </c>
      <c r="H1050" s="11" t="s">
        <v>3840</v>
      </c>
      <c r="I1050" s="11" t="s">
        <v>3841</v>
      </c>
      <c r="J1050" s="12">
        <v>0.4849</v>
      </c>
      <c r="K1050" s="13">
        <v>1</v>
      </c>
      <c r="L1050" s="14">
        <v>431</v>
      </c>
      <c r="M1050" s="10">
        <v>209</v>
      </c>
      <c r="N1050" s="10">
        <v>47626</v>
      </c>
      <c r="O1050" s="10">
        <v>16390</v>
      </c>
      <c r="P1050" s="10">
        <v>64016</v>
      </c>
    </row>
    <row r="1051" spans="1:16" ht="27" customHeight="1" x14ac:dyDescent="0.2">
      <c r="A1051" s="9" t="s">
        <v>3826</v>
      </c>
      <c r="B1051" s="10" t="s">
        <v>3827</v>
      </c>
      <c r="C1051" s="11" t="s">
        <v>3842</v>
      </c>
      <c r="D1051" s="11" t="s">
        <v>3843</v>
      </c>
      <c r="E1051" s="11" t="s">
        <v>57</v>
      </c>
      <c r="F1051" s="11" t="s">
        <v>3844</v>
      </c>
      <c r="G1051" s="11" t="s">
        <v>28</v>
      </c>
      <c r="H1051" s="11" t="s">
        <v>3844</v>
      </c>
      <c r="I1051" s="11" t="s">
        <v>3845</v>
      </c>
      <c r="J1051" s="12">
        <v>0.42249999999999999</v>
      </c>
      <c r="K1051" s="13">
        <v>1</v>
      </c>
      <c r="L1051" s="14">
        <v>774</v>
      </c>
      <c r="M1051" s="10">
        <v>327</v>
      </c>
      <c r="N1051" s="10">
        <v>85528</v>
      </c>
      <c r="O1051" s="10">
        <v>25643</v>
      </c>
      <c r="P1051" s="10">
        <v>111171</v>
      </c>
    </row>
    <row r="1052" spans="1:16" ht="27" customHeight="1" x14ac:dyDescent="0.2">
      <c r="A1052" s="9" t="s">
        <v>3826</v>
      </c>
      <c r="B1052" s="10" t="s">
        <v>3827</v>
      </c>
      <c r="C1052" s="11" t="s">
        <v>3846</v>
      </c>
      <c r="D1052" s="11" t="s">
        <v>3847</v>
      </c>
      <c r="E1052" s="11" t="s">
        <v>57</v>
      </c>
      <c r="F1052" s="11" t="s">
        <v>3848</v>
      </c>
      <c r="G1052" s="11" t="s">
        <v>28</v>
      </c>
      <c r="H1052" s="11" t="s">
        <v>3848</v>
      </c>
      <c r="I1052" s="11" t="s">
        <v>3849</v>
      </c>
      <c r="J1052" s="12">
        <v>0.27229999999999999</v>
      </c>
      <c r="K1052" s="13">
        <v>1</v>
      </c>
      <c r="L1052" s="14">
        <v>202</v>
      </c>
      <c r="M1052" s="10">
        <v>55</v>
      </c>
      <c r="N1052" s="10">
        <v>22321</v>
      </c>
      <c r="O1052" s="10">
        <v>4313</v>
      </c>
      <c r="P1052" s="10">
        <v>26634</v>
      </c>
    </row>
    <row r="1053" spans="1:16" ht="27" customHeight="1" x14ac:dyDescent="0.2">
      <c r="A1053" s="9" t="s">
        <v>3826</v>
      </c>
      <c r="B1053" s="10" t="s">
        <v>3827</v>
      </c>
      <c r="C1053" s="11" t="s">
        <v>3850</v>
      </c>
      <c r="D1053" s="11" t="s">
        <v>3851</v>
      </c>
      <c r="E1053" s="11" t="s">
        <v>26</v>
      </c>
      <c r="F1053" s="11" t="s">
        <v>3852</v>
      </c>
      <c r="G1053" s="11" t="s">
        <v>28</v>
      </c>
      <c r="H1053" s="11" t="s">
        <v>3829</v>
      </c>
      <c r="I1053" s="11" t="s">
        <v>3830</v>
      </c>
      <c r="J1053" s="12">
        <v>0.94979999999999998</v>
      </c>
      <c r="K1053" s="13">
        <v>1</v>
      </c>
      <c r="L1053" s="14">
        <v>461</v>
      </c>
      <c r="M1053" s="10">
        <v>296</v>
      </c>
      <c r="N1053" s="10">
        <v>50941</v>
      </c>
      <c r="O1053" s="10">
        <v>23212</v>
      </c>
      <c r="P1053" s="10">
        <v>74153</v>
      </c>
    </row>
    <row r="1054" spans="1:16" ht="27" customHeight="1" x14ac:dyDescent="0.2">
      <c r="A1054" s="9" t="s">
        <v>3826</v>
      </c>
      <c r="B1054" s="10" t="s">
        <v>3827</v>
      </c>
      <c r="C1054" s="11" t="s">
        <v>3853</v>
      </c>
      <c r="D1054" s="11" t="s">
        <v>3854</v>
      </c>
      <c r="E1054" s="11" t="s">
        <v>26</v>
      </c>
      <c r="F1054" s="11" t="s">
        <v>3829</v>
      </c>
      <c r="G1054" s="11" t="s">
        <v>28</v>
      </c>
      <c r="H1054" s="11" t="s">
        <v>3829</v>
      </c>
      <c r="I1054" s="11" t="s">
        <v>3830</v>
      </c>
      <c r="J1054" s="12">
        <v>0.94979999999999998</v>
      </c>
      <c r="K1054" s="13">
        <v>1</v>
      </c>
      <c r="L1054" s="14">
        <v>558</v>
      </c>
      <c r="M1054" s="10">
        <v>530</v>
      </c>
      <c r="N1054" s="10">
        <v>61660</v>
      </c>
      <c r="O1054" s="10">
        <v>41562</v>
      </c>
      <c r="P1054" s="10">
        <v>103222</v>
      </c>
    </row>
    <row r="1055" spans="1:16" ht="27" customHeight="1" x14ac:dyDescent="0.2">
      <c r="A1055" s="9" t="s">
        <v>3826</v>
      </c>
      <c r="B1055" s="10" t="s">
        <v>3855</v>
      </c>
      <c r="C1055" s="11" t="s">
        <v>18</v>
      </c>
      <c r="D1055" s="11" t="s">
        <v>19</v>
      </c>
      <c r="E1055" s="11" t="s">
        <v>19</v>
      </c>
      <c r="F1055" s="11" t="s">
        <v>3856</v>
      </c>
      <c r="G1055" s="11" t="s">
        <v>83</v>
      </c>
      <c r="H1055" s="11" t="s">
        <v>3856</v>
      </c>
      <c r="I1055" s="11" t="s">
        <v>3857</v>
      </c>
      <c r="J1055" s="12">
        <v>0.56200000000000006</v>
      </c>
      <c r="K1055" s="13">
        <v>2</v>
      </c>
      <c r="L1055" s="14">
        <v>122</v>
      </c>
      <c r="M1055" s="10">
        <v>69</v>
      </c>
      <c r="N1055" s="10">
        <v>13481</v>
      </c>
      <c r="O1055" s="10">
        <v>5411</v>
      </c>
      <c r="P1055" s="10">
        <v>18892</v>
      </c>
    </row>
    <row r="1056" spans="1:16" ht="27" customHeight="1" x14ac:dyDescent="0.2">
      <c r="A1056" s="9" t="s">
        <v>3826</v>
      </c>
      <c r="B1056" s="10" t="s">
        <v>3855</v>
      </c>
      <c r="C1056" s="11" t="s">
        <v>3858</v>
      </c>
      <c r="D1056" s="11" t="s">
        <v>3859</v>
      </c>
      <c r="E1056" s="11" t="s">
        <v>57</v>
      </c>
      <c r="F1056" s="11" t="s">
        <v>3860</v>
      </c>
      <c r="G1056" s="11" t="s">
        <v>28</v>
      </c>
      <c r="H1056" s="11" t="s">
        <v>3860</v>
      </c>
      <c r="I1056" s="11" t="s">
        <v>3861</v>
      </c>
      <c r="J1056" s="12">
        <v>0.5</v>
      </c>
      <c r="K1056" s="13">
        <v>1</v>
      </c>
      <c r="L1056" s="14">
        <v>32</v>
      </c>
      <c r="M1056" s="10">
        <v>16</v>
      </c>
      <c r="N1056" s="10">
        <v>3536</v>
      </c>
      <c r="O1056" s="10">
        <v>1255</v>
      </c>
      <c r="P1056" s="10">
        <v>4791</v>
      </c>
    </row>
    <row r="1057" spans="1:16" ht="27" customHeight="1" x14ac:dyDescent="0.2">
      <c r="A1057" s="9" t="s">
        <v>3826</v>
      </c>
      <c r="B1057" s="10" t="s">
        <v>3862</v>
      </c>
      <c r="C1057" s="11" t="s">
        <v>18</v>
      </c>
      <c r="D1057" s="11" t="s">
        <v>19</v>
      </c>
      <c r="E1057" s="11" t="s">
        <v>19</v>
      </c>
      <c r="F1057" s="11" t="s">
        <v>3863</v>
      </c>
      <c r="G1057" s="11" t="s">
        <v>83</v>
      </c>
      <c r="H1057" s="11" t="s">
        <v>3863</v>
      </c>
      <c r="I1057" s="11" t="s">
        <v>3864</v>
      </c>
      <c r="J1057" s="12">
        <v>0.39739999999999998</v>
      </c>
      <c r="K1057" s="13">
        <v>2</v>
      </c>
      <c r="L1057" s="14">
        <v>156</v>
      </c>
      <c r="M1057" s="10">
        <v>62</v>
      </c>
      <c r="N1057" s="10">
        <v>17238</v>
      </c>
      <c r="O1057" s="10">
        <v>4862</v>
      </c>
      <c r="P1057" s="10">
        <v>22100</v>
      </c>
    </row>
    <row r="1058" spans="1:16" ht="27" customHeight="1" x14ac:dyDescent="0.2">
      <c r="A1058" s="9" t="s">
        <v>3826</v>
      </c>
      <c r="B1058" s="10" t="s">
        <v>3865</v>
      </c>
      <c r="C1058" s="11" t="s">
        <v>18</v>
      </c>
      <c r="D1058" s="11" t="s">
        <v>19</v>
      </c>
      <c r="E1058" s="11" t="s">
        <v>19</v>
      </c>
      <c r="F1058" s="11" t="s">
        <v>3866</v>
      </c>
      <c r="G1058" s="11" t="s">
        <v>83</v>
      </c>
      <c r="H1058" s="11" t="s">
        <v>3867</v>
      </c>
      <c r="I1058" s="11" t="s">
        <v>3868</v>
      </c>
      <c r="J1058" s="12">
        <v>0.72319999999999995</v>
      </c>
      <c r="K1058" s="13">
        <v>5</v>
      </c>
      <c r="L1058" s="14">
        <v>1132</v>
      </c>
      <c r="M1058" s="10">
        <v>781</v>
      </c>
      <c r="N1058" s="10">
        <v>125088</v>
      </c>
      <c r="O1058" s="10">
        <v>61245</v>
      </c>
      <c r="P1058" s="10">
        <v>186333</v>
      </c>
    </row>
    <row r="1059" spans="1:16" ht="27" customHeight="1" x14ac:dyDescent="0.2">
      <c r="A1059" s="9" t="s">
        <v>3826</v>
      </c>
      <c r="B1059" s="10" t="s">
        <v>3865</v>
      </c>
      <c r="C1059" s="11" t="s">
        <v>3869</v>
      </c>
      <c r="D1059" s="11" t="s">
        <v>3870</v>
      </c>
      <c r="E1059" s="11" t="s">
        <v>57</v>
      </c>
      <c r="F1059" s="11" t="s">
        <v>3871</v>
      </c>
      <c r="G1059" s="11" t="s">
        <v>28</v>
      </c>
      <c r="H1059" s="11" t="s">
        <v>3871</v>
      </c>
      <c r="I1059" s="11" t="s">
        <v>3872</v>
      </c>
      <c r="J1059" s="12">
        <v>0.34210000000000002</v>
      </c>
      <c r="K1059" s="13">
        <v>1</v>
      </c>
      <c r="L1059" s="14">
        <v>535</v>
      </c>
      <c r="M1059" s="10">
        <v>183</v>
      </c>
      <c r="N1059" s="10">
        <v>59118</v>
      </c>
      <c r="O1059" s="10">
        <v>14351</v>
      </c>
      <c r="P1059" s="10">
        <v>73469</v>
      </c>
    </row>
    <row r="1060" spans="1:16" ht="27" customHeight="1" x14ac:dyDescent="0.2">
      <c r="A1060" s="9" t="s">
        <v>3826</v>
      </c>
      <c r="B1060" s="10" t="s">
        <v>3873</v>
      </c>
      <c r="C1060" s="11" t="s">
        <v>18</v>
      </c>
      <c r="D1060" s="11" t="s">
        <v>19</v>
      </c>
      <c r="E1060" s="11" t="s">
        <v>19</v>
      </c>
      <c r="F1060" s="11" t="s">
        <v>3874</v>
      </c>
      <c r="G1060" s="11" t="s">
        <v>83</v>
      </c>
      <c r="H1060" s="11" t="s">
        <v>3875</v>
      </c>
      <c r="I1060" s="11" t="s">
        <v>3876</v>
      </c>
      <c r="J1060" s="12">
        <v>0.3579</v>
      </c>
      <c r="K1060" s="13">
        <v>3</v>
      </c>
      <c r="L1060" s="14">
        <v>687</v>
      </c>
      <c r="M1060" s="10">
        <v>237</v>
      </c>
      <c r="N1060" s="10">
        <v>75914</v>
      </c>
      <c r="O1060" s="10">
        <v>18585</v>
      </c>
      <c r="P1060" s="10">
        <v>94499</v>
      </c>
    </row>
    <row r="1061" spans="1:16" ht="27" customHeight="1" x14ac:dyDescent="0.2">
      <c r="A1061" s="9" t="s">
        <v>3826</v>
      </c>
      <c r="B1061" s="10" t="s">
        <v>3877</v>
      </c>
      <c r="C1061" s="11" t="s">
        <v>18</v>
      </c>
      <c r="D1061" s="11" t="s">
        <v>19</v>
      </c>
      <c r="E1061" s="11" t="s">
        <v>19</v>
      </c>
      <c r="F1061" s="11" t="s">
        <v>3878</v>
      </c>
      <c r="G1061" s="11" t="s">
        <v>83</v>
      </c>
      <c r="H1061" s="11" t="s">
        <v>3829</v>
      </c>
      <c r="I1061" s="11" t="s">
        <v>3830</v>
      </c>
      <c r="J1061" s="12">
        <v>0.94979999999999998</v>
      </c>
      <c r="K1061" s="13">
        <v>6</v>
      </c>
      <c r="L1061" s="14">
        <v>2481</v>
      </c>
      <c r="M1061" s="10">
        <v>940</v>
      </c>
      <c r="N1061" s="10">
        <v>274155</v>
      </c>
      <c r="O1061" s="10">
        <v>73714</v>
      </c>
      <c r="P1061" s="10">
        <v>347869</v>
      </c>
    </row>
    <row r="1062" spans="1:16" ht="27" customHeight="1" x14ac:dyDescent="0.2">
      <c r="A1062" s="9" t="s">
        <v>3826</v>
      </c>
      <c r="B1062" s="10" t="s">
        <v>3877</v>
      </c>
      <c r="C1062" s="11" t="s">
        <v>3879</v>
      </c>
      <c r="D1062" s="11" t="s">
        <v>3880</v>
      </c>
      <c r="E1062" s="11" t="s">
        <v>26</v>
      </c>
      <c r="F1062" s="11" t="s">
        <v>3881</v>
      </c>
      <c r="G1062" s="11" t="s">
        <v>28</v>
      </c>
      <c r="H1062" s="11" t="s">
        <v>3829</v>
      </c>
      <c r="I1062" s="11" t="s">
        <v>3830</v>
      </c>
      <c r="J1062" s="12">
        <v>0.94979999999999998</v>
      </c>
      <c r="K1062" s="13">
        <v>1</v>
      </c>
      <c r="L1062" s="14">
        <v>164</v>
      </c>
      <c r="M1062" s="10">
        <v>82</v>
      </c>
      <c r="N1062" s="10">
        <v>18122</v>
      </c>
      <c r="O1062" s="10">
        <v>6430</v>
      </c>
      <c r="P1062" s="10">
        <v>24552</v>
      </c>
    </row>
    <row r="1063" spans="1:16" ht="27" customHeight="1" x14ac:dyDescent="0.2">
      <c r="A1063" s="9" t="s">
        <v>3826</v>
      </c>
      <c r="B1063" s="10" t="s">
        <v>3882</v>
      </c>
      <c r="C1063" s="11" t="s">
        <v>18</v>
      </c>
      <c r="D1063" s="11" t="s">
        <v>19</v>
      </c>
      <c r="E1063" s="11" t="s">
        <v>19</v>
      </c>
      <c r="F1063" s="11" t="s">
        <v>3883</v>
      </c>
      <c r="G1063" s="11" t="s">
        <v>83</v>
      </c>
      <c r="H1063" s="11" t="s">
        <v>3884</v>
      </c>
      <c r="I1063" s="11" t="s">
        <v>3885</v>
      </c>
      <c r="J1063" s="12">
        <v>0.3448</v>
      </c>
      <c r="K1063" s="13">
        <v>5</v>
      </c>
      <c r="L1063" s="14">
        <v>1156</v>
      </c>
      <c r="M1063" s="10">
        <v>390</v>
      </c>
      <c r="N1063" s="10">
        <v>127740</v>
      </c>
      <c r="O1063" s="10">
        <v>30583</v>
      </c>
      <c r="P1063" s="10">
        <v>158323</v>
      </c>
    </row>
    <row r="1064" spans="1:16" ht="27" customHeight="1" x14ac:dyDescent="0.2">
      <c r="A1064" s="9" t="s">
        <v>3826</v>
      </c>
      <c r="B1064" s="10" t="s">
        <v>3882</v>
      </c>
      <c r="C1064" s="11" t="s">
        <v>3886</v>
      </c>
      <c r="D1064" s="11" t="s">
        <v>3887</v>
      </c>
      <c r="E1064" s="11" t="s">
        <v>57</v>
      </c>
      <c r="F1064" s="11" t="s">
        <v>3888</v>
      </c>
      <c r="G1064" s="11" t="s">
        <v>28</v>
      </c>
      <c r="H1064" s="11" t="s">
        <v>3888</v>
      </c>
      <c r="I1064" s="11" t="s">
        <v>3889</v>
      </c>
      <c r="J1064" s="12">
        <v>0.2823</v>
      </c>
      <c r="K1064" s="13">
        <v>1</v>
      </c>
      <c r="L1064" s="14">
        <v>248</v>
      </c>
      <c r="M1064" s="10">
        <v>70</v>
      </c>
      <c r="N1064" s="10">
        <v>27404</v>
      </c>
      <c r="O1064" s="10">
        <v>5489</v>
      </c>
      <c r="P1064" s="10">
        <v>32893</v>
      </c>
    </row>
    <row r="1065" spans="1:16" ht="27" customHeight="1" x14ac:dyDescent="0.2">
      <c r="A1065" s="9" t="s">
        <v>3826</v>
      </c>
      <c r="B1065" s="10" t="s">
        <v>3890</v>
      </c>
      <c r="C1065" s="11" t="s">
        <v>18</v>
      </c>
      <c r="D1065" s="11" t="s">
        <v>19</v>
      </c>
      <c r="E1065" s="11" t="s">
        <v>19</v>
      </c>
      <c r="F1065" s="11" t="s">
        <v>3891</v>
      </c>
      <c r="G1065" s="11" t="s">
        <v>83</v>
      </c>
      <c r="H1065" s="11" t="s">
        <v>3829</v>
      </c>
      <c r="I1065" s="11" t="s">
        <v>3830</v>
      </c>
      <c r="J1065" s="12">
        <v>0.94979999999999998</v>
      </c>
      <c r="K1065" s="13">
        <v>2</v>
      </c>
      <c r="L1065" s="14">
        <v>173</v>
      </c>
      <c r="M1065" s="10">
        <v>82</v>
      </c>
      <c r="N1065" s="10">
        <v>19117</v>
      </c>
      <c r="O1065" s="10">
        <v>6431</v>
      </c>
      <c r="P1065" s="10">
        <v>25548</v>
      </c>
    </row>
    <row r="1066" spans="1:16" ht="27" customHeight="1" x14ac:dyDescent="0.2">
      <c r="A1066" s="9" t="s">
        <v>3826</v>
      </c>
      <c r="B1066" s="10" t="s">
        <v>3890</v>
      </c>
      <c r="C1066" s="11" t="s">
        <v>3892</v>
      </c>
      <c r="D1066" s="11" t="s">
        <v>3893</v>
      </c>
      <c r="E1066" s="11" t="s">
        <v>57</v>
      </c>
      <c r="F1066" s="11" t="s">
        <v>3891</v>
      </c>
      <c r="G1066" s="11" t="s">
        <v>28</v>
      </c>
      <c r="H1066" s="11" t="s">
        <v>3891</v>
      </c>
      <c r="I1066" s="11" t="s">
        <v>3894</v>
      </c>
      <c r="J1066" s="12">
        <v>0.4325</v>
      </c>
      <c r="K1066" s="13">
        <v>1</v>
      </c>
      <c r="L1066" s="14">
        <v>541</v>
      </c>
      <c r="M1066" s="10">
        <v>234</v>
      </c>
      <c r="N1066" s="10">
        <v>59781</v>
      </c>
      <c r="O1066" s="10">
        <v>18350</v>
      </c>
      <c r="P1066" s="10">
        <v>78131</v>
      </c>
    </row>
    <row r="1067" spans="1:16" ht="27" customHeight="1" x14ac:dyDescent="0.2">
      <c r="A1067" s="9" t="s">
        <v>3826</v>
      </c>
      <c r="B1067" s="10" t="s">
        <v>3895</v>
      </c>
      <c r="C1067" s="11" t="s">
        <v>18</v>
      </c>
      <c r="D1067" s="11" t="s">
        <v>19</v>
      </c>
      <c r="E1067" s="11" t="s">
        <v>19</v>
      </c>
      <c r="F1067" s="11" t="s">
        <v>3896</v>
      </c>
      <c r="G1067" s="11" t="s">
        <v>83</v>
      </c>
      <c r="H1067" s="11" t="s">
        <v>3897</v>
      </c>
      <c r="I1067" s="11" t="s">
        <v>3898</v>
      </c>
      <c r="J1067" s="12">
        <v>0.81910000000000005</v>
      </c>
      <c r="K1067" s="13">
        <v>3</v>
      </c>
      <c r="L1067" s="14">
        <v>94</v>
      </c>
      <c r="M1067" s="10">
        <v>77</v>
      </c>
      <c r="N1067" s="10">
        <v>10387</v>
      </c>
      <c r="O1067" s="10">
        <v>6038</v>
      </c>
      <c r="P1067" s="10">
        <v>16425</v>
      </c>
    </row>
    <row r="1068" spans="1:16" ht="27" customHeight="1" x14ac:dyDescent="0.2">
      <c r="A1068" s="9" t="s">
        <v>3826</v>
      </c>
      <c r="B1068" s="10" t="s">
        <v>3899</v>
      </c>
      <c r="C1068" s="11" t="s">
        <v>18</v>
      </c>
      <c r="D1068" s="11" t="s">
        <v>19</v>
      </c>
      <c r="E1068" s="11" t="s">
        <v>19</v>
      </c>
      <c r="F1068" s="11" t="s">
        <v>3900</v>
      </c>
      <c r="G1068" s="11" t="s">
        <v>83</v>
      </c>
      <c r="H1068" s="11" t="s">
        <v>3901</v>
      </c>
      <c r="I1068" s="11" t="s">
        <v>3902</v>
      </c>
      <c r="J1068" s="12">
        <v>0.4879</v>
      </c>
      <c r="K1068" s="13">
        <v>4</v>
      </c>
      <c r="L1068" s="14">
        <v>573</v>
      </c>
      <c r="M1068" s="10">
        <v>273</v>
      </c>
      <c r="N1068" s="10">
        <v>63318</v>
      </c>
      <c r="O1068" s="10">
        <v>21408</v>
      </c>
      <c r="P1068" s="10">
        <v>84726</v>
      </c>
    </row>
    <row r="1069" spans="1:16" ht="27" customHeight="1" x14ac:dyDescent="0.2">
      <c r="A1069" s="9" t="s">
        <v>3826</v>
      </c>
      <c r="B1069" s="10" t="s">
        <v>3899</v>
      </c>
      <c r="C1069" s="11" t="s">
        <v>3903</v>
      </c>
      <c r="D1069" s="11" t="s">
        <v>3904</v>
      </c>
      <c r="E1069" s="11" t="s">
        <v>57</v>
      </c>
      <c r="F1069" s="11" t="s">
        <v>3905</v>
      </c>
      <c r="G1069" s="11" t="s">
        <v>28</v>
      </c>
      <c r="H1069" s="11" t="s">
        <v>3905</v>
      </c>
      <c r="I1069" s="11" t="s">
        <v>3906</v>
      </c>
      <c r="J1069" s="12">
        <v>0.878</v>
      </c>
      <c r="K1069" s="13">
        <v>1</v>
      </c>
      <c r="L1069" s="14">
        <v>41</v>
      </c>
      <c r="M1069" s="10">
        <v>36</v>
      </c>
      <c r="N1069" s="10">
        <v>4531</v>
      </c>
      <c r="O1069" s="10">
        <v>2823</v>
      </c>
      <c r="P1069" s="10">
        <v>7354</v>
      </c>
    </row>
    <row r="1070" spans="1:16" ht="27" customHeight="1" x14ac:dyDescent="0.2">
      <c r="A1070" s="9" t="s">
        <v>3907</v>
      </c>
      <c r="B1070" s="10" t="s">
        <v>3908</v>
      </c>
      <c r="C1070" s="11" t="s">
        <v>18</v>
      </c>
      <c r="D1070" s="11" t="s">
        <v>19</v>
      </c>
      <c r="E1070" s="11" t="s">
        <v>19</v>
      </c>
      <c r="F1070" s="11" t="s">
        <v>3909</v>
      </c>
      <c r="G1070" s="11" t="s">
        <v>21</v>
      </c>
      <c r="H1070" s="11" t="s">
        <v>3910</v>
      </c>
      <c r="I1070" s="11" t="s">
        <v>3911</v>
      </c>
      <c r="J1070" s="12">
        <v>0.97689999999999999</v>
      </c>
      <c r="K1070" s="13">
        <v>5</v>
      </c>
      <c r="L1070" s="14">
        <v>2193</v>
      </c>
      <c r="M1070" s="10">
        <v>1530</v>
      </c>
      <c r="N1070" s="10">
        <v>242331</v>
      </c>
      <c r="O1070" s="10">
        <v>119981</v>
      </c>
      <c r="P1070" s="10">
        <v>362312</v>
      </c>
    </row>
    <row r="1071" spans="1:16" ht="27" customHeight="1" x14ac:dyDescent="0.2">
      <c r="A1071" s="9" t="s">
        <v>3907</v>
      </c>
      <c r="B1071" s="10" t="s">
        <v>3908</v>
      </c>
      <c r="C1071" s="11" t="s">
        <v>3912</v>
      </c>
      <c r="D1071" s="11" t="s">
        <v>3913</v>
      </c>
      <c r="E1071" s="11" t="s">
        <v>26</v>
      </c>
      <c r="F1071" s="11" t="s">
        <v>3914</v>
      </c>
      <c r="G1071" s="11" t="s">
        <v>28</v>
      </c>
      <c r="H1071" s="11" t="s">
        <v>3910</v>
      </c>
      <c r="I1071" s="11" t="s">
        <v>3911</v>
      </c>
      <c r="J1071" s="12">
        <v>0.97689999999999999</v>
      </c>
      <c r="K1071" s="13">
        <v>1</v>
      </c>
      <c r="L1071" s="14">
        <v>803</v>
      </c>
      <c r="M1071" s="10">
        <v>602</v>
      </c>
      <c r="N1071" s="10">
        <v>88733</v>
      </c>
      <c r="O1071" s="10">
        <v>47208</v>
      </c>
      <c r="P1071" s="10">
        <v>135941</v>
      </c>
    </row>
    <row r="1072" spans="1:16" ht="27" customHeight="1" x14ac:dyDescent="0.2">
      <c r="A1072" s="9" t="s">
        <v>3907</v>
      </c>
      <c r="B1072" s="10" t="s">
        <v>3908</v>
      </c>
      <c r="C1072" s="11" t="s">
        <v>3915</v>
      </c>
      <c r="D1072" s="11" t="s">
        <v>3916</v>
      </c>
      <c r="E1072" s="11" t="s">
        <v>26</v>
      </c>
      <c r="F1072" s="11" t="s">
        <v>3917</v>
      </c>
      <c r="G1072" s="11" t="s">
        <v>28</v>
      </c>
      <c r="H1072" s="11" t="s">
        <v>3910</v>
      </c>
      <c r="I1072" s="11" t="s">
        <v>3911</v>
      </c>
      <c r="J1072" s="12">
        <v>0.97689999999999999</v>
      </c>
      <c r="K1072" s="13">
        <v>1</v>
      </c>
      <c r="L1072" s="14">
        <v>425</v>
      </c>
      <c r="M1072" s="10">
        <v>391</v>
      </c>
      <c r="N1072" s="10">
        <v>46963</v>
      </c>
      <c r="O1072" s="10">
        <v>30662</v>
      </c>
      <c r="P1072" s="10">
        <v>77625</v>
      </c>
    </row>
    <row r="1073" spans="1:16" ht="27" customHeight="1" x14ac:dyDescent="0.2">
      <c r="A1073" s="9" t="s">
        <v>3907</v>
      </c>
      <c r="B1073" s="10" t="s">
        <v>3908</v>
      </c>
      <c r="C1073" s="11" t="s">
        <v>3918</v>
      </c>
      <c r="D1073" s="11" t="s">
        <v>3919</v>
      </c>
      <c r="E1073" s="11" t="s">
        <v>57</v>
      </c>
      <c r="F1073" s="11" t="s">
        <v>3920</v>
      </c>
      <c r="G1073" s="11" t="s">
        <v>28</v>
      </c>
      <c r="H1073" s="11" t="s">
        <v>3910</v>
      </c>
      <c r="I1073" s="11" t="s">
        <v>3911</v>
      </c>
      <c r="J1073" s="12">
        <v>0.97689999999999999</v>
      </c>
      <c r="K1073" s="13">
        <v>1</v>
      </c>
      <c r="L1073" s="14">
        <v>156</v>
      </c>
      <c r="M1073" s="10">
        <v>143</v>
      </c>
      <c r="N1073" s="10">
        <v>17238</v>
      </c>
      <c r="O1073" s="10">
        <v>11214</v>
      </c>
      <c r="P1073" s="10">
        <v>28452</v>
      </c>
    </row>
    <row r="1074" spans="1:16" ht="27" customHeight="1" x14ac:dyDescent="0.2">
      <c r="A1074" s="9" t="s">
        <v>3907</v>
      </c>
      <c r="B1074" s="10" t="s">
        <v>3908</v>
      </c>
      <c r="C1074" s="11" t="s">
        <v>3921</v>
      </c>
      <c r="D1074" s="11" t="s">
        <v>3922</v>
      </c>
      <c r="E1074" s="11" t="s">
        <v>26</v>
      </c>
      <c r="F1074" s="11" t="s">
        <v>3923</v>
      </c>
      <c r="G1074" s="11" t="s">
        <v>28</v>
      </c>
      <c r="H1074" s="11" t="s">
        <v>3923</v>
      </c>
      <c r="I1074" s="11" t="s">
        <v>3924</v>
      </c>
      <c r="J1074" s="12">
        <v>0.1515</v>
      </c>
      <c r="K1074" s="13">
        <v>1</v>
      </c>
      <c r="L1074" s="14">
        <v>680</v>
      </c>
      <c r="M1074" s="10">
        <v>103</v>
      </c>
      <c r="N1074" s="10">
        <v>75141</v>
      </c>
      <c r="O1074" s="10">
        <v>8077</v>
      </c>
      <c r="P1074" s="10">
        <v>83218</v>
      </c>
    </row>
    <row r="1075" spans="1:16" ht="27" customHeight="1" x14ac:dyDescent="0.2">
      <c r="A1075" s="9" t="s">
        <v>3907</v>
      </c>
      <c r="B1075" s="10" t="s">
        <v>3908</v>
      </c>
      <c r="C1075" s="11" t="s">
        <v>3925</v>
      </c>
      <c r="D1075" s="11" t="s">
        <v>3926</v>
      </c>
      <c r="E1075" s="11" t="s">
        <v>26</v>
      </c>
      <c r="F1075" s="11" t="s">
        <v>3927</v>
      </c>
      <c r="G1075" s="11" t="s">
        <v>28</v>
      </c>
      <c r="H1075" s="11" t="s">
        <v>3910</v>
      </c>
      <c r="I1075" s="11" t="s">
        <v>3911</v>
      </c>
      <c r="J1075" s="12">
        <v>0.97689999999999999</v>
      </c>
      <c r="K1075" s="13">
        <v>1</v>
      </c>
      <c r="L1075" s="14">
        <v>80</v>
      </c>
      <c r="M1075" s="10">
        <v>42</v>
      </c>
      <c r="N1075" s="10">
        <v>8840</v>
      </c>
      <c r="O1075" s="10">
        <v>3294</v>
      </c>
      <c r="P1075" s="10">
        <v>12134</v>
      </c>
    </row>
    <row r="1076" spans="1:16" ht="27" customHeight="1" x14ac:dyDescent="0.2">
      <c r="A1076" s="9" t="s">
        <v>3907</v>
      </c>
      <c r="B1076" s="10" t="s">
        <v>3908</v>
      </c>
      <c r="C1076" s="11" t="s">
        <v>3928</v>
      </c>
      <c r="D1076" s="11" t="s">
        <v>3929</v>
      </c>
      <c r="E1076" s="11" t="s">
        <v>26</v>
      </c>
      <c r="F1076" s="11" t="s">
        <v>3930</v>
      </c>
      <c r="G1076" s="11" t="s">
        <v>28</v>
      </c>
      <c r="H1076" s="11" t="s">
        <v>3910</v>
      </c>
      <c r="I1076" s="11" t="s">
        <v>3911</v>
      </c>
      <c r="J1076" s="12">
        <v>0.97689999999999999</v>
      </c>
      <c r="K1076" s="13">
        <v>1</v>
      </c>
      <c r="L1076" s="14">
        <v>373</v>
      </c>
      <c r="M1076" s="10">
        <v>261</v>
      </c>
      <c r="N1076" s="10">
        <v>41217</v>
      </c>
      <c r="O1076" s="10">
        <v>20467</v>
      </c>
      <c r="P1076" s="10">
        <v>61684</v>
      </c>
    </row>
    <row r="1077" spans="1:16" ht="27" customHeight="1" x14ac:dyDescent="0.2">
      <c r="A1077" s="9" t="s">
        <v>3907</v>
      </c>
      <c r="B1077" s="10" t="s">
        <v>3908</v>
      </c>
      <c r="C1077" s="11" t="s">
        <v>3931</v>
      </c>
      <c r="D1077" s="11" t="s">
        <v>3932</v>
      </c>
      <c r="E1077" s="11" t="s">
        <v>26</v>
      </c>
      <c r="F1077" s="11" t="s">
        <v>3933</v>
      </c>
      <c r="G1077" s="11" t="s">
        <v>28</v>
      </c>
      <c r="H1077" s="11" t="s">
        <v>3933</v>
      </c>
      <c r="I1077" s="11" t="s">
        <v>3934</v>
      </c>
      <c r="J1077" s="12">
        <v>0.22489999999999999</v>
      </c>
      <c r="K1077" s="13">
        <v>1</v>
      </c>
      <c r="L1077" s="14">
        <v>249</v>
      </c>
      <c r="M1077" s="10">
        <v>56</v>
      </c>
      <c r="N1077" s="10">
        <v>27515</v>
      </c>
      <c r="O1077" s="10">
        <v>4391</v>
      </c>
      <c r="P1077" s="10">
        <v>31906</v>
      </c>
    </row>
    <row r="1078" spans="1:16" ht="27" customHeight="1" x14ac:dyDescent="0.2">
      <c r="A1078" s="9" t="s">
        <v>3907</v>
      </c>
      <c r="B1078" s="10" t="s">
        <v>3908</v>
      </c>
      <c r="C1078" s="11" t="s">
        <v>3935</v>
      </c>
      <c r="D1078" s="11" t="s">
        <v>3936</v>
      </c>
      <c r="E1078" s="11" t="s">
        <v>26</v>
      </c>
      <c r="F1078" s="11" t="s">
        <v>3937</v>
      </c>
      <c r="G1078" s="11" t="s">
        <v>28</v>
      </c>
      <c r="H1078" s="11" t="s">
        <v>3937</v>
      </c>
      <c r="I1078" s="11" t="s">
        <v>3938</v>
      </c>
      <c r="J1078" s="12">
        <v>0.41089999999999999</v>
      </c>
      <c r="K1078" s="13">
        <v>1</v>
      </c>
      <c r="L1078" s="14">
        <v>1005</v>
      </c>
      <c r="M1078" s="10">
        <v>413</v>
      </c>
      <c r="N1078" s="10">
        <v>111054</v>
      </c>
      <c r="O1078" s="10">
        <v>32387</v>
      </c>
      <c r="P1078" s="10">
        <v>143441</v>
      </c>
    </row>
    <row r="1079" spans="1:16" ht="27" customHeight="1" x14ac:dyDescent="0.2">
      <c r="A1079" s="9" t="s">
        <v>3907</v>
      </c>
      <c r="B1079" s="10" t="s">
        <v>3908</v>
      </c>
      <c r="C1079" s="11" t="s">
        <v>3939</v>
      </c>
      <c r="D1079" s="11" t="s">
        <v>3940</v>
      </c>
      <c r="E1079" s="11" t="s">
        <v>26</v>
      </c>
      <c r="F1079" s="11" t="s">
        <v>3941</v>
      </c>
      <c r="G1079" s="11" t="s">
        <v>28</v>
      </c>
      <c r="H1079" s="11" t="s">
        <v>3941</v>
      </c>
      <c r="I1079" s="11" t="s">
        <v>3942</v>
      </c>
      <c r="J1079" s="12">
        <v>0.90980000000000005</v>
      </c>
      <c r="K1079" s="13">
        <v>1</v>
      </c>
      <c r="L1079" s="14">
        <v>643</v>
      </c>
      <c r="M1079" s="10">
        <v>585</v>
      </c>
      <c r="N1079" s="10">
        <v>71053</v>
      </c>
      <c r="O1079" s="10">
        <v>45875</v>
      </c>
      <c r="P1079" s="10">
        <v>116928</v>
      </c>
    </row>
    <row r="1080" spans="1:16" ht="27" customHeight="1" x14ac:dyDescent="0.2">
      <c r="A1080" s="9" t="s">
        <v>3907</v>
      </c>
      <c r="B1080" s="10" t="s">
        <v>3908</v>
      </c>
      <c r="C1080" s="11" t="s">
        <v>3943</v>
      </c>
      <c r="D1080" s="11" t="s">
        <v>3944</v>
      </c>
      <c r="E1080" s="11" t="s">
        <v>26</v>
      </c>
      <c r="F1080" s="11" t="s">
        <v>3945</v>
      </c>
      <c r="G1080" s="11" t="s">
        <v>28</v>
      </c>
      <c r="H1080" s="11" t="s">
        <v>3910</v>
      </c>
      <c r="I1080" s="11" t="s">
        <v>3911</v>
      </c>
      <c r="J1080" s="12">
        <v>0.97689999999999999</v>
      </c>
      <c r="K1080" s="13">
        <v>1</v>
      </c>
      <c r="L1080" s="14">
        <v>159</v>
      </c>
      <c r="M1080" s="10">
        <v>144</v>
      </c>
      <c r="N1080" s="10">
        <v>17570</v>
      </c>
      <c r="O1080" s="10">
        <v>11292</v>
      </c>
      <c r="P1080" s="10">
        <v>28862</v>
      </c>
    </row>
    <row r="1081" spans="1:16" ht="27" customHeight="1" x14ac:dyDescent="0.2">
      <c r="A1081" s="9" t="s">
        <v>3907</v>
      </c>
      <c r="B1081" s="10" t="s">
        <v>3908</v>
      </c>
      <c r="C1081" s="11" t="s">
        <v>3946</v>
      </c>
      <c r="D1081" s="11" t="s">
        <v>3947</v>
      </c>
      <c r="E1081" s="11" t="s">
        <v>26</v>
      </c>
      <c r="F1081" s="11" t="s">
        <v>3948</v>
      </c>
      <c r="G1081" s="11" t="s">
        <v>28</v>
      </c>
      <c r="H1081" s="11" t="s">
        <v>3948</v>
      </c>
      <c r="I1081" s="11" t="s">
        <v>3949</v>
      </c>
      <c r="J1081" s="12">
        <v>0.61209999999999998</v>
      </c>
      <c r="K1081" s="13">
        <v>1</v>
      </c>
      <c r="L1081" s="14">
        <v>397</v>
      </c>
      <c r="M1081" s="10">
        <v>243</v>
      </c>
      <c r="N1081" s="10">
        <v>43869</v>
      </c>
      <c r="O1081" s="10">
        <v>19056</v>
      </c>
      <c r="P1081" s="10">
        <v>62925</v>
      </c>
    </row>
    <row r="1082" spans="1:16" ht="27" customHeight="1" x14ac:dyDescent="0.2">
      <c r="A1082" s="9" t="s">
        <v>3907</v>
      </c>
      <c r="B1082" s="10" t="s">
        <v>3908</v>
      </c>
      <c r="C1082" s="11" t="s">
        <v>3950</v>
      </c>
      <c r="D1082" s="11" t="s">
        <v>3951</v>
      </c>
      <c r="E1082" s="11" t="s">
        <v>26</v>
      </c>
      <c r="F1082" s="11" t="s">
        <v>3952</v>
      </c>
      <c r="G1082" s="11" t="s">
        <v>28</v>
      </c>
      <c r="H1082" s="11" t="s">
        <v>3952</v>
      </c>
      <c r="I1082" s="11" t="s">
        <v>3953</v>
      </c>
      <c r="J1082" s="12">
        <v>0.87880000000000003</v>
      </c>
      <c r="K1082" s="13">
        <v>1</v>
      </c>
      <c r="L1082" s="14">
        <v>330</v>
      </c>
      <c r="M1082" s="10">
        <v>290</v>
      </c>
      <c r="N1082" s="10">
        <v>36466</v>
      </c>
      <c r="O1082" s="10">
        <v>22742</v>
      </c>
      <c r="P1082" s="10">
        <v>59208</v>
      </c>
    </row>
    <row r="1083" spans="1:16" ht="27" customHeight="1" x14ac:dyDescent="0.2">
      <c r="A1083" s="9" t="s">
        <v>3907</v>
      </c>
      <c r="B1083" s="10" t="s">
        <v>3908</v>
      </c>
      <c r="C1083" s="11" t="s">
        <v>3954</v>
      </c>
      <c r="D1083" s="11" t="s">
        <v>3955</v>
      </c>
      <c r="E1083" s="11" t="s">
        <v>26</v>
      </c>
      <c r="F1083" s="11" t="s">
        <v>3956</v>
      </c>
      <c r="G1083" s="11" t="s">
        <v>28</v>
      </c>
      <c r="H1083" s="11" t="s">
        <v>3956</v>
      </c>
      <c r="I1083" s="11" t="s">
        <v>3957</v>
      </c>
      <c r="J1083" s="12">
        <v>0.63639999999999997</v>
      </c>
      <c r="K1083" s="13">
        <v>1</v>
      </c>
      <c r="L1083" s="14">
        <v>187</v>
      </c>
      <c r="M1083" s="10">
        <v>119</v>
      </c>
      <c r="N1083" s="10">
        <v>20664</v>
      </c>
      <c r="O1083" s="10">
        <v>9332</v>
      </c>
      <c r="P1083" s="10">
        <v>29996</v>
      </c>
    </row>
    <row r="1084" spans="1:16" ht="27" customHeight="1" x14ac:dyDescent="0.2">
      <c r="A1084" s="9" t="s">
        <v>3907</v>
      </c>
      <c r="B1084" s="10" t="s">
        <v>3908</v>
      </c>
      <c r="C1084" s="11" t="s">
        <v>3958</v>
      </c>
      <c r="D1084" s="11" t="s">
        <v>3959</v>
      </c>
      <c r="E1084" s="11" t="s">
        <v>26</v>
      </c>
      <c r="F1084" s="11" t="s">
        <v>3960</v>
      </c>
      <c r="G1084" s="11" t="s">
        <v>28</v>
      </c>
      <c r="H1084" s="11" t="s">
        <v>3960</v>
      </c>
      <c r="I1084" s="11" t="s">
        <v>3961</v>
      </c>
      <c r="J1084" s="12">
        <v>0.57140000000000002</v>
      </c>
      <c r="K1084" s="13">
        <v>1</v>
      </c>
      <c r="L1084" s="14">
        <v>77</v>
      </c>
      <c r="M1084" s="10">
        <v>44</v>
      </c>
      <c r="N1084" s="10">
        <v>8509</v>
      </c>
      <c r="O1084" s="10">
        <v>3450</v>
      </c>
      <c r="P1084" s="10">
        <v>11959</v>
      </c>
    </row>
    <row r="1085" spans="1:16" ht="27" customHeight="1" x14ac:dyDescent="0.2">
      <c r="A1085" s="9" t="s">
        <v>3907</v>
      </c>
      <c r="B1085" s="10" t="s">
        <v>3908</v>
      </c>
      <c r="C1085" s="11" t="s">
        <v>3962</v>
      </c>
      <c r="D1085" s="11" t="s">
        <v>3963</v>
      </c>
      <c r="E1085" s="11" t="s">
        <v>26</v>
      </c>
      <c r="F1085" s="11" t="s">
        <v>3964</v>
      </c>
      <c r="G1085" s="11" t="s">
        <v>28</v>
      </c>
      <c r="H1085" s="11" t="s">
        <v>3964</v>
      </c>
      <c r="I1085" s="11" t="s">
        <v>3965</v>
      </c>
      <c r="J1085" s="12">
        <v>0.33119999999999999</v>
      </c>
      <c r="K1085" s="13">
        <v>1</v>
      </c>
      <c r="L1085" s="14">
        <v>157</v>
      </c>
      <c r="M1085" s="10">
        <v>52</v>
      </c>
      <c r="N1085" s="10">
        <v>17349</v>
      </c>
      <c r="O1085" s="10">
        <v>4078</v>
      </c>
      <c r="P1085" s="10">
        <v>21427</v>
      </c>
    </row>
    <row r="1086" spans="1:16" ht="27" customHeight="1" x14ac:dyDescent="0.2">
      <c r="A1086" s="9" t="s">
        <v>3907</v>
      </c>
      <c r="B1086" s="10" t="s">
        <v>3908</v>
      </c>
      <c r="C1086" s="11" t="s">
        <v>3966</v>
      </c>
      <c r="D1086" s="11" t="s">
        <v>3967</v>
      </c>
      <c r="E1086" s="11" t="s">
        <v>26</v>
      </c>
      <c r="F1086" s="11" t="s">
        <v>3968</v>
      </c>
      <c r="G1086" s="11" t="s">
        <v>28</v>
      </c>
      <c r="H1086" s="11" t="s">
        <v>3968</v>
      </c>
      <c r="I1086" s="11" t="s">
        <v>3969</v>
      </c>
      <c r="J1086" s="12">
        <v>0.6</v>
      </c>
      <c r="K1086" s="13">
        <v>1</v>
      </c>
      <c r="L1086" s="14">
        <v>130</v>
      </c>
      <c r="M1086" s="10">
        <v>78</v>
      </c>
      <c r="N1086" s="10">
        <v>14365</v>
      </c>
      <c r="O1086" s="10">
        <v>6117</v>
      </c>
      <c r="P1086" s="10">
        <v>20482</v>
      </c>
    </row>
    <row r="1087" spans="1:16" ht="27" customHeight="1" x14ac:dyDescent="0.2">
      <c r="A1087" s="9" t="s">
        <v>3907</v>
      </c>
      <c r="B1087" s="10" t="s">
        <v>3908</v>
      </c>
      <c r="C1087" s="11" t="s">
        <v>3970</v>
      </c>
      <c r="D1087" s="11" t="s">
        <v>3971</v>
      </c>
      <c r="E1087" s="11" t="s">
        <v>26</v>
      </c>
      <c r="F1087" s="11" t="s">
        <v>3972</v>
      </c>
      <c r="G1087" s="11" t="s">
        <v>28</v>
      </c>
      <c r="H1087" s="11" t="s">
        <v>3972</v>
      </c>
      <c r="I1087" s="11" t="s">
        <v>3973</v>
      </c>
      <c r="J1087" s="12">
        <v>0.14560000000000001</v>
      </c>
      <c r="K1087" s="13">
        <v>1</v>
      </c>
      <c r="L1087" s="14">
        <v>529</v>
      </c>
      <c r="M1087" s="10">
        <v>77</v>
      </c>
      <c r="N1087" s="10">
        <v>58455</v>
      </c>
      <c r="O1087" s="10">
        <v>6038</v>
      </c>
      <c r="P1087" s="10">
        <v>64493</v>
      </c>
    </row>
    <row r="1088" spans="1:16" ht="27" customHeight="1" x14ac:dyDescent="0.2">
      <c r="A1088" s="9" t="s">
        <v>3907</v>
      </c>
      <c r="B1088" s="10" t="s">
        <v>3908</v>
      </c>
      <c r="C1088" s="11" t="s">
        <v>3974</v>
      </c>
      <c r="D1088" s="11" t="s">
        <v>3975</v>
      </c>
      <c r="E1088" s="11" t="s">
        <v>26</v>
      </c>
      <c r="F1088" s="11" t="s">
        <v>3976</v>
      </c>
      <c r="G1088" s="11" t="s">
        <v>28</v>
      </c>
      <c r="H1088" s="11" t="s">
        <v>3976</v>
      </c>
      <c r="I1088" s="11" t="s">
        <v>3977</v>
      </c>
      <c r="J1088" s="12">
        <v>0.14760000000000001</v>
      </c>
      <c r="K1088" s="13">
        <v>1</v>
      </c>
      <c r="L1088" s="14">
        <v>210</v>
      </c>
      <c r="M1088" s="10">
        <v>31</v>
      </c>
      <c r="N1088" s="10">
        <v>23205</v>
      </c>
      <c r="O1088" s="10">
        <v>2431</v>
      </c>
      <c r="P1088" s="10">
        <v>25636</v>
      </c>
    </row>
    <row r="1089" spans="1:16" ht="27" customHeight="1" x14ac:dyDescent="0.2">
      <c r="A1089" s="9" t="s">
        <v>3907</v>
      </c>
      <c r="B1089" s="10" t="s">
        <v>3908</v>
      </c>
      <c r="C1089" s="11" t="s">
        <v>3978</v>
      </c>
      <c r="D1089" s="11" t="s">
        <v>3979</v>
      </c>
      <c r="E1089" s="11" t="s">
        <v>26</v>
      </c>
      <c r="F1089" s="11" t="s">
        <v>3980</v>
      </c>
      <c r="G1089" s="11" t="s">
        <v>28</v>
      </c>
      <c r="H1089" s="11" t="s">
        <v>3910</v>
      </c>
      <c r="I1089" s="11" t="s">
        <v>3911</v>
      </c>
      <c r="J1089" s="12">
        <v>0.97689999999999999</v>
      </c>
      <c r="K1089" s="13">
        <v>1</v>
      </c>
      <c r="L1089" s="14">
        <v>0</v>
      </c>
      <c r="M1089" s="10">
        <v>0</v>
      </c>
      <c r="N1089" s="10">
        <v>0</v>
      </c>
      <c r="O1089" s="10">
        <v>0</v>
      </c>
      <c r="P1089" s="10">
        <v>0</v>
      </c>
    </row>
    <row r="1090" spans="1:16" ht="27" customHeight="1" x14ac:dyDescent="0.2">
      <c r="A1090" s="9" t="s">
        <v>3907</v>
      </c>
      <c r="B1090" s="10" t="s">
        <v>3908</v>
      </c>
      <c r="C1090" s="11" t="s">
        <v>3981</v>
      </c>
      <c r="D1090" s="11" t="s">
        <v>3982</v>
      </c>
      <c r="E1090" s="11" t="s">
        <v>26</v>
      </c>
      <c r="F1090" s="11" t="s">
        <v>3983</v>
      </c>
      <c r="G1090" s="11" t="s">
        <v>28</v>
      </c>
      <c r="H1090" s="11" t="s">
        <v>3983</v>
      </c>
      <c r="I1090" s="11" t="s">
        <v>3984</v>
      </c>
      <c r="J1090" s="12">
        <v>0</v>
      </c>
      <c r="K1090" s="13">
        <v>1</v>
      </c>
      <c r="L1090" s="14">
        <v>0</v>
      </c>
      <c r="M1090" s="10">
        <v>0</v>
      </c>
      <c r="N1090" s="10">
        <v>0</v>
      </c>
      <c r="O1090" s="10">
        <v>0</v>
      </c>
      <c r="P1090" s="10">
        <v>0</v>
      </c>
    </row>
    <row r="1091" spans="1:16" ht="27" customHeight="1" x14ac:dyDescent="0.2">
      <c r="A1091" s="9" t="s">
        <v>3907</v>
      </c>
      <c r="B1091" s="10" t="s">
        <v>3908</v>
      </c>
      <c r="C1091" s="11" t="s">
        <v>3985</v>
      </c>
      <c r="D1091" s="11" t="s">
        <v>3986</v>
      </c>
      <c r="E1091" s="11" t="s">
        <v>26</v>
      </c>
      <c r="F1091" s="11" t="s">
        <v>3987</v>
      </c>
      <c r="G1091" s="11" t="s">
        <v>28</v>
      </c>
      <c r="H1091" s="11" t="s">
        <v>3910</v>
      </c>
      <c r="I1091" s="11" t="s">
        <v>3911</v>
      </c>
      <c r="J1091" s="12">
        <v>0.97689999999999999</v>
      </c>
      <c r="K1091" s="13">
        <v>1</v>
      </c>
      <c r="L1091" s="14">
        <v>0</v>
      </c>
      <c r="M1091" s="10">
        <v>0</v>
      </c>
      <c r="N1091" s="10">
        <v>0</v>
      </c>
      <c r="O1091" s="10">
        <v>0</v>
      </c>
      <c r="P1091" s="10">
        <v>0</v>
      </c>
    </row>
    <row r="1092" spans="1:16" ht="27" customHeight="1" x14ac:dyDescent="0.2">
      <c r="A1092" s="9" t="s">
        <v>3907</v>
      </c>
      <c r="B1092" s="10" t="s">
        <v>3908</v>
      </c>
      <c r="C1092" s="11" t="s">
        <v>3988</v>
      </c>
      <c r="D1092" s="11" t="s">
        <v>3989</v>
      </c>
      <c r="E1092" s="11" t="s">
        <v>26</v>
      </c>
      <c r="F1092" s="11" t="s">
        <v>3990</v>
      </c>
      <c r="G1092" s="11" t="s">
        <v>28</v>
      </c>
      <c r="H1092" s="11" t="s">
        <v>3990</v>
      </c>
      <c r="I1092" s="11" t="s">
        <v>3991</v>
      </c>
      <c r="J1092" s="12">
        <v>0</v>
      </c>
      <c r="K1092" s="13">
        <v>1</v>
      </c>
      <c r="L1092" s="14">
        <v>0</v>
      </c>
      <c r="M1092" s="10">
        <v>0</v>
      </c>
      <c r="N1092" s="10">
        <v>0</v>
      </c>
      <c r="O1092" s="10">
        <v>0</v>
      </c>
      <c r="P1092" s="10">
        <v>0</v>
      </c>
    </row>
    <row r="1093" spans="1:16" ht="27" customHeight="1" x14ac:dyDescent="0.2">
      <c r="A1093" s="9" t="s">
        <v>3907</v>
      </c>
      <c r="B1093" s="10" t="s">
        <v>3908</v>
      </c>
      <c r="C1093" s="11" t="s">
        <v>3992</v>
      </c>
      <c r="D1093" s="11" t="s">
        <v>3993</v>
      </c>
      <c r="E1093" s="11" t="s">
        <v>26</v>
      </c>
      <c r="F1093" s="11" t="s">
        <v>3994</v>
      </c>
      <c r="G1093" s="11" t="s">
        <v>28</v>
      </c>
      <c r="H1093" s="11" t="s">
        <v>3910</v>
      </c>
      <c r="I1093" s="11" t="s">
        <v>3911</v>
      </c>
      <c r="J1093" s="12">
        <v>0.97689999999999999</v>
      </c>
      <c r="K1093" s="13">
        <v>1</v>
      </c>
      <c r="L1093" s="14">
        <v>2252</v>
      </c>
      <c r="M1093" s="10">
        <v>280</v>
      </c>
      <c r="N1093" s="10">
        <v>248850</v>
      </c>
      <c r="O1093" s="10">
        <v>21957</v>
      </c>
      <c r="P1093" s="10">
        <v>270807</v>
      </c>
    </row>
    <row r="1094" spans="1:16" ht="27" customHeight="1" x14ac:dyDescent="0.2">
      <c r="A1094" s="9" t="s">
        <v>3907</v>
      </c>
      <c r="B1094" s="10" t="s">
        <v>3995</v>
      </c>
      <c r="C1094" s="11" t="s">
        <v>18</v>
      </c>
      <c r="D1094" s="11" t="s">
        <v>19</v>
      </c>
      <c r="E1094" s="11" t="s">
        <v>19</v>
      </c>
      <c r="F1094" s="11" t="s">
        <v>3996</v>
      </c>
      <c r="G1094" s="11" t="s">
        <v>83</v>
      </c>
      <c r="H1094" s="11" t="s">
        <v>3997</v>
      </c>
      <c r="I1094" s="11" t="s">
        <v>3998</v>
      </c>
      <c r="J1094" s="12">
        <v>0.60829999999999995</v>
      </c>
      <c r="K1094" s="13">
        <v>7</v>
      </c>
      <c r="L1094" s="14">
        <v>3095</v>
      </c>
      <c r="M1094" s="10">
        <v>1716</v>
      </c>
      <c r="N1094" s="10">
        <v>342003</v>
      </c>
      <c r="O1094" s="10">
        <v>134567</v>
      </c>
      <c r="P1094" s="10">
        <v>476570</v>
      </c>
    </row>
    <row r="1095" spans="1:16" ht="27" customHeight="1" x14ac:dyDescent="0.2">
      <c r="A1095" s="9" t="s">
        <v>3907</v>
      </c>
      <c r="B1095" s="10" t="s">
        <v>3999</v>
      </c>
      <c r="C1095" s="11" t="s">
        <v>18</v>
      </c>
      <c r="D1095" s="11" t="s">
        <v>19</v>
      </c>
      <c r="E1095" s="11" t="s">
        <v>19</v>
      </c>
      <c r="F1095" s="11" t="s">
        <v>4000</v>
      </c>
      <c r="G1095" s="11" t="s">
        <v>83</v>
      </c>
      <c r="H1095" s="11" t="s">
        <v>4001</v>
      </c>
      <c r="I1095" s="11" t="s">
        <v>4002</v>
      </c>
      <c r="J1095" s="12">
        <v>0.83399999999999996</v>
      </c>
      <c r="K1095" s="13">
        <v>25</v>
      </c>
      <c r="L1095" s="14">
        <v>15593</v>
      </c>
      <c r="M1095" s="10">
        <v>11546</v>
      </c>
      <c r="N1095" s="10">
        <v>1723052</v>
      </c>
      <c r="O1095" s="10">
        <v>905426</v>
      </c>
      <c r="P1095" s="10">
        <v>2628478</v>
      </c>
    </row>
    <row r="1096" spans="1:16" ht="27" customHeight="1" x14ac:dyDescent="0.2">
      <c r="A1096" s="9" t="s">
        <v>3907</v>
      </c>
      <c r="B1096" s="10" t="s">
        <v>3999</v>
      </c>
      <c r="C1096" s="11" t="s">
        <v>4003</v>
      </c>
      <c r="D1096" s="11" t="s">
        <v>4004</v>
      </c>
      <c r="E1096" s="11" t="s">
        <v>26</v>
      </c>
      <c r="F1096" s="11" t="s">
        <v>4005</v>
      </c>
      <c r="G1096" s="11" t="s">
        <v>28</v>
      </c>
      <c r="H1096" s="11" t="s">
        <v>4005</v>
      </c>
      <c r="I1096" s="11" t="s">
        <v>4006</v>
      </c>
      <c r="J1096" s="12">
        <v>0.66390000000000005</v>
      </c>
      <c r="K1096" s="13">
        <v>1</v>
      </c>
      <c r="L1096" s="14">
        <v>241</v>
      </c>
      <c r="M1096" s="10">
        <v>160</v>
      </c>
      <c r="N1096" s="10">
        <v>26631</v>
      </c>
      <c r="O1096" s="10">
        <v>12547</v>
      </c>
      <c r="P1096" s="10">
        <v>39178</v>
      </c>
    </row>
    <row r="1097" spans="1:16" ht="27" customHeight="1" x14ac:dyDescent="0.2">
      <c r="A1097" s="9" t="s">
        <v>3907</v>
      </c>
      <c r="B1097" s="10" t="s">
        <v>3999</v>
      </c>
      <c r="C1097" s="11" t="s">
        <v>4007</v>
      </c>
      <c r="D1097" s="11" t="s">
        <v>4008</v>
      </c>
      <c r="E1097" s="11" t="s">
        <v>26</v>
      </c>
      <c r="F1097" s="11" t="s">
        <v>4009</v>
      </c>
      <c r="G1097" s="11" t="s">
        <v>28</v>
      </c>
      <c r="H1097" s="11" t="s">
        <v>4009</v>
      </c>
      <c r="I1097" s="11" t="s">
        <v>4010</v>
      </c>
      <c r="J1097" s="12">
        <v>0.84250000000000003</v>
      </c>
      <c r="K1097" s="13">
        <v>1</v>
      </c>
      <c r="L1097" s="14">
        <v>273</v>
      </c>
      <c r="M1097" s="10">
        <v>230</v>
      </c>
      <c r="N1097" s="10">
        <v>30167</v>
      </c>
      <c r="O1097" s="10">
        <v>18036</v>
      </c>
      <c r="P1097" s="10">
        <v>48203</v>
      </c>
    </row>
    <row r="1098" spans="1:16" ht="27" customHeight="1" x14ac:dyDescent="0.2">
      <c r="A1098" s="9" t="s">
        <v>3907</v>
      </c>
      <c r="B1098" s="10" t="s">
        <v>4011</v>
      </c>
      <c r="C1098" s="11" t="s">
        <v>18</v>
      </c>
      <c r="D1098" s="11" t="s">
        <v>19</v>
      </c>
      <c r="E1098" s="11" t="s">
        <v>19</v>
      </c>
      <c r="F1098" s="11" t="s">
        <v>4012</v>
      </c>
      <c r="G1098" s="11" t="s">
        <v>83</v>
      </c>
      <c r="H1098" s="11" t="s">
        <v>3910</v>
      </c>
      <c r="I1098" s="11" t="s">
        <v>3911</v>
      </c>
      <c r="J1098" s="12">
        <v>0.97689999999999999</v>
      </c>
      <c r="K1098" s="13">
        <v>22</v>
      </c>
      <c r="L1098" s="14">
        <v>27706</v>
      </c>
      <c r="M1098" s="10">
        <v>21541</v>
      </c>
      <c r="N1098" s="10">
        <v>3061560</v>
      </c>
      <c r="O1098" s="10">
        <v>1689221</v>
      </c>
      <c r="P1098" s="10">
        <v>4750781</v>
      </c>
    </row>
    <row r="1099" spans="1:16" ht="27" customHeight="1" x14ac:dyDescent="0.2">
      <c r="A1099" s="9" t="s">
        <v>3907</v>
      </c>
      <c r="B1099" s="10" t="s">
        <v>4013</v>
      </c>
      <c r="C1099" s="11" t="s">
        <v>18</v>
      </c>
      <c r="D1099" s="11" t="s">
        <v>19</v>
      </c>
      <c r="E1099" s="11" t="s">
        <v>19</v>
      </c>
      <c r="F1099" s="11" t="s">
        <v>4014</v>
      </c>
      <c r="G1099" s="11" t="s">
        <v>83</v>
      </c>
      <c r="H1099" s="11" t="s">
        <v>4015</v>
      </c>
      <c r="I1099" s="11" t="s">
        <v>4016</v>
      </c>
      <c r="J1099" s="12">
        <v>0.32890000000000003</v>
      </c>
      <c r="K1099" s="13">
        <v>11</v>
      </c>
      <c r="L1099" s="14">
        <v>5841</v>
      </c>
      <c r="M1099" s="10">
        <v>1286</v>
      </c>
      <c r="N1099" s="10">
        <v>645440</v>
      </c>
      <c r="O1099" s="10">
        <v>100847</v>
      </c>
      <c r="P1099" s="10">
        <v>746287</v>
      </c>
    </row>
    <row r="1100" spans="1:16" ht="27" customHeight="1" x14ac:dyDescent="0.2">
      <c r="A1100" s="9" t="s">
        <v>3907</v>
      </c>
      <c r="B1100" s="10" t="s">
        <v>4017</v>
      </c>
      <c r="C1100" s="11" t="s">
        <v>18</v>
      </c>
      <c r="D1100" s="11" t="s">
        <v>19</v>
      </c>
      <c r="E1100" s="11" t="s">
        <v>19</v>
      </c>
      <c r="F1100" s="11" t="s">
        <v>4018</v>
      </c>
      <c r="G1100" s="11" t="s">
        <v>83</v>
      </c>
      <c r="H1100" s="11" t="s">
        <v>4019</v>
      </c>
      <c r="I1100" s="11" t="s">
        <v>4020</v>
      </c>
      <c r="J1100" s="12">
        <v>0.91139999999999999</v>
      </c>
      <c r="K1100" s="13">
        <v>8</v>
      </c>
      <c r="L1100" s="14">
        <v>4118</v>
      </c>
      <c r="M1100" s="10">
        <v>3236</v>
      </c>
      <c r="N1100" s="10">
        <v>455048</v>
      </c>
      <c r="O1100" s="10">
        <v>253764</v>
      </c>
      <c r="P1100" s="10">
        <v>708812</v>
      </c>
    </row>
    <row r="1101" spans="1:16" ht="27" customHeight="1" x14ac:dyDescent="0.2">
      <c r="A1101" s="9" t="s">
        <v>3907</v>
      </c>
      <c r="B1101" s="10" t="s">
        <v>4021</v>
      </c>
      <c r="C1101" s="11" t="s">
        <v>18</v>
      </c>
      <c r="D1101" s="11" t="s">
        <v>19</v>
      </c>
      <c r="E1101" s="11" t="s">
        <v>19</v>
      </c>
      <c r="F1101" s="11" t="s">
        <v>4022</v>
      </c>
      <c r="G1101" s="11" t="s">
        <v>83</v>
      </c>
      <c r="H1101" s="11" t="s">
        <v>4023</v>
      </c>
      <c r="I1101" s="11" t="s">
        <v>4024</v>
      </c>
      <c r="J1101" s="12">
        <v>0.89970000000000006</v>
      </c>
      <c r="K1101" s="13">
        <v>59</v>
      </c>
      <c r="L1101" s="14">
        <v>42164</v>
      </c>
      <c r="M1101" s="10">
        <v>14703</v>
      </c>
      <c r="N1101" s="10">
        <v>4659194</v>
      </c>
      <c r="O1101" s="10">
        <v>1152992</v>
      </c>
      <c r="P1101" s="10">
        <v>5812186</v>
      </c>
    </row>
    <row r="1102" spans="1:16" ht="27" customHeight="1" x14ac:dyDescent="0.2">
      <c r="A1102" s="9" t="s">
        <v>3907</v>
      </c>
      <c r="B1102" s="10" t="s">
        <v>4021</v>
      </c>
      <c r="C1102" s="11" t="s">
        <v>4025</v>
      </c>
      <c r="D1102" s="11" t="s">
        <v>4026</v>
      </c>
      <c r="E1102" s="11" t="s">
        <v>26</v>
      </c>
      <c r="F1102" s="11" t="s">
        <v>4027</v>
      </c>
      <c r="G1102" s="11" t="s">
        <v>28</v>
      </c>
      <c r="H1102" s="11" t="s">
        <v>4027</v>
      </c>
      <c r="I1102" s="11" t="s">
        <v>4028</v>
      </c>
      <c r="J1102" s="12">
        <v>0.51160000000000005</v>
      </c>
      <c r="K1102" s="13">
        <v>1</v>
      </c>
      <c r="L1102" s="14">
        <v>5142</v>
      </c>
      <c r="M1102" s="10">
        <v>2631</v>
      </c>
      <c r="N1102" s="10">
        <v>568199</v>
      </c>
      <c r="O1102" s="10">
        <v>206320</v>
      </c>
      <c r="P1102" s="10">
        <v>774519</v>
      </c>
    </row>
    <row r="1103" spans="1:16" ht="27" customHeight="1" x14ac:dyDescent="0.2">
      <c r="A1103" s="9" t="s">
        <v>3907</v>
      </c>
      <c r="B1103" s="10" t="s">
        <v>4021</v>
      </c>
      <c r="C1103" s="11" t="s">
        <v>4029</v>
      </c>
      <c r="D1103" s="11" t="s">
        <v>4030</v>
      </c>
      <c r="E1103" s="11" t="s">
        <v>26</v>
      </c>
      <c r="F1103" s="11" t="s">
        <v>4031</v>
      </c>
      <c r="G1103" s="11" t="s">
        <v>28</v>
      </c>
      <c r="H1103" s="11" t="s">
        <v>4031</v>
      </c>
      <c r="I1103" s="11" t="s">
        <v>4032</v>
      </c>
      <c r="J1103" s="12">
        <v>0.10730000000000001</v>
      </c>
      <c r="K1103" s="13">
        <v>1</v>
      </c>
      <c r="L1103" s="14">
        <v>783</v>
      </c>
      <c r="M1103" s="10">
        <v>84</v>
      </c>
      <c r="N1103" s="10">
        <v>86523</v>
      </c>
      <c r="O1103" s="10">
        <v>6587</v>
      </c>
      <c r="P1103" s="10">
        <v>93110</v>
      </c>
    </row>
    <row r="1104" spans="1:16" ht="27" customHeight="1" x14ac:dyDescent="0.2">
      <c r="A1104" s="9" t="s">
        <v>3907</v>
      </c>
      <c r="B1104" s="10" t="s">
        <v>4021</v>
      </c>
      <c r="C1104" s="11" t="s">
        <v>4033</v>
      </c>
      <c r="D1104" s="11" t="s">
        <v>4034</v>
      </c>
      <c r="E1104" s="11" t="s">
        <v>26</v>
      </c>
      <c r="F1104" s="11" t="s">
        <v>4035</v>
      </c>
      <c r="G1104" s="11" t="s">
        <v>28</v>
      </c>
      <c r="H1104" s="11" t="s">
        <v>4035</v>
      </c>
      <c r="I1104" s="11" t="s">
        <v>4036</v>
      </c>
      <c r="J1104" s="12">
        <v>0.13589999999999999</v>
      </c>
      <c r="K1104" s="13">
        <v>1</v>
      </c>
      <c r="L1104" s="14">
        <v>847</v>
      </c>
      <c r="M1104" s="10">
        <v>115</v>
      </c>
      <c r="N1104" s="10">
        <v>93595</v>
      </c>
      <c r="O1104" s="10">
        <v>9018</v>
      </c>
      <c r="P1104" s="10">
        <v>102613</v>
      </c>
    </row>
    <row r="1105" spans="1:16" ht="27" customHeight="1" x14ac:dyDescent="0.2">
      <c r="A1105" s="9" t="s">
        <v>3907</v>
      </c>
      <c r="B1105" s="10" t="s">
        <v>4021</v>
      </c>
      <c r="C1105" s="11" t="s">
        <v>4037</v>
      </c>
      <c r="D1105" s="11" t="s">
        <v>4038</v>
      </c>
      <c r="E1105" s="11" t="s">
        <v>26</v>
      </c>
      <c r="F1105" s="11" t="s">
        <v>4039</v>
      </c>
      <c r="G1105" s="11" t="s">
        <v>28</v>
      </c>
      <c r="H1105" s="11" t="s">
        <v>4039</v>
      </c>
      <c r="I1105" s="11" t="s">
        <v>4040</v>
      </c>
      <c r="J1105" s="12">
        <v>0.31309999999999999</v>
      </c>
      <c r="K1105" s="13">
        <v>1</v>
      </c>
      <c r="L1105" s="14">
        <v>99</v>
      </c>
      <c r="M1105" s="10">
        <v>31</v>
      </c>
      <c r="N1105" s="10">
        <v>10940</v>
      </c>
      <c r="O1105" s="10">
        <v>2431</v>
      </c>
      <c r="P1105" s="10">
        <v>13371</v>
      </c>
    </row>
    <row r="1106" spans="1:16" ht="27" customHeight="1" x14ac:dyDescent="0.2">
      <c r="A1106" s="9" t="s">
        <v>3907</v>
      </c>
      <c r="B1106" s="10" t="s">
        <v>4021</v>
      </c>
      <c r="C1106" s="11" t="s">
        <v>4041</v>
      </c>
      <c r="D1106" s="11" t="s">
        <v>4042</v>
      </c>
      <c r="E1106" s="11" t="s">
        <v>26</v>
      </c>
      <c r="F1106" s="11" t="s">
        <v>4043</v>
      </c>
      <c r="G1106" s="11" t="s">
        <v>28</v>
      </c>
      <c r="H1106" s="11" t="s">
        <v>4043</v>
      </c>
      <c r="I1106" s="11" t="s">
        <v>4044</v>
      </c>
      <c r="J1106" s="12">
        <v>0.20100000000000001</v>
      </c>
      <c r="K1106" s="13">
        <v>1</v>
      </c>
      <c r="L1106" s="14">
        <v>582</v>
      </c>
      <c r="M1106" s="10">
        <v>117</v>
      </c>
      <c r="N1106" s="10">
        <v>64312</v>
      </c>
      <c r="O1106" s="10">
        <v>9175</v>
      </c>
      <c r="P1106" s="10">
        <v>73487</v>
      </c>
    </row>
    <row r="1107" spans="1:16" ht="27" customHeight="1" x14ac:dyDescent="0.2">
      <c r="A1107" s="9" t="s">
        <v>3907</v>
      </c>
      <c r="B1107" s="10" t="s">
        <v>4021</v>
      </c>
      <c r="C1107" s="11" t="s">
        <v>4045</v>
      </c>
      <c r="D1107" s="11" t="s">
        <v>4046</v>
      </c>
      <c r="E1107" s="11" t="s">
        <v>26</v>
      </c>
      <c r="F1107" s="11" t="s">
        <v>4047</v>
      </c>
      <c r="G1107" s="11" t="s">
        <v>28</v>
      </c>
      <c r="H1107" s="11" t="s">
        <v>3910</v>
      </c>
      <c r="I1107" s="11" t="s">
        <v>3911</v>
      </c>
      <c r="J1107" s="12">
        <v>0.97689999999999999</v>
      </c>
      <c r="K1107" s="13">
        <v>1</v>
      </c>
      <c r="L1107" s="14">
        <v>115</v>
      </c>
      <c r="M1107" s="10">
        <v>56</v>
      </c>
      <c r="N1107" s="10">
        <v>12708</v>
      </c>
      <c r="O1107" s="10">
        <v>4391</v>
      </c>
      <c r="P1107" s="10">
        <v>17099</v>
      </c>
    </row>
    <row r="1108" spans="1:16" ht="27" customHeight="1" x14ac:dyDescent="0.2">
      <c r="A1108" s="9" t="s">
        <v>3907</v>
      </c>
      <c r="B1108" s="10" t="s">
        <v>4048</v>
      </c>
      <c r="C1108" s="11" t="s">
        <v>18</v>
      </c>
      <c r="D1108" s="11" t="s">
        <v>19</v>
      </c>
      <c r="E1108" s="11" t="s">
        <v>19</v>
      </c>
      <c r="F1108" s="11" t="s">
        <v>4049</v>
      </c>
      <c r="G1108" s="11" t="s">
        <v>83</v>
      </c>
      <c r="H1108" s="11" t="s">
        <v>4050</v>
      </c>
      <c r="I1108" s="11" t="s">
        <v>4051</v>
      </c>
      <c r="J1108" s="12">
        <v>0.93779999999999997</v>
      </c>
      <c r="K1108" s="13">
        <v>9</v>
      </c>
      <c r="L1108" s="14">
        <v>4301</v>
      </c>
      <c r="M1108" s="10">
        <v>2828</v>
      </c>
      <c r="N1108" s="10">
        <v>475268</v>
      </c>
      <c r="O1108" s="10">
        <v>221769</v>
      </c>
      <c r="P1108" s="10">
        <v>697037</v>
      </c>
    </row>
    <row r="1109" spans="1:16" ht="27" customHeight="1" x14ac:dyDescent="0.2">
      <c r="A1109" s="9" t="s">
        <v>3907</v>
      </c>
      <c r="B1109" s="10" t="s">
        <v>4052</v>
      </c>
      <c r="C1109" s="11" t="s">
        <v>18</v>
      </c>
      <c r="D1109" s="11" t="s">
        <v>19</v>
      </c>
      <c r="E1109" s="11" t="s">
        <v>19</v>
      </c>
      <c r="F1109" s="11" t="s">
        <v>4053</v>
      </c>
      <c r="G1109" s="11" t="s">
        <v>83</v>
      </c>
      <c r="H1109" s="11" t="s">
        <v>4054</v>
      </c>
      <c r="I1109" s="11" t="s">
        <v>4055</v>
      </c>
      <c r="J1109" s="12">
        <v>0.68600000000000005</v>
      </c>
      <c r="K1109" s="13">
        <v>7</v>
      </c>
      <c r="L1109" s="14">
        <v>3432</v>
      </c>
      <c r="M1109" s="10">
        <v>1465</v>
      </c>
      <c r="N1109" s="10">
        <v>379242</v>
      </c>
      <c r="O1109" s="10">
        <v>114883</v>
      </c>
      <c r="P1109" s="10">
        <v>494125</v>
      </c>
    </row>
    <row r="1110" spans="1:16" ht="27" customHeight="1" x14ac:dyDescent="0.2">
      <c r="A1110" s="9" t="s">
        <v>3907</v>
      </c>
      <c r="B1110" s="10" t="s">
        <v>4056</v>
      </c>
      <c r="C1110" s="11" t="s">
        <v>18</v>
      </c>
      <c r="D1110" s="11" t="s">
        <v>19</v>
      </c>
      <c r="E1110" s="11" t="s">
        <v>19</v>
      </c>
      <c r="F1110" s="11" t="s">
        <v>4057</v>
      </c>
      <c r="G1110" s="11" t="s">
        <v>83</v>
      </c>
      <c r="H1110" s="11" t="s">
        <v>4058</v>
      </c>
      <c r="I1110" s="11" t="s">
        <v>4059</v>
      </c>
      <c r="J1110" s="12">
        <v>0.30580000000000002</v>
      </c>
      <c r="K1110" s="13">
        <v>11</v>
      </c>
      <c r="L1110" s="14">
        <v>6085</v>
      </c>
      <c r="M1110" s="10">
        <v>1444</v>
      </c>
      <c r="N1110" s="10">
        <v>672401</v>
      </c>
      <c r="O1110" s="10">
        <v>113238</v>
      </c>
      <c r="P1110" s="10">
        <v>785639</v>
      </c>
    </row>
    <row r="1111" spans="1:16" ht="27" customHeight="1" x14ac:dyDescent="0.2">
      <c r="A1111" s="9" t="s">
        <v>3907</v>
      </c>
      <c r="B1111" s="10" t="s">
        <v>4060</v>
      </c>
      <c r="C1111" s="11" t="s">
        <v>18</v>
      </c>
      <c r="D1111" s="11" t="s">
        <v>19</v>
      </c>
      <c r="E1111" s="11" t="s">
        <v>19</v>
      </c>
      <c r="F1111" s="11" t="s">
        <v>4061</v>
      </c>
      <c r="G1111" s="11" t="s">
        <v>83</v>
      </c>
      <c r="H1111" s="11" t="s">
        <v>4062</v>
      </c>
      <c r="I1111" s="11" t="s">
        <v>4063</v>
      </c>
      <c r="J1111" s="12">
        <v>0.92789999999999995</v>
      </c>
      <c r="K1111" s="13">
        <v>21</v>
      </c>
      <c r="L1111" s="14">
        <v>11991</v>
      </c>
      <c r="M1111" s="10">
        <v>6856</v>
      </c>
      <c r="N1111" s="10">
        <v>1325024</v>
      </c>
      <c r="O1111" s="10">
        <v>537641</v>
      </c>
      <c r="P1111" s="10">
        <v>1862665</v>
      </c>
    </row>
    <row r="1112" spans="1:16" ht="27" customHeight="1" x14ac:dyDescent="0.2">
      <c r="A1112" s="9" t="s">
        <v>3907</v>
      </c>
      <c r="B1112" s="10" t="s">
        <v>4064</v>
      </c>
      <c r="C1112" s="11" t="s">
        <v>18</v>
      </c>
      <c r="D1112" s="11" t="s">
        <v>19</v>
      </c>
      <c r="E1112" s="11" t="s">
        <v>19</v>
      </c>
      <c r="F1112" s="11" t="s">
        <v>4065</v>
      </c>
      <c r="G1112" s="11" t="s">
        <v>83</v>
      </c>
      <c r="H1112" s="11" t="s">
        <v>3910</v>
      </c>
      <c r="I1112" s="11" t="s">
        <v>3911</v>
      </c>
      <c r="J1112" s="12">
        <v>0.97689999999999999</v>
      </c>
      <c r="K1112" s="13">
        <v>9</v>
      </c>
      <c r="L1112" s="14">
        <v>13152</v>
      </c>
      <c r="M1112" s="10">
        <v>7641</v>
      </c>
      <c r="N1112" s="10">
        <v>1453318</v>
      </c>
      <c r="O1112" s="10">
        <v>599200</v>
      </c>
      <c r="P1112" s="10">
        <v>2052518</v>
      </c>
    </row>
    <row r="1113" spans="1:16" ht="27" customHeight="1" x14ac:dyDescent="0.2">
      <c r="A1113" s="9" t="s">
        <v>3907</v>
      </c>
      <c r="B1113" s="10" t="s">
        <v>4066</v>
      </c>
      <c r="C1113" s="11" t="s">
        <v>18</v>
      </c>
      <c r="D1113" s="11" t="s">
        <v>19</v>
      </c>
      <c r="E1113" s="11" t="s">
        <v>19</v>
      </c>
      <c r="F1113" s="11" t="s">
        <v>4067</v>
      </c>
      <c r="G1113" s="11" t="s">
        <v>83</v>
      </c>
      <c r="H1113" s="11" t="s">
        <v>4068</v>
      </c>
      <c r="I1113" s="11" t="s">
        <v>4069</v>
      </c>
      <c r="J1113" s="12">
        <v>0.93969999999999998</v>
      </c>
      <c r="K1113" s="13">
        <v>67</v>
      </c>
      <c r="L1113" s="14">
        <v>38847</v>
      </c>
      <c r="M1113" s="10">
        <v>30625</v>
      </c>
      <c r="N1113" s="10">
        <v>4292661</v>
      </c>
      <c r="O1113" s="10">
        <v>2401582</v>
      </c>
      <c r="P1113" s="10">
        <v>6694243</v>
      </c>
    </row>
    <row r="1114" spans="1:16" ht="27" customHeight="1" x14ac:dyDescent="0.2">
      <c r="A1114" s="9" t="s">
        <v>3907</v>
      </c>
      <c r="B1114" s="10" t="s">
        <v>4070</v>
      </c>
      <c r="C1114" s="11" t="s">
        <v>18</v>
      </c>
      <c r="D1114" s="11" t="s">
        <v>19</v>
      </c>
      <c r="E1114" s="11" t="s">
        <v>19</v>
      </c>
      <c r="F1114" s="11" t="s">
        <v>4071</v>
      </c>
      <c r="G1114" s="11" t="s">
        <v>83</v>
      </c>
      <c r="H1114" s="11" t="s">
        <v>4072</v>
      </c>
      <c r="I1114" s="11" t="s">
        <v>4073</v>
      </c>
      <c r="J1114" s="12">
        <v>0.4274</v>
      </c>
      <c r="K1114" s="13">
        <v>9</v>
      </c>
      <c r="L1114" s="14">
        <v>4818</v>
      </c>
      <c r="M1114" s="10">
        <v>1363</v>
      </c>
      <c r="N1114" s="10">
        <v>532397</v>
      </c>
      <c r="O1114" s="10">
        <v>106885</v>
      </c>
      <c r="P1114" s="10">
        <v>639282</v>
      </c>
    </row>
    <row r="1115" spans="1:16" ht="27" customHeight="1" x14ac:dyDescent="0.2">
      <c r="A1115" s="9" t="s">
        <v>3907</v>
      </c>
      <c r="B1115" s="10" t="s">
        <v>4070</v>
      </c>
      <c r="C1115" s="11" t="s">
        <v>4074</v>
      </c>
      <c r="D1115" s="11" t="s">
        <v>4075</v>
      </c>
      <c r="E1115" s="11" t="s">
        <v>26</v>
      </c>
      <c r="F1115" s="11" t="s">
        <v>4076</v>
      </c>
      <c r="G1115" s="11" t="s">
        <v>28</v>
      </c>
      <c r="H1115" s="11" t="s">
        <v>4076</v>
      </c>
      <c r="I1115" s="11" t="s">
        <v>4077</v>
      </c>
      <c r="J1115" s="12">
        <v>0.28749999999999998</v>
      </c>
      <c r="K1115" s="13">
        <v>1</v>
      </c>
      <c r="L1115" s="14">
        <v>327</v>
      </c>
      <c r="M1115" s="10">
        <v>94</v>
      </c>
      <c r="N1115" s="10">
        <v>36134</v>
      </c>
      <c r="O1115" s="10">
        <v>7371</v>
      </c>
      <c r="P1115" s="10">
        <v>43505</v>
      </c>
    </row>
    <row r="1116" spans="1:16" ht="27" customHeight="1" x14ac:dyDescent="0.2">
      <c r="A1116" s="9" t="s">
        <v>3907</v>
      </c>
      <c r="B1116" s="10" t="s">
        <v>4078</v>
      </c>
      <c r="C1116" s="11" t="s">
        <v>18</v>
      </c>
      <c r="D1116" s="11" t="s">
        <v>19</v>
      </c>
      <c r="E1116" s="11" t="s">
        <v>19</v>
      </c>
      <c r="F1116" s="11" t="s">
        <v>4079</v>
      </c>
      <c r="G1116" s="11" t="s">
        <v>83</v>
      </c>
      <c r="H1116" s="11" t="s">
        <v>3910</v>
      </c>
      <c r="I1116" s="11" t="s">
        <v>3911</v>
      </c>
      <c r="J1116" s="12">
        <v>0.97689999999999999</v>
      </c>
      <c r="K1116" s="13">
        <v>9</v>
      </c>
      <c r="L1116" s="14">
        <v>14509</v>
      </c>
      <c r="M1116" s="10">
        <v>7481</v>
      </c>
      <c r="N1116" s="10">
        <v>1603268</v>
      </c>
      <c r="O1116" s="10">
        <v>586652</v>
      </c>
      <c r="P1116" s="10">
        <v>2189920</v>
      </c>
    </row>
    <row r="1117" spans="1:16" ht="27" customHeight="1" x14ac:dyDescent="0.2">
      <c r="A1117" s="9" t="s">
        <v>3907</v>
      </c>
      <c r="B1117" s="10" t="s">
        <v>4080</v>
      </c>
      <c r="C1117" s="11" t="s">
        <v>18</v>
      </c>
      <c r="D1117" s="11" t="s">
        <v>19</v>
      </c>
      <c r="E1117" s="11" t="s">
        <v>19</v>
      </c>
      <c r="F1117" s="11" t="s">
        <v>4081</v>
      </c>
      <c r="G1117" s="11" t="s">
        <v>83</v>
      </c>
      <c r="H1117" s="11" t="s">
        <v>4082</v>
      </c>
      <c r="I1117" s="11" t="s">
        <v>4083</v>
      </c>
      <c r="J1117" s="12">
        <v>0.23319999999999999</v>
      </c>
      <c r="K1117" s="13">
        <v>5</v>
      </c>
      <c r="L1117" s="14">
        <v>2448</v>
      </c>
      <c r="M1117" s="10">
        <v>493</v>
      </c>
      <c r="N1117" s="10">
        <v>270509</v>
      </c>
      <c r="O1117" s="10">
        <v>38660</v>
      </c>
      <c r="P1117" s="10">
        <v>309169</v>
      </c>
    </row>
    <row r="1118" spans="1:16" ht="27" customHeight="1" x14ac:dyDescent="0.2">
      <c r="A1118" s="9" t="s">
        <v>3907</v>
      </c>
      <c r="B1118" s="10" t="s">
        <v>4084</v>
      </c>
      <c r="C1118" s="11" t="s">
        <v>18</v>
      </c>
      <c r="D1118" s="11" t="s">
        <v>19</v>
      </c>
      <c r="E1118" s="11" t="s">
        <v>19</v>
      </c>
      <c r="F1118" s="11" t="s">
        <v>4085</v>
      </c>
      <c r="G1118" s="11" t="s">
        <v>83</v>
      </c>
      <c r="H1118" s="11" t="s">
        <v>4086</v>
      </c>
      <c r="I1118" s="11" t="s">
        <v>4087</v>
      </c>
      <c r="J1118" s="12">
        <v>0.90849999999999997</v>
      </c>
      <c r="K1118" s="13">
        <v>10</v>
      </c>
      <c r="L1118" s="14">
        <v>4417</v>
      </c>
      <c r="M1118" s="10">
        <v>3520</v>
      </c>
      <c r="N1118" s="10">
        <v>488086</v>
      </c>
      <c r="O1118" s="10">
        <v>276036</v>
      </c>
      <c r="P1118" s="10">
        <v>764122</v>
      </c>
    </row>
    <row r="1119" spans="1:16" ht="27" customHeight="1" x14ac:dyDescent="0.2">
      <c r="A1119" s="9" t="s">
        <v>3907</v>
      </c>
      <c r="B1119" s="10" t="s">
        <v>4088</v>
      </c>
      <c r="C1119" s="11" t="s">
        <v>18</v>
      </c>
      <c r="D1119" s="11" t="s">
        <v>19</v>
      </c>
      <c r="E1119" s="11" t="s">
        <v>19</v>
      </c>
      <c r="F1119" s="11" t="s">
        <v>4089</v>
      </c>
      <c r="G1119" s="11" t="s">
        <v>83</v>
      </c>
      <c r="H1119" s="11" t="s">
        <v>4090</v>
      </c>
      <c r="I1119" s="11" t="s">
        <v>4091</v>
      </c>
      <c r="J1119" s="12">
        <v>0.90790000000000004</v>
      </c>
      <c r="K1119" s="13">
        <v>10</v>
      </c>
      <c r="L1119" s="14">
        <v>5369</v>
      </c>
      <c r="M1119" s="10">
        <v>4351</v>
      </c>
      <c r="N1119" s="10">
        <v>593283</v>
      </c>
      <c r="O1119" s="10">
        <v>341201</v>
      </c>
      <c r="P1119" s="10">
        <v>934484</v>
      </c>
    </row>
    <row r="1120" spans="1:16" ht="27" customHeight="1" x14ac:dyDescent="0.2">
      <c r="A1120" s="9" t="s">
        <v>3907</v>
      </c>
      <c r="B1120" s="10" t="s">
        <v>4092</v>
      </c>
      <c r="C1120" s="11" t="s">
        <v>18</v>
      </c>
      <c r="D1120" s="11" t="s">
        <v>19</v>
      </c>
      <c r="E1120" s="11" t="s">
        <v>19</v>
      </c>
      <c r="F1120" s="11" t="s">
        <v>4093</v>
      </c>
      <c r="G1120" s="11" t="s">
        <v>83</v>
      </c>
      <c r="H1120" s="11" t="s">
        <v>3910</v>
      </c>
      <c r="I1120" s="11" t="s">
        <v>3911</v>
      </c>
      <c r="J1120" s="12">
        <v>0.97689999999999999</v>
      </c>
      <c r="K1120" s="13">
        <v>33</v>
      </c>
      <c r="L1120" s="14">
        <v>18279</v>
      </c>
      <c r="M1120" s="10">
        <v>9677</v>
      </c>
      <c r="N1120" s="10">
        <v>2019861</v>
      </c>
      <c r="O1120" s="10">
        <v>758859</v>
      </c>
      <c r="P1120" s="10">
        <v>2778720</v>
      </c>
    </row>
    <row r="1121" spans="1:16" ht="27" customHeight="1" x14ac:dyDescent="0.2">
      <c r="A1121" s="9" t="s">
        <v>3907</v>
      </c>
      <c r="B1121" s="10" t="s">
        <v>4094</v>
      </c>
      <c r="C1121" s="11" t="s">
        <v>18</v>
      </c>
      <c r="D1121" s="11" t="s">
        <v>19</v>
      </c>
      <c r="E1121" s="11" t="s">
        <v>19</v>
      </c>
      <c r="F1121" s="11" t="s">
        <v>4095</v>
      </c>
      <c r="G1121" s="11" t="s">
        <v>83</v>
      </c>
      <c r="H1121" s="11" t="s">
        <v>4096</v>
      </c>
      <c r="I1121" s="11" t="s">
        <v>4097</v>
      </c>
      <c r="J1121" s="12">
        <v>0.97640000000000005</v>
      </c>
      <c r="K1121" s="13">
        <v>15</v>
      </c>
      <c r="L1121" s="14">
        <v>7022</v>
      </c>
      <c r="M1121" s="10">
        <v>4089</v>
      </c>
      <c r="N1121" s="10">
        <v>775944</v>
      </c>
      <c r="O1121" s="10">
        <v>320655</v>
      </c>
      <c r="P1121" s="10">
        <v>1096599</v>
      </c>
    </row>
    <row r="1122" spans="1:16" ht="27" customHeight="1" x14ac:dyDescent="0.2">
      <c r="A1122" s="9" t="s">
        <v>3907</v>
      </c>
      <c r="B1122" s="10" t="s">
        <v>4098</v>
      </c>
      <c r="C1122" s="11" t="s">
        <v>18</v>
      </c>
      <c r="D1122" s="11" t="s">
        <v>19</v>
      </c>
      <c r="E1122" s="11" t="s">
        <v>19</v>
      </c>
      <c r="F1122" s="11" t="s">
        <v>4099</v>
      </c>
      <c r="G1122" s="11" t="s">
        <v>83</v>
      </c>
      <c r="H1122" s="11" t="s">
        <v>4100</v>
      </c>
      <c r="I1122" s="11" t="s">
        <v>4101</v>
      </c>
      <c r="J1122" s="12">
        <v>0.93520000000000003</v>
      </c>
      <c r="K1122" s="13">
        <v>41</v>
      </c>
      <c r="L1122" s="14">
        <v>24090</v>
      </c>
      <c r="M1122" s="10">
        <v>14107</v>
      </c>
      <c r="N1122" s="10">
        <v>2661983</v>
      </c>
      <c r="O1122" s="10">
        <v>1106259</v>
      </c>
      <c r="P1122" s="10">
        <v>3768242</v>
      </c>
    </row>
    <row r="1123" spans="1:16" ht="27" customHeight="1" x14ac:dyDescent="0.2">
      <c r="A1123" s="9" t="s">
        <v>3907</v>
      </c>
      <c r="B1123" s="10" t="s">
        <v>4098</v>
      </c>
      <c r="C1123" s="11" t="s">
        <v>4102</v>
      </c>
      <c r="D1123" s="11" t="s">
        <v>4103</v>
      </c>
      <c r="E1123" s="11" t="s">
        <v>26</v>
      </c>
      <c r="F1123" s="11" t="s">
        <v>4104</v>
      </c>
      <c r="G1123" s="11" t="s">
        <v>28</v>
      </c>
      <c r="H1123" s="11" t="s">
        <v>3910</v>
      </c>
      <c r="I1123" s="11" t="s">
        <v>3911</v>
      </c>
      <c r="J1123" s="12">
        <v>0.97689999999999999</v>
      </c>
      <c r="K1123" s="13">
        <v>1</v>
      </c>
      <c r="L1123" s="14">
        <v>1079</v>
      </c>
      <c r="M1123" s="10">
        <v>713</v>
      </c>
      <c r="N1123" s="10">
        <v>119231</v>
      </c>
      <c r="O1123" s="10">
        <v>55913</v>
      </c>
      <c r="P1123" s="10">
        <v>175144</v>
      </c>
    </row>
    <row r="1124" spans="1:16" ht="27" customHeight="1" x14ac:dyDescent="0.2">
      <c r="A1124" s="9" t="s">
        <v>3907</v>
      </c>
      <c r="B1124" s="10" t="s">
        <v>4098</v>
      </c>
      <c r="C1124" s="11" t="s">
        <v>4105</v>
      </c>
      <c r="D1124" s="11" t="s">
        <v>4106</v>
      </c>
      <c r="E1124" s="11" t="s">
        <v>57</v>
      </c>
      <c r="F1124" s="11" t="s">
        <v>4107</v>
      </c>
      <c r="G1124" s="11" t="s">
        <v>28</v>
      </c>
      <c r="H1124" s="11" t="s">
        <v>3910</v>
      </c>
      <c r="I1124" s="11" t="s">
        <v>3911</v>
      </c>
      <c r="J1124" s="12">
        <v>0.97689999999999999</v>
      </c>
      <c r="K1124" s="13">
        <v>1</v>
      </c>
      <c r="L1124" s="14">
        <v>1108</v>
      </c>
      <c r="M1124" s="10">
        <v>330</v>
      </c>
      <c r="N1124" s="10">
        <v>122436</v>
      </c>
      <c r="O1124" s="10">
        <v>25878</v>
      </c>
      <c r="P1124" s="10">
        <v>148314</v>
      </c>
    </row>
    <row r="1125" spans="1:16" ht="27" customHeight="1" x14ac:dyDescent="0.2">
      <c r="A1125" s="9" t="s">
        <v>3907</v>
      </c>
      <c r="B1125" s="10" t="s">
        <v>4108</v>
      </c>
      <c r="C1125" s="11" t="s">
        <v>18</v>
      </c>
      <c r="D1125" s="11" t="s">
        <v>19</v>
      </c>
      <c r="E1125" s="11" t="s">
        <v>19</v>
      </c>
      <c r="F1125" s="11" t="s">
        <v>4109</v>
      </c>
      <c r="G1125" s="11" t="s">
        <v>83</v>
      </c>
      <c r="H1125" s="11" t="s">
        <v>4110</v>
      </c>
      <c r="I1125" s="11" t="s">
        <v>4111</v>
      </c>
      <c r="J1125" s="12">
        <v>0.96440000000000003</v>
      </c>
      <c r="K1125" s="13">
        <v>35</v>
      </c>
      <c r="L1125" s="14">
        <v>23435</v>
      </c>
      <c r="M1125" s="10">
        <v>10697</v>
      </c>
      <c r="N1125" s="10">
        <v>2589606</v>
      </c>
      <c r="O1125" s="10">
        <v>838847</v>
      </c>
      <c r="P1125" s="10">
        <v>3428453</v>
      </c>
    </row>
    <row r="1126" spans="1:16" ht="27" customHeight="1" x14ac:dyDescent="0.2">
      <c r="A1126" s="9" t="s">
        <v>3907</v>
      </c>
      <c r="B1126" s="10" t="s">
        <v>4112</v>
      </c>
      <c r="C1126" s="11" t="s">
        <v>18</v>
      </c>
      <c r="D1126" s="11" t="s">
        <v>19</v>
      </c>
      <c r="E1126" s="11" t="s">
        <v>19</v>
      </c>
      <c r="F1126" s="11" t="s">
        <v>4113</v>
      </c>
      <c r="G1126" s="11" t="s">
        <v>83</v>
      </c>
      <c r="H1126" s="11" t="s">
        <v>4114</v>
      </c>
      <c r="I1126" s="11" t="s">
        <v>4115</v>
      </c>
      <c r="J1126" s="12">
        <v>0.90139999999999998</v>
      </c>
      <c r="K1126" s="13">
        <v>52</v>
      </c>
      <c r="L1126" s="14">
        <v>40639</v>
      </c>
      <c r="M1126" s="10">
        <v>30089</v>
      </c>
      <c r="N1126" s="10">
        <v>4490676</v>
      </c>
      <c r="O1126" s="10">
        <v>2359554</v>
      </c>
      <c r="P1126" s="10">
        <v>6850230</v>
      </c>
    </row>
    <row r="1127" spans="1:16" ht="27" customHeight="1" x14ac:dyDescent="0.2">
      <c r="A1127" s="9" t="s">
        <v>3907</v>
      </c>
      <c r="B1127" s="10" t="s">
        <v>4112</v>
      </c>
      <c r="C1127" s="11" t="s">
        <v>4116</v>
      </c>
      <c r="D1127" s="11" t="s">
        <v>4117</v>
      </c>
      <c r="E1127" s="11" t="s">
        <v>26</v>
      </c>
      <c r="F1127" s="11" t="s">
        <v>4118</v>
      </c>
      <c r="G1127" s="11" t="s">
        <v>28</v>
      </c>
      <c r="H1127" s="11" t="s">
        <v>4118</v>
      </c>
      <c r="I1127" s="11" t="s">
        <v>4119</v>
      </c>
      <c r="J1127" s="12">
        <v>0.90869999999999995</v>
      </c>
      <c r="K1127" s="13">
        <v>1</v>
      </c>
      <c r="L1127" s="14">
        <v>438</v>
      </c>
      <c r="M1127" s="10">
        <v>398</v>
      </c>
      <c r="N1127" s="10">
        <v>48400</v>
      </c>
      <c r="O1127" s="10">
        <v>31211</v>
      </c>
      <c r="P1127" s="10">
        <v>79611</v>
      </c>
    </row>
    <row r="1128" spans="1:16" ht="27" customHeight="1" x14ac:dyDescent="0.2">
      <c r="A1128" s="9" t="s">
        <v>3907</v>
      </c>
      <c r="B1128" s="10" t="s">
        <v>4112</v>
      </c>
      <c r="C1128" s="11" t="s">
        <v>4120</v>
      </c>
      <c r="D1128" s="11" t="s">
        <v>4121</v>
      </c>
      <c r="E1128" s="11" t="s">
        <v>26</v>
      </c>
      <c r="F1128" s="11" t="s">
        <v>4122</v>
      </c>
      <c r="G1128" s="11" t="s">
        <v>28</v>
      </c>
      <c r="H1128" s="11" t="s">
        <v>3910</v>
      </c>
      <c r="I1128" s="11" t="s">
        <v>3911</v>
      </c>
      <c r="J1128" s="12">
        <v>0.97689999999999999</v>
      </c>
      <c r="K1128" s="13">
        <v>1</v>
      </c>
      <c r="L1128" s="14">
        <v>308</v>
      </c>
      <c r="M1128" s="10">
        <v>278</v>
      </c>
      <c r="N1128" s="10">
        <v>34035</v>
      </c>
      <c r="O1128" s="10">
        <v>21800</v>
      </c>
      <c r="P1128" s="10">
        <v>55835</v>
      </c>
    </row>
    <row r="1129" spans="1:16" ht="27" customHeight="1" x14ac:dyDescent="0.2">
      <c r="A1129" s="9" t="s">
        <v>3907</v>
      </c>
      <c r="B1129" s="10" t="s">
        <v>4112</v>
      </c>
      <c r="C1129" s="11" t="s">
        <v>4123</v>
      </c>
      <c r="D1129" s="11" t="s">
        <v>4124</v>
      </c>
      <c r="E1129" s="11" t="s">
        <v>26</v>
      </c>
      <c r="F1129" s="11" t="s">
        <v>4125</v>
      </c>
      <c r="G1129" s="11" t="s">
        <v>28</v>
      </c>
      <c r="H1129" s="11" t="s">
        <v>4125</v>
      </c>
      <c r="I1129" s="11" t="s">
        <v>4126</v>
      </c>
      <c r="J1129" s="12">
        <v>0.66390000000000005</v>
      </c>
      <c r="K1129" s="13">
        <v>1</v>
      </c>
      <c r="L1129" s="14">
        <v>610</v>
      </c>
      <c r="M1129" s="10">
        <v>405</v>
      </c>
      <c r="N1129" s="10">
        <v>67406</v>
      </c>
      <c r="O1129" s="10">
        <v>31760</v>
      </c>
      <c r="P1129" s="10">
        <v>99166</v>
      </c>
    </row>
    <row r="1130" spans="1:16" ht="27" customHeight="1" x14ac:dyDescent="0.2">
      <c r="A1130" s="9" t="s">
        <v>3907</v>
      </c>
      <c r="B1130" s="10" t="s">
        <v>4112</v>
      </c>
      <c r="C1130" s="11" t="s">
        <v>4127</v>
      </c>
      <c r="D1130" s="11" t="s">
        <v>4128</v>
      </c>
      <c r="E1130" s="11" t="s">
        <v>57</v>
      </c>
      <c r="F1130" s="11" t="s">
        <v>4129</v>
      </c>
      <c r="G1130" s="11" t="s">
        <v>28</v>
      </c>
      <c r="H1130" s="11" t="s">
        <v>4129</v>
      </c>
      <c r="I1130" s="11" t="s">
        <v>4130</v>
      </c>
      <c r="J1130" s="12">
        <v>0.69279999999999997</v>
      </c>
      <c r="K1130" s="13">
        <v>1</v>
      </c>
      <c r="L1130" s="14">
        <v>332</v>
      </c>
      <c r="M1130" s="10">
        <v>230</v>
      </c>
      <c r="N1130" s="10">
        <v>36687</v>
      </c>
      <c r="O1130" s="10">
        <v>18036</v>
      </c>
      <c r="P1130" s="10">
        <v>54723</v>
      </c>
    </row>
    <row r="1131" spans="1:16" ht="27" customHeight="1" x14ac:dyDescent="0.2">
      <c r="A1131" s="9" t="s">
        <v>3907</v>
      </c>
      <c r="B1131" s="10" t="s">
        <v>4112</v>
      </c>
      <c r="C1131" s="11" t="s">
        <v>4131</v>
      </c>
      <c r="D1131" s="11" t="s">
        <v>4132</v>
      </c>
      <c r="E1131" s="11" t="s">
        <v>26</v>
      </c>
      <c r="F1131" s="11" t="s">
        <v>4133</v>
      </c>
      <c r="G1131" s="11" t="s">
        <v>28</v>
      </c>
      <c r="H1131" s="11" t="s">
        <v>4133</v>
      </c>
      <c r="I1131" s="11" t="s">
        <v>4134</v>
      </c>
      <c r="J1131" s="12">
        <v>0.58160000000000001</v>
      </c>
      <c r="K1131" s="13">
        <v>1</v>
      </c>
      <c r="L1131" s="14">
        <v>956</v>
      </c>
      <c r="M1131" s="10">
        <v>556</v>
      </c>
      <c r="N1131" s="10">
        <v>105640</v>
      </c>
      <c r="O1131" s="10">
        <v>43601</v>
      </c>
      <c r="P1131" s="10">
        <v>149241</v>
      </c>
    </row>
    <row r="1132" spans="1:16" ht="27" customHeight="1" x14ac:dyDescent="0.2">
      <c r="A1132" s="9" t="s">
        <v>3907</v>
      </c>
      <c r="B1132" s="10" t="s">
        <v>4135</v>
      </c>
      <c r="C1132" s="11" t="s">
        <v>18</v>
      </c>
      <c r="D1132" s="11" t="s">
        <v>19</v>
      </c>
      <c r="E1132" s="11" t="s">
        <v>19</v>
      </c>
      <c r="F1132" s="11" t="s">
        <v>4136</v>
      </c>
      <c r="G1132" s="11" t="s">
        <v>83</v>
      </c>
      <c r="H1132" s="11" t="s">
        <v>4137</v>
      </c>
      <c r="I1132" s="11" t="s">
        <v>4138</v>
      </c>
      <c r="J1132" s="12">
        <v>0.85609999999999997</v>
      </c>
      <c r="K1132" s="13">
        <v>5</v>
      </c>
      <c r="L1132" s="14">
        <v>1838</v>
      </c>
      <c r="M1132" s="10">
        <v>1492</v>
      </c>
      <c r="N1132" s="10">
        <v>203102</v>
      </c>
      <c r="O1132" s="10">
        <v>117000</v>
      </c>
      <c r="P1132" s="10">
        <v>320102</v>
      </c>
    </row>
    <row r="1133" spans="1:16" ht="27" customHeight="1" x14ac:dyDescent="0.2">
      <c r="A1133" s="9" t="s">
        <v>3907</v>
      </c>
      <c r="B1133" s="10" t="s">
        <v>4139</v>
      </c>
      <c r="C1133" s="11" t="s">
        <v>18</v>
      </c>
      <c r="D1133" s="11" t="s">
        <v>19</v>
      </c>
      <c r="E1133" s="11" t="s">
        <v>19</v>
      </c>
      <c r="F1133" s="11" t="s">
        <v>4140</v>
      </c>
      <c r="G1133" s="11" t="s">
        <v>83</v>
      </c>
      <c r="H1133" s="11" t="s">
        <v>4141</v>
      </c>
      <c r="I1133" s="11" t="s">
        <v>4142</v>
      </c>
      <c r="J1133" s="12">
        <v>0.89129999999999998</v>
      </c>
      <c r="K1133" s="13">
        <v>18</v>
      </c>
      <c r="L1133" s="14">
        <v>8413</v>
      </c>
      <c r="M1133" s="10">
        <v>6219</v>
      </c>
      <c r="N1133" s="10">
        <v>929649</v>
      </c>
      <c r="O1133" s="10">
        <v>487689</v>
      </c>
      <c r="P1133" s="10">
        <v>1417338</v>
      </c>
    </row>
    <row r="1134" spans="1:16" ht="27" customHeight="1" x14ac:dyDescent="0.2">
      <c r="A1134" s="9" t="s">
        <v>3907</v>
      </c>
      <c r="B1134" s="10" t="s">
        <v>4143</v>
      </c>
      <c r="C1134" s="11" t="s">
        <v>18</v>
      </c>
      <c r="D1134" s="11" t="s">
        <v>19</v>
      </c>
      <c r="E1134" s="11" t="s">
        <v>19</v>
      </c>
      <c r="F1134" s="11" t="s">
        <v>4144</v>
      </c>
      <c r="G1134" s="11" t="s">
        <v>83</v>
      </c>
      <c r="H1134" s="11" t="s">
        <v>4145</v>
      </c>
      <c r="I1134" s="11" t="s">
        <v>4146</v>
      </c>
      <c r="J1134" s="12">
        <v>0.81020000000000003</v>
      </c>
      <c r="K1134" s="13">
        <v>35</v>
      </c>
      <c r="L1134" s="14">
        <v>23907</v>
      </c>
      <c r="M1134" s="10">
        <v>10448</v>
      </c>
      <c r="N1134" s="10">
        <v>2641761</v>
      </c>
      <c r="O1134" s="10">
        <v>819324</v>
      </c>
      <c r="P1134" s="10">
        <v>3461085</v>
      </c>
    </row>
    <row r="1135" spans="1:16" ht="27" customHeight="1" x14ac:dyDescent="0.2">
      <c r="A1135" s="9" t="s">
        <v>3907</v>
      </c>
      <c r="B1135" s="10" t="s">
        <v>4147</v>
      </c>
      <c r="C1135" s="11" t="s">
        <v>18</v>
      </c>
      <c r="D1135" s="11" t="s">
        <v>19</v>
      </c>
      <c r="E1135" s="11" t="s">
        <v>19</v>
      </c>
      <c r="F1135" s="11" t="s">
        <v>4148</v>
      </c>
      <c r="G1135" s="11" t="s">
        <v>83</v>
      </c>
      <c r="H1135" s="11" t="s">
        <v>4149</v>
      </c>
      <c r="I1135" s="11" t="s">
        <v>4150</v>
      </c>
      <c r="J1135" s="12">
        <v>0.92859999999999998</v>
      </c>
      <c r="K1135" s="13">
        <v>29</v>
      </c>
      <c r="L1135" s="14">
        <v>22230</v>
      </c>
      <c r="M1135" s="10">
        <v>9703</v>
      </c>
      <c r="N1135" s="10">
        <v>2456453</v>
      </c>
      <c r="O1135" s="10">
        <v>760904</v>
      </c>
      <c r="P1135" s="10">
        <v>3217357</v>
      </c>
    </row>
    <row r="1136" spans="1:16" ht="27" customHeight="1" x14ac:dyDescent="0.2">
      <c r="A1136" s="9" t="s">
        <v>3907</v>
      </c>
      <c r="B1136" s="10" t="s">
        <v>4151</v>
      </c>
      <c r="C1136" s="11" t="s">
        <v>18</v>
      </c>
      <c r="D1136" s="11" t="s">
        <v>19</v>
      </c>
      <c r="E1136" s="11" t="s">
        <v>19</v>
      </c>
      <c r="F1136" s="11" t="s">
        <v>4152</v>
      </c>
      <c r="G1136" s="11" t="s">
        <v>83</v>
      </c>
      <c r="H1136" s="11" t="s">
        <v>4153</v>
      </c>
      <c r="I1136" s="11" t="s">
        <v>4154</v>
      </c>
      <c r="J1136" s="12">
        <v>0.43830000000000002</v>
      </c>
      <c r="K1136" s="13">
        <v>46</v>
      </c>
      <c r="L1136" s="14">
        <v>36928</v>
      </c>
      <c r="M1136" s="10">
        <v>7296</v>
      </c>
      <c r="N1136" s="10">
        <v>4080605</v>
      </c>
      <c r="O1136" s="10">
        <v>572146</v>
      </c>
      <c r="P1136" s="10">
        <v>4652751</v>
      </c>
    </row>
    <row r="1137" spans="1:16" ht="27" customHeight="1" x14ac:dyDescent="0.2">
      <c r="A1137" s="9" t="s">
        <v>3907</v>
      </c>
      <c r="B1137" s="10" t="s">
        <v>4151</v>
      </c>
      <c r="C1137" s="11" t="s">
        <v>4155</v>
      </c>
      <c r="D1137" s="11" t="s">
        <v>4156</v>
      </c>
      <c r="E1137" s="11" t="s">
        <v>26</v>
      </c>
      <c r="F1137" s="11" t="s">
        <v>4157</v>
      </c>
      <c r="G1137" s="11" t="s">
        <v>28</v>
      </c>
      <c r="H1137" s="11" t="s">
        <v>4157</v>
      </c>
      <c r="I1137" s="11" t="s">
        <v>4158</v>
      </c>
      <c r="J1137" s="12">
        <v>0</v>
      </c>
      <c r="K1137" s="13">
        <v>1</v>
      </c>
      <c r="L1137" s="14">
        <v>0</v>
      </c>
      <c r="M1137" s="10">
        <v>0</v>
      </c>
      <c r="N1137" s="10">
        <v>0</v>
      </c>
      <c r="O1137" s="10">
        <v>0</v>
      </c>
      <c r="P1137" s="10">
        <v>0</v>
      </c>
    </row>
    <row r="1138" spans="1:16" ht="27" customHeight="1" x14ac:dyDescent="0.2">
      <c r="A1138" s="9" t="s">
        <v>3907</v>
      </c>
      <c r="B1138" s="10" t="s">
        <v>4159</v>
      </c>
      <c r="C1138" s="11" t="s">
        <v>18</v>
      </c>
      <c r="D1138" s="11" t="s">
        <v>19</v>
      </c>
      <c r="E1138" s="11" t="s">
        <v>19</v>
      </c>
      <c r="F1138" s="11" t="s">
        <v>4160</v>
      </c>
      <c r="G1138" s="11" t="s">
        <v>83</v>
      </c>
      <c r="H1138" s="11" t="s">
        <v>4161</v>
      </c>
      <c r="I1138" s="11" t="s">
        <v>4162</v>
      </c>
      <c r="J1138" s="12">
        <v>0.29060000000000002</v>
      </c>
      <c r="K1138" s="13">
        <v>10</v>
      </c>
      <c r="L1138" s="14">
        <v>8996</v>
      </c>
      <c r="M1138" s="10">
        <v>1398</v>
      </c>
      <c r="N1138" s="10">
        <v>994076</v>
      </c>
      <c r="O1138" s="10">
        <v>109630</v>
      </c>
      <c r="P1138" s="10">
        <v>1103706</v>
      </c>
    </row>
    <row r="1139" spans="1:16" ht="27" customHeight="1" x14ac:dyDescent="0.2">
      <c r="A1139" s="9" t="s">
        <v>3907</v>
      </c>
      <c r="B1139" s="10" t="s">
        <v>4163</v>
      </c>
      <c r="C1139" s="11" t="s">
        <v>4164</v>
      </c>
      <c r="D1139" s="11" t="s">
        <v>4165</v>
      </c>
      <c r="E1139" s="11" t="s">
        <v>26</v>
      </c>
      <c r="F1139" s="11" t="s">
        <v>4166</v>
      </c>
      <c r="G1139" s="11" t="s">
        <v>28</v>
      </c>
      <c r="H1139" s="11" t="s">
        <v>4166</v>
      </c>
      <c r="I1139" s="11" t="s">
        <v>4167</v>
      </c>
      <c r="J1139" s="12">
        <v>0.81669999999999998</v>
      </c>
      <c r="K1139" s="13">
        <v>1</v>
      </c>
      <c r="L1139" s="14">
        <v>502</v>
      </c>
      <c r="M1139" s="10">
        <v>410</v>
      </c>
      <c r="N1139" s="10">
        <v>55472</v>
      </c>
      <c r="O1139" s="10">
        <v>32152</v>
      </c>
      <c r="P1139" s="10">
        <v>87624</v>
      </c>
    </row>
    <row r="1140" spans="1:16" ht="27" customHeight="1" x14ac:dyDescent="0.2">
      <c r="A1140" s="9" t="s">
        <v>4168</v>
      </c>
      <c r="B1140" s="10" t="s">
        <v>4169</v>
      </c>
      <c r="C1140" s="11" t="s">
        <v>18</v>
      </c>
      <c r="D1140" s="11" t="s">
        <v>19</v>
      </c>
      <c r="E1140" s="11" t="s">
        <v>19</v>
      </c>
      <c r="F1140" s="11" t="s">
        <v>4170</v>
      </c>
      <c r="G1140" s="11" t="s">
        <v>21</v>
      </c>
      <c r="H1140" s="11" t="s">
        <v>4171</v>
      </c>
      <c r="I1140" s="11" t="s">
        <v>4172</v>
      </c>
      <c r="J1140" s="12">
        <v>0.87150000000000005</v>
      </c>
      <c r="K1140" s="13">
        <v>4</v>
      </c>
      <c r="L1140" s="14">
        <v>478</v>
      </c>
      <c r="M1140" s="10">
        <v>384</v>
      </c>
      <c r="N1140" s="10">
        <v>52821</v>
      </c>
      <c r="O1140" s="10">
        <v>30113</v>
      </c>
      <c r="P1140" s="10">
        <v>82934</v>
      </c>
    </row>
    <row r="1141" spans="1:16" ht="27" customHeight="1" x14ac:dyDescent="0.2">
      <c r="A1141" s="9" t="s">
        <v>4168</v>
      </c>
      <c r="B1141" s="10" t="s">
        <v>4169</v>
      </c>
      <c r="C1141" s="11" t="s">
        <v>4173</v>
      </c>
      <c r="D1141" s="11" t="s">
        <v>4174</v>
      </c>
      <c r="E1141" s="11" t="s">
        <v>57</v>
      </c>
      <c r="F1141" s="11" t="s">
        <v>4175</v>
      </c>
      <c r="G1141" s="11" t="s">
        <v>28</v>
      </c>
      <c r="H1141" s="11" t="s">
        <v>4171</v>
      </c>
      <c r="I1141" s="11" t="s">
        <v>4172</v>
      </c>
      <c r="J1141" s="12">
        <v>0.87150000000000005</v>
      </c>
      <c r="K1141" s="13">
        <v>1</v>
      </c>
      <c r="L1141" s="14">
        <v>292</v>
      </c>
      <c r="M1141" s="10">
        <v>143</v>
      </c>
      <c r="N1141" s="10">
        <v>32266</v>
      </c>
      <c r="O1141" s="10">
        <v>11214</v>
      </c>
      <c r="P1141" s="10">
        <v>43480</v>
      </c>
    </row>
    <row r="1142" spans="1:16" ht="27" customHeight="1" x14ac:dyDescent="0.2">
      <c r="A1142" s="9" t="s">
        <v>4168</v>
      </c>
      <c r="B1142" s="10" t="s">
        <v>4176</v>
      </c>
      <c r="C1142" s="11" t="s">
        <v>18</v>
      </c>
      <c r="D1142" s="11" t="s">
        <v>19</v>
      </c>
      <c r="E1142" s="11" t="s">
        <v>19</v>
      </c>
      <c r="F1142" s="11" t="s">
        <v>4177</v>
      </c>
      <c r="G1142" s="11" t="s">
        <v>83</v>
      </c>
      <c r="H1142" s="11" t="s">
        <v>4178</v>
      </c>
      <c r="I1142" s="11" t="s">
        <v>4179</v>
      </c>
      <c r="J1142" s="12">
        <v>0.25340000000000001</v>
      </c>
      <c r="K1142" s="13">
        <v>2</v>
      </c>
      <c r="L1142" s="14">
        <v>597</v>
      </c>
      <c r="M1142" s="10">
        <v>151</v>
      </c>
      <c r="N1142" s="10">
        <v>65969</v>
      </c>
      <c r="O1142" s="10">
        <v>11841</v>
      </c>
      <c r="P1142" s="10">
        <v>77810</v>
      </c>
    </row>
    <row r="1143" spans="1:16" ht="27" customHeight="1" x14ac:dyDescent="0.2">
      <c r="A1143" s="9" t="s">
        <v>4168</v>
      </c>
      <c r="B1143" s="10" t="s">
        <v>4180</v>
      </c>
      <c r="C1143" s="11" t="s">
        <v>18</v>
      </c>
      <c r="D1143" s="11" t="s">
        <v>19</v>
      </c>
      <c r="E1143" s="11" t="s">
        <v>19</v>
      </c>
      <c r="F1143" s="11" t="s">
        <v>4181</v>
      </c>
      <c r="G1143" s="11" t="s">
        <v>83</v>
      </c>
      <c r="H1143" s="11" t="s">
        <v>4182</v>
      </c>
      <c r="I1143" s="11" t="s">
        <v>4183</v>
      </c>
      <c r="J1143" s="12">
        <v>0.21110000000000001</v>
      </c>
      <c r="K1143" s="13">
        <v>2</v>
      </c>
      <c r="L1143" s="14">
        <v>91</v>
      </c>
      <c r="M1143" s="10">
        <v>19</v>
      </c>
      <c r="N1143" s="10">
        <v>10056</v>
      </c>
      <c r="O1143" s="10">
        <v>1490</v>
      </c>
      <c r="P1143" s="10">
        <v>11546</v>
      </c>
    </row>
    <row r="1144" spans="1:16" ht="27" customHeight="1" x14ac:dyDescent="0.2">
      <c r="A1144" s="9" t="s">
        <v>4168</v>
      </c>
      <c r="B1144" s="10" t="s">
        <v>4184</v>
      </c>
      <c r="C1144" s="11" t="s">
        <v>18</v>
      </c>
      <c r="D1144" s="11" t="s">
        <v>19</v>
      </c>
      <c r="E1144" s="11" t="s">
        <v>19</v>
      </c>
      <c r="F1144" s="11" t="s">
        <v>4185</v>
      </c>
      <c r="G1144" s="11" t="s">
        <v>83</v>
      </c>
      <c r="H1144" s="11" t="s">
        <v>4186</v>
      </c>
      <c r="I1144" s="11" t="s">
        <v>4187</v>
      </c>
      <c r="J1144" s="12">
        <v>0.46850000000000003</v>
      </c>
      <c r="K1144" s="13">
        <v>4</v>
      </c>
      <c r="L1144" s="14">
        <v>1172</v>
      </c>
      <c r="M1144" s="10">
        <v>522</v>
      </c>
      <c r="N1144" s="10">
        <v>129508</v>
      </c>
      <c r="O1144" s="10">
        <v>40935</v>
      </c>
      <c r="P1144" s="10">
        <v>170443</v>
      </c>
    </row>
    <row r="1145" spans="1:16" ht="27" customHeight="1" x14ac:dyDescent="0.2">
      <c r="A1145" s="9" t="s">
        <v>4168</v>
      </c>
      <c r="B1145" s="10" t="s">
        <v>4184</v>
      </c>
      <c r="C1145" s="11" t="s">
        <v>4188</v>
      </c>
      <c r="D1145" s="11" t="s">
        <v>4189</v>
      </c>
      <c r="E1145" s="11" t="s">
        <v>57</v>
      </c>
      <c r="F1145" s="11" t="s">
        <v>4190</v>
      </c>
      <c r="G1145" s="11" t="s">
        <v>28</v>
      </c>
      <c r="H1145" s="11" t="s">
        <v>4190</v>
      </c>
      <c r="I1145" s="11" t="s">
        <v>4191</v>
      </c>
      <c r="J1145" s="12">
        <v>0</v>
      </c>
      <c r="K1145" s="13">
        <v>1</v>
      </c>
      <c r="L1145" s="14">
        <v>0</v>
      </c>
      <c r="M1145" s="10">
        <v>0</v>
      </c>
      <c r="N1145" s="10">
        <v>0</v>
      </c>
      <c r="O1145" s="10">
        <v>0</v>
      </c>
      <c r="P1145" s="10">
        <v>0</v>
      </c>
    </row>
    <row r="1146" spans="1:16" ht="27" customHeight="1" x14ac:dyDescent="0.2">
      <c r="A1146" s="9" t="s">
        <v>4168</v>
      </c>
      <c r="B1146" s="10" t="s">
        <v>4192</v>
      </c>
      <c r="C1146" s="11" t="s">
        <v>18</v>
      </c>
      <c r="D1146" s="11" t="s">
        <v>19</v>
      </c>
      <c r="E1146" s="11" t="s">
        <v>19</v>
      </c>
      <c r="F1146" s="11" t="s">
        <v>4193</v>
      </c>
      <c r="G1146" s="11" t="s">
        <v>83</v>
      </c>
      <c r="H1146" s="11" t="s">
        <v>4193</v>
      </c>
      <c r="I1146" s="11" t="s">
        <v>4194</v>
      </c>
      <c r="J1146" s="12">
        <v>0.43269999999999997</v>
      </c>
      <c r="K1146" s="13">
        <v>2</v>
      </c>
      <c r="L1146" s="14">
        <v>351</v>
      </c>
      <c r="M1146" s="10">
        <v>152</v>
      </c>
      <c r="N1146" s="10">
        <v>38786</v>
      </c>
      <c r="O1146" s="10">
        <v>11920</v>
      </c>
      <c r="P1146" s="10">
        <v>50706</v>
      </c>
    </row>
    <row r="1147" spans="1:16" ht="27" customHeight="1" x14ac:dyDescent="0.2">
      <c r="A1147" s="9" t="s">
        <v>4168</v>
      </c>
      <c r="B1147" s="10" t="s">
        <v>4195</v>
      </c>
      <c r="C1147" s="11" t="s">
        <v>18</v>
      </c>
      <c r="D1147" s="11" t="s">
        <v>19</v>
      </c>
      <c r="E1147" s="11" t="s">
        <v>19</v>
      </c>
      <c r="F1147" s="11" t="s">
        <v>4196</v>
      </c>
      <c r="G1147" s="11" t="s">
        <v>83</v>
      </c>
      <c r="H1147" s="11" t="s">
        <v>4197</v>
      </c>
      <c r="I1147" s="11" t="s">
        <v>4198</v>
      </c>
      <c r="J1147" s="12">
        <v>0.61760000000000004</v>
      </c>
      <c r="K1147" s="13">
        <v>10</v>
      </c>
      <c r="L1147" s="14">
        <v>6390</v>
      </c>
      <c r="M1147" s="10">
        <v>2486</v>
      </c>
      <c r="N1147" s="10">
        <v>706106</v>
      </c>
      <c r="O1147" s="10">
        <v>194950</v>
      </c>
      <c r="P1147" s="10">
        <v>901056</v>
      </c>
    </row>
    <row r="1148" spans="1:16" ht="27" customHeight="1" x14ac:dyDescent="0.2">
      <c r="A1148" s="9" t="s">
        <v>4168</v>
      </c>
      <c r="B1148" s="10" t="s">
        <v>4199</v>
      </c>
      <c r="C1148" s="11" t="s">
        <v>18</v>
      </c>
      <c r="D1148" s="11" t="s">
        <v>19</v>
      </c>
      <c r="E1148" s="11" t="s">
        <v>19</v>
      </c>
      <c r="F1148" s="11" t="s">
        <v>4200</v>
      </c>
      <c r="G1148" s="11" t="s">
        <v>83</v>
      </c>
      <c r="H1148" s="11" t="s">
        <v>4201</v>
      </c>
      <c r="I1148" s="11" t="s">
        <v>4202</v>
      </c>
      <c r="J1148" s="12">
        <v>0.2258</v>
      </c>
      <c r="K1148" s="13">
        <v>8</v>
      </c>
      <c r="L1148" s="14">
        <v>3169</v>
      </c>
      <c r="M1148" s="10">
        <v>414</v>
      </c>
      <c r="N1148" s="10">
        <v>350180</v>
      </c>
      <c r="O1148" s="10">
        <v>32465</v>
      </c>
      <c r="P1148" s="10">
        <v>382645</v>
      </c>
    </row>
    <row r="1149" spans="1:16" ht="27" customHeight="1" x14ac:dyDescent="0.2">
      <c r="A1149" s="9" t="s">
        <v>4168</v>
      </c>
      <c r="B1149" s="10" t="s">
        <v>4203</v>
      </c>
      <c r="C1149" s="11" t="s">
        <v>18</v>
      </c>
      <c r="D1149" s="11" t="s">
        <v>19</v>
      </c>
      <c r="E1149" s="11" t="s">
        <v>19</v>
      </c>
      <c r="F1149" s="11" t="s">
        <v>4204</v>
      </c>
      <c r="G1149" s="11" t="s">
        <v>83</v>
      </c>
      <c r="H1149" s="11" t="s">
        <v>4205</v>
      </c>
      <c r="I1149" s="11" t="s">
        <v>4206</v>
      </c>
      <c r="J1149" s="12">
        <v>0.3901</v>
      </c>
      <c r="K1149" s="13">
        <v>2</v>
      </c>
      <c r="L1149" s="14">
        <v>454</v>
      </c>
      <c r="M1149" s="10">
        <v>177</v>
      </c>
      <c r="N1149" s="10">
        <v>50168</v>
      </c>
      <c r="O1149" s="10">
        <v>13880</v>
      </c>
      <c r="P1149" s="10">
        <v>64048</v>
      </c>
    </row>
    <row r="1150" spans="1:16" ht="27" customHeight="1" x14ac:dyDescent="0.2">
      <c r="A1150" s="9" t="s">
        <v>4168</v>
      </c>
      <c r="B1150" s="10" t="s">
        <v>4207</v>
      </c>
      <c r="C1150" s="11" t="s">
        <v>18</v>
      </c>
      <c r="D1150" s="11" t="s">
        <v>19</v>
      </c>
      <c r="E1150" s="11" t="s">
        <v>19</v>
      </c>
      <c r="F1150" s="11" t="s">
        <v>4208</v>
      </c>
      <c r="G1150" s="11" t="s">
        <v>83</v>
      </c>
      <c r="H1150" s="11" t="s">
        <v>4209</v>
      </c>
      <c r="I1150" s="11" t="s">
        <v>4210</v>
      </c>
      <c r="J1150" s="12">
        <v>0.27189999999999998</v>
      </c>
      <c r="K1150" s="13">
        <v>7</v>
      </c>
      <c r="L1150" s="14">
        <v>2405</v>
      </c>
      <c r="M1150" s="10">
        <v>348</v>
      </c>
      <c r="N1150" s="10">
        <v>265755</v>
      </c>
      <c r="O1150" s="10">
        <v>27291</v>
      </c>
      <c r="P1150" s="10">
        <v>293046</v>
      </c>
    </row>
    <row r="1151" spans="1:16" ht="27" customHeight="1" x14ac:dyDescent="0.2">
      <c r="A1151" s="9" t="s">
        <v>4168</v>
      </c>
      <c r="B1151" s="10" t="s">
        <v>4207</v>
      </c>
      <c r="C1151" s="11" t="s">
        <v>4211</v>
      </c>
      <c r="D1151" s="11" t="s">
        <v>4212</v>
      </c>
      <c r="E1151" s="11" t="s">
        <v>57</v>
      </c>
      <c r="F1151" s="11" t="s">
        <v>4213</v>
      </c>
      <c r="G1151" s="11" t="s">
        <v>28</v>
      </c>
      <c r="H1151" s="11" t="s">
        <v>4213</v>
      </c>
      <c r="I1151" s="11" t="s">
        <v>4214</v>
      </c>
      <c r="J1151" s="12">
        <v>8.43E-2</v>
      </c>
      <c r="K1151" s="13">
        <v>1</v>
      </c>
      <c r="L1151" s="14">
        <v>498</v>
      </c>
      <c r="M1151" s="10">
        <v>42</v>
      </c>
      <c r="N1151" s="10">
        <v>55030</v>
      </c>
      <c r="O1151" s="10">
        <v>3294</v>
      </c>
      <c r="P1151" s="10">
        <v>58324</v>
      </c>
    </row>
    <row r="1152" spans="1:16" ht="27" customHeight="1" x14ac:dyDescent="0.2">
      <c r="A1152" s="9" t="s">
        <v>4168</v>
      </c>
      <c r="B1152" s="10" t="s">
        <v>4215</v>
      </c>
      <c r="C1152" s="11" t="s">
        <v>18</v>
      </c>
      <c r="D1152" s="11" t="s">
        <v>19</v>
      </c>
      <c r="E1152" s="11" t="s">
        <v>19</v>
      </c>
      <c r="F1152" s="11" t="s">
        <v>4216</v>
      </c>
      <c r="G1152" s="11" t="s">
        <v>83</v>
      </c>
      <c r="H1152" s="11" t="s">
        <v>4216</v>
      </c>
      <c r="I1152" s="11" t="s">
        <v>4217</v>
      </c>
      <c r="J1152" s="12">
        <v>0.25169999999999998</v>
      </c>
      <c r="K1152" s="13">
        <v>2</v>
      </c>
      <c r="L1152" s="14">
        <v>152</v>
      </c>
      <c r="M1152" s="10">
        <v>38</v>
      </c>
      <c r="N1152" s="10">
        <v>16796</v>
      </c>
      <c r="O1152" s="10">
        <v>2980</v>
      </c>
      <c r="P1152" s="10">
        <v>19776</v>
      </c>
    </row>
    <row r="1153" spans="1:16" ht="27" customHeight="1" x14ac:dyDescent="0.2">
      <c r="A1153" s="9" t="s">
        <v>4168</v>
      </c>
      <c r="B1153" s="10" t="s">
        <v>4215</v>
      </c>
      <c r="C1153" s="11" t="s">
        <v>4218</v>
      </c>
      <c r="D1153" s="11" t="s">
        <v>4219</v>
      </c>
      <c r="E1153" s="11" t="s">
        <v>57</v>
      </c>
      <c r="F1153" s="11" t="s">
        <v>4220</v>
      </c>
      <c r="G1153" s="11" t="s">
        <v>28</v>
      </c>
      <c r="H1153" s="11" t="s">
        <v>4220</v>
      </c>
      <c r="I1153" s="11" t="s">
        <v>4221</v>
      </c>
      <c r="J1153" s="12">
        <v>0.2596</v>
      </c>
      <c r="K1153" s="13">
        <v>1</v>
      </c>
      <c r="L1153" s="14">
        <v>285</v>
      </c>
      <c r="M1153" s="10">
        <v>74</v>
      </c>
      <c r="N1153" s="10">
        <v>31493</v>
      </c>
      <c r="O1153" s="10">
        <v>5803</v>
      </c>
      <c r="P1153" s="10">
        <v>37296</v>
      </c>
    </row>
    <row r="1154" spans="1:16" ht="27" customHeight="1" x14ac:dyDescent="0.2">
      <c r="A1154" s="9" t="s">
        <v>4168</v>
      </c>
      <c r="B1154" s="10" t="s">
        <v>4215</v>
      </c>
      <c r="C1154" s="11" t="s">
        <v>4222</v>
      </c>
      <c r="D1154" s="11" t="s">
        <v>4223</v>
      </c>
      <c r="E1154" s="11" t="s">
        <v>26</v>
      </c>
      <c r="F1154" s="11" t="s">
        <v>4224</v>
      </c>
      <c r="G1154" s="11" t="s">
        <v>28</v>
      </c>
      <c r="H1154" s="11" t="s">
        <v>4224</v>
      </c>
      <c r="I1154" s="11" t="s">
        <v>4225</v>
      </c>
      <c r="J1154" s="12">
        <v>7.6600000000000001E-2</v>
      </c>
      <c r="K1154" s="13">
        <v>1</v>
      </c>
      <c r="L1154" s="14">
        <v>235</v>
      </c>
      <c r="M1154" s="10">
        <v>18</v>
      </c>
      <c r="N1154" s="10">
        <v>25968</v>
      </c>
      <c r="O1154" s="10">
        <v>1412</v>
      </c>
      <c r="P1154" s="10">
        <v>27380</v>
      </c>
    </row>
    <row r="1155" spans="1:16" ht="27" customHeight="1" x14ac:dyDescent="0.2">
      <c r="A1155" s="9" t="s">
        <v>4168</v>
      </c>
      <c r="B1155" s="10" t="s">
        <v>4215</v>
      </c>
      <c r="C1155" s="11" t="s">
        <v>4226</v>
      </c>
      <c r="D1155" s="11" t="s">
        <v>4227</v>
      </c>
      <c r="E1155" s="11" t="s">
        <v>26</v>
      </c>
      <c r="F1155" s="11" t="s">
        <v>4228</v>
      </c>
      <c r="G1155" s="11" t="s">
        <v>28</v>
      </c>
      <c r="H1155" s="11" t="s">
        <v>4228</v>
      </c>
      <c r="I1155" s="11" t="s">
        <v>4229</v>
      </c>
      <c r="J1155" s="12">
        <v>0.14099999999999999</v>
      </c>
      <c r="K1155" s="13">
        <v>1</v>
      </c>
      <c r="L1155" s="14">
        <v>305</v>
      </c>
      <c r="M1155" s="10">
        <v>43</v>
      </c>
      <c r="N1155" s="10">
        <v>33703</v>
      </c>
      <c r="O1155" s="10">
        <v>3372</v>
      </c>
      <c r="P1155" s="10">
        <v>37075</v>
      </c>
    </row>
    <row r="1156" spans="1:16" ht="27" customHeight="1" x14ac:dyDescent="0.2">
      <c r="A1156" s="9" t="s">
        <v>4168</v>
      </c>
      <c r="B1156" s="10" t="s">
        <v>4215</v>
      </c>
      <c r="C1156" s="11" t="s">
        <v>4230</v>
      </c>
      <c r="D1156" s="11" t="s">
        <v>4231</v>
      </c>
      <c r="E1156" s="11" t="s">
        <v>26</v>
      </c>
      <c r="F1156" s="11" t="s">
        <v>4232</v>
      </c>
      <c r="G1156" s="11" t="s">
        <v>28</v>
      </c>
      <c r="H1156" s="11" t="s">
        <v>4232</v>
      </c>
      <c r="I1156" s="11" t="s">
        <v>4233</v>
      </c>
      <c r="J1156" s="12">
        <v>0.11219999999999999</v>
      </c>
      <c r="K1156" s="13">
        <v>1</v>
      </c>
      <c r="L1156" s="14">
        <v>1176</v>
      </c>
      <c r="M1156" s="10">
        <v>132</v>
      </c>
      <c r="N1156" s="10">
        <v>129950</v>
      </c>
      <c r="O1156" s="10">
        <v>10351</v>
      </c>
      <c r="P1156" s="10">
        <v>140301</v>
      </c>
    </row>
    <row r="1157" spans="1:16" ht="27" customHeight="1" x14ac:dyDescent="0.2">
      <c r="A1157" s="9" t="s">
        <v>4168</v>
      </c>
      <c r="B1157" s="10" t="s">
        <v>4234</v>
      </c>
      <c r="C1157" s="11" t="s">
        <v>18</v>
      </c>
      <c r="D1157" s="11" t="s">
        <v>19</v>
      </c>
      <c r="E1157" s="11" t="s">
        <v>19</v>
      </c>
      <c r="F1157" s="11" t="s">
        <v>4235</v>
      </c>
      <c r="G1157" s="11" t="s">
        <v>83</v>
      </c>
      <c r="H1157" s="11" t="s">
        <v>4236</v>
      </c>
      <c r="I1157" s="11" t="s">
        <v>4237</v>
      </c>
      <c r="J1157" s="12">
        <v>0.28889999999999999</v>
      </c>
      <c r="K1157" s="13">
        <v>3</v>
      </c>
      <c r="L1157" s="14">
        <v>772</v>
      </c>
      <c r="M1157" s="10">
        <v>223</v>
      </c>
      <c r="N1157" s="10">
        <v>85308</v>
      </c>
      <c r="O1157" s="10">
        <v>17487</v>
      </c>
      <c r="P1157" s="10">
        <v>102795</v>
      </c>
    </row>
    <row r="1158" spans="1:16" ht="27" customHeight="1" x14ac:dyDescent="0.2">
      <c r="A1158" s="9" t="s">
        <v>4168</v>
      </c>
      <c r="B1158" s="10" t="s">
        <v>4238</v>
      </c>
      <c r="C1158" s="11" t="s">
        <v>18</v>
      </c>
      <c r="D1158" s="11" t="s">
        <v>19</v>
      </c>
      <c r="E1158" s="11" t="s">
        <v>19</v>
      </c>
      <c r="F1158" s="11" t="s">
        <v>4239</v>
      </c>
      <c r="G1158" s="11" t="s">
        <v>83</v>
      </c>
      <c r="H1158" s="11" t="s">
        <v>4171</v>
      </c>
      <c r="I1158" s="11" t="s">
        <v>4172</v>
      </c>
      <c r="J1158" s="12">
        <v>0.87150000000000005</v>
      </c>
      <c r="K1158" s="13">
        <v>6</v>
      </c>
      <c r="L1158" s="14">
        <v>3886</v>
      </c>
      <c r="M1158" s="10">
        <v>864</v>
      </c>
      <c r="N1158" s="10">
        <v>429409</v>
      </c>
      <c r="O1158" s="10">
        <v>67756</v>
      </c>
      <c r="P1158" s="10">
        <v>497165</v>
      </c>
    </row>
    <row r="1159" spans="1:16" ht="27" customHeight="1" x14ac:dyDescent="0.2">
      <c r="A1159" s="9" t="s">
        <v>4168</v>
      </c>
      <c r="B1159" s="10" t="s">
        <v>4238</v>
      </c>
      <c r="C1159" s="11" t="s">
        <v>4240</v>
      </c>
      <c r="D1159" s="11" t="s">
        <v>4241</v>
      </c>
      <c r="E1159" s="11" t="s">
        <v>57</v>
      </c>
      <c r="F1159" s="11" t="s">
        <v>4242</v>
      </c>
      <c r="G1159" s="11" t="s">
        <v>28</v>
      </c>
      <c r="H1159" s="11" t="s">
        <v>4171</v>
      </c>
      <c r="I1159" s="11" t="s">
        <v>4172</v>
      </c>
      <c r="J1159" s="12">
        <v>0.87150000000000005</v>
      </c>
      <c r="K1159" s="13">
        <v>1</v>
      </c>
      <c r="L1159" s="14">
        <v>115</v>
      </c>
      <c r="M1159" s="10">
        <v>42</v>
      </c>
      <c r="N1159" s="10">
        <v>12708</v>
      </c>
      <c r="O1159" s="10">
        <v>3294</v>
      </c>
      <c r="P1159" s="10">
        <v>16002</v>
      </c>
    </row>
    <row r="1160" spans="1:16" ht="27" customHeight="1" x14ac:dyDescent="0.2">
      <c r="A1160" s="9" t="s">
        <v>4168</v>
      </c>
      <c r="B1160" s="10" t="s">
        <v>4243</v>
      </c>
      <c r="C1160" s="11" t="s">
        <v>18</v>
      </c>
      <c r="D1160" s="11" t="s">
        <v>19</v>
      </c>
      <c r="E1160" s="11" t="s">
        <v>19</v>
      </c>
      <c r="F1160" s="11" t="s">
        <v>4244</v>
      </c>
      <c r="G1160" s="11" t="s">
        <v>83</v>
      </c>
      <c r="H1160" s="11" t="s">
        <v>4171</v>
      </c>
      <c r="I1160" s="11" t="s">
        <v>4172</v>
      </c>
      <c r="J1160" s="12">
        <v>0.87150000000000005</v>
      </c>
      <c r="K1160" s="13">
        <v>22</v>
      </c>
      <c r="L1160" s="14">
        <v>11735</v>
      </c>
      <c r="M1160" s="10">
        <v>5969</v>
      </c>
      <c r="N1160" s="10">
        <v>1296735</v>
      </c>
      <c r="O1160" s="10">
        <v>468086</v>
      </c>
      <c r="P1160" s="10">
        <v>1764821</v>
      </c>
    </row>
    <row r="1161" spans="1:16" ht="27" customHeight="1" x14ac:dyDescent="0.2">
      <c r="A1161" s="9" t="s">
        <v>4168</v>
      </c>
      <c r="B1161" s="10" t="s">
        <v>4245</v>
      </c>
      <c r="C1161" s="11" t="s">
        <v>18</v>
      </c>
      <c r="D1161" s="11" t="s">
        <v>19</v>
      </c>
      <c r="E1161" s="11" t="s">
        <v>19</v>
      </c>
      <c r="F1161" s="11" t="s">
        <v>4246</v>
      </c>
      <c r="G1161" s="11" t="s">
        <v>83</v>
      </c>
      <c r="H1161" s="11" t="s">
        <v>4171</v>
      </c>
      <c r="I1161" s="11" t="s">
        <v>4172</v>
      </c>
      <c r="J1161" s="12">
        <v>0.87150000000000005</v>
      </c>
      <c r="K1161" s="13">
        <v>9</v>
      </c>
      <c r="L1161" s="14">
        <v>10557</v>
      </c>
      <c r="M1161" s="10">
        <v>2537</v>
      </c>
      <c r="N1161" s="10">
        <v>1166564</v>
      </c>
      <c r="O1161" s="10">
        <v>198948</v>
      </c>
      <c r="P1161" s="10">
        <v>1365512</v>
      </c>
    </row>
    <row r="1162" spans="1:16" ht="27" customHeight="1" x14ac:dyDescent="0.2">
      <c r="A1162" s="9" t="s">
        <v>4168</v>
      </c>
      <c r="B1162" s="10" t="s">
        <v>4245</v>
      </c>
      <c r="C1162" s="11" t="s">
        <v>4247</v>
      </c>
      <c r="D1162" s="11" t="s">
        <v>4248</v>
      </c>
      <c r="E1162" s="11" t="s">
        <v>26</v>
      </c>
      <c r="F1162" s="11" t="s">
        <v>4249</v>
      </c>
      <c r="G1162" s="11" t="s">
        <v>28</v>
      </c>
      <c r="H1162" s="11" t="s">
        <v>4249</v>
      </c>
      <c r="I1162" s="11" t="s">
        <v>4250</v>
      </c>
      <c r="J1162" s="12">
        <v>0.3327</v>
      </c>
      <c r="K1162" s="13">
        <v>1</v>
      </c>
      <c r="L1162" s="14">
        <v>1590</v>
      </c>
      <c r="M1162" s="10">
        <v>529</v>
      </c>
      <c r="N1162" s="10">
        <v>175698</v>
      </c>
      <c r="O1162" s="10">
        <v>41484</v>
      </c>
      <c r="P1162" s="10">
        <v>217182</v>
      </c>
    </row>
    <row r="1163" spans="1:16" ht="27" customHeight="1" x14ac:dyDescent="0.2">
      <c r="A1163" s="9" t="s">
        <v>4168</v>
      </c>
      <c r="B1163" s="10" t="s">
        <v>4245</v>
      </c>
      <c r="C1163" s="11" t="s">
        <v>4251</v>
      </c>
      <c r="D1163" s="11" t="s">
        <v>4252</v>
      </c>
      <c r="E1163" s="11" t="s">
        <v>26</v>
      </c>
      <c r="F1163" s="11" t="s">
        <v>4253</v>
      </c>
      <c r="G1163" s="11" t="s">
        <v>28</v>
      </c>
      <c r="H1163" s="11" t="s">
        <v>4253</v>
      </c>
      <c r="I1163" s="11" t="s">
        <v>4254</v>
      </c>
      <c r="J1163" s="12">
        <v>0.51949999999999996</v>
      </c>
      <c r="K1163" s="13">
        <v>1</v>
      </c>
      <c r="L1163" s="14">
        <v>77</v>
      </c>
      <c r="M1163" s="10">
        <v>40</v>
      </c>
      <c r="N1163" s="10">
        <v>8509</v>
      </c>
      <c r="O1163" s="10">
        <v>3137</v>
      </c>
      <c r="P1163" s="10">
        <v>11646</v>
      </c>
    </row>
    <row r="1164" spans="1:16" ht="27" customHeight="1" x14ac:dyDescent="0.2">
      <c r="A1164" s="9" t="s">
        <v>4168</v>
      </c>
      <c r="B1164" s="10" t="s">
        <v>4255</v>
      </c>
      <c r="C1164" s="11" t="s">
        <v>18</v>
      </c>
      <c r="D1164" s="11" t="s">
        <v>19</v>
      </c>
      <c r="E1164" s="11" t="s">
        <v>19</v>
      </c>
      <c r="F1164" s="11" t="s">
        <v>4256</v>
      </c>
      <c r="G1164" s="11" t="s">
        <v>83</v>
      </c>
      <c r="H1164" s="11" t="s">
        <v>4257</v>
      </c>
      <c r="I1164" s="11" t="s">
        <v>4258</v>
      </c>
      <c r="J1164" s="12">
        <v>0.51659999999999995</v>
      </c>
      <c r="K1164" s="13">
        <v>12</v>
      </c>
      <c r="L1164" s="14">
        <v>4019</v>
      </c>
      <c r="M1164" s="10">
        <v>1181</v>
      </c>
      <c r="N1164" s="10">
        <v>444106</v>
      </c>
      <c r="O1164" s="10">
        <v>92613</v>
      </c>
      <c r="P1164" s="10">
        <v>536719</v>
      </c>
    </row>
    <row r="1165" spans="1:16" ht="27" customHeight="1" x14ac:dyDescent="0.2">
      <c r="A1165" s="9" t="s">
        <v>4168</v>
      </c>
      <c r="B1165" s="10" t="s">
        <v>4255</v>
      </c>
      <c r="C1165" s="11" t="s">
        <v>4259</v>
      </c>
      <c r="D1165" s="11" t="s">
        <v>4260</v>
      </c>
      <c r="E1165" s="11" t="s">
        <v>26</v>
      </c>
      <c r="F1165" s="11" t="s">
        <v>4261</v>
      </c>
      <c r="G1165" s="11" t="s">
        <v>28</v>
      </c>
      <c r="H1165" s="11" t="s">
        <v>4261</v>
      </c>
      <c r="I1165" s="11" t="s">
        <v>4262</v>
      </c>
      <c r="J1165" s="12">
        <v>0.27010000000000001</v>
      </c>
      <c r="K1165" s="13">
        <v>1</v>
      </c>
      <c r="L1165" s="14">
        <v>211</v>
      </c>
      <c r="M1165" s="10">
        <v>57</v>
      </c>
      <c r="N1165" s="10">
        <v>23316</v>
      </c>
      <c r="O1165" s="10">
        <v>4470</v>
      </c>
      <c r="P1165" s="10">
        <v>27786</v>
      </c>
    </row>
    <row r="1166" spans="1:16" ht="27" customHeight="1" x14ac:dyDescent="0.2">
      <c r="A1166" s="9" t="s">
        <v>4168</v>
      </c>
      <c r="B1166" s="10" t="s">
        <v>4263</v>
      </c>
      <c r="C1166" s="11" t="s">
        <v>18</v>
      </c>
      <c r="D1166" s="11" t="s">
        <v>19</v>
      </c>
      <c r="E1166" s="11" t="s">
        <v>19</v>
      </c>
      <c r="F1166" s="11" t="s">
        <v>4264</v>
      </c>
      <c r="G1166" s="11" t="s">
        <v>83</v>
      </c>
      <c r="H1166" s="11" t="s">
        <v>4265</v>
      </c>
      <c r="I1166" s="11" t="s">
        <v>4266</v>
      </c>
      <c r="J1166" s="12">
        <v>0.65539999999999998</v>
      </c>
      <c r="K1166" s="13">
        <v>15</v>
      </c>
      <c r="L1166" s="14">
        <v>7634</v>
      </c>
      <c r="M1166" s="10">
        <v>2271</v>
      </c>
      <c r="N1166" s="10">
        <v>843570</v>
      </c>
      <c r="O1166" s="10">
        <v>178089</v>
      </c>
      <c r="P1166" s="10">
        <v>1021659</v>
      </c>
    </row>
    <row r="1167" spans="1:16" ht="27" customHeight="1" x14ac:dyDescent="0.2">
      <c r="A1167" s="9" t="s">
        <v>4168</v>
      </c>
      <c r="B1167" s="10" t="s">
        <v>4263</v>
      </c>
      <c r="C1167" s="11" t="s">
        <v>4267</v>
      </c>
      <c r="D1167" s="11" t="s">
        <v>4268</v>
      </c>
      <c r="E1167" s="11" t="s">
        <v>26</v>
      </c>
      <c r="F1167" s="11" t="s">
        <v>4269</v>
      </c>
      <c r="G1167" s="11" t="s">
        <v>28</v>
      </c>
      <c r="H1167" s="11" t="s">
        <v>4269</v>
      </c>
      <c r="I1167" s="11" t="s">
        <v>4270</v>
      </c>
      <c r="J1167" s="12">
        <v>0.16639999999999999</v>
      </c>
      <c r="K1167" s="13">
        <v>1</v>
      </c>
      <c r="L1167" s="14">
        <v>1376</v>
      </c>
      <c r="M1167" s="10">
        <v>229</v>
      </c>
      <c r="N1167" s="10">
        <v>152050</v>
      </c>
      <c r="O1167" s="10">
        <v>17958</v>
      </c>
      <c r="P1167" s="10">
        <v>170008</v>
      </c>
    </row>
    <row r="1168" spans="1:16" ht="27" customHeight="1" x14ac:dyDescent="0.2">
      <c r="A1168" s="9" t="s">
        <v>4168</v>
      </c>
      <c r="B1168" s="10" t="s">
        <v>4263</v>
      </c>
      <c r="C1168" s="11" t="s">
        <v>4271</v>
      </c>
      <c r="D1168" s="11" t="s">
        <v>4272</v>
      </c>
      <c r="E1168" s="11" t="s">
        <v>26</v>
      </c>
      <c r="F1168" s="11" t="s">
        <v>4273</v>
      </c>
      <c r="G1168" s="11" t="s">
        <v>28</v>
      </c>
      <c r="H1168" s="11" t="s">
        <v>4273</v>
      </c>
      <c r="I1168" s="11" t="s">
        <v>4274</v>
      </c>
      <c r="J1168" s="12">
        <v>0.53510000000000002</v>
      </c>
      <c r="K1168" s="13">
        <v>1</v>
      </c>
      <c r="L1168" s="14">
        <v>1508</v>
      </c>
      <c r="M1168" s="10">
        <v>807</v>
      </c>
      <c r="N1168" s="10">
        <v>166636</v>
      </c>
      <c r="O1168" s="10">
        <v>63284</v>
      </c>
      <c r="P1168" s="10">
        <v>229920</v>
      </c>
    </row>
    <row r="1169" spans="1:16" ht="27" customHeight="1" x14ac:dyDescent="0.2">
      <c r="A1169" s="9" t="s">
        <v>4168</v>
      </c>
      <c r="B1169" s="10" t="s">
        <v>4275</v>
      </c>
      <c r="C1169" s="11" t="s">
        <v>18</v>
      </c>
      <c r="D1169" s="11" t="s">
        <v>19</v>
      </c>
      <c r="E1169" s="11" t="s">
        <v>19</v>
      </c>
      <c r="F1169" s="11" t="s">
        <v>4276</v>
      </c>
      <c r="G1169" s="11" t="s">
        <v>83</v>
      </c>
      <c r="H1169" s="11" t="s">
        <v>4277</v>
      </c>
      <c r="I1169" s="11" t="s">
        <v>4278</v>
      </c>
      <c r="J1169" s="12">
        <v>0.35170000000000001</v>
      </c>
      <c r="K1169" s="13">
        <v>19</v>
      </c>
      <c r="L1169" s="14">
        <v>11472</v>
      </c>
      <c r="M1169" s="10">
        <v>2160</v>
      </c>
      <c r="N1169" s="10">
        <v>1267676</v>
      </c>
      <c r="O1169" s="10">
        <v>169385</v>
      </c>
      <c r="P1169" s="10">
        <v>1437061</v>
      </c>
    </row>
    <row r="1170" spans="1:16" ht="27" customHeight="1" x14ac:dyDescent="0.2">
      <c r="A1170" s="9" t="s">
        <v>4168</v>
      </c>
      <c r="B1170" s="10" t="s">
        <v>4275</v>
      </c>
      <c r="C1170" s="11" t="s">
        <v>4279</v>
      </c>
      <c r="D1170" s="11" t="s">
        <v>4280</v>
      </c>
      <c r="E1170" s="11" t="s">
        <v>26</v>
      </c>
      <c r="F1170" s="11" t="s">
        <v>4281</v>
      </c>
      <c r="G1170" s="11" t="s">
        <v>28</v>
      </c>
      <c r="H1170" s="11" t="s">
        <v>4281</v>
      </c>
      <c r="I1170" s="11" t="s">
        <v>4282</v>
      </c>
      <c r="J1170" s="12">
        <v>0.1231</v>
      </c>
      <c r="K1170" s="13">
        <v>1</v>
      </c>
      <c r="L1170" s="14">
        <v>260</v>
      </c>
      <c r="M1170" s="10">
        <v>32</v>
      </c>
      <c r="N1170" s="10">
        <v>28730</v>
      </c>
      <c r="O1170" s="10">
        <v>2509</v>
      </c>
      <c r="P1170" s="10">
        <v>31239</v>
      </c>
    </row>
    <row r="1171" spans="1:16" ht="27" customHeight="1" x14ac:dyDescent="0.2">
      <c r="A1171" s="9" t="s">
        <v>4168</v>
      </c>
      <c r="B1171" s="10" t="s">
        <v>4275</v>
      </c>
      <c r="C1171" s="11" t="s">
        <v>4283</v>
      </c>
      <c r="D1171" s="11" t="s">
        <v>4284</v>
      </c>
      <c r="E1171" s="11" t="s">
        <v>26</v>
      </c>
      <c r="F1171" s="11" t="s">
        <v>4285</v>
      </c>
      <c r="G1171" s="11" t="s">
        <v>28</v>
      </c>
      <c r="H1171" s="11" t="s">
        <v>4285</v>
      </c>
      <c r="I1171" s="11" t="s">
        <v>4286</v>
      </c>
      <c r="J1171" s="12">
        <v>0.1371</v>
      </c>
      <c r="K1171" s="13">
        <v>1</v>
      </c>
      <c r="L1171" s="14">
        <v>773</v>
      </c>
      <c r="M1171" s="10">
        <v>106</v>
      </c>
      <c r="N1171" s="10">
        <v>85418</v>
      </c>
      <c r="O1171" s="10">
        <v>8312</v>
      </c>
      <c r="P1171" s="10">
        <v>93730</v>
      </c>
    </row>
    <row r="1172" spans="1:16" ht="27" customHeight="1" x14ac:dyDescent="0.2">
      <c r="A1172" s="9" t="s">
        <v>4168</v>
      </c>
      <c r="B1172" s="10" t="s">
        <v>4275</v>
      </c>
      <c r="C1172" s="11" t="s">
        <v>4287</v>
      </c>
      <c r="D1172" s="11" t="s">
        <v>4288</v>
      </c>
      <c r="E1172" s="11" t="s">
        <v>26</v>
      </c>
      <c r="F1172" s="11" t="s">
        <v>4289</v>
      </c>
      <c r="G1172" s="11" t="s">
        <v>28</v>
      </c>
      <c r="H1172" s="11" t="s">
        <v>4289</v>
      </c>
      <c r="I1172" s="11" t="s">
        <v>4290</v>
      </c>
      <c r="J1172" s="12">
        <v>0.1106</v>
      </c>
      <c r="K1172" s="13">
        <v>1</v>
      </c>
      <c r="L1172" s="14">
        <v>479</v>
      </c>
      <c r="M1172" s="10">
        <v>53</v>
      </c>
      <c r="N1172" s="10">
        <v>52930</v>
      </c>
      <c r="O1172" s="10">
        <v>4156</v>
      </c>
      <c r="P1172" s="10">
        <v>57086</v>
      </c>
    </row>
    <row r="1173" spans="1:16" ht="27" customHeight="1" x14ac:dyDescent="0.2">
      <c r="A1173" s="9" t="s">
        <v>4291</v>
      </c>
      <c r="B1173" s="10" t="s">
        <v>4292</v>
      </c>
      <c r="C1173" s="11" t="s">
        <v>18</v>
      </c>
      <c r="D1173" s="11" t="s">
        <v>19</v>
      </c>
      <c r="E1173" s="11" t="s">
        <v>19</v>
      </c>
      <c r="F1173" s="11" t="s">
        <v>4293</v>
      </c>
      <c r="G1173" s="11" t="s">
        <v>21</v>
      </c>
      <c r="H1173" s="11" t="s">
        <v>4294</v>
      </c>
      <c r="I1173" s="11" t="s">
        <v>4295</v>
      </c>
      <c r="J1173" s="12">
        <v>0.72540000000000004</v>
      </c>
      <c r="K1173" s="13">
        <v>4</v>
      </c>
      <c r="L1173" s="14">
        <v>9</v>
      </c>
      <c r="M1173" s="10">
        <v>9</v>
      </c>
      <c r="N1173" s="10">
        <v>996</v>
      </c>
      <c r="O1173" s="10">
        <v>705</v>
      </c>
      <c r="P1173" s="10">
        <v>1701</v>
      </c>
    </row>
    <row r="1174" spans="1:16" ht="27" customHeight="1" x14ac:dyDescent="0.2">
      <c r="A1174" s="9" t="s">
        <v>4291</v>
      </c>
      <c r="B1174" s="10" t="s">
        <v>4296</v>
      </c>
      <c r="C1174" s="11" t="s">
        <v>18</v>
      </c>
      <c r="D1174" s="11" t="s">
        <v>19</v>
      </c>
      <c r="E1174" s="11" t="s">
        <v>19</v>
      </c>
      <c r="F1174" s="11" t="s">
        <v>4297</v>
      </c>
      <c r="G1174" s="11" t="s">
        <v>83</v>
      </c>
      <c r="H1174" s="11" t="s">
        <v>4294</v>
      </c>
      <c r="I1174" s="11" t="s">
        <v>4295</v>
      </c>
      <c r="J1174" s="12">
        <v>0.72540000000000004</v>
      </c>
      <c r="K1174" s="13">
        <v>11</v>
      </c>
      <c r="L1174" s="14">
        <v>1769</v>
      </c>
      <c r="M1174" s="10">
        <v>1106</v>
      </c>
      <c r="N1174" s="10">
        <v>195479</v>
      </c>
      <c r="O1174" s="10">
        <v>86732</v>
      </c>
      <c r="P1174" s="10">
        <v>282211</v>
      </c>
    </row>
    <row r="1175" spans="1:16" ht="27" customHeight="1" x14ac:dyDescent="0.2">
      <c r="A1175" s="9" t="s">
        <v>4291</v>
      </c>
      <c r="B1175" s="10" t="s">
        <v>4296</v>
      </c>
      <c r="C1175" s="11" t="s">
        <v>4298</v>
      </c>
      <c r="D1175" s="11" t="s">
        <v>4299</v>
      </c>
      <c r="E1175" s="11" t="s">
        <v>26</v>
      </c>
      <c r="F1175" s="11" t="s">
        <v>4300</v>
      </c>
      <c r="G1175" s="11" t="s">
        <v>28</v>
      </c>
      <c r="H1175" s="11" t="s">
        <v>4300</v>
      </c>
      <c r="I1175" s="11" t="s">
        <v>4301</v>
      </c>
      <c r="J1175" s="12">
        <v>0.36709999999999998</v>
      </c>
      <c r="K1175" s="13">
        <v>1</v>
      </c>
      <c r="L1175" s="14">
        <v>346</v>
      </c>
      <c r="M1175" s="10">
        <v>127</v>
      </c>
      <c r="N1175" s="10">
        <v>38234</v>
      </c>
      <c r="O1175" s="10">
        <v>9959</v>
      </c>
      <c r="P1175" s="10">
        <v>48193</v>
      </c>
    </row>
    <row r="1176" spans="1:16" ht="27" customHeight="1" x14ac:dyDescent="0.2">
      <c r="A1176" s="9" t="s">
        <v>4302</v>
      </c>
      <c r="B1176" s="10" t="s">
        <v>4303</v>
      </c>
      <c r="C1176" s="11" t="s">
        <v>18</v>
      </c>
      <c r="D1176" s="11" t="s">
        <v>19</v>
      </c>
      <c r="E1176" s="11" t="s">
        <v>19</v>
      </c>
      <c r="F1176" s="11" t="s">
        <v>4304</v>
      </c>
      <c r="G1176" s="11" t="s">
        <v>21</v>
      </c>
      <c r="H1176" s="11" t="s">
        <v>4305</v>
      </c>
      <c r="I1176" s="11" t="s">
        <v>4306</v>
      </c>
      <c r="J1176" s="12">
        <v>0.98470000000000002</v>
      </c>
      <c r="K1176" s="13">
        <v>5</v>
      </c>
      <c r="L1176" s="14">
        <v>1681</v>
      </c>
      <c r="M1176" s="10">
        <v>1353</v>
      </c>
      <c r="N1176" s="10">
        <v>185753</v>
      </c>
      <c r="O1176" s="10">
        <v>106100</v>
      </c>
      <c r="P1176" s="10">
        <v>291853</v>
      </c>
    </row>
    <row r="1177" spans="1:16" ht="27" customHeight="1" x14ac:dyDescent="0.2">
      <c r="A1177" s="9" t="s">
        <v>4302</v>
      </c>
      <c r="B1177" s="10" t="s">
        <v>4303</v>
      </c>
      <c r="C1177" s="11" t="s">
        <v>4307</v>
      </c>
      <c r="D1177" s="11" t="s">
        <v>4308</v>
      </c>
      <c r="E1177" s="11" t="s">
        <v>26</v>
      </c>
      <c r="F1177" s="11" t="s">
        <v>4309</v>
      </c>
      <c r="G1177" s="11" t="s">
        <v>28</v>
      </c>
      <c r="H1177" s="11" t="s">
        <v>4309</v>
      </c>
      <c r="I1177" s="11" t="s">
        <v>4310</v>
      </c>
      <c r="J1177" s="12">
        <v>0.57779999999999998</v>
      </c>
      <c r="K1177" s="13">
        <v>1</v>
      </c>
      <c r="L1177" s="14">
        <v>6886</v>
      </c>
      <c r="M1177" s="10">
        <v>3979</v>
      </c>
      <c r="N1177" s="10">
        <v>760914</v>
      </c>
      <c r="O1177" s="10">
        <v>312029</v>
      </c>
      <c r="P1177" s="10">
        <v>1072943</v>
      </c>
    </row>
    <row r="1178" spans="1:16" ht="27" customHeight="1" x14ac:dyDescent="0.2">
      <c r="A1178" s="9" t="s">
        <v>4302</v>
      </c>
      <c r="B1178" s="10" t="s">
        <v>4303</v>
      </c>
      <c r="C1178" s="11" t="s">
        <v>4311</v>
      </c>
      <c r="D1178" s="11" t="s">
        <v>4312</v>
      </c>
      <c r="E1178" s="11" t="s">
        <v>26</v>
      </c>
      <c r="F1178" s="11" t="s">
        <v>4313</v>
      </c>
      <c r="G1178" s="11" t="s">
        <v>28</v>
      </c>
      <c r="H1178" s="11" t="s">
        <v>4305</v>
      </c>
      <c r="I1178" s="11" t="s">
        <v>4306</v>
      </c>
      <c r="J1178" s="12">
        <v>0.98470000000000002</v>
      </c>
      <c r="K1178" s="13">
        <v>1</v>
      </c>
      <c r="L1178" s="14">
        <v>143</v>
      </c>
      <c r="M1178" s="10">
        <v>108</v>
      </c>
      <c r="N1178" s="10">
        <v>15802</v>
      </c>
      <c r="O1178" s="10">
        <v>8469</v>
      </c>
      <c r="P1178" s="10">
        <v>24271</v>
      </c>
    </row>
    <row r="1179" spans="1:16" ht="27" customHeight="1" x14ac:dyDescent="0.2">
      <c r="A1179" s="9" t="s">
        <v>4302</v>
      </c>
      <c r="B1179" s="10" t="s">
        <v>4303</v>
      </c>
      <c r="C1179" s="11" t="s">
        <v>4314</v>
      </c>
      <c r="D1179" s="11" t="s">
        <v>4315</v>
      </c>
      <c r="E1179" s="11" t="s">
        <v>26</v>
      </c>
      <c r="F1179" s="11" t="s">
        <v>4316</v>
      </c>
      <c r="G1179" s="11" t="s">
        <v>28</v>
      </c>
      <c r="H1179" s="11" t="s">
        <v>4316</v>
      </c>
      <c r="I1179" s="11" t="s">
        <v>4317</v>
      </c>
      <c r="J1179" s="12">
        <v>0.5373</v>
      </c>
      <c r="K1179" s="13">
        <v>1</v>
      </c>
      <c r="L1179" s="14">
        <v>1312</v>
      </c>
      <c r="M1179" s="10">
        <v>705</v>
      </c>
      <c r="N1179" s="10">
        <v>144978</v>
      </c>
      <c r="O1179" s="10">
        <v>55285</v>
      </c>
      <c r="P1179" s="10">
        <v>200263</v>
      </c>
    </row>
    <row r="1180" spans="1:16" ht="27" customHeight="1" x14ac:dyDescent="0.2">
      <c r="A1180" s="9" t="s">
        <v>4302</v>
      </c>
      <c r="B1180" s="10" t="s">
        <v>4303</v>
      </c>
      <c r="C1180" s="11" t="s">
        <v>4318</v>
      </c>
      <c r="D1180" s="11" t="s">
        <v>4319</v>
      </c>
      <c r="E1180" s="11" t="s">
        <v>57</v>
      </c>
      <c r="F1180" s="11" t="s">
        <v>4320</v>
      </c>
      <c r="G1180" s="11" t="s">
        <v>28</v>
      </c>
      <c r="H1180" s="11" t="s">
        <v>4305</v>
      </c>
      <c r="I1180" s="11" t="s">
        <v>4306</v>
      </c>
      <c r="J1180" s="12">
        <v>0.98470000000000002</v>
      </c>
      <c r="K1180" s="13">
        <v>1</v>
      </c>
      <c r="L1180" s="14">
        <v>500</v>
      </c>
      <c r="M1180" s="10">
        <v>323</v>
      </c>
      <c r="N1180" s="10">
        <v>55251</v>
      </c>
      <c r="O1180" s="10">
        <v>25329</v>
      </c>
      <c r="P1180" s="10">
        <v>80580</v>
      </c>
    </row>
    <row r="1181" spans="1:16" ht="27" customHeight="1" x14ac:dyDescent="0.2">
      <c r="A1181" s="9" t="s">
        <v>4302</v>
      </c>
      <c r="B1181" s="10" t="s">
        <v>4303</v>
      </c>
      <c r="C1181" s="11" t="s">
        <v>4321</v>
      </c>
      <c r="D1181" s="11" t="s">
        <v>4322</v>
      </c>
      <c r="E1181" s="11" t="s">
        <v>26</v>
      </c>
      <c r="F1181" s="11" t="s">
        <v>4323</v>
      </c>
      <c r="G1181" s="11" t="s">
        <v>28</v>
      </c>
      <c r="H1181" s="11" t="s">
        <v>4305</v>
      </c>
      <c r="I1181" s="11" t="s">
        <v>4306</v>
      </c>
      <c r="J1181" s="12">
        <v>0.98470000000000002</v>
      </c>
      <c r="K1181" s="13">
        <v>1</v>
      </c>
      <c r="L1181" s="14">
        <v>128</v>
      </c>
      <c r="M1181" s="10">
        <v>67</v>
      </c>
      <c r="N1181" s="10">
        <v>14144</v>
      </c>
      <c r="O1181" s="10">
        <v>5254</v>
      </c>
      <c r="P1181" s="10">
        <v>19398</v>
      </c>
    </row>
    <row r="1182" spans="1:16" ht="27" customHeight="1" x14ac:dyDescent="0.2">
      <c r="A1182" s="9" t="s">
        <v>4302</v>
      </c>
      <c r="B1182" s="10" t="s">
        <v>4303</v>
      </c>
      <c r="C1182" s="11" t="s">
        <v>4324</v>
      </c>
      <c r="D1182" s="11" t="s">
        <v>4325</v>
      </c>
      <c r="E1182" s="11" t="s">
        <v>26</v>
      </c>
      <c r="F1182" s="11" t="s">
        <v>4326</v>
      </c>
      <c r="G1182" s="11" t="s">
        <v>28</v>
      </c>
      <c r="H1182" s="11" t="s">
        <v>4326</v>
      </c>
      <c r="I1182" s="11" t="s">
        <v>4327</v>
      </c>
      <c r="J1182" s="12">
        <v>0.1623</v>
      </c>
      <c r="K1182" s="13">
        <v>1</v>
      </c>
      <c r="L1182" s="14">
        <v>309</v>
      </c>
      <c r="M1182" s="10">
        <v>50</v>
      </c>
      <c r="N1182" s="10">
        <v>34145</v>
      </c>
      <c r="O1182" s="10">
        <v>3921</v>
      </c>
      <c r="P1182" s="10">
        <v>38066</v>
      </c>
    </row>
    <row r="1183" spans="1:16" ht="27" customHeight="1" x14ac:dyDescent="0.2">
      <c r="A1183" s="9" t="s">
        <v>4302</v>
      </c>
      <c r="B1183" s="10" t="s">
        <v>4303</v>
      </c>
      <c r="C1183" s="11" t="s">
        <v>4328</v>
      </c>
      <c r="D1183" s="11" t="s">
        <v>4329</v>
      </c>
      <c r="E1183" s="11" t="s">
        <v>26</v>
      </c>
      <c r="F1183" s="11" t="s">
        <v>4330</v>
      </c>
      <c r="G1183" s="11" t="s">
        <v>28</v>
      </c>
      <c r="H1183" s="11" t="s">
        <v>4330</v>
      </c>
      <c r="I1183" s="11" t="s">
        <v>4331</v>
      </c>
      <c r="J1183" s="12">
        <v>0.52480000000000004</v>
      </c>
      <c r="K1183" s="13">
        <v>1</v>
      </c>
      <c r="L1183" s="14">
        <v>141</v>
      </c>
      <c r="M1183" s="10">
        <v>74</v>
      </c>
      <c r="N1183" s="10">
        <v>15581</v>
      </c>
      <c r="O1183" s="10">
        <v>5803</v>
      </c>
      <c r="P1183" s="10">
        <v>21384</v>
      </c>
    </row>
    <row r="1184" spans="1:16" ht="27" customHeight="1" x14ac:dyDescent="0.2">
      <c r="A1184" s="9" t="s">
        <v>4302</v>
      </c>
      <c r="B1184" s="10" t="s">
        <v>4303</v>
      </c>
      <c r="C1184" s="11" t="s">
        <v>4332</v>
      </c>
      <c r="D1184" s="11" t="s">
        <v>4333</v>
      </c>
      <c r="E1184" s="11" t="s">
        <v>26</v>
      </c>
      <c r="F1184" s="11" t="s">
        <v>4334</v>
      </c>
      <c r="G1184" s="11" t="s">
        <v>28</v>
      </c>
      <c r="H1184" s="11" t="s">
        <v>4334</v>
      </c>
      <c r="I1184" s="11" t="s">
        <v>4335</v>
      </c>
      <c r="J1184" s="12">
        <v>0.58879999999999999</v>
      </c>
      <c r="K1184" s="13">
        <v>1</v>
      </c>
      <c r="L1184" s="14">
        <v>429</v>
      </c>
      <c r="M1184" s="10">
        <v>253</v>
      </c>
      <c r="N1184" s="10">
        <v>47405</v>
      </c>
      <c r="O1184" s="10">
        <v>19840</v>
      </c>
      <c r="P1184" s="10">
        <v>67245</v>
      </c>
    </row>
    <row r="1185" spans="1:16" ht="27" customHeight="1" x14ac:dyDescent="0.2">
      <c r="A1185" s="9" t="s">
        <v>4302</v>
      </c>
      <c r="B1185" s="10" t="s">
        <v>4303</v>
      </c>
      <c r="C1185" s="11" t="s">
        <v>4336</v>
      </c>
      <c r="D1185" s="11" t="s">
        <v>4337</v>
      </c>
      <c r="E1185" s="11" t="s">
        <v>26</v>
      </c>
      <c r="F1185" s="11" t="s">
        <v>4338</v>
      </c>
      <c r="G1185" s="11" t="s">
        <v>28</v>
      </c>
      <c r="H1185" s="11" t="s">
        <v>4305</v>
      </c>
      <c r="I1185" s="11" t="s">
        <v>4306</v>
      </c>
      <c r="J1185" s="12">
        <v>0.98470000000000002</v>
      </c>
      <c r="K1185" s="13">
        <v>1</v>
      </c>
      <c r="L1185" s="14">
        <v>129</v>
      </c>
      <c r="M1185" s="10">
        <v>54</v>
      </c>
      <c r="N1185" s="10">
        <v>14255</v>
      </c>
      <c r="O1185" s="10">
        <v>4235</v>
      </c>
      <c r="P1185" s="10">
        <v>18490</v>
      </c>
    </row>
    <row r="1186" spans="1:16" ht="27" customHeight="1" x14ac:dyDescent="0.2">
      <c r="A1186" s="9" t="s">
        <v>4302</v>
      </c>
      <c r="B1186" s="10" t="s">
        <v>4303</v>
      </c>
      <c r="C1186" s="11" t="s">
        <v>4339</v>
      </c>
      <c r="D1186" s="11" t="s">
        <v>4340</v>
      </c>
      <c r="E1186" s="11" t="s">
        <v>26</v>
      </c>
      <c r="F1186" s="11" t="s">
        <v>4043</v>
      </c>
      <c r="G1186" s="11" t="s">
        <v>28</v>
      </c>
      <c r="H1186" s="11" t="s">
        <v>4043</v>
      </c>
      <c r="I1186" s="11" t="s">
        <v>4341</v>
      </c>
      <c r="J1186" s="12">
        <v>0.80910000000000004</v>
      </c>
      <c r="K1186" s="13">
        <v>1</v>
      </c>
      <c r="L1186" s="14">
        <v>550</v>
      </c>
      <c r="M1186" s="10">
        <v>445</v>
      </c>
      <c r="N1186" s="10">
        <v>60776</v>
      </c>
      <c r="O1186" s="10">
        <v>34896</v>
      </c>
      <c r="P1186" s="10">
        <v>95672</v>
      </c>
    </row>
    <row r="1187" spans="1:16" ht="27" customHeight="1" x14ac:dyDescent="0.2">
      <c r="A1187" s="9" t="s">
        <v>4302</v>
      </c>
      <c r="B1187" s="10" t="s">
        <v>4303</v>
      </c>
      <c r="C1187" s="11" t="s">
        <v>4342</v>
      </c>
      <c r="D1187" s="11" t="s">
        <v>4343</v>
      </c>
      <c r="E1187" s="11" t="s">
        <v>26</v>
      </c>
      <c r="F1187" s="11" t="s">
        <v>4344</v>
      </c>
      <c r="G1187" s="11" t="s">
        <v>28</v>
      </c>
      <c r="H1187" s="11" t="s">
        <v>4344</v>
      </c>
      <c r="I1187" s="11" t="s">
        <v>4345</v>
      </c>
      <c r="J1187" s="12">
        <v>0.40260000000000001</v>
      </c>
      <c r="K1187" s="13">
        <v>1</v>
      </c>
      <c r="L1187" s="14">
        <v>755</v>
      </c>
      <c r="M1187" s="10">
        <v>304</v>
      </c>
      <c r="N1187" s="10">
        <v>83429</v>
      </c>
      <c r="O1187" s="10">
        <v>23839</v>
      </c>
      <c r="P1187" s="10">
        <v>107268</v>
      </c>
    </row>
    <row r="1188" spans="1:16" ht="27" customHeight="1" x14ac:dyDescent="0.2">
      <c r="A1188" s="9" t="s">
        <v>4302</v>
      </c>
      <c r="B1188" s="10" t="s">
        <v>4303</v>
      </c>
      <c r="C1188" s="11" t="s">
        <v>4346</v>
      </c>
      <c r="D1188" s="11" t="s">
        <v>4347</v>
      </c>
      <c r="E1188" s="11" t="s">
        <v>26</v>
      </c>
      <c r="F1188" s="11" t="s">
        <v>4348</v>
      </c>
      <c r="G1188" s="11" t="s">
        <v>28</v>
      </c>
      <c r="H1188" s="11" t="s">
        <v>4305</v>
      </c>
      <c r="I1188" s="11" t="s">
        <v>4306</v>
      </c>
      <c r="J1188" s="12">
        <v>0.98470000000000002</v>
      </c>
      <c r="K1188" s="13">
        <v>1</v>
      </c>
      <c r="L1188" s="14">
        <v>157</v>
      </c>
      <c r="M1188" s="10">
        <v>113</v>
      </c>
      <c r="N1188" s="10">
        <v>17349</v>
      </c>
      <c r="O1188" s="10">
        <v>8861</v>
      </c>
      <c r="P1188" s="10">
        <v>26210</v>
      </c>
    </row>
    <row r="1189" spans="1:16" ht="27" customHeight="1" x14ac:dyDescent="0.2">
      <c r="A1189" s="9" t="s">
        <v>4302</v>
      </c>
      <c r="B1189" s="10" t="s">
        <v>4303</v>
      </c>
      <c r="C1189" s="11" t="s">
        <v>4349</v>
      </c>
      <c r="D1189" s="11" t="s">
        <v>4350</v>
      </c>
      <c r="E1189" s="11" t="s">
        <v>26</v>
      </c>
      <c r="F1189" s="11" t="s">
        <v>4351</v>
      </c>
      <c r="G1189" s="11" t="s">
        <v>28</v>
      </c>
      <c r="H1189" s="11" t="s">
        <v>4351</v>
      </c>
      <c r="I1189" s="11" t="s">
        <v>4352</v>
      </c>
      <c r="J1189" s="12">
        <v>0.73219999999999996</v>
      </c>
      <c r="K1189" s="13">
        <v>1</v>
      </c>
      <c r="L1189" s="14">
        <v>239</v>
      </c>
      <c r="M1189" s="10">
        <v>175</v>
      </c>
      <c r="N1189" s="10">
        <v>26410</v>
      </c>
      <c r="O1189" s="10">
        <v>13723</v>
      </c>
      <c r="P1189" s="10">
        <v>40133</v>
      </c>
    </row>
    <row r="1190" spans="1:16" ht="27" customHeight="1" x14ac:dyDescent="0.2">
      <c r="A1190" s="9" t="s">
        <v>4302</v>
      </c>
      <c r="B1190" s="10" t="s">
        <v>4353</v>
      </c>
      <c r="C1190" s="11" t="s">
        <v>4354</v>
      </c>
      <c r="D1190" s="11" t="s">
        <v>19</v>
      </c>
      <c r="E1190" s="11" t="s">
        <v>19</v>
      </c>
      <c r="F1190" s="11" t="s">
        <v>4355</v>
      </c>
      <c r="G1190" s="11" t="s">
        <v>77</v>
      </c>
      <c r="H1190" s="11" t="s">
        <v>4305</v>
      </c>
      <c r="I1190" s="11" t="s">
        <v>4306</v>
      </c>
      <c r="J1190" s="12">
        <v>0.98470000000000002</v>
      </c>
      <c r="K1190" s="13">
        <v>1</v>
      </c>
      <c r="L1190" s="14">
        <v>319</v>
      </c>
      <c r="M1190" s="10">
        <v>138</v>
      </c>
      <c r="N1190" s="10">
        <v>35250</v>
      </c>
      <c r="O1190" s="10">
        <v>10822</v>
      </c>
      <c r="P1190" s="10">
        <v>46072</v>
      </c>
    </row>
    <row r="1191" spans="1:16" ht="27" customHeight="1" x14ac:dyDescent="0.2">
      <c r="A1191" s="9" t="s">
        <v>4302</v>
      </c>
      <c r="B1191" s="10" t="s">
        <v>4356</v>
      </c>
      <c r="C1191" s="11" t="s">
        <v>18</v>
      </c>
      <c r="D1191" s="11" t="s">
        <v>19</v>
      </c>
      <c r="E1191" s="11" t="s">
        <v>19</v>
      </c>
      <c r="F1191" s="11" t="s">
        <v>4357</v>
      </c>
      <c r="G1191" s="11" t="s">
        <v>83</v>
      </c>
      <c r="H1191" s="11" t="s">
        <v>4358</v>
      </c>
      <c r="I1191" s="11" t="s">
        <v>4359</v>
      </c>
      <c r="J1191" s="12">
        <v>0.97860000000000003</v>
      </c>
      <c r="K1191" s="13">
        <v>27</v>
      </c>
      <c r="L1191" s="14">
        <v>17160</v>
      </c>
      <c r="M1191" s="10">
        <v>14602</v>
      </c>
      <c r="N1191" s="10">
        <v>1896209</v>
      </c>
      <c r="O1191" s="10">
        <v>1145075</v>
      </c>
      <c r="P1191" s="10">
        <v>3041284</v>
      </c>
    </row>
    <row r="1192" spans="1:16" ht="27" customHeight="1" x14ac:dyDescent="0.2">
      <c r="A1192" s="9" t="s">
        <v>4302</v>
      </c>
      <c r="B1192" s="10" t="s">
        <v>4360</v>
      </c>
      <c r="C1192" s="11" t="s">
        <v>18</v>
      </c>
      <c r="D1192" s="11" t="s">
        <v>19</v>
      </c>
      <c r="E1192" s="11" t="s">
        <v>19</v>
      </c>
      <c r="F1192" s="11" t="s">
        <v>4361</v>
      </c>
      <c r="G1192" s="11" t="s">
        <v>83</v>
      </c>
      <c r="H1192" s="11" t="s">
        <v>4362</v>
      </c>
      <c r="I1192" s="11" t="s">
        <v>4363</v>
      </c>
      <c r="J1192" s="12">
        <v>0.91180000000000005</v>
      </c>
      <c r="K1192" s="13">
        <v>12</v>
      </c>
      <c r="L1192" s="14">
        <v>4448</v>
      </c>
      <c r="M1192" s="10">
        <v>3946</v>
      </c>
      <c r="N1192" s="10">
        <v>491512</v>
      </c>
      <c r="O1192" s="10">
        <v>309441</v>
      </c>
      <c r="P1192" s="10">
        <v>800953</v>
      </c>
    </row>
    <row r="1193" spans="1:16" ht="27" customHeight="1" x14ac:dyDescent="0.2">
      <c r="A1193" s="9" t="s">
        <v>4302</v>
      </c>
      <c r="B1193" s="10" t="s">
        <v>4364</v>
      </c>
      <c r="C1193" s="11" t="s">
        <v>18</v>
      </c>
      <c r="D1193" s="11" t="s">
        <v>19</v>
      </c>
      <c r="E1193" s="11" t="s">
        <v>19</v>
      </c>
      <c r="F1193" s="11" t="s">
        <v>4365</v>
      </c>
      <c r="G1193" s="11" t="s">
        <v>83</v>
      </c>
      <c r="H1193" s="11" t="s">
        <v>4366</v>
      </c>
      <c r="I1193" s="11" t="s">
        <v>4367</v>
      </c>
      <c r="J1193" s="12">
        <v>0.87450000000000006</v>
      </c>
      <c r="K1193" s="13">
        <v>16</v>
      </c>
      <c r="L1193" s="14">
        <v>11890</v>
      </c>
      <c r="M1193" s="10">
        <v>7614</v>
      </c>
      <c r="N1193" s="10">
        <v>1313868</v>
      </c>
      <c r="O1193" s="10">
        <v>597082</v>
      </c>
      <c r="P1193" s="10">
        <v>1910950</v>
      </c>
    </row>
    <row r="1194" spans="1:16" ht="27" customHeight="1" x14ac:dyDescent="0.2">
      <c r="A1194" s="9" t="s">
        <v>4302</v>
      </c>
      <c r="B1194" s="10" t="s">
        <v>4364</v>
      </c>
      <c r="C1194" s="11" t="s">
        <v>4368</v>
      </c>
      <c r="D1194" s="11" t="s">
        <v>4369</v>
      </c>
      <c r="E1194" s="11" t="s">
        <v>26</v>
      </c>
      <c r="F1194" s="11" t="s">
        <v>4370</v>
      </c>
      <c r="G1194" s="11" t="s">
        <v>28</v>
      </c>
      <c r="H1194" s="11" t="s">
        <v>4370</v>
      </c>
      <c r="I1194" s="11" t="s">
        <v>4371</v>
      </c>
      <c r="J1194" s="12">
        <v>0.39700000000000002</v>
      </c>
      <c r="K1194" s="13">
        <v>1</v>
      </c>
      <c r="L1194" s="14">
        <v>330</v>
      </c>
      <c r="M1194" s="10">
        <v>131</v>
      </c>
      <c r="N1194" s="10">
        <v>36466</v>
      </c>
      <c r="O1194" s="10">
        <v>10273</v>
      </c>
      <c r="P1194" s="10">
        <v>46739</v>
      </c>
    </row>
    <row r="1195" spans="1:16" ht="27" customHeight="1" x14ac:dyDescent="0.2">
      <c r="A1195" s="9" t="s">
        <v>4302</v>
      </c>
      <c r="B1195" s="10" t="s">
        <v>4364</v>
      </c>
      <c r="C1195" s="11" t="s">
        <v>4372</v>
      </c>
      <c r="D1195" s="11" t="s">
        <v>4373</v>
      </c>
      <c r="E1195" s="11" t="s">
        <v>26</v>
      </c>
      <c r="F1195" s="11" t="s">
        <v>4374</v>
      </c>
      <c r="G1195" s="11" t="s">
        <v>28</v>
      </c>
      <c r="H1195" s="11" t="s">
        <v>4374</v>
      </c>
      <c r="I1195" s="11" t="s">
        <v>4375</v>
      </c>
      <c r="J1195" s="12">
        <v>0.41199999999999998</v>
      </c>
      <c r="K1195" s="13">
        <v>1</v>
      </c>
      <c r="L1195" s="14">
        <v>4794</v>
      </c>
      <c r="M1195" s="10">
        <v>1975</v>
      </c>
      <c r="N1195" s="10">
        <v>529745</v>
      </c>
      <c r="O1195" s="10">
        <v>154877</v>
      </c>
      <c r="P1195" s="10">
        <v>684622</v>
      </c>
    </row>
    <row r="1196" spans="1:16" ht="27" customHeight="1" x14ac:dyDescent="0.2">
      <c r="A1196" s="9" t="s">
        <v>4302</v>
      </c>
      <c r="B1196" s="10" t="s">
        <v>4376</v>
      </c>
      <c r="C1196" s="11" t="s">
        <v>18</v>
      </c>
      <c r="D1196" s="11" t="s">
        <v>19</v>
      </c>
      <c r="E1196" s="11" t="s">
        <v>19</v>
      </c>
      <c r="F1196" s="11" t="s">
        <v>4377</v>
      </c>
      <c r="G1196" s="11" t="s">
        <v>83</v>
      </c>
      <c r="H1196" s="11" t="s">
        <v>4378</v>
      </c>
      <c r="I1196" s="11" t="s">
        <v>4379</v>
      </c>
      <c r="J1196" s="12">
        <v>0.95589999999999997</v>
      </c>
      <c r="K1196" s="13">
        <v>54</v>
      </c>
      <c r="L1196" s="14">
        <v>51060</v>
      </c>
      <c r="M1196" s="10">
        <v>36268</v>
      </c>
      <c r="N1196" s="10">
        <v>5642216</v>
      </c>
      <c r="O1196" s="10">
        <v>2844105</v>
      </c>
      <c r="P1196" s="10">
        <v>8486321</v>
      </c>
    </row>
    <row r="1197" spans="1:16" ht="27" customHeight="1" x14ac:dyDescent="0.2">
      <c r="A1197" s="9" t="s">
        <v>4302</v>
      </c>
      <c r="B1197" s="10" t="s">
        <v>4380</v>
      </c>
      <c r="C1197" s="11" t="s">
        <v>18</v>
      </c>
      <c r="D1197" s="11" t="s">
        <v>19</v>
      </c>
      <c r="E1197" s="11" t="s">
        <v>19</v>
      </c>
      <c r="F1197" s="11" t="s">
        <v>4381</v>
      </c>
      <c r="G1197" s="11" t="s">
        <v>83</v>
      </c>
      <c r="H1197" s="11" t="s">
        <v>4382</v>
      </c>
      <c r="I1197" s="11" t="s">
        <v>4383</v>
      </c>
      <c r="J1197" s="12">
        <v>0.68</v>
      </c>
      <c r="K1197" s="13">
        <v>2</v>
      </c>
      <c r="L1197" s="14">
        <v>26</v>
      </c>
      <c r="M1197" s="10">
        <v>18</v>
      </c>
      <c r="N1197" s="10">
        <v>2874</v>
      </c>
      <c r="O1197" s="10">
        <v>1411</v>
      </c>
      <c r="P1197" s="10">
        <v>4285</v>
      </c>
    </row>
    <row r="1198" spans="1:16" ht="27" customHeight="1" x14ac:dyDescent="0.2">
      <c r="A1198" s="9" t="s">
        <v>4302</v>
      </c>
      <c r="B1198" s="10" t="s">
        <v>4384</v>
      </c>
      <c r="C1198" s="11" t="s">
        <v>18</v>
      </c>
      <c r="D1198" s="11" t="s">
        <v>19</v>
      </c>
      <c r="E1198" s="11" t="s">
        <v>19</v>
      </c>
      <c r="F1198" s="11" t="s">
        <v>4385</v>
      </c>
      <c r="G1198" s="11" t="s">
        <v>83</v>
      </c>
      <c r="H1198" s="11" t="s">
        <v>4386</v>
      </c>
      <c r="I1198" s="11" t="s">
        <v>4387</v>
      </c>
      <c r="J1198" s="12">
        <v>0.91310000000000002</v>
      </c>
      <c r="K1198" s="13">
        <v>34</v>
      </c>
      <c r="L1198" s="14">
        <v>24616</v>
      </c>
      <c r="M1198" s="10">
        <v>18706</v>
      </c>
      <c r="N1198" s="10">
        <v>2720106</v>
      </c>
      <c r="O1198" s="10">
        <v>1466906</v>
      </c>
      <c r="P1198" s="10">
        <v>4187012</v>
      </c>
    </row>
    <row r="1199" spans="1:16" ht="27" customHeight="1" x14ac:dyDescent="0.2">
      <c r="A1199" s="9" t="s">
        <v>4302</v>
      </c>
      <c r="B1199" s="10" t="s">
        <v>4384</v>
      </c>
      <c r="C1199" s="11" t="s">
        <v>4388</v>
      </c>
      <c r="D1199" s="11" t="s">
        <v>4389</v>
      </c>
      <c r="E1199" s="11" t="s">
        <v>57</v>
      </c>
      <c r="F1199" s="11" t="s">
        <v>4390</v>
      </c>
      <c r="G1199" s="11" t="s">
        <v>28</v>
      </c>
      <c r="H1199" s="11" t="s">
        <v>4390</v>
      </c>
      <c r="I1199" s="11" t="s">
        <v>4391</v>
      </c>
      <c r="J1199" s="12">
        <v>0.49009999999999998</v>
      </c>
      <c r="K1199" s="13">
        <v>1</v>
      </c>
      <c r="L1199" s="14">
        <v>755</v>
      </c>
      <c r="M1199" s="10">
        <v>370</v>
      </c>
      <c r="N1199" s="10">
        <v>83429</v>
      </c>
      <c r="O1199" s="10">
        <v>29015</v>
      </c>
      <c r="P1199" s="10">
        <v>112444</v>
      </c>
    </row>
    <row r="1200" spans="1:16" ht="27" customHeight="1" x14ac:dyDescent="0.2">
      <c r="A1200" s="9" t="s">
        <v>4302</v>
      </c>
      <c r="B1200" s="10" t="s">
        <v>4384</v>
      </c>
      <c r="C1200" s="11" t="s">
        <v>4392</v>
      </c>
      <c r="D1200" s="11" t="s">
        <v>4393</v>
      </c>
      <c r="E1200" s="11" t="s">
        <v>57</v>
      </c>
      <c r="F1200" s="11" t="s">
        <v>4394</v>
      </c>
      <c r="G1200" s="11" t="s">
        <v>28</v>
      </c>
      <c r="H1200" s="11" t="s">
        <v>4305</v>
      </c>
      <c r="I1200" s="11" t="s">
        <v>4306</v>
      </c>
      <c r="J1200" s="12">
        <v>0.98470000000000002</v>
      </c>
      <c r="K1200" s="13">
        <v>1</v>
      </c>
      <c r="L1200" s="14">
        <v>1347</v>
      </c>
      <c r="M1200" s="10">
        <v>812</v>
      </c>
      <c r="N1200" s="10">
        <v>148846</v>
      </c>
      <c r="O1200" s="10">
        <v>63676</v>
      </c>
      <c r="P1200" s="10">
        <v>212522</v>
      </c>
    </row>
    <row r="1201" spans="1:16" ht="27" customHeight="1" x14ac:dyDescent="0.2">
      <c r="A1201" s="9" t="s">
        <v>4302</v>
      </c>
      <c r="B1201" s="10" t="s">
        <v>4395</v>
      </c>
      <c r="C1201" s="11" t="s">
        <v>18</v>
      </c>
      <c r="D1201" s="11" t="s">
        <v>19</v>
      </c>
      <c r="E1201" s="11" t="s">
        <v>19</v>
      </c>
      <c r="F1201" s="11" t="s">
        <v>4396</v>
      </c>
      <c r="G1201" s="11" t="s">
        <v>83</v>
      </c>
      <c r="H1201" s="11" t="s">
        <v>4397</v>
      </c>
      <c r="I1201" s="11" t="s">
        <v>4398</v>
      </c>
      <c r="J1201" s="12">
        <v>0.95479999999999998</v>
      </c>
      <c r="K1201" s="13">
        <v>27</v>
      </c>
      <c r="L1201" s="14">
        <v>21810</v>
      </c>
      <c r="M1201" s="10">
        <v>18821</v>
      </c>
      <c r="N1201" s="10">
        <v>2410043</v>
      </c>
      <c r="O1201" s="10">
        <v>1475927</v>
      </c>
      <c r="P1201" s="10">
        <v>3885970</v>
      </c>
    </row>
    <row r="1202" spans="1:16" ht="27" customHeight="1" x14ac:dyDescent="0.2">
      <c r="A1202" s="9" t="s">
        <v>4302</v>
      </c>
      <c r="B1202" s="10" t="s">
        <v>4395</v>
      </c>
      <c r="C1202" s="11" t="s">
        <v>4399</v>
      </c>
      <c r="D1202" s="11" t="s">
        <v>4400</v>
      </c>
      <c r="E1202" s="11" t="s">
        <v>57</v>
      </c>
      <c r="F1202" s="11" t="s">
        <v>4401</v>
      </c>
      <c r="G1202" s="11" t="s">
        <v>28</v>
      </c>
      <c r="H1202" s="11" t="s">
        <v>4401</v>
      </c>
      <c r="I1202" s="11" t="s">
        <v>4402</v>
      </c>
      <c r="J1202" s="12">
        <v>0.56299999999999994</v>
      </c>
      <c r="K1202" s="13">
        <v>1</v>
      </c>
      <c r="L1202" s="14">
        <v>746</v>
      </c>
      <c r="M1202" s="10">
        <v>420</v>
      </c>
      <c r="N1202" s="10">
        <v>82434</v>
      </c>
      <c r="O1202" s="10">
        <v>32936</v>
      </c>
      <c r="P1202" s="10">
        <v>115370</v>
      </c>
    </row>
    <row r="1203" spans="1:16" ht="27" customHeight="1" x14ac:dyDescent="0.2">
      <c r="A1203" s="9" t="s">
        <v>4302</v>
      </c>
      <c r="B1203" s="10" t="s">
        <v>4403</v>
      </c>
      <c r="C1203" s="11" t="s">
        <v>18</v>
      </c>
      <c r="D1203" s="11" t="s">
        <v>19</v>
      </c>
      <c r="E1203" s="11" t="s">
        <v>19</v>
      </c>
      <c r="F1203" s="11" t="s">
        <v>4404</v>
      </c>
      <c r="G1203" s="11" t="s">
        <v>83</v>
      </c>
      <c r="H1203" s="11" t="s">
        <v>4405</v>
      </c>
      <c r="I1203" s="11" t="s">
        <v>4406</v>
      </c>
      <c r="J1203" s="12">
        <v>0.95309999999999995</v>
      </c>
      <c r="K1203" s="13">
        <v>26</v>
      </c>
      <c r="L1203" s="14">
        <v>18539</v>
      </c>
      <c r="M1203" s="10">
        <v>14418</v>
      </c>
      <c r="N1203" s="10">
        <v>2048590</v>
      </c>
      <c r="O1203" s="10">
        <v>1130645</v>
      </c>
      <c r="P1203" s="10">
        <v>3179235</v>
      </c>
    </row>
    <row r="1204" spans="1:16" ht="27" customHeight="1" x14ac:dyDescent="0.2">
      <c r="A1204" s="9" t="s">
        <v>4302</v>
      </c>
      <c r="B1204" s="10" t="s">
        <v>4407</v>
      </c>
      <c r="C1204" s="11" t="s">
        <v>18</v>
      </c>
      <c r="D1204" s="11" t="s">
        <v>19</v>
      </c>
      <c r="E1204" s="11" t="s">
        <v>19</v>
      </c>
      <c r="F1204" s="11" t="s">
        <v>4408</v>
      </c>
      <c r="G1204" s="11" t="s">
        <v>83</v>
      </c>
      <c r="H1204" s="11" t="s">
        <v>4409</v>
      </c>
      <c r="I1204" s="11" t="s">
        <v>4410</v>
      </c>
      <c r="J1204" s="12">
        <v>0.81210000000000004</v>
      </c>
      <c r="K1204" s="13">
        <v>18</v>
      </c>
      <c r="L1204" s="14">
        <v>11986</v>
      </c>
      <c r="M1204" s="10">
        <v>7105</v>
      </c>
      <c r="N1204" s="10">
        <v>1324474</v>
      </c>
      <c r="O1204" s="10">
        <v>557168</v>
      </c>
      <c r="P1204" s="10">
        <v>1881642</v>
      </c>
    </row>
    <row r="1205" spans="1:16" ht="27" customHeight="1" x14ac:dyDescent="0.2">
      <c r="A1205" s="9" t="s">
        <v>4302</v>
      </c>
      <c r="B1205" s="10" t="s">
        <v>4407</v>
      </c>
      <c r="C1205" s="11" t="s">
        <v>4411</v>
      </c>
      <c r="D1205" s="11" t="s">
        <v>4412</v>
      </c>
      <c r="E1205" s="11" t="s">
        <v>26</v>
      </c>
      <c r="F1205" s="11" t="s">
        <v>4413</v>
      </c>
      <c r="G1205" s="11" t="s">
        <v>28</v>
      </c>
      <c r="H1205" s="11" t="s">
        <v>4413</v>
      </c>
      <c r="I1205" s="11" t="s">
        <v>4414</v>
      </c>
      <c r="J1205" s="12">
        <v>0.26829999999999998</v>
      </c>
      <c r="K1205" s="13">
        <v>1</v>
      </c>
      <c r="L1205" s="14">
        <v>1569</v>
      </c>
      <c r="M1205" s="10">
        <v>421</v>
      </c>
      <c r="N1205" s="10">
        <v>173377</v>
      </c>
      <c r="O1205" s="10">
        <v>33014</v>
      </c>
      <c r="P1205" s="10">
        <v>206391</v>
      </c>
    </row>
    <row r="1206" spans="1:16" ht="27" customHeight="1" x14ac:dyDescent="0.2">
      <c r="A1206" s="9" t="s">
        <v>4302</v>
      </c>
      <c r="B1206" s="10" t="s">
        <v>4415</v>
      </c>
      <c r="C1206" s="11" t="s">
        <v>18</v>
      </c>
      <c r="D1206" s="11" t="s">
        <v>19</v>
      </c>
      <c r="E1206" s="11" t="s">
        <v>19</v>
      </c>
      <c r="F1206" s="11" t="s">
        <v>4416</v>
      </c>
      <c r="G1206" s="11" t="s">
        <v>83</v>
      </c>
      <c r="H1206" s="11" t="s">
        <v>4417</v>
      </c>
      <c r="I1206" s="11" t="s">
        <v>4418</v>
      </c>
      <c r="J1206" s="12">
        <v>0.87429999999999997</v>
      </c>
      <c r="K1206" s="13">
        <v>40</v>
      </c>
      <c r="L1206" s="14">
        <v>31841</v>
      </c>
      <c r="M1206" s="10">
        <v>22340</v>
      </c>
      <c r="N1206" s="10">
        <v>3518485</v>
      </c>
      <c r="O1206" s="10">
        <v>1751881</v>
      </c>
      <c r="P1206" s="10">
        <v>5270366</v>
      </c>
    </row>
    <row r="1207" spans="1:16" ht="27" customHeight="1" x14ac:dyDescent="0.2">
      <c r="A1207" s="9" t="s">
        <v>4302</v>
      </c>
      <c r="B1207" s="10" t="s">
        <v>4419</v>
      </c>
      <c r="C1207" s="11" t="s">
        <v>18</v>
      </c>
      <c r="D1207" s="11" t="s">
        <v>19</v>
      </c>
      <c r="E1207" s="11" t="s">
        <v>19</v>
      </c>
      <c r="F1207" s="11" t="s">
        <v>4420</v>
      </c>
      <c r="G1207" s="11" t="s">
        <v>83</v>
      </c>
      <c r="H1207" s="11" t="s">
        <v>4421</v>
      </c>
      <c r="I1207" s="11" t="s">
        <v>4422</v>
      </c>
      <c r="J1207" s="12">
        <v>0.85150000000000003</v>
      </c>
      <c r="K1207" s="13">
        <v>4</v>
      </c>
      <c r="L1207" s="14">
        <v>1620</v>
      </c>
      <c r="M1207" s="10">
        <v>1300</v>
      </c>
      <c r="N1207" s="10">
        <v>179014</v>
      </c>
      <c r="O1207" s="10">
        <v>101945</v>
      </c>
      <c r="P1207" s="10">
        <v>280959</v>
      </c>
    </row>
    <row r="1208" spans="1:16" ht="27" customHeight="1" x14ac:dyDescent="0.2">
      <c r="A1208" s="9" t="s">
        <v>4302</v>
      </c>
      <c r="B1208" s="10" t="s">
        <v>4419</v>
      </c>
      <c r="C1208" s="11" t="s">
        <v>4423</v>
      </c>
      <c r="D1208" s="11" t="s">
        <v>4424</v>
      </c>
      <c r="E1208" s="11" t="s">
        <v>57</v>
      </c>
      <c r="F1208" s="11" t="s">
        <v>4425</v>
      </c>
      <c r="G1208" s="11" t="s">
        <v>28</v>
      </c>
      <c r="H1208" s="11" t="s">
        <v>4305</v>
      </c>
      <c r="I1208" s="11" t="s">
        <v>4306</v>
      </c>
      <c r="J1208" s="12">
        <v>0.98470000000000002</v>
      </c>
      <c r="K1208" s="13">
        <v>1</v>
      </c>
      <c r="L1208" s="14">
        <v>661</v>
      </c>
      <c r="M1208" s="10">
        <v>459</v>
      </c>
      <c r="N1208" s="10">
        <v>73042</v>
      </c>
      <c r="O1208" s="10">
        <v>35994</v>
      </c>
      <c r="P1208" s="10">
        <v>109036</v>
      </c>
    </row>
    <row r="1209" spans="1:16" ht="27" customHeight="1" x14ac:dyDescent="0.2">
      <c r="A1209" s="9" t="s">
        <v>4302</v>
      </c>
      <c r="B1209" s="10" t="s">
        <v>4426</v>
      </c>
      <c r="C1209" s="11" t="s">
        <v>18</v>
      </c>
      <c r="D1209" s="11" t="s">
        <v>19</v>
      </c>
      <c r="E1209" s="11" t="s">
        <v>19</v>
      </c>
      <c r="F1209" s="11" t="s">
        <v>4427</v>
      </c>
      <c r="G1209" s="11" t="s">
        <v>83</v>
      </c>
      <c r="H1209" s="11" t="s">
        <v>4305</v>
      </c>
      <c r="I1209" s="11" t="s">
        <v>4306</v>
      </c>
      <c r="J1209" s="12">
        <v>0.98470000000000002</v>
      </c>
      <c r="K1209" s="13">
        <v>28</v>
      </c>
      <c r="L1209" s="14">
        <v>20511</v>
      </c>
      <c r="M1209" s="10">
        <v>19918</v>
      </c>
      <c r="N1209" s="10">
        <v>2266503</v>
      </c>
      <c r="O1209" s="10">
        <v>1561951</v>
      </c>
      <c r="P1209" s="10">
        <v>3828454</v>
      </c>
    </row>
    <row r="1210" spans="1:16" ht="27" customHeight="1" x14ac:dyDescent="0.2">
      <c r="A1210" s="9" t="s">
        <v>4302</v>
      </c>
      <c r="B1210" s="10" t="s">
        <v>4426</v>
      </c>
      <c r="C1210" s="11" t="s">
        <v>4428</v>
      </c>
      <c r="D1210" s="11" t="s">
        <v>4429</v>
      </c>
      <c r="E1210" s="11" t="s">
        <v>57</v>
      </c>
      <c r="F1210" s="11" t="s">
        <v>4430</v>
      </c>
      <c r="G1210" s="11" t="s">
        <v>28</v>
      </c>
      <c r="H1210" s="11" t="s">
        <v>4430</v>
      </c>
      <c r="I1210" s="11" t="s">
        <v>4431</v>
      </c>
      <c r="J1210" s="12">
        <v>0.94269999999999998</v>
      </c>
      <c r="K1210" s="13">
        <v>1</v>
      </c>
      <c r="L1210" s="14">
        <v>872</v>
      </c>
      <c r="M1210" s="10">
        <v>822</v>
      </c>
      <c r="N1210" s="10">
        <v>96357</v>
      </c>
      <c r="O1210" s="10">
        <v>64460</v>
      </c>
      <c r="P1210" s="10">
        <v>160817</v>
      </c>
    </row>
    <row r="1211" spans="1:16" ht="27" customHeight="1" x14ac:dyDescent="0.2">
      <c r="A1211" s="9" t="s">
        <v>4302</v>
      </c>
      <c r="B1211" s="10" t="s">
        <v>4432</v>
      </c>
      <c r="C1211" s="11" t="s">
        <v>18</v>
      </c>
      <c r="D1211" s="11" t="s">
        <v>19</v>
      </c>
      <c r="E1211" s="11" t="s">
        <v>19</v>
      </c>
      <c r="F1211" s="11" t="s">
        <v>4433</v>
      </c>
      <c r="G1211" s="11" t="s">
        <v>83</v>
      </c>
      <c r="H1211" s="11" t="s">
        <v>4434</v>
      </c>
      <c r="I1211" s="11" t="s">
        <v>4435</v>
      </c>
      <c r="J1211" s="12">
        <v>0.87460000000000004</v>
      </c>
      <c r="K1211" s="13">
        <v>7</v>
      </c>
      <c r="L1211" s="14">
        <v>2834</v>
      </c>
      <c r="M1211" s="10">
        <v>2317</v>
      </c>
      <c r="N1211" s="10">
        <v>313162</v>
      </c>
      <c r="O1211" s="10">
        <v>181697</v>
      </c>
      <c r="P1211" s="10">
        <v>494859</v>
      </c>
    </row>
    <row r="1212" spans="1:16" ht="27" customHeight="1" x14ac:dyDescent="0.2">
      <c r="A1212" s="9" t="s">
        <v>4302</v>
      </c>
      <c r="B1212" s="10" t="s">
        <v>4432</v>
      </c>
      <c r="C1212" s="11" t="s">
        <v>4436</v>
      </c>
      <c r="D1212" s="11" t="s">
        <v>4437</v>
      </c>
      <c r="E1212" s="11" t="s">
        <v>26</v>
      </c>
      <c r="F1212" s="11" t="s">
        <v>4438</v>
      </c>
      <c r="G1212" s="11" t="s">
        <v>28</v>
      </c>
      <c r="H1212" s="11" t="s">
        <v>4438</v>
      </c>
      <c r="I1212" s="11" t="s">
        <v>4439</v>
      </c>
      <c r="J1212" s="12">
        <v>0.58789999999999998</v>
      </c>
      <c r="K1212" s="13">
        <v>1</v>
      </c>
      <c r="L1212" s="14">
        <v>956</v>
      </c>
      <c r="M1212" s="10">
        <v>562</v>
      </c>
      <c r="N1212" s="10">
        <v>105640</v>
      </c>
      <c r="O1212" s="10">
        <v>44071</v>
      </c>
      <c r="P1212" s="10">
        <v>149711</v>
      </c>
    </row>
    <row r="1213" spans="1:16" ht="27" customHeight="1" x14ac:dyDescent="0.2">
      <c r="A1213" s="9" t="s">
        <v>4302</v>
      </c>
      <c r="B1213" s="10" t="s">
        <v>4440</v>
      </c>
      <c r="C1213" s="11" t="s">
        <v>18</v>
      </c>
      <c r="D1213" s="11" t="s">
        <v>19</v>
      </c>
      <c r="E1213" s="11" t="s">
        <v>19</v>
      </c>
      <c r="F1213" s="11" t="s">
        <v>4441</v>
      </c>
      <c r="G1213" s="11" t="s">
        <v>83</v>
      </c>
      <c r="H1213" s="11" t="s">
        <v>4441</v>
      </c>
      <c r="I1213" s="11" t="s">
        <v>4442</v>
      </c>
      <c r="J1213" s="12">
        <v>0.86839999999999995</v>
      </c>
      <c r="K1213" s="13">
        <v>9</v>
      </c>
      <c r="L1213" s="14">
        <v>4904</v>
      </c>
      <c r="M1213" s="10">
        <v>4147</v>
      </c>
      <c r="N1213" s="10">
        <v>541899</v>
      </c>
      <c r="O1213" s="10">
        <v>325203</v>
      </c>
      <c r="P1213" s="10">
        <v>867102</v>
      </c>
    </row>
    <row r="1214" spans="1:16" ht="27" customHeight="1" x14ac:dyDescent="0.2">
      <c r="A1214" s="9" t="s">
        <v>4302</v>
      </c>
      <c r="B1214" s="10" t="s">
        <v>4440</v>
      </c>
      <c r="C1214" s="11" t="s">
        <v>4443</v>
      </c>
      <c r="D1214" s="11" t="s">
        <v>4444</v>
      </c>
      <c r="E1214" s="11" t="s">
        <v>57</v>
      </c>
      <c r="F1214" s="11" t="s">
        <v>4445</v>
      </c>
      <c r="G1214" s="11" t="s">
        <v>28</v>
      </c>
      <c r="H1214" s="11" t="s">
        <v>4445</v>
      </c>
      <c r="I1214" s="11" t="s">
        <v>4446</v>
      </c>
      <c r="J1214" s="12">
        <v>0.84179999999999999</v>
      </c>
      <c r="K1214" s="13">
        <v>1</v>
      </c>
      <c r="L1214" s="14">
        <v>904</v>
      </c>
      <c r="M1214" s="10">
        <v>761</v>
      </c>
      <c r="N1214" s="10">
        <v>99893</v>
      </c>
      <c r="O1214" s="10">
        <v>59677</v>
      </c>
      <c r="P1214" s="10">
        <v>159570</v>
      </c>
    </row>
    <row r="1215" spans="1:16" ht="27" customHeight="1" x14ac:dyDescent="0.2">
      <c r="A1215" s="9" t="s">
        <v>4302</v>
      </c>
      <c r="B1215" s="10" t="s">
        <v>4447</v>
      </c>
      <c r="C1215" s="11" t="s">
        <v>18</v>
      </c>
      <c r="D1215" s="11" t="s">
        <v>19</v>
      </c>
      <c r="E1215" s="11" t="s">
        <v>19</v>
      </c>
      <c r="F1215" s="11" t="s">
        <v>4448</v>
      </c>
      <c r="G1215" s="11" t="s">
        <v>83</v>
      </c>
      <c r="H1215" s="11" t="s">
        <v>4305</v>
      </c>
      <c r="I1215" s="11" t="s">
        <v>4306</v>
      </c>
      <c r="J1215" s="12">
        <v>0.98470000000000002</v>
      </c>
      <c r="K1215" s="13">
        <v>9</v>
      </c>
      <c r="L1215" s="14">
        <v>10706</v>
      </c>
      <c r="M1215" s="10">
        <v>7788</v>
      </c>
      <c r="N1215" s="10">
        <v>1183030</v>
      </c>
      <c r="O1215" s="10">
        <v>610727</v>
      </c>
      <c r="P1215" s="10">
        <v>1793757</v>
      </c>
    </row>
    <row r="1216" spans="1:16" ht="27" customHeight="1" x14ac:dyDescent="0.2">
      <c r="A1216" s="9" t="s">
        <v>4302</v>
      </c>
      <c r="B1216" s="10" t="s">
        <v>4447</v>
      </c>
      <c r="C1216" s="11" t="s">
        <v>4449</v>
      </c>
      <c r="D1216" s="11" t="s">
        <v>4450</v>
      </c>
      <c r="E1216" s="11" t="s">
        <v>57</v>
      </c>
      <c r="F1216" s="11" t="s">
        <v>4451</v>
      </c>
      <c r="G1216" s="11" t="s">
        <v>28</v>
      </c>
      <c r="H1216" s="11" t="s">
        <v>4451</v>
      </c>
      <c r="I1216" s="11" t="s">
        <v>4452</v>
      </c>
      <c r="J1216" s="12">
        <v>0.89259999999999995</v>
      </c>
      <c r="K1216" s="13">
        <v>1</v>
      </c>
      <c r="L1216" s="14">
        <v>1006</v>
      </c>
      <c r="M1216" s="10">
        <v>898</v>
      </c>
      <c r="N1216" s="10">
        <v>111165</v>
      </c>
      <c r="O1216" s="10">
        <v>70420</v>
      </c>
      <c r="P1216" s="10">
        <v>181585</v>
      </c>
    </row>
    <row r="1217" spans="1:16" ht="27" customHeight="1" x14ac:dyDescent="0.2">
      <c r="A1217" s="9" t="s">
        <v>4302</v>
      </c>
      <c r="B1217" s="10" t="s">
        <v>4453</v>
      </c>
      <c r="C1217" s="11" t="s">
        <v>18</v>
      </c>
      <c r="D1217" s="11" t="s">
        <v>19</v>
      </c>
      <c r="E1217" s="11" t="s">
        <v>19</v>
      </c>
      <c r="F1217" s="11" t="s">
        <v>4454</v>
      </c>
      <c r="G1217" s="11" t="s">
        <v>83</v>
      </c>
      <c r="H1217" s="11" t="s">
        <v>4455</v>
      </c>
      <c r="I1217" s="11" t="s">
        <v>4456</v>
      </c>
      <c r="J1217" s="12">
        <v>0.92669999999999997</v>
      </c>
      <c r="K1217" s="13">
        <v>50</v>
      </c>
      <c r="L1217" s="14">
        <v>40068</v>
      </c>
      <c r="M1217" s="10">
        <v>29123</v>
      </c>
      <c r="N1217" s="10">
        <v>4427579</v>
      </c>
      <c r="O1217" s="10">
        <v>2283796</v>
      </c>
      <c r="P1217" s="10">
        <v>6711375</v>
      </c>
    </row>
    <row r="1218" spans="1:16" ht="27" customHeight="1" x14ac:dyDescent="0.2">
      <c r="A1218" s="9" t="s">
        <v>4302</v>
      </c>
      <c r="B1218" s="10" t="s">
        <v>4453</v>
      </c>
      <c r="C1218" s="11" t="s">
        <v>4457</v>
      </c>
      <c r="D1218" s="11" t="s">
        <v>4458</v>
      </c>
      <c r="E1218" s="11" t="s">
        <v>26</v>
      </c>
      <c r="F1218" s="11" t="s">
        <v>4459</v>
      </c>
      <c r="G1218" s="11" t="s">
        <v>28</v>
      </c>
      <c r="H1218" s="11" t="s">
        <v>4459</v>
      </c>
      <c r="I1218" s="11" t="s">
        <v>4460</v>
      </c>
      <c r="J1218" s="12">
        <v>0.53039999999999998</v>
      </c>
      <c r="K1218" s="13">
        <v>1</v>
      </c>
      <c r="L1218" s="14">
        <v>624</v>
      </c>
      <c r="M1218" s="10">
        <v>331</v>
      </c>
      <c r="N1218" s="10">
        <v>68953</v>
      </c>
      <c r="O1218" s="10">
        <v>25957</v>
      </c>
      <c r="P1218" s="10">
        <v>94910</v>
      </c>
    </row>
    <row r="1219" spans="1:16" ht="27" customHeight="1" x14ac:dyDescent="0.2">
      <c r="A1219" s="9" t="s">
        <v>4302</v>
      </c>
      <c r="B1219" s="10" t="s">
        <v>4461</v>
      </c>
      <c r="C1219" s="11" t="s">
        <v>18</v>
      </c>
      <c r="D1219" s="11" t="s">
        <v>19</v>
      </c>
      <c r="E1219" s="11" t="s">
        <v>19</v>
      </c>
      <c r="F1219" s="11" t="s">
        <v>4462</v>
      </c>
      <c r="G1219" s="11" t="s">
        <v>83</v>
      </c>
      <c r="H1219" s="11" t="s">
        <v>4462</v>
      </c>
      <c r="I1219" s="11" t="s">
        <v>4463</v>
      </c>
      <c r="J1219" s="12">
        <v>0.91190000000000004</v>
      </c>
      <c r="K1219" s="13">
        <v>7</v>
      </c>
      <c r="L1219" s="14">
        <v>4577</v>
      </c>
      <c r="M1219" s="10">
        <v>3272</v>
      </c>
      <c r="N1219" s="10">
        <v>505767</v>
      </c>
      <c r="O1219" s="10">
        <v>256586</v>
      </c>
      <c r="P1219" s="10">
        <v>762353</v>
      </c>
    </row>
    <row r="1220" spans="1:16" ht="27" customHeight="1" x14ac:dyDescent="0.2">
      <c r="A1220" s="9" t="s">
        <v>4302</v>
      </c>
      <c r="B1220" s="10" t="s">
        <v>4464</v>
      </c>
      <c r="C1220" s="11" t="s">
        <v>18</v>
      </c>
      <c r="D1220" s="11" t="s">
        <v>19</v>
      </c>
      <c r="E1220" s="11" t="s">
        <v>19</v>
      </c>
      <c r="F1220" s="11" t="s">
        <v>4465</v>
      </c>
      <c r="G1220" s="11" t="s">
        <v>83</v>
      </c>
      <c r="H1220" s="11" t="s">
        <v>4466</v>
      </c>
      <c r="I1220" s="11" t="s">
        <v>4467</v>
      </c>
      <c r="J1220" s="12">
        <v>0.93100000000000005</v>
      </c>
      <c r="K1220" s="13">
        <v>17</v>
      </c>
      <c r="L1220" s="14">
        <v>10334</v>
      </c>
      <c r="M1220" s="10">
        <v>8779</v>
      </c>
      <c r="N1220" s="10">
        <v>1141922</v>
      </c>
      <c r="O1220" s="10">
        <v>688439</v>
      </c>
      <c r="P1220" s="10">
        <v>1830361</v>
      </c>
    </row>
    <row r="1221" spans="1:16" ht="27" customHeight="1" x14ac:dyDescent="0.2">
      <c r="A1221" s="9" t="s">
        <v>4302</v>
      </c>
      <c r="B1221" s="10" t="s">
        <v>4464</v>
      </c>
      <c r="C1221" s="11" t="s">
        <v>4468</v>
      </c>
      <c r="D1221" s="11" t="s">
        <v>4469</v>
      </c>
      <c r="E1221" s="11" t="s">
        <v>26</v>
      </c>
      <c r="F1221" s="11" t="s">
        <v>4470</v>
      </c>
      <c r="G1221" s="11" t="s">
        <v>28</v>
      </c>
      <c r="H1221" s="11" t="s">
        <v>4470</v>
      </c>
      <c r="I1221" s="11" t="s">
        <v>4471</v>
      </c>
      <c r="J1221" s="12">
        <v>0.58499999999999996</v>
      </c>
      <c r="K1221" s="13">
        <v>1</v>
      </c>
      <c r="L1221" s="14">
        <v>1571</v>
      </c>
      <c r="M1221" s="10">
        <v>919</v>
      </c>
      <c r="N1221" s="10">
        <v>173598</v>
      </c>
      <c r="O1221" s="10">
        <v>72067</v>
      </c>
      <c r="P1221" s="10">
        <v>245665</v>
      </c>
    </row>
    <row r="1222" spans="1:16" ht="27" customHeight="1" x14ac:dyDescent="0.2">
      <c r="A1222" s="9" t="s">
        <v>4302</v>
      </c>
      <c r="B1222" s="10" t="s">
        <v>4472</v>
      </c>
      <c r="C1222" s="11" t="s">
        <v>18</v>
      </c>
      <c r="D1222" s="11" t="s">
        <v>19</v>
      </c>
      <c r="E1222" s="11" t="s">
        <v>19</v>
      </c>
      <c r="F1222" s="11" t="s">
        <v>4473</v>
      </c>
      <c r="G1222" s="11" t="s">
        <v>83</v>
      </c>
      <c r="H1222" s="11" t="s">
        <v>4474</v>
      </c>
      <c r="I1222" s="11" t="s">
        <v>4475</v>
      </c>
      <c r="J1222" s="12">
        <v>0.96889999999999998</v>
      </c>
      <c r="K1222" s="13">
        <v>23</v>
      </c>
      <c r="L1222" s="14">
        <v>16611</v>
      </c>
      <c r="M1222" s="10">
        <v>15167</v>
      </c>
      <c r="N1222" s="10">
        <v>1835544</v>
      </c>
      <c r="O1222" s="10">
        <v>1189379</v>
      </c>
      <c r="P1222" s="10">
        <v>3024923</v>
      </c>
    </row>
    <row r="1223" spans="1:16" ht="27" customHeight="1" x14ac:dyDescent="0.2">
      <c r="A1223" s="9" t="s">
        <v>4302</v>
      </c>
      <c r="B1223" s="10" t="s">
        <v>4472</v>
      </c>
      <c r="C1223" s="11" t="s">
        <v>4476</v>
      </c>
      <c r="D1223" s="11" t="s">
        <v>4477</v>
      </c>
      <c r="E1223" s="11" t="s">
        <v>26</v>
      </c>
      <c r="F1223" s="11" t="s">
        <v>4478</v>
      </c>
      <c r="G1223" s="11" t="s">
        <v>28</v>
      </c>
      <c r="H1223" s="11" t="s">
        <v>4305</v>
      </c>
      <c r="I1223" s="11" t="s">
        <v>4306</v>
      </c>
      <c r="J1223" s="12">
        <v>0.98470000000000002</v>
      </c>
      <c r="K1223" s="13">
        <v>1</v>
      </c>
      <c r="L1223" s="14">
        <v>231</v>
      </c>
      <c r="M1223" s="10">
        <v>211</v>
      </c>
      <c r="N1223" s="10">
        <v>25526</v>
      </c>
      <c r="O1223" s="10">
        <v>16546</v>
      </c>
      <c r="P1223" s="10">
        <v>42072</v>
      </c>
    </row>
    <row r="1224" spans="1:16" ht="27" customHeight="1" x14ac:dyDescent="0.2">
      <c r="A1224" s="9" t="s">
        <v>4302</v>
      </c>
      <c r="B1224" s="10" t="s">
        <v>4479</v>
      </c>
      <c r="C1224" s="11" t="s">
        <v>18</v>
      </c>
      <c r="D1224" s="11" t="s">
        <v>19</v>
      </c>
      <c r="E1224" s="11" t="s">
        <v>19</v>
      </c>
      <c r="F1224" s="11" t="s">
        <v>4480</v>
      </c>
      <c r="G1224" s="11" t="s">
        <v>83</v>
      </c>
      <c r="H1224" s="11" t="s">
        <v>4481</v>
      </c>
      <c r="I1224" s="11" t="s">
        <v>4482</v>
      </c>
      <c r="J1224" s="12">
        <v>0.94789999999999996</v>
      </c>
      <c r="K1224" s="13">
        <v>26</v>
      </c>
      <c r="L1224" s="14">
        <v>21249</v>
      </c>
      <c r="M1224" s="10">
        <v>15153</v>
      </c>
      <c r="N1224" s="10">
        <v>2348052</v>
      </c>
      <c r="O1224" s="10">
        <v>1188282</v>
      </c>
      <c r="P1224" s="10">
        <v>3536334</v>
      </c>
    </row>
    <row r="1225" spans="1:16" ht="27" customHeight="1" x14ac:dyDescent="0.2">
      <c r="A1225" s="9" t="s">
        <v>4302</v>
      </c>
      <c r="B1225" s="10" t="s">
        <v>4479</v>
      </c>
      <c r="C1225" s="11" t="s">
        <v>4483</v>
      </c>
      <c r="D1225" s="11" t="s">
        <v>4484</v>
      </c>
      <c r="E1225" s="11" t="s">
        <v>26</v>
      </c>
      <c r="F1225" s="11" t="s">
        <v>4485</v>
      </c>
      <c r="G1225" s="11" t="s">
        <v>28</v>
      </c>
      <c r="H1225" s="11" t="s">
        <v>4485</v>
      </c>
      <c r="I1225" s="11" t="s">
        <v>4486</v>
      </c>
      <c r="J1225" s="12">
        <v>0.36880000000000002</v>
      </c>
      <c r="K1225" s="13">
        <v>1</v>
      </c>
      <c r="L1225" s="14">
        <v>507</v>
      </c>
      <c r="M1225" s="10">
        <v>187</v>
      </c>
      <c r="N1225" s="10">
        <v>56024</v>
      </c>
      <c r="O1225" s="10">
        <v>14664</v>
      </c>
      <c r="P1225" s="10">
        <v>70688</v>
      </c>
    </row>
    <row r="1226" spans="1:16" ht="27" customHeight="1" x14ac:dyDescent="0.2">
      <c r="A1226" s="9" t="s">
        <v>4302</v>
      </c>
      <c r="B1226" s="10" t="s">
        <v>4487</v>
      </c>
      <c r="C1226" s="11" t="s">
        <v>18</v>
      </c>
      <c r="D1226" s="11" t="s">
        <v>19</v>
      </c>
      <c r="E1226" s="11" t="s">
        <v>19</v>
      </c>
      <c r="F1226" s="11" t="s">
        <v>4488</v>
      </c>
      <c r="G1226" s="11" t="s">
        <v>83</v>
      </c>
      <c r="H1226" s="11" t="s">
        <v>4489</v>
      </c>
      <c r="I1226" s="11" t="s">
        <v>4490</v>
      </c>
      <c r="J1226" s="12">
        <v>0.64659999999999995</v>
      </c>
      <c r="K1226" s="13">
        <v>31</v>
      </c>
      <c r="L1226" s="14">
        <v>26704</v>
      </c>
      <c r="M1226" s="10">
        <v>7200</v>
      </c>
      <c r="N1226" s="10">
        <v>2950836</v>
      </c>
      <c r="O1226" s="10">
        <v>564615</v>
      </c>
      <c r="P1226" s="10">
        <v>3515451</v>
      </c>
    </row>
    <row r="1227" spans="1:16" ht="27" customHeight="1" x14ac:dyDescent="0.2">
      <c r="A1227" s="9" t="s">
        <v>4302</v>
      </c>
      <c r="B1227" s="10" t="s">
        <v>4487</v>
      </c>
      <c r="C1227" s="11" t="s">
        <v>4491</v>
      </c>
      <c r="D1227" s="11" t="s">
        <v>4492</v>
      </c>
      <c r="E1227" s="11" t="s">
        <v>26</v>
      </c>
      <c r="F1227" s="11" t="s">
        <v>4493</v>
      </c>
      <c r="G1227" s="11" t="s">
        <v>28</v>
      </c>
      <c r="H1227" s="11" t="s">
        <v>4493</v>
      </c>
      <c r="I1227" s="11" t="s">
        <v>4494</v>
      </c>
      <c r="J1227" s="12">
        <v>0.1668</v>
      </c>
      <c r="K1227" s="13">
        <v>1</v>
      </c>
      <c r="L1227" s="14">
        <v>1079</v>
      </c>
      <c r="M1227" s="10">
        <v>180</v>
      </c>
      <c r="N1227" s="10">
        <v>119231</v>
      </c>
      <c r="O1227" s="10">
        <v>14115</v>
      </c>
      <c r="P1227" s="10">
        <v>133346</v>
      </c>
    </row>
    <row r="1228" spans="1:16" ht="27" customHeight="1" x14ac:dyDescent="0.2">
      <c r="A1228" s="9" t="s">
        <v>4302</v>
      </c>
      <c r="B1228" s="10" t="s">
        <v>4487</v>
      </c>
      <c r="C1228" s="11" t="s">
        <v>4495</v>
      </c>
      <c r="D1228" s="11" t="s">
        <v>4496</v>
      </c>
      <c r="E1228" s="11" t="s">
        <v>26</v>
      </c>
      <c r="F1228" s="11" t="s">
        <v>4497</v>
      </c>
      <c r="G1228" s="11" t="s">
        <v>28</v>
      </c>
      <c r="H1228" s="11" t="s">
        <v>4497</v>
      </c>
      <c r="I1228" s="11" t="s">
        <v>4498</v>
      </c>
      <c r="J1228" s="12">
        <v>0.1585</v>
      </c>
      <c r="K1228" s="13">
        <v>1</v>
      </c>
      <c r="L1228" s="14">
        <v>530</v>
      </c>
      <c r="M1228" s="10">
        <v>84</v>
      </c>
      <c r="N1228" s="10">
        <v>58566</v>
      </c>
      <c r="O1228" s="10">
        <v>6587</v>
      </c>
      <c r="P1228" s="10">
        <v>65153</v>
      </c>
    </row>
    <row r="1229" spans="1:16" ht="27" customHeight="1" x14ac:dyDescent="0.2">
      <c r="A1229" s="9" t="s">
        <v>4302</v>
      </c>
      <c r="B1229" s="10" t="s">
        <v>4499</v>
      </c>
      <c r="C1229" s="11" t="s">
        <v>18</v>
      </c>
      <c r="D1229" s="11" t="s">
        <v>19</v>
      </c>
      <c r="E1229" s="11" t="s">
        <v>19</v>
      </c>
      <c r="F1229" s="11" t="s">
        <v>4500</v>
      </c>
      <c r="G1229" s="11" t="s">
        <v>83</v>
      </c>
      <c r="H1229" s="11" t="s">
        <v>4501</v>
      </c>
      <c r="I1229" s="11" t="s">
        <v>4502</v>
      </c>
      <c r="J1229" s="12">
        <v>0.64639999999999997</v>
      </c>
      <c r="K1229" s="13">
        <v>22</v>
      </c>
      <c r="L1229" s="14">
        <v>22722</v>
      </c>
      <c r="M1229" s="10">
        <v>11036</v>
      </c>
      <c r="N1229" s="10">
        <v>2510819</v>
      </c>
      <c r="O1229" s="10">
        <v>865429</v>
      </c>
      <c r="P1229" s="10">
        <v>3376248</v>
      </c>
    </row>
    <row r="1230" spans="1:16" ht="27" customHeight="1" x14ac:dyDescent="0.2">
      <c r="A1230" s="9" t="s">
        <v>4302</v>
      </c>
      <c r="B1230" s="10" t="s">
        <v>4503</v>
      </c>
      <c r="C1230" s="11" t="s">
        <v>18</v>
      </c>
      <c r="D1230" s="11" t="s">
        <v>19</v>
      </c>
      <c r="E1230" s="11" t="s">
        <v>19</v>
      </c>
      <c r="F1230" s="11" t="s">
        <v>4504</v>
      </c>
      <c r="G1230" s="11" t="s">
        <v>83</v>
      </c>
      <c r="H1230" s="11" t="s">
        <v>1879</v>
      </c>
      <c r="I1230" s="11" t="s">
        <v>4505</v>
      </c>
      <c r="J1230" s="12">
        <v>0.97270000000000001</v>
      </c>
      <c r="K1230" s="13">
        <v>24</v>
      </c>
      <c r="L1230" s="14">
        <v>19701</v>
      </c>
      <c r="M1230" s="10">
        <v>17240</v>
      </c>
      <c r="N1230" s="10">
        <v>2176993</v>
      </c>
      <c r="O1230" s="10">
        <v>1351943</v>
      </c>
      <c r="P1230" s="10">
        <v>3528936</v>
      </c>
    </row>
    <row r="1231" spans="1:16" ht="27" customHeight="1" x14ac:dyDescent="0.2">
      <c r="A1231" s="9" t="s">
        <v>4506</v>
      </c>
      <c r="B1231" s="10" t="s">
        <v>4507</v>
      </c>
      <c r="C1231" s="11" t="s">
        <v>18</v>
      </c>
      <c r="D1231" s="11" t="s">
        <v>19</v>
      </c>
      <c r="E1231" s="11" t="s">
        <v>19</v>
      </c>
      <c r="F1231" s="11" t="s">
        <v>4508</v>
      </c>
      <c r="G1231" s="11" t="s">
        <v>21</v>
      </c>
      <c r="H1231" s="11" t="s">
        <v>4509</v>
      </c>
      <c r="I1231" s="11" t="s">
        <v>4510</v>
      </c>
      <c r="J1231" s="12">
        <v>0.96040000000000003</v>
      </c>
      <c r="K1231" s="13">
        <v>7</v>
      </c>
      <c r="L1231" s="14">
        <v>961</v>
      </c>
      <c r="M1231" s="10">
        <v>606</v>
      </c>
      <c r="N1231" s="10">
        <v>106192</v>
      </c>
      <c r="O1231" s="10">
        <v>47521</v>
      </c>
      <c r="P1231" s="10">
        <v>153713</v>
      </c>
    </row>
    <row r="1232" spans="1:16" ht="27" customHeight="1" x14ac:dyDescent="0.2">
      <c r="A1232" s="9" t="s">
        <v>4506</v>
      </c>
      <c r="B1232" s="10" t="s">
        <v>4507</v>
      </c>
      <c r="C1232" s="11" t="s">
        <v>4511</v>
      </c>
      <c r="D1232" s="11" t="s">
        <v>4512</v>
      </c>
      <c r="E1232" s="11" t="s">
        <v>26</v>
      </c>
      <c r="F1232" s="11" t="s">
        <v>4513</v>
      </c>
      <c r="G1232" s="11" t="s">
        <v>28</v>
      </c>
      <c r="H1232" s="11" t="s">
        <v>4513</v>
      </c>
      <c r="I1232" s="11" t="s">
        <v>4514</v>
      </c>
      <c r="J1232" s="12">
        <v>0.72940000000000005</v>
      </c>
      <c r="K1232" s="13">
        <v>1</v>
      </c>
      <c r="L1232" s="14">
        <v>1866</v>
      </c>
      <c r="M1232" s="10">
        <v>1361</v>
      </c>
      <c r="N1232" s="10">
        <v>206196</v>
      </c>
      <c r="O1232" s="10">
        <v>106728</v>
      </c>
      <c r="P1232" s="10">
        <v>312924</v>
      </c>
    </row>
    <row r="1233" spans="1:16" ht="27" customHeight="1" x14ac:dyDescent="0.2">
      <c r="A1233" s="9" t="s">
        <v>4506</v>
      </c>
      <c r="B1233" s="10" t="s">
        <v>4507</v>
      </c>
      <c r="C1233" s="11" t="s">
        <v>4515</v>
      </c>
      <c r="D1233" s="11" t="s">
        <v>4516</v>
      </c>
      <c r="E1233" s="11" t="s">
        <v>26</v>
      </c>
      <c r="F1233" s="11" t="s">
        <v>4517</v>
      </c>
      <c r="G1233" s="11" t="s">
        <v>28</v>
      </c>
      <c r="H1233" s="11" t="s">
        <v>4517</v>
      </c>
      <c r="I1233" s="11" t="s">
        <v>4518</v>
      </c>
      <c r="J1233" s="12">
        <v>0.33750000000000002</v>
      </c>
      <c r="K1233" s="13">
        <v>1</v>
      </c>
      <c r="L1233" s="14">
        <v>80</v>
      </c>
      <c r="M1233" s="10">
        <v>27</v>
      </c>
      <c r="N1233" s="10">
        <v>8840</v>
      </c>
      <c r="O1233" s="10">
        <v>2117</v>
      </c>
      <c r="P1233" s="10">
        <v>10957</v>
      </c>
    </row>
    <row r="1234" spans="1:16" ht="27" customHeight="1" x14ac:dyDescent="0.2">
      <c r="A1234" s="9" t="s">
        <v>4506</v>
      </c>
      <c r="B1234" s="10" t="s">
        <v>4507</v>
      </c>
      <c r="C1234" s="11" t="s">
        <v>4519</v>
      </c>
      <c r="D1234" s="11" t="s">
        <v>4520</v>
      </c>
      <c r="E1234" s="11" t="s">
        <v>26</v>
      </c>
      <c r="F1234" s="11" t="s">
        <v>4521</v>
      </c>
      <c r="G1234" s="11" t="s">
        <v>28</v>
      </c>
      <c r="H1234" s="11" t="s">
        <v>4509</v>
      </c>
      <c r="I1234" s="11" t="s">
        <v>4510</v>
      </c>
      <c r="J1234" s="12">
        <v>0.96040000000000003</v>
      </c>
      <c r="K1234" s="13">
        <v>1</v>
      </c>
      <c r="L1234" s="14">
        <v>0</v>
      </c>
      <c r="M1234" s="10">
        <v>0</v>
      </c>
      <c r="N1234" s="10">
        <v>0</v>
      </c>
      <c r="O1234" s="10">
        <v>0</v>
      </c>
      <c r="P1234" s="10">
        <v>0</v>
      </c>
    </row>
    <row r="1235" spans="1:16" ht="27" customHeight="1" x14ac:dyDescent="0.2">
      <c r="A1235" s="9" t="s">
        <v>4506</v>
      </c>
      <c r="B1235" s="10" t="s">
        <v>4522</v>
      </c>
      <c r="C1235" s="11" t="s">
        <v>18</v>
      </c>
      <c r="D1235" s="11" t="s">
        <v>19</v>
      </c>
      <c r="E1235" s="11" t="s">
        <v>19</v>
      </c>
      <c r="F1235" s="11" t="s">
        <v>4523</v>
      </c>
      <c r="G1235" s="11" t="s">
        <v>83</v>
      </c>
      <c r="H1235" s="11" t="s">
        <v>4524</v>
      </c>
      <c r="I1235" s="11" t="s">
        <v>4525</v>
      </c>
      <c r="J1235" s="12">
        <v>0.36859999999999998</v>
      </c>
      <c r="K1235" s="13">
        <v>2</v>
      </c>
      <c r="L1235" s="14">
        <v>491</v>
      </c>
      <c r="M1235" s="10">
        <v>181</v>
      </c>
      <c r="N1235" s="10">
        <v>54256</v>
      </c>
      <c r="O1235" s="10">
        <v>14194</v>
      </c>
      <c r="P1235" s="10">
        <v>68450</v>
      </c>
    </row>
    <row r="1236" spans="1:16" ht="27" customHeight="1" x14ac:dyDescent="0.2">
      <c r="A1236" s="9" t="s">
        <v>4506</v>
      </c>
      <c r="B1236" s="10" t="s">
        <v>4526</v>
      </c>
      <c r="C1236" s="11" t="s">
        <v>18</v>
      </c>
      <c r="D1236" s="11" t="s">
        <v>19</v>
      </c>
      <c r="E1236" s="11" t="s">
        <v>19</v>
      </c>
      <c r="F1236" s="11" t="s">
        <v>4527</v>
      </c>
      <c r="G1236" s="11" t="s">
        <v>83</v>
      </c>
      <c r="H1236" s="11" t="s">
        <v>4528</v>
      </c>
      <c r="I1236" s="11" t="s">
        <v>4529</v>
      </c>
      <c r="J1236" s="12">
        <v>0.72460000000000002</v>
      </c>
      <c r="K1236" s="13">
        <v>67</v>
      </c>
      <c r="L1236" s="14">
        <v>62162</v>
      </c>
      <c r="M1236" s="10">
        <v>26401</v>
      </c>
      <c r="N1236" s="10">
        <v>6869007</v>
      </c>
      <c r="O1236" s="10">
        <v>2070342</v>
      </c>
      <c r="P1236" s="10">
        <v>8939349</v>
      </c>
    </row>
    <row r="1237" spans="1:16" ht="27" customHeight="1" x14ac:dyDescent="0.2">
      <c r="A1237" s="9" t="s">
        <v>4506</v>
      </c>
      <c r="B1237" s="10" t="s">
        <v>4526</v>
      </c>
      <c r="C1237" s="11" t="s">
        <v>4530</v>
      </c>
      <c r="D1237" s="11" t="s">
        <v>4531</v>
      </c>
      <c r="E1237" s="11" t="s">
        <v>26</v>
      </c>
      <c r="F1237" s="11" t="s">
        <v>4532</v>
      </c>
      <c r="G1237" s="11" t="s">
        <v>28</v>
      </c>
      <c r="H1237" s="11" t="s">
        <v>4532</v>
      </c>
      <c r="I1237" s="11" t="s">
        <v>4533</v>
      </c>
      <c r="J1237" s="12">
        <v>0.2407</v>
      </c>
      <c r="K1237" s="13">
        <v>1</v>
      </c>
      <c r="L1237" s="14">
        <v>536</v>
      </c>
      <c r="M1237" s="10">
        <v>129</v>
      </c>
      <c r="N1237" s="10">
        <v>59229</v>
      </c>
      <c r="O1237" s="10">
        <v>10116</v>
      </c>
      <c r="P1237" s="10">
        <v>69345</v>
      </c>
    </row>
    <row r="1238" spans="1:16" ht="27" customHeight="1" x14ac:dyDescent="0.2">
      <c r="A1238" s="9" t="s">
        <v>4506</v>
      </c>
      <c r="B1238" s="10" t="s">
        <v>4526</v>
      </c>
      <c r="C1238" s="11" t="s">
        <v>4534</v>
      </c>
      <c r="D1238" s="11" t="s">
        <v>4535</v>
      </c>
      <c r="E1238" s="11" t="s">
        <v>26</v>
      </c>
      <c r="F1238" s="11" t="s">
        <v>4536</v>
      </c>
      <c r="G1238" s="11" t="s">
        <v>28</v>
      </c>
      <c r="H1238" s="11" t="s">
        <v>4509</v>
      </c>
      <c r="I1238" s="11" t="s">
        <v>4510</v>
      </c>
      <c r="J1238" s="12">
        <v>0.96040000000000003</v>
      </c>
      <c r="K1238" s="13">
        <v>1</v>
      </c>
      <c r="L1238" s="14">
        <v>360</v>
      </c>
      <c r="M1238" s="10">
        <v>227</v>
      </c>
      <c r="N1238" s="10">
        <v>39781</v>
      </c>
      <c r="O1238" s="10">
        <v>17801</v>
      </c>
      <c r="P1238" s="10">
        <v>57582</v>
      </c>
    </row>
    <row r="1239" spans="1:16" ht="27" customHeight="1" x14ac:dyDescent="0.2">
      <c r="A1239" s="9" t="s">
        <v>4506</v>
      </c>
      <c r="B1239" s="10" t="s">
        <v>4526</v>
      </c>
      <c r="C1239" s="11" t="s">
        <v>4537</v>
      </c>
      <c r="D1239" s="11" t="s">
        <v>4538</v>
      </c>
      <c r="E1239" s="11" t="s">
        <v>57</v>
      </c>
      <c r="F1239" s="11" t="s">
        <v>4539</v>
      </c>
      <c r="G1239" s="11" t="s">
        <v>28</v>
      </c>
      <c r="H1239" s="11" t="s">
        <v>4509</v>
      </c>
      <c r="I1239" s="11" t="s">
        <v>4510</v>
      </c>
      <c r="J1239" s="12">
        <v>0.96040000000000003</v>
      </c>
      <c r="K1239" s="13">
        <v>1</v>
      </c>
      <c r="L1239" s="14">
        <v>295</v>
      </c>
      <c r="M1239" s="10">
        <v>136</v>
      </c>
      <c r="N1239" s="10">
        <v>32598</v>
      </c>
      <c r="O1239" s="10">
        <v>10665</v>
      </c>
      <c r="P1239" s="10">
        <v>43263</v>
      </c>
    </row>
    <row r="1240" spans="1:16" ht="27" customHeight="1" x14ac:dyDescent="0.2">
      <c r="A1240" s="9" t="s">
        <v>4506</v>
      </c>
      <c r="B1240" s="10" t="s">
        <v>4540</v>
      </c>
      <c r="C1240" s="11" t="s">
        <v>18</v>
      </c>
      <c r="D1240" s="11" t="s">
        <v>19</v>
      </c>
      <c r="E1240" s="11" t="s">
        <v>19</v>
      </c>
      <c r="F1240" s="11" t="s">
        <v>4541</v>
      </c>
      <c r="G1240" s="11" t="s">
        <v>83</v>
      </c>
      <c r="H1240" s="11" t="s">
        <v>4542</v>
      </c>
      <c r="I1240" s="11" t="s">
        <v>4543</v>
      </c>
      <c r="J1240" s="12">
        <v>0.6794</v>
      </c>
      <c r="K1240" s="13">
        <v>3</v>
      </c>
      <c r="L1240" s="14">
        <v>212</v>
      </c>
      <c r="M1240" s="10">
        <v>150</v>
      </c>
      <c r="N1240" s="10">
        <v>23427</v>
      </c>
      <c r="O1240" s="10">
        <v>11763</v>
      </c>
      <c r="P1240" s="10">
        <v>35190</v>
      </c>
    </row>
    <row r="1241" spans="1:16" ht="27" customHeight="1" x14ac:dyDescent="0.2">
      <c r="A1241" s="9" t="s">
        <v>4506</v>
      </c>
      <c r="B1241" s="10" t="s">
        <v>4544</v>
      </c>
      <c r="C1241" s="11" t="s">
        <v>18</v>
      </c>
      <c r="D1241" s="11" t="s">
        <v>19</v>
      </c>
      <c r="E1241" s="11" t="s">
        <v>19</v>
      </c>
      <c r="F1241" s="11" t="s">
        <v>4545</v>
      </c>
      <c r="G1241" s="11" t="s">
        <v>83</v>
      </c>
      <c r="H1241" s="11" t="s">
        <v>4546</v>
      </c>
      <c r="I1241" s="11" t="s">
        <v>4547</v>
      </c>
      <c r="J1241" s="12">
        <v>0.91610000000000003</v>
      </c>
      <c r="K1241" s="13">
        <v>36</v>
      </c>
      <c r="L1241" s="14">
        <v>20799</v>
      </c>
      <c r="M1241" s="10">
        <v>7100</v>
      </c>
      <c r="N1241" s="10">
        <v>2298326</v>
      </c>
      <c r="O1241" s="10">
        <v>556776</v>
      </c>
      <c r="P1241" s="10">
        <v>2855102</v>
      </c>
    </row>
    <row r="1242" spans="1:16" ht="27" customHeight="1" x14ac:dyDescent="0.2">
      <c r="A1242" s="9" t="s">
        <v>4506</v>
      </c>
      <c r="B1242" s="10" t="s">
        <v>4544</v>
      </c>
      <c r="C1242" s="11" t="s">
        <v>4548</v>
      </c>
      <c r="D1242" s="11" t="s">
        <v>4549</v>
      </c>
      <c r="E1242" s="11" t="s">
        <v>57</v>
      </c>
      <c r="F1242" s="11" t="s">
        <v>4550</v>
      </c>
      <c r="G1242" s="11" t="s">
        <v>28</v>
      </c>
      <c r="H1242" s="11" t="s">
        <v>4550</v>
      </c>
      <c r="I1242" s="11" t="s">
        <v>4551</v>
      </c>
      <c r="J1242" s="12">
        <v>0.26219999999999999</v>
      </c>
      <c r="K1242" s="13">
        <v>1</v>
      </c>
      <c r="L1242" s="14">
        <v>164</v>
      </c>
      <c r="M1242" s="10">
        <v>43</v>
      </c>
      <c r="N1242" s="10">
        <v>18122</v>
      </c>
      <c r="O1242" s="10">
        <v>3372</v>
      </c>
      <c r="P1242" s="10">
        <v>21494</v>
      </c>
    </row>
    <row r="1243" spans="1:16" ht="27" customHeight="1" x14ac:dyDescent="0.2">
      <c r="A1243" s="9" t="s">
        <v>4506</v>
      </c>
      <c r="B1243" s="10" t="s">
        <v>4544</v>
      </c>
      <c r="C1243" s="11" t="s">
        <v>4552</v>
      </c>
      <c r="D1243" s="11" t="s">
        <v>4553</v>
      </c>
      <c r="E1243" s="11" t="s">
        <v>26</v>
      </c>
      <c r="F1243" s="11" t="s">
        <v>4554</v>
      </c>
      <c r="G1243" s="11" t="s">
        <v>28</v>
      </c>
      <c r="H1243" s="11" t="s">
        <v>4554</v>
      </c>
      <c r="I1243" s="11" t="s">
        <v>4555</v>
      </c>
      <c r="J1243" s="12">
        <v>0</v>
      </c>
      <c r="K1243" s="13">
        <v>1</v>
      </c>
      <c r="L1243" s="14">
        <v>0</v>
      </c>
      <c r="M1243" s="10">
        <v>0</v>
      </c>
      <c r="N1243" s="10">
        <v>0</v>
      </c>
      <c r="O1243" s="10">
        <v>0</v>
      </c>
      <c r="P1243" s="10">
        <v>0</v>
      </c>
    </row>
    <row r="1244" spans="1:16" ht="27" customHeight="1" x14ac:dyDescent="0.2">
      <c r="A1244" s="9" t="s">
        <v>4506</v>
      </c>
      <c r="B1244" s="10" t="s">
        <v>4556</v>
      </c>
      <c r="C1244" s="11" t="s">
        <v>18</v>
      </c>
      <c r="D1244" s="11" t="s">
        <v>19</v>
      </c>
      <c r="E1244" s="11" t="s">
        <v>19</v>
      </c>
      <c r="F1244" s="11" t="s">
        <v>4557</v>
      </c>
      <c r="G1244" s="11" t="s">
        <v>83</v>
      </c>
      <c r="H1244" s="11" t="s">
        <v>4558</v>
      </c>
      <c r="I1244" s="11" t="s">
        <v>4559</v>
      </c>
      <c r="J1244" s="12">
        <v>0.79559999999999997</v>
      </c>
      <c r="K1244" s="13">
        <v>8</v>
      </c>
      <c r="L1244" s="14">
        <v>3505</v>
      </c>
      <c r="M1244" s="10">
        <v>2021</v>
      </c>
      <c r="N1244" s="10">
        <v>387307</v>
      </c>
      <c r="O1244" s="10">
        <v>158484</v>
      </c>
      <c r="P1244" s="10">
        <v>545791</v>
      </c>
    </row>
    <row r="1245" spans="1:16" ht="27" customHeight="1" x14ac:dyDescent="0.2">
      <c r="A1245" s="9" t="s">
        <v>4506</v>
      </c>
      <c r="B1245" s="10" t="s">
        <v>4560</v>
      </c>
      <c r="C1245" s="11" t="s">
        <v>18</v>
      </c>
      <c r="D1245" s="11" t="s">
        <v>19</v>
      </c>
      <c r="E1245" s="11" t="s">
        <v>19</v>
      </c>
      <c r="F1245" s="11" t="s">
        <v>4561</v>
      </c>
      <c r="G1245" s="11" t="s">
        <v>83</v>
      </c>
      <c r="H1245" s="11" t="s">
        <v>4509</v>
      </c>
      <c r="I1245" s="11" t="s">
        <v>4510</v>
      </c>
      <c r="J1245" s="12">
        <v>0.96040000000000003</v>
      </c>
      <c r="K1245" s="13">
        <v>4</v>
      </c>
      <c r="L1245" s="14">
        <v>2063</v>
      </c>
      <c r="M1245" s="10">
        <v>1086</v>
      </c>
      <c r="N1245" s="10">
        <v>227966</v>
      </c>
      <c r="O1245" s="10">
        <v>85163</v>
      </c>
      <c r="P1245" s="10">
        <v>313129</v>
      </c>
    </row>
    <row r="1246" spans="1:16" ht="27" customHeight="1" x14ac:dyDescent="0.2">
      <c r="A1246" s="9" t="s">
        <v>4506</v>
      </c>
      <c r="B1246" s="10" t="s">
        <v>4562</v>
      </c>
      <c r="C1246" s="11" t="s">
        <v>18</v>
      </c>
      <c r="D1246" s="11" t="s">
        <v>19</v>
      </c>
      <c r="E1246" s="11" t="s">
        <v>19</v>
      </c>
      <c r="F1246" s="11" t="s">
        <v>4563</v>
      </c>
      <c r="G1246" s="11" t="s">
        <v>83</v>
      </c>
      <c r="H1246" s="11" t="s">
        <v>4564</v>
      </c>
      <c r="I1246" s="11" t="s">
        <v>4565</v>
      </c>
      <c r="J1246" s="12">
        <v>0.79520000000000002</v>
      </c>
      <c r="K1246" s="13">
        <v>12</v>
      </c>
      <c r="L1246" s="14">
        <v>1806</v>
      </c>
      <c r="M1246" s="10">
        <v>1051</v>
      </c>
      <c r="N1246" s="10">
        <v>199566</v>
      </c>
      <c r="O1246" s="10">
        <v>82419</v>
      </c>
      <c r="P1246" s="10">
        <v>281985</v>
      </c>
    </row>
    <row r="1247" spans="1:16" ht="27" customHeight="1" x14ac:dyDescent="0.2">
      <c r="A1247" s="9" t="s">
        <v>4506</v>
      </c>
      <c r="B1247" s="10" t="s">
        <v>4562</v>
      </c>
      <c r="C1247" s="11" t="s">
        <v>4566</v>
      </c>
      <c r="D1247" s="11" t="s">
        <v>4567</v>
      </c>
      <c r="E1247" s="11" t="s">
        <v>26</v>
      </c>
      <c r="F1247" s="11" t="s">
        <v>4568</v>
      </c>
      <c r="G1247" s="11" t="s">
        <v>28</v>
      </c>
      <c r="H1247" s="11" t="s">
        <v>4568</v>
      </c>
      <c r="I1247" s="11" t="s">
        <v>4569</v>
      </c>
      <c r="J1247" s="12">
        <v>0.24529999999999999</v>
      </c>
      <c r="K1247" s="13">
        <v>1</v>
      </c>
      <c r="L1247" s="14">
        <v>371</v>
      </c>
      <c r="M1247" s="10">
        <v>91</v>
      </c>
      <c r="N1247" s="10">
        <v>40996</v>
      </c>
      <c r="O1247" s="10">
        <v>7136</v>
      </c>
      <c r="P1247" s="10">
        <v>48132</v>
      </c>
    </row>
    <row r="1248" spans="1:16" ht="27" customHeight="1" x14ac:dyDescent="0.2">
      <c r="A1248" s="9" t="s">
        <v>4506</v>
      </c>
      <c r="B1248" s="10" t="s">
        <v>4570</v>
      </c>
      <c r="C1248" s="11" t="s">
        <v>18</v>
      </c>
      <c r="D1248" s="11" t="s">
        <v>19</v>
      </c>
      <c r="E1248" s="11" t="s">
        <v>19</v>
      </c>
      <c r="F1248" s="11" t="s">
        <v>4571</v>
      </c>
      <c r="G1248" s="11" t="s">
        <v>83</v>
      </c>
      <c r="H1248" s="11" t="s">
        <v>4572</v>
      </c>
      <c r="I1248" s="11" t="s">
        <v>4573</v>
      </c>
      <c r="J1248" s="12">
        <v>0.92589999999999995</v>
      </c>
      <c r="K1248" s="13">
        <v>7</v>
      </c>
      <c r="L1248" s="14">
        <v>2116</v>
      </c>
      <c r="M1248" s="10">
        <v>1814</v>
      </c>
      <c r="N1248" s="10">
        <v>233823</v>
      </c>
      <c r="O1248" s="10">
        <v>142252</v>
      </c>
      <c r="P1248" s="10">
        <v>376075</v>
      </c>
    </row>
    <row r="1249" spans="1:16" ht="27" customHeight="1" x14ac:dyDescent="0.2">
      <c r="A1249" s="9" t="s">
        <v>4506</v>
      </c>
      <c r="B1249" s="10" t="s">
        <v>4570</v>
      </c>
      <c r="C1249" s="11" t="s">
        <v>4574</v>
      </c>
      <c r="D1249" s="11" t="s">
        <v>4575</v>
      </c>
      <c r="E1249" s="11" t="s">
        <v>26</v>
      </c>
      <c r="F1249" s="11" t="s">
        <v>4576</v>
      </c>
      <c r="G1249" s="11" t="s">
        <v>28</v>
      </c>
      <c r="H1249" s="11" t="s">
        <v>4576</v>
      </c>
      <c r="I1249" s="11" t="s">
        <v>4577</v>
      </c>
      <c r="J1249" s="12">
        <v>0.82609999999999995</v>
      </c>
      <c r="K1249" s="13">
        <v>1</v>
      </c>
      <c r="L1249" s="14">
        <v>46</v>
      </c>
      <c r="M1249" s="10">
        <v>38</v>
      </c>
      <c r="N1249" s="10">
        <v>5083</v>
      </c>
      <c r="O1249" s="10">
        <v>2980</v>
      </c>
      <c r="P1249" s="10">
        <v>8063</v>
      </c>
    </row>
    <row r="1250" spans="1:16" ht="27" customHeight="1" x14ac:dyDescent="0.2">
      <c r="A1250" s="9" t="s">
        <v>4506</v>
      </c>
      <c r="B1250" s="10" t="s">
        <v>4570</v>
      </c>
      <c r="C1250" s="11" t="s">
        <v>4578</v>
      </c>
      <c r="D1250" s="11" t="s">
        <v>4579</v>
      </c>
      <c r="E1250" s="11" t="s">
        <v>26</v>
      </c>
      <c r="F1250" s="11" t="s">
        <v>4580</v>
      </c>
      <c r="G1250" s="11" t="s">
        <v>28</v>
      </c>
      <c r="H1250" s="11" t="s">
        <v>4580</v>
      </c>
      <c r="I1250" s="11" t="s">
        <v>4581</v>
      </c>
      <c r="J1250" s="12">
        <v>0.85980000000000001</v>
      </c>
      <c r="K1250" s="13">
        <v>1</v>
      </c>
      <c r="L1250" s="14">
        <v>328</v>
      </c>
      <c r="M1250" s="10">
        <v>282</v>
      </c>
      <c r="N1250" s="10">
        <v>36245</v>
      </c>
      <c r="O1250" s="10">
        <v>22114</v>
      </c>
      <c r="P1250" s="10">
        <v>58359</v>
      </c>
    </row>
    <row r="1251" spans="1:16" ht="27" customHeight="1" x14ac:dyDescent="0.2">
      <c r="A1251" s="9" t="s">
        <v>4506</v>
      </c>
      <c r="B1251" s="10" t="s">
        <v>4570</v>
      </c>
      <c r="C1251" s="11" t="s">
        <v>4582</v>
      </c>
      <c r="D1251" s="11" t="s">
        <v>4583</v>
      </c>
      <c r="E1251" s="11" t="s">
        <v>26</v>
      </c>
      <c r="F1251" s="11" t="s">
        <v>4584</v>
      </c>
      <c r="G1251" s="11" t="s">
        <v>28</v>
      </c>
      <c r="H1251" s="11" t="s">
        <v>4584</v>
      </c>
      <c r="I1251" s="11" t="s">
        <v>4585</v>
      </c>
      <c r="J1251" s="12">
        <v>0.86470000000000002</v>
      </c>
      <c r="K1251" s="13">
        <v>1</v>
      </c>
      <c r="L1251" s="14">
        <v>207</v>
      </c>
      <c r="M1251" s="10">
        <v>179</v>
      </c>
      <c r="N1251" s="10">
        <v>22874</v>
      </c>
      <c r="O1251" s="10">
        <v>14037</v>
      </c>
      <c r="P1251" s="10">
        <v>36911</v>
      </c>
    </row>
    <row r="1252" spans="1:16" ht="27" customHeight="1" x14ac:dyDescent="0.2">
      <c r="A1252" s="9" t="s">
        <v>4506</v>
      </c>
      <c r="B1252" s="10" t="s">
        <v>4586</v>
      </c>
      <c r="C1252" s="11" t="s">
        <v>18</v>
      </c>
      <c r="D1252" s="11" t="s">
        <v>19</v>
      </c>
      <c r="E1252" s="11" t="s">
        <v>19</v>
      </c>
      <c r="F1252" s="11" t="s">
        <v>4587</v>
      </c>
      <c r="G1252" s="11" t="s">
        <v>83</v>
      </c>
      <c r="H1252" s="11" t="s">
        <v>4509</v>
      </c>
      <c r="I1252" s="11" t="s">
        <v>4510</v>
      </c>
      <c r="J1252" s="12">
        <v>0.96040000000000003</v>
      </c>
      <c r="K1252" s="13">
        <v>69</v>
      </c>
      <c r="L1252" s="14">
        <v>38130</v>
      </c>
      <c r="M1252" s="10">
        <v>26317</v>
      </c>
      <c r="N1252" s="10">
        <v>4213430</v>
      </c>
      <c r="O1252" s="10">
        <v>2063752</v>
      </c>
      <c r="P1252" s="10">
        <v>6277182</v>
      </c>
    </row>
    <row r="1253" spans="1:16" ht="27" customHeight="1" x14ac:dyDescent="0.2">
      <c r="A1253" s="9" t="s">
        <v>4506</v>
      </c>
      <c r="B1253" s="10" t="s">
        <v>4586</v>
      </c>
      <c r="C1253" s="11" t="s">
        <v>4588</v>
      </c>
      <c r="D1253" s="11" t="s">
        <v>4589</v>
      </c>
      <c r="E1253" s="11" t="s">
        <v>26</v>
      </c>
      <c r="F1253" s="11" t="s">
        <v>4590</v>
      </c>
      <c r="G1253" s="11" t="s">
        <v>28</v>
      </c>
      <c r="H1253" s="11" t="s">
        <v>4590</v>
      </c>
      <c r="I1253" s="11" t="s">
        <v>4591</v>
      </c>
      <c r="J1253" s="12">
        <v>0.82940000000000003</v>
      </c>
      <c r="K1253" s="13">
        <v>1</v>
      </c>
      <c r="L1253" s="14">
        <v>557</v>
      </c>
      <c r="M1253" s="10">
        <v>462</v>
      </c>
      <c r="N1253" s="10">
        <v>61549</v>
      </c>
      <c r="O1253" s="10">
        <v>36230</v>
      </c>
      <c r="P1253" s="10">
        <v>97779</v>
      </c>
    </row>
    <row r="1254" spans="1:16" ht="27" customHeight="1" x14ac:dyDescent="0.2">
      <c r="A1254" s="9" t="s">
        <v>4506</v>
      </c>
      <c r="B1254" s="10" t="s">
        <v>4586</v>
      </c>
      <c r="C1254" s="11" t="s">
        <v>4592</v>
      </c>
      <c r="D1254" s="11" t="s">
        <v>4593</v>
      </c>
      <c r="E1254" s="11" t="s">
        <v>26</v>
      </c>
      <c r="F1254" s="11" t="s">
        <v>4594</v>
      </c>
      <c r="G1254" s="11" t="s">
        <v>28</v>
      </c>
      <c r="H1254" s="11" t="s">
        <v>4594</v>
      </c>
      <c r="I1254" s="11" t="s">
        <v>4595</v>
      </c>
      <c r="J1254" s="12">
        <v>0.46200000000000002</v>
      </c>
      <c r="K1254" s="13">
        <v>1</v>
      </c>
      <c r="L1254" s="14">
        <v>355</v>
      </c>
      <c r="M1254" s="10">
        <v>164</v>
      </c>
      <c r="N1254" s="10">
        <v>39228</v>
      </c>
      <c r="O1254" s="10">
        <v>12861</v>
      </c>
      <c r="P1254" s="10">
        <v>52089</v>
      </c>
    </row>
    <row r="1255" spans="1:16" ht="27" customHeight="1" x14ac:dyDescent="0.2">
      <c r="A1255" s="9" t="s">
        <v>4506</v>
      </c>
      <c r="B1255" s="10" t="s">
        <v>4586</v>
      </c>
      <c r="C1255" s="11" t="s">
        <v>4596</v>
      </c>
      <c r="D1255" s="11" t="s">
        <v>4597</v>
      </c>
      <c r="E1255" s="11" t="s">
        <v>57</v>
      </c>
      <c r="F1255" s="11" t="s">
        <v>4598</v>
      </c>
      <c r="G1255" s="11" t="s">
        <v>28</v>
      </c>
      <c r="H1255" s="11" t="s">
        <v>4509</v>
      </c>
      <c r="I1255" s="11" t="s">
        <v>4510</v>
      </c>
      <c r="J1255" s="12">
        <v>0.96040000000000003</v>
      </c>
      <c r="K1255" s="13">
        <v>1</v>
      </c>
      <c r="L1255" s="14">
        <v>154</v>
      </c>
      <c r="M1255" s="10">
        <v>118</v>
      </c>
      <c r="N1255" s="10">
        <v>17017</v>
      </c>
      <c r="O1255" s="10">
        <v>9253</v>
      </c>
      <c r="P1255" s="10">
        <v>26270</v>
      </c>
    </row>
    <row r="1256" spans="1:16" ht="27" customHeight="1" x14ac:dyDescent="0.2">
      <c r="A1256" s="9" t="s">
        <v>4506</v>
      </c>
      <c r="B1256" s="10" t="s">
        <v>4586</v>
      </c>
      <c r="C1256" s="11" t="s">
        <v>4599</v>
      </c>
      <c r="D1256" s="11" t="s">
        <v>4600</v>
      </c>
      <c r="E1256" s="11" t="s">
        <v>57</v>
      </c>
      <c r="F1256" s="11" t="s">
        <v>4601</v>
      </c>
      <c r="G1256" s="11" t="s">
        <v>28</v>
      </c>
      <c r="H1256" s="11" t="s">
        <v>4509</v>
      </c>
      <c r="I1256" s="11" t="s">
        <v>4510</v>
      </c>
      <c r="J1256" s="12">
        <v>0.96040000000000003</v>
      </c>
      <c r="K1256" s="13">
        <v>1</v>
      </c>
      <c r="L1256" s="14">
        <v>195</v>
      </c>
      <c r="M1256" s="10">
        <v>85</v>
      </c>
      <c r="N1256" s="10">
        <v>21548</v>
      </c>
      <c r="O1256" s="10">
        <v>6666</v>
      </c>
      <c r="P1256" s="10">
        <v>28214</v>
      </c>
    </row>
    <row r="1257" spans="1:16" ht="27" customHeight="1" x14ac:dyDescent="0.2">
      <c r="A1257" s="9" t="s">
        <v>4506</v>
      </c>
      <c r="B1257" s="10" t="s">
        <v>4586</v>
      </c>
      <c r="C1257" s="11" t="s">
        <v>4602</v>
      </c>
      <c r="D1257" s="11" t="s">
        <v>4603</v>
      </c>
      <c r="E1257" s="11" t="s">
        <v>57</v>
      </c>
      <c r="F1257" s="11" t="s">
        <v>4604</v>
      </c>
      <c r="G1257" s="11" t="s">
        <v>28</v>
      </c>
      <c r="H1257" s="11" t="s">
        <v>4509</v>
      </c>
      <c r="I1257" s="11" t="s">
        <v>4510</v>
      </c>
      <c r="J1257" s="12">
        <v>0.96040000000000003</v>
      </c>
      <c r="K1257" s="13">
        <v>1</v>
      </c>
      <c r="L1257" s="14">
        <v>222</v>
      </c>
      <c r="M1257" s="10">
        <v>119</v>
      </c>
      <c r="N1257" s="10">
        <v>24531</v>
      </c>
      <c r="O1257" s="10">
        <v>9332</v>
      </c>
      <c r="P1257" s="10">
        <v>33863</v>
      </c>
    </row>
    <row r="1258" spans="1:16" ht="27" customHeight="1" x14ac:dyDescent="0.2">
      <c r="A1258" s="9" t="s">
        <v>4506</v>
      </c>
      <c r="B1258" s="10" t="s">
        <v>4586</v>
      </c>
      <c r="C1258" s="11" t="s">
        <v>4605</v>
      </c>
      <c r="D1258" s="11" t="s">
        <v>4606</v>
      </c>
      <c r="E1258" s="11" t="s">
        <v>26</v>
      </c>
      <c r="F1258" s="11" t="s">
        <v>4607</v>
      </c>
      <c r="G1258" s="11" t="s">
        <v>28</v>
      </c>
      <c r="H1258" s="11" t="s">
        <v>4509</v>
      </c>
      <c r="I1258" s="11" t="s">
        <v>4510</v>
      </c>
      <c r="J1258" s="12">
        <v>0.96040000000000003</v>
      </c>
      <c r="K1258" s="13">
        <v>1</v>
      </c>
      <c r="L1258" s="14">
        <v>365</v>
      </c>
      <c r="M1258" s="10">
        <v>257</v>
      </c>
      <c r="N1258" s="10">
        <v>40333</v>
      </c>
      <c r="O1258" s="10">
        <v>20154</v>
      </c>
      <c r="P1258" s="10">
        <v>60487</v>
      </c>
    </row>
    <row r="1259" spans="1:16" ht="27" customHeight="1" x14ac:dyDescent="0.2">
      <c r="A1259" s="9" t="s">
        <v>4506</v>
      </c>
      <c r="B1259" s="10" t="s">
        <v>4586</v>
      </c>
      <c r="C1259" s="11" t="s">
        <v>4608</v>
      </c>
      <c r="D1259" s="11" t="s">
        <v>4609</v>
      </c>
      <c r="E1259" s="11" t="s">
        <v>26</v>
      </c>
      <c r="F1259" s="11" t="s">
        <v>4610</v>
      </c>
      <c r="G1259" s="11" t="s">
        <v>28</v>
      </c>
      <c r="H1259" s="11" t="s">
        <v>4610</v>
      </c>
      <c r="I1259" s="11" t="s">
        <v>4611</v>
      </c>
      <c r="J1259" s="12">
        <v>0.88239999999999996</v>
      </c>
      <c r="K1259" s="13">
        <v>1</v>
      </c>
      <c r="L1259" s="14">
        <v>170</v>
      </c>
      <c r="M1259" s="10">
        <v>150</v>
      </c>
      <c r="N1259" s="10">
        <v>18785</v>
      </c>
      <c r="O1259" s="10">
        <v>11763</v>
      </c>
      <c r="P1259" s="10">
        <v>30548</v>
      </c>
    </row>
    <row r="1260" spans="1:16" ht="27" customHeight="1" x14ac:dyDescent="0.2">
      <c r="A1260" s="9" t="s">
        <v>4506</v>
      </c>
      <c r="B1260" s="10" t="s">
        <v>4586</v>
      </c>
      <c r="C1260" s="11" t="s">
        <v>4612</v>
      </c>
      <c r="D1260" s="11" t="s">
        <v>4613</v>
      </c>
      <c r="E1260" s="11" t="s">
        <v>26</v>
      </c>
      <c r="F1260" s="11" t="s">
        <v>4614</v>
      </c>
      <c r="G1260" s="11" t="s">
        <v>28</v>
      </c>
      <c r="H1260" s="11" t="s">
        <v>4614</v>
      </c>
      <c r="I1260" s="11" t="s">
        <v>4615</v>
      </c>
      <c r="J1260" s="12">
        <v>0.73860000000000003</v>
      </c>
      <c r="K1260" s="13">
        <v>1</v>
      </c>
      <c r="L1260" s="14">
        <v>616</v>
      </c>
      <c r="M1260" s="10">
        <v>455</v>
      </c>
      <c r="N1260" s="10">
        <v>68069</v>
      </c>
      <c r="O1260" s="10">
        <v>35681</v>
      </c>
      <c r="P1260" s="10">
        <v>103750</v>
      </c>
    </row>
    <row r="1261" spans="1:16" ht="27" customHeight="1" x14ac:dyDescent="0.2">
      <c r="A1261" s="9" t="s">
        <v>4506</v>
      </c>
      <c r="B1261" s="10" t="s">
        <v>4586</v>
      </c>
      <c r="C1261" s="11" t="s">
        <v>4616</v>
      </c>
      <c r="D1261" s="11" t="s">
        <v>4617</v>
      </c>
      <c r="E1261" s="11" t="s">
        <v>26</v>
      </c>
      <c r="F1261" s="11" t="s">
        <v>4618</v>
      </c>
      <c r="G1261" s="11" t="s">
        <v>28</v>
      </c>
      <c r="H1261" s="11" t="s">
        <v>4618</v>
      </c>
      <c r="I1261" s="11" t="s">
        <v>4619</v>
      </c>
      <c r="J1261" s="12">
        <v>0.21879999999999999</v>
      </c>
      <c r="K1261" s="13">
        <v>1</v>
      </c>
      <c r="L1261" s="14">
        <v>352</v>
      </c>
      <c r="M1261" s="10">
        <v>77</v>
      </c>
      <c r="N1261" s="10">
        <v>38897</v>
      </c>
      <c r="O1261" s="10">
        <v>6038</v>
      </c>
      <c r="P1261" s="10">
        <v>44935</v>
      </c>
    </row>
    <row r="1262" spans="1:16" ht="27" customHeight="1" x14ac:dyDescent="0.2">
      <c r="A1262" s="9" t="s">
        <v>4506</v>
      </c>
      <c r="B1262" s="10" t="s">
        <v>4586</v>
      </c>
      <c r="C1262" s="11" t="s">
        <v>4620</v>
      </c>
      <c r="D1262" s="11" t="s">
        <v>4621</v>
      </c>
      <c r="E1262" s="11" t="s">
        <v>26</v>
      </c>
      <c r="F1262" s="11" t="s">
        <v>4622</v>
      </c>
      <c r="G1262" s="11" t="s">
        <v>28</v>
      </c>
      <c r="H1262" s="11" t="s">
        <v>4622</v>
      </c>
      <c r="I1262" s="11" t="s">
        <v>4623</v>
      </c>
      <c r="J1262" s="12">
        <v>0.57509999999999994</v>
      </c>
      <c r="K1262" s="13">
        <v>1</v>
      </c>
      <c r="L1262" s="14">
        <v>426</v>
      </c>
      <c r="M1262" s="10">
        <v>245</v>
      </c>
      <c r="N1262" s="10">
        <v>47074</v>
      </c>
      <c r="O1262" s="10">
        <v>19213</v>
      </c>
      <c r="P1262" s="10">
        <v>66287</v>
      </c>
    </row>
    <row r="1263" spans="1:16" ht="27" customHeight="1" x14ac:dyDescent="0.2">
      <c r="A1263" s="9" t="s">
        <v>4506</v>
      </c>
      <c r="B1263" s="10" t="s">
        <v>4586</v>
      </c>
      <c r="C1263" s="11" t="s">
        <v>4624</v>
      </c>
      <c r="D1263" s="11" t="s">
        <v>4625</v>
      </c>
      <c r="E1263" s="11" t="s">
        <v>26</v>
      </c>
      <c r="F1263" s="11" t="s">
        <v>4626</v>
      </c>
      <c r="G1263" s="11" t="s">
        <v>28</v>
      </c>
      <c r="H1263" s="11" t="s">
        <v>4626</v>
      </c>
      <c r="I1263" s="11" t="s">
        <v>4627</v>
      </c>
      <c r="J1263" s="12">
        <v>0.83209999999999995</v>
      </c>
      <c r="K1263" s="13">
        <v>1</v>
      </c>
      <c r="L1263" s="14">
        <v>417</v>
      </c>
      <c r="M1263" s="10">
        <v>347</v>
      </c>
      <c r="N1263" s="10">
        <v>46079</v>
      </c>
      <c r="O1263" s="10">
        <v>27211</v>
      </c>
      <c r="P1263" s="10">
        <v>73290</v>
      </c>
    </row>
    <row r="1264" spans="1:16" ht="27" customHeight="1" x14ac:dyDescent="0.2">
      <c r="A1264" s="9" t="s">
        <v>4506</v>
      </c>
      <c r="B1264" s="10" t="s">
        <v>4586</v>
      </c>
      <c r="C1264" s="11" t="s">
        <v>4628</v>
      </c>
      <c r="D1264" s="11" t="s">
        <v>4629</v>
      </c>
      <c r="E1264" s="11" t="s">
        <v>57</v>
      </c>
      <c r="F1264" s="11" t="s">
        <v>4630</v>
      </c>
      <c r="G1264" s="11" t="s">
        <v>28</v>
      </c>
      <c r="H1264" s="11" t="s">
        <v>4630</v>
      </c>
      <c r="I1264" s="11" t="s">
        <v>4631</v>
      </c>
      <c r="J1264" s="12">
        <v>0.90129999999999999</v>
      </c>
      <c r="K1264" s="13">
        <v>1</v>
      </c>
      <c r="L1264" s="14">
        <v>233</v>
      </c>
      <c r="M1264" s="10">
        <v>210</v>
      </c>
      <c r="N1264" s="10">
        <v>25747</v>
      </c>
      <c r="O1264" s="10">
        <v>16468</v>
      </c>
      <c r="P1264" s="10">
        <v>42215</v>
      </c>
    </row>
    <row r="1265" spans="1:16" ht="27" customHeight="1" x14ac:dyDescent="0.2">
      <c r="A1265" s="9" t="s">
        <v>4506</v>
      </c>
      <c r="B1265" s="10" t="s">
        <v>4586</v>
      </c>
      <c r="C1265" s="11" t="s">
        <v>4632</v>
      </c>
      <c r="D1265" s="11" t="s">
        <v>4633</v>
      </c>
      <c r="E1265" s="11" t="s">
        <v>26</v>
      </c>
      <c r="F1265" s="11" t="s">
        <v>4634</v>
      </c>
      <c r="G1265" s="11" t="s">
        <v>28</v>
      </c>
      <c r="H1265" s="11" t="s">
        <v>4634</v>
      </c>
      <c r="I1265" s="11" t="s">
        <v>4635</v>
      </c>
      <c r="J1265" s="12">
        <v>0.57909999999999995</v>
      </c>
      <c r="K1265" s="13">
        <v>1</v>
      </c>
      <c r="L1265" s="14">
        <v>278</v>
      </c>
      <c r="M1265" s="10">
        <v>161</v>
      </c>
      <c r="N1265" s="10">
        <v>30719</v>
      </c>
      <c r="O1265" s="10">
        <v>12625</v>
      </c>
      <c r="P1265" s="10">
        <v>43344</v>
      </c>
    </row>
    <row r="1266" spans="1:16" ht="27" customHeight="1" x14ac:dyDescent="0.2">
      <c r="A1266" s="9" t="s">
        <v>4506</v>
      </c>
      <c r="B1266" s="10" t="s">
        <v>4586</v>
      </c>
      <c r="C1266" s="11" t="s">
        <v>4636</v>
      </c>
      <c r="D1266" s="11" t="s">
        <v>4637</v>
      </c>
      <c r="E1266" s="11" t="s">
        <v>26</v>
      </c>
      <c r="F1266" s="11" t="s">
        <v>4638</v>
      </c>
      <c r="G1266" s="11" t="s">
        <v>28</v>
      </c>
      <c r="H1266" s="11" t="s">
        <v>4509</v>
      </c>
      <c r="I1266" s="11" t="s">
        <v>4510</v>
      </c>
      <c r="J1266" s="12">
        <v>0.96040000000000003</v>
      </c>
      <c r="K1266" s="13">
        <v>1</v>
      </c>
      <c r="L1266" s="14">
        <v>709</v>
      </c>
      <c r="M1266" s="10">
        <v>624</v>
      </c>
      <c r="N1266" s="10">
        <v>78346</v>
      </c>
      <c r="O1266" s="10">
        <v>48933</v>
      </c>
      <c r="P1266" s="10">
        <v>127279</v>
      </c>
    </row>
    <row r="1267" spans="1:16" ht="27" customHeight="1" x14ac:dyDescent="0.2">
      <c r="A1267" s="9" t="s">
        <v>4506</v>
      </c>
      <c r="B1267" s="10" t="s">
        <v>4586</v>
      </c>
      <c r="C1267" s="11" t="s">
        <v>4639</v>
      </c>
      <c r="D1267" s="11" t="s">
        <v>4640</v>
      </c>
      <c r="E1267" s="11" t="s">
        <v>57</v>
      </c>
      <c r="F1267" s="11" t="s">
        <v>4641</v>
      </c>
      <c r="G1267" s="11" t="s">
        <v>28</v>
      </c>
      <c r="H1267" s="11" t="s">
        <v>4641</v>
      </c>
      <c r="I1267" s="11" t="s">
        <v>4642</v>
      </c>
      <c r="J1267" s="12">
        <v>0.89290000000000003</v>
      </c>
      <c r="K1267" s="13">
        <v>1</v>
      </c>
      <c r="L1267" s="14">
        <v>731</v>
      </c>
      <c r="M1267" s="10">
        <v>653</v>
      </c>
      <c r="N1267" s="10">
        <v>80777</v>
      </c>
      <c r="O1267" s="10">
        <v>51208</v>
      </c>
      <c r="P1267" s="10">
        <v>131985</v>
      </c>
    </row>
    <row r="1268" spans="1:16" ht="27" customHeight="1" x14ac:dyDescent="0.2">
      <c r="A1268" s="9" t="s">
        <v>4506</v>
      </c>
      <c r="B1268" s="10" t="s">
        <v>4643</v>
      </c>
      <c r="C1268" s="11" t="s">
        <v>18</v>
      </c>
      <c r="D1268" s="11" t="s">
        <v>19</v>
      </c>
      <c r="E1268" s="11" t="s">
        <v>19</v>
      </c>
      <c r="F1268" s="11" t="s">
        <v>4644</v>
      </c>
      <c r="G1268" s="11" t="s">
        <v>83</v>
      </c>
      <c r="H1268" s="11" t="s">
        <v>4645</v>
      </c>
      <c r="I1268" s="11" t="s">
        <v>4646</v>
      </c>
      <c r="J1268" s="12">
        <v>0.94269999999999998</v>
      </c>
      <c r="K1268" s="13">
        <v>69</v>
      </c>
      <c r="L1268" s="14">
        <v>38632</v>
      </c>
      <c r="M1268" s="10">
        <v>21099</v>
      </c>
      <c r="N1268" s="10">
        <v>4268899</v>
      </c>
      <c r="O1268" s="10">
        <v>1654566</v>
      </c>
      <c r="P1268" s="10">
        <v>5923465</v>
      </c>
    </row>
    <row r="1269" spans="1:16" ht="27" customHeight="1" x14ac:dyDescent="0.2">
      <c r="A1269" s="9" t="s">
        <v>4506</v>
      </c>
      <c r="B1269" s="10" t="s">
        <v>4643</v>
      </c>
      <c r="C1269" s="11" t="s">
        <v>4647</v>
      </c>
      <c r="D1269" s="11" t="s">
        <v>4648</v>
      </c>
      <c r="E1269" s="11" t="s">
        <v>26</v>
      </c>
      <c r="F1269" s="11" t="s">
        <v>4649</v>
      </c>
      <c r="G1269" s="11" t="s">
        <v>28</v>
      </c>
      <c r="H1269" s="11" t="s">
        <v>4649</v>
      </c>
      <c r="I1269" s="11" t="s">
        <v>4650</v>
      </c>
      <c r="J1269" s="12">
        <v>0.27839999999999998</v>
      </c>
      <c r="K1269" s="13">
        <v>1</v>
      </c>
      <c r="L1269" s="14">
        <v>1426</v>
      </c>
      <c r="M1269" s="10">
        <v>397</v>
      </c>
      <c r="N1269" s="10">
        <v>157575</v>
      </c>
      <c r="O1269" s="10">
        <v>31132</v>
      </c>
      <c r="P1269" s="10">
        <v>188707</v>
      </c>
    </row>
    <row r="1270" spans="1:16" ht="27" customHeight="1" x14ac:dyDescent="0.2">
      <c r="A1270" s="9" t="s">
        <v>4506</v>
      </c>
      <c r="B1270" s="10" t="s">
        <v>4643</v>
      </c>
      <c r="C1270" s="11" t="s">
        <v>4651</v>
      </c>
      <c r="D1270" s="11" t="s">
        <v>4652</v>
      </c>
      <c r="E1270" s="11" t="s">
        <v>26</v>
      </c>
      <c r="F1270" s="11" t="s">
        <v>4653</v>
      </c>
      <c r="G1270" s="11" t="s">
        <v>28</v>
      </c>
      <c r="H1270" s="11" t="s">
        <v>4653</v>
      </c>
      <c r="I1270" s="11" t="s">
        <v>4654</v>
      </c>
      <c r="J1270" s="12">
        <v>0.33119999999999999</v>
      </c>
      <c r="K1270" s="13">
        <v>1</v>
      </c>
      <c r="L1270" s="14">
        <v>314</v>
      </c>
      <c r="M1270" s="10">
        <v>104</v>
      </c>
      <c r="N1270" s="10">
        <v>34698</v>
      </c>
      <c r="O1270" s="10">
        <v>8156</v>
      </c>
      <c r="P1270" s="10">
        <v>42854</v>
      </c>
    </row>
    <row r="1271" spans="1:16" ht="27" customHeight="1" x14ac:dyDescent="0.2">
      <c r="A1271" s="9" t="s">
        <v>4506</v>
      </c>
      <c r="B1271" s="10" t="s">
        <v>4643</v>
      </c>
      <c r="C1271" s="11" t="s">
        <v>4655</v>
      </c>
      <c r="D1271" s="11" t="s">
        <v>4656</v>
      </c>
      <c r="E1271" s="11" t="s">
        <v>26</v>
      </c>
      <c r="F1271" s="11" t="s">
        <v>4657</v>
      </c>
      <c r="G1271" s="11" t="s">
        <v>28</v>
      </c>
      <c r="H1271" s="11" t="s">
        <v>4657</v>
      </c>
      <c r="I1271" s="11" t="s">
        <v>4658</v>
      </c>
      <c r="J1271" s="12">
        <v>0.83450000000000002</v>
      </c>
      <c r="K1271" s="13">
        <v>1</v>
      </c>
      <c r="L1271" s="14">
        <v>429</v>
      </c>
      <c r="M1271" s="10">
        <v>358</v>
      </c>
      <c r="N1271" s="10">
        <v>47405</v>
      </c>
      <c r="O1271" s="10">
        <v>28074</v>
      </c>
      <c r="P1271" s="10">
        <v>75479</v>
      </c>
    </row>
    <row r="1272" spans="1:16" ht="27" customHeight="1" x14ac:dyDescent="0.2">
      <c r="A1272" s="9" t="s">
        <v>4506</v>
      </c>
      <c r="B1272" s="10" t="s">
        <v>4643</v>
      </c>
      <c r="C1272" s="11" t="s">
        <v>4659</v>
      </c>
      <c r="D1272" s="11" t="s">
        <v>4660</v>
      </c>
      <c r="E1272" s="11" t="s">
        <v>26</v>
      </c>
      <c r="F1272" s="11" t="s">
        <v>4661</v>
      </c>
      <c r="G1272" s="11" t="s">
        <v>28</v>
      </c>
      <c r="H1272" s="11" t="s">
        <v>4661</v>
      </c>
      <c r="I1272" s="11" t="s">
        <v>4662</v>
      </c>
      <c r="J1272" s="12">
        <v>0.8911</v>
      </c>
      <c r="K1272" s="13">
        <v>1</v>
      </c>
      <c r="L1272" s="14">
        <v>505</v>
      </c>
      <c r="M1272" s="10">
        <v>450</v>
      </c>
      <c r="N1272" s="10">
        <v>55803</v>
      </c>
      <c r="O1272" s="10">
        <v>35289</v>
      </c>
      <c r="P1272" s="10">
        <v>91092</v>
      </c>
    </row>
    <row r="1273" spans="1:16" ht="27" customHeight="1" x14ac:dyDescent="0.2">
      <c r="A1273" s="9" t="s">
        <v>4506</v>
      </c>
      <c r="B1273" s="10" t="s">
        <v>4643</v>
      </c>
      <c r="C1273" s="11" t="s">
        <v>4663</v>
      </c>
      <c r="D1273" s="11" t="s">
        <v>4664</v>
      </c>
      <c r="E1273" s="11" t="s">
        <v>26</v>
      </c>
      <c r="F1273" s="11" t="s">
        <v>4665</v>
      </c>
      <c r="G1273" s="11" t="s">
        <v>28</v>
      </c>
      <c r="H1273" s="11" t="s">
        <v>4665</v>
      </c>
      <c r="I1273" s="11" t="s">
        <v>4666</v>
      </c>
      <c r="J1273" s="12">
        <v>0.77470000000000006</v>
      </c>
      <c r="K1273" s="13">
        <v>1</v>
      </c>
      <c r="L1273" s="14">
        <v>577</v>
      </c>
      <c r="M1273" s="10">
        <v>447</v>
      </c>
      <c r="N1273" s="10">
        <v>63759</v>
      </c>
      <c r="O1273" s="10">
        <v>35053</v>
      </c>
      <c r="P1273" s="10">
        <v>98812</v>
      </c>
    </row>
    <row r="1274" spans="1:16" ht="27" customHeight="1" x14ac:dyDescent="0.2">
      <c r="A1274" s="9" t="s">
        <v>4506</v>
      </c>
      <c r="B1274" s="10" t="s">
        <v>4643</v>
      </c>
      <c r="C1274" s="11" t="s">
        <v>4667</v>
      </c>
      <c r="D1274" s="11" t="s">
        <v>4668</v>
      </c>
      <c r="E1274" s="11" t="s">
        <v>26</v>
      </c>
      <c r="F1274" s="11" t="s">
        <v>4669</v>
      </c>
      <c r="G1274" s="11" t="s">
        <v>28</v>
      </c>
      <c r="H1274" s="11" t="s">
        <v>4669</v>
      </c>
      <c r="I1274" s="11" t="s">
        <v>4670</v>
      </c>
      <c r="J1274" s="12">
        <v>0.29749999999999999</v>
      </c>
      <c r="K1274" s="13">
        <v>1</v>
      </c>
      <c r="L1274" s="14">
        <v>279</v>
      </c>
      <c r="M1274" s="10">
        <v>83</v>
      </c>
      <c r="N1274" s="10">
        <v>30830</v>
      </c>
      <c r="O1274" s="10">
        <v>6509</v>
      </c>
      <c r="P1274" s="10">
        <v>37339</v>
      </c>
    </row>
    <row r="1275" spans="1:16" ht="27" customHeight="1" x14ac:dyDescent="0.2">
      <c r="A1275" s="9" t="s">
        <v>4506</v>
      </c>
      <c r="B1275" s="10" t="s">
        <v>4643</v>
      </c>
      <c r="C1275" s="11" t="s">
        <v>4671</v>
      </c>
      <c r="D1275" s="11" t="s">
        <v>4672</v>
      </c>
      <c r="E1275" s="11" t="s">
        <v>26</v>
      </c>
      <c r="F1275" s="11" t="s">
        <v>4673</v>
      </c>
      <c r="G1275" s="11" t="s">
        <v>28</v>
      </c>
      <c r="H1275" s="11" t="s">
        <v>4509</v>
      </c>
      <c r="I1275" s="11" t="s">
        <v>4510</v>
      </c>
      <c r="J1275" s="12">
        <v>0.96040000000000003</v>
      </c>
      <c r="K1275" s="13">
        <v>1</v>
      </c>
      <c r="L1275" s="14">
        <v>796</v>
      </c>
      <c r="M1275" s="10">
        <v>627</v>
      </c>
      <c r="N1275" s="10">
        <v>87959</v>
      </c>
      <c r="O1275" s="10">
        <v>49169</v>
      </c>
      <c r="P1275" s="10">
        <v>137128</v>
      </c>
    </row>
    <row r="1276" spans="1:16" ht="27" customHeight="1" x14ac:dyDescent="0.2">
      <c r="A1276" s="9" t="s">
        <v>4506</v>
      </c>
      <c r="B1276" s="10" t="s">
        <v>4643</v>
      </c>
      <c r="C1276" s="11" t="s">
        <v>4674</v>
      </c>
      <c r="D1276" s="11" t="s">
        <v>4675</v>
      </c>
      <c r="E1276" s="11" t="s">
        <v>26</v>
      </c>
      <c r="F1276" s="11" t="s">
        <v>4676</v>
      </c>
      <c r="G1276" s="11" t="s">
        <v>28</v>
      </c>
      <c r="H1276" s="11" t="s">
        <v>4676</v>
      </c>
      <c r="I1276" s="11" t="s">
        <v>4677</v>
      </c>
      <c r="J1276" s="12">
        <v>0.54920000000000002</v>
      </c>
      <c r="K1276" s="13">
        <v>1</v>
      </c>
      <c r="L1276" s="14">
        <v>6591</v>
      </c>
      <c r="M1276" s="10">
        <v>3620</v>
      </c>
      <c r="N1276" s="10">
        <v>728316</v>
      </c>
      <c r="O1276" s="10">
        <v>283877</v>
      </c>
      <c r="P1276" s="10">
        <v>1012193</v>
      </c>
    </row>
    <row r="1277" spans="1:16" ht="27" customHeight="1" x14ac:dyDescent="0.2">
      <c r="A1277" s="9" t="s">
        <v>4506</v>
      </c>
      <c r="B1277" s="10" t="s">
        <v>4643</v>
      </c>
      <c r="C1277" s="11" t="s">
        <v>4678</v>
      </c>
      <c r="D1277" s="11" t="s">
        <v>4679</v>
      </c>
      <c r="E1277" s="11" t="s">
        <v>57</v>
      </c>
      <c r="F1277" s="11" t="s">
        <v>4680</v>
      </c>
      <c r="G1277" s="11" t="s">
        <v>28</v>
      </c>
      <c r="H1277" s="11" t="s">
        <v>4680</v>
      </c>
      <c r="I1277" s="11" t="s">
        <v>4681</v>
      </c>
      <c r="J1277" s="12">
        <v>0.53920000000000001</v>
      </c>
      <c r="K1277" s="13">
        <v>1</v>
      </c>
      <c r="L1277" s="14">
        <v>217</v>
      </c>
      <c r="M1277" s="10">
        <v>117</v>
      </c>
      <c r="N1277" s="10">
        <v>23979</v>
      </c>
      <c r="O1277" s="10">
        <v>9175</v>
      </c>
      <c r="P1277" s="10">
        <v>33154</v>
      </c>
    </row>
    <row r="1278" spans="1:16" ht="27" customHeight="1" x14ac:dyDescent="0.2">
      <c r="A1278" s="9" t="s">
        <v>4506</v>
      </c>
      <c r="B1278" s="10" t="s">
        <v>4682</v>
      </c>
      <c r="C1278" s="11" t="s">
        <v>18</v>
      </c>
      <c r="D1278" s="11" t="s">
        <v>19</v>
      </c>
      <c r="E1278" s="11" t="s">
        <v>19</v>
      </c>
      <c r="F1278" s="11" t="s">
        <v>4683</v>
      </c>
      <c r="G1278" s="11" t="s">
        <v>83</v>
      </c>
      <c r="H1278" s="11" t="s">
        <v>4684</v>
      </c>
      <c r="I1278" s="11" t="s">
        <v>4685</v>
      </c>
      <c r="J1278" s="12">
        <v>0.70279999999999998</v>
      </c>
      <c r="K1278" s="13">
        <v>9</v>
      </c>
      <c r="L1278" s="14">
        <v>4233</v>
      </c>
      <c r="M1278" s="10">
        <v>2503</v>
      </c>
      <c r="N1278" s="10">
        <v>467754</v>
      </c>
      <c r="O1278" s="10">
        <v>196282</v>
      </c>
      <c r="P1278" s="10">
        <v>664036</v>
      </c>
    </row>
    <row r="1279" spans="1:16" ht="27" customHeight="1" x14ac:dyDescent="0.2">
      <c r="A1279" s="9" t="s">
        <v>4506</v>
      </c>
      <c r="B1279" s="10" t="s">
        <v>4686</v>
      </c>
      <c r="C1279" s="11" t="s">
        <v>18</v>
      </c>
      <c r="D1279" s="11" t="s">
        <v>19</v>
      </c>
      <c r="E1279" s="11" t="s">
        <v>19</v>
      </c>
      <c r="F1279" s="11" t="s">
        <v>4687</v>
      </c>
      <c r="G1279" s="11" t="s">
        <v>83</v>
      </c>
      <c r="H1279" s="11" t="s">
        <v>4688</v>
      </c>
      <c r="I1279" s="11" t="s">
        <v>4689</v>
      </c>
      <c r="J1279" s="12">
        <v>0.80089999999999995</v>
      </c>
      <c r="K1279" s="13">
        <v>16</v>
      </c>
      <c r="L1279" s="14">
        <v>11273</v>
      </c>
      <c r="M1279" s="10">
        <v>6179</v>
      </c>
      <c r="N1279" s="10">
        <v>1245685</v>
      </c>
      <c r="O1279" s="10">
        <v>484549</v>
      </c>
      <c r="P1279" s="10">
        <v>1730234</v>
      </c>
    </row>
    <row r="1280" spans="1:16" ht="27" customHeight="1" x14ac:dyDescent="0.2">
      <c r="A1280" s="9" t="s">
        <v>4506</v>
      </c>
      <c r="B1280" s="10" t="s">
        <v>4686</v>
      </c>
      <c r="C1280" s="11" t="s">
        <v>4690</v>
      </c>
      <c r="D1280" s="11" t="s">
        <v>4691</v>
      </c>
      <c r="E1280" s="11" t="s">
        <v>57</v>
      </c>
      <c r="F1280" s="11" t="s">
        <v>4692</v>
      </c>
      <c r="G1280" s="11" t="s">
        <v>28</v>
      </c>
      <c r="H1280" s="11" t="s">
        <v>4692</v>
      </c>
      <c r="I1280" s="11" t="s">
        <v>4693</v>
      </c>
      <c r="J1280" s="12">
        <v>0.33600000000000002</v>
      </c>
      <c r="K1280" s="13">
        <v>1</v>
      </c>
      <c r="L1280" s="14">
        <v>1247</v>
      </c>
      <c r="M1280" s="10">
        <v>419</v>
      </c>
      <c r="N1280" s="10">
        <v>137796</v>
      </c>
      <c r="O1280" s="10">
        <v>32858</v>
      </c>
      <c r="P1280" s="10">
        <v>170654</v>
      </c>
    </row>
    <row r="1281" spans="1:16" ht="27" customHeight="1" x14ac:dyDescent="0.2">
      <c r="A1281" s="9" t="s">
        <v>4506</v>
      </c>
      <c r="B1281" s="10" t="s">
        <v>4686</v>
      </c>
      <c r="C1281" s="11" t="s">
        <v>4694</v>
      </c>
      <c r="D1281" s="11" t="s">
        <v>4695</v>
      </c>
      <c r="E1281" s="11" t="s">
        <v>57</v>
      </c>
      <c r="F1281" s="11" t="s">
        <v>4696</v>
      </c>
      <c r="G1281" s="11" t="s">
        <v>28</v>
      </c>
      <c r="H1281" s="11" t="s">
        <v>4509</v>
      </c>
      <c r="I1281" s="11" t="s">
        <v>4510</v>
      </c>
      <c r="J1281" s="12">
        <v>0.96040000000000003</v>
      </c>
      <c r="K1281" s="13">
        <v>1</v>
      </c>
      <c r="L1281" s="14">
        <v>621</v>
      </c>
      <c r="M1281" s="10">
        <v>223</v>
      </c>
      <c r="N1281" s="10">
        <v>68622</v>
      </c>
      <c r="O1281" s="10">
        <v>17487</v>
      </c>
      <c r="P1281" s="10">
        <v>86109</v>
      </c>
    </row>
    <row r="1282" spans="1:16" ht="27" customHeight="1" x14ac:dyDescent="0.2">
      <c r="A1282" s="9" t="s">
        <v>4506</v>
      </c>
      <c r="B1282" s="10" t="s">
        <v>4686</v>
      </c>
      <c r="C1282" s="11" t="s">
        <v>4697</v>
      </c>
      <c r="D1282" s="11" t="s">
        <v>4698</v>
      </c>
      <c r="E1282" s="11" t="s">
        <v>57</v>
      </c>
      <c r="F1282" s="11" t="s">
        <v>4699</v>
      </c>
      <c r="G1282" s="11" t="s">
        <v>28</v>
      </c>
      <c r="H1282" s="11" t="s">
        <v>4509</v>
      </c>
      <c r="I1282" s="11" t="s">
        <v>4510</v>
      </c>
      <c r="J1282" s="12">
        <v>0.96040000000000003</v>
      </c>
      <c r="K1282" s="13">
        <v>1</v>
      </c>
      <c r="L1282" s="14">
        <v>513</v>
      </c>
      <c r="M1282" s="10">
        <v>196</v>
      </c>
      <c r="N1282" s="10">
        <v>56687</v>
      </c>
      <c r="O1282" s="10">
        <v>15370</v>
      </c>
      <c r="P1282" s="10">
        <v>72057</v>
      </c>
    </row>
    <row r="1283" spans="1:16" ht="27" customHeight="1" x14ac:dyDescent="0.2">
      <c r="A1283" s="9" t="s">
        <v>4506</v>
      </c>
      <c r="B1283" s="10" t="s">
        <v>4686</v>
      </c>
      <c r="C1283" s="11" t="s">
        <v>4700</v>
      </c>
      <c r="D1283" s="11" t="s">
        <v>4701</v>
      </c>
      <c r="E1283" s="11" t="s">
        <v>57</v>
      </c>
      <c r="F1283" s="11" t="s">
        <v>4702</v>
      </c>
      <c r="G1283" s="11" t="s">
        <v>28</v>
      </c>
      <c r="H1283" s="11" t="s">
        <v>4702</v>
      </c>
      <c r="I1283" s="11" t="s">
        <v>4703</v>
      </c>
      <c r="J1283" s="12">
        <v>0.44429999999999997</v>
      </c>
      <c r="K1283" s="13">
        <v>1</v>
      </c>
      <c r="L1283" s="14">
        <v>754</v>
      </c>
      <c r="M1283" s="10">
        <v>335</v>
      </c>
      <c r="N1283" s="10">
        <v>83318</v>
      </c>
      <c r="O1283" s="10">
        <v>26270</v>
      </c>
      <c r="P1283" s="10">
        <v>109588</v>
      </c>
    </row>
    <row r="1284" spans="1:16" ht="27" customHeight="1" x14ac:dyDescent="0.2">
      <c r="A1284" s="9" t="s">
        <v>4506</v>
      </c>
      <c r="B1284" s="10" t="s">
        <v>4686</v>
      </c>
      <c r="C1284" s="11" t="s">
        <v>4704</v>
      </c>
      <c r="D1284" s="11" t="s">
        <v>4705</v>
      </c>
      <c r="E1284" s="11" t="s">
        <v>57</v>
      </c>
      <c r="F1284" s="11" t="s">
        <v>4706</v>
      </c>
      <c r="G1284" s="11" t="s">
        <v>28</v>
      </c>
      <c r="H1284" s="11" t="s">
        <v>4706</v>
      </c>
      <c r="I1284" s="11" t="s">
        <v>4707</v>
      </c>
      <c r="J1284" s="12">
        <v>0.32269999999999999</v>
      </c>
      <c r="K1284" s="13">
        <v>1</v>
      </c>
      <c r="L1284" s="14">
        <v>440</v>
      </c>
      <c r="M1284" s="10">
        <v>142</v>
      </c>
      <c r="N1284" s="10">
        <v>48621</v>
      </c>
      <c r="O1284" s="10">
        <v>11135</v>
      </c>
      <c r="P1284" s="10">
        <v>59756</v>
      </c>
    </row>
    <row r="1285" spans="1:16" ht="27" customHeight="1" x14ac:dyDescent="0.2">
      <c r="A1285" s="9" t="s">
        <v>4506</v>
      </c>
      <c r="B1285" s="10" t="s">
        <v>4686</v>
      </c>
      <c r="C1285" s="11" t="s">
        <v>4708</v>
      </c>
      <c r="D1285" s="11" t="s">
        <v>4709</v>
      </c>
      <c r="E1285" s="11" t="s">
        <v>26</v>
      </c>
      <c r="F1285" s="11" t="s">
        <v>4710</v>
      </c>
      <c r="G1285" s="11" t="s">
        <v>28</v>
      </c>
      <c r="H1285" s="11" t="s">
        <v>4710</v>
      </c>
      <c r="I1285" s="11" t="s">
        <v>4711</v>
      </c>
      <c r="J1285" s="12">
        <v>0.21510000000000001</v>
      </c>
      <c r="K1285" s="13">
        <v>1</v>
      </c>
      <c r="L1285" s="14">
        <v>1869</v>
      </c>
      <c r="M1285" s="10">
        <v>402</v>
      </c>
      <c r="N1285" s="10">
        <v>206528</v>
      </c>
      <c r="O1285" s="10">
        <v>31524</v>
      </c>
      <c r="P1285" s="10">
        <v>238052</v>
      </c>
    </row>
    <row r="1286" spans="1:16" ht="27" customHeight="1" x14ac:dyDescent="0.2">
      <c r="A1286" s="9" t="s">
        <v>4506</v>
      </c>
      <c r="B1286" s="10" t="s">
        <v>4712</v>
      </c>
      <c r="C1286" s="11" t="s">
        <v>18</v>
      </c>
      <c r="D1286" s="11" t="s">
        <v>19</v>
      </c>
      <c r="E1286" s="11" t="s">
        <v>19</v>
      </c>
      <c r="F1286" s="11" t="s">
        <v>4713</v>
      </c>
      <c r="G1286" s="11" t="s">
        <v>83</v>
      </c>
      <c r="H1286" s="11" t="s">
        <v>3051</v>
      </c>
      <c r="I1286" s="11" t="s">
        <v>4714</v>
      </c>
      <c r="J1286" s="12">
        <v>0.95330000000000004</v>
      </c>
      <c r="K1286" s="13">
        <v>41</v>
      </c>
      <c r="L1286" s="14">
        <v>22497</v>
      </c>
      <c r="M1286" s="10">
        <v>19910</v>
      </c>
      <c r="N1286" s="10">
        <v>2485958</v>
      </c>
      <c r="O1286" s="10">
        <v>1561320</v>
      </c>
      <c r="P1286" s="10">
        <v>4047278</v>
      </c>
    </row>
    <row r="1287" spans="1:16" ht="27" customHeight="1" x14ac:dyDescent="0.2">
      <c r="A1287" s="9" t="s">
        <v>4506</v>
      </c>
      <c r="B1287" s="10" t="s">
        <v>4712</v>
      </c>
      <c r="C1287" s="11" t="s">
        <v>4715</v>
      </c>
      <c r="D1287" s="11" t="s">
        <v>4716</v>
      </c>
      <c r="E1287" s="11" t="s">
        <v>26</v>
      </c>
      <c r="F1287" s="11" t="s">
        <v>4717</v>
      </c>
      <c r="G1287" s="11" t="s">
        <v>28</v>
      </c>
      <c r="H1287" s="11" t="s">
        <v>4717</v>
      </c>
      <c r="I1287" s="11" t="s">
        <v>4718</v>
      </c>
      <c r="J1287" s="12">
        <v>0.82499999999999996</v>
      </c>
      <c r="K1287" s="13">
        <v>1</v>
      </c>
      <c r="L1287" s="14">
        <v>1714</v>
      </c>
      <c r="M1287" s="10">
        <v>1414</v>
      </c>
      <c r="N1287" s="10">
        <v>189400</v>
      </c>
      <c r="O1287" s="10">
        <v>110884</v>
      </c>
      <c r="P1287" s="10">
        <v>300284</v>
      </c>
    </row>
    <row r="1288" spans="1:16" ht="27" customHeight="1" x14ac:dyDescent="0.2">
      <c r="A1288" s="9" t="s">
        <v>4506</v>
      </c>
      <c r="B1288" s="10" t="s">
        <v>4712</v>
      </c>
      <c r="C1288" s="11" t="s">
        <v>4719</v>
      </c>
      <c r="D1288" s="11" t="s">
        <v>4720</v>
      </c>
      <c r="E1288" s="11" t="s">
        <v>26</v>
      </c>
      <c r="F1288" s="11" t="s">
        <v>4721</v>
      </c>
      <c r="G1288" s="11" t="s">
        <v>28</v>
      </c>
      <c r="H1288" s="11" t="s">
        <v>4509</v>
      </c>
      <c r="I1288" s="11" t="s">
        <v>4510</v>
      </c>
      <c r="J1288" s="12">
        <v>0.96040000000000003</v>
      </c>
      <c r="K1288" s="13">
        <v>1</v>
      </c>
      <c r="L1288" s="14">
        <v>459</v>
      </c>
      <c r="M1288" s="10">
        <v>422</v>
      </c>
      <c r="N1288" s="10">
        <v>50720</v>
      </c>
      <c r="O1288" s="10">
        <v>33093</v>
      </c>
      <c r="P1288" s="10">
        <v>83813</v>
      </c>
    </row>
    <row r="1289" spans="1:16" ht="27" customHeight="1" x14ac:dyDescent="0.2">
      <c r="A1289" s="9" t="s">
        <v>4506</v>
      </c>
      <c r="B1289" s="10" t="s">
        <v>4712</v>
      </c>
      <c r="C1289" s="11" t="s">
        <v>4722</v>
      </c>
      <c r="D1289" s="11" t="s">
        <v>4723</v>
      </c>
      <c r="E1289" s="11" t="s">
        <v>26</v>
      </c>
      <c r="F1289" s="11" t="s">
        <v>4724</v>
      </c>
      <c r="G1289" s="11" t="s">
        <v>28</v>
      </c>
      <c r="H1289" s="11" t="s">
        <v>4724</v>
      </c>
      <c r="I1289" s="11" t="s">
        <v>4725</v>
      </c>
      <c r="J1289" s="12">
        <v>0.4647</v>
      </c>
      <c r="K1289" s="13">
        <v>1</v>
      </c>
      <c r="L1289" s="14">
        <v>1106</v>
      </c>
      <c r="M1289" s="10">
        <v>514</v>
      </c>
      <c r="N1289" s="10">
        <v>122215</v>
      </c>
      <c r="O1289" s="10">
        <v>40307</v>
      </c>
      <c r="P1289" s="10">
        <v>162522</v>
      </c>
    </row>
    <row r="1290" spans="1:16" ht="27" customHeight="1" x14ac:dyDescent="0.2">
      <c r="A1290" s="9" t="s">
        <v>4506</v>
      </c>
      <c r="B1290" s="10" t="s">
        <v>4712</v>
      </c>
      <c r="C1290" s="11" t="s">
        <v>4726</v>
      </c>
      <c r="D1290" s="11" t="s">
        <v>4727</v>
      </c>
      <c r="E1290" s="11" t="s">
        <v>57</v>
      </c>
      <c r="F1290" s="11" t="s">
        <v>4728</v>
      </c>
      <c r="G1290" s="11" t="s">
        <v>28</v>
      </c>
      <c r="H1290" s="11" t="s">
        <v>4728</v>
      </c>
      <c r="I1290" s="11" t="s">
        <v>4729</v>
      </c>
      <c r="J1290" s="12">
        <v>0.75980000000000003</v>
      </c>
      <c r="K1290" s="13">
        <v>1</v>
      </c>
      <c r="L1290" s="14">
        <v>691</v>
      </c>
      <c r="M1290" s="10">
        <v>525</v>
      </c>
      <c r="N1290" s="10">
        <v>76357</v>
      </c>
      <c r="O1290" s="10">
        <v>41170</v>
      </c>
      <c r="P1290" s="10">
        <v>117527</v>
      </c>
    </row>
    <row r="1291" spans="1:16" ht="27" customHeight="1" x14ac:dyDescent="0.2">
      <c r="A1291" s="9" t="s">
        <v>4506</v>
      </c>
      <c r="B1291" s="10" t="s">
        <v>4712</v>
      </c>
      <c r="C1291" s="11" t="s">
        <v>4730</v>
      </c>
      <c r="D1291" s="11" t="s">
        <v>4731</v>
      </c>
      <c r="E1291" s="11" t="s">
        <v>26</v>
      </c>
      <c r="F1291" s="11" t="s">
        <v>4732</v>
      </c>
      <c r="G1291" s="11" t="s">
        <v>28</v>
      </c>
      <c r="H1291" s="11" t="s">
        <v>4732</v>
      </c>
      <c r="I1291" s="11" t="s">
        <v>4733</v>
      </c>
      <c r="J1291" s="12">
        <v>0.82840000000000003</v>
      </c>
      <c r="K1291" s="13">
        <v>1</v>
      </c>
      <c r="L1291" s="14">
        <v>606</v>
      </c>
      <c r="M1291" s="10">
        <v>502</v>
      </c>
      <c r="N1291" s="10">
        <v>66964</v>
      </c>
      <c r="O1291" s="10">
        <v>39366</v>
      </c>
      <c r="P1291" s="10">
        <v>106330</v>
      </c>
    </row>
    <row r="1292" spans="1:16" ht="27" customHeight="1" x14ac:dyDescent="0.2">
      <c r="A1292" s="9" t="s">
        <v>4506</v>
      </c>
      <c r="B1292" s="10" t="s">
        <v>4712</v>
      </c>
      <c r="C1292" s="11" t="s">
        <v>4734</v>
      </c>
      <c r="D1292" s="11" t="s">
        <v>4735</v>
      </c>
      <c r="E1292" s="11" t="s">
        <v>26</v>
      </c>
      <c r="F1292" s="11" t="s">
        <v>4736</v>
      </c>
      <c r="G1292" s="11" t="s">
        <v>28</v>
      </c>
      <c r="H1292" s="11" t="s">
        <v>4736</v>
      </c>
      <c r="I1292" s="11" t="s">
        <v>4737</v>
      </c>
      <c r="J1292" s="12">
        <v>0.86119999999999997</v>
      </c>
      <c r="K1292" s="13">
        <v>1</v>
      </c>
      <c r="L1292" s="14">
        <v>533</v>
      </c>
      <c r="M1292" s="10">
        <v>459</v>
      </c>
      <c r="N1292" s="10">
        <v>58897</v>
      </c>
      <c r="O1292" s="10">
        <v>35994</v>
      </c>
      <c r="P1292" s="10">
        <v>94891</v>
      </c>
    </row>
    <row r="1293" spans="1:16" ht="27" customHeight="1" x14ac:dyDescent="0.2">
      <c r="A1293" s="9" t="s">
        <v>4506</v>
      </c>
      <c r="B1293" s="10" t="s">
        <v>4712</v>
      </c>
      <c r="C1293" s="11" t="s">
        <v>4738</v>
      </c>
      <c r="D1293" s="11" t="s">
        <v>4739</v>
      </c>
      <c r="E1293" s="11" t="s">
        <v>26</v>
      </c>
      <c r="F1293" s="11" t="s">
        <v>4740</v>
      </c>
      <c r="G1293" s="11" t="s">
        <v>28</v>
      </c>
      <c r="H1293" s="11" t="s">
        <v>4509</v>
      </c>
      <c r="I1293" s="11" t="s">
        <v>4510</v>
      </c>
      <c r="J1293" s="12">
        <v>0.96040000000000003</v>
      </c>
      <c r="K1293" s="13">
        <v>1</v>
      </c>
      <c r="L1293" s="14">
        <v>176</v>
      </c>
      <c r="M1293" s="10">
        <v>142</v>
      </c>
      <c r="N1293" s="10">
        <v>19448</v>
      </c>
      <c r="O1293" s="10">
        <v>11135</v>
      </c>
      <c r="P1293" s="10">
        <v>30583</v>
      </c>
    </row>
    <row r="1294" spans="1:16" ht="27" customHeight="1" x14ac:dyDescent="0.2">
      <c r="A1294" s="9" t="s">
        <v>4506</v>
      </c>
      <c r="B1294" s="10" t="s">
        <v>4712</v>
      </c>
      <c r="C1294" s="11" t="s">
        <v>4741</v>
      </c>
      <c r="D1294" s="11" t="s">
        <v>4742</v>
      </c>
      <c r="E1294" s="11" t="s">
        <v>26</v>
      </c>
      <c r="F1294" s="11" t="s">
        <v>4743</v>
      </c>
      <c r="G1294" s="11" t="s">
        <v>28</v>
      </c>
      <c r="H1294" s="11" t="s">
        <v>4743</v>
      </c>
      <c r="I1294" s="11" t="s">
        <v>4744</v>
      </c>
      <c r="J1294" s="12">
        <v>0.85489999999999999</v>
      </c>
      <c r="K1294" s="13">
        <v>1</v>
      </c>
      <c r="L1294" s="14">
        <v>6749</v>
      </c>
      <c r="M1294" s="10">
        <v>5770</v>
      </c>
      <c r="N1294" s="10">
        <v>745776</v>
      </c>
      <c r="O1294" s="10">
        <v>452477</v>
      </c>
      <c r="P1294" s="10">
        <v>1198253</v>
      </c>
    </row>
    <row r="1295" spans="1:16" ht="27" customHeight="1" x14ac:dyDescent="0.2">
      <c r="A1295" s="9" t="s">
        <v>4506</v>
      </c>
      <c r="B1295" s="10" t="s">
        <v>4712</v>
      </c>
      <c r="C1295" s="11" t="s">
        <v>4745</v>
      </c>
      <c r="D1295" s="11" t="s">
        <v>4746</v>
      </c>
      <c r="E1295" s="11" t="s">
        <v>26</v>
      </c>
      <c r="F1295" s="11" t="s">
        <v>4747</v>
      </c>
      <c r="G1295" s="11" t="s">
        <v>28</v>
      </c>
      <c r="H1295" s="11" t="s">
        <v>4747</v>
      </c>
      <c r="I1295" s="11" t="s">
        <v>4748</v>
      </c>
      <c r="J1295" s="12">
        <v>0.84740000000000004</v>
      </c>
      <c r="K1295" s="13">
        <v>1</v>
      </c>
      <c r="L1295" s="14">
        <v>2202</v>
      </c>
      <c r="M1295" s="10">
        <v>1866</v>
      </c>
      <c r="N1295" s="10">
        <v>243325</v>
      </c>
      <c r="O1295" s="10">
        <v>146330</v>
      </c>
      <c r="P1295" s="10">
        <v>389655</v>
      </c>
    </row>
    <row r="1296" spans="1:16" ht="27" customHeight="1" x14ac:dyDescent="0.2">
      <c r="A1296" s="9" t="s">
        <v>4506</v>
      </c>
      <c r="B1296" s="10" t="s">
        <v>4712</v>
      </c>
      <c r="C1296" s="11" t="s">
        <v>4749</v>
      </c>
      <c r="D1296" s="11" t="s">
        <v>4750</v>
      </c>
      <c r="E1296" s="11" t="s">
        <v>57</v>
      </c>
      <c r="F1296" s="11" t="s">
        <v>4751</v>
      </c>
      <c r="G1296" s="11" t="s">
        <v>28</v>
      </c>
      <c r="H1296" s="11" t="s">
        <v>4751</v>
      </c>
      <c r="I1296" s="11" t="s">
        <v>4752</v>
      </c>
      <c r="J1296" s="12">
        <v>0.90339999999999998</v>
      </c>
      <c r="K1296" s="13">
        <v>1</v>
      </c>
      <c r="L1296" s="14">
        <v>1077</v>
      </c>
      <c r="M1296" s="10">
        <v>973</v>
      </c>
      <c r="N1296" s="10">
        <v>119010</v>
      </c>
      <c r="O1296" s="10">
        <v>76302</v>
      </c>
      <c r="P1296" s="10">
        <v>195312</v>
      </c>
    </row>
    <row r="1297" spans="1:16" ht="27" customHeight="1" x14ac:dyDescent="0.2">
      <c r="A1297" s="9" t="s">
        <v>4506</v>
      </c>
      <c r="B1297" s="10" t="s">
        <v>4712</v>
      </c>
      <c r="C1297" s="11" t="s">
        <v>4753</v>
      </c>
      <c r="D1297" s="11" t="s">
        <v>4754</v>
      </c>
      <c r="E1297" s="11" t="s">
        <v>57</v>
      </c>
      <c r="F1297" s="11" t="s">
        <v>4755</v>
      </c>
      <c r="G1297" s="11" t="s">
        <v>28</v>
      </c>
      <c r="H1297" s="11" t="s">
        <v>4509</v>
      </c>
      <c r="I1297" s="11" t="s">
        <v>4510</v>
      </c>
      <c r="J1297" s="12">
        <v>0.96040000000000003</v>
      </c>
      <c r="K1297" s="13">
        <v>1</v>
      </c>
      <c r="L1297" s="14">
        <v>392</v>
      </c>
      <c r="M1297" s="10">
        <v>294</v>
      </c>
      <c r="N1297" s="10">
        <v>43317</v>
      </c>
      <c r="O1297" s="10">
        <v>23055</v>
      </c>
      <c r="P1297" s="10">
        <v>66372</v>
      </c>
    </row>
    <row r="1298" spans="1:16" ht="27" customHeight="1" x14ac:dyDescent="0.2">
      <c r="A1298" s="9" t="s">
        <v>4756</v>
      </c>
      <c r="B1298" s="10" t="s">
        <v>4757</v>
      </c>
      <c r="C1298" s="11" t="s">
        <v>18</v>
      </c>
      <c r="D1298" s="11" t="s">
        <v>19</v>
      </c>
      <c r="E1298" s="11" t="s">
        <v>19</v>
      </c>
      <c r="F1298" s="11" t="s">
        <v>4758</v>
      </c>
      <c r="G1298" s="11" t="s">
        <v>21</v>
      </c>
      <c r="H1298" s="11" t="s">
        <v>1482</v>
      </c>
      <c r="I1298" s="11" t="s">
        <v>4759</v>
      </c>
      <c r="J1298" s="12">
        <v>1</v>
      </c>
      <c r="K1298" s="13">
        <v>5</v>
      </c>
      <c r="L1298" s="14">
        <v>134</v>
      </c>
      <c r="M1298" s="10">
        <v>130</v>
      </c>
      <c r="N1298" s="10">
        <v>14808</v>
      </c>
      <c r="O1298" s="10">
        <v>10195</v>
      </c>
      <c r="P1298" s="10">
        <v>25003</v>
      </c>
    </row>
    <row r="1299" spans="1:16" ht="27" customHeight="1" x14ac:dyDescent="0.2">
      <c r="A1299" s="9" t="s">
        <v>4756</v>
      </c>
      <c r="B1299" s="10" t="s">
        <v>4760</v>
      </c>
      <c r="C1299" s="11" t="s">
        <v>18</v>
      </c>
      <c r="D1299" s="11" t="s">
        <v>19</v>
      </c>
      <c r="E1299" s="11" t="s">
        <v>19</v>
      </c>
      <c r="F1299" s="11" t="s">
        <v>4761</v>
      </c>
      <c r="G1299" s="11" t="s">
        <v>83</v>
      </c>
      <c r="H1299" s="11" t="s">
        <v>4761</v>
      </c>
      <c r="I1299" s="11" t="s">
        <v>4762</v>
      </c>
      <c r="J1299" s="12">
        <v>0.36670000000000003</v>
      </c>
      <c r="K1299" s="13">
        <v>2</v>
      </c>
      <c r="L1299" s="14">
        <v>30</v>
      </c>
      <c r="M1299" s="10">
        <v>11</v>
      </c>
      <c r="N1299" s="10">
        <v>3315</v>
      </c>
      <c r="O1299" s="10">
        <v>863</v>
      </c>
      <c r="P1299" s="10">
        <v>4178</v>
      </c>
    </row>
    <row r="1300" spans="1:16" ht="27" customHeight="1" x14ac:dyDescent="0.2">
      <c r="A1300" s="9" t="s">
        <v>4756</v>
      </c>
      <c r="B1300" s="10" t="s">
        <v>4763</v>
      </c>
      <c r="C1300" s="11" t="s">
        <v>18</v>
      </c>
      <c r="D1300" s="11" t="s">
        <v>19</v>
      </c>
      <c r="E1300" s="11" t="s">
        <v>19</v>
      </c>
      <c r="F1300" s="11" t="s">
        <v>4764</v>
      </c>
      <c r="G1300" s="11" t="s">
        <v>83</v>
      </c>
      <c r="H1300" s="11" t="s">
        <v>4765</v>
      </c>
      <c r="I1300" s="11" t="s">
        <v>4766</v>
      </c>
      <c r="J1300" s="12">
        <v>0.52380000000000004</v>
      </c>
      <c r="K1300" s="13">
        <v>2</v>
      </c>
      <c r="L1300" s="14">
        <v>21</v>
      </c>
      <c r="M1300" s="10">
        <v>11</v>
      </c>
      <c r="N1300" s="10">
        <v>2321</v>
      </c>
      <c r="O1300" s="10">
        <v>863</v>
      </c>
      <c r="P1300" s="10">
        <v>3184</v>
      </c>
    </row>
    <row r="1301" spans="1:16" ht="27" customHeight="1" x14ac:dyDescent="0.2">
      <c r="A1301" s="9" t="s">
        <v>4756</v>
      </c>
      <c r="B1301" s="10" t="s">
        <v>4767</v>
      </c>
      <c r="C1301" s="11" t="s">
        <v>18</v>
      </c>
      <c r="D1301" s="11" t="s">
        <v>19</v>
      </c>
      <c r="E1301" s="11" t="s">
        <v>19</v>
      </c>
      <c r="F1301" s="11" t="s">
        <v>4768</v>
      </c>
      <c r="G1301" s="11" t="s">
        <v>83</v>
      </c>
      <c r="H1301" s="11" t="s">
        <v>4769</v>
      </c>
      <c r="I1301" s="11" t="s">
        <v>4770</v>
      </c>
      <c r="J1301" s="12">
        <v>0.73519999999999996</v>
      </c>
      <c r="K1301" s="13">
        <v>11</v>
      </c>
      <c r="L1301" s="14">
        <v>5670</v>
      </c>
      <c r="M1301" s="10">
        <v>2970</v>
      </c>
      <c r="N1301" s="10">
        <v>626543</v>
      </c>
      <c r="O1301" s="10">
        <v>232904</v>
      </c>
      <c r="P1301" s="10">
        <v>859447</v>
      </c>
    </row>
    <row r="1302" spans="1:16" ht="27" customHeight="1" x14ac:dyDescent="0.2">
      <c r="A1302" s="9" t="s">
        <v>4756</v>
      </c>
      <c r="B1302" s="10" t="s">
        <v>4767</v>
      </c>
      <c r="C1302" s="11" t="s">
        <v>4771</v>
      </c>
      <c r="D1302" s="11" t="s">
        <v>4772</v>
      </c>
      <c r="E1302" s="11" t="s">
        <v>26</v>
      </c>
      <c r="F1302" s="11" t="s">
        <v>4773</v>
      </c>
      <c r="G1302" s="11" t="s">
        <v>28</v>
      </c>
      <c r="H1302" s="11" t="s">
        <v>4773</v>
      </c>
      <c r="I1302" s="11" t="s">
        <v>4774</v>
      </c>
      <c r="J1302" s="12">
        <v>0.50090000000000001</v>
      </c>
      <c r="K1302" s="13">
        <v>1</v>
      </c>
      <c r="L1302" s="14">
        <v>539</v>
      </c>
      <c r="M1302" s="10">
        <v>270</v>
      </c>
      <c r="N1302" s="10">
        <v>59560</v>
      </c>
      <c r="O1302" s="10">
        <v>21173</v>
      </c>
      <c r="P1302" s="10">
        <v>80733</v>
      </c>
    </row>
    <row r="1303" spans="1:16" ht="27" customHeight="1" x14ac:dyDescent="0.2">
      <c r="A1303" s="9" t="s">
        <v>4756</v>
      </c>
      <c r="B1303" s="10" t="s">
        <v>4775</v>
      </c>
      <c r="C1303" s="11" t="s">
        <v>18</v>
      </c>
      <c r="D1303" s="11" t="s">
        <v>19</v>
      </c>
      <c r="E1303" s="11" t="s">
        <v>19</v>
      </c>
      <c r="F1303" s="11" t="s">
        <v>1482</v>
      </c>
      <c r="G1303" s="11" t="s">
        <v>83</v>
      </c>
      <c r="H1303" s="11" t="s">
        <v>1482</v>
      </c>
      <c r="I1303" s="11" t="s">
        <v>4759</v>
      </c>
      <c r="J1303" s="12">
        <v>1</v>
      </c>
      <c r="K1303" s="13">
        <v>2</v>
      </c>
      <c r="L1303" s="14">
        <v>3</v>
      </c>
      <c r="M1303" s="10">
        <v>3</v>
      </c>
      <c r="N1303" s="10">
        <v>332</v>
      </c>
      <c r="O1303" s="10">
        <v>235</v>
      </c>
      <c r="P1303" s="10">
        <v>567</v>
      </c>
    </row>
    <row r="1304" spans="1:16" ht="27" customHeight="1" x14ac:dyDescent="0.2">
      <c r="A1304" s="9" t="s">
        <v>4756</v>
      </c>
      <c r="B1304" s="10" t="s">
        <v>4776</v>
      </c>
      <c r="C1304" s="11" t="s">
        <v>18</v>
      </c>
      <c r="D1304" s="11" t="s">
        <v>19</v>
      </c>
      <c r="E1304" s="11" t="s">
        <v>19</v>
      </c>
      <c r="F1304" s="11" t="s">
        <v>4777</v>
      </c>
      <c r="G1304" s="11" t="s">
        <v>83</v>
      </c>
      <c r="H1304" s="11" t="s">
        <v>4778</v>
      </c>
      <c r="I1304" s="11" t="s">
        <v>4779</v>
      </c>
      <c r="J1304" s="12">
        <v>0.39700000000000002</v>
      </c>
      <c r="K1304" s="13">
        <v>2</v>
      </c>
      <c r="L1304" s="14">
        <v>743</v>
      </c>
      <c r="M1304" s="10">
        <v>295</v>
      </c>
      <c r="N1304" s="10">
        <v>82103</v>
      </c>
      <c r="O1304" s="10">
        <v>23134</v>
      </c>
      <c r="P1304" s="10">
        <v>105237</v>
      </c>
    </row>
    <row r="1305" spans="1:16" ht="27" customHeight="1" x14ac:dyDescent="0.2">
      <c r="A1305" s="9" t="s">
        <v>4756</v>
      </c>
      <c r="B1305" s="10" t="s">
        <v>4780</v>
      </c>
      <c r="C1305" s="11" t="s">
        <v>18</v>
      </c>
      <c r="D1305" s="11" t="s">
        <v>19</v>
      </c>
      <c r="E1305" s="11" t="s">
        <v>19</v>
      </c>
      <c r="F1305" s="11" t="s">
        <v>4781</v>
      </c>
      <c r="G1305" s="11" t="s">
        <v>83</v>
      </c>
      <c r="H1305" s="11" t="s">
        <v>4781</v>
      </c>
      <c r="I1305" s="11" t="s">
        <v>4782</v>
      </c>
      <c r="J1305" s="12">
        <v>0.75</v>
      </c>
      <c r="K1305" s="13">
        <v>2</v>
      </c>
      <c r="L1305" s="14">
        <v>8</v>
      </c>
      <c r="M1305" s="10">
        <v>6</v>
      </c>
      <c r="N1305" s="10">
        <v>884</v>
      </c>
      <c r="O1305" s="10">
        <v>471</v>
      </c>
      <c r="P1305" s="10">
        <v>1355</v>
      </c>
    </row>
    <row r="1306" spans="1:16" ht="27" customHeight="1" x14ac:dyDescent="0.2">
      <c r="A1306" s="9" t="s">
        <v>4756</v>
      </c>
      <c r="B1306" s="10" t="s">
        <v>4783</v>
      </c>
      <c r="C1306" s="11" t="s">
        <v>18</v>
      </c>
      <c r="D1306" s="11" t="s">
        <v>19</v>
      </c>
      <c r="E1306" s="11" t="s">
        <v>19</v>
      </c>
      <c r="F1306" s="11" t="s">
        <v>4784</v>
      </c>
      <c r="G1306" s="11" t="s">
        <v>83</v>
      </c>
      <c r="H1306" s="11" t="s">
        <v>1482</v>
      </c>
      <c r="I1306" s="11" t="s">
        <v>4759</v>
      </c>
      <c r="J1306" s="12">
        <v>1</v>
      </c>
      <c r="K1306" s="13">
        <v>3</v>
      </c>
      <c r="L1306" s="14">
        <v>3556</v>
      </c>
      <c r="M1306" s="10">
        <v>1604</v>
      </c>
      <c r="N1306" s="10">
        <v>392944</v>
      </c>
      <c r="O1306" s="10">
        <v>125784</v>
      </c>
      <c r="P1306" s="10">
        <v>518728</v>
      </c>
    </row>
    <row r="1307" spans="1:16" ht="27" customHeight="1" x14ac:dyDescent="0.2">
      <c r="A1307" s="9" t="s">
        <v>4756</v>
      </c>
      <c r="B1307" s="10" t="s">
        <v>4785</v>
      </c>
      <c r="C1307" s="11" t="s">
        <v>18</v>
      </c>
      <c r="D1307" s="11" t="s">
        <v>19</v>
      </c>
      <c r="E1307" s="11" t="s">
        <v>19</v>
      </c>
      <c r="F1307" s="11" t="s">
        <v>4786</v>
      </c>
      <c r="G1307" s="11" t="s">
        <v>83</v>
      </c>
      <c r="H1307" s="11" t="s">
        <v>4786</v>
      </c>
      <c r="I1307" s="11" t="s">
        <v>4787</v>
      </c>
      <c r="J1307" s="12">
        <v>0.42059999999999997</v>
      </c>
      <c r="K1307" s="13">
        <v>2</v>
      </c>
      <c r="L1307" s="14">
        <v>233</v>
      </c>
      <c r="M1307" s="10">
        <v>98</v>
      </c>
      <c r="N1307" s="10">
        <v>25747</v>
      </c>
      <c r="O1307" s="10">
        <v>7685</v>
      </c>
      <c r="P1307" s="10">
        <v>33432</v>
      </c>
    </row>
    <row r="1308" spans="1:16" ht="27" customHeight="1" x14ac:dyDescent="0.2">
      <c r="A1308" s="9" t="s">
        <v>4756</v>
      </c>
      <c r="B1308" s="10" t="s">
        <v>4788</v>
      </c>
      <c r="C1308" s="11" t="s">
        <v>18</v>
      </c>
      <c r="D1308" s="11" t="s">
        <v>19</v>
      </c>
      <c r="E1308" s="11" t="s">
        <v>19</v>
      </c>
      <c r="F1308" s="11" t="s">
        <v>4789</v>
      </c>
      <c r="G1308" s="11" t="s">
        <v>83</v>
      </c>
      <c r="H1308" s="11" t="s">
        <v>4790</v>
      </c>
      <c r="I1308" s="11" t="s">
        <v>4791</v>
      </c>
      <c r="J1308" s="12">
        <v>0.54900000000000004</v>
      </c>
      <c r="K1308" s="13">
        <v>2</v>
      </c>
      <c r="L1308" s="14">
        <v>51</v>
      </c>
      <c r="M1308" s="10">
        <v>28</v>
      </c>
      <c r="N1308" s="10">
        <v>5636</v>
      </c>
      <c r="O1308" s="10">
        <v>2196</v>
      </c>
      <c r="P1308" s="10">
        <v>7832</v>
      </c>
    </row>
    <row r="1309" spans="1:16" ht="27" customHeight="1" x14ac:dyDescent="0.2">
      <c r="A1309" s="9" t="s">
        <v>4756</v>
      </c>
      <c r="B1309" s="10" t="s">
        <v>4792</v>
      </c>
      <c r="C1309" s="11" t="s">
        <v>18</v>
      </c>
      <c r="D1309" s="11" t="s">
        <v>19</v>
      </c>
      <c r="E1309" s="11" t="s">
        <v>19</v>
      </c>
      <c r="F1309" s="11" t="s">
        <v>4793</v>
      </c>
      <c r="G1309" s="11" t="s">
        <v>83</v>
      </c>
      <c r="H1309" s="11" t="s">
        <v>4794</v>
      </c>
      <c r="I1309" s="11" t="s">
        <v>4795</v>
      </c>
      <c r="J1309" s="12">
        <v>0.85</v>
      </c>
      <c r="K1309" s="13">
        <v>2</v>
      </c>
      <c r="L1309" s="14">
        <v>20</v>
      </c>
      <c r="M1309" s="10">
        <v>17</v>
      </c>
      <c r="N1309" s="10">
        <v>2210</v>
      </c>
      <c r="O1309" s="10">
        <v>1333</v>
      </c>
      <c r="P1309" s="10">
        <v>3543</v>
      </c>
    </row>
    <row r="1310" spans="1:16" ht="27" customHeight="1" x14ac:dyDescent="0.2">
      <c r="A1310" s="9" t="s">
        <v>4756</v>
      </c>
      <c r="B1310" s="10" t="s">
        <v>4796</v>
      </c>
      <c r="C1310" s="11" t="s">
        <v>18</v>
      </c>
      <c r="D1310" s="11" t="s">
        <v>19</v>
      </c>
      <c r="E1310" s="11" t="s">
        <v>19</v>
      </c>
      <c r="F1310" s="11" t="s">
        <v>4797</v>
      </c>
      <c r="G1310" s="11" t="s">
        <v>83</v>
      </c>
      <c r="H1310" s="11" t="s">
        <v>4798</v>
      </c>
      <c r="I1310" s="11" t="s">
        <v>4799</v>
      </c>
      <c r="J1310" s="12">
        <v>0.48060000000000003</v>
      </c>
      <c r="K1310" s="13">
        <v>4</v>
      </c>
      <c r="L1310" s="14">
        <v>1032</v>
      </c>
      <c r="M1310" s="10">
        <v>503</v>
      </c>
      <c r="N1310" s="10">
        <v>114037</v>
      </c>
      <c r="O1310" s="10">
        <v>39444</v>
      </c>
      <c r="P1310" s="10">
        <v>153481</v>
      </c>
    </row>
    <row r="1311" spans="1:16" ht="27" customHeight="1" x14ac:dyDescent="0.2">
      <c r="A1311" s="9" t="s">
        <v>4800</v>
      </c>
      <c r="B1311" s="10" t="s">
        <v>4801</v>
      </c>
      <c r="C1311" s="11" t="s">
        <v>18</v>
      </c>
      <c r="D1311" s="11" t="s">
        <v>19</v>
      </c>
      <c r="E1311" s="11" t="s">
        <v>19</v>
      </c>
      <c r="F1311" s="11" t="s">
        <v>4802</v>
      </c>
      <c r="G1311" s="11" t="s">
        <v>21</v>
      </c>
      <c r="H1311" s="11" t="s">
        <v>4803</v>
      </c>
      <c r="I1311" s="11" t="s">
        <v>4804</v>
      </c>
      <c r="J1311" s="12">
        <v>0.98809999999999998</v>
      </c>
      <c r="K1311" s="13">
        <v>4</v>
      </c>
      <c r="L1311" s="14">
        <v>4054</v>
      </c>
      <c r="M1311" s="10">
        <v>3635</v>
      </c>
      <c r="N1311" s="10">
        <v>447974</v>
      </c>
      <c r="O1311" s="10">
        <v>285053</v>
      </c>
      <c r="P1311" s="10">
        <v>733027</v>
      </c>
    </row>
    <row r="1312" spans="1:16" ht="27" customHeight="1" x14ac:dyDescent="0.2">
      <c r="A1312" s="9" t="s">
        <v>4800</v>
      </c>
      <c r="B1312" s="10" t="s">
        <v>4801</v>
      </c>
      <c r="C1312" s="11" t="s">
        <v>4805</v>
      </c>
      <c r="D1312" s="11" t="s">
        <v>4806</v>
      </c>
      <c r="E1312" s="11" t="s">
        <v>26</v>
      </c>
      <c r="F1312" s="11" t="s">
        <v>4807</v>
      </c>
      <c r="G1312" s="11" t="s">
        <v>28</v>
      </c>
      <c r="H1312" s="11" t="s">
        <v>4807</v>
      </c>
      <c r="I1312" s="11" t="s">
        <v>4808</v>
      </c>
      <c r="J1312" s="12">
        <v>0.77400000000000002</v>
      </c>
      <c r="K1312" s="13">
        <v>1</v>
      </c>
      <c r="L1312" s="14">
        <v>1106</v>
      </c>
      <c r="M1312" s="10">
        <v>856</v>
      </c>
      <c r="N1312" s="10">
        <v>122215</v>
      </c>
      <c r="O1312" s="10">
        <v>67127</v>
      </c>
      <c r="P1312" s="10">
        <v>189342</v>
      </c>
    </row>
    <row r="1313" spans="1:16" ht="27" customHeight="1" x14ac:dyDescent="0.2">
      <c r="A1313" s="9" t="s">
        <v>4800</v>
      </c>
      <c r="B1313" s="10" t="s">
        <v>4801</v>
      </c>
      <c r="C1313" s="11" t="s">
        <v>4809</v>
      </c>
      <c r="D1313" s="11" t="s">
        <v>4810</v>
      </c>
      <c r="E1313" s="11" t="s">
        <v>26</v>
      </c>
      <c r="F1313" s="11" t="s">
        <v>4811</v>
      </c>
      <c r="G1313" s="11" t="s">
        <v>28</v>
      </c>
      <c r="H1313" s="11" t="s">
        <v>4811</v>
      </c>
      <c r="I1313" s="11" t="s">
        <v>4812</v>
      </c>
      <c r="J1313" s="12">
        <v>0.40839999999999999</v>
      </c>
      <c r="K1313" s="13">
        <v>1</v>
      </c>
      <c r="L1313" s="14">
        <v>311</v>
      </c>
      <c r="M1313" s="10">
        <v>127</v>
      </c>
      <c r="N1313" s="10">
        <v>34366</v>
      </c>
      <c r="O1313" s="10">
        <v>9959</v>
      </c>
      <c r="P1313" s="10">
        <v>44325</v>
      </c>
    </row>
    <row r="1314" spans="1:16" ht="27" customHeight="1" x14ac:dyDescent="0.2">
      <c r="A1314" s="9" t="s">
        <v>4800</v>
      </c>
      <c r="B1314" s="10" t="s">
        <v>4801</v>
      </c>
      <c r="C1314" s="11" t="s">
        <v>4813</v>
      </c>
      <c r="D1314" s="11" t="s">
        <v>4814</v>
      </c>
      <c r="E1314" s="11" t="s">
        <v>26</v>
      </c>
      <c r="F1314" s="11" t="s">
        <v>4815</v>
      </c>
      <c r="G1314" s="11" t="s">
        <v>28</v>
      </c>
      <c r="H1314" s="11" t="s">
        <v>4803</v>
      </c>
      <c r="I1314" s="11" t="s">
        <v>4804</v>
      </c>
      <c r="J1314" s="12">
        <v>0.98809999999999998</v>
      </c>
      <c r="K1314" s="13">
        <v>1</v>
      </c>
      <c r="L1314" s="14">
        <v>286</v>
      </c>
      <c r="M1314" s="10">
        <v>213</v>
      </c>
      <c r="N1314" s="10">
        <v>31603</v>
      </c>
      <c r="O1314" s="10">
        <v>16703</v>
      </c>
      <c r="P1314" s="10">
        <v>48306</v>
      </c>
    </row>
    <row r="1315" spans="1:16" ht="27" customHeight="1" x14ac:dyDescent="0.2">
      <c r="A1315" s="9" t="s">
        <v>4800</v>
      </c>
      <c r="B1315" s="10" t="s">
        <v>4801</v>
      </c>
      <c r="C1315" s="11" t="s">
        <v>4816</v>
      </c>
      <c r="D1315" s="11" t="s">
        <v>4817</v>
      </c>
      <c r="E1315" s="11" t="s">
        <v>26</v>
      </c>
      <c r="F1315" s="11" t="s">
        <v>4818</v>
      </c>
      <c r="G1315" s="11" t="s">
        <v>28</v>
      </c>
      <c r="H1315" s="11" t="s">
        <v>4803</v>
      </c>
      <c r="I1315" s="11" t="s">
        <v>4804</v>
      </c>
      <c r="J1315" s="12">
        <v>0.98809999999999998</v>
      </c>
      <c r="K1315" s="13">
        <v>1</v>
      </c>
      <c r="L1315" s="14">
        <v>2180</v>
      </c>
      <c r="M1315" s="10">
        <v>1376</v>
      </c>
      <c r="N1315" s="10">
        <v>240894</v>
      </c>
      <c r="O1315" s="10">
        <v>107905</v>
      </c>
      <c r="P1315" s="10">
        <v>348799</v>
      </c>
    </row>
    <row r="1316" spans="1:16" ht="27" customHeight="1" x14ac:dyDescent="0.2">
      <c r="A1316" s="9" t="s">
        <v>4800</v>
      </c>
      <c r="B1316" s="10" t="s">
        <v>4801</v>
      </c>
      <c r="C1316" s="11" t="s">
        <v>4819</v>
      </c>
      <c r="D1316" s="11" t="s">
        <v>4820</v>
      </c>
      <c r="E1316" s="11" t="s">
        <v>26</v>
      </c>
      <c r="F1316" s="11" t="s">
        <v>4821</v>
      </c>
      <c r="G1316" s="11" t="s">
        <v>28</v>
      </c>
      <c r="H1316" s="11" t="s">
        <v>4821</v>
      </c>
      <c r="I1316" s="11" t="s">
        <v>4822</v>
      </c>
      <c r="J1316" s="12">
        <v>0.80459999999999998</v>
      </c>
      <c r="K1316" s="13">
        <v>1</v>
      </c>
      <c r="L1316" s="14">
        <v>527</v>
      </c>
      <c r="M1316" s="15">
        <v>424</v>
      </c>
      <c r="N1316" s="15">
        <v>58234</v>
      </c>
      <c r="O1316" s="10">
        <v>33250</v>
      </c>
      <c r="P1316" s="15">
        <v>91484</v>
      </c>
    </row>
    <row r="1317" spans="1:16" ht="27" customHeight="1" x14ac:dyDescent="0.2">
      <c r="A1317" s="9" t="s">
        <v>4800</v>
      </c>
      <c r="B1317" s="10" t="s">
        <v>4823</v>
      </c>
      <c r="C1317" s="11" t="s">
        <v>18</v>
      </c>
      <c r="D1317" s="11" t="s">
        <v>19</v>
      </c>
      <c r="E1317" s="11" t="s">
        <v>19</v>
      </c>
      <c r="F1317" s="11" t="s">
        <v>4824</v>
      </c>
      <c r="G1317" s="11" t="s">
        <v>83</v>
      </c>
      <c r="H1317" s="11" t="s">
        <v>4824</v>
      </c>
      <c r="I1317" s="11" t="s">
        <v>4825</v>
      </c>
      <c r="J1317" s="12">
        <v>0.91290000000000004</v>
      </c>
      <c r="K1317" s="13">
        <v>16</v>
      </c>
      <c r="L1317" s="14">
        <v>7742</v>
      </c>
      <c r="M1317" s="10">
        <v>5915</v>
      </c>
      <c r="N1317" s="10">
        <v>855503</v>
      </c>
      <c r="O1317" s="10">
        <v>463848</v>
      </c>
      <c r="P1317" s="10">
        <v>1319351</v>
      </c>
    </row>
    <row r="1318" spans="1:16" ht="27" customHeight="1" x14ac:dyDescent="0.2">
      <c r="A1318" s="9" t="s">
        <v>4800</v>
      </c>
      <c r="B1318" s="10" t="s">
        <v>4823</v>
      </c>
      <c r="C1318" s="11" t="s">
        <v>4826</v>
      </c>
      <c r="D1318" s="11" t="s">
        <v>4827</v>
      </c>
      <c r="E1318" s="11" t="s">
        <v>26</v>
      </c>
      <c r="F1318" s="11" t="s">
        <v>4828</v>
      </c>
      <c r="G1318" s="11" t="s">
        <v>28</v>
      </c>
      <c r="H1318" s="11" t="s">
        <v>4828</v>
      </c>
      <c r="I1318" s="11" t="s">
        <v>4829</v>
      </c>
      <c r="J1318" s="12">
        <v>0.85350000000000004</v>
      </c>
      <c r="K1318" s="13">
        <v>1</v>
      </c>
      <c r="L1318" s="14">
        <v>471</v>
      </c>
      <c r="M1318" s="10">
        <v>402</v>
      </c>
      <c r="N1318" s="10">
        <v>52046</v>
      </c>
      <c r="O1318" s="10">
        <v>31524</v>
      </c>
      <c r="P1318" s="10">
        <v>83570</v>
      </c>
    </row>
    <row r="1319" spans="1:16" ht="27" customHeight="1" x14ac:dyDescent="0.2">
      <c r="A1319" s="9" t="s">
        <v>4800</v>
      </c>
      <c r="B1319" s="10" t="s">
        <v>4830</v>
      </c>
      <c r="C1319" s="11" t="s">
        <v>18</v>
      </c>
      <c r="D1319" s="11" t="s">
        <v>19</v>
      </c>
      <c r="E1319" s="11" t="s">
        <v>19</v>
      </c>
      <c r="F1319" s="11" t="s">
        <v>4831</v>
      </c>
      <c r="G1319" s="11" t="s">
        <v>83</v>
      </c>
      <c r="H1319" s="11" t="s">
        <v>4831</v>
      </c>
      <c r="I1319" s="11" t="s">
        <v>4832</v>
      </c>
      <c r="J1319" s="12">
        <v>0.50890000000000002</v>
      </c>
      <c r="K1319" s="13">
        <v>11</v>
      </c>
      <c r="L1319" s="14">
        <v>5528</v>
      </c>
      <c r="M1319" s="10">
        <v>2004</v>
      </c>
      <c r="N1319" s="10">
        <v>610852</v>
      </c>
      <c r="O1319" s="10">
        <v>157151</v>
      </c>
      <c r="P1319" s="10">
        <v>768003</v>
      </c>
    </row>
    <row r="1320" spans="1:16" ht="27" customHeight="1" x14ac:dyDescent="0.2">
      <c r="A1320" s="9" t="s">
        <v>4800</v>
      </c>
      <c r="B1320" s="10" t="s">
        <v>4833</v>
      </c>
      <c r="C1320" s="11" t="s">
        <v>18</v>
      </c>
      <c r="D1320" s="11" t="s">
        <v>19</v>
      </c>
      <c r="E1320" s="11" t="s">
        <v>19</v>
      </c>
      <c r="F1320" s="11" t="s">
        <v>4834</v>
      </c>
      <c r="G1320" s="11" t="s">
        <v>83</v>
      </c>
      <c r="H1320" s="11" t="s">
        <v>4835</v>
      </c>
      <c r="I1320" s="11" t="s">
        <v>4836</v>
      </c>
      <c r="J1320" s="12">
        <v>0.89490000000000003</v>
      </c>
      <c r="K1320" s="13">
        <v>15</v>
      </c>
      <c r="L1320" s="14">
        <v>6394</v>
      </c>
      <c r="M1320" s="10">
        <v>4792</v>
      </c>
      <c r="N1320" s="10">
        <v>706547</v>
      </c>
      <c r="O1320" s="10">
        <v>375785</v>
      </c>
      <c r="P1320" s="10">
        <v>1082332</v>
      </c>
    </row>
    <row r="1321" spans="1:16" ht="27" customHeight="1" x14ac:dyDescent="0.2">
      <c r="A1321" s="9" t="s">
        <v>4800</v>
      </c>
      <c r="B1321" s="10" t="s">
        <v>4837</v>
      </c>
      <c r="C1321" s="11" t="s">
        <v>18</v>
      </c>
      <c r="D1321" s="11" t="s">
        <v>19</v>
      </c>
      <c r="E1321" s="11" t="s">
        <v>19</v>
      </c>
      <c r="F1321" s="11" t="s">
        <v>4838</v>
      </c>
      <c r="G1321" s="11" t="s">
        <v>83</v>
      </c>
      <c r="H1321" s="11" t="s">
        <v>4839</v>
      </c>
      <c r="I1321" s="11" t="s">
        <v>4840</v>
      </c>
      <c r="J1321" s="12">
        <v>0.70940000000000003</v>
      </c>
      <c r="K1321" s="13">
        <v>7</v>
      </c>
      <c r="L1321" s="14">
        <v>2146</v>
      </c>
      <c r="M1321" s="10">
        <v>1476</v>
      </c>
      <c r="N1321" s="10">
        <v>237136</v>
      </c>
      <c r="O1321" s="10">
        <v>115747</v>
      </c>
      <c r="P1321" s="10">
        <v>352883</v>
      </c>
    </row>
    <row r="1322" spans="1:16" ht="27" customHeight="1" x14ac:dyDescent="0.2">
      <c r="A1322" s="9" t="s">
        <v>4800</v>
      </c>
      <c r="B1322" s="10" t="s">
        <v>4841</v>
      </c>
      <c r="C1322" s="11" t="s">
        <v>18</v>
      </c>
      <c r="D1322" s="11" t="s">
        <v>19</v>
      </c>
      <c r="E1322" s="11" t="s">
        <v>19</v>
      </c>
      <c r="F1322" s="11" t="s">
        <v>1806</v>
      </c>
      <c r="G1322" s="11" t="s">
        <v>83</v>
      </c>
      <c r="H1322" s="11" t="s">
        <v>4842</v>
      </c>
      <c r="I1322" s="11" t="s">
        <v>4843</v>
      </c>
      <c r="J1322" s="12">
        <v>0.81599999999999995</v>
      </c>
      <c r="K1322" s="13">
        <v>8</v>
      </c>
      <c r="L1322" s="14">
        <v>4269</v>
      </c>
      <c r="M1322" s="10">
        <v>2823</v>
      </c>
      <c r="N1322" s="10">
        <v>471732</v>
      </c>
      <c r="O1322" s="10">
        <v>221377</v>
      </c>
      <c r="P1322" s="10">
        <v>693109</v>
      </c>
    </row>
    <row r="1323" spans="1:16" ht="27" customHeight="1" x14ac:dyDescent="0.2">
      <c r="A1323" s="9" t="s">
        <v>4800</v>
      </c>
      <c r="B1323" s="10" t="s">
        <v>4844</v>
      </c>
      <c r="C1323" s="11" t="s">
        <v>18</v>
      </c>
      <c r="D1323" s="11" t="s">
        <v>19</v>
      </c>
      <c r="E1323" s="11" t="s">
        <v>19</v>
      </c>
      <c r="F1323" s="11" t="s">
        <v>4845</v>
      </c>
      <c r="G1323" s="11" t="s">
        <v>83</v>
      </c>
      <c r="H1323" s="11" t="s">
        <v>4803</v>
      </c>
      <c r="I1323" s="11" t="s">
        <v>4804</v>
      </c>
      <c r="J1323" s="12">
        <v>0.98809999999999998</v>
      </c>
      <c r="K1323" s="13">
        <v>12</v>
      </c>
      <c r="L1323" s="14">
        <v>23058</v>
      </c>
      <c r="M1323" s="10">
        <v>14078</v>
      </c>
      <c r="N1323" s="10">
        <v>2547948</v>
      </c>
      <c r="O1323" s="10">
        <v>1103980</v>
      </c>
      <c r="P1323" s="10">
        <v>3651928</v>
      </c>
    </row>
    <row r="1324" spans="1:16" ht="27" customHeight="1" x14ac:dyDescent="0.2">
      <c r="A1324" s="9" t="s">
        <v>4800</v>
      </c>
      <c r="B1324" s="10" t="s">
        <v>4846</v>
      </c>
      <c r="C1324" s="11" t="s">
        <v>18</v>
      </c>
      <c r="D1324" s="11" t="s">
        <v>19</v>
      </c>
      <c r="E1324" s="11" t="s">
        <v>19</v>
      </c>
      <c r="F1324" s="11" t="s">
        <v>4847</v>
      </c>
      <c r="G1324" s="11" t="s">
        <v>83</v>
      </c>
      <c r="H1324" s="11" t="s">
        <v>4848</v>
      </c>
      <c r="I1324" s="11" t="s">
        <v>4849</v>
      </c>
      <c r="J1324" s="12">
        <v>0.93310000000000004</v>
      </c>
      <c r="K1324" s="13">
        <v>35</v>
      </c>
      <c r="L1324" s="14">
        <v>25723</v>
      </c>
      <c r="M1324" s="10">
        <v>12375</v>
      </c>
      <c r="N1324" s="10">
        <v>2842436</v>
      </c>
      <c r="O1324" s="10">
        <v>970434</v>
      </c>
      <c r="P1324" s="10">
        <v>3812870</v>
      </c>
    </row>
    <row r="1325" spans="1:16" ht="27" customHeight="1" x14ac:dyDescent="0.2">
      <c r="A1325" s="9" t="s">
        <v>4800</v>
      </c>
      <c r="B1325" s="10" t="s">
        <v>4846</v>
      </c>
      <c r="C1325" s="11" t="s">
        <v>4850</v>
      </c>
      <c r="D1325" s="11" t="s">
        <v>4851</v>
      </c>
      <c r="E1325" s="11" t="s">
        <v>26</v>
      </c>
      <c r="F1325" s="11" t="s">
        <v>4852</v>
      </c>
      <c r="G1325" s="11" t="s">
        <v>28</v>
      </c>
      <c r="H1325" s="11" t="s">
        <v>4852</v>
      </c>
      <c r="I1325" s="11" t="s">
        <v>4853</v>
      </c>
      <c r="J1325" s="12">
        <v>0.32529999999999998</v>
      </c>
      <c r="K1325" s="13">
        <v>1</v>
      </c>
      <c r="L1325" s="14">
        <v>956</v>
      </c>
      <c r="M1325" s="10">
        <v>311</v>
      </c>
      <c r="N1325" s="10">
        <v>105640</v>
      </c>
      <c r="O1325" s="10">
        <v>24388</v>
      </c>
      <c r="P1325" s="10">
        <v>130028</v>
      </c>
    </row>
    <row r="1326" spans="1:16" ht="27" customHeight="1" x14ac:dyDescent="0.2">
      <c r="A1326" s="9" t="s">
        <v>4800</v>
      </c>
      <c r="B1326" s="10" t="s">
        <v>4854</v>
      </c>
      <c r="C1326" s="11" t="s">
        <v>18</v>
      </c>
      <c r="D1326" s="11" t="s">
        <v>19</v>
      </c>
      <c r="E1326" s="11" t="s">
        <v>19</v>
      </c>
      <c r="F1326" s="11" t="s">
        <v>4855</v>
      </c>
      <c r="G1326" s="11" t="s">
        <v>83</v>
      </c>
      <c r="H1326" s="11" t="s">
        <v>4856</v>
      </c>
      <c r="I1326" s="11" t="s">
        <v>4857</v>
      </c>
      <c r="J1326" s="12">
        <v>0.94989999999999997</v>
      </c>
      <c r="K1326" s="13">
        <v>29</v>
      </c>
      <c r="L1326" s="14">
        <v>19640</v>
      </c>
      <c r="M1326" s="10">
        <v>16291</v>
      </c>
      <c r="N1326" s="10">
        <v>2170251</v>
      </c>
      <c r="O1326" s="10">
        <v>1277525</v>
      </c>
      <c r="P1326" s="10">
        <v>3447776</v>
      </c>
    </row>
    <row r="1327" spans="1:16" ht="27" customHeight="1" x14ac:dyDescent="0.2">
      <c r="A1327" s="9" t="s">
        <v>4800</v>
      </c>
      <c r="B1327" s="10" t="s">
        <v>4858</v>
      </c>
      <c r="C1327" s="11" t="s">
        <v>18</v>
      </c>
      <c r="D1327" s="11" t="s">
        <v>19</v>
      </c>
      <c r="E1327" s="11" t="s">
        <v>19</v>
      </c>
      <c r="F1327" s="11" t="s">
        <v>4859</v>
      </c>
      <c r="G1327" s="11" t="s">
        <v>83</v>
      </c>
      <c r="H1327" s="11" t="s">
        <v>4859</v>
      </c>
      <c r="I1327" s="11" t="s">
        <v>4860</v>
      </c>
      <c r="J1327" s="12">
        <v>0.69440000000000002</v>
      </c>
      <c r="K1327" s="13">
        <v>5</v>
      </c>
      <c r="L1327" s="14">
        <v>2342</v>
      </c>
      <c r="M1327" s="10">
        <v>1536</v>
      </c>
      <c r="N1327" s="10">
        <v>258794</v>
      </c>
      <c r="O1327" s="10">
        <v>120451</v>
      </c>
      <c r="P1327" s="10">
        <v>379245</v>
      </c>
    </row>
    <row r="1328" spans="1:16" ht="27" customHeight="1" x14ac:dyDescent="0.2">
      <c r="A1328" s="9" t="s">
        <v>4800</v>
      </c>
      <c r="B1328" s="10" t="s">
        <v>4861</v>
      </c>
      <c r="C1328" s="11" t="s">
        <v>18</v>
      </c>
      <c r="D1328" s="11" t="s">
        <v>19</v>
      </c>
      <c r="E1328" s="11" t="s">
        <v>19</v>
      </c>
      <c r="F1328" s="11" t="s">
        <v>4862</v>
      </c>
      <c r="G1328" s="11" t="s">
        <v>83</v>
      </c>
      <c r="H1328" s="11" t="s">
        <v>4863</v>
      </c>
      <c r="I1328" s="11" t="s">
        <v>4864</v>
      </c>
      <c r="J1328" s="12">
        <v>0.66769999999999996</v>
      </c>
      <c r="K1328" s="13">
        <v>19</v>
      </c>
      <c r="L1328" s="14">
        <v>13476</v>
      </c>
      <c r="M1328" s="10">
        <v>6940</v>
      </c>
      <c r="N1328" s="10">
        <v>1489120</v>
      </c>
      <c r="O1328" s="10">
        <v>544227</v>
      </c>
      <c r="P1328" s="10">
        <v>2033347</v>
      </c>
    </row>
    <row r="1329" spans="1:16" ht="27" customHeight="1" x14ac:dyDescent="0.2">
      <c r="A1329" s="9" t="s">
        <v>4800</v>
      </c>
      <c r="B1329" s="10" t="s">
        <v>4865</v>
      </c>
      <c r="C1329" s="11" t="s">
        <v>18</v>
      </c>
      <c r="D1329" s="11" t="s">
        <v>19</v>
      </c>
      <c r="E1329" s="11" t="s">
        <v>19</v>
      </c>
      <c r="F1329" s="11" t="s">
        <v>4866</v>
      </c>
      <c r="G1329" s="11" t="s">
        <v>83</v>
      </c>
      <c r="H1329" s="11" t="s">
        <v>4867</v>
      </c>
      <c r="I1329" s="11" t="s">
        <v>4868</v>
      </c>
      <c r="J1329" s="12">
        <v>0.90810000000000002</v>
      </c>
      <c r="K1329" s="13">
        <v>45</v>
      </c>
      <c r="L1329" s="14">
        <v>35219</v>
      </c>
      <c r="M1329" s="10">
        <v>27398</v>
      </c>
      <c r="N1329" s="10">
        <v>3891759</v>
      </c>
      <c r="O1329" s="10">
        <v>2148526</v>
      </c>
      <c r="P1329" s="10">
        <v>6040285</v>
      </c>
    </row>
    <row r="1330" spans="1:16" ht="27" customHeight="1" x14ac:dyDescent="0.2">
      <c r="A1330" s="9" t="s">
        <v>4800</v>
      </c>
      <c r="B1330" s="10" t="s">
        <v>4865</v>
      </c>
      <c r="C1330" s="11" t="s">
        <v>4869</v>
      </c>
      <c r="D1330" s="11" t="s">
        <v>4870</v>
      </c>
      <c r="E1330" s="11" t="s">
        <v>26</v>
      </c>
      <c r="F1330" s="11" t="s">
        <v>4871</v>
      </c>
      <c r="G1330" s="11" t="s">
        <v>28</v>
      </c>
      <c r="H1330" s="11" t="s">
        <v>4871</v>
      </c>
      <c r="I1330" s="11" t="s">
        <v>4872</v>
      </c>
      <c r="J1330" s="12">
        <v>0</v>
      </c>
      <c r="K1330" s="13">
        <v>1</v>
      </c>
      <c r="L1330" s="14">
        <v>0</v>
      </c>
      <c r="M1330" s="10">
        <v>0</v>
      </c>
      <c r="N1330" s="10">
        <v>0</v>
      </c>
      <c r="O1330" s="10">
        <v>0</v>
      </c>
      <c r="P1330" s="10">
        <v>0</v>
      </c>
    </row>
    <row r="1331" spans="1:16" ht="27" customHeight="1" x14ac:dyDescent="0.2">
      <c r="A1331" s="9" t="s">
        <v>4800</v>
      </c>
      <c r="B1331" s="10" t="s">
        <v>4873</v>
      </c>
      <c r="C1331" s="11" t="s">
        <v>18</v>
      </c>
      <c r="D1331" s="11" t="s">
        <v>19</v>
      </c>
      <c r="E1331" s="11" t="s">
        <v>19</v>
      </c>
      <c r="F1331" s="11" t="s">
        <v>4874</v>
      </c>
      <c r="G1331" s="11" t="s">
        <v>83</v>
      </c>
      <c r="H1331" s="11" t="s">
        <v>4874</v>
      </c>
      <c r="I1331" s="11" t="s">
        <v>4875</v>
      </c>
      <c r="J1331" s="12">
        <v>0.55769999999999997</v>
      </c>
      <c r="K1331" s="13">
        <v>3</v>
      </c>
      <c r="L1331" s="14">
        <v>678</v>
      </c>
      <c r="M1331" s="10">
        <v>374</v>
      </c>
      <c r="N1331" s="10">
        <v>74920</v>
      </c>
      <c r="O1331" s="10">
        <v>29329</v>
      </c>
      <c r="P1331" s="10">
        <v>104249</v>
      </c>
    </row>
    <row r="1332" spans="1:16" ht="27" customHeight="1" x14ac:dyDescent="0.2">
      <c r="A1332" s="9" t="s">
        <v>4800</v>
      </c>
      <c r="B1332" s="10" t="s">
        <v>4873</v>
      </c>
      <c r="C1332" s="11" t="s">
        <v>4876</v>
      </c>
      <c r="D1332" s="11" t="s">
        <v>4877</v>
      </c>
      <c r="E1332" s="11" t="s">
        <v>57</v>
      </c>
      <c r="F1332" s="11" t="s">
        <v>4878</v>
      </c>
      <c r="G1332" s="11" t="s">
        <v>28</v>
      </c>
      <c r="H1332" s="11" t="s">
        <v>4803</v>
      </c>
      <c r="I1332" s="11" t="s">
        <v>4804</v>
      </c>
      <c r="J1332" s="12">
        <v>0.98809999999999998</v>
      </c>
      <c r="K1332" s="13">
        <v>1</v>
      </c>
      <c r="L1332" s="14">
        <v>294</v>
      </c>
      <c r="M1332" s="10">
        <v>137</v>
      </c>
      <c r="N1332" s="10">
        <v>32487</v>
      </c>
      <c r="O1332" s="10">
        <v>10743</v>
      </c>
      <c r="P1332" s="10">
        <v>43230</v>
      </c>
    </row>
    <row r="1333" spans="1:16" ht="27" customHeight="1" x14ac:dyDescent="0.2">
      <c r="A1333" s="9" t="s">
        <v>4800</v>
      </c>
      <c r="B1333" s="10" t="s">
        <v>4873</v>
      </c>
      <c r="C1333" s="11" t="s">
        <v>4879</v>
      </c>
      <c r="D1333" s="11" t="s">
        <v>4880</v>
      </c>
      <c r="E1333" s="11" t="s">
        <v>26</v>
      </c>
      <c r="F1333" s="11" t="s">
        <v>4881</v>
      </c>
      <c r="G1333" s="11" t="s">
        <v>28</v>
      </c>
      <c r="H1333" s="11" t="s">
        <v>4881</v>
      </c>
      <c r="I1333" s="11" t="s">
        <v>4882</v>
      </c>
      <c r="J1333" s="12">
        <v>0.51570000000000005</v>
      </c>
      <c r="K1333" s="13">
        <v>1</v>
      </c>
      <c r="L1333" s="14">
        <v>1497</v>
      </c>
      <c r="M1333" s="10">
        <v>772</v>
      </c>
      <c r="N1333" s="10">
        <v>165421</v>
      </c>
      <c r="O1333" s="10">
        <v>60539</v>
      </c>
      <c r="P1333" s="10">
        <v>225960</v>
      </c>
    </row>
    <row r="1334" spans="1:16" ht="27" customHeight="1" x14ac:dyDescent="0.2">
      <c r="A1334" s="9" t="s">
        <v>4800</v>
      </c>
      <c r="B1334" s="10" t="s">
        <v>4873</v>
      </c>
      <c r="C1334" s="11" t="s">
        <v>4883</v>
      </c>
      <c r="D1334" s="11" t="s">
        <v>4884</v>
      </c>
      <c r="E1334" s="11" t="s">
        <v>57</v>
      </c>
      <c r="F1334" s="11" t="s">
        <v>4885</v>
      </c>
      <c r="G1334" s="11" t="s">
        <v>28</v>
      </c>
      <c r="H1334" s="11" t="s">
        <v>4885</v>
      </c>
      <c r="I1334" s="11" t="s">
        <v>4886</v>
      </c>
      <c r="J1334" s="12">
        <v>0.68700000000000006</v>
      </c>
      <c r="K1334" s="13">
        <v>1</v>
      </c>
      <c r="L1334" s="14">
        <v>131</v>
      </c>
      <c r="M1334" s="10">
        <v>90</v>
      </c>
      <c r="N1334" s="10">
        <v>14476</v>
      </c>
      <c r="O1334" s="10">
        <v>7058</v>
      </c>
      <c r="P1334" s="10">
        <v>21534</v>
      </c>
    </row>
    <row r="1335" spans="1:16" ht="27" customHeight="1" x14ac:dyDescent="0.2">
      <c r="A1335" s="9" t="s">
        <v>4800</v>
      </c>
      <c r="B1335" s="10" t="s">
        <v>4873</v>
      </c>
      <c r="C1335" s="11" t="s">
        <v>4887</v>
      </c>
      <c r="D1335" s="11" t="s">
        <v>4888</v>
      </c>
      <c r="E1335" s="11" t="s">
        <v>26</v>
      </c>
      <c r="F1335" s="11" t="s">
        <v>4889</v>
      </c>
      <c r="G1335" s="11" t="s">
        <v>28</v>
      </c>
      <c r="H1335" s="11" t="s">
        <v>4889</v>
      </c>
      <c r="I1335" s="11" t="s">
        <v>4890</v>
      </c>
      <c r="J1335" s="12">
        <v>0.38119999999999998</v>
      </c>
      <c r="K1335" s="13">
        <v>1</v>
      </c>
      <c r="L1335" s="14">
        <v>3048</v>
      </c>
      <c r="M1335" s="10">
        <v>1162</v>
      </c>
      <c r="N1335" s="10">
        <v>336809</v>
      </c>
      <c r="O1335" s="10">
        <v>91123</v>
      </c>
      <c r="P1335" s="10">
        <v>427932</v>
      </c>
    </row>
    <row r="1336" spans="1:16" ht="27" customHeight="1" x14ac:dyDescent="0.2">
      <c r="A1336" s="9" t="s">
        <v>4800</v>
      </c>
      <c r="B1336" s="10" t="s">
        <v>4873</v>
      </c>
      <c r="C1336" s="11" t="s">
        <v>4891</v>
      </c>
      <c r="D1336" s="11" t="s">
        <v>4892</v>
      </c>
      <c r="E1336" s="11" t="s">
        <v>26</v>
      </c>
      <c r="F1336" s="11" t="s">
        <v>4893</v>
      </c>
      <c r="G1336" s="11" t="s">
        <v>28</v>
      </c>
      <c r="H1336" s="11" t="s">
        <v>4893</v>
      </c>
      <c r="I1336" s="11" t="s">
        <v>4894</v>
      </c>
      <c r="J1336" s="12">
        <v>0.76859999999999995</v>
      </c>
      <c r="K1336" s="13">
        <v>1</v>
      </c>
      <c r="L1336" s="14">
        <v>631</v>
      </c>
      <c r="M1336" s="10">
        <v>485</v>
      </c>
      <c r="N1336" s="10">
        <v>69727</v>
      </c>
      <c r="O1336" s="10">
        <v>38033</v>
      </c>
      <c r="P1336" s="10">
        <v>107760</v>
      </c>
    </row>
    <row r="1337" spans="1:16" ht="27" customHeight="1" x14ac:dyDescent="0.2">
      <c r="A1337" s="9" t="s">
        <v>4800</v>
      </c>
      <c r="B1337" s="10" t="s">
        <v>4873</v>
      </c>
      <c r="C1337" s="11" t="s">
        <v>4895</v>
      </c>
      <c r="D1337" s="11" t="s">
        <v>4896</v>
      </c>
      <c r="E1337" s="11" t="s">
        <v>26</v>
      </c>
      <c r="F1337" s="11" t="s">
        <v>4897</v>
      </c>
      <c r="G1337" s="11" t="s">
        <v>28</v>
      </c>
      <c r="H1337" s="11" t="s">
        <v>4897</v>
      </c>
      <c r="I1337" s="11" t="s">
        <v>4898</v>
      </c>
      <c r="J1337" s="12">
        <v>0.49719999999999998</v>
      </c>
      <c r="K1337" s="13">
        <v>1</v>
      </c>
      <c r="L1337" s="14">
        <v>545</v>
      </c>
      <c r="M1337" s="10">
        <v>271</v>
      </c>
      <c r="N1337" s="10">
        <v>60223</v>
      </c>
      <c r="O1337" s="10">
        <v>21252</v>
      </c>
      <c r="P1337" s="10">
        <v>81475</v>
      </c>
    </row>
    <row r="1338" spans="1:16" ht="27" customHeight="1" x14ac:dyDescent="0.2">
      <c r="A1338" s="9" t="s">
        <v>4800</v>
      </c>
      <c r="B1338" s="10" t="s">
        <v>4899</v>
      </c>
      <c r="C1338" s="11" t="s">
        <v>18</v>
      </c>
      <c r="D1338" s="11" t="s">
        <v>19</v>
      </c>
      <c r="E1338" s="11" t="s">
        <v>19</v>
      </c>
      <c r="F1338" s="11" t="s">
        <v>4900</v>
      </c>
      <c r="G1338" s="11" t="s">
        <v>83</v>
      </c>
      <c r="H1338" s="11" t="s">
        <v>4901</v>
      </c>
      <c r="I1338" s="11" t="s">
        <v>4902</v>
      </c>
      <c r="J1338" s="12">
        <v>0.80159999999999998</v>
      </c>
      <c r="K1338" s="13">
        <v>18</v>
      </c>
      <c r="L1338" s="14">
        <v>7464</v>
      </c>
      <c r="M1338" s="10">
        <v>4914</v>
      </c>
      <c r="N1338" s="10">
        <v>824786</v>
      </c>
      <c r="O1338" s="10">
        <v>385349</v>
      </c>
      <c r="P1338" s="10">
        <v>1210135</v>
      </c>
    </row>
    <row r="1339" spans="1:16" ht="27" customHeight="1" x14ac:dyDescent="0.2">
      <c r="A1339" s="9" t="s">
        <v>4800</v>
      </c>
      <c r="B1339" s="10" t="s">
        <v>4903</v>
      </c>
      <c r="C1339" s="11" t="s">
        <v>18</v>
      </c>
      <c r="D1339" s="11" t="s">
        <v>19</v>
      </c>
      <c r="E1339" s="11" t="s">
        <v>19</v>
      </c>
      <c r="F1339" s="11" t="s">
        <v>3014</v>
      </c>
      <c r="G1339" s="11" t="s">
        <v>83</v>
      </c>
      <c r="H1339" s="11" t="s">
        <v>3014</v>
      </c>
      <c r="I1339" s="11" t="s">
        <v>4904</v>
      </c>
      <c r="J1339" s="12">
        <v>0.63129999999999997</v>
      </c>
      <c r="K1339" s="13">
        <v>6</v>
      </c>
      <c r="L1339" s="14">
        <v>3046</v>
      </c>
      <c r="M1339" s="10">
        <v>1546</v>
      </c>
      <c r="N1339" s="10">
        <v>336587</v>
      </c>
      <c r="O1339" s="10">
        <v>121237</v>
      </c>
      <c r="P1339" s="10">
        <v>457824</v>
      </c>
    </row>
    <row r="1340" spans="1:16" ht="27" customHeight="1" x14ac:dyDescent="0.2">
      <c r="A1340" s="9" t="s">
        <v>4800</v>
      </c>
      <c r="B1340" s="10" t="s">
        <v>4905</v>
      </c>
      <c r="C1340" s="11" t="s">
        <v>18</v>
      </c>
      <c r="D1340" s="11" t="s">
        <v>19</v>
      </c>
      <c r="E1340" s="11" t="s">
        <v>19</v>
      </c>
      <c r="F1340" s="11" t="s">
        <v>4906</v>
      </c>
      <c r="G1340" s="11" t="s">
        <v>83</v>
      </c>
      <c r="H1340" s="11" t="s">
        <v>4906</v>
      </c>
      <c r="I1340" s="11" t="s">
        <v>4907</v>
      </c>
      <c r="J1340" s="12">
        <v>0.3871</v>
      </c>
      <c r="K1340" s="13">
        <v>2</v>
      </c>
      <c r="L1340" s="14">
        <v>93</v>
      </c>
      <c r="M1340" s="10">
        <v>36</v>
      </c>
      <c r="N1340" s="10">
        <v>10277</v>
      </c>
      <c r="O1340" s="10">
        <v>2823</v>
      </c>
      <c r="P1340" s="10">
        <v>13100</v>
      </c>
    </row>
    <row r="1341" spans="1:16" ht="27" customHeight="1" x14ac:dyDescent="0.2">
      <c r="A1341" s="9" t="s">
        <v>4800</v>
      </c>
      <c r="B1341" s="10" t="s">
        <v>4908</v>
      </c>
      <c r="C1341" s="11" t="s">
        <v>18</v>
      </c>
      <c r="D1341" s="11" t="s">
        <v>19</v>
      </c>
      <c r="E1341" s="11" t="s">
        <v>19</v>
      </c>
      <c r="F1341" s="11" t="s">
        <v>4909</v>
      </c>
      <c r="G1341" s="11" t="s">
        <v>83</v>
      </c>
      <c r="H1341" s="11" t="s">
        <v>4910</v>
      </c>
      <c r="I1341" s="11" t="s">
        <v>4911</v>
      </c>
      <c r="J1341" s="12">
        <v>0.85</v>
      </c>
      <c r="K1341" s="13">
        <v>8</v>
      </c>
      <c r="L1341" s="14">
        <v>955</v>
      </c>
      <c r="M1341" s="10">
        <v>754</v>
      </c>
      <c r="N1341" s="10">
        <v>105529</v>
      </c>
      <c r="O1341" s="10">
        <v>59128</v>
      </c>
      <c r="P1341" s="10">
        <v>164657</v>
      </c>
    </row>
    <row r="1342" spans="1:16" ht="27" customHeight="1" x14ac:dyDescent="0.2">
      <c r="A1342" s="9" t="s">
        <v>4800</v>
      </c>
      <c r="B1342" s="10" t="s">
        <v>4912</v>
      </c>
      <c r="C1342" s="11" t="s">
        <v>18</v>
      </c>
      <c r="D1342" s="11" t="s">
        <v>19</v>
      </c>
      <c r="E1342" s="11" t="s">
        <v>19</v>
      </c>
      <c r="F1342" s="11" t="s">
        <v>4913</v>
      </c>
      <c r="G1342" s="11" t="s">
        <v>83</v>
      </c>
      <c r="H1342" s="11" t="s">
        <v>4914</v>
      </c>
      <c r="I1342" s="11" t="s">
        <v>4915</v>
      </c>
      <c r="J1342" s="12">
        <v>0.93520000000000003</v>
      </c>
      <c r="K1342" s="13">
        <v>34</v>
      </c>
      <c r="L1342" s="14">
        <v>19266</v>
      </c>
      <c r="M1342" s="10">
        <v>16297</v>
      </c>
      <c r="N1342" s="10">
        <v>2128923</v>
      </c>
      <c r="O1342" s="10">
        <v>1277995</v>
      </c>
      <c r="P1342" s="10">
        <v>3406918</v>
      </c>
    </row>
    <row r="1343" spans="1:16" ht="27" customHeight="1" x14ac:dyDescent="0.2">
      <c r="A1343" s="9" t="s">
        <v>4800</v>
      </c>
      <c r="B1343" s="10" t="s">
        <v>4916</v>
      </c>
      <c r="C1343" s="11" t="s">
        <v>18</v>
      </c>
      <c r="D1343" s="11" t="s">
        <v>19</v>
      </c>
      <c r="E1343" s="11" t="s">
        <v>19</v>
      </c>
      <c r="F1343" s="11" t="s">
        <v>4917</v>
      </c>
      <c r="G1343" s="11" t="s">
        <v>83</v>
      </c>
      <c r="H1343" s="11" t="s">
        <v>4918</v>
      </c>
      <c r="I1343" s="11" t="s">
        <v>4919</v>
      </c>
      <c r="J1343" s="12">
        <v>0.91490000000000005</v>
      </c>
      <c r="K1343" s="13">
        <v>2</v>
      </c>
      <c r="L1343" s="14">
        <v>94</v>
      </c>
      <c r="M1343" s="10">
        <v>86</v>
      </c>
      <c r="N1343" s="10">
        <v>10387</v>
      </c>
      <c r="O1343" s="10">
        <v>6744</v>
      </c>
      <c r="P1343" s="10">
        <v>17131</v>
      </c>
    </row>
    <row r="1344" spans="1:16" ht="27" customHeight="1" x14ac:dyDescent="0.2">
      <c r="A1344" s="9" t="s">
        <v>4800</v>
      </c>
      <c r="B1344" s="10" t="s">
        <v>4916</v>
      </c>
      <c r="C1344" s="11" t="s">
        <v>4920</v>
      </c>
      <c r="D1344" s="11" t="s">
        <v>4921</v>
      </c>
      <c r="E1344" s="11" t="s">
        <v>26</v>
      </c>
      <c r="F1344" s="11" t="s">
        <v>4922</v>
      </c>
      <c r="G1344" s="11" t="s">
        <v>28</v>
      </c>
      <c r="H1344" s="11" t="s">
        <v>4922</v>
      </c>
      <c r="I1344" s="11" t="s">
        <v>4923</v>
      </c>
      <c r="J1344" s="12">
        <v>0.80820000000000003</v>
      </c>
      <c r="K1344" s="13">
        <v>1</v>
      </c>
      <c r="L1344" s="14">
        <v>2508</v>
      </c>
      <c r="M1344" s="10">
        <v>2027</v>
      </c>
      <c r="N1344" s="10">
        <v>277138</v>
      </c>
      <c r="O1344" s="10">
        <v>158955</v>
      </c>
      <c r="P1344" s="10">
        <v>436093</v>
      </c>
    </row>
    <row r="1345" spans="1:16" ht="27" customHeight="1" x14ac:dyDescent="0.2">
      <c r="A1345" s="9" t="s">
        <v>4800</v>
      </c>
      <c r="B1345" s="10" t="s">
        <v>4916</v>
      </c>
      <c r="C1345" s="11" t="s">
        <v>4924</v>
      </c>
      <c r="D1345" s="11" t="s">
        <v>4925</v>
      </c>
      <c r="E1345" s="11" t="s">
        <v>26</v>
      </c>
      <c r="F1345" s="11" t="s">
        <v>4926</v>
      </c>
      <c r="G1345" s="11" t="s">
        <v>28</v>
      </c>
      <c r="H1345" s="11" t="s">
        <v>4926</v>
      </c>
      <c r="I1345" s="11" t="s">
        <v>4927</v>
      </c>
      <c r="J1345" s="12">
        <v>0.88319999999999999</v>
      </c>
      <c r="K1345" s="13">
        <v>1</v>
      </c>
      <c r="L1345" s="14">
        <v>214</v>
      </c>
      <c r="M1345" s="10">
        <v>189</v>
      </c>
      <c r="N1345" s="10">
        <v>23647</v>
      </c>
      <c r="O1345" s="10">
        <v>14821</v>
      </c>
      <c r="P1345" s="10">
        <v>38468</v>
      </c>
    </row>
    <row r="1346" spans="1:16" ht="27" customHeight="1" x14ac:dyDescent="0.2">
      <c r="A1346" s="9" t="s">
        <v>4800</v>
      </c>
      <c r="B1346" s="10" t="s">
        <v>4916</v>
      </c>
      <c r="C1346" s="11" t="s">
        <v>4928</v>
      </c>
      <c r="D1346" s="11" t="s">
        <v>4929</v>
      </c>
      <c r="E1346" s="11" t="s">
        <v>26</v>
      </c>
      <c r="F1346" s="11" t="s">
        <v>4930</v>
      </c>
      <c r="G1346" s="11" t="s">
        <v>28</v>
      </c>
      <c r="H1346" s="11" t="s">
        <v>4930</v>
      </c>
      <c r="I1346" s="11" t="s">
        <v>4931</v>
      </c>
      <c r="J1346" s="12">
        <v>0.78320000000000001</v>
      </c>
      <c r="K1346" s="13">
        <v>1</v>
      </c>
      <c r="L1346" s="14">
        <v>655</v>
      </c>
      <c r="M1346" s="10">
        <v>513</v>
      </c>
      <c r="N1346" s="10">
        <v>72379</v>
      </c>
      <c r="O1346" s="10">
        <v>40229</v>
      </c>
      <c r="P1346" s="10">
        <v>112608</v>
      </c>
    </row>
    <row r="1347" spans="1:16" ht="27" customHeight="1" x14ac:dyDescent="0.2">
      <c r="A1347" s="9" t="s">
        <v>4800</v>
      </c>
      <c r="B1347" s="10" t="s">
        <v>4916</v>
      </c>
      <c r="C1347" s="11" t="s">
        <v>4932</v>
      </c>
      <c r="D1347" s="11" t="s">
        <v>4933</v>
      </c>
      <c r="E1347" s="11" t="s">
        <v>26</v>
      </c>
      <c r="F1347" s="11" t="s">
        <v>4934</v>
      </c>
      <c r="G1347" s="11" t="s">
        <v>28</v>
      </c>
      <c r="H1347" s="11" t="s">
        <v>4934</v>
      </c>
      <c r="I1347" s="11" t="s">
        <v>4935</v>
      </c>
      <c r="J1347" s="12">
        <v>0.84060000000000001</v>
      </c>
      <c r="K1347" s="13">
        <v>1</v>
      </c>
      <c r="L1347" s="14">
        <v>734</v>
      </c>
      <c r="M1347" s="10">
        <v>617</v>
      </c>
      <c r="N1347" s="10">
        <v>81108</v>
      </c>
      <c r="O1347" s="10">
        <v>48385</v>
      </c>
      <c r="P1347" s="10">
        <v>129493</v>
      </c>
    </row>
    <row r="1348" spans="1:16" ht="27" customHeight="1" x14ac:dyDescent="0.2">
      <c r="A1348" s="9" t="s">
        <v>4800</v>
      </c>
      <c r="B1348" s="10" t="s">
        <v>4916</v>
      </c>
      <c r="C1348" s="11" t="s">
        <v>4936</v>
      </c>
      <c r="D1348" s="11" t="s">
        <v>4937</v>
      </c>
      <c r="E1348" s="11" t="s">
        <v>26</v>
      </c>
      <c r="F1348" s="11" t="s">
        <v>4938</v>
      </c>
      <c r="G1348" s="11" t="s">
        <v>28</v>
      </c>
      <c r="H1348" s="11" t="s">
        <v>4938</v>
      </c>
      <c r="I1348" s="11" t="s">
        <v>4939</v>
      </c>
      <c r="J1348" s="12">
        <v>0.91579999999999995</v>
      </c>
      <c r="K1348" s="13">
        <v>1</v>
      </c>
      <c r="L1348" s="14">
        <v>368</v>
      </c>
      <c r="M1348" s="10">
        <v>337</v>
      </c>
      <c r="N1348" s="10">
        <v>40665</v>
      </c>
      <c r="O1348" s="10">
        <v>26427</v>
      </c>
      <c r="P1348" s="10">
        <v>67092</v>
      </c>
    </row>
    <row r="1349" spans="1:16" ht="27" customHeight="1" x14ac:dyDescent="0.2">
      <c r="A1349" s="9" t="s">
        <v>4800</v>
      </c>
      <c r="B1349" s="10" t="s">
        <v>4916</v>
      </c>
      <c r="C1349" s="11" t="s">
        <v>4940</v>
      </c>
      <c r="D1349" s="11" t="s">
        <v>4941</v>
      </c>
      <c r="E1349" s="11" t="s">
        <v>26</v>
      </c>
      <c r="F1349" s="11" t="s">
        <v>4942</v>
      </c>
      <c r="G1349" s="11" t="s">
        <v>28</v>
      </c>
      <c r="H1349" s="11" t="s">
        <v>4942</v>
      </c>
      <c r="I1349" s="11" t="s">
        <v>4943</v>
      </c>
      <c r="J1349" s="12">
        <v>0.8851</v>
      </c>
      <c r="K1349" s="13">
        <v>1</v>
      </c>
      <c r="L1349" s="14">
        <v>322</v>
      </c>
      <c r="M1349" s="10">
        <v>285</v>
      </c>
      <c r="N1349" s="10">
        <v>35582</v>
      </c>
      <c r="O1349" s="10">
        <v>22349</v>
      </c>
      <c r="P1349" s="10">
        <v>57931</v>
      </c>
    </row>
    <row r="1350" spans="1:16" ht="27" customHeight="1" x14ac:dyDescent="0.2">
      <c r="A1350" s="9" t="s">
        <v>4800</v>
      </c>
      <c r="B1350" s="10" t="s">
        <v>4916</v>
      </c>
      <c r="C1350" s="11" t="s">
        <v>4944</v>
      </c>
      <c r="D1350" s="11" t="s">
        <v>4945</v>
      </c>
      <c r="E1350" s="11" t="s">
        <v>26</v>
      </c>
      <c r="F1350" s="11" t="s">
        <v>4946</v>
      </c>
      <c r="G1350" s="11" t="s">
        <v>28</v>
      </c>
      <c r="H1350" s="11" t="s">
        <v>4946</v>
      </c>
      <c r="I1350" s="11" t="s">
        <v>4947</v>
      </c>
      <c r="J1350" s="12">
        <v>0.81599999999999995</v>
      </c>
      <c r="K1350" s="13">
        <v>1</v>
      </c>
      <c r="L1350" s="14">
        <v>538</v>
      </c>
      <c r="M1350" s="10">
        <v>439</v>
      </c>
      <c r="N1350" s="10">
        <v>59450</v>
      </c>
      <c r="O1350" s="10">
        <v>34426</v>
      </c>
      <c r="P1350" s="10">
        <v>93876</v>
      </c>
    </row>
    <row r="1351" spans="1:16" ht="27" customHeight="1" x14ac:dyDescent="0.2">
      <c r="A1351" s="9" t="s">
        <v>4800</v>
      </c>
      <c r="B1351" s="10" t="s">
        <v>4916</v>
      </c>
      <c r="C1351" s="11" t="s">
        <v>4948</v>
      </c>
      <c r="D1351" s="11" t="s">
        <v>4949</v>
      </c>
      <c r="E1351" s="11" t="s">
        <v>26</v>
      </c>
      <c r="F1351" s="11" t="s">
        <v>4950</v>
      </c>
      <c r="G1351" s="11" t="s">
        <v>28</v>
      </c>
      <c r="H1351" s="11" t="s">
        <v>4950</v>
      </c>
      <c r="I1351" s="11" t="s">
        <v>4951</v>
      </c>
      <c r="J1351" s="12">
        <v>0.8306</v>
      </c>
      <c r="K1351" s="13">
        <v>1</v>
      </c>
      <c r="L1351" s="14">
        <v>183</v>
      </c>
      <c r="M1351" s="10">
        <v>152</v>
      </c>
      <c r="N1351" s="10">
        <v>20222</v>
      </c>
      <c r="O1351" s="10">
        <v>11920</v>
      </c>
      <c r="P1351" s="10">
        <v>32142</v>
      </c>
    </row>
    <row r="1352" spans="1:16" ht="27" customHeight="1" x14ac:dyDescent="0.2">
      <c r="A1352" s="9" t="s">
        <v>4800</v>
      </c>
      <c r="B1352" s="10" t="s">
        <v>4952</v>
      </c>
      <c r="C1352" s="11" t="s">
        <v>18</v>
      </c>
      <c r="D1352" s="11" t="s">
        <v>19</v>
      </c>
      <c r="E1352" s="11" t="s">
        <v>19</v>
      </c>
      <c r="F1352" s="11" t="s">
        <v>4953</v>
      </c>
      <c r="G1352" s="11" t="s">
        <v>83</v>
      </c>
      <c r="H1352" s="11" t="s">
        <v>4954</v>
      </c>
      <c r="I1352" s="11" t="s">
        <v>4955</v>
      </c>
      <c r="J1352" s="12">
        <v>0.91449999999999998</v>
      </c>
      <c r="K1352" s="13">
        <v>26</v>
      </c>
      <c r="L1352" s="14">
        <v>19882</v>
      </c>
      <c r="M1352" s="10">
        <v>13368</v>
      </c>
      <c r="N1352" s="10">
        <v>2196994</v>
      </c>
      <c r="O1352" s="10">
        <v>1048305</v>
      </c>
      <c r="P1352" s="10">
        <v>3245299</v>
      </c>
    </row>
    <row r="1353" spans="1:16" ht="27" customHeight="1" x14ac:dyDescent="0.2">
      <c r="A1353" s="9" t="s">
        <v>4800</v>
      </c>
      <c r="B1353" s="10" t="s">
        <v>4952</v>
      </c>
      <c r="C1353" s="11" t="s">
        <v>4956</v>
      </c>
      <c r="D1353" s="11" t="s">
        <v>4957</v>
      </c>
      <c r="E1353" s="11" t="s">
        <v>26</v>
      </c>
      <c r="F1353" s="11" t="s">
        <v>4958</v>
      </c>
      <c r="G1353" s="11" t="s">
        <v>28</v>
      </c>
      <c r="H1353" s="11" t="s">
        <v>4803</v>
      </c>
      <c r="I1353" s="11" t="s">
        <v>4804</v>
      </c>
      <c r="J1353" s="12">
        <v>0.98809999999999998</v>
      </c>
      <c r="K1353" s="13">
        <v>1</v>
      </c>
      <c r="L1353" s="14">
        <v>246</v>
      </c>
      <c r="M1353" s="10">
        <v>53</v>
      </c>
      <c r="N1353" s="10">
        <v>27183</v>
      </c>
      <c r="O1353" s="10">
        <v>4156</v>
      </c>
      <c r="P1353" s="10">
        <v>31339</v>
      </c>
    </row>
    <row r="1354" spans="1:16" ht="27" customHeight="1" x14ac:dyDescent="0.2">
      <c r="A1354" s="9" t="s">
        <v>4800</v>
      </c>
      <c r="B1354" s="10" t="s">
        <v>4959</v>
      </c>
      <c r="C1354" s="11" t="s">
        <v>18</v>
      </c>
      <c r="D1354" s="11" t="s">
        <v>19</v>
      </c>
      <c r="E1354" s="11" t="s">
        <v>19</v>
      </c>
      <c r="F1354" s="11" t="s">
        <v>4960</v>
      </c>
      <c r="G1354" s="11" t="s">
        <v>83</v>
      </c>
      <c r="H1354" s="11" t="s">
        <v>4961</v>
      </c>
      <c r="I1354" s="11" t="s">
        <v>4962</v>
      </c>
      <c r="J1354" s="12">
        <v>0.89859999999999995</v>
      </c>
      <c r="K1354" s="13">
        <v>31</v>
      </c>
      <c r="L1354" s="14">
        <v>24930</v>
      </c>
      <c r="M1354" s="10">
        <v>20338</v>
      </c>
      <c r="N1354" s="10">
        <v>2754806</v>
      </c>
      <c r="O1354" s="10">
        <v>1594884</v>
      </c>
      <c r="P1354" s="10">
        <v>4349690</v>
      </c>
    </row>
    <row r="1355" spans="1:16" ht="27" customHeight="1" x14ac:dyDescent="0.2">
      <c r="A1355" s="9" t="s">
        <v>4800</v>
      </c>
      <c r="B1355" s="10" t="s">
        <v>4963</v>
      </c>
      <c r="C1355" s="11" t="s">
        <v>18</v>
      </c>
      <c r="D1355" s="11" t="s">
        <v>19</v>
      </c>
      <c r="E1355" s="11" t="s">
        <v>19</v>
      </c>
      <c r="F1355" s="11" t="s">
        <v>4964</v>
      </c>
      <c r="G1355" s="11" t="s">
        <v>83</v>
      </c>
      <c r="H1355" s="11" t="s">
        <v>4965</v>
      </c>
      <c r="I1355" s="11" t="s">
        <v>4966</v>
      </c>
      <c r="J1355" s="12">
        <v>0.66969999999999996</v>
      </c>
      <c r="K1355" s="13">
        <v>8</v>
      </c>
      <c r="L1355" s="14">
        <v>2885</v>
      </c>
      <c r="M1355" s="10">
        <v>1647</v>
      </c>
      <c r="N1355" s="10">
        <v>318797</v>
      </c>
      <c r="O1355" s="10">
        <v>129156</v>
      </c>
      <c r="P1355" s="10">
        <v>447953</v>
      </c>
    </row>
    <row r="1356" spans="1:16" ht="27" customHeight="1" x14ac:dyDescent="0.2">
      <c r="A1356" s="9" t="s">
        <v>4800</v>
      </c>
      <c r="B1356" s="10" t="s">
        <v>4967</v>
      </c>
      <c r="C1356" s="11" t="s">
        <v>18</v>
      </c>
      <c r="D1356" s="11" t="s">
        <v>19</v>
      </c>
      <c r="E1356" s="11" t="s">
        <v>19</v>
      </c>
      <c r="F1356" s="11" t="s">
        <v>4968</v>
      </c>
      <c r="G1356" s="11" t="s">
        <v>83</v>
      </c>
      <c r="H1356" s="11" t="s">
        <v>4969</v>
      </c>
      <c r="I1356" s="11" t="s">
        <v>4970</v>
      </c>
      <c r="J1356" s="12">
        <v>0.95740000000000003</v>
      </c>
      <c r="K1356" s="13">
        <v>77</v>
      </c>
      <c r="L1356" s="14">
        <v>47072</v>
      </c>
      <c r="M1356" s="10">
        <v>41772</v>
      </c>
      <c r="N1356" s="10">
        <v>5201534</v>
      </c>
      <c r="O1356" s="10">
        <v>3275713</v>
      </c>
      <c r="P1356" s="10">
        <v>8477247</v>
      </c>
    </row>
    <row r="1357" spans="1:16" ht="27" customHeight="1" x14ac:dyDescent="0.2">
      <c r="A1357" s="9" t="s">
        <v>4800</v>
      </c>
      <c r="B1357" s="10" t="s">
        <v>4967</v>
      </c>
      <c r="C1357" s="11" t="s">
        <v>4971</v>
      </c>
      <c r="D1357" s="11" t="s">
        <v>4972</v>
      </c>
      <c r="E1357" s="11" t="s">
        <v>26</v>
      </c>
      <c r="F1357" s="11" t="s">
        <v>4973</v>
      </c>
      <c r="G1357" s="11" t="s">
        <v>28</v>
      </c>
      <c r="H1357" s="11" t="s">
        <v>4973</v>
      </c>
      <c r="I1357" s="11" t="s">
        <v>4974</v>
      </c>
      <c r="J1357" s="12">
        <v>0.90910000000000002</v>
      </c>
      <c r="K1357" s="13">
        <v>1</v>
      </c>
      <c r="L1357" s="14">
        <v>319</v>
      </c>
      <c r="M1357" s="10">
        <v>290</v>
      </c>
      <c r="N1357" s="10">
        <v>35250</v>
      </c>
      <c r="O1357" s="10">
        <v>22742</v>
      </c>
      <c r="P1357" s="10">
        <v>57992</v>
      </c>
    </row>
    <row r="1358" spans="1:16" ht="27" customHeight="1" x14ac:dyDescent="0.2">
      <c r="A1358" s="9" t="s">
        <v>4800</v>
      </c>
      <c r="B1358" s="10" t="s">
        <v>4967</v>
      </c>
      <c r="C1358" s="11" t="s">
        <v>4975</v>
      </c>
      <c r="D1358" s="11" t="s">
        <v>4976</v>
      </c>
      <c r="E1358" s="11" t="s">
        <v>26</v>
      </c>
      <c r="F1358" s="11" t="s">
        <v>4977</v>
      </c>
      <c r="G1358" s="11" t="s">
        <v>28</v>
      </c>
      <c r="H1358" s="11" t="s">
        <v>4977</v>
      </c>
      <c r="I1358" s="11" t="s">
        <v>4978</v>
      </c>
      <c r="J1358" s="12">
        <v>0.96879999999999999</v>
      </c>
      <c r="K1358" s="13">
        <v>1</v>
      </c>
      <c r="L1358" s="14">
        <v>385</v>
      </c>
      <c r="M1358" s="10">
        <v>373</v>
      </c>
      <c r="N1358" s="10">
        <v>42543</v>
      </c>
      <c r="O1358" s="10">
        <v>29250</v>
      </c>
      <c r="P1358" s="10">
        <v>71793</v>
      </c>
    </row>
    <row r="1359" spans="1:16" ht="27" customHeight="1" x14ac:dyDescent="0.2">
      <c r="A1359" s="9" t="s">
        <v>4800</v>
      </c>
      <c r="B1359" s="10" t="s">
        <v>4967</v>
      </c>
      <c r="C1359" s="11" t="s">
        <v>4979</v>
      </c>
      <c r="D1359" s="11" t="s">
        <v>4980</v>
      </c>
      <c r="E1359" s="11" t="s">
        <v>26</v>
      </c>
      <c r="F1359" s="11" t="s">
        <v>4981</v>
      </c>
      <c r="G1359" s="11" t="s">
        <v>28</v>
      </c>
      <c r="H1359" s="11" t="s">
        <v>4981</v>
      </c>
      <c r="I1359" s="11" t="s">
        <v>4982</v>
      </c>
      <c r="J1359" s="12">
        <v>0.85609999999999997</v>
      </c>
      <c r="K1359" s="13">
        <v>1</v>
      </c>
      <c r="L1359" s="14">
        <v>431</v>
      </c>
      <c r="M1359" s="10">
        <v>369</v>
      </c>
      <c r="N1359" s="10">
        <v>47626</v>
      </c>
      <c r="O1359" s="10">
        <v>28937</v>
      </c>
      <c r="P1359" s="10">
        <v>76563</v>
      </c>
    </row>
    <row r="1360" spans="1:16" ht="27" customHeight="1" x14ac:dyDescent="0.2">
      <c r="A1360" s="9" t="s">
        <v>4800</v>
      </c>
      <c r="B1360" s="10" t="s">
        <v>4967</v>
      </c>
      <c r="C1360" s="11" t="s">
        <v>4983</v>
      </c>
      <c r="D1360" s="11" t="s">
        <v>4984</v>
      </c>
      <c r="E1360" s="11" t="s">
        <v>26</v>
      </c>
      <c r="F1360" s="11" t="s">
        <v>4985</v>
      </c>
      <c r="G1360" s="11" t="s">
        <v>28</v>
      </c>
      <c r="H1360" s="11" t="s">
        <v>4803</v>
      </c>
      <c r="I1360" s="11" t="s">
        <v>4804</v>
      </c>
      <c r="J1360" s="12">
        <v>0.98809999999999998</v>
      </c>
      <c r="K1360" s="13">
        <v>1</v>
      </c>
      <c r="L1360" s="14">
        <v>363</v>
      </c>
      <c r="M1360" s="10">
        <v>338</v>
      </c>
      <c r="N1360" s="10">
        <v>40112</v>
      </c>
      <c r="O1360" s="10">
        <v>26506</v>
      </c>
      <c r="P1360" s="10">
        <v>66618</v>
      </c>
    </row>
    <row r="1361" spans="1:16" ht="27" customHeight="1" x14ac:dyDescent="0.2">
      <c r="A1361" s="9" t="s">
        <v>4800</v>
      </c>
      <c r="B1361" s="10" t="s">
        <v>4967</v>
      </c>
      <c r="C1361" s="11" t="s">
        <v>4986</v>
      </c>
      <c r="D1361" s="11" t="s">
        <v>4987</v>
      </c>
      <c r="E1361" s="11" t="s">
        <v>26</v>
      </c>
      <c r="F1361" s="11" t="s">
        <v>4988</v>
      </c>
      <c r="G1361" s="11" t="s">
        <v>28</v>
      </c>
      <c r="H1361" s="11" t="s">
        <v>4803</v>
      </c>
      <c r="I1361" s="11" t="s">
        <v>4804</v>
      </c>
      <c r="J1361" s="12">
        <v>0.98809999999999998</v>
      </c>
      <c r="K1361" s="13">
        <v>1</v>
      </c>
      <c r="L1361" s="14">
        <v>910</v>
      </c>
      <c r="M1361" s="10">
        <v>810</v>
      </c>
      <c r="N1361" s="10">
        <v>100557</v>
      </c>
      <c r="O1361" s="10">
        <v>63519</v>
      </c>
      <c r="P1361" s="10">
        <v>164076</v>
      </c>
    </row>
    <row r="1362" spans="1:16" ht="27" customHeight="1" x14ac:dyDescent="0.2">
      <c r="A1362" s="9" t="s">
        <v>4800</v>
      </c>
      <c r="B1362" s="10" t="s">
        <v>4967</v>
      </c>
      <c r="C1362" s="11" t="s">
        <v>4989</v>
      </c>
      <c r="D1362" s="11" t="s">
        <v>4990</v>
      </c>
      <c r="E1362" s="11" t="s">
        <v>26</v>
      </c>
      <c r="F1362" s="11" t="s">
        <v>4991</v>
      </c>
      <c r="G1362" s="11" t="s">
        <v>28</v>
      </c>
      <c r="H1362" s="11" t="s">
        <v>4991</v>
      </c>
      <c r="I1362" s="11" t="s">
        <v>4992</v>
      </c>
      <c r="J1362" s="12">
        <v>0.93169999999999997</v>
      </c>
      <c r="K1362" s="13">
        <v>1</v>
      </c>
      <c r="L1362" s="14">
        <v>454</v>
      </c>
      <c r="M1362" s="10">
        <v>423</v>
      </c>
      <c r="N1362" s="10">
        <v>50168</v>
      </c>
      <c r="O1362" s="10">
        <v>33171</v>
      </c>
      <c r="P1362" s="10">
        <v>83339</v>
      </c>
    </row>
    <row r="1363" spans="1:16" ht="27" customHeight="1" x14ac:dyDescent="0.2">
      <c r="A1363" s="9" t="s">
        <v>4800</v>
      </c>
      <c r="B1363" s="10" t="s">
        <v>4967</v>
      </c>
      <c r="C1363" s="11" t="s">
        <v>4993</v>
      </c>
      <c r="D1363" s="11" t="s">
        <v>4994</v>
      </c>
      <c r="E1363" s="11" t="s">
        <v>26</v>
      </c>
      <c r="F1363" s="11" t="s">
        <v>4995</v>
      </c>
      <c r="G1363" s="11" t="s">
        <v>28</v>
      </c>
      <c r="H1363" s="11" t="s">
        <v>4995</v>
      </c>
      <c r="I1363" s="11" t="s">
        <v>4996</v>
      </c>
      <c r="J1363" s="12">
        <v>0.86750000000000005</v>
      </c>
      <c r="K1363" s="13">
        <v>1</v>
      </c>
      <c r="L1363" s="14">
        <v>317</v>
      </c>
      <c r="M1363" s="10">
        <v>275</v>
      </c>
      <c r="N1363" s="10">
        <v>35029</v>
      </c>
      <c r="O1363" s="10">
        <v>21565</v>
      </c>
      <c r="P1363" s="10">
        <v>56594</v>
      </c>
    </row>
    <row r="1364" spans="1:16" ht="27" customHeight="1" x14ac:dyDescent="0.2">
      <c r="A1364" s="9" t="s">
        <v>4800</v>
      </c>
      <c r="B1364" s="10" t="s">
        <v>4967</v>
      </c>
      <c r="C1364" s="11" t="s">
        <v>4997</v>
      </c>
      <c r="D1364" s="11" t="s">
        <v>4998</v>
      </c>
      <c r="E1364" s="11" t="s">
        <v>26</v>
      </c>
      <c r="F1364" s="11" t="s">
        <v>4803</v>
      </c>
      <c r="G1364" s="11" t="s">
        <v>28</v>
      </c>
      <c r="H1364" s="11" t="s">
        <v>4803</v>
      </c>
      <c r="I1364" s="11" t="s">
        <v>4804</v>
      </c>
      <c r="J1364" s="12">
        <v>0.98809999999999998</v>
      </c>
      <c r="K1364" s="13">
        <v>1</v>
      </c>
      <c r="L1364" s="14">
        <v>84</v>
      </c>
      <c r="M1364" s="10">
        <v>83</v>
      </c>
      <c r="N1364" s="10">
        <v>9282</v>
      </c>
      <c r="O1364" s="10">
        <v>6509</v>
      </c>
      <c r="P1364" s="10">
        <v>15791</v>
      </c>
    </row>
    <row r="1365" spans="1:16" ht="27" customHeight="1" x14ac:dyDescent="0.2">
      <c r="A1365" s="9" t="s">
        <v>4800</v>
      </c>
      <c r="B1365" s="10" t="s">
        <v>4967</v>
      </c>
      <c r="C1365" s="11" t="s">
        <v>4999</v>
      </c>
      <c r="D1365" s="11" t="s">
        <v>5000</v>
      </c>
      <c r="E1365" s="11" t="s">
        <v>26</v>
      </c>
      <c r="F1365" s="11" t="s">
        <v>5001</v>
      </c>
      <c r="G1365" s="11" t="s">
        <v>28</v>
      </c>
      <c r="H1365" s="11" t="s">
        <v>5001</v>
      </c>
      <c r="I1365" s="11" t="s">
        <v>5002</v>
      </c>
      <c r="J1365" s="12">
        <v>0.85709999999999997</v>
      </c>
      <c r="K1365" s="13">
        <v>1</v>
      </c>
      <c r="L1365" s="14">
        <v>168</v>
      </c>
      <c r="M1365" s="10">
        <v>144</v>
      </c>
      <c r="N1365" s="10">
        <v>18564</v>
      </c>
      <c r="O1365" s="10">
        <v>11292</v>
      </c>
      <c r="P1365" s="10">
        <v>29856</v>
      </c>
    </row>
    <row r="1366" spans="1:16" ht="27" customHeight="1" x14ac:dyDescent="0.2">
      <c r="A1366" s="9" t="s">
        <v>4800</v>
      </c>
      <c r="B1366" s="10" t="s">
        <v>4967</v>
      </c>
      <c r="C1366" s="11" t="s">
        <v>5003</v>
      </c>
      <c r="D1366" s="11" t="s">
        <v>5004</v>
      </c>
      <c r="E1366" s="11" t="s">
        <v>26</v>
      </c>
      <c r="F1366" s="11" t="s">
        <v>5005</v>
      </c>
      <c r="G1366" s="11" t="s">
        <v>28</v>
      </c>
      <c r="H1366" s="11" t="s">
        <v>4803</v>
      </c>
      <c r="I1366" s="11" t="s">
        <v>4804</v>
      </c>
      <c r="J1366" s="12">
        <v>0.98809999999999998</v>
      </c>
      <c r="K1366" s="13">
        <v>1</v>
      </c>
      <c r="L1366" s="14">
        <v>579</v>
      </c>
      <c r="M1366" s="10">
        <v>458</v>
      </c>
      <c r="N1366" s="10">
        <v>63980</v>
      </c>
      <c r="O1366" s="10">
        <v>35916</v>
      </c>
      <c r="P1366" s="10">
        <v>99896</v>
      </c>
    </row>
    <row r="1367" spans="1:16" ht="27" customHeight="1" x14ac:dyDescent="0.2">
      <c r="A1367" s="9" t="s">
        <v>4800</v>
      </c>
      <c r="B1367" s="10" t="s">
        <v>4967</v>
      </c>
      <c r="C1367" s="11" t="s">
        <v>5006</v>
      </c>
      <c r="D1367" s="11" t="s">
        <v>5007</v>
      </c>
      <c r="E1367" s="11" t="s">
        <v>26</v>
      </c>
      <c r="F1367" s="11" t="s">
        <v>5008</v>
      </c>
      <c r="G1367" s="11" t="s">
        <v>28</v>
      </c>
      <c r="H1367" s="11" t="s">
        <v>5008</v>
      </c>
      <c r="I1367" s="11" t="s">
        <v>5009</v>
      </c>
      <c r="J1367" s="12">
        <v>0.77249999999999996</v>
      </c>
      <c r="K1367" s="13">
        <v>1</v>
      </c>
      <c r="L1367" s="14">
        <v>212</v>
      </c>
      <c r="M1367" s="10">
        <v>164</v>
      </c>
      <c r="N1367" s="10">
        <v>23426</v>
      </c>
      <c r="O1367" s="10">
        <v>12861</v>
      </c>
      <c r="P1367" s="10">
        <v>36287</v>
      </c>
    </row>
    <row r="1368" spans="1:16" ht="27" customHeight="1" x14ac:dyDescent="0.2">
      <c r="A1368" s="9" t="s">
        <v>4800</v>
      </c>
      <c r="B1368" s="10" t="s">
        <v>4967</v>
      </c>
      <c r="C1368" s="11" t="s">
        <v>5010</v>
      </c>
      <c r="D1368" s="11" t="s">
        <v>5011</v>
      </c>
      <c r="E1368" s="11" t="s">
        <v>26</v>
      </c>
      <c r="F1368" s="11" t="s">
        <v>5012</v>
      </c>
      <c r="G1368" s="11" t="s">
        <v>28</v>
      </c>
      <c r="H1368" s="11" t="s">
        <v>5012</v>
      </c>
      <c r="I1368" s="11" t="s">
        <v>5013</v>
      </c>
      <c r="J1368" s="12">
        <v>0.80579999999999996</v>
      </c>
      <c r="K1368" s="13">
        <v>1</v>
      </c>
      <c r="L1368" s="14">
        <v>242</v>
      </c>
      <c r="M1368" s="10">
        <v>195</v>
      </c>
      <c r="N1368" s="10">
        <v>26741</v>
      </c>
      <c r="O1368" s="10">
        <v>15292</v>
      </c>
      <c r="P1368" s="10">
        <v>42033</v>
      </c>
    </row>
    <row r="1369" spans="1:16" ht="27" customHeight="1" x14ac:dyDescent="0.2">
      <c r="A1369" s="9" t="s">
        <v>4800</v>
      </c>
      <c r="B1369" s="10" t="s">
        <v>5014</v>
      </c>
      <c r="C1369" s="11" t="s">
        <v>18</v>
      </c>
      <c r="D1369" s="11" t="s">
        <v>19</v>
      </c>
      <c r="E1369" s="11" t="s">
        <v>19</v>
      </c>
      <c r="F1369" s="11" t="s">
        <v>5015</v>
      </c>
      <c r="G1369" s="11" t="s">
        <v>83</v>
      </c>
      <c r="H1369" s="11" t="s">
        <v>5016</v>
      </c>
      <c r="I1369" s="11" t="s">
        <v>5017</v>
      </c>
      <c r="J1369" s="12">
        <v>0.70989999999999998</v>
      </c>
      <c r="K1369" s="13">
        <v>3</v>
      </c>
      <c r="L1369" s="14">
        <v>248</v>
      </c>
      <c r="M1369" s="10">
        <v>182</v>
      </c>
      <c r="N1369" s="10">
        <v>27404</v>
      </c>
      <c r="O1369" s="10">
        <v>14272</v>
      </c>
      <c r="P1369" s="10">
        <v>41676</v>
      </c>
    </row>
    <row r="1370" spans="1:16" ht="27" customHeight="1" x14ac:dyDescent="0.2">
      <c r="A1370" s="9" t="s">
        <v>4800</v>
      </c>
      <c r="B1370" s="10" t="s">
        <v>5018</v>
      </c>
      <c r="C1370" s="11" t="s">
        <v>18</v>
      </c>
      <c r="D1370" s="11" t="s">
        <v>19</v>
      </c>
      <c r="E1370" s="11" t="s">
        <v>19</v>
      </c>
      <c r="F1370" s="11" t="s">
        <v>5019</v>
      </c>
      <c r="G1370" s="11" t="s">
        <v>83</v>
      </c>
      <c r="H1370" s="11" t="s">
        <v>5020</v>
      </c>
      <c r="I1370" s="11" t="s">
        <v>5021</v>
      </c>
      <c r="J1370" s="12">
        <v>0.96799999999999997</v>
      </c>
      <c r="K1370" s="13">
        <v>18</v>
      </c>
      <c r="L1370" s="14">
        <v>11961</v>
      </c>
      <c r="M1370" s="10">
        <v>10201</v>
      </c>
      <c r="N1370" s="10">
        <v>1321710</v>
      </c>
      <c r="O1370" s="10">
        <v>799952</v>
      </c>
      <c r="P1370" s="10">
        <v>2121662</v>
      </c>
    </row>
    <row r="1371" spans="1:16" ht="27" customHeight="1" x14ac:dyDescent="0.2">
      <c r="A1371" s="9" t="s">
        <v>4800</v>
      </c>
      <c r="B1371" s="10" t="s">
        <v>5018</v>
      </c>
      <c r="C1371" s="11" t="s">
        <v>5022</v>
      </c>
      <c r="D1371" s="11" t="s">
        <v>5023</v>
      </c>
      <c r="E1371" s="11" t="s">
        <v>57</v>
      </c>
      <c r="F1371" s="11" t="s">
        <v>5024</v>
      </c>
      <c r="G1371" s="11" t="s">
        <v>28</v>
      </c>
      <c r="H1371" s="11" t="s">
        <v>5024</v>
      </c>
      <c r="I1371" s="11" t="s">
        <v>5025</v>
      </c>
      <c r="J1371" s="12">
        <v>0.74570000000000003</v>
      </c>
      <c r="K1371" s="13">
        <v>1</v>
      </c>
      <c r="L1371" s="14">
        <v>232</v>
      </c>
      <c r="M1371" s="10">
        <v>173</v>
      </c>
      <c r="N1371" s="10">
        <v>25636</v>
      </c>
      <c r="O1371" s="10">
        <v>13566</v>
      </c>
      <c r="P1371" s="10">
        <v>39202</v>
      </c>
    </row>
    <row r="1372" spans="1:16" ht="27" customHeight="1" x14ac:dyDescent="0.2">
      <c r="A1372" s="9" t="s">
        <v>4800</v>
      </c>
      <c r="B1372" s="10" t="s">
        <v>5018</v>
      </c>
      <c r="C1372" s="11" t="s">
        <v>5026</v>
      </c>
      <c r="D1372" s="11" t="s">
        <v>5027</v>
      </c>
      <c r="E1372" s="11" t="s">
        <v>57</v>
      </c>
      <c r="F1372" s="11" t="s">
        <v>5028</v>
      </c>
      <c r="G1372" s="11" t="s">
        <v>28</v>
      </c>
      <c r="H1372" s="11" t="s">
        <v>5028</v>
      </c>
      <c r="I1372" s="11" t="s">
        <v>5029</v>
      </c>
      <c r="J1372" s="12">
        <v>0.47299999999999998</v>
      </c>
      <c r="K1372" s="13">
        <v>1</v>
      </c>
      <c r="L1372" s="14">
        <v>222</v>
      </c>
      <c r="M1372" s="10">
        <v>105</v>
      </c>
      <c r="N1372" s="10">
        <v>24531</v>
      </c>
      <c r="O1372" s="10">
        <v>8234</v>
      </c>
      <c r="P1372" s="10">
        <v>32765</v>
      </c>
    </row>
    <row r="1373" spans="1:16" ht="27" customHeight="1" x14ac:dyDescent="0.2">
      <c r="A1373" s="9" t="s">
        <v>4800</v>
      </c>
      <c r="B1373" s="10" t="s">
        <v>5030</v>
      </c>
      <c r="C1373" s="11" t="s">
        <v>18</v>
      </c>
      <c r="D1373" s="11" t="s">
        <v>19</v>
      </c>
      <c r="E1373" s="11" t="s">
        <v>19</v>
      </c>
      <c r="F1373" s="11" t="s">
        <v>5031</v>
      </c>
      <c r="G1373" s="11" t="s">
        <v>83</v>
      </c>
      <c r="H1373" s="11" t="s">
        <v>4803</v>
      </c>
      <c r="I1373" s="11" t="s">
        <v>4804</v>
      </c>
      <c r="J1373" s="12">
        <v>0.98809999999999998</v>
      </c>
      <c r="K1373" s="13">
        <v>12</v>
      </c>
      <c r="L1373" s="14">
        <v>11340</v>
      </c>
      <c r="M1373" s="10">
        <v>7381</v>
      </c>
      <c r="N1373" s="10">
        <v>1253088</v>
      </c>
      <c r="O1373" s="10">
        <v>578811</v>
      </c>
      <c r="P1373" s="10">
        <v>1831899</v>
      </c>
    </row>
    <row r="1374" spans="1:16" ht="27" customHeight="1" x14ac:dyDescent="0.2">
      <c r="A1374" s="9" t="s">
        <v>4800</v>
      </c>
      <c r="B1374" s="10" t="s">
        <v>5030</v>
      </c>
      <c r="C1374" s="11" t="s">
        <v>5032</v>
      </c>
      <c r="D1374" s="11" t="s">
        <v>5033</v>
      </c>
      <c r="E1374" s="11" t="s">
        <v>26</v>
      </c>
      <c r="F1374" s="11" t="s">
        <v>5034</v>
      </c>
      <c r="G1374" s="11" t="s">
        <v>28</v>
      </c>
      <c r="H1374" s="11" t="s">
        <v>4803</v>
      </c>
      <c r="I1374" s="11" t="s">
        <v>4804</v>
      </c>
      <c r="J1374" s="12">
        <v>0.98809999999999998</v>
      </c>
      <c r="K1374" s="13">
        <v>1</v>
      </c>
      <c r="L1374" s="14">
        <v>748</v>
      </c>
      <c r="M1374" s="10">
        <v>665</v>
      </c>
      <c r="N1374" s="10">
        <v>82655</v>
      </c>
      <c r="O1374" s="10">
        <v>52149</v>
      </c>
      <c r="P1374" s="10">
        <v>134804</v>
      </c>
    </row>
    <row r="1375" spans="1:16" ht="27" customHeight="1" x14ac:dyDescent="0.2">
      <c r="A1375" s="9" t="s">
        <v>4800</v>
      </c>
      <c r="B1375" s="10" t="s">
        <v>5035</v>
      </c>
      <c r="C1375" s="11" t="s">
        <v>18</v>
      </c>
      <c r="D1375" s="11" t="s">
        <v>19</v>
      </c>
      <c r="E1375" s="11" t="s">
        <v>19</v>
      </c>
      <c r="F1375" s="11" t="s">
        <v>5036</v>
      </c>
      <c r="G1375" s="11" t="s">
        <v>83</v>
      </c>
      <c r="H1375" s="11" t="s">
        <v>5037</v>
      </c>
      <c r="I1375" s="11" t="s">
        <v>5038</v>
      </c>
      <c r="J1375" s="12">
        <v>0.80600000000000005</v>
      </c>
      <c r="K1375" s="13">
        <v>14</v>
      </c>
      <c r="L1375" s="14">
        <v>7915</v>
      </c>
      <c r="M1375" s="10">
        <v>5048</v>
      </c>
      <c r="N1375" s="10">
        <v>874622</v>
      </c>
      <c r="O1375" s="10">
        <v>395860</v>
      </c>
      <c r="P1375" s="10">
        <v>1270482</v>
      </c>
    </row>
    <row r="1376" spans="1:16" ht="27" customHeight="1" x14ac:dyDescent="0.2">
      <c r="A1376" s="9" t="s">
        <v>4800</v>
      </c>
      <c r="B1376" s="10" t="s">
        <v>5035</v>
      </c>
      <c r="C1376" s="11" t="s">
        <v>5039</v>
      </c>
      <c r="D1376" s="11" t="s">
        <v>5040</v>
      </c>
      <c r="E1376" s="11" t="s">
        <v>26</v>
      </c>
      <c r="F1376" s="11" t="s">
        <v>5041</v>
      </c>
      <c r="G1376" s="11" t="s">
        <v>28</v>
      </c>
      <c r="H1376" s="11" t="s">
        <v>5041</v>
      </c>
      <c r="I1376" s="11" t="s">
        <v>5042</v>
      </c>
      <c r="J1376" s="12">
        <v>0.26829999999999998</v>
      </c>
      <c r="K1376" s="13">
        <v>1</v>
      </c>
      <c r="L1376" s="14">
        <v>984</v>
      </c>
      <c r="M1376" s="10">
        <v>264</v>
      </c>
      <c r="N1376" s="10">
        <v>108734</v>
      </c>
      <c r="O1376" s="10">
        <v>20703</v>
      </c>
      <c r="P1376" s="10">
        <v>129437</v>
      </c>
    </row>
    <row r="1377" spans="1:16" ht="27" customHeight="1" x14ac:dyDescent="0.2">
      <c r="A1377" s="9" t="s">
        <v>4800</v>
      </c>
      <c r="B1377" s="10" t="s">
        <v>5035</v>
      </c>
      <c r="C1377" s="11" t="s">
        <v>5043</v>
      </c>
      <c r="D1377" s="11" t="s">
        <v>5044</v>
      </c>
      <c r="E1377" s="11" t="s">
        <v>57</v>
      </c>
      <c r="F1377" s="11" t="s">
        <v>5045</v>
      </c>
      <c r="G1377" s="11" t="s">
        <v>28</v>
      </c>
      <c r="H1377" s="11" t="s">
        <v>5045</v>
      </c>
      <c r="I1377" s="11" t="s">
        <v>5046</v>
      </c>
      <c r="J1377" s="12">
        <v>0.35010000000000002</v>
      </c>
      <c r="K1377" s="13">
        <v>1</v>
      </c>
      <c r="L1377" s="14">
        <v>697</v>
      </c>
      <c r="M1377" s="10">
        <v>244</v>
      </c>
      <c r="N1377" s="10">
        <v>77020</v>
      </c>
      <c r="O1377" s="10">
        <v>19134</v>
      </c>
      <c r="P1377" s="10">
        <v>96154</v>
      </c>
    </row>
    <row r="1378" spans="1:16" ht="27" customHeight="1" x14ac:dyDescent="0.2">
      <c r="A1378" s="9" t="s">
        <v>4800</v>
      </c>
      <c r="B1378" s="10" t="s">
        <v>5047</v>
      </c>
      <c r="C1378" s="11" t="s">
        <v>18</v>
      </c>
      <c r="D1378" s="11" t="s">
        <v>19</v>
      </c>
      <c r="E1378" s="11" t="s">
        <v>19</v>
      </c>
      <c r="F1378" s="11" t="s">
        <v>5048</v>
      </c>
      <c r="G1378" s="11" t="s">
        <v>83</v>
      </c>
      <c r="H1378" s="11" t="s">
        <v>5049</v>
      </c>
      <c r="I1378" s="11" t="s">
        <v>5050</v>
      </c>
      <c r="J1378" s="12">
        <v>0.67159999999999997</v>
      </c>
      <c r="K1378" s="13">
        <v>4</v>
      </c>
      <c r="L1378" s="14">
        <v>134</v>
      </c>
      <c r="M1378" s="10">
        <v>75</v>
      </c>
      <c r="N1378" s="10">
        <v>14808</v>
      </c>
      <c r="O1378" s="10">
        <v>5882</v>
      </c>
      <c r="P1378" s="10">
        <v>20690</v>
      </c>
    </row>
    <row r="1379" spans="1:16" ht="27" customHeight="1" x14ac:dyDescent="0.2">
      <c r="A1379" s="9" t="s">
        <v>4800</v>
      </c>
      <c r="B1379" s="10" t="s">
        <v>5051</v>
      </c>
      <c r="C1379" s="11" t="s">
        <v>18</v>
      </c>
      <c r="D1379" s="11" t="s">
        <v>19</v>
      </c>
      <c r="E1379" s="11" t="s">
        <v>19</v>
      </c>
      <c r="F1379" s="11" t="s">
        <v>5052</v>
      </c>
      <c r="G1379" s="11" t="s">
        <v>83</v>
      </c>
      <c r="H1379" s="11" t="s">
        <v>5053</v>
      </c>
      <c r="I1379" s="11" t="s">
        <v>5054</v>
      </c>
      <c r="J1379" s="12">
        <v>0.91510000000000002</v>
      </c>
      <c r="K1379" s="13">
        <v>10</v>
      </c>
      <c r="L1379" s="14">
        <v>1965</v>
      </c>
      <c r="M1379" s="10">
        <v>1141</v>
      </c>
      <c r="N1379" s="10">
        <v>217137</v>
      </c>
      <c r="O1379" s="10">
        <v>89477</v>
      </c>
      <c r="P1379" s="10">
        <v>306614</v>
      </c>
    </row>
    <row r="1380" spans="1:16" ht="27" customHeight="1" x14ac:dyDescent="0.2">
      <c r="A1380" s="9" t="s">
        <v>4800</v>
      </c>
      <c r="B1380" s="10" t="s">
        <v>5055</v>
      </c>
      <c r="C1380" s="11" t="s">
        <v>18</v>
      </c>
      <c r="D1380" s="11" t="s">
        <v>19</v>
      </c>
      <c r="E1380" s="11" t="s">
        <v>19</v>
      </c>
      <c r="F1380" s="11" t="s">
        <v>5056</v>
      </c>
      <c r="G1380" s="11" t="s">
        <v>83</v>
      </c>
      <c r="H1380" s="11" t="s">
        <v>5057</v>
      </c>
      <c r="I1380" s="11" t="s">
        <v>5058</v>
      </c>
      <c r="J1380" s="12">
        <v>0.84599999999999997</v>
      </c>
      <c r="K1380" s="13">
        <v>13</v>
      </c>
      <c r="L1380" s="14">
        <v>7962</v>
      </c>
      <c r="M1380" s="10">
        <v>5427</v>
      </c>
      <c r="N1380" s="10">
        <v>879815</v>
      </c>
      <c r="O1380" s="10">
        <v>425580</v>
      </c>
      <c r="P1380" s="10">
        <v>1305395</v>
      </c>
    </row>
    <row r="1381" spans="1:16" ht="27" customHeight="1" x14ac:dyDescent="0.2">
      <c r="A1381" s="9" t="s">
        <v>4800</v>
      </c>
      <c r="B1381" s="10" t="s">
        <v>5059</v>
      </c>
      <c r="C1381" s="11" t="s">
        <v>18</v>
      </c>
      <c r="D1381" s="11" t="s">
        <v>19</v>
      </c>
      <c r="E1381" s="11" t="s">
        <v>19</v>
      </c>
      <c r="F1381" s="11" t="s">
        <v>5060</v>
      </c>
      <c r="G1381" s="11" t="s">
        <v>83</v>
      </c>
      <c r="H1381" s="11" t="s">
        <v>5061</v>
      </c>
      <c r="I1381" s="11" t="s">
        <v>5062</v>
      </c>
      <c r="J1381" s="12">
        <v>0.77790000000000004</v>
      </c>
      <c r="K1381" s="13">
        <v>26</v>
      </c>
      <c r="L1381" s="14">
        <v>23015</v>
      </c>
      <c r="M1381" s="10">
        <v>13360</v>
      </c>
      <c r="N1381" s="10">
        <v>2543194</v>
      </c>
      <c r="O1381" s="10">
        <v>1047679</v>
      </c>
      <c r="P1381" s="10">
        <v>3590873</v>
      </c>
    </row>
    <row r="1382" spans="1:16" ht="27" customHeight="1" x14ac:dyDescent="0.2">
      <c r="A1382" s="9" t="s">
        <v>4800</v>
      </c>
      <c r="B1382" s="10" t="s">
        <v>5059</v>
      </c>
      <c r="C1382" s="11" t="s">
        <v>5063</v>
      </c>
      <c r="D1382" s="11" t="s">
        <v>5064</v>
      </c>
      <c r="E1382" s="11" t="s">
        <v>26</v>
      </c>
      <c r="F1382" s="11" t="s">
        <v>5065</v>
      </c>
      <c r="G1382" s="11" t="s">
        <v>28</v>
      </c>
      <c r="H1382" s="11" t="s">
        <v>4803</v>
      </c>
      <c r="I1382" s="11" t="s">
        <v>4804</v>
      </c>
      <c r="J1382" s="12">
        <v>0.98809999999999998</v>
      </c>
      <c r="K1382" s="13">
        <v>1</v>
      </c>
      <c r="L1382" s="14">
        <v>224</v>
      </c>
      <c r="M1382" s="10">
        <v>183</v>
      </c>
      <c r="N1382" s="10">
        <v>24752</v>
      </c>
      <c r="O1382" s="10">
        <v>14351</v>
      </c>
      <c r="P1382" s="10">
        <v>39103</v>
      </c>
    </row>
    <row r="1383" spans="1:16" ht="27" customHeight="1" x14ac:dyDescent="0.2">
      <c r="A1383" s="9" t="s">
        <v>4800</v>
      </c>
      <c r="B1383" s="10" t="s">
        <v>5059</v>
      </c>
      <c r="C1383" s="11" t="s">
        <v>5066</v>
      </c>
      <c r="D1383" s="11" t="s">
        <v>5067</v>
      </c>
      <c r="E1383" s="11" t="s">
        <v>26</v>
      </c>
      <c r="F1383" s="11" t="s">
        <v>5068</v>
      </c>
      <c r="G1383" s="11" t="s">
        <v>28</v>
      </c>
      <c r="H1383" s="11" t="s">
        <v>5068</v>
      </c>
      <c r="I1383" s="11" t="s">
        <v>5069</v>
      </c>
      <c r="J1383" s="12">
        <v>0.59950000000000003</v>
      </c>
      <c r="K1383" s="13">
        <v>1</v>
      </c>
      <c r="L1383" s="14">
        <v>372</v>
      </c>
      <c r="M1383" s="10">
        <v>223</v>
      </c>
      <c r="N1383" s="10">
        <v>41107</v>
      </c>
      <c r="O1383" s="10">
        <v>17487</v>
      </c>
      <c r="P1383" s="10">
        <v>58594</v>
      </c>
    </row>
    <row r="1384" spans="1:16" ht="27" customHeight="1" x14ac:dyDescent="0.2">
      <c r="A1384" s="9" t="s">
        <v>4800</v>
      </c>
      <c r="B1384" s="10" t="s">
        <v>5059</v>
      </c>
      <c r="C1384" s="11" t="s">
        <v>5070</v>
      </c>
      <c r="D1384" s="11" t="s">
        <v>5071</v>
      </c>
      <c r="E1384" s="11" t="s">
        <v>26</v>
      </c>
      <c r="F1384" s="11" t="s">
        <v>5072</v>
      </c>
      <c r="G1384" s="11" t="s">
        <v>28</v>
      </c>
      <c r="H1384" s="11" t="s">
        <v>4803</v>
      </c>
      <c r="I1384" s="11" t="s">
        <v>4804</v>
      </c>
      <c r="J1384" s="12">
        <v>0.98809999999999998</v>
      </c>
      <c r="K1384" s="13">
        <v>1</v>
      </c>
      <c r="L1384" s="14">
        <v>287</v>
      </c>
      <c r="M1384" s="10">
        <v>215</v>
      </c>
      <c r="N1384" s="10">
        <v>31714</v>
      </c>
      <c r="O1384" s="10">
        <v>16860</v>
      </c>
      <c r="P1384" s="10">
        <v>48574</v>
      </c>
    </row>
    <row r="1385" spans="1:16" ht="27" customHeight="1" x14ac:dyDescent="0.2">
      <c r="A1385" s="9" t="s">
        <v>4800</v>
      </c>
      <c r="B1385" s="10" t="s">
        <v>5059</v>
      </c>
      <c r="C1385" s="11" t="s">
        <v>5073</v>
      </c>
      <c r="D1385" s="11" t="s">
        <v>5074</v>
      </c>
      <c r="E1385" s="11" t="s">
        <v>26</v>
      </c>
      <c r="F1385" s="11" t="s">
        <v>5075</v>
      </c>
      <c r="G1385" s="11" t="s">
        <v>28</v>
      </c>
      <c r="H1385" s="11" t="s">
        <v>4803</v>
      </c>
      <c r="I1385" s="11" t="s">
        <v>4804</v>
      </c>
      <c r="J1385" s="12">
        <v>0.98809999999999998</v>
      </c>
      <c r="K1385" s="13">
        <v>1</v>
      </c>
      <c r="L1385" s="14">
        <v>630</v>
      </c>
      <c r="M1385" s="10">
        <v>326</v>
      </c>
      <c r="N1385" s="10">
        <v>69616</v>
      </c>
      <c r="O1385" s="10">
        <v>25565</v>
      </c>
      <c r="P1385" s="10">
        <v>95181</v>
      </c>
    </row>
    <row r="1386" spans="1:16" ht="27" customHeight="1" x14ac:dyDescent="0.2">
      <c r="A1386" s="9" t="s">
        <v>4800</v>
      </c>
      <c r="B1386" s="10" t="s">
        <v>5059</v>
      </c>
      <c r="C1386" s="11" t="s">
        <v>5076</v>
      </c>
      <c r="D1386" s="11" t="s">
        <v>5077</v>
      </c>
      <c r="E1386" s="11" t="s">
        <v>26</v>
      </c>
      <c r="F1386" s="11" t="s">
        <v>5078</v>
      </c>
      <c r="G1386" s="11" t="s">
        <v>28</v>
      </c>
      <c r="H1386" s="11" t="s">
        <v>5078</v>
      </c>
      <c r="I1386" s="11" t="s">
        <v>5079</v>
      </c>
      <c r="J1386" s="12">
        <v>0.64600000000000002</v>
      </c>
      <c r="K1386" s="13">
        <v>1</v>
      </c>
      <c r="L1386" s="14">
        <v>531</v>
      </c>
      <c r="M1386" s="10">
        <v>343</v>
      </c>
      <c r="N1386" s="10">
        <v>58676</v>
      </c>
      <c r="O1386" s="10">
        <v>26898</v>
      </c>
      <c r="P1386" s="10">
        <v>85574</v>
      </c>
    </row>
    <row r="1387" spans="1:16" ht="27" customHeight="1" x14ac:dyDescent="0.2">
      <c r="A1387" s="9" t="s">
        <v>4800</v>
      </c>
      <c r="B1387" s="10" t="s">
        <v>5080</v>
      </c>
      <c r="C1387" s="11" t="s">
        <v>18</v>
      </c>
      <c r="D1387" s="11" t="s">
        <v>19</v>
      </c>
      <c r="E1387" s="11" t="s">
        <v>19</v>
      </c>
      <c r="F1387" s="11" t="s">
        <v>5081</v>
      </c>
      <c r="G1387" s="11" t="s">
        <v>83</v>
      </c>
      <c r="H1387" s="11" t="s">
        <v>5082</v>
      </c>
      <c r="I1387" s="11" t="s">
        <v>5083</v>
      </c>
      <c r="J1387" s="12">
        <v>0.91279999999999994</v>
      </c>
      <c r="K1387" s="13">
        <v>5</v>
      </c>
      <c r="L1387" s="14">
        <v>1029</v>
      </c>
      <c r="M1387" s="10">
        <v>934</v>
      </c>
      <c r="N1387" s="10">
        <v>113707</v>
      </c>
      <c r="O1387" s="10">
        <v>73244</v>
      </c>
      <c r="P1387" s="10">
        <v>186951</v>
      </c>
    </row>
    <row r="1388" spans="1:16" ht="27" customHeight="1" x14ac:dyDescent="0.2">
      <c r="A1388" s="9" t="s">
        <v>4800</v>
      </c>
      <c r="B1388" s="10" t="s">
        <v>5080</v>
      </c>
      <c r="C1388" s="11" t="s">
        <v>5084</v>
      </c>
      <c r="D1388" s="11" t="s">
        <v>5085</v>
      </c>
      <c r="E1388" s="11" t="s">
        <v>26</v>
      </c>
      <c r="F1388" s="11" t="s">
        <v>5086</v>
      </c>
      <c r="G1388" s="11" t="s">
        <v>28</v>
      </c>
      <c r="H1388" s="11" t="s">
        <v>5086</v>
      </c>
      <c r="I1388" s="11" t="s">
        <v>5087</v>
      </c>
      <c r="J1388" s="12">
        <v>0.34889999999999999</v>
      </c>
      <c r="K1388" s="13">
        <v>1</v>
      </c>
      <c r="L1388" s="14">
        <v>2138</v>
      </c>
      <c r="M1388" s="10">
        <v>746</v>
      </c>
      <c r="N1388" s="10">
        <v>236253</v>
      </c>
      <c r="O1388" s="10">
        <v>58501</v>
      </c>
      <c r="P1388" s="10">
        <v>294754</v>
      </c>
    </row>
    <row r="1389" spans="1:16" ht="27" customHeight="1" x14ac:dyDescent="0.2">
      <c r="A1389" s="9" t="s">
        <v>4800</v>
      </c>
      <c r="B1389" s="10" t="s">
        <v>5080</v>
      </c>
      <c r="C1389" s="11" t="s">
        <v>5088</v>
      </c>
      <c r="D1389" s="11" t="s">
        <v>5089</v>
      </c>
      <c r="E1389" s="11" t="s">
        <v>26</v>
      </c>
      <c r="F1389" s="11" t="s">
        <v>5090</v>
      </c>
      <c r="G1389" s="11" t="s">
        <v>28</v>
      </c>
      <c r="H1389" s="11" t="s">
        <v>4803</v>
      </c>
      <c r="I1389" s="11" t="s">
        <v>4804</v>
      </c>
      <c r="J1389" s="12">
        <v>0.98809999999999998</v>
      </c>
      <c r="K1389" s="13">
        <v>1</v>
      </c>
      <c r="L1389" s="14">
        <v>2023</v>
      </c>
      <c r="M1389" s="10">
        <v>1763</v>
      </c>
      <c r="N1389" s="10">
        <v>223545</v>
      </c>
      <c r="O1389" s="10">
        <v>138253</v>
      </c>
      <c r="P1389" s="10">
        <v>361798</v>
      </c>
    </row>
    <row r="1390" spans="1:16" ht="27" customHeight="1" x14ac:dyDescent="0.2">
      <c r="A1390" s="9" t="s">
        <v>4800</v>
      </c>
      <c r="B1390" s="10" t="s">
        <v>5080</v>
      </c>
      <c r="C1390" s="11" t="s">
        <v>5091</v>
      </c>
      <c r="D1390" s="11" t="s">
        <v>5092</v>
      </c>
      <c r="E1390" s="11" t="s">
        <v>26</v>
      </c>
      <c r="F1390" s="11" t="s">
        <v>5093</v>
      </c>
      <c r="G1390" s="11" t="s">
        <v>28</v>
      </c>
      <c r="H1390" s="11" t="s">
        <v>5093</v>
      </c>
      <c r="I1390" s="11" t="s">
        <v>5094</v>
      </c>
      <c r="J1390" s="12">
        <v>0.51229999999999998</v>
      </c>
      <c r="K1390" s="13">
        <v>1</v>
      </c>
      <c r="L1390" s="14">
        <v>693</v>
      </c>
      <c r="M1390" s="10">
        <v>355</v>
      </c>
      <c r="N1390" s="10">
        <v>76578</v>
      </c>
      <c r="O1390" s="10">
        <v>27839</v>
      </c>
      <c r="P1390" s="10">
        <v>104417</v>
      </c>
    </row>
    <row r="1391" spans="1:16" ht="27" customHeight="1" x14ac:dyDescent="0.2">
      <c r="A1391" s="9" t="s">
        <v>4800</v>
      </c>
      <c r="B1391" s="10" t="s">
        <v>5080</v>
      </c>
      <c r="C1391" s="11" t="s">
        <v>5095</v>
      </c>
      <c r="D1391" s="11" t="s">
        <v>5096</v>
      </c>
      <c r="E1391" s="11" t="s">
        <v>26</v>
      </c>
      <c r="F1391" s="11" t="s">
        <v>5097</v>
      </c>
      <c r="G1391" s="11" t="s">
        <v>28</v>
      </c>
      <c r="H1391" s="11" t="s">
        <v>5097</v>
      </c>
      <c r="I1391" s="11" t="s">
        <v>5098</v>
      </c>
      <c r="J1391" s="12">
        <v>0.40239999999999998</v>
      </c>
      <c r="K1391" s="13">
        <v>1</v>
      </c>
      <c r="L1391" s="14">
        <v>1260</v>
      </c>
      <c r="M1391" s="10">
        <v>507</v>
      </c>
      <c r="N1391" s="10">
        <v>139232</v>
      </c>
      <c r="O1391" s="10">
        <v>39758</v>
      </c>
      <c r="P1391" s="10">
        <v>178990</v>
      </c>
    </row>
    <row r="1392" spans="1:16" ht="27" customHeight="1" x14ac:dyDescent="0.2">
      <c r="A1392" s="9" t="s">
        <v>4800</v>
      </c>
      <c r="B1392" s="10" t="s">
        <v>5080</v>
      </c>
      <c r="C1392" s="11" t="s">
        <v>5099</v>
      </c>
      <c r="D1392" s="11" t="s">
        <v>5100</v>
      </c>
      <c r="E1392" s="11" t="s">
        <v>26</v>
      </c>
      <c r="F1392" s="11" t="s">
        <v>5101</v>
      </c>
      <c r="G1392" s="11" t="s">
        <v>28</v>
      </c>
      <c r="H1392" s="11" t="s">
        <v>5101</v>
      </c>
      <c r="I1392" s="11" t="s">
        <v>5102</v>
      </c>
      <c r="J1392" s="12">
        <v>0.58169999999999999</v>
      </c>
      <c r="K1392" s="13">
        <v>1</v>
      </c>
      <c r="L1392" s="14">
        <v>569</v>
      </c>
      <c r="M1392" s="10">
        <v>331</v>
      </c>
      <c r="N1392" s="10">
        <v>62875</v>
      </c>
      <c r="O1392" s="10">
        <v>25957</v>
      </c>
      <c r="P1392" s="10">
        <v>88832</v>
      </c>
    </row>
    <row r="1393" spans="1:16" ht="27" customHeight="1" x14ac:dyDescent="0.2">
      <c r="A1393" s="9" t="s">
        <v>4800</v>
      </c>
      <c r="B1393" s="10" t="s">
        <v>5080</v>
      </c>
      <c r="C1393" s="11" t="s">
        <v>5103</v>
      </c>
      <c r="D1393" s="11" t="s">
        <v>5104</v>
      </c>
      <c r="E1393" s="11" t="s">
        <v>26</v>
      </c>
      <c r="F1393" s="11" t="s">
        <v>5105</v>
      </c>
      <c r="G1393" s="11" t="s">
        <v>28</v>
      </c>
      <c r="H1393" s="11" t="s">
        <v>5105</v>
      </c>
      <c r="I1393" s="11" t="s">
        <v>5106</v>
      </c>
      <c r="J1393" s="12">
        <v>0.441</v>
      </c>
      <c r="K1393" s="13">
        <v>1</v>
      </c>
      <c r="L1393" s="14">
        <v>3433</v>
      </c>
      <c r="M1393" s="10">
        <v>1514</v>
      </c>
      <c r="N1393" s="10">
        <v>379352</v>
      </c>
      <c r="O1393" s="10">
        <v>118726</v>
      </c>
      <c r="P1393" s="10">
        <v>498078</v>
      </c>
    </row>
    <row r="1394" spans="1:16" ht="27" customHeight="1" x14ac:dyDescent="0.2">
      <c r="A1394" s="9" t="s">
        <v>4800</v>
      </c>
      <c r="B1394" s="10" t="s">
        <v>5107</v>
      </c>
      <c r="C1394" s="11" t="s">
        <v>18</v>
      </c>
      <c r="D1394" s="11" t="s">
        <v>19</v>
      </c>
      <c r="E1394" s="11" t="s">
        <v>19</v>
      </c>
      <c r="F1394" s="11" t="s">
        <v>5108</v>
      </c>
      <c r="G1394" s="11" t="s">
        <v>83</v>
      </c>
      <c r="H1394" s="11" t="s">
        <v>5109</v>
      </c>
      <c r="I1394" s="11" t="s">
        <v>5110</v>
      </c>
      <c r="J1394" s="12">
        <v>0.87109999999999999</v>
      </c>
      <c r="K1394" s="13">
        <v>15</v>
      </c>
      <c r="L1394" s="14">
        <v>10125</v>
      </c>
      <c r="M1394" s="10">
        <v>6835</v>
      </c>
      <c r="N1394" s="10">
        <v>1118828</v>
      </c>
      <c r="O1394" s="10">
        <v>535993</v>
      </c>
      <c r="P1394" s="10">
        <v>1654821</v>
      </c>
    </row>
    <row r="1395" spans="1:16" ht="27" customHeight="1" x14ac:dyDescent="0.2">
      <c r="A1395" s="9" t="s">
        <v>4800</v>
      </c>
      <c r="B1395" s="10" t="s">
        <v>5111</v>
      </c>
      <c r="C1395" s="11" t="s">
        <v>18</v>
      </c>
      <c r="D1395" s="11" t="s">
        <v>19</v>
      </c>
      <c r="E1395" s="11" t="s">
        <v>19</v>
      </c>
      <c r="F1395" s="11" t="s">
        <v>5112</v>
      </c>
      <c r="G1395" s="11" t="s">
        <v>83</v>
      </c>
      <c r="H1395" s="11" t="s">
        <v>5113</v>
      </c>
      <c r="I1395" s="11" t="s">
        <v>5114</v>
      </c>
      <c r="J1395" s="12">
        <v>0.85699999999999998</v>
      </c>
      <c r="K1395" s="13">
        <v>16</v>
      </c>
      <c r="L1395" s="14">
        <v>13961</v>
      </c>
      <c r="M1395" s="10">
        <v>10143</v>
      </c>
      <c r="N1395" s="10">
        <v>1542713</v>
      </c>
      <c r="O1395" s="10">
        <v>795405</v>
      </c>
      <c r="P1395" s="10">
        <v>2338118</v>
      </c>
    </row>
    <row r="1396" spans="1:16" ht="27" customHeight="1" x14ac:dyDescent="0.2">
      <c r="A1396" s="9" t="s">
        <v>4800</v>
      </c>
      <c r="B1396" s="10" t="s">
        <v>5111</v>
      </c>
      <c r="C1396" s="11" t="s">
        <v>5115</v>
      </c>
      <c r="D1396" s="11" t="s">
        <v>5116</v>
      </c>
      <c r="E1396" s="11" t="s">
        <v>26</v>
      </c>
      <c r="F1396" s="11" t="s">
        <v>5117</v>
      </c>
      <c r="G1396" s="11" t="s">
        <v>28</v>
      </c>
      <c r="H1396" s="11" t="s">
        <v>5117</v>
      </c>
      <c r="I1396" s="11" t="s">
        <v>5118</v>
      </c>
      <c r="J1396" s="12">
        <v>0.43130000000000002</v>
      </c>
      <c r="K1396" s="13">
        <v>1</v>
      </c>
      <c r="L1396" s="14">
        <v>1484</v>
      </c>
      <c r="M1396" s="10">
        <v>640</v>
      </c>
      <c r="N1396" s="10">
        <v>163984</v>
      </c>
      <c r="O1396" s="10">
        <v>50188</v>
      </c>
      <c r="P1396" s="10">
        <v>214172</v>
      </c>
    </row>
    <row r="1397" spans="1:16" ht="27" customHeight="1" x14ac:dyDescent="0.2">
      <c r="A1397" s="9" t="s">
        <v>5119</v>
      </c>
      <c r="B1397" s="10" t="s">
        <v>5120</v>
      </c>
      <c r="C1397" s="11" t="s">
        <v>18</v>
      </c>
      <c r="D1397" s="11" t="s">
        <v>19</v>
      </c>
      <c r="E1397" s="11" t="s">
        <v>19</v>
      </c>
      <c r="F1397" s="11" t="s">
        <v>5121</v>
      </c>
      <c r="G1397" s="11" t="s">
        <v>21</v>
      </c>
      <c r="H1397" s="11" t="s">
        <v>5122</v>
      </c>
      <c r="I1397" s="11" t="s">
        <v>5123</v>
      </c>
      <c r="J1397" s="12">
        <v>1</v>
      </c>
      <c r="K1397" s="13">
        <v>9</v>
      </c>
      <c r="L1397" s="14">
        <v>1110</v>
      </c>
      <c r="M1397" s="10">
        <v>1001</v>
      </c>
      <c r="N1397" s="10">
        <v>122658</v>
      </c>
      <c r="O1397" s="10">
        <v>78497</v>
      </c>
      <c r="P1397" s="10">
        <v>201155</v>
      </c>
    </row>
    <row r="1398" spans="1:16" ht="27" customHeight="1" x14ac:dyDescent="0.2">
      <c r="A1398" s="9" t="s">
        <v>5119</v>
      </c>
      <c r="B1398" s="10" t="s">
        <v>5120</v>
      </c>
      <c r="C1398" s="11" t="s">
        <v>5124</v>
      </c>
      <c r="D1398" s="11" t="s">
        <v>5125</v>
      </c>
      <c r="E1398" s="11" t="s">
        <v>26</v>
      </c>
      <c r="F1398" s="11" t="s">
        <v>5126</v>
      </c>
      <c r="G1398" s="11" t="s">
        <v>28</v>
      </c>
      <c r="H1398" s="11" t="s">
        <v>5126</v>
      </c>
      <c r="I1398" s="11" t="s">
        <v>5127</v>
      </c>
      <c r="J1398" s="12">
        <v>0.85140000000000005</v>
      </c>
      <c r="K1398" s="13">
        <v>1</v>
      </c>
      <c r="L1398" s="14">
        <v>424</v>
      </c>
      <c r="M1398" s="10">
        <v>361</v>
      </c>
      <c r="N1398" s="10">
        <v>46853</v>
      </c>
      <c r="O1398" s="10">
        <v>28309</v>
      </c>
      <c r="P1398" s="10">
        <v>75162</v>
      </c>
    </row>
    <row r="1399" spans="1:16" ht="27" customHeight="1" x14ac:dyDescent="0.2">
      <c r="A1399" s="9" t="s">
        <v>5119</v>
      </c>
      <c r="B1399" s="10" t="s">
        <v>5120</v>
      </c>
      <c r="C1399" s="11" t="s">
        <v>5128</v>
      </c>
      <c r="D1399" s="11" t="s">
        <v>5129</v>
      </c>
      <c r="E1399" s="11" t="s">
        <v>26</v>
      </c>
      <c r="F1399" s="11" t="s">
        <v>5130</v>
      </c>
      <c r="G1399" s="11" t="s">
        <v>28</v>
      </c>
      <c r="H1399" s="11" t="s">
        <v>5130</v>
      </c>
      <c r="I1399" s="11" t="s">
        <v>5131</v>
      </c>
      <c r="J1399" s="12">
        <v>0.83260000000000001</v>
      </c>
      <c r="K1399" s="13">
        <v>1</v>
      </c>
      <c r="L1399" s="14">
        <v>239</v>
      </c>
      <c r="M1399" s="10">
        <v>199</v>
      </c>
      <c r="N1399" s="10">
        <v>26410</v>
      </c>
      <c r="O1399" s="10">
        <v>15605</v>
      </c>
      <c r="P1399" s="10">
        <v>42015</v>
      </c>
    </row>
    <row r="1400" spans="1:16" ht="27" customHeight="1" x14ac:dyDescent="0.2">
      <c r="A1400" s="9" t="s">
        <v>5119</v>
      </c>
      <c r="B1400" s="10" t="s">
        <v>5120</v>
      </c>
      <c r="C1400" s="11" t="s">
        <v>5132</v>
      </c>
      <c r="D1400" s="11" t="s">
        <v>5133</v>
      </c>
      <c r="E1400" s="11" t="s">
        <v>26</v>
      </c>
      <c r="F1400" s="11" t="s">
        <v>5134</v>
      </c>
      <c r="G1400" s="11" t="s">
        <v>28</v>
      </c>
      <c r="H1400" s="11" t="s">
        <v>5134</v>
      </c>
      <c r="I1400" s="11" t="s">
        <v>5135</v>
      </c>
      <c r="J1400" s="12">
        <v>0.55249999999999999</v>
      </c>
      <c r="K1400" s="13">
        <v>1</v>
      </c>
      <c r="L1400" s="14">
        <v>219</v>
      </c>
      <c r="M1400" s="10">
        <v>121</v>
      </c>
      <c r="N1400" s="10">
        <v>24200</v>
      </c>
      <c r="O1400" s="10">
        <v>9489</v>
      </c>
      <c r="P1400" s="10">
        <v>33689</v>
      </c>
    </row>
    <row r="1401" spans="1:16" ht="27" customHeight="1" x14ac:dyDescent="0.2">
      <c r="A1401" s="9" t="s">
        <v>5119</v>
      </c>
      <c r="B1401" s="10" t="s">
        <v>5120</v>
      </c>
      <c r="C1401" s="11" t="s">
        <v>5136</v>
      </c>
      <c r="D1401" s="11" t="s">
        <v>5137</v>
      </c>
      <c r="E1401" s="11" t="s">
        <v>26</v>
      </c>
      <c r="F1401" s="11" t="s">
        <v>5138</v>
      </c>
      <c r="G1401" s="11" t="s">
        <v>28</v>
      </c>
      <c r="H1401" s="11" t="s">
        <v>5138</v>
      </c>
      <c r="I1401" s="11" t="s">
        <v>5139</v>
      </c>
      <c r="J1401" s="12">
        <v>0.73660000000000003</v>
      </c>
      <c r="K1401" s="13">
        <v>1</v>
      </c>
      <c r="L1401" s="14">
        <v>543</v>
      </c>
      <c r="M1401" s="10">
        <v>400</v>
      </c>
      <c r="N1401" s="10">
        <v>60002</v>
      </c>
      <c r="O1401" s="10">
        <v>31368</v>
      </c>
      <c r="P1401" s="10">
        <v>91370</v>
      </c>
    </row>
    <row r="1402" spans="1:16" ht="27" customHeight="1" x14ac:dyDescent="0.2">
      <c r="A1402" s="9" t="s">
        <v>5119</v>
      </c>
      <c r="B1402" s="10" t="s">
        <v>5120</v>
      </c>
      <c r="C1402" s="11" t="s">
        <v>5140</v>
      </c>
      <c r="D1402" s="11" t="s">
        <v>5141</v>
      </c>
      <c r="E1402" s="11" t="s">
        <v>26</v>
      </c>
      <c r="F1402" s="11" t="s">
        <v>5142</v>
      </c>
      <c r="G1402" s="11" t="s">
        <v>28</v>
      </c>
      <c r="H1402" s="11" t="s">
        <v>5142</v>
      </c>
      <c r="I1402" s="11" t="s">
        <v>5143</v>
      </c>
      <c r="J1402" s="12">
        <v>0.27029999999999998</v>
      </c>
      <c r="K1402" s="13">
        <v>1</v>
      </c>
      <c r="L1402" s="14">
        <v>762</v>
      </c>
      <c r="M1402" s="10">
        <v>206</v>
      </c>
      <c r="N1402" s="10">
        <v>84202</v>
      </c>
      <c r="O1402" s="10">
        <v>16154</v>
      </c>
      <c r="P1402" s="10">
        <v>100356</v>
      </c>
    </row>
    <row r="1403" spans="1:16" ht="27" customHeight="1" x14ac:dyDescent="0.2">
      <c r="A1403" s="9" t="s">
        <v>5119</v>
      </c>
      <c r="B1403" s="10" t="s">
        <v>5120</v>
      </c>
      <c r="C1403" s="11" t="s">
        <v>5144</v>
      </c>
      <c r="D1403" s="11" t="s">
        <v>5145</v>
      </c>
      <c r="E1403" s="11" t="s">
        <v>26</v>
      </c>
      <c r="F1403" s="11" t="s">
        <v>5146</v>
      </c>
      <c r="G1403" s="11" t="s">
        <v>28</v>
      </c>
      <c r="H1403" s="11" t="s">
        <v>5146</v>
      </c>
      <c r="I1403" s="11" t="s">
        <v>5147</v>
      </c>
      <c r="J1403" s="12">
        <v>0.51919999999999999</v>
      </c>
      <c r="K1403" s="13">
        <v>1</v>
      </c>
      <c r="L1403" s="14">
        <v>468</v>
      </c>
      <c r="M1403" s="10">
        <v>243</v>
      </c>
      <c r="N1403" s="10">
        <v>51715</v>
      </c>
      <c r="O1403" s="10">
        <v>19056</v>
      </c>
      <c r="P1403" s="10">
        <v>70771</v>
      </c>
    </row>
    <row r="1404" spans="1:16" ht="27" customHeight="1" x14ac:dyDescent="0.2">
      <c r="A1404" s="9" t="s">
        <v>5119</v>
      </c>
      <c r="B1404" s="10" t="s">
        <v>5120</v>
      </c>
      <c r="C1404" s="11" t="s">
        <v>5148</v>
      </c>
      <c r="D1404" s="11" t="s">
        <v>5149</v>
      </c>
      <c r="E1404" s="11" t="s">
        <v>26</v>
      </c>
      <c r="F1404" s="11" t="s">
        <v>5150</v>
      </c>
      <c r="G1404" s="11" t="s">
        <v>28</v>
      </c>
      <c r="H1404" s="11" t="s">
        <v>5150</v>
      </c>
      <c r="I1404" s="11" t="s">
        <v>5151</v>
      </c>
      <c r="J1404" s="12">
        <v>0.43969999999999998</v>
      </c>
      <c r="K1404" s="13">
        <v>1</v>
      </c>
      <c r="L1404" s="14">
        <v>514</v>
      </c>
      <c r="M1404" s="10">
        <v>226</v>
      </c>
      <c r="N1404" s="10">
        <v>56798</v>
      </c>
      <c r="O1404" s="10">
        <v>17723</v>
      </c>
      <c r="P1404" s="10">
        <v>74521</v>
      </c>
    </row>
    <row r="1405" spans="1:16" ht="27" customHeight="1" x14ac:dyDescent="0.2">
      <c r="A1405" s="9" t="s">
        <v>5119</v>
      </c>
      <c r="B1405" s="10" t="s">
        <v>5120</v>
      </c>
      <c r="C1405" s="11" t="s">
        <v>5152</v>
      </c>
      <c r="D1405" s="11" t="s">
        <v>5153</v>
      </c>
      <c r="E1405" s="11" t="s">
        <v>26</v>
      </c>
      <c r="F1405" s="11" t="s">
        <v>5154</v>
      </c>
      <c r="G1405" s="11" t="s">
        <v>28</v>
      </c>
      <c r="H1405" s="11" t="s">
        <v>5154</v>
      </c>
      <c r="I1405" s="11" t="s">
        <v>5155</v>
      </c>
      <c r="J1405" s="12">
        <v>0.25829999999999997</v>
      </c>
      <c r="K1405" s="13">
        <v>1</v>
      </c>
      <c r="L1405" s="14">
        <v>573</v>
      </c>
      <c r="M1405" s="10">
        <v>148</v>
      </c>
      <c r="N1405" s="10">
        <v>63317</v>
      </c>
      <c r="O1405" s="10">
        <v>11606</v>
      </c>
      <c r="P1405" s="10">
        <v>74923</v>
      </c>
    </row>
    <row r="1406" spans="1:16" ht="27" customHeight="1" x14ac:dyDescent="0.2">
      <c r="A1406" s="9" t="s">
        <v>5119</v>
      </c>
      <c r="B1406" s="10" t="s">
        <v>5120</v>
      </c>
      <c r="C1406" s="11" t="s">
        <v>5156</v>
      </c>
      <c r="D1406" s="11" t="s">
        <v>5157</v>
      </c>
      <c r="E1406" s="11" t="s">
        <v>26</v>
      </c>
      <c r="F1406" s="11" t="s">
        <v>5158</v>
      </c>
      <c r="G1406" s="11" t="s">
        <v>28</v>
      </c>
      <c r="H1406" s="11" t="s">
        <v>5158</v>
      </c>
      <c r="I1406" s="11" t="s">
        <v>5159</v>
      </c>
      <c r="J1406" s="12">
        <v>0.4667</v>
      </c>
      <c r="K1406" s="13">
        <v>1</v>
      </c>
      <c r="L1406" s="14">
        <v>240</v>
      </c>
      <c r="M1406" s="10">
        <v>112</v>
      </c>
      <c r="N1406" s="10">
        <v>26520</v>
      </c>
      <c r="O1406" s="10">
        <v>8783</v>
      </c>
      <c r="P1406" s="10">
        <v>35303</v>
      </c>
    </row>
    <row r="1407" spans="1:16" ht="27" customHeight="1" x14ac:dyDescent="0.2">
      <c r="A1407" s="9" t="s">
        <v>5119</v>
      </c>
      <c r="B1407" s="10" t="s">
        <v>5120</v>
      </c>
      <c r="C1407" s="11" t="s">
        <v>5160</v>
      </c>
      <c r="D1407" s="11" t="s">
        <v>5161</v>
      </c>
      <c r="E1407" s="11" t="s">
        <v>26</v>
      </c>
      <c r="F1407" s="11" t="s">
        <v>5162</v>
      </c>
      <c r="G1407" s="11" t="s">
        <v>28</v>
      </c>
      <c r="H1407" s="11" t="s">
        <v>5162</v>
      </c>
      <c r="I1407" s="11" t="s">
        <v>5163</v>
      </c>
      <c r="J1407" s="12">
        <v>0.56579999999999997</v>
      </c>
      <c r="K1407" s="13">
        <v>1</v>
      </c>
      <c r="L1407" s="14">
        <v>228</v>
      </c>
      <c r="M1407" s="10">
        <v>129</v>
      </c>
      <c r="N1407" s="10">
        <v>25194</v>
      </c>
      <c r="O1407" s="10">
        <v>10116</v>
      </c>
      <c r="P1407" s="10">
        <v>35310</v>
      </c>
    </row>
    <row r="1408" spans="1:16" ht="27" customHeight="1" x14ac:dyDescent="0.2">
      <c r="A1408" s="9" t="s">
        <v>5119</v>
      </c>
      <c r="B1408" s="10" t="s">
        <v>5120</v>
      </c>
      <c r="C1408" s="11" t="s">
        <v>5164</v>
      </c>
      <c r="D1408" s="11" t="s">
        <v>5165</v>
      </c>
      <c r="E1408" s="11" t="s">
        <v>26</v>
      </c>
      <c r="F1408" s="11" t="s">
        <v>5166</v>
      </c>
      <c r="G1408" s="11" t="s">
        <v>28</v>
      </c>
      <c r="H1408" s="11" t="s">
        <v>5166</v>
      </c>
      <c r="I1408" s="11" t="s">
        <v>5167</v>
      </c>
      <c r="J1408" s="12">
        <v>0.51980000000000004</v>
      </c>
      <c r="K1408" s="13">
        <v>1</v>
      </c>
      <c r="L1408" s="14">
        <v>1972</v>
      </c>
      <c r="M1408" s="10">
        <v>1025</v>
      </c>
      <c r="N1408" s="10">
        <v>217909</v>
      </c>
      <c r="O1408" s="10">
        <v>80379</v>
      </c>
      <c r="P1408" s="10">
        <v>298288</v>
      </c>
    </row>
    <row r="1409" spans="1:16" ht="27" customHeight="1" x14ac:dyDescent="0.2">
      <c r="A1409" s="9" t="s">
        <v>5119</v>
      </c>
      <c r="B1409" s="10" t="s">
        <v>5168</v>
      </c>
      <c r="C1409" s="11" t="s">
        <v>18</v>
      </c>
      <c r="D1409" s="11" t="s">
        <v>19</v>
      </c>
      <c r="E1409" s="11" t="s">
        <v>19</v>
      </c>
      <c r="F1409" s="11" t="s">
        <v>5169</v>
      </c>
      <c r="G1409" s="11" t="s">
        <v>83</v>
      </c>
      <c r="H1409" s="11" t="s">
        <v>5170</v>
      </c>
      <c r="I1409" s="11" t="s">
        <v>5171</v>
      </c>
      <c r="J1409" s="12">
        <v>0.45779999999999998</v>
      </c>
      <c r="K1409" s="13">
        <v>6</v>
      </c>
      <c r="L1409" s="14">
        <v>1546</v>
      </c>
      <c r="M1409" s="10">
        <v>611</v>
      </c>
      <c r="N1409" s="10">
        <v>170836</v>
      </c>
      <c r="O1409" s="10">
        <v>47914</v>
      </c>
      <c r="P1409" s="10">
        <v>218750</v>
      </c>
    </row>
    <row r="1410" spans="1:16" ht="27" customHeight="1" x14ac:dyDescent="0.2">
      <c r="A1410" s="9" t="s">
        <v>5119</v>
      </c>
      <c r="B1410" s="10" t="s">
        <v>5172</v>
      </c>
      <c r="C1410" s="11" t="s">
        <v>18</v>
      </c>
      <c r="D1410" s="11" t="s">
        <v>19</v>
      </c>
      <c r="E1410" s="11" t="s">
        <v>19</v>
      </c>
      <c r="F1410" s="11" t="s">
        <v>5173</v>
      </c>
      <c r="G1410" s="11" t="s">
        <v>83</v>
      </c>
      <c r="H1410" s="11" t="s">
        <v>5174</v>
      </c>
      <c r="I1410" s="11" t="s">
        <v>5175</v>
      </c>
      <c r="J1410" s="12">
        <v>0.8377</v>
      </c>
      <c r="K1410" s="13">
        <v>4</v>
      </c>
      <c r="L1410" s="14">
        <v>376</v>
      </c>
      <c r="M1410" s="10">
        <v>326</v>
      </c>
      <c r="N1410" s="10">
        <v>41549</v>
      </c>
      <c r="O1410" s="10">
        <v>25564</v>
      </c>
      <c r="P1410" s="10">
        <v>67113</v>
      </c>
    </row>
    <row r="1411" spans="1:16" ht="27" customHeight="1" x14ac:dyDescent="0.2">
      <c r="A1411" s="9" t="s">
        <v>5119</v>
      </c>
      <c r="B1411" s="10" t="s">
        <v>5172</v>
      </c>
      <c r="C1411" s="11" t="s">
        <v>5176</v>
      </c>
      <c r="D1411" s="11" t="s">
        <v>5177</v>
      </c>
      <c r="E1411" s="11" t="s">
        <v>26</v>
      </c>
      <c r="F1411" s="11" t="s">
        <v>5178</v>
      </c>
      <c r="G1411" s="11" t="s">
        <v>28</v>
      </c>
      <c r="H1411" s="11" t="s">
        <v>5122</v>
      </c>
      <c r="I1411" s="11" t="s">
        <v>5123</v>
      </c>
      <c r="J1411" s="12">
        <v>1</v>
      </c>
      <c r="K1411" s="13">
        <v>1</v>
      </c>
      <c r="L1411" s="14">
        <v>2332</v>
      </c>
      <c r="M1411" s="10">
        <v>1760</v>
      </c>
      <c r="N1411" s="10">
        <v>257690</v>
      </c>
      <c r="O1411" s="10">
        <v>138017</v>
      </c>
      <c r="P1411" s="10">
        <v>395707</v>
      </c>
    </row>
    <row r="1412" spans="1:16" ht="27" customHeight="1" x14ac:dyDescent="0.2">
      <c r="A1412" s="9" t="s">
        <v>5119</v>
      </c>
      <c r="B1412" s="10" t="s">
        <v>5179</v>
      </c>
      <c r="C1412" s="11" t="s">
        <v>18</v>
      </c>
      <c r="D1412" s="11" t="s">
        <v>19</v>
      </c>
      <c r="E1412" s="11" t="s">
        <v>19</v>
      </c>
      <c r="F1412" s="11" t="s">
        <v>5180</v>
      </c>
      <c r="G1412" s="11" t="s">
        <v>83</v>
      </c>
      <c r="H1412" s="11" t="s">
        <v>5181</v>
      </c>
      <c r="I1412" s="11" t="s">
        <v>5182</v>
      </c>
      <c r="J1412" s="12">
        <v>0.89349999999999996</v>
      </c>
      <c r="K1412" s="13">
        <v>27</v>
      </c>
      <c r="L1412" s="14">
        <v>16014</v>
      </c>
      <c r="M1412" s="10">
        <v>11580</v>
      </c>
      <c r="N1412" s="10">
        <v>1769574</v>
      </c>
      <c r="O1412" s="10">
        <v>908091</v>
      </c>
      <c r="P1412" s="10">
        <v>2677665</v>
      </c>
    </row>
    <row r="1413" spans="1:16" ht="27" customHeight="1" x14ac:dyDescent="0.2">
      <c r="A1413" s="9" t="s">
        <v>5119</v>
      </c>
      <c r="B1413" s="10" t="s">
        <v>5179</v>
      </c>
      <c r="C1413" s="11" t="s">
        <v>5183</v>
      </c>
      <c r="D1413" s="11" t="s">
        <v>5184</v>
      </c>
      <c r="E1413" s="11" t="s">
        <v>26</v>
      </c>
      <c r="F1413" s="11" t="s">
        <v>5185</v>
      </c>
      <c r="G1413" s="11" t="s">
        <v>28</v>
      </c>
      <c r="H1413" s="11" t="s">
        <v>5185</v>
      </c>
      <c r="I1413" s="11" t="s">
        <v>5186</v>
      </c>
      <c r="J1413" s="12">
        <v>0.65429999999999999</v>
      </c>
      <c r="K1413" s="13">
        <v>1</v>
      </c>
      <c r="L1413" s="14">
        <v>564</v>
      </c>
      <c r="M1413" s="10">
        <v>369</v>
      </c>
      <c r="N1413" s="10">
        <v>62323</v>
      </c>
      <c r="O1413" s="10">
        <v>28937</v>
      </c>
      <c r="P1413" s="10">
        <v>91260</v>
      </c>
    </row>
    <row r="1414" spans="1:16" ht="27" customHeight="1" x14ac:dyDescent="0.2">
      <c r="A1414" s="9" t="s">
        <v>5119</v>
      </c>
      <c r="B1414" s="10" t="s">
        <v>5179</v>
      </c>
      <c r="C1414" s="11" t="s">
        <v>5187</v>
      </c>
      <c r="D1414" s="11" t="s">
        <v>5188</v>
      </c>
      <c r="E1414" s="11" t="s">
        <v>26</v>
      </c>
      <c r="F1414" s="11" t="s">
        <v>5189</v>
      </c>
      <c r="G1414" s="11" t="s">
        <v>28</v>
      </c>
      <c r="H1414" s="11" t="s">
        <v>5122</v>
      </c>
      <c r="I1414" s="11" t="s">
        <v>5123</v>
      </c>
      <c r="J1414" s="12">
        <v>1</v>
      </c>
      <c r="K1414" s="13">
        <v>1</v>
      </c>
      <c r="L1414" s="14">
        <v>254</v>
      </c>
      <c r="M1414" s="10">
        <v>170</v>
      </c>
      <c r="N1414" s="10">
        <v>28067</v>
      </c>
      <c r="O1414" s="10">
        <v>13331</v>
      </c>
      <c r="P1414" s="10">
        <v>41398</v>
      </c>
    </row>
    <row r="1415" spans="1:16" ht="27" customHeight="1" x14ac:dyDescent="0.2">
      <c r="A1415" s="9" t="s">
        <v>5119</v>
      </c>
      <c r="B1415" s="10" t="s">
        <v>5179</v>
      </c>
      <c r="C1415" s="11" t="s">
        <v>5190</v>
      </c>
      <c r="D1415" s="11" t="s">
        <v>5191</v>
      </c>
      <c r="E1415" s="11" t="s">
        <v>26</v>
      </c>
      <c r="F1415" s="11" t="s">
        <v>5192</v>
      </c>
      <c r="G1415" s="11" t="s">
        <v>28</v>
      </c>
      <c r="H1415" s="11" t="s">
        <v>5192</v>
      </c>
      <c r="I1415" s="11" t="s">
        <v>5193</v>
      </c>
      <c r="J1415" s="12">
        <v>0.89429999999999998</v>
      </c>
      <c r="K1415" s="13">
        <v>1</v>
      </c>
      <c r="L1415" s="14">
        <v>227</v>
      </c>
      <c r="M1415" s="10">
        <v>203</v>
      </c>
      <c r="N1415" s="10">
        <v>25084</v>
      </c>
      <c r="O1415" s="10">
        <v>15919</v>
      </c>
      <c r="P1415" s="10">
        <v>41003</v>
      </c>
    </row>
    <row r="1416" spans="1:16" ht="27" customHeight="1" x14ac:dyDescent="0.2">
      <c r="A1416" s="9" t="s">
        <v>5119</v>
      </c>
      <c r="B1416" s="10" t="s">
        <v>5179</v>
      </c>
      <c r="C1416" s="11" t="s">
        <v>5194</v>
      </c>
      <c r="D1416" s="11" t="s">
        <v>5195</v>
      </c>
      <c r="E1416" s="11" t="s">
        <v>26</v>
      </c>
      <c r="F1416" s="11" t="s">
        <v>5196</v>
      </c>
      <c r="G1416" s="11" t="s">
        <v>28</v>
      </c>
      <c r="H1416" s="11" t="s">
        <v>5196</v>
      </c>
      <c r="I1416" s="11" t="s">
        <v>5197</v>
      </c>
      <c r="J1416" s="12">
        <v>0.63639999999999997</v>
      </c>
      <c r="K1416" s="13">
        <v>1</v>
      </c>
      <c r="L1416" s="14">
        <v>1144</v>
      </c>
      <c r="M1416" s="10">
        <v>728</v>
      </c>
      <c r="N1416" s="10">
        <v>126414</v>
      </c>
      <c r="O1416" s="10">
        <v>57089</v>
      </c>
      <c r="P1416" s="10">
        <v>183503</v>
      </c>
    </row>
    <row r="1417" spans="1:16" ht="27" customHeight="1" x14ac:dyDescent="0.2">
      <c r="A1417" s="9" t="s">
        <v>5119</v>
      </c>
      <c r="B1417" s="10" t="s">
        <v>5198</v>
      </c>
      <c r="C1417" s="11" t="s">
        <v>18</v>
      </c>
      <c r="D1417" s="11" t="s">
        <v>19</v>
      </c>
      <c r="E1417" s="11" t="s">
        <v>19</v>
      </c>
      <c r="F1417" s="11" t="s">
        <v>5199</v>
      </c>
      <c r="G1417" s="11" t="s">
        <v>83</v>
      </c>
      <c r="H1417" s="11" t="s">
        <v>5200</v>
      </c>
      <c r="I1417" s="11" t="s">
        <v>5201</v>
      </c>
      <c r="J1417" s="12">
        <v>0.14799999999999999</v>
      </c>
      <c r="K1417" s="13">
        <v>3</v>
      </c>
      <c r="L1417" s="14">
        <v>654</v>
      </c>
      <c r="M1417" s="10">
        <v>87</v>
      </c>
      <c r="N1417" s="10">
        <v>72269</v>
      </c>
      <c r="O1417" s="10">
        <v>6822</v>
      </c>
      <c r="P1417" s="10">
        <v>79091</v>
      </c>
    </row>
    <row r="1418" spans="1:16" ht="27" customHeight="1" x14ac:dyDescent="0.2">
      <c r="A1418" s="9" t="s">
        <v>5119</v>
      </c>
      <c r="B1418" s="10" t="s">
        <v>5202</v>
      </c>
      <c r="C1418" s="11" t="s">
        <v>18</v>
      </c>
      <c r="D1418" s="11" t="s">
        <v>19</v>
      </c>
      <c r="E1418" s="11" t="s">
        <v>19</v>
      </c>
      <c r="F1418" s="11" t="s">
        <v>5203</v>
      </c>
      <c r="G1418" s="11" t="s">
        <v>83</v>
      </c>
      <c r="H1418" s="11" t="s">
        <v>5204</v>
      </c>
      <c r="I1418" s="11" t="s">
        <v>5205</v>
      </c>
      <c r="J1418" s="12">
        <v>0.90159999999999996</v>
      </c>
      <c r="K1418" s="13">
        <v>44</v>
      </c>
      <c r="L1418" s="14">
        <v>23237</v>
      </c>
      <c r="M1418" s="10">
        <v>11493</v>
      </c>
      <c r="N1418" s="10">
        <v>2567726</v>
      </c>
      <c r="O1418" s="10">
        <v>901268</v>
      </c>
      <c r="P1418" s="10">
        <v>3468994</v>
      </c>
    </row>
    <row r="1419" spans="1:16" ht="27" customHeight="1" x14ac:dyDescent="0.2">
      <c r="A1419" s="9" t="s">
        <v>5119</v>
      </c>
      <c r="B1419" s="10" t="s">
        <v>5202</v>
      </c>
      <c r="C1419" s="11" t="s">
        <v>5206</v>
      </c>
      <c r="D1419" s="11" t="s">
        <v>5207</v>
      </c>
      <c r="E1419" s="11" t="s">
        <v>26</v>
      </c>
      <c r="F1419" s="11" t="s">
        <v>5208</v>
      </c>
      <c r="G1419" s="11" t="s">
        <v>28</v>
      </c>
      <c r="H1419" s="11" t="s">
        <v>5208</v>
      </c>
      <c r="I1419" s="11" t="s">
        <v>5209</v>
      </c>
      <c r="J1419" s="12">
        <v>0.55430000000000001</v>
      </c>
      <c r="K1419" s="13">
        <v>1</v>
      </c>
      <c r="L1419" s="14">
        <v>258</v>
      </c>
      <c r="M1419" s="10">
        <v>143</v>
      </c>
      <c r="N1419" s="10">
        <v>28509</v>
      </c>
      <c r="O1419" s="10">
        <v>11214</v>
      </c>
      <c r="P1419" s="10">
        <v>39723</v>
      </c>
    </row>
    <row r="1420" spans="1:16" ht="27" customHeight="1" x14ac:dyDescent="0.2">
      <c r="A1420" s="9" t="s">
        <v>5119</v>
      </c>
      <c r="B1420" s="10" t="s">
        <v>5202</v>
      </c>
      <c r="C1420" s="11" t="s">
        <v>5210</v>
      </c>
      <c r="D1420" s="11" t="s">
        <v>5211</v>
      </c>
      <c r="E1420" s="11" t="s">
        <v>26</v>
      </c>
      <c r="F1420" s="11" t="s">
        <v>5212</v>
      </c>
      <c r="G1420" s="11" t="s">
        <v>28</v>
      </c>
      <c r="H1420" s="11" t="s">
        <v>5212</v>
      </c>
      <c r="I1420" s="11" t="s">
        <v>5213</v>
      </c>
      <c r="J1420" s="12">
        <v>0.48089999999999999</v>
      </c>
      <c r="K1420" s="13">
        <v>1</v>
      </c>
      <c r="L1420" s="14">
        <v>393</v>
      </c>
      <c r="M1420" s="10">
        <v>189</v>
      </c>
      <c r="N1420" s="10">
        <v>43427</v>
      </c>
      <c r="O1420" s="10">
        <v>14821</v>
      </c>
      <c r="P1420" s="10">
        <v>58248</v>
      </c>
    </row>
    <row r="1421" spans="1:16" ht="27" customHeight="1" x14ac:dyDescent="0.2">
      <c r="A1421" s="9" t="s">
        <v>5119</v>
      </c>
      <c r="B1421" s="10" t="s">
        <v>5202</v>
      </c>
      <c r="C1421" s="11" t="s">
        <v>5214</v>
      </c>
      <c r="D1421" s="11" t="s">
        <v>5215</v>
      </c>
      <c r="E1421" s="11" t="s">
        <v>26</v>
      </c>
      <c r="F1421" s="11" t="s">
        <v>5216</v>
      </c>
      <c r="G1421" s="11" t="s">
        <v>28</v>
      </c>
      <c r="H1421" s="11" t="s">
        <v>5216</v>
      </c>
      <c r="I1421" s="11" t="s">
        <v>5217</v>
      </c>
      <c r="J1421" s="12">
        <v>0.7984</v>
      </c>
      <c r="K1421" s="13">
        <v>1</v>
      </c>
      <c r="L1421" s="14">
        <v>1121</v>
      </c>
      <c r="M1421" s="10">
        <v>895</v>
      </c>
      <c r="N1421" s="10">
        <v>123872</v>
      </c>
      <c r="O1421" s="10">
        <v>70185</v>
      </c>
      <c r="P1421" s="10">
        <v>194057</v>
      </c>
    </row>
    <row r="1422" spans="1:16" ht="27" customHeight="1" x14ac:dyDescent="0.2">
      <c r="A1422" s="9" t="s">
        <v>5119</v>
      </c>
      <c r="B1422" s="10" t="s">
        <v>5202</v>
      </c>
      <c r="C1422" s="11" t="s">
        <v>5218</v>
      </c>
      <c r="D1422" s="11" t="s">
        <v>5219</v>
      </c>
      <c r="E1422" s="11" t="s">
        <v>26</v>
      </c>
      <c r="F1422" s="11" t="s">
        <v>5220</v>
      </c>
      <c r="G1422" s="11" t="s">
        <v>28</v>
      </c>
      <c r="H1422" s="11" t="s">
        <v>5220</v>
      </c>
      <c r="I1422" s="11" t="s">
        <v>5221</v>
      </c>
      <c r="J1422" s="12">
        <v>0.7702</v>
      </c>
      <c r="K1422" s="13">
        <v>1</v>
      </c>
      <c r="L1422" s="14">
        <v>1607</v>
      </c>
      <c r="M1422" s="10">
        <v>1238</v>
      </c>
      <c r="N1422" s="10">
        <v>177576</v>
      </c>
      <c r="O1422" s="10">
        <v>97083</v>
      </c>
      <c r="P1422" s="10">
        <v>274659</v>
      </c>
    </row>
    <row r="1423" spans="1:16" ht="27" customHeight="1" x14ac:dyDescent="0.2">
      <c r="A1423" s="9" t="s">
        <v>5119</v>
      </c>
      <c r="B1423" s="10" t="s">
        <v>5202</v>
      </c>
      <c r="C1423" s="11" t="s">
        <v>5222</v>
      </c>
      <c r="D1423" s="11" t="s">
        <v>5223</v>
      </c>
      <c r="E1423" s="11" t="s">
        <v>26</v>
      </c>
      <c r="F1423" s="11" t="s">
        <v>5224</v>
      </c>
      <c r="G1423" s="11" t="s">
        <v>28</v>
      </c>
      <c r="H1423" s="11" t="s">
        <v>5224</v>
      </c>
      <c r="I1423" s="11" t="s">
        <v>5225</v>
      </c>
      <c r="J1423" s="12">
        <v>0.33500000000000002</v>
      </c>
      <c r="K1423" s="13">
        <v>1</v>
      </c>
      <c r="L1423" s="14">
        <v>982</v>
      </c>
      <c r="M1423" s="10">
        <v>329</v>
      </c>
      <c r="N1423" s="10">
        <v>108513</v>
      </c>
      <c r="O1423" s="10">
        <v>25800</v>
      </c>
      <c r="P1423" s="10">
        <v>134313</v>
      </c>
    </row>
    <row r="1424" spans="1:16" ht="27" customHeight="1" x14ac:dyDescent="0.2">
      <c r="A1424" s="9" t="s">
        <v>5119</v>
      </c>
      <c r="B1424" s="10" t="s">
        <v>5202</v>
      </c>
      <c r="C1424" s="11" t="s">
        <v>5226</v>
      </c>
      <c r="D1424" s="11" t="s">
        <v>5227</v>
      </c>
      <c r="E1424" s="11" t="s">
        <v>26</v>
      </c>
      <c r="F1424" s="11" t="s">
        <v>5228</v>
      </c>
      <c r="G1424" s="11" t="s">
        <v>28</v>
      </c>
      <c r="H1424" s="11" t="s">
        <v>5228</v>
      </c>
      <c r="I1424" s="11" t="s">
        <v>5229</v>
      </c>
      <c r="J1424" s="12">
        <v>0.59289999999999998</v>
      </c>
      <c r="K1424" s="13">
        <v>1</v>
      </c>
      <c r="L1424" s="14">
        <v>1429</v>
      </c>
      <c r="M1424" s="10">
        <v>847</v>
      </c>
      <c r="N1424" s="10">
        <v>157907</v>
      </c>
      <c r="O1424" s="10">
        <v>66421</v>
      </c>
      <c r="P1424" s="10">
        <v>224328</v>
      </c>
    </row>
    <row r="1425" spans="1:16" ht="27" customHeight="1" x14ac:dyDescent="0.2">
      <c r="A1425" s="9" t="s">
        <v>5119</v>
      </c>
      <c r="B1425" s="10" t="s">
        <v>5202</v>
      </c>
      <c r="C1425" s="11" t="s">
        <v>5230</v>
      </c>
      <c r="D1425" s="11" t="s">
        <v>5231</v>
      </c>
      <c r="E1425" s="11" t="s">
        <v>26</v>
      </c>
      <c r="F1425" s="11" t="s">
        <v>5232</v>
      </c>
      <c r="G1425" s="11" t="s">
        <v>28</v>
      </c>
      <c r="H1425" s="11" t="s">
        <v>5232</v>
      </c>
      <c r="I1425" s="11" t="s">
        <v>5233</v>
      </c>
      <c r="J1425" s="12">
        <v>0.20019999999999999</v>
      </c>
      <c r="K1425" s="13">
        <v>1</v>
      </c>
      <c r="L1425" s="14">
        <v>939</v>
      </c>
      <c r="M1425" s="10">
        <v>188</v>
      </c>
      <c r="N1425" s="10">
        <v>103761</v>
      </c>
      <c r="O1425" s="10">
        <v>14743</v>
      </c>
      <c r="P1425" s="10">
        <v>118504</v>
      </c>
    </row>
    <row r="1426" spans="1:16" ht="27" customHeight="1" x14ac:dyDescent="0.2">
      <c r="A1426" s="9" t="s">
        <v>5119</v>
      </c>
      <c r="B1426" s="10" t="s">
        <v>5234</v>
      </c>
      <c r="C1426" s="11" t="s">
        <v>18</v>
      </c>
      <c r="D1426" s="11" t="s">
        <v>19</v>
      </c>
      <c r="E1426" s="11" t="s">
        <v>19</v>
      </c>
      <c r="F1426" s="11" t="s">
        <v>5235</v>
      </c>
      <c r="G1426" s="11" t="s">
        <v>83</v>
      </c>
      <c r="H1426" s="11" t="s">
        <v>5236</v>
      </c>
      <c r="I1426" s="11" t="s">
        <v>5237</v>
      </c>
      <c r="J1426" s="12">
        <v>0.21299999999999999</v>
      </c>
      <c r="K1426" s="13">
        <v>6</v>
      </c>
      <c r="L1426" s="14">
        <v>2863</v>
      </c>
      <c r="M1426" s="10">
        <v>463</v>
      </c>
      <c r="N1426" s="10">
        <v>316367</v>
      </c>
      <c r="O1426" s="10">
        <v>36308</v>
      </c>
      <c r="P1426" s="10">
        <v>352675</v>
      </c>
    </row>
    <row r="1427" spans="1:16" ht="27" customHeight="1" x14ac:dyDescent="0.2">
      <c r="A1427" s="9" t="s">
        <v>5119</v>
      </c>
      <c r="B1427" s="10" t="s">
        <v>5238</v>
      </c>
      <c r="C1427" s="11" t="s">
        <v>18</v>
      </c>
      <c r="D1427" s="11" t="s">
        <v>19</v>
      </c>
      <c r="E1427" s="11" t="s">
        <v>19</v>
      </c>
      <c r="F1427" s="11" t="s">
        <v>5239</v>
      </c>
      <c r="G1427" s="11" t="s">
        <v>83</v>
      </c>
      <c r="H1427" s="11" t="s">
        <v>5239</v>
      </c>
      <c r="I1427" s="11" t="s">
        <v>5240</v>
      </c>
      <c r="J1427" s="12">
        <v>0.36899999999999999</v>
      </c>
      <c r="K1427" s="13">
        <v>2</v>
      </c>
      <c r="L1427" s="14">
        <v>84</v>
      </c>
      <c r="M1427" s="10">
        <v>31</v>
      </c>
      <c r="N1427" s="10">
        <v>9282</v>
      </c>
      <c r="O1427" s="10">
        <v>2431</v>
      </c>
      <c r="P1427" s="10">
        <v>11713</v>
      </c>
    </row>
    <row r="1428" spans="1:16" ht="27" customHeight="1" x14ac:dyDescent="0.2">
      <c r="A1428" s="9" t="s">
        <v>5119</v>
      </c>
      <c r="B1428" s="10" t="s">
        <v>5238</v>
      </c>
      <c r="C1428" s="11" t="s">
        <v>5241</v>
      </c>
      <c r="D1428" s="11" t="s">
        <v>5242</v>
      </c>
      <c r="E1428" s="11" t="s">
        <v>26</v>
      </c>
      <c r="F1428" s="11" t="s">
        <v>5243</v>
      </c>
      <c r="G1428" s="11" t="s">
        <v>28</v>
      </c>
      <c r="H1428" s="11" t="s">
        <v>5243</v>
      </c>
      <c r="I1428" s="11" t="s">
        <v>5244</v>
      </c>
      <c r="J1428" s="12">
        <v>0.1358</v>
      </c>
      <c r="K1428" s="13">
        <v>1</v>
      </c>
      <c r="L1428" s="14">
        <v>265</v>
      </c>
      <c r="M1428" s="10">
        <v>36</v>
      </c>
      <c r="N1428" s="10">
        <v>29283</v>
      </c>
      <c r="O1428" s="10">
        <v>2823</v>
      </c>
      <c r="P1428" s="10">
        <v>32106</v>
      </c>
    </row>
    <row r="1429" spans="1:16" ht="27" customHeight="1" x14ac:dyDescent="0.2">
      <c r="A1429" s="9" t="s">
        <v>5119</v>
      </c>
      <c r="B1429" s="10" t="s">
        <v>5238</v>
      </c>
      <c r="C1429" s="11" t="s">
        <v>5245</v>
      </c>
      <c r="D1429" s="11" t="s">
        <v>5246</v>
      </c>
      <c r="E1429" s="11" t="s">
        <v>26</v>
      </c>
      <c r="F1429" s="11" t="s">
        <v>5247</v>
      </c>
      <c r="G1429" s="11" t="s">
        <v>28</v>
      </c>
      <c r="H1429" s="11" t="s">
        <v>5247</v>
      </c>
      <c r="I1429" s="11" t="s">
        <v>5248</v>
      </c>
      <c r="J1429" s="12">
        <v>0.3977</v>
      </c>
      <c r="K1429" s="13">
        <v>1</v>
      </c>
      <c r="L1429" s="14">
        <v>342</v>
      </c>
      <c r="M1429" s="10">
        <v>136</v>
      </c>
      <c r="N1429" s="10">
        <v>37792</v>
      </c>
      <c r="O1429" s="10">
        <v>10665</v>
      </c>
      <c r="P1429" s="10">
        <v>48457</v>
      </c>
    </row>
    <row r="1430" spans="1:16" ht="27" customHeight="1" x14ac:dyDescent="0.2">
      <c r="A1430" s="9" t="s">
        <v>5119</v>
      </c>
      <c r="B1430" s="10" t="s">
        <v>5238</v>
      </c>
      <c r="C1430" s="11" t="s">
        <v>5249</v>
      </c>
      <c r="D1430" s="11" t="s">
        <v>5250</v>
      </c>
      <c r="E1430" s="11" t="s">
        <v>26</v>
      </c>
      <c r="F1430" s="11" t="s">
        <v>5251</v>
      </c>
      <c r="G1430" s="11" t="s">
        <v>28</v>
      </c>
      <c r="H1430" s="11" t="s">
        <v>5251</v>
      </c>
      <c r="I1430" s="11" t="s">
        <v>5252</v>
      </c>
      <c r="J1430" s="12">
        <v>0.34200000000000003</v>
      </c>
      <c r="K1430" s="13">
        <v>1</v>
      </c>
      <c r="L1430" s="14">
        <v>4283</v>
      </c>
      <c r="M1430" s="10">
        <v>1465</v>
      </c>
      <c r="N1430" s="10">
        <v>473279</v>
      </c>
      <c r="O1430" s="10">
        <v>114884</v>
      </c>
      <c r="P1430" s="10">
        <v>588163</v>
      </c>
    </row>
    <row r="1431" spans="1:16" ht="27" customHeight="1" x14ac:dyDescent="0.2">
      <c r="A1431" s="9" t="s">
        <v>5119</v>
      </c>
      <c r="B1431" s="10" t="s">
        <v>5238</v>
      </c>
      <c r="C1431" s="11" t="s">
        <v>5253</v>
      </c>
      <c r="D1431" s="11" t="s">
        <v>5254</v>
      </c>
      <c r="E1431" s="11" t="s">
        <v>26</v>
      </c>
      <c r="F1431" s="11" t="s">
        <v>5255</v>
      </c>
      <c r="G1431" s="11" t="s">
        <v>28</v>
      </c>
      <c r="H1431" s="11" t="s">
        <v>5255</v>
      </c>
      <c r="I1431" s="11" t="s">
        <v>5256</v>
      </c>
      <c r="J1431" s="12">
        <v>0.37780000000000002</v>
      </c>
      <c r="K1431" s="13">
        <v>1</v>
      </c>
      <c r="L1431" s="14">
        <v>4891</v>
      </c>
      <c r="M1431" s="10">
        <v>1848</v>
      </c>
      <c r="N1431" s="10">
        <v>540464</v>
      </c>
      <c r="O1431" s="10">
        <v>144918</v>
      </c>
      <c r="P1431" s="10">
        <v>685382</v>
      </c>
    </row>
    <row r="1432" spans="1:16" ht="27" customHeight="1" x14ac:dyDescent="0.2">
      <c r="A1432" s="9" t="s">
        <v>5119</v>
      </c>
      <c r="B1432" s="10" t="s">
        <v>5238</v>
      </c>
      <c r="C1432" s="11" t="s">
        <v>5257</v>
      </c>
      <c r="D1432" s="11" t="s">
        <v>5258</v>
      </c>
      <c r="E1432" s="11" t="s">
        <v>26</v>
      </c>
      <c r="F1432" s="11" t="s">
        <v>5259</v>
      </c>
      <c r="G1432" s="11" t="s">
        <v>28</v>
      </c>
      <c r="H1432" s="11" t="s">
        <v>5259</v>
      </c>
      <c r="I1432" s="11" t="s">
        <v>5260</v>
      </c>
      <c r="J1432" s="12">
        <v>0.87170000000000003</v>
      </c>
      <c r="K1432" s="13">
        <v>1</v>
      </c>
      <c r="L1432" s="14">
        <v>304</v>
      </c>
      <c r="M1432" s="10">
        <v>265</v>
      </c>
      <c r="N1432" s="10">
        <v>33593</v>
      </c>
      <c r="O1432" s="10">
        <v>20781</v>
      </c>
      <c r="P1432" s="10">
        <v>54374</v>
      </c>
    </row>
    <row r="1433" spans="1:16" ht="27" customHeight="1" x14ac:dyDescent="0.2">
      <c r="A1433" s="9" t="s">
        <v>5119</v>
      </c>
      <c r="B1433" s="10" t="s">
        <v>5261</v>
      </c>
      <c r="C1433" s="11" t="s">
        <v>18</v>
      </c>
      <c r="D1433" s="11" t="s">
        <v>19</v>
      </c>
      <c r="E1433" s="11" t="s">
        <v>19</v>
      </c>
      <c r="F1433" s="11" t="s">
        <v>5262</v>
      </c>
      <c r="G1433" s="11" t="s">
        <v>83</v>
      </c>
      <c r="H1433" s="11" t="s">
        <v>5263</v>
      </c>
      <c r="I1433" s="11" t="s">
        <v>5264</v>
      </c>
      <c r="J1433" s="12">
        <v>0.21959999999999999</v>
      </c>
      <c r="K1433" s="13">
        <v>10</v>
      </c>
      <c r="L1433" s="14">
        <v>3791</v>
      </c>
      <c r="M1433" s="10">
        <v>315</v>
      </c>
      <c r="N1433" s="10">
        <v>418912</v>
      </c>
      <c r="O1433" s="10">
        <v>24702</v>
      </c>
      <c r="P1433" s="10">
        <v>443614</v>
      </c>
    </row>
    <row r="1434" spans="1:16" ht="27" customHeight="1" x14ac:dyDescent="0.2">
      <c r="A1434" s="9" t="s">
        <v>5119</v>
      </c>
      <c r="B1434" s="10" t="s">
        <v>5265</v>
      </c>
      <c r="C1434" s="11" t="s">
        <v>18</v>
      </c>
      <c r="D1434" s="11" t="s">
        <v>19</v>
      </c>
      <c r="E1434" s="11" t="s">
        <v>19</v>
      </c>
      <c r="F1434" s="11" t="s">
        <v>5266</v>
      </c>
      <c r="G1434" s="11" t="s">
        <v>83</v>
      </c>
      <c r="H1434" s="11" t="s">
        <v>5267</v>
      </c>
      <c r="I1434" s="11" t="s">
        <v>5268</v>
      </c>
      <c r="J1434" s="12">
        <v>0.31169999999999998</v>
      </c>
      <c r="K1434" s="13">
        <v>10</v>
      </c>
      <c r="L1434" s="14">
        <v>4695</v>
      </c>
      <c r="M1434" s="10">
        <v>851</v>
      </c>
      <c r="N1434" s="10">
        <v>518805</v>
      </c>
      <c r="O1434" s="10">
        <v>66733</v>
      </c>
      <c r="P1434" s="10">
        <v>585538</v>
      </c>
    </row>
    <row r="1435" spans="1:16" ht="27" customHeight="1" x14ac:dyDescent="0.2">
      <c r="A1435" s="9" t="s">
        <v>5119</v>
      </c>
      <c r="B1435" s="10" t="s">
        <v>5269</v>
      </c>
      <c r="C1435" s="11" t="s">
        <v>18</v>
      </c>
      <c r="D1435" s="11" t="s">
        <v>19</v>
      </c>
      <c r="E1435" s="11" t="s">
        <v>19</v>
      </c>
      <c r="F1435" s="11" t="s">
        <v>5270</v>
      </c>
      <c r="G1435" s="11" t="s">
        <v>83</v>
      </c>
      <c r="H1435" s="11" t="s">
        <v>1587</v>
      </c>
      <c r="I1435" s="11" t="s">
        <v>5271</v>
      </c>
      <c r="J1435" s="12">
        <v>0.91320000000000001</v>
      </c>
      <c r="K1435" s="13">
        <v>25</v>
      </c>
      <c r="L1435" s="14">
        <v>14779</v>
      </c>
      <c r="M1435" s="10">
        <v>11363</v>
      </c>
      <c r="N1435" s="10">
        <v>1633104</v>
      </c>
      <c r="O1435" s="10">
        <v>891074</v>
      </c>
      <c r="P1435" s="10">
        <v>2524178</v>
      </c>
    </row>
    <row r="1436" spans="1:16" ht="27" customHeight="1" x14ac:dyDescent="0.2">
      <c r="A1436" s="9" t="s">
        <v>5119</v>
      </c>
      <c r="B1436" s="10" t="s">
        <v>5269</v>
      </c>
      <c r="C1436" s="11" t="s">
        <v>5272</v>
      </c>
      <c r="D1436" s="11" t="s">
        <v>5273</v>
      </c>
      <c r="E1436" s="11" t="s">
        <v>26</v>
      </c>
      <c r="F1436" s="11" t="s">
        <v>5274</v>
      </c>
      <c r="G1436" s="11" t="s">
        <v>28</v>
      </c>
      <c r="H1436" s="11" t="s">
        <v>5274</v>
      </c>
      <c r="I1436" s="11" t="s">
        <v>5275</v>
      </c>
      <c r="J1436" s="12">
        <v>0.41039999999999999</v>
      </c>
      <c r="K1436" s="13">
        <v>1</v>
      </c>
      <c r="L1436" s="14">
        <v>1328</v>
      </c>
      <c r="M1436" s="10">
        <v>545</v>
      </c>
      <c r="N1436" s="10">
        <v>146746</v>
      </c>
      <c r="O1436" s="10">
        <v>42738</v>
      </c>
      <c r="P1436" s="10">
        <v>189484</v>
      </c>
    </row>
    <row r="1437" spans="1:16" ht="27" customHeight="1" x14ac:dyDescent="0.2">
      <c r="A1437" s="9" t="s">
        <v>5119</v>
      </c>
      <c r="B1437" s="10" t="s">
        <v>5269</v>
      </c>
      <c r="C1437" s="11" t="s">
        <v>5276</v>
      </c>
      <c r="D1437" s="11" t="s">
        <v>5277</v>
      </c>
      <c r="E1437" s="11" t="s">
        <v>26</v>
      </c>
      <c r="F1437" s="11" t="s">
        <v>5278</v>
      </c>
      <c r="G1437" s="11" t="s">
        <v>28</v>
      </c>
      <c r="H1437" s="11" t="s">
        <v>5278</v>
      </c>
      <c r="I1437" s="11" t="s">
        <v>5279</v>
      </c>
      <c r="J1437" s="12">
        <v>0.24099999999999999</v>
      </c>
      <c r="K1437" s="13">
        <v>1</v>
      </c>
      <c r="L1437" s="14">
        <v>1531</v>
      </c>
      <c r="M1437" s="10">
        <v>369</v>
      </c>
      <c r="N1437" s="10">
        <v>169178</v>
      </c>
      <c r="O1437" s="10">
        <v>28937</v>
      </c>
      <c r="P1437" s="10">
        <v>198115</v>
      </c>
    </row>
    <row r="1438" spans="1:16" ht="27" customHeight="1" x14ac:dyDescent="0.2">
      <c r="A1438" s="9" t="s">
        <v>5119</v>
      </c>
      <c r="B1438" s="10" t="s">
        <v>5280</v>
      </c>
      <c r="C1438" s="11" t="s">
        <v>18</v>
      </c>
      <c r="D1438" s="11" t="s">
        <v>19</v>
      </c>
      <c r="E1438" s="11" t="s">
        <v>19</v>
      </c>
      <c r="F1438" s="11" t="s">
        <v>5281</v>
      </c>
      <c r="G1438" s="11" t="s">
        <v>83</v>
      </c>
      <c r="H1438" s="11" t="s">
        <v>5122</v>
      </c>
      <c r="I1438" s="11" t="s">
        <v>5123</v>
      </c>
      <c r="J1438" s="12">
        <v>1</v>
      </c>
      <c r="K1438" s="13">
        <v>6</v>
      </c>
      <c r="L1438" s="14">
        <v>6862</v>
      </c>
      <c r="M1438" s="10">
        <v>5567</v>
      </c>
      <c r="N1438" s="10">
        <v>758262</v>
      </c>
      <c r="O1438" s="10">
        <v>436558</v>
      </c>
      <c r="P1438" s="10">
        <v>1194820</v>
      </c>
    </row>
    <row r="1439" spans="1:16" ht="27" customHeight="1" x14ac:dyDescent="0.2">
      <c r="A1439" s="9" t="s">
        <v>5119</v>
      </c>
      <c r="B1439" s="10" t="s">
        <v>5280</v>
      </c>
      <c r="C1439" s="11" t="s">
        <v>5282</v>
      </c>
      <c r="D1439" s="11" t="s">
        <v>5283</v>
      </c>
      <c r="E1439" s="11" t="s">
        <v>26</v>
      </c>
      <c r="F1439" s="11" t="s">
        <v>5284</v>
      </c>
      <c r="G1439" s="11" t="s">
        <v>28</v>
      </c>
      <c r="H1439" s="11" t="s">
        <v>5122</v>
      </c>
      <c r="I1439" s="11" t="s">
        <v>5123</v>
      </c>
      <c r="J1439" s="12">
        <v>1</v>
      </c>
      <c r="K1439" s="13">
        <v>1</v>
      </c>
      <c r="L1439" s="14">
        <v>1283</v>
      </c>
      <c r="M1439" s="10">
        <v>274</v>
      </c>
      <c r="N1439" s="10">
        <v>141774</v>
      </c>
      <c r="O1439" s="10">
        <v>21487</v>
      </c>
      <c r="P1439" s="10">
        <v>163261</v>
      </c>
    </row>
    <row r="1440" spans="1:16" ht="27" customHeight="1" x14ac:dyDescent="0.2">
      <c r="A1440" s="9" t="s">
        <v>5119</v>
      </c>
      <c r="B1440" s="10" t="s">
        <v>5280</v>
      </c>
      <c r="C1440" s="11" t="s">
        <v>5285</v>
      </c>
      <c r="D1440" s="11" t="s">
        <v>5286</v>
      </c>
      <c r="E1440" s="11" t="s">
        <v>26</v>
      </c>
      <c r="F1440" s="11" t="s">
        <v>5287</v>
      </c>
      <c r="G1440" s="11" t="s">
        <v>28</v>
      </c>
      <c r="H1440" s="11" t="s">
        <v>5287</v>
      </c>
      <c r="I1440" s="11" t="s">
        <v>5288</v>
      </c>
      <c r="J1440" s="12">
        <v>0.60360000000000003</v>
      </c>
      <c r="K1440" s="13">
        <v>1</v>
      </c>
      <c r="L1440" s="14">
        <v>111</v>
      </c>
      <c r="M1440" s="10">
        <v>67</v>
      </c>
      <c r="N1440" s="10">
        <v>12266</v>
      </c>
      <c r="O1440" s="10">
        <v>5254</v>
      </c>
      <c r="P1440" s="10">
        <v>17520</v>
      </c>
    </row>
    <row r="1441" spans="1:16" ht="27" customHeight="1" x14ac:dyDescent="0.2">
      <c r="A1441" s="9" t="s">
        <v>5119</v>
      </c>
      <c r="B1441" s="10" t="s">
        <v>5280</v>
      </c>
      <c r="C1441" s="11" t="s">
        <v>5289</v>
      </c>
      <c r="D1441" s="11" t="s">
        <v>5290</v>
      </c>
      <c r="E1441" s="11" t="s">
        <v>26</v>
      </c>
      <c r="F1441" s="11" t="s">
        <v>5291</v>
      </c>
      <c r="G1441" s="11" t="s">
        <v>28</v>
      </c>
      <c r="H1441" s="11" t="s">
        <v>5122</v>
      </c>
      <c r="I1441" s="11" t="s">
        <v>5123</v>
      </c>
      <c r="J1441" s="12">
        <v>1</v>
      </c>
      <c r="K1441" s="13">
        <v>1</v>
      </c>
      <c r="L1441" s="14">
        <v>927</v>
      </c>
      <c r="M1441" s="10">
        <v>435</v>
      </c>
      <c r="N1441" s="10">
        <v>102435</v>
      </c>
      <c r="O1441" s="10">
        <v>34112</v>
      </c>
      <c r="P1441" s="10">
        <v>136547</v>
      </c>
    </row>
    <row r="1442" spans="1:16" ht="27" customHeight="1" x14ac:dyDescent="0.2">
      <c r="A1442" s="9" t="s">
        <v>5119</v>
      </c>
      <c r="B1442" s="10" t="s">
        <v>5292</v>
      </c>
      <c r="C1442" s="11" t="s">
        <v>18</v>
      </c>
      <c r="D1442" s="11" t="s">
        <v>19</v>
      </c>
      <c r="E1442" s="11" t="s">
        <v>19</v>
      </c>
      <c r="F1442" s="11" t="s">
        <v>5293</v>
      </c>
      <c r="G1442" s="11" t="s">
        <v>83</v>
      </c>
      <c r="H1442" s="11" t="s">
        <v>5294</v>
      </c>
      <c r="I1442" s="11" t="s">
        <v>5295</v>
      </c>
      <c r="J1442" s="12">
        <v>0.89259999999999995</v>
      </c>
      <c r="K1442" s="13">
        <v>12</v>
      </c>
      <c r="L1442" s="14">
        <v>5186</v>
      </c>
      <c r="M1442" s="10">
        <v>3889</v>
      </c>
      <c r="N1442" s="10">
        <v>573062</v>
      </c>
      <c r="O1442" s="10">
        <v>304971</v>
      </c>
      <c r="P1442" s="10">
        <v>878033</v>
      </c>
    </row>
    <row r="1443" spans="1:16" ht="27" customHeight="1" x14ac:dyDescent="0.2">
      <c r="A1443" s="9" t="s">
        <v>5119</v>
      </c>
      <c r="B1443" s="10" t="s">
        <v>5296</v>
      </c>
      <c r="C1443" s="11" t="s">
        <v>18</v>
      </c>
      <c r="D1443" s="11" t="s">
        <v>19</v>
      </c>
      <c r="E1443" s="11" t="s">
        <v>19</v>
      </c>
      <c r="F1443" s="11" t="s">
        <v>5297</v>
      </c>
      <c r="G1443" s="11" t="s">
        <v>83</v>
      </c>
      <c r="H1443" s="11" t="s">
        <v>5122</v>
      </c>
      <c r="I1443" s="11" t="s">
        <v>5123</v>
      </c>
      <c r="J1443" s="12">
        <v>1</v>
      </c>
      <c r="K1443" s="13">
        <v>4</v>
      </c>
      <c r="L1443" s="14">
        <v>2093</v>
      </c>
      <c r="M1443" s="10">
        <v>1498</v>
      </c>
      <c r="N1443" s="10">
        <v>231280</v>
      </c>
      <c r="O1443" s="10">
        <v>117471</v>
      </c>
      <c r="P1443" s="10">
        <v>348751</v>
      </c>
    </row>
    <row r="1444" spans="1:16" ht="27" customHeight="1" x14ac:dyDescent="0.2">
      <c r="A1444" s="9" t="s">
        <v>5119</v>
      </c>
      <c r="B1444" s="10" t="s">
        <v>5298</v>
      </c>
      <c r="C1444" s="11" t="s">
        <v>18</v>
      </c>
      <c r="D1444" s="11" t="s">
        <v>19</v>
      </c>
      <c r="E1444" s="11" t="s">
        <v>19</v>
      </c>
      <c r="F1444" s="11" t="s">
        <v>5299</v>
      </c>
      <c r="G1444" s="11" t="s">
        <v>83</v>
      </c>
      <c r="H1444" s="11" t="s">
        <v>5122</v>
      </c>
      <c r="I1444" s="11" t="s">
        <v>5123</v>
      </c>
      <c r="J1444" s="12">
        <v>1</v>
      </c>
      <c r="K1444" s="13">
        <v>16</v>
      </c>
      <c r="L1444" s="14">
        <v>16675</v>
      </c>
      <c r="M1444" s="10">
        <v>10445</v>
      </c>
      <c r="N1444" s="10">
        <v>1842617</v>
      </c>
      <c r="O1444" s="10">
        <v>819087</v>
      </c>
      <c r="P1444" s="10">
        <v>2661704</v>
      </c>
    </row>
    <row r="1445" spans="1:16" ht="27" customHeight="1" x14ac:dyDescent="0.2">
      <c r="A1445" s="9" t="s">
        <v>5119</v>
      </c>
      <c r="B1445" s="10" t="s">
        <v>5298</v>
      </c>
      <c r="C1445" s="11" t="s">
        <v>5300</v>
      </c>
      <c r="D1445" s="11" t="s">
        <v>5301</v>
      </c>
      <c r="E1445" s="11" t="s">
        <v>26</v>
      </c>
      <c r="F1445" s="11" t="s">
        <v>5302</v>
      </c>
      <c r="G1445" s="11" t="s">
        <v>28</v>
      </c>
      <c r="H1445" s="11" t="s">
        <v>5302</v>
      </c>
      <c r="I1445" s="11" t="s">
        <v>5303</v>
      </c>
      <c r="J1445" s="12">
        <v>0.59460000000000002</v>
      </c>
      <c r="K1445" s="13">
        <v>1</v>
      </c>
      <c r="L1445" s="14">
        <v>407</v>
      </c>
      <c r="M1445" s="10">
        <v>242</v>
      </c>
      <c r="N1445" s="10">
        <v>44974</v>
      </c>
      <c r="O1445" s="10">
        <v>18977</v>
      </c>
      <c r="P1445" s="10">
        <v>63951</v>
      </c>
    </row>
    <row r="1446" spans="1:16" ht="27" customHeight="1" x14ac:dyDescent="0.2">
      <c r="A1446" s="9" t="s">
        <v>5119</v>
      </c>
      <c r="B1446" s="10" t="s">
        <v>5298</v>
      </c>
      <c r="C1446" s="11" t="s">
        <v>5304</v>
      </c>
      <c r="D1446" s="11" t="s">
        <v>5305</v>
      </c>
      <c r="E1446" s="11" t="s">
        <v>26</v>
      </c>
      <c r="F1446" s="11" t="s">
        <v>5306</v>
      </c>
      <c r="G1446" s="11" t="s">
        <v>28</v>
      </c>
      <c r="H1446" s="11" t="s">
        <v>5122</v>
      </c>
      <c r="I1446" s="11" t="s">
        <v>5123</v>
      </c>
      <c r="J1446" s="12">
        <v>1</v>
      </c>
      <c r="K1446" s="13">
        <v>1</v>
      </c>
      <c r="L1446" s="14">
        <v>2168</v>
      </c>
      <c r="M1446" s="10">
        <v>1009</v>
      </c>
      <c r="N1446" s="10">
        <v>239568</v>
      </c>
      <c r="O1446" s="10">
        <v>79125</v>
      </c>
      <c r="P1446" s="10">
        <v>318693</v>
      </c>
    </row>
    <row r="1447" spans="1:16" ht="27" customHeight="1" x14ac:dyDescent="0.2">
      <c r="A1447" s="9" t="s">
        <v>5119</v>
      </c>
      <c r="B1447" s="10" t="s">
        <v>5298</v>
      </c>
      <c r="C1447" s="11" t="s">
        <v>5307</v>
      </c>
      <c r="D1447" s="11" t="s">
        <v>5308</v>
      </c>
      <c r="E1447" s="11" t="s">
        <v>26</v>
      </c>
      <c r="F1447" s="11" t="s">
        <v>5309</v>
      </c>
      <c r="G1447" s="11" t="s">
        <v>28</v>
      </c>
      <c r="H1447" s="11" t="s">
        <v>5122</v>
      </c>
      <c r="I1447" s="11" t="s">
        <v>5123</v>
      </c>
      <c r="J1447" s="12">
        <v>1</v>
      </c>
      <c r="K1447" s="13">
        <v>1</v>
      </c>
      <c r="L1447" s="14">
        <v>2502</v>
      </c>
      <c r="M1447" s="10">
        <v>1538</v>
      </c>
      <c r="N1447" s="10">
        <v>276475</v>
      </c>
      <c r="O1447" s="10">
        <v>120608</v>
      </c>
      <c r="P1447" s="10">
        <v>397083</v>
      </c>
    </row>
    <row r="1448" spans="1:16" ht="27" customHeight="1" x14ac:dyDescent="0.2">
      <c r="A1448" s="9" t="s">
        <v>5119</v>
      </c>
      <c r="B1448" s="10" t="s">
        <v>5310</v>
      </c>
      <c r="C1448" s="11" t="s">
        <v>18</v>
      </c>
      <c r="D1448" s="11" t="s">
        <v>19</v>
      </c>
      <c r="E1448" s="11" t="s">
        <v>19</v>
      </c>
      <c r="F1448" s="11" t="s">
        <v>5311</v>
      </c>
      <c r="G1448" s="11" t="s">
        <v>83</v>
      </c>
      <c r="H1448" s="11" t="s">
        <v>5312</v>
      </c>
      <c r="I1448" s="11" t="s">
        <v>5313</v>
      </c>
      <c r="J1448" s="12">
        <v>0.58899999999999997</v>
      </c>
      <c r="K1448" s="13">
        <v>3</v>
      </c>
      <c r="L1448" s="14">
        <v>571</v>
      </c>
      <c r="M1448" s="10">
        <v>320</v>
      </c>
      <c r="N1448" s="10">
        <v>63096</v>
      </c>
      <c r="O1448" s="10">
        <v>25095</v>
      </c>
      <c r="P1448" s="10">
        <v>88191</v>
      </c>
    </row>
    <row r="1449" spans="1:16" ht="27" customHeight="1" x14ac:dyDescent="0.2">
      <c r="A1449" s="9" t="s">
        <v>5119</v>
      </c>
      <c r="B1449" s="10" t="s">
        <v>5310</v>
      </c>
      <c r="C1449" s="11" t="s">
        <v>5314</v>
      </c>
      <c r="D1449" s="11" t="s">
        <v>5315</v>
      </c>
      <c r="E1449" s="11" t="s">
        <v>26</v>
      </c>
      <c r="F1449" s="11" t="s">
        <v>5316</v>
      </c>
      <c r="G1449" s="11" t="s">
        <v>28</v>
      </c>
      <c r="H1449" s="11" t="s">
        <v>5316</v>
      </c>
      <c r="I1449" s="11" t="s">
        <v>5317</v>
      </c>
      <c r="J1449" s="12">
        <v>0.4481</v>
      </c>
      <c r="K1449" s="13">
        <v>1</v>
      </c>
      <c r="L1449" s="14">
        <v>183</v>
      </c>
      <c r="M1449" s="10">
        <v>82</v>
      </c>
      <c r="N1449" s="10">
        <v>20222</v>
      </c>
      <c r="O1449" s="10">
        <v>6430</v>
      </c>
      <c r="P1449" s="10">
        <v>26652</v>
      </c>
    </row>
    <row r="1450" spans="1:16" ht="27" customHeight="1" x14ac:dyDescent="0.2">
      <c r="A1450" s="9" t="s">
        <v>5119</v>
      </c>
      <c r="B1450" s="10" t="s">
        <v>5318</v>
      </c>
      <c r="C1450" s="11" t="s">
        <v>18</v>
      </c>
      <c r="D1450" s="11" t="s">
        <v>19</v>
      </c>
      <c r="E1450" s="11" t="s">
        <v>19</v>
      </c>
      <c r="F1450" s="11" t="s">
        <v>5319</v>
      </c>
      <c r="G1450" s="11" t="s">
        <v>83</v>
      </c>
      <c r="H1450" s="11" t="s">
        <v>5320</v>
      </c>
      <c r="I1450" s="11" t="s">
        <v>5321</v>
      </c>
      <c r="J1450" s="12">
        <v>0.64710000000000001</v>
      </c>
      <c r="K1450" s="13">
        <v>3</v>
      </c>
      <c r="L1450" s="14">
        <v>279</v>
      </c>
      <c r="M1450" s="10">
        <v>183</v>
      </c>
      <c r="N1450" s="10">
        <v>30830</v>
      </c>
      <c r="O1450" s="10">
        <v>14351</v>
      </c>
      <c r="P1450" s="10">
        <v>45181</v>
      </c>
    </row>
    <row r="1451" spans="1:16" ht="27" customHeight="1" x14ac:dyDescent="0.2">
      <c r="A1451" s="9" t="s">
        <v>5119</v>
      </c>
      <c r="B1451" s="10" t="s">
        <v>5318</v>
      </c>
      <c r="C1451" s="11" t="s">
        <v>5322</v>
      </c>
      <c r="D1451" s="11" t="s">
        <v>5323</v>
      </c>
      <c r="E1451" s="11" t="s">
        <v>26</v>
      </c>
      <c r="F1451" s="11" t="s">
        <v>5324</v>
      </c>
      <c r="G1451" s="11" t="s">
        <v>28</v>
      </c>
      <c r="H1451" s="11" t="s">
        <v>5324</v>
      </c>
      <c r="I1451" s="11" t="s">
        <v>5325</v>
      </c>
      <c r="J1451" s="12">
        <v>0.53790000000000004</v>
      </c>
      <c r="K1451" s="13">
        <v>1</v>
      </c>
      <c r="L1451" s="14">
        <v>277</v>
      </c>
      <c r="M1451" s="10">
        <v>149</v>
      </c>
      <c r="N1451" s="10">
        <v>30609</v>
      </c>
      <c r="O1451" s="10">
        <v>11684</v>
      </c>
      <c r="P1451" s="10">
        <v>42293</v>
      </c>
    </row>
    <row r="1452" spans="1:16" ht="27" customHeight="1" x14ac:dyDescent="0.2">
      <c r="A1452" s="9" t="s">
        <v>5119</v>
      </c>
      <c r="B1452" s="10" t="s">
        <v>5318</v>
      </c>
      <c r="C1452" s="11" t="s">
        <v>5326</v>
      </c>
      <c r="D1452" s="11" t="s">
        <v>5327</v>
      </c>
      <c r="E1452" s="11" t="s">
        <v>26</v>
      </c>
      <c r="F1452" s="11" t="s">
        <v>5328</v>
      </c>
      <c r="G1452" s="11" t="s">
        <v>28</v>
      </c>
      <c r="H1452" s="11" t="s">
        <v>5328</v>
      </c>
      <c r="I1452" s="11" t="s">
        <v>5329</v>
      </c>
      <c r="J1452" s="12">
        <v>0.82479999999999998</v>
      </c>
      <c r="K1452" s="13">
        <v>1</v>
      </c>
      <c r="L1452" s="14">
        <v>411</v>
      </c>
      <c r="M1452" s="10">
        <v>339</v>
      </c>
      <c r="N1452" s="10">
        <v>45416</v>
      </c>
      <c r="O1452" s="10">
        <v>26584</v>
      </c>
      <c r="P1452" s="10">
        <v>72000</v>
      </c>
    </row>
    <row r="1453" spans="1:16" ht="27" customHeight="1" x14ac:dyDescent="0.2">
      <c r="A1453" s="9" t="s">
        <v>5119</v>
      </c>
      <c r="B1453" s="10" t="s">
        <v>5318</v>
      </c>
      <c r="C1453" s="11" t="s">
        <v>5330</v>
      </c>
      <c r="D1453" s="11" t="s">
        <v>5331</v>
      </c>
      <c r="E1453" s="11" t="s">
        <v>26</v>
      </c>
      <c r="F1453" s="11" t="s">
        <v>5332</v>
      </c>
      <c r="G1453" s="11" t="s">
        <v>28</v>
      </c>
      <c r="H1453" s="11" t="s">
        <v>5332</v>
      </c>
      <c r="I1453" s="11" t="s">
        <v>5333</v>
      </c>
      <c r="J1453" s="12">
        <v>0.14349999999999999</v>
      </c>
      <c r="K1453" s="13">
        <v>1</v>
      </c>
      <c r="L1453" s="14">
        <v>237</v>
      </c>
      <c r="M1453" s="10">
        <v>34</v>
      </c>
      <c r="N1453" s="10">
        <v>26189</v>
      </c>
      <c r="O1453" s="10">
        <v>2666</v>
      </c>
      <c r="P1453" s="10">
        <v>28855</v>
      </c>
    </row>
    <row r="1454" spans="1:16" ht="27" customHeight="1" x14ac:dyDescent="0.2">
      <c r="A1454" s="9" t="s">
        <v>5119</v>
      </c>
      <c r="B1454" s="10" t="s">
        <v>5318</v>
      </c>
      <c r="C1454" s="11" t="s">
        <v>5334</v>
      </c>
      <c r="D1454" s="11" t="s">
        <v>5335</v>
      </c>
      <c r="E1454" s="11" t="s">
        <v>26</v>
      </c>
      <c r="F1454" s="11" t="s">
        <v>5336</v>
      </c>
      <c r="G1454" s="11" t="s">
        <v>28</v>
      </c>
      <c r="H1454" s="11" t="s">
        <v>5336</v>
      </c>
      <c r="I1454" s="11" t="s">
        <v>5337</v>
      </c>
      <c r="J1454" s="12">
        <v>0.375</v>
      </c>
      <c r="K1454" s="13">
        <v>1</v>
      </c>
      <c r="L1454" s="14">
        <v>136</v>
      </c>
      <c r="M1454" s="10">
        <v>51</v>
      </c>
      <c r="N1454" s="10">
        <v>15028</v>
      </c>
      <c r="O1454" s="10">
        <v>3999</v>
      </c>
      <c r="P1454" s="10">
        <v>19027</v>
      </c>
    </row>
    <row r="1455" spans="1:16" ht="27" customHeight="1" x14ac:dyDescent="0.2">
      <c r="A1455" s="9" t="s">
        <v>5119</v>
      </c>
      <c r="B1455" s="10" t="s">
        <v>5318</v>
      </c>
      <c r="C1455" s="11" t="s">
        <v>5338</v>
      </c>
      <c r="D1455" s="11" t="s">
        <v>5339</v>
      </c>
      <c r="E1455" s="11" t="s">
        <v>26</v>
      </c>
      <c r="F1455" s="11" t="s">
        <v>5340</v>
      </c>
      <c r="G1455" s="11" t="s">
        <v>28</v>
      </c>
      <c r="H1455" s="11" t="s">
        <v>5340</v>
      </c>
      <c r="I1455" s="11" t="s">
        <v>5341</v>
      </c>
      <c r="J1455" s="12">
        <v>0.70450000000000002</v>
      </c>
      <c r="K1455" s="13">
        <v>1</v>
      </c>
      <c r="L1455" s="14">
        <v>379</v>
      </c>
      <c r="M1455" s="10">
        <v>267</v>
      </c>
      <c r="N1455" s="10">
        <v>41880</v>
      </c>
      <c r="O1455" s="10">
        <v>20938</v>
      </c>
      <c r="P1455" s="10">
        <v>62818</v>
      </c>
    </row>
    <row r="1456" spans="1:16" ht="27" customHeight="1" x14ac:dyDescent="0.2">
      <c r="A1456" s="9" t="s">
        <v>5119</v>
      </c>
      <c r="B1456" s="10" t="s">
        <v>5318</v>
      </c>
      <c r="C1456" s="11" t="s">
        <v>5342</v>
      </c>
      <c r="D1456" s="11" t="s">
        <v>5343</v>
      </c>
      <c r="E1456" s="11" t="s">
        <v>26</v>
      </c>
      <c r="F1456" s="11" t="s">
        <v>5344</v>
      </c>
      <c r="G1456" s="11" t="s">
        <v>28</v>
      </c>
      <c r="H1456" s="11" t="s">
        <v>5344</v>
      </c>
      <c r="I1456" s="11" t="s">
        <v>5345</v>
      </c>
      <c r="J1456" s="12">
        <v>0.38419999999999999</v>
      </c>
      <c r="K1456" s="13">
        <v>1</v>
      </c>
      <c r="L1456" s="14">
        <v>203</v>
      </c>
      <c r="M1456" s="10">
        <v>78</v>
      </c>
      <c r="N1456" s="10">
        <v>22432</v>
      </c>
      <c r="O1456" s="10">
        <v>6117</v>
      </c>
      <c r="P1456" s="10">
        <v>28549</v>
      </c>
    </row>
    <row r="1457" spans="1:16" ht="27" customHeight="1" x14ac:dyDescent="0.2">
      <c r="A1457" s="9" t="s">
        <v>5119</v>
      </c>
      <c r="B1457" s="10" t="s">
        <v>5346</v>
      </c>
      <c r="C1457" s="11" t="s">
        <v>18</v>
      </c>
      <c r="D1457" s="11" t="s">
        <v>19</v>
      </c>
      <c r="E1457" s="11" t="s">
        <v>19</v>
      </c>
      <c r="F1457" s="11" t="s">
        <v>5347</v>
      </c>
      <c r="G1457" s="11" t="s">
        <v>83</v>
      </c>
      <c r="H1457" s="11" t="s">
        <v>5122</v>
      </c>
      <c r="I1457" s="11" t="s">
        <v>5123</v>
      </c>
      <c r="J1457" s="12">
        <v>1</v>
      </c>
      <c r="K1457" s="13">
        <v>2</v>
      </c>
      <c r="L1457" s="14">
        <v>100</v>
      </c>
      <c r="M1457" s="10">
        <v>53</v>
      </c>
      <c r="N1457" s="10">
        <v>11050</v>
      </c>
      <c r="O1457" s="10">
        <v>4156</v>
      </c>
      <c r="P1457" s="10">
        <v>15206</v>
      </c>
    </row>
    <row r="1458" spans="1:16" ht="27" customHeight="1" x14ac:dyDescent="0.2">
      <c r="A1458" s="9" t="s">
        <v>5119</v>
      </c>
      <c r="B1458" s="10" t="s">
        <v>5348</v>
      </c>
      <c r="C1458" s="11" t="s">
        <v>18</v>
      </c>
      <c r="D1458" s="11" t="s">
        <v>19</v>
      </c>
      <c r="E1458" s="11" t="s">
        <v>19</v>
      </c>
      <c r="F1458" s="11" t="s">
        <v>1568</v>
      </c>
      <c r="G1458" s="11" t="s">
        <v>83</v>
      </c>
      <c r="H1458" s="11" t="s">
        <v>5349</v>
      </c>
      <c r="I1458" s="11" t="s">
        <v>5350</v>
      </c>
      <c r="J1458" s="12">
        <v>0.66890000000000005</v>
      </c>
      <c r="K1458" s="13">
        <v>11</v>
      </c>
      <c r="L1458" s="14">
        <v>4640</v>
      </c>
      <c r="M1458" s="10">
        <v>1637</v>
      </c>
      <c r="N1458" s="10">
        <v>512730</v>
      </c>
      <c r="O1458" s="10">
        <v>128372</v>
      </c>
      <c r="P1458" s="10">
        <v>641102</v>
      </c>
    </row>
    <row r="1459" spans="1:16" ht="27" customHeight="1" x14ac:dyDescent="0.2">
      <c r="A1459" s="9" t="s">
        <v>5119</v>
      </c>
      <c r="B1459" s="10" t="s">
        <v>5348</v>
      </c>
      <c r="C1459" s="11" t="s">
        <v>5351</v>
      </c>
      <c r="D1459" s="11" t="s">
        <v>5352</v>
      </c>
      <c r="E1459" s="11" t="s">
        <v>26</v>
      </c>
      <c r="F1459" s="11" t="s">
        <v>5353</v>
      </c>
      <c r="G1459" s="11" t="s">
        <v>28</v>
      </c>
      <c r="H1459" s="11" t="s">
        <v>5122</v>
      </c>
      <c r="I1459" s="11" t="s">
        <v>5123</v>
      </c>
      <c r="J1459" s="12">
        <v>1</v>
      </c>
      <c r="K1459" s="13">
        <v>1</v>
      </c>
      <c r="L1459" s="14">
        <v>228</v>
      </c>
      <c r="M1459" s="10">
        <v>37</v>
      </c>
      <c r="N1459" s="10">
        <v>25194</v>
      </c>
      <c r="O1459" s="10">
        <v>2902</v>
      </c>
      <c r="P1459" s="10">
        <v>28096</v>
      </c>
    </row>
    <row r="1460" spans="1:16" ht="27" customHeight="1" x14ac:dyDescent="0.2">
      <c r="A1460" s="9" t="s">
        <v>5119</v>
      </c>
      <c r="B1460" s="10" t="s">
        <v>5348</v>
      </c>
      <c r="C1460" s="11" t="s">
        <v>5354</v>
      </c>
      <c r="D1460" s="11" t="s">
        <v>5355</v>
      </c>
      <c r="E1460" s="11" t="s">
        <v>26</v>
      </c>
      <c r="F1460" s="11" t="s">
        <v>5356</v>
      </c>
      <c r="G1460" s="11" t="s">
        <v>28</v>
      </c>
      <c r="H1460" s="11" t="s">
        <v>5356</v>
      </c>
      <c r="I1460" s="11" t="s">
        <v>5357</v>
      </c>
      <c r="J1460" s="12">
        <v>0.46910000000000002</v>
      </c>
      <c r="K1460" s="13">
        <v>1</v>
      </c>
      <c r="L1460" s="14">
        <v>81</v>
      </c>
      <c r="M1460" s="10">
        <v>38</v>
      </c>
      <c r="N1460" s="10">
        <v>8951</v>
      </c>
      <c r="O1460" s="10">
        <v>2980</v>
      </c>
      <c r="P1460" s="10">
        <v>11931</v>
      </c>
    </row>
    <row r="1461" spans="1:16" ht="27" customHeight="1" x14ac:dyDescent="0.2">
      <c r="A1461" s="9" t="s">
        <v>5119</v>
      </c>
      <c r="B1461" s="10" t="s">
        <v>5358</v>
      </c>
      <c r="C1461" s="11" t="s">
        <v>18</v>
      </c>
      <c r="D1461" s="11" t="s">
        <v>19</v>
      </c>
      <c r="E1461" s="11" t="s">
        <v>19</v>
      </c>
      <c r="F1461" s="11" t="s">
        <v>5359</v>
      </c>
      <c r="G1461" s="11" t="s">
        <v>83</v>
      </c>
      <c r="H1461" s="11" t="s">
        <v>5360</v>
      </c>
      <c r="I1461" s="11" t="s">
        <v>5361</v>
      </c>
      <c r="J1461" s="12">
        <v>0.89249999999999996</v>
      </c>
      <c r="K1461" s="13">
        <v>23</v>
      </c>
      <c r="L1461" s="14">
        <v>10990</v>
      </c>
      <c r="M1461" s="10">
        <v>7094</v>
      </c>
      <c r="N1461" s="10">
        <v>1214412</v>
      </c>
      <c r="O1461" s="10">
        <v>556302</v>
      </c>
      <c r="P1461" s="10">
        <v>1770714</v>
      </c>
    </row>
    <row r="1462" spans="1:16" ht="27" customHeight="1" x14ac:dyDescent="0.2">
      <c r="A1462" s="9" t="s">
        <v>5119</v>
      </c>
      <c r="B1462" s="10" t="s">
        <v>5358</v>
      </c>
      <c r="C1462" s="11" t="s">
        <v>5362</v>
      </c>
      <c r="D1462" s="11" t="s">
        <v>5363</v>
      </c>
      <c r="E1462" s="11" t="s">
        <v>26</v>
      </c>
      <c r="F1462" s="11" t="s">
        <v>5364</v>
      </c>
      <c r="G1462" s="11" t="s">
        <v>28</v>
      </c>
      <c r="H1462" s="11" t="s">
        <v>5364</v>
      </c>
      <c r="I1462" s="11" t="s">
        <v>5365</v>
      </c>
      <c r="J1462" s="12">
        <v>0.28820000000000001</v>
      </c>
      <c r="K1462" s="13">
        <v>1</v>
      </c>
      <c r="L1462" s="14">
        <v>399</v>
      </c>
      <c r="M1462" s="10">
        <v>115</v>
      </c>
      <c r="N1462" s="10">
        <v>44090</v>
      </c>
      <c r="O1462" s="10">
        <v>9018</v>
      </c>
      <c r="P1462" s="10">
        <v>53108</v>
      </c>
    </row>
    <row r="1463" spans="1:16" ht="27" customHeight="1" x14ac:dyDescent="0.2">
      <c r="A1463" s="9" t="s">
        <v>5119</v>
      </c>
      <c r="B1463" s="10" t="s">
        <v>5366</v>
      </c>
      <c r="C1463" s="11" t="s">
        <v>18</v>
      </c>
      <c r="D1463" s="11" t="s">
        <v>19</v>
      </c>
      <c r="E1463" s="11" t="s">
        <v>19</v>
      </c>
      <c r="F1463" s="11" t="s">
        <v>5367</v>
      </c>
      <c r="G1463" s="11" t="s">
        <v>83</v>
      </c>
      <c r="H1463" s="11" t="s">
        <v>5368</v>
      </c>
      <c r="I1463" s="11" t="s">
        <v>5369</v>
      </c>
      <c r="J1463" s="12">
        <v>0.66739999999999999</v>
      </c>
      <c r="K1463" s="13">
        <v>9</v>
      </c>
      <c r="L1463" s="14">
        <v>3301</v>
      </c>
      <c r="M1463" s="10">
        <v>1901</v>
      </c>
      <c r="N1463" s="10">
        <v>364767</v>
      </c>
      <c r="O1463" s="10">
        <v>149076</v>
      </c>
      <c r="P1463" s="10">
        <v>513843</v>
      </c>
    </row>
    <row r="1464" spans="1:16" ht="27" customHeight="1" x14ac:dyDescent="0.2">
      <c r="A1464" s="9" t="s">
        <v>5119</v>
      </c>
      <c r="B1464" s="10" t="s">
        <v>5370</v>
      </c>
      <c r="C1464" s="11" t="s">
        <v>18</v>
      </c>
      <c r="D1464" s="11" t="s">
        <v>19</v>
      </c>
      <c r="E1464" s="11" t="s">
        <v>19</v>
      </c>
      <c r="F1464" s="11" t="s">
        <v>5371</v>
      </c>
      <c r="G1464" s="11" t="s">
        <v>83</v>
      </c>
      <c r="H1464" s="11" t="s">
        <v>1887</v>
      </c>
      <c r="I1464" s="11" t="s">
        <v>5372</v>
      </c>
      <c r="J1464" s="12">
        <v>0.72729999999999995</v>
      </c>
      <c r="K1464" s="13">
        <v>11</v>
      </c>
      <c r="L1464" s="14">
        <v>1728</v>
      </c>
      <c r="M1464" s="10">
        <v>990</v>
      </c>
      <c r="N1464" s="10">
        <v>190948</v>
      </c>
      <c r="O1464" s="10">
        <v>77635</v>
      </c>
      <c r="P1464" s="10">
        <v>268583</v>
      </c>
    </row>
    <row r="1465" spans="1:16" ht="27" customHeight="1" x14ac:dyDescent="0.2">
      <c r="A1465" s="9" t="s">
        <v>5119</v>
      </c>
      <c r="B1465" s="10" t="s">
        <v>5370</v>
      </c>
      <c r="C1465" s="11" t="s">
        <v>5373</v>
      </c>
      <c r="D1465" s="11" t="s">
        <v>5374</v>
      </c>
      <c r="E1465" s="11" t="s">
        <v>26</v>
      </c>
      <c r="F1465" s="11" t="s">
        <v>5375</v>
      </c>
      <c r="G1465" s="11" t="s">
        <v>28</v>
      </c>
      <c r="H1465" s="11" t="s">
        <v>5375</v>
      </c>
      <c r="I1465" s="11" t="s">
        <v>5376</v>
      </c>
      <c r="J1465" s="12">
        <v>0.6482</v>
      </c>
      <c r="K1465" s="13">
        <v>1</v>
      </c>
      <c r="L1465" s="14">
        <v>398</v>
      </c>
      <c r="M1465" s="10">
        <v>258</v>
      </c>
      <c r="N1465" s="10">
        <v>43980</v>
      </c>
      <c r="O1465" s="10">
        <v>20232</v>
      </c>
      <c r="P1465" s="10">
        <v>64212</v>
      </c>
    </row>
    <row r="1466" spans="1:16" ht="27" customHeight="1" x14ac:dyDescent="0.2">
      <c r="A1466" s="9" t="s">
        <v>5119</v>
      </c>
      <c r="B1466" s="10" t="s">
        <v>5370</v>
      </c>
      <c r="C1466" s="11" t="s">
        <v>5377</v>
      </c>
      <c r="D1466" s="11" t="s">
        <v>5378</v>
      </c>
      <c r="E1466" s="11" t="s">
        <v>26</v>
      </c>
      <c r="F1466" s="11" t="s">
        <v>5379</v>
      </c>
      <c r="G1466" s="11" t="s">
        <v>28</v>
      </c>
      <c r="H1466" s="11" t="s">
        <v>5379</v>
      </c>
      <c r="I1466" s="11" t="s">
        <v>5380</v>
      </c>
      <c r="J1466" s="12">
        <v>0.51280000000000003</v>
      </c>
      <c r="K1466" s="13">
        <v>1</v>
      </c>
      <c r="L1466" s="14">
        <v>819</v>
      </c>
      <c r="M1466" s="10">
        <v>420</v>
      </c>
      <c r="N1466" s="10">
        <v>90501</v>
      </c>
      <c r="O1466" s="10">
        <v>32936</v>
      </c>
      <c r="P1466" s="10">
        <v>123437</v>
      </c>
    </row>
    <row r="1467" spans="1:16" ht="27" customHeight="1" x14ac:dyDescent="0.2">
      <c r="A1467" s="9" t="s">
        <v>5119</v>
      </c>
      <c r="B1467" s="10" t="s">
        <v>5370</v>
      </c>
      <c r="C1467" s="11" t="s">
        <v>5381</v>
      </c>
      <c r="D1467" s="11" t="s">
        <v>5382</v>
      </c>
      <c r="E1467" s="11" t="s">
        <v>26</v>
      </c>
      <c r="F1467" s="11" t="s">
        <v>5383</v>
      </c>
      <c r="G1467" s="11" t="s">
        <v>28</v>
      </c>
      <c r="H1467" s="11" t="s">
        <v>5383</v>
      </c>
      <c r="I1467" s="11" t="s">
        <v>5384</v>
      </c>
      <c r="J1467" s="12">
        <v>0.73199999999999998</v>
      </c>
      <c r="K1467" s="13">
        <v>1</v>
      </c>
      <c r="L1467" s="14">
        <v>194</v>
      </c>
      <c r="M1467" s="10">
        <v>142</v>
      </c>
      <c r="N1467" s="10">
        <v>21437</v>
      </c>
      <c r="O1467" s="10">
        <v>11135</v>
      </c>
      <c r="P1467" s="10">
        <v>32572</v>
      </c>
    </row>
    <row r="1468" spans="1:16" ht="27" customHeight="1" x14ac:dyDescent="0.2">
      <c r="A1468" s="9" t="s">
        <v>5119</v>
      </c>
      <c r="B1468" s="10" t="s">
        <v>5370</v>
      </c>
      <c r="C1468" s="11" t="s">
        <v>5385</v>
      </c>
      <c r="D1468" s="11" t="s">
        <v>5386</v>
      </c>
      <c r="E1468" s="11" t="s">
        <v>26</v>
      </c>
      <c r="F1468" s="11" t="s">
        <v>5387</v>
      </c>
      <c r="G1468" s="11" t="s">
        <v>28</v>
      </c>
      <c r="H1468" s="11" t="s">
        <v>5387</v>
      </c>
      <c r="I1468" s="11" t="s">
        <v>5388</v>
      </c>
      <c r="J1468" s="12">
        <v>0.41</v>
      </c>
      <c r="K1468" s="13">
        <v>1</v>
      </c>
      <c r="L1468" s="14">
        <v>817</v>
      </c>
      <c r="M1468" s="10">
        <v>335</v>
      </c>
      <c r="N1468" s="10">
        <v>90280</v>
      </c>
      <c r="O1468" s="10">
        <v>26270</v>
      </c>
      <c r="P1468" s="10">
        <v>116550</v>
      </c>
    </row>
    <row r="1469" spans="1:16" ht="27" customHeight="1" x14ac:dyDescent="0.2">
      <c r="A1469" s="9" t="s">
        <v>5119</v>
      </c>
      <c r="B1469" s="10" t="s">
        <v>5370</v>
      </c>
      <c r="C1469" s="11" t="s">
        <v>5389</v>
      </c>
      <c r="D1469" s="11" t="s">
        <v>5390</v>
      </c>
      <c r="E1469" s="11" t="s">
        <v>26</v>
      </c>
      <c r="F1469" s="11" t="s">
        <v>5391</v>
      </c>
      <c r="G1469" s="11" t="s">
        <v>28</v>
      </c>
      <c r="H1469" s="11" t="s">
        <v>5391</v>
      </c>
      <c r="I1469" s="11" t="s">
        <v>5392</v>
      </c>
      <c r="J1469" s="12">
        <v>0.56640000000000001</v>
      </c>
      <c r="K1469" s="13">
        <v>1</v>
      </c>
      <c r="L1469" s="14">
        <v>143</v>
      </c>
      <c r="M1469" s="10">
        <v>81</v>
      </c>
      <c r="N1469" s="10">
        <v>15802</v>
      </c>
      <c r="O1469" s="10">
        <v>6352</v>
      </c>
      <c r="P1469" s="10">
        <v>22154</v>
      </c>
    </row>
    <row r="1470" spans="1:16" ht="27" customHeight="1" x14ac:dyDescent="0.2">
      <c r="A1470" s="9" t="s">
        <v>5119</v>
      </c>
      <c r="B1470" s="10" t="s">
        <v>5393</v>
      </c>
      <c r="C1470" s="11" t="s">
        <v>18</v>
      </c>
      <c r="D1470" s="11" t="s">
        <v>19</v>
      </c>
      <c r="E1470" s="11" t="s">
        <v>19</v>
      </c>
      <c r="F1470" s="11" t="s">
        <v>5394</v>
      </c>
      <c r="G1470" s="11" t="s">
        <v>83</v>
      </c>
      <c r="H1470" s="11" t="s">
        <v>5395</v>
      </c>
      <c r="I1470" s="11" t="s">
        <v>5396</v>
      </c>
      <c r="J1470" s="12">
        <v>0.88360000000000005</v>
      </c>
      <c r="K1470" s="13">
        <v>12</v>
      </c>
      <c r="L1470" s="14">
        <v>4492</v>
      </c>
      <c r="M1470" s="10">
        <v>3456</v>
      </c>
      <c r="N1470" s="10">
        <v>496373</v>
      </c>
      <c r="O1470" s="10">
        <v>271017</v>
      </c>
      <c r="P1470" s="10">
        <v>767390</v>
      </c>
    </row>
    <row r="1471" spans="1:16" ht="27" customHeight="1" x14ac:dyDescent="0.2">
      <c r="A1471" s="9" t="s">
        <v>5119</v>
      </c>
      <c r="B1471" s="10" t="s">
        <v>5393</v>
      </c>
      <c r="C1471" s="11" t="s">
        <v>5397</v>
      </c>
      <c r="D1471" s="11" t="s">
        <v>5398</v>
      </c>
      <c r="E1471" s="11" t="s">
        <v>26</v>
      </c>
      <c r="F1471" s="11" t="s">
        <v>5399</v>
      </c>
      <c r="G1471" s="11" t="s">
        <v>28</v>
      </c>
      <c r="H1471" s="11" t="s">
        <v>5399</v>
      </c>
      <c r="I1471" s="11" t="s">
        <v>5400</v>
      </c>
      <c r="J1471" s="12">
        <v>0.84860000000000002</v>
      </c>
      <c r="K1471" s="13">
        <v>1</v>
      </c>
      <c r="L1471" s="14">
        <v>383</v>
      </c>
      <c r="M1471" s="10">
        <v>325</v>
      </c>
      <c r="N1471" s="10">
        <v>42322</v>
      </c>
      <c r="O1471" s="10">
        <v>25486</v>
      </c>
      <c r="P1471" s="10">
        <v>67808</v>
      </c>
    </row>
    <row r="1472" spans="1:16" ht="27" customHeight="1" x14ac:dyDescent="0.2">
      <c r="A1472" s="9" t="s">
        <v>5119</v>
      </c>
      <c r="B1472" s="10" t="s">
        <v>5401</v>
      </c>
      <c r="C1472" s="11" t="s">
        <v>18</v>
      </c>
      <c r="D1472" s="11" t="s">
        <v>19</v>
      </c>
      <c r="E1472" s="11" t="s">
        <v>19</v>
      </c>
      <c r="F1472" s="11" t="s">
        <v>5402</v>
      </c>
      <c r="G1472" s="11" t="s">
        <v>83</v>
      </c>
      <c r="H1472" s="11" t="s">
        <v>5037</v>
      </c>
      <c r="I1472" s="11" t="s">
        <v>5403</v>
      </c>
      <c r="J1472" s="12">
        <v>0.40720000000000001</v>
      </c>
      <c r="K1472" s="13">
        <v>40</v>
      </c>
      <c r="L1472" s="14">
        <v>35229</v>
      </c>
      <c r="M1472" s="10">
        <v>5353</v>
      </c>
      <c r="N1472" s="10">
        <v>3892866</v>
      </c>
      <c r="O1472" s="10">
        <v>419775</v>
      </c>
      <c r="P1472" s="10">
        <v>4312641</v>
      </c>
    </row>
    <row r="1473" spans="1:16" ht="27" customHeight="1" x14ac:dyDescent="0.2">
      <c r="A1473" s="9" t="s">
        <v>5119</v>
      </c>
      <c r="B1473" s="10" t="s">
        <v>5404</v>
      </c>
      <c r="C1473" s="11" t="s">
        <v>18</v>
      </c>
      <c r="D1473" s="11" t="s">
        <v>19</v>
      </c>
      <c r="E1473" s="11" t="s">
        <v>19</v>
      </c>
      <c r="F1473" s="11" t="s">
        <v>5405</v>
      </c>
      <c r="G1473" s="11" t="s">
        <v>83</v>
      </c>
      <c r="H1473" s="11" t="s">
        <v>5406</v>
      </c>
      <c r="I1473" s="11" t="s">
        <v>5407</v>
      </c>
      <c r="J1473" s="12">
        <v>0.85640000000000005</v>
      </c>
      <c r="K1473" s="13">
        <v>12</v>
      </c>
      <c r="L1473" s="14">
        <v>5103</v>
      </c>
      <c r="M1473" s="10">
        <v>3019</v>
      </c>
      <c r="N1473" s="10">
        <v>563890</v>
      </c>
      <c r="O1473" s="10">
        <v>236747</v>
      </c>
      <c r="P1473" s="10">
        <v>800637</v>
      </c>
    </row>
    <row r="1474" spans="1:16" ht="27" customHeight="1" x14ac:dyDescent="0.2">
      <c r="A1474" s="9" t="s">
        <v>5119</v>
      </c>
      <c r="B1474" s="10" t="s">
        <v>5408</v>
      </c>
      <c r="C1474" s="11" t="s">
        <v>18</v>
      </c>
      <c r="D1474" s="11" t="s">
        <v>19</v>
      </c>
      <c r="E1474" s="11" t="s">
        <v>19</v>
      </c>
      <c r="F1474" s="11" t="s">
        <v>5409</v>
      </c>
      <c r="G1474" s="11" t="s">
        <v>83</v>
      </c>
      <c r="H1474" s="11" t="s">
        <v>5410</v>
      </c>
      <c r="I1474" s="11" t="s">
        <v>5411</v>
      </c>
      <c r="J1474" s="12">
        <v>4.8599999999999997E-2</v>
      </c>
      <c r="K1474" s="13">
        <v>3</v>
      </c>
      <c r="L1474" s="14">
        <v>580</v>
      </c>
      <c r="M1474" s="10">
        <v>24</v>
      </c>
      <c r="N1474" s="10">
        <v>64091</v>
      </c>
      <c r="O1474" s="10">
        <v>1882</v>
      </c>
      <c r="P1474" s="10">
        <v>65973</v>
      </c>
    </row>
    <row r="1475" spans="1:16" ht="27" customHeight="1" x14ac:dyDescent="0.2">
      <c r="A1475" s="9" t="s">
        <v>5119</v>
      </c>
      <c r="B1475" s="10" t="s">
        <v>5412</v>
      </c>
      <c r="C1475" s="11" t="s">
        <v>18</v>
      </c>
      <c r="D1475" s="11" t="s">
        <v>19</v>
      </c>
      <c r="E1475" s="11" t="s">
        <v>19</v>
      </c>
      <c r="F1475" s="11" t="s">
        <v>5413</v>
      </c>
      <c r="G1475" s="11" t="s">
        <v>83</v>
      </c>
      <c r="H1475" s="11" t="s">
        <v>5414</v>
      </c>
      <c r="I1475" s="11" t="s">
        <v>5415</v>
      </c>
      <c r="J1475" s="12">
        <v>0.98709999999999998</v>
      </c>
      <c r="K1475" s="13">
        <v>176</v>
      </c>
      <c r="L1475" s="14">
        <v>95250</v>
      </c>
      <c r="M1475" s="10">
        <v>54190</v>
      </c>
      <c r="N1475" s="10">
        <v>10525289</v>
      </c>
      <c r="O1475" s="10">
        <v>4249529</v>
      </c>
      <c r="P1475" s="10">
        <v>14774818</v>
      </c>
    </row>
    <row r="1476" spans="1:16" ht="27" customHeight="1" x14ac:dyDescent="0.2">
      <c r="A1476" s="9" t="s">
        <v>5119</v>
      </c>
      <c r="B1476" s="10" t="s">
        <v>5412</v>
      </c>
      <c r="C1476" s="11" t="s">
        <v>5416</v>
      </c>
      <c r="D1476" s="11" t="s">
        <v>5417</v>
      </c>
      <c r="E1476" s="11" t="s">
        <v>26</v>
      </c>
      <c r="F1476" s="11" t="s">
        <v>5418</v>
      </c>
      <c r="G1476" s="11" t="s">
        <v>28</v>
      </c>
      <c r="H1476" s="11" t="s">
        <v>5122</v>
      </c>
      <c r="I1476" s="11" t="s">
        <v>5123</v>
      </c>
      <c r="J1476" s="12">
        <v>1</v>
      </c>
      <c r="K1476" s="13">
        <v>1</v>
      </c>
      <c r="L1476" s="14">
        <v>330</v>
      </c>
      <c r="M1476" s="10">
        <v>146</v>
      </c>
      <c r="N1476" s="10">
        <v>36466</v>
      </c>
      <c r="O1476" s="10">
        <v>11449</v>
      </c>
      <c r="P1476" s="10">
        <v>47915</v>
      </c>
    </row>
    <row r="1477" spans="1:16" ht="27" customHeight="1" x14ac:dyDescent="0.2">
      <c r="A1477" s="9" t="s">
        <v>5119</v>
      </c>
      <c r="B1477" s="10" t="s">
        <v>5412</v>
      </c>
      <c r="C1477" s="11" t="s">
        <v>5419</v>
      </c>
      <c r="D1477" s="11" t="s">
        <v>5420</v>
      </c>
      <c r="E1477" s="11" t="s">
        <v>26</v>
      </c>
      <c r="F1477" s="11" t="s">
        <v>5421</v>
      </c>
      <c r="G1477" s="11" t="s">
        <v>28</v>
      </c>
      <c r="H1477" s="11" t="s">
        <v>5122</v>
      </c>
      <c r="I1477" s="11" t="s">
        <v>5123</v>
      </c>
      <c r="J1477" s="12">
        <v>1</v>
      </c>
      <c r="K1477" s="13">
        <v>1</v>
      </c>
      <c r="L1477" s="14">
        <v>352</v>
      </c>
      <c r="M1477" s="10">
        <v>319</v>
      </c>
      <c r="N1477" s="10">
        <v>38897</v>
      </c>
      <c r="O1477" s="10">
        <v>25016</v>
      </c>
      <c r="P1477" s="10">
        <v>63913</v>
      </c>
    </row>
    <row r="1478" spans="1:16" ht="27" customHeight="1" x14ac:dyDescent="0.2">
      <c r="A1478" s="9" t="s">
        <v>5119</v>
      </c>
      <c r="B1478" s="10" t="s">
        <v>5412</v>
      </c>
      <c r="C1478" s="11" t="s">
        <v>5422</v>
      </c>
      <c r="D1478" s="11" t="s">
        <v>5423</v>
      </c>
      <c r="E1478" s="11" t="s">
        <v>26</v>
      </c>
      <c r="F1478" s="11" t="s">
        <v>5424</v>
      </c>
      <c r="G1478" s="11" t="s">
        <v>28</v>
      </c>
      <c r="H1478" s="11" t="s">
        <v>5122</v>
      </c>
      <c r="I1478" s="11" t="s">
        <v>5123</v>
      </c>
      <c r="J1478" s="12">
        <v>1</v>
      </c>
      <c r="K1478" s="13">
        <v>1</v>
      </c>
      <c r="L1478" s="14">
        <v>396</v>
      </c>
      <c r="M1478" s="10">
        <v>141</v>
      </c>
      <c r="N1478" s="10">
        <v>43759</v>
      </c>
      <c r="O1478" s="10">
        <v>11057</v>
      </c>
      <c r="P1478" s="10">
        <v>54816</v>
      </c>
    </row>
    <row r="1479" spans="1:16" ht="27" customHeight="1" x14ac:dyDescent="0.2">
      <c r="A1479" s="9" t="s">
        <v>5119</v>
      </c>
      <c r="B1479" s="10" t="s">
        <v>5412</v>
      </c>
      <c r="C1479" s="11" t="s">
        <v>5425</v>
      </c>
      <c r="D1479" s="11" t="s">
        <v>5426</v>
      </c>
      <c r="E1479" s="11" t="s">
        <v>26</v>
      </c>
      <c r="F1479" s="11" t="s">
        <v>5427</v>
      </c>
      <c r="G1479" s="11" t="s">
        <v>28</v>
      </c>
      <c r="H1479" s="11" t="s">
        <v>5427</v>
      </c>
      <c r="I1479" s="11" t="s">
        <v>5428</v>
      </c>
      <c r="J1479" s="12">
        <v>0.3</v>
      </c>
      <c r="K1479" s="13">
        <v>1</v>
      </c>
      <c r="L1479" s="14">
        <v>170</v>
      </c>
      <c r="M1479" s="10">
        <v>51</v>
      </c>
      <c r="N1479" s="10">
        <v>18785</v>
      </c>
      <c r="O1479" s="10">
        <v>3999</v>
      </c>
      <c r="P1479" s="10">
        <v>22784</v>
      </c>
    </row>
    <row r="1480" spans="1:16" ht="27" customHeight="1" x14ac:dyDescent="0.2">
      <c r="A1480" s="9" t="s">
        <v>5119</v>
      </c>
      <c r="B1480" s="10" t="s">
        <v>5412</v>
      </c>
      <c r="C1480" s="11" t="s">
        <v>5429</v>
      </c>
      <c r="D1480" s="11" t="s">
        <v>5430</v>
      </c>
      <c r="E1480" s="11" t="s">
        <v>26</v>
      </c>
      <c r="F1480" s="11" t="s">
        <v>5431</v>
      </c>
      <c r="G1480" s="11" t="s">
        <v>28</v>
      </c>
      <c r="H1480" s="11" t="s">
        <v>5122</v>
      </c>
      <c r="I1480" s="11" t="s">
        <v>5123</v>
      </c>
      <c r="J1480" s="12">
        <v>1</v>
      </c>
      <c r="K1480" s="13">
        <v>1</v>
      </c>
      <c r="L1480" s="14">
        <v>341</v>
      </c>
      <c r="M1480" s="10">
        <v>128</v>
      </c>
      <c r="N1480" s="10">
        <v>37681</v>
      </c>
      <c r="O1480" s="10">
        <v>10038</v>
      </c>
      <c r="P1480" s="10">
        <v>47719</v>
      </c>
    </row>
    <row r="1481" spans="1:16" ht="27" customHeight="1" x14ac:dyDescent="0.2">
      <c r="A1481" s="9" t="s">
        <v>5119</v>
      </c>
      <c r="B1481" s="10" t="s">
        <v>5412</v>
      </c>
      <c r="C1481" s="11" t="s">
        <v>5432</v>
      </c>
      <c r="D1481" s="11" t="s">
        <v>5433</v>
      </c>
      <c r="E1481" s="11" t="s">
        <v>26</v>
      </c>
      <c r="F1481" s="11" t="s">
        <v>5434</v>
      </c>
      <c r="G1481" s="11" t="s">
        <v>28</v>
      </c>
      <c r="H1481" s="11" t="s">
        <v>5122</v>
      </c>
      <c r="I1481" s="11" t="s">
        <v>5123</v>
      </c>
      <c r="J1481" s="12">
        <v>1</v>
      </c>
      <c r="K1481" s="13">
        <v>1</v>
      </c>
      <c r="L1481" s="14">
        <v>389</v>
      </c>
      <c r="M1481" s="10">
        <v>135</v>
      </c>
      <c r="N1481" s="10">
        <v>42985</v>
      </c>
      <c r="O1481" s="10">
        <v>10587</v>
      </c>
      <c r="P1481" s="10">
        <v>53572</v>
      </c>
    </row>
    <row r="1482" spans="1:16" ht="27" customHeight="1" x14ac:dyDescent="0.2">
      <c r="A1482" s="9" t="s">
        <v>5119</v>
      </c>
      <c r="B1482" s="10" t="s">
        <v>5412</v>
      </c>
      <c r="C1482" s="11" t="s">
        <v>5435</v>
      </c>
      <c r="D1482" s="11" t="s">
        <v>5436</v>
      </c>
      <c r="E1482" s="11" t="s">
        <v>26</v>
      </c>
      <c r="F1482" s="11" t="s">
        <v>5437</v>
      </c>
      <c r="G1482" s="11" t="s">
        <v>28</v>
      </c>
      <c r="H1482" s="11" t="s">
        <v>5437</v>
      </c>
      <c r="I1482" s="11" t="s">
        <v>5438</v>
      </c>
      <c r="J1482" s="12">
        <v>0.93920000000000003</v>
      </c>
      <c r="K1482" s="13">
        <v>1</v>
      </c>
      <c r="L1482" s="14">
        <v>181</v>
      </c>
      <c r="M1482" s="10">
        <v>170</v>
      </c>
      <c r="N1482" s="10">
        <v>20001</v>
      </c>
      <c r="O1482" s="10">
        <v>13331</v>
      </c>
      <c r="P1482" s="10">
        <v>33332</v>
      </c>
    </row>
    <row r="1483" spans="1:16" ht="27" customHeight="1" x14ac:dyDescent="0.2">
      <c r="A1483" s="9" t="s">
        <v>5119</v>
      </c>
      <c r="B1483" s="10" t="s">
        <v>5412</v>
      </c>
      <c r="C1483" s="11" t="s">
        <v>5439</v>
      </c>
      <c r="D1483" s="11" t="s">
        <v>5440</v>
      </c>
      <c r="E1483" s="11" t="s">
        <v>26</v>
      </c>
      <c r="F1483" s="11" t="s">
        <v>5441</v>
      </c>
      <c r="G1483" s="11" t="s">
        <v>28</v>
      </c>
      <c r="H1483" s="11" t="s">
        <v>5122</v>
      </c>
      <c r="I1483" s="11" t="s">
        <v>5123</v>
      </c>
      <c r="J1483" s="12">
        <v>1</v>
      </c>
      <c r="K1483" s="13">
        <v>1</v>
      </c>
      <c r="L1483" s="14">
        <v>422</v>
      </c>
      <c r="M1483" s="10">
        <v>149</v>
      </c>
      <c r="N1483" s="10">
        <v>46632</v>
      </c>
      <c r="O1483" s="10">
        <v>11684</v>
      </c>
      <c r="P1483" s="10">
        <v>58316</v>
      </c>
    </row>
    <row r="1484" spans="1:16" ht="27" customHeight="1" x14ac:dyDescent="0.2">
      <c r="A1484" s="9" t="s">
        <v>5119</v>
      </c>
      <c r="B1484" s="10" t="s">
        <v>5412</v>
      </c>
      <c r="C1484" s="11" t="s">
        <v>5442</v>
      </c>
      <c r="D1484" s="11" t="s">
        <v>5443</v>
      </c>
      <c r="E1484" s="11" t="s">
        <v>26</v>
      </c>
      <c r="F1484" s="11" t="s">
        <v>5444</v>
      </c>
      <c r="G1484" s="11" t="s">
        <v>28</v>
      </c>
      <c r="H1484" s="11" t="s">
        <v>5444</v>
      </c>
      <c r="I1484" s="11" t="s">
        <v>5445</v>
      </c>
      <c r="J1484" s="12">
        <v>0.36809999999999998</v>
      </c>
      <c r="K1484" s="13">
        <v>1</v>
      </c>
      <c r="L1484" s="14">
        <v>1440</v>
      </c>
      <c r="M1484" s="10">
        <v>530</v>
      </c>
      <c r="N1484" s="10">
        <v>159122</v>
      </c>
      <c r="O1484" s="10">
        <v>41562</v>
      </c>
      <c r="P1484" s="10">
        <v>200684</v>
      </c>
    </row>
    <row r="1485" spans="1:16" ht="27" customHeight="1" x14ac:dyDescent="0.2">
      <c r="A1485" s="9" t="s">
        <v>5119</v>
      </c>
      <c r="B1485" s="10" t="s">
        <v>5412</v>
      </c>
      <c r="C1485" s="11" t="s">
        <v>5446</v>
      </c>
      <c r="D1485" s="11" t="s">
        <v>5447</v>
      </c>
      <c r="E1485" s="11" t="s">
        <v>26</v>
      </c>
      <c r="F1485" s="11" t="s">
        <v>5448</v>
      </c>
      <c r="G1485" s="11" t="s">
        <v>28</v>
      </c>
      <c r="H1485" s="11" t="s">
        <v>5122</v>
      </c>
      <c r="I1485" s="11" t="s">
        <v>5123</v>
      </c>
      <c r="J1485" s="12">
        <v>1</v>
      </c>
      <c r="K1485" s="13">
        <v>1</v>
      </c>
      <c r="L1485" s="14">
        <v>262</v>
      </c>
      <c r="M1485" s="10">
        <v>254</v>
      </c>
      <c r="N1485" s="10">
        <v>28951</v>
      </c>
      <c r="O1485" s="10">
        <v>19918</v>
      </c>
      <c r="P1485" s="10">
        <v>48869</v>
      </c>
    </row>
    <row r="1486" spans="1:16" ht="27" customHeight="1" x14ac:dyDescent="0.2">
      <c r="A1486" s="9" t="s">
        <v>5119</v>
      </c>
      <c r="B1486" s="10" t="s">
        <v>5412</v>
      </c>
      <c r="C1486" s="11" t="s">
        <v>5449</v>
      </c>
      <c r="D1486" s="11" t="s">
        <v>5450</v>
      </c>
      <c r="E1486" s="11" t="s">
        <v>26</v>
      </c>
      <c r="F1486" s="11" t="s">
        <v>5451</v>
      </c>
      <c r="G1486" s="11" t="s">
        <v>28</v>
      </c>
      <c r="H1486" s="11" t="s">
        <v>5122</v>
      </c>
      <c r="I1486" s="11" t="s">
        <v>5123</v>
      </c>
      <c r="J1486" s="12">
        <v>1</v>
      </c>
      <c r="K1486" s="13">
        <v>1</v>
      </c>
      <c r="L1486" s="14">
        <v>525</v>
      </c>
      <c r="M1486" s="10">
        <v>412</v>
      </c>
      <c r="N1486" s="10">
        <v>58013</v>
      </c>
      <c r="O1486" s="10">
        <v>32309</v>
      </c>
      <c r="P1486" s="10">
        <v>90322</v>
      </c>
    </row>
    <row r="1487" spans="1:16" ht="27" customHeight="1" x14ac:dyDescent="0.2">
      <c r="A1487" s="9" t="s">
        <v>5119</v>
      </c>
      <c r="B1487" s="10" t="s">
        <v>5412</v>
      </c>
      <c r="C1487" s="11" t="s">
        <v>5452</v>
      </c>
      <c r="D1487" s="11" t="s">
        <v>5453</v>
      </c>
      <c r="E1487" s="11" t="s">
        <v>26</v>
      </c>
      <c r="F1487" s="11" t="s">
        <v>5454</v>
      </c>
      <c r="G1487" s="11" t="s">
        <v>28</v>
      </c>
      <c r="H1487" s="11" t="s">
        <v>5454</v>
      </c>
      <c r="I1487" s="11" t="s">
        <v>5455</v>
      </c>
      <c r="J1487" s="12">
        <v>0.19700000000000001</v>
      </c>
      <c r="K1487" s="13">
        <v>1</v>
      </c>
      <c r="L1487" s="14">
        <v>467</v>
      </c>
      <c r="M1487" s="10">
        <v>92</v>
      </c>
      <c r="N1487" s="10">
        <v>51604</v>
      </c>
      <c r="O1487" s="10">
        <v>7215</v>
      </c>
      <c r="P1487" s="10">
        <v>58819</v>
      </c>
    </row>
    <row r="1488" spans="1:16" ht="27" customHeight="1" x14ac:dyDescent="0.2">
      <c r="A1488" s="9" t="s">
        <v>5119</v>
      </c>
      <c r="B1488" s="10" t="s">
        <v>5412</v>
      </c>
      <c r="C1488" s="11" t="s">
        <v>5456</v>
      </c>
      <c r="D1488" s="11" t="s">
        <v>5457</v>
      </c>
      <c r="E1488" s="11" t="s">
        <v>26</v>
      </c>
      <c r="F1488" s="11" t="s">
        <v>5458</v>
      </c>
      <c r="G1488" s="11" t="s">
        <v>28</v>
      </c>
      <c r="H1488" s="11" t="s">
        <v>5122</v>
      </c>
      <c r="I1488" s="11" t="s">
        <v>5123</v>
      </c>
      <c r="J1488" s="12">
        <v>1</v>
      </c>
      <c r="K1488" s="13">
        <v>1</v>
      </c>
      <c r="L1488" s="14">
        <v>258</v>
      </c>
      <c r="M1488" s="10">
        <v>246</v>
      </c>
      <c r="N1488" s="10">
        <v>28509</v>
      </c>
      <c r="O1488" s="10">
        <v>19291</v>
      </c>
      <c r="P1488" s="10">
        <v>47800</v>
      </c>
    </row>
    <row r="1489" spans="1:16" ht="27" customHeight="1" x14ac:dyDescent="0.2">
      <c r="A1489" s="9" t="s">
        <v>5119</v>
      </c>
      <c r="B1489" s="10" t="s">
        <v>5412</v>
      </c>
      <c r="C1489" s="11" t="s">
        <v>5459</v>
      </c>
      <c r="D1489" s="11" t="s">
        <v>5460</v>
      </c>
      <c r="E1489" s="11" t="s">
        <v>26</v>
      </c>
      <c r="F1489" s="11" t="s">
        <v>5461</v>
      </c>
      <c r="G1489" s="11" t="s">
        <v>28</v>
      </c>
      <c r="H1489" s="11" t="s">
        <v>5461</v>
      </c>
      <c r="I1489" s="11" t="s">
        <v>5462</v>
      </c>
      <c r="J1489" s="12">
        <v>0.83740000000000003</v>
      </c>
      <c r="K1489" s="13">
        <v>1</v>
      </c>
      <c r="L1489" s="14">
        <v>1279</v>
      </c>
      <c r="M1489" s="10">
        <v>1071</v>
      </c>
      <c r="N1489" s="10">
        <v>141332</v>
      </c>
      <c r="O1489" s="10">
        <v>83987</v>
      </c>
      <c r="P1489" s="10">
        <v>225319</v>
      </c>
    </row>
    <row r="1490" spans="1:16" ht="27" customHeight="1" x14ac:dyDescent="0.2">
      <c r="A1490" s="9" t="s">
        <v>5119</v>
      </c>
      <c r="B1490" s="10" t="s">
        <v>5412</v>
      </c>
      <c r="C1490" s="11" t="s">
        <v>5463</v>
      </c>
      <c r="D1490" s="11" t="s">
        <v>5464</v>
      </c>
      <c r="E1490" s="11" t="s">
        <v>26</v>
      </c>
      <c r="F1490" s="11" t="s">
        <v>5465</v>
      </c>
      <c r="G1490" s="11" t="s">
        <v>28</v>
      </c>
      <c r="H1490" s="11" t="s">
        <v>5465</v>
      </c>
      <c r="I1490" s="11" t="s">
        <v>5466</v>
      </c>
      <c r="J1490" s="12">
        <v>0.6139</v>
      </c>
      <c r="K1490" s="13">
        <v>1</v>
      </c>
      <c r="L1490" s="14">
        <v>417</v>
      </c>
      <c r="M1490" s="10">
        <v>256</v>
      </c>
      <c r="N1490" s="10">
        <v>46079</v>
      </c>
      <c r="O1490" s="10">
        <v>20075</v>
      </c>
      <c r="P1490" s="10">
        <v>66154</v>
      </c>
    </row>
    <row r="1491" spans="1:16" ht="27" customHeight="1" x14ac:dyDescent="0.2">
      <c r="A1491" s="9" t="s">
        <v>5119</v>
      </c>
      <c r="B1491" s="10" t="s">
        <v>5412</v>
      </c>
      <c r="C1491" s="11" t="s">
        <v>5467</v>
      </c>
      <c r="D1491" s="11" t="s">
        <v>5468</v>
      </c>
      <c r="E1491" s="11" t="s">
        <v>26</v>
      </c>
      <c r="F1491" s="11" t="s">
        <v>5469</v>
      </c>
      <c r="G1491" s="11" t="s">
        <v>28</v>
      </c>
      <c r="H1491" s="11" t="s">
        <v>5122</v>
      </c>
      <c r="I1491" s="11" t="s">
        <v>5123</v>
      </c>
      <c r="J1491" s="12">
        <v>1</v>
      </c>
      <c r="K1491" s="13">
        <v>1</v>
      </c>
      <c r="L1491" s="14">
        <v>228</v>
      </c>
      <c r="M1491" s="10">
        <v>56</v>
      </c>
      <c r="N1491" s="10">
        <v>25194</v>
      </c>
      <c r="O1491" s="10">
        <v>4391</v>
      </c>
      <c r="P1491" s="10">
        <v>29585</v>
      </c>
    </row>
    <row r="1492" spans="1:16" ht="27" customHeight="1" x14ac:dyDescent="0.2">
      <c r="A1492" s="9" t="s">
        <v>5119</v>
      </c>
      <c r="B1492" s="10" t="s">
        <v>5412</v>
      </c>
      <c r="C1492" s="11" t="s">
        <v>5470</v>
      </c>
      <c r="D1492" s="11" t="s">
        <v>5471</v>
      </c>
      <c r="E1492" s="11" t="s">
        <v>26</v>
      </c>
      <c r="F1492" s="11" t="s">
        <v>5472</v>
      </c>
      <c r="G1492" s="11" t="s">
        <v>28</v>
      </c>
      <c r="H1492" s="11" t="s">
        <v>5472</v>
      </c>
      <c r="I1492" s="11" t="s">
        <v>5473</v>
      </c>
      <c r="J1492" s="12">
        <v>0.1757</v>
      </c>
      <c r="K1492" s="13">
        <v>1</v>
      </c>
      <c r="L1492" s="14">
        <v>240</v>
      </c>
      <c r="M1492" s="10">
        <v>42</v>
      </c>
      <c r="N1492" s="10">
        <v>26520</v>
      </c>
      <c r="O1492" s="10">
        <v>3294</v>
      </c>
      <c r="P1492" s="10">
        <v>29814</v>
      </c>
    </row>
    <row r="1493" spans="1:16" ht="27" customHeight="1" x14ac:dyDescent="0.2">
      <c r="A1493" s="9" t="s">
        <v>5119</v>
      </c>
      <c r="B1493" s="10" t="s">
        <v>5412</v>
      </c>
      <c r="C1493" s="11" t="s">
        <v>5474</v>
      </c>
      <c r="D1493" s="11" t="s">
        <v>5475</v>
      </c>
      <c r="E1493" s="11" t="s">
        <v>26</v>
      </c>
      <c r="F1493" s="11" t="s">
        <v>5476</v>
      </c>
      <c r="G1493" s="11" t="s">
        <v>28</v>
      </c>
      <c r="H1493" s="11" t="s">
        <v>5476</v>
      </c>
      <c r="I1493" s="11" t="s">
        <v>5477</v>
      </c>
      <c r="J1493" s="12">
        <v>0.92910000000000004</v>
      </c>
      <c r="K1493" s="13">
        <v>1</v>
      </c>
      <c r="L1493" s="14">
        <v>141</v>
      </c>
      <c r="M1493" s="10">
        <v>131</v>
      </c>
      <c r="N1493" s="10">
        <v>15581</v>
      </c>
      <c r="O1493" s="10">
        <v>10273</v>
      </c>
      <c r="P1493" s="10">
        <v>25854</v>
      </c>
    </row>
    <row r="1494" spans="1:16" ht="27" customHeight="1" x14ac:dyDescent="0.2">
      <c r="A1494" s="9" t="s">
        <v>5119</v>
      </c>
      <c r="B1494" s="10" t="s">
        <v>5412</v>
      </c>
      <c r="C1494" s="11" t="s">
        <v>5478</v>
      </c>
      <c r="D1494" s="11" t="s">
        <v>5479</v>
      </c>
      <c r="E1494" s="11" t="s">
        <v>26</v>
      </c>
      <c r="F1494" s="11" t="s">
        <v>5480</v>
      </c>
      <c r="G1494" s="11" t="s">
        <v>28</v>
      </c>
      <c r="H1494" s="11" t="s">
        <v>5480</v>
      </c>
      <c r="I1494" s="11" t="s">
        <v>5481</v>
      </c>
      <c r="J1494" s="12">
        <v>0.29580000000000001</v>
      </c>
      <c r="K1494" s="13">
        <v>1</v>
      </c>
      <c r="L1494" s="14">
        <v>382</v>
      </c>
      <c r="M1494" s="10">
        <v>113</v>
      </c>
      <c r="N1494" s="10">
        <v>42212</v>
      </c>
      <c r="O1494" s="10">
        <v>8861</v>
      </c>
      <c r="P1494" s="10">
        <v>51073</v>
      </c>
    </row>
    <row r="1495" spans="1:16" ht="27" customHeight="1" x14ac:dyDescent="0.2">
      <c r="A1495" s="9" t="s">
        <v>5119</v>
      </c>
      <c r="B1495" s="10" t="s">
        <v>5412</v>
      </c>
      <c r="C1495" s="11" t="s">
        <v>5482</v>
      </c>
      <c r="D1495" s="11" t="s">
        <v>5483</v>
      </c>
      <c r="E1495" s="11" t="s">
        <v>26</v>
      </c>
      <c r="F1495" s="11" t="s">
        <v>5484</v>
      </c>
      <c r="G1495" s="11" t="s">
        <v>28</v>
      </c>
      <c r="H1495" s="11" t="s">
        <v>5122</v>
      </c>
      <c r="I1495" s="11" t="s">
        <v>5123</v>
      </c>
      <c r="J1495" s="12">
        <v>1</v>
      </c>
      <c r="K1495" s="13">
        <v>1</v>
      </c>
      <c r="L1495" s="14">
        <v>398</v>
      </c>
      <c r="M1495" s="10">
        <v>278</v>
      </c>
      <c r="N1495" s="10">
        <v>43980</v>
      </c>
      <c r="O1495" s="10">
        <v>21800</v>
      </c>
      <c r="P1495" s="10">
        <v>65780</v>
      </c>
    </row>
    <row r="1496" spans="1:16" ht="27" customHeight="1" x14ac:dyDescent="0.2">
      <c r="A1496" s="9" t="s">
        <v>5119</v>
      </c>
      <c r="B1496" s="10" t="s">
        <v>5412</v>
      </c>
      <c r="C1496" s="11" t="s">
        <v>5485</v>
      </c>
      <c r="D1496" s="11" t="s">
        <v>5486</v>
      </c>
      <c r="E1496" s="11" t="s">
        <v>26</v>
      </c>
      <c r="F1496" s="11" t="s">
        <v>5487</v>
      </c>
      <c r="G1496" s="11" t="s">
        <v>28</v>
      </c>
      <c r="H1496" s="11" t="s">
        <v>5487</v>
      </c>
      <c r="I1496" s="11" t="s">
        <v>5488</v>
      </c>
      <c r="J1496" s="12">
        <v>0.65069999999999995</v>
      </c>
      <c r="K1496" s="13">
        <v>1</v>
      </c>
      <c r="L1496" s="14">
        <v>146</v>
      </c>
      <c r="M1496" s="10">
        <v>95</v>
      </c>
      <c r="N1496" s="10">
        <v>16133</v>
      </c>
      <c r="O1496" s="10">
        <v>7450</v>
      </c>
      <c r="P1496" s="10">
        <v>23583</v>
      </c>
    </row>
    <row r="1497" spans="1:16" ht="27" customHeight="1" x14ac:dyDescent="0.2">
      <c r="A1497" s="9" t="s">
        <v>5119</v>
      </c>
      <c r="B1497" s="10" t="s">
        <v>5412</v>
      </c>
      <c r="C1497" s="11" t="s">
        <v>5489</v>
      </c>
      <c r="D1497" s="11" t="s">
        <v>5490</v>
      </c>
      <c r="E1497" s="11" t="s">
        <v>26</v>
      </c>
      <c r="F1497" s="11" t="s">
        <v>5491</v>
      </c>
      <c r="G1497" s="11" t="s">
        <v>28</v>
      </c>
      <c r="H1497" s="11" t="s">
        <v>5491</v>
      </c>
      <c r="I1497" s="11" t="s">
        <v>5492</v>
      </c>
      <c r="J1497" s="12">
        <v>0.34060000000000001</v>
      </c>
      <c r="K1497" s="13">
        <v>1</v>
      </c>
      <c r="L1497" s="14">
        <v>461</v>
      </c>
      <c r="M1497" s="10">
        <v>157</v>
      </c>
      <c r="N1497" s="10">
        <v>50941</v>
      </c>
      <c r="O1497" s="10">
        <v>12312</v>
      </c>
      <c r="P1497" s="10">
        <v>63253</v>
      </c>
    </row>
    <row r="1498" spans="1:16" ht="27" customHeight="1" x14ac:dyDescent="0.2">
      <c r="A1498" s="9" t="s">
        <v>5119</v>
      </c>
      <c r="B1498" s="10" t="s">
        <v>5412</v>
      </c>
      <c r="C1498" s="11" t="s">
        <v>5493</v>
      </c>
      <c r="D1498" s="11" t="s">
        <v>5494</v>
      </c>
      <c r="E1498" s="11" t="s">
        <v>26</v>
      </c>
      <c r="F1498" s="11" t="s">
        <v>5495</v>
      </c>
      <c r="G1498" s="11" t="s">
        <v>28</v>
      </c>
      <c r="H1498" s="11" t="s">
        <v>5495</v>
      </c>
      <c r="I1498" s="11" t="s">
        <v>5496</v>
      </c>
      <c r="J1498" s="12">
        <v>0.46529999999999999</v>
      </c>
      <c r="K1498" s="13">
        <v>1</v>
      </c>
      <c r="L1498" s="14">
        <v>432</v>
      </c>
      <c r="M1498" s="10">
        <v>201</v>
      </c>
      <c r="N1498" s="10">
        <v>47737</v>
      </c>
      <c r="O1498" s="10">
        <v>15762</v>
      </c>
      <c r="P1498" s="10">
        <v>63499</v>
      </c>
    </row>
    <row r="1499" spans="1:16" ht="27" customHeight="1" x14ac:dyDescent="0.2">
      <c r="A1499" s="9" t="s">
        <v>5119</v>
      </c>
      <c r="B1499" s="10" t="s">
        <v>5412</v>
      </c>
      <c r="C1499" s="11" t="s">
        <v>5497</v>
      </c>
      <c r="D1499" s="11" t="s">
        <v>5498</v>
      </c>
      <c r="E1499" s="11" t="s">
        <v>26</v>
      </c>
      <c r="F1499" s="11" t="s">
        <v>5499</v>
      </c>
      <c r="G1499" s="11" t="s">
        <v>28</v>
      </c>
      <c r="H1499" s="11" t="s">
        <v>5499</v>
      </c>
      <c r="I1499" s="11" t="s">
        <v>5500</v>
      </c>
      <c r="J1499" s="12">
        <v>0.90259999999999996</v>
      </c>
      <c r="K1499" s="13">
        <v>1</v>
      </c>
      <c r="L1499" s="14">
        <v>154</v>
      </c>
      <c r="M1499" s="10">
        <v>139</v>
      </c>
      <c r="N1499" s="10">
        <v>17017</v>
      </c>
      <c r="O1499" s="10">
        <v>10900</v>
      </c>
      <c r="P1499" s="10">
        <v>27917</v>
      </c>
    </row>
    <row r="1500" spans="1:16" ht="27" customHeight="1" x14ac:dyDescent="0.2">
      <c r="A1500" s="9" t="s">
        <v>5119</v>
      </c>
      <c r="B1500" s="10" t="s">
        <v>5412</v>
      </c>
      <c r="C1500" s="11" t="s">
        <v>5501</v>
      </c>
      <c r="D1500" s="11" t="s">
        <v>5502</v>
      </c>
      <c r="E1500" s="11" t="s">
        <v>26</v>
      </c>
      <c r="F1500" s="11" t="s">
        <v>5503</v>
      </c>
      <c r="G1500" s="11" t="s">
        <v>28</v>
      </c>
      <c r="H1500" s="11" t="s">
        <v>5503</v>
      </c>
      <c r="I1500" s="11" t="s">
        <v>5504</v>
      </c>
      <c r="J1500" s="12">
        <v>0.49740000000000001</v>
      </c>
      <c r="K1500" s="13">
        <v>1</v>
      </c>
      <c r="L1500" s="14">
        <v>382</v>
      </c>
      <c r="M1500" s="10">
        <v>190</v>
      </c>
      <c r="N1500" s="10">
        <v>42212</v>
      </c>
      <c r="O1500" s="10">
        <v>14900</v>
      </c>
      <c r="P1500" s="10">
        <v>57112</v>
      </c>
    </row>
    <row r="1501" spans="1:16" ht="27" customHeight="1" x14ac:dyDescent="0.2">
      <c r="A1501" s="9" t="s">
        <v>5119</v>
      </c>
      <c r="B1501" s="10" t="s">
        <v>5412</v>
      </c>
      <c r="C1501" s="11" t="s">
        <v>5505</v>
      </c>
      <c r="D1501" s="11" t="s">
        <v>5506</v>
      </c>
      <c r="E1501" s="11" t="s">
        <v>26</v>
      </c>
      <c r="F1501" s="11" t="s">
        <v>5507</v>
      </c>
      <c r="G1501" s="11" t="s">
        <v>28</v>
      </c>
      <c r="H1501" s="11" t="s">
        <v>5507</v>
      </c>
      <c r="I1501" s="11" t="s">
        <v>5508</v>
      </c>
      <c r="J1501" s="12">
        <v>0.95050000000000001</v>
      </c>
      <c r="K1501" s="13">
        <v>1</v>
      </c>
      <c r="L1501" s="14">
        <v>444</v>
      </c>
      <c r="M1501" s="10">
        <v>422</v>
      </c>
      <c r="N1501" s="10">
        <v>49063</v>
      </c>
      <c r="O1501" s="10">
        <v>33093</v>
      </c>
      <c r="P1501" s="10">
        <v>82156</v>
      </c>
    </row>
    <row r="1502" spans="1:16" ht="27" customHeight="1" x14ac:dyDescent="0.2">
      <c r="A1502" s="9" t="s">
        <v>5119</v>
      </c>
      <c r="B1502" s="10" t="s">
        <v>5412</v>
      </c>
      <c r="C1502" s="11" t="s">
        <v>5509</v>
      </c>
      <c r="D1502" s="11" t="s">
        <v>5510</v>
      </c>
      <c r="E1502" s="11" t="s">
        <v>26</v>
      </c>
      <c r="F1502" s="11" t="s">
        <v>5511</v>
      </c>
      <c r="G1502" s="11" t="s">
        <v>28</v>
      </c>
      <c r="H1502" s="11" t="s">
        <v>5511</v>
      </c>
      <c r="I1502" s="11" t="s">
        <v>5512</v>
      </c>
      <c r="J1502" s="12">
        <v>0.72440000000000004</v>
      </c>
      <c r="K1502" s="13">
        <v>1</v>
      </c>
      <c r="L1502" s="14">
        <v>1415</v>
      </c>
      <c r="M1502" s="10">
        <v>1025</v>
      </c>
      <c r="N1502" s="10">
        <v>156360</v>
      </c>
      <c r="O1502" s="10">
        <v>80379</v>
      </c>
      <c r="P1502" s="10">
        <v>236739</v>
      </c>
    </row>
    <row r="1503" spans="1:16" ht="27" customHeight="1" x14ac:dyDescent="0.2">
      <c r="A1503" s="9" t="s">
        <v>5119</v>
      </c>
      <c r="B1503" s="10" t="s">
        <v>5412</v>
      </c>
      <c r="C1503" s="11" t="s">
        <v>5513</v>
      </c>
      <c r="D1503" s="11" t="s">
        <v>5514</v>
      </c>
      <c r="E1503" s="11" t="s">
        <v>26</v>
      </c>
      <c r="F1503" s="11" t="s">
        <v>5515</v>
      </c>
      <c r="G1503" s="11" t="s">
        <v>28</v>
      </c>
      <c r="H1503" s="11" t="s">
        <v>5515</v>
      </c>
      <c r="I1503" s="11" t="s">
        <v>5516</v>
      </c>
      <c r="J1503" s="12">
        <v>0.90820000000000001</v>
      </c>
      <c r="K1503" s="13">
        <v>1</v>
      </c>
      <c r="L1503" s="14">
        <v>839</v>
      </c>
      <c r="M1503" s="10">
        <v>762</v>
      </c>
      <c r="N1503" s="10">
        <v>92711</v>
      </c>
      <c r="O1503" s="10">
        <v>59755</v>
      </c>
      <c r="P1503" s="10">
        <v>152466</v>
      </c>
    </row>
    <row r="1504" spans="1:16" ht="27" customHeight="1" x14ac:dyDescent="0.2">
      <c r="A1504" s="9" t="s">
        <v>5119</v>
      </c>
      <c r="B1504" s="10" t="s">
        <v>5412</v>
      </c>
      <c r="C1504" s="11" t="s">
        <v>5517</v>
      </c>
      <c r="D1504" s="11" t="s">
        <v>5518</v>
      </c>
      <c r="E1504" s="11" t="s">
        <v>26</v>
      </c>
      <c r="F1504" s="11" t="s">
        <v>5519</v>
      </c>
      <c r="G1504" s="11" t="s">
        <v>28</v>
      </c>
      <c r="H1504" s="11" t="s">
        <v>5122</v>
      </c>
      <c r="I1504" s="11" t="s">
        <v>5123</v>
      </c>
      <c r="J1504" s="12">
        <v>1</v>
      </c>
      <c r="K1504" s="13">
        <v>1</v>
      </c>
      <c r="L1504" s="14">
        <v>521</v>
      </c>
      <c r="M1504" s="10">
        <v>188</v>
      </c>
      <c r="N1504" s="10">
        <v>57571</v>
      </c>
      <c r="O1504" s="10">
        <v>14743</v>
      </c>
      <c r="P1504" s="10">
        <v>72314</v>
      </c>
    </row>
    <row r="1505" spans="1:16" ht="27" customHeight="1" x14ac:dyDescent="0.2">
      <c r="A1505" s="9" t="s">
        <v>5119</v>
      </c>
      <c r="B1505" s="10" t="s">
        <v>5412</v>
      </c>
      <c r="C1505" s="11" t="s">
        <v>5520</v>
      </c>
      <c r="D1505" s="11" t="s">
        <v>5521</v>
      </c>
      <c r="E1505" s="11" t="s">
        <v>26</v>
      </c>
      <c r="F1505" s="11" t="s">
        <v>5522</v>
      </c>
      <c r="G1505" s="11" t="s">
        <v>28</v>
      </c>
      <c r="H1505" s="11" t="s">
        <v>5522</v>
      </c>
      <c r="I1505" s="11" t="s">
        <v>5523</v>
      </c>
      <c r="J1505" s="12">
        <v>0.62780000000000002</v>
      </c>
      <c r="K1505" s="13">
        <v>1</v>
      </c>
      <c r="L1505" s="14">
        <v>309</v>
      </c>
      <c r="M1505" s="10">
        <v>194</v>
      </c>
      <c r="N1505" s="10">
        <v>34145</v>
      </c>
      <c r="O1505" s="10">
        <v>15213</v>
      </c>
      <c r="P1505" s="10">
        <v>49358</v>
      </c>
    </row>
    <row r="1506" spans="1:16" ht="27" customHeight="1" x14ac:dyDescent="0.2">
      <c r="A1506" s="9" t="s">
        <v>5119</v>
      </c>
      <c r="B1506" s="10" t="s">
        <v>5412</v>
      </c>
      <c r="C1506" s="11" t="s">
        <v>5524</v>
      </c>
      <c r="D1506" s="11" t="s">
        <v>5525</v>
      </c>
      <c r="E1506" s="11" t="s">
        <v>26</v>
      </c>
      <c r="F1506" s="11" t="s">
        <v>5526</v>
      </c>
      <c r="G1506" s="11" t="s">
        <v>28</v>
      </c>
      <c r="H1506" s="11" t="s">
        <v>5526</v>
      </c>
      <c r="I1506" s="11" t="s">
        <v>5527</v>
      </c>
      <c r="J1506" s="12">
        <v>0.7752</v>
      </c>
      <c r="K1506" s="13">
        <v>1</v>
      </c>
      <c r="L1506" s="14">
        <v>467</v>
      </c>
      <c r="M1506" s="10">
        <v>362</v>
      </c>
      <c r="N1506" s="10">
        <v>51604</v>
      </c>
      <c r="O1506" s="10">
        <v>28388</v>
      </c>
      <c r="P1506" s="10">
        <v>79992</v>
      </c>
    </row>
    <row r="1507" spans="1:16" ht="27" customHeight="1" x14ac:dyDescent="0.2">
      <c r="A1507" s="9" t="s">
        <v>5119</v>
      </c>
      <c r="B1507" s="10" t="s">
        <v>5412</v>
      </c>
      <c r="C1507" s="11" t="s">
        <v>5528</v>
      </c>
      <c r="D1507" s="11" t="s">
        <v>5529</v>
      </c>
      <c r="E1507" s="11" t="s">
        <v>26</v>
      </c>
      <c r="F1507" s="11" t="s">
        <v>5530</v>
      </c>
      <c r="G1507" s="11" t="s">
        <v>28</v>
      </c>
      <c r="H1507" s="11" t="s">
        <v>5530</v>
      </c>
      <c r="I1507" s="11" t="s">
        <v>5531</v>
      </c>
      <c r="J1507" s="12">
        <v>0.84250000000000003</v>
      </c>
      <c r="K1507" s="13">
        <v>1</v>
      </c>
      <c r="L1507" s="14">
        <v>603</v>
      </c>
      <c r="M1507" s="10">
        <v>508</v>
      </c>
      <c r="N1507" s="10">
        <v>66632</v>
      </c>
      <c r="O1507" s="10">
        <v>39837</v>
      </c>
      <c r="P1507" s="10">
        <v>106469</v>
      </c>
    </row>
    <row r="1508" spans="1:16" ht="27" customHeight="1" x14ac:dyDescent="0.2">
      <c r="A1508" s="9" t="s">
        <v>5119</v>
      </c>
      <c r="B1508" s="10" t="s">
        <v>5412</v>
      </c>
      <c r="C1508" s="11" t="s">
        <v>5532</v>
      </c>
      <c r="D1508" s="11" t="s">
        <v>5533</v>
      </c>
      <c r="E1508" s="11" t="s">
        <v>26</v>
      </c>
      <c r="F1508" s="11" t="s">
        <v>5534</v>
      </c>
      <c r="G1508" s="11" t="s">
        <v>28</v>
      </c>
      <c r="H1508" s="11" t="s">
        <v>5534</v>
      </c>
      <c r="I1508" s="11" t="s">
        <v>5535</v>
      </c>
      <c r="J1508" s="12">
        <v>0.8841</v>
      </c>
      <c r="K1508" s="13">
        <v>1</v>
      </c>
      <c r="L1508" s="14">
        <v>440</v>
      </c>
      <c r="M1508" s="10">
        <v>389</v>
      </c>
      <c r="N1508" s="10">
        <v>48621</v>
      </c>
      <c r="O1508" s="10">
        <v>30505</v>
      </c>
      <c r="P1508" s="10">
        <v>79126</v>
      </c>
    </row>
    <row r="1509" spans="1:16" ht="27" customHeight="1" x14ac:dyDescent="0.2">
      <c r="A1509" s="9" t="s">
        <v>5119</v>
      </c>
      <c r="B1509" s="10" t="s">
        <v>5412</v>
      </c>
      <c r="C1509" s="11" t="s">
        <v>5536</v>
      </c>
      <c r="D1509" s="11" t="s">
        <v>5537</v>
      </c>
      <c r="E1509" s="11" t="s">
        <v>26</v>
      </c>
      <c r="F1509" s="11" t="s">
        <v>5538</v>
      </c>
      <c r="G1509" s="11" t="s">
        <v>28</v>
      </c>
      <c r="H1509" s="11" t="s">
        <v>5538</v>
      </c>
      <c r="I1509" s="11" t="s">
        <v>5539</v>
      </c>
      <c r="J1509" s="12">
        <v>0.96540000000000004</v>
      </c>
      <c r="K1509" s="13">
        <v>1</v>
      </c>
      <c r="L1509" s="14">
        <v>347</v>
      </c>
      <c r="M1509" s="10">
        <v>335</v>
      </c>
      <c r="N1509" s="10">
        <v>38344</v>
      </c>
      <c r="O1509" s="10">
        <v>26270</v>
      </c>
      <c r="P1509" s="10">
        <v>64614</v>
      </c>
    </row>
    <row r="1510" spans="1:16" ht="27" customHeight="1" x14ac:dyDescent="0.2">
      <c r="A1510" s="9" t="s">
        <v>5119</v>
      </c>
      <c r="B1510" s="10" t="s">
        <v>5412</v>
      </c>
      <c r="C1510" s="11" t="s">
        <v>5540</v>
      </c>
      <c r="D1510" s="11" t="s">
        <v>5541</v>
      </c>
      <c r="E1510" s="11" t="s">
        <v>26</v>
      </c>
      <c r="F1510" s="11" t="s">
        <v>5542</v>
      </c>
      <c r="G1510" s="11" t="s">
        <v>28</v>
      </c>
      <c r="H1510" s="11" t="s">
        <v>5542</v>
      </c>
      <c r="I1510" s="11" t="s">
        <v>5543</v>
      </c>
      <c r="J1510" s="12">
        <v>0.50719999999999998</v>
      </c>
      <c r="K1510" s="13">
        <v>1</v>
      </c>
      <c r="L1510" s="14">
        <v>1818</v>
      </c>
      <c r="M1510" s="10">
        <v>922</v>
      </c>
      <c r="N1510" s="10">
        <v>200892</v>
      </c>
      <c r="O1510" s="10">
        <v>72302</v>
      </c>
      <c r="P1510" s="10">
        <v>273194</v>
      </c>
    </row>
    <row r="1511" spans="1:16" ht="27" customHeight="1" x14ac:dyDescent="0.2">
      <c r="A1511" s="9" t="s">
        <v>5119</v>
      </c>
      <c r="B1511" s="10" t="s">
        <v>5412</v>
      </c>
      <c r="C1511" s="11" t="s">
        <v>5544</v>
      </c>
      <c r="D1511" s="11" t="s">
        <v>5545</v>
      </c>
      <c r="E1511" s="11" t="s">
        <v>26</v>
      </c>
      <c r="F1511" s="11" t="s">
        <v>5546</v>
      </c>
      <c r="G1511" s="11" t="s">
        <v>28</v>
      </c>
      <c r="H1511" s="11" t="s">
        <v>5546</v>
      </c>
      <c r="I1511" s="11" t="s">
        <v>5547</v>
      </c>
      <c r="J1511" s="12">
        <v>0.76</v>
      </c>
      <c r="K1511" s="13">
        <v>1</v>
      </c>
      <c r="L1511" s="14">
        <v>125</v>
      </c>
      <c r="M1511" s="10">
        <v>95</v>
      </c>
      <c r="N1511" s="10">
        <v>13813</v>
      </c>
      <c r="O1511" s="10">
        <v>7450</v>
      </c>
      <c r="P1511" s="10">
        <v>21263</v>
      </c>
    </row>
    <row r="1512" spans="1:16" ht="27" customHeight="1" x14ac:dyDescent="0.2">
      <c r="A1512" s="9" t="s">
        <v>5119</v>
      </c>
      <c r="B1512" s="10" t="s">
        <v>5412</v>
      </c>
      <c r="C1512" s="11" t="s">
        <v>5548</v>
      </c>
      <c r="D1512" s="11" t="s">
        <v>5549</v>
      </c>
      <c r="E1512" s="11" t="s">
        <v>26</v>
      </c>
      <c r="F1512" s="11" t="s">
        <v>5550</v>
      </c>
      <c r="G1512" s="11" t="s">
        <v>28</v>
      </c>
      <c r="H1512" s="11" t="s">
        <v>5550</v>
      </c>
      <c r="I1512" s="11" t="s">
        <v>5551</v>
      </c>
      <c r="J1512" s="12">
        <v>0.30180000000000001</v>
      </c>
      <c r="K1512" s="13">
        <v>1</v>
      </c>
      <c r="L1512" s="14">
        <v>222</v>
      </c>
      <c r="M1512" s="10">
        <v>67</v>
      </c>
      <c r="N1512" s="10">
        <v>24531</v>
      </c>
      <c r="O1512" s="10">
        <v>5254</v>
      </c>
      <c r="P1512" s="10">
        <v>29785</v>
      </c>
    </row>
    <row r="1513" spans="1:16" ht="27" customHeight="1" x14ac:dyDescent="0.2">
      <c r="A1513" s="9" t="s">
        <v>5119</v>
      </c>
      <c r="B1513" s="10" t="s">
        <v>5412</v>
      </c>
      <c r="C1513" s="11" t="s">
        <v>5552</v>
      </c>
      <c r="D1513" s="11" t="s">
        <v>5553</v>
      </c>
      <c r="E1513" s="11" t="s">
        <v>26</v>
      </c>
      <c r="F1513" s="11" t="s">
        <v>5554</v>
      </c>
      <c r="G1513" s="11" t="s">
        <v>28</v>
      </c>
      <c r="H1513" s="11" t="s">
        <v>5554</v>
      </c>
      <c r="I1513" s="11" t="s">
        <v>5555</v>
      </c>
      <c r="J1513" s="12">
        <v>0.89900000000000002</v>
      </c>
      <c r="K1513" s="13">
        <v>1</v>
      </c>
      <c r="L1513" s="14">
        <v>99</v>
      </c>
      <c r="M1513" s="10">
        <v>89</v>
      </c>
      <c r="N1513" s="10">
        <v>10940</v>
      </c>
      <c r="O1513" s="10">
        <v>6979</v>
      </c>
      <c r="P1513" s="10">
        <v>17919</v>
      </c>
    </row>
    <row r="1514" spans="1:16" ht="27" customHeight="1" x14ac:dyDescent="0.2">
      <c r="A1514" s="9" t="s">
        <v>5119</v>
      </c>
      <c r="B1514" s="10" t="s">
        <v>5412</v>
      </c>
      <c r="C1514" s="11" t="s">
        <v>5556</v>
      </c>
      <c r="D1514" s="11" t="s">
        <v>5557</v>
      </c>
      <c r="E1514" s="11" t="s">
        <v>26</v>
      </c>
      <c r="F1514" s="11" t="s">
        <v>5558</v>
      </c>
      <c r="G1514" s="11" t="s">
        <v>28</v>
      </c>
      <c r="H1514" s="11" t="s">
        <v>5558</v>
      </c>
      <c r="I1514" s="11" t="s">
        <v>5559</v>
      </c>
      <c r="J1514" s="12">
        <v>0.40960000000000002</v>
      </c>
      <c r="K1514" s="13">
        <v>1</v>
      </c>
      <c r="L1514" s="14">
        <v>376</v>
      </c>
      <c r="M1514" s="10">
        <v>154</v>
      </c>
      <c r="N1514" s="10">
        <v>41549</v>
      </c>
      <c r="O1514" s="10">
        <v>12077</v>
      </c>
      <c r="P1514" s="10">
        <v>53626</v>
      </c>
    </row>
    <row r="1515" spans="1:16" ht="27" customHeight="1" x14ac:dyDescent="0.2">
      <c r="A1515" s="9" t="s">
        <v>5119</v>
      </c>
      <c r="B1515" s="10" t="s">
        <v>5412</v>
      </c>
      <c r="C1515" s="11" t="s">
        <v>5560</v>
      </c>
      <c r="D1515" s="11" t="s">
        <v>5561</v>
      </c>
      <c r="E1515" s="11" t="s">
        <v>26</v>
      </c>
      <c r="F1515" s="11" t="s">
        <v>5562</v>
      </c>
      <c r="G1515" s="11" t="s">
        <v>28</v>
      </c>
      <c r="H1515" s="11" t="s">
        <v>5562</v>
      </c>
      <c r="I1515" s="11" t="s">
        <v>5563</v>
      </c>
      <c r="J1515" s="12">
        <v>0.50229999999999997</v>
      </c>
      <c r="K1515" s="13">
        <v>1</v>
      </c>
      <c r="L1515" s="14">
        <v>428</v>
      </c>
      <c r="M1515" s="10">
        <v>215</v>
      </c>
      <c r="N1515" s="10">
        <v>47295</v>
      </c>
      <c r="O1515" s="10">
        <v>16860</v>
      </c>
      <c r="P1515" s="10">
        <v>64155</v>
      </c>
    </row>
    <row r="1516" spans="1:16" ht="27" customHeight="1" x14ac:dyDescent="0.2">
      <c r="A1516" s="9" t="s">
        <v>5119</v>
      </c>
      <c r="B1516" s="10" t="s">
        <v>5412</v>
      </c>
      <c r="C1516" s="11" t="s">
        <v>5564</v>
      </c>
      <c r="D1516" s="11" t="s">
        <v>5565</v>
      </c>
      <c r="E1516" s="11" t="s">
        <v>26</v>
      </c>
      <c r="F1516" s="11" t="s">
        <v>5566</v>
      </c>
      <c r="G1516" s="11" t="s">
        <v>28</v>
      </c>
      <c r="H1516" s="11" t="s">
        <v>5566</v>
      </c>
      <c r="I1516" s="11" t="s">
        <v>5567</v>
      </c>
      <c r="J1516" s="12">
        <v>0.96340000000000003</v>
      </c>
      <c r="K1516" s="13">
        <v>1</v>
      </c>
      <c r="L1516" s="14">
        <v>246</v>
      </c>
      <c r="M1516" s="10">
        <v>237</v>
      </c>
      <c r="N1516" s="10">
        <v>27183</v>
      </c>
      <c r="O1516" s="10">
        <v>18585</v>
      </c>
      <c r="P1516" s="10">
        <v>45768</v>
      </c>
    </row>
    <row r="1517" spans="1:16" ht="27" customHeight="1" x14ac:dyDescent="0.2">
      <c r="A1517" s="9" t="s">
        <v>5119</v>
      </c>
      <c r="B1517" s="10" t="s">
        <v>5568</v>
      </c>
      <c r="C1517" s="11" t="s">
        <v>18</v>
      </c>
      <c r="D1517" s="11" t="s">
        <v>19</v>
      </c>
      <c r="E1517" s="11" t="s">
        <v>19</v>
      </c>
      <c r="F1517" s="11" t="s">
        <v>5569</v>
      </c>
      <c r="G1517" s="11" t="s">
        <v>83</v>
      </c>
      <c r="H1517" s="11" t="s">
        <v>5122</v>
      </c>
      <c r="I1517" s="11" t="s">
        <v>5123</v>
      </c>
      <c r="J1517" s="12">
        <v>1</v>
      </c>
      <c r="K1517" s="13">
        <v>11</v>
      </c>
      <c r="L1517" s="14">
        <v>12593</v>
      </c>
      <c r="M1517" s="10">
        <v>2046</v>
      </c>
      <c r="N1517" s="10">
        <v>1391546</v>
      </c>
      <c r="O1517" s="10">
        <v>160445</v>
      </c>
      <c r="P1517" s="10">
        <v>1551991</v>
      </c>
    </row>
    <row r="1518" spans="1:16" ht="27" customHeight="1" x14ac:dyDescent="0.2">
      <c r="A1518" s="9" t="s">
        <v>5119</v>
      </c>
      <c r="B1518" s="10" t="s">
        <v>5570</v>
      </c>
      <c r="C1518" s="11" t="s">
        <v>18</v>
      </c>
      <c r="D1518" s="11" t="s">
        <v>19</v>
      </c>
      <c r="E1518" s="11" t="s">
        <v>19</v>
      </c>
      <c r="F1518" s="11" t="s">
        <v>5571</v>
      </c>
      <c r="G1518" s="11" t="s">
        <v>83</v>
      </c>
      <c r="H1518" s="11" t="s">
        <v>5571</v>
      </c>
      <c r="I1518" s="11" t="s">
        <v>5572</v>
      </c>
      <c r="J1518" s="12">
        <v>0.23250000000000001</v>
      </c>
      <c r="K1518" s="13">
        <v>2</v>
      </c>
      <c r="L1518" s="14">
        <v>488</v>
      </c>
      <c r="M1518" s="10">
        <v>113</v>
      </c>
      <c r="N1518" s="10">
        <v>53925</v>
      </c>
      <c r="O1518" s="10">
        <v>8861</v>
      </c>
      <c r="P1518" s="10">
        <v>62786</v>
      </c>
    </row>
    <row r="1519" spans="1:16" ht="27" customHeight="1" x14ac:dyDescent="0.2">
      <c r="A1519" s="9" t="s">
        <v>5119</v>
      </c>
      <c r="B1519" s="10" t="s">
        <v>5573</v>
      </c>
      <c r="C1519" s="11" t="s">
        <v>18</v>
      </c>
      <c r="D1519" s="11" t="s">
        <v>19</v>
      </c>
      <c r="E1519" s="11" t="s">
        <v>19</v>
      </c>
      <c r="F1519" s="11" t="s">
        <v>5574</v>
      </c>
      <c r="G1519" s="11" t="s">
        <v>83</v>
      </c>
      <c r="H1519" s="11" t="s">
        <v>5575</v>
      </c>
      <c r="I1519" s="11" t="s">
        <v>5576</v>
      </c>
      <c r="J1519" s="12">
        <v>0.55900000000000005</v>
      </c>
      <c r="K1519" s="13">
        <v>12</v>
      </c>
      <c r="L1519" s="14">
        <v>6315</v>
      </c>
      <c r="M1519" s="10">
        <v>2421</v>
      </c>
      <c r="N1519" s="10">
        <v>697818</v>
      </c>
      <c r="O1519" s="10">
        <v>189852</v>
      </c>
      <c r="P1519" s="10">
        <v>887670</v>
      </c>
    </row>
    <row r="1520" spans="1:16" ht="27" customHeight="1" x14ac:dyDescent="0.2">
      <c r="A1520" s="9" t="s">
        <v>5119</v>
      </c>
      <c r="B1520" s="10" t="s">
        <v>5577</v>
      </c>
      <c r="C1520" s="11" t="s">
        <v>18</v>
      </c>
      <c r="D1520" s="11" t="s">
        <v>19</v>
      </c>
      <c r="E1520" s="11" t="s">
        <v>19</v>
      </c>
      <c r="F1520" s="11" t="s">
        <v>5578</v>
      </c>
      <c r="G1520" s="11" t="s">
        <v>83</v>
      </c>
      <c r="H1520" s="11" t="s">
        <v>5579</v>
      </c>
      <c r="I1520" s="11" t="s">
        <v>5580</v>
      </c>
      <c r="J1520" s="12">
        <v>0.67130000000000001</v>
      </c>
      <c r="K1520" s="13">
        <v>8</v>
      </c>
      <c r="L1520" s="14">
        <v>4514</v>
      </c>
      <c r="M1520" s="10">
        <v>2445</v>
      </c>
      <c r="N1520" s="10">
        <v>498804</v>
      </c>
      <c r="O1520" s="10">
        <v>191736</v>
      </c>
      <c r="P1520" s="10">
        <v>690540</v>
      </c>
    </row>
    <row r="1521" spans="1:16" ht="27" customHeight="1" x14ac:dyDescent="0.2">
      <c r="A1521" s="9" t="s">
        <v>5119</v>
      </c>
      <c r="B1521" s="10" t="s">
        <v>5581</v>
      </c>
      <c r="C1521" s="11" t="s">
        <v>18</v>
      </c>
      <c r="D1521" s="11" t="s">
        <v>19</v>
      </c>
      <c r="E1521" s="11" t="s">
        <v>19</v>
      </c>
      <c r="F1521" s="11" t="s">
        <v>5582</v>
      </c>
      <c r="G1521" s="11" t="s">
        <v>83</v>
      </c>
      <c r="H1521" s="11" t="s">
        <v>5583</v>
      </c>
      <c r="I1521" s="11" t="s">
        <v>5584</v>
      </c>
      <c r="J1521" s="12">
        <v>0.25979999999999998</v>
      </c>
      <c r="K1521" s="13">
        <v>8</v>
      </c>
      <c r="L1521" s="14">
        <v>2752</v>
      </c>
      <c r="M1521" s="10">
        <v>351</v>
      </c>
      <c r="N1521" s="10">
        <v>304100</v>
      </c>
      <c r="O1521" s="10">
        <v>27525</v>
      </c>
      <c r="P1521" s="10">
        <v>331625</v>
      </c>
    </row>
    <row r="1522" spans="1:16" ht="27" customHeight="1" x14ac:dyDescent="0.2">
      <c r="A1522" s="9" t="s">
        <v>5119</v>
      </c>
      <c r="B1522" s="10" t="s">
        <v>5585</v>
      </c>
      <c r="C1522" s="11" t="s">
        <v>18</v>
      </c>
      <c r="D1522" s="11" t="s">
        <v>19</v>
      </c>
      <c r="E1522" s="11" t="s">
        <v>19</v>
      </c>
      <c r="F1522" s="11" t="s">
        <v>5586</v>
      </c>
      <c r="G1522" s="11" t="s">
        <v>83</v>
      </c>
      <c r="H1522" s="11" t="s">
        <v>5587</v>
      </c>
      <c r="I1522" s="11" t="s">
        <v>5588</v>
      </c>
      <c r="J1522" s="12">
        <v>0.75449999999999995</v>
      </c>
      <c r="K1522" s="13">
        <v>12</v>
      </c>
      <c r="L1522" s="14">
        <v>4349</v>
      </c>
      <c r="M1522" s="10">
        <v>3019</v>
      </c>
      <c r="N1522" s="10">
        <v>480572</v>
      </c>
      <c r="O1522" s="10">
        <v>236747</v>
      </c>
      <c r="P1522" s="10">
        <v>717319</v>
      </c>
    </row>
    <row r="1523" spans="1:16" ht="27" customHeight="1" x14ac:dyDescent="0.2">
      <c r="A1523" s="9" t="s">
        <v>5119</v>
      </c>
      <c r="B1523" s="10" t="s">
        <v>5585</v>
      </c>
      <c r="C1523" s="11" t="s">
        <v>5589</v>
      </c>
      <c r="D1523" s="11" t="s">
        <v>5590</v>
      </c>
      <c r="E1523" s="11" t="s">
        <v>57</v>
      </c>
      <c r="F1523" s="11" t="s">
        <v>5591</v>
      </c>
      <c r="G1523" s="11" t="s">
        <v>28</v>
      </c>
      <c r="H1523" s="11" t="s">
        <v>5591</v>
      </c>
      <c r="I1523" s="11" t="s">
        <v>5592</v>
      </c>
      <c r="J1523" s="12">
        <v>0.56089999999999995</v>
      </c>
      <c r="K1523" s="13">
        <v>1</v>
      </c>
      <c r="L1523" s="14">
        <v>792</v>
      </c>
      <c r="M1523" s="10">
        <v>444</v>
      </c>
      <c r="N1523" s="10">
        <v>87517</v>
      </c>
      <c r="O1523" s="10">
        <v>34818</v>
      </c>
      <c r="P1523" s="10">
        <v>122335</v>
      </c>
    </row>
    <row r="1524" spans="1:16" ht="27" customHeight="1" x14ac:dyDescent="0.2">
      <c r="A1524" s="9" t="s">
        <v>5119</v>
      </c>
      <c r="B1524" s="10" t="s">
        <v>5585</v>
      </c>
      <c r="C1524" s="11" t="s">
        <v>5593</v>
      </c>
      <c r="D1524" s="11" t="s">
        <v>5594</v>
      </c>
      <c r="E1524" s="11" t="s">
        <v>57</v>
      </c>
      <c r="F1524" s="11" t="s">
        <v>5595</v>
      </c>
      <c r="G1524" s="11" t="s">
        <v>28</v>
      </c>
      <c r="H1524" s="11" t="s">
        <v>5595</v>
      </c>
      <c r="I1524" s="11" t="s">
        <v>5596</v>
      </c>
      <c r="J1524" s="12">
        <v>0.52990000000000004</v>
      </c>
      <c r="K1524" s="13">
        <v>1</v>
      </c>
      <c r="L1524" s="14">
        <v>1036</v>
      </c>
      <c r="M1524" s="10">
        <v>549</v>
      </c>
      <c r="N1524" s="10">
        <v>114480</v>
      </c>
      <c r="O1524" s="10">
        <v>43052</v>
      </c>
      <c r="P1524" s="10">
        <v>157532</v>
      </c>
    </row>
    <row r="1525" spans="1:16" ht="27" customHeight="1" x14ac:dyDescent="0.2">
      <c r="A1525" s="9" t="s">
        <v>5119</v>
      </c>
      <c r="B1525" s="10" t="s">
        <v>5597</v>
      </c>
      <c r="C1525" s="11" t="s">
        <v>18</v>
      </c>
      <c r="D1525" s="11" t="s">
        <v>19</v>
      </c>
      <c r="E1525" s="11" t="s">
        <v>19</v>
      </c>
      <c r="F1525" s="11" t="s">
        <v>5598</v>
      </c>
      <c r="G1525" s="11" t="s">
        <v>83</v>
      </c>
      <c r="H1525" s="11" t="s">
        <v>5598</v>
      </c>
      <c r="I1525" s="11" t="s">
        <v>5599</v>
      </c>
      <c r="J1525" s="12">
        <v>0.43180000000000002</v>
      </c>
      <c r="K1525" s="13">
        <v>2</v>
      </c>
      <c r="L1525" s="14">
        <v>44</v>
      </c>
      <c r="M1525" s="10">
        <v>19</v>
      </c>
      <c r="N1525" s="10">
        <v>4862</v>
      </c>
      <c r="O1525" s="10">
        <v>1490</v>
      </c>
      <c r="P1525" s="10">
        <v>6352</v>
      </c>
    </row>
    <row r="1526" spans="1:16" ht="27" customHeight="1" x14ac:dyDescent="0.2">
      <c r="A1526" s="9" t="s">
        <v>5119</v>
      </c>
      <c r="B1526" s="10" t="s">
        <v>5597</v>
      </c>
      <c r="C1526" s="11" t="s">
        <v>5600</v>
      </c>
      <c r="D1526" s="11" t="s">
        <v>5601</v>
      </c>
      <c r="E1526" s="11" t="s">
        <v>26</v>
      </c>
      <c r="F1526" s="11" t="s">
        <v>5602</v>
      </c>
      <c r="G1526" s="11" t="s">
        <v>28</v>
      </c>
      <c r="H1526" s="11" t="s">
        <v>5602</v>
      </c>
      <c r="I1526" s="11" t="s">
        <v>5603</v>
      </c>
      <c r="J1526" s="12">
        <v>0.65029999999999999</v>
      </c>
      <c r="K1526" s="13">
        <v>1</v>
      </c>
      <c r="L1526" s="14">
        <v>143</v>
      </c>
      <c r="M1526" s="10">
        <v>93</v>
      </c>
      <c r="N1526" s="10">
        <v>15802</v>
      </c>
      <c r="O1526" s="10">
        <v>7293</v>
      </c>
      <c r="P1526" s="10">
        <v>23095</v>
      </c>
    </row>
    <row r="1527" spans="1:16" ht="27" customHeight="1" x14ac:dyDescent="0.2">
      <c r="A1527" s="9" t="s">
        <v>5119</v>
      </c>
      <c r="B1527" s="10" t="s">
        <v>5597</v>
      </c>
      <c r="C1527" s="11" t="s">
        <v>5604</v>
      </c>
      <c r="D1527" s="11" t="s">
        <v>5605</v>
      </c>
      <c r="E1527" s="11" t="s">
        <v>26</v>
      </c>
      <c r="F1527" s="11" t="s">
        <v>5606</v>
      </c>
      <c r="G1527" s="11" t="s">
        <v>28</v>
      </c>
      <c r="H1527" s="11" t="s">
        <v>5606</v>
      </c>
      <c r="I1527" s="11" t="s">
        <v>5607</v>
      </c>
      <c r="J1527" s="12">
        <v>0.63749999999999996</v>
      </c>
      <c r="K1527" s="13">
        <v>1</v>
      </c>
      <c r="L1527" s="14">
        <v>3294</v>
      </c>
      <c r="M1527" s="10">
        <v>2100</v>
      </c>
      <c r="N1527" s="10">
        <v>363992</v>
      </c>
      <c r="O1527" s="10">
        <v>164680</v>
      </c>
      <c r="P1527" s="10">
        <v>528672</v>
      </c>
    </row>
    <row r="1528" spans="1:16" ht="27" customHeight="1" x14ac:dyDescent="0.2">
      <c r="A1528" s="9" t="s">
        <v>5119</v>
      </c>
      <c r="B1528" s="10" t="s">
        <v>5608</v>
      </c>
      <c r="C1528" s="11" t="s">
        <v>18</v>
      </c>
      <c r="D1528" s="11" t="s">
        <v>19</v>
      </c>
      <c r="E1528" s="11" t="s">
        <v>19</v>
      </c>
      <c r="F1528" s="11" t="s">
        <v>5609</v>
      </c>
      <c r="G1528" s="11" t="s">
        <v>83</v>
      </c>
      <c r="H1528" s="11" t="s">
        <v>5122</v>
      </c>
      <c r="I1528" s="11" t="s">
        <v>5123</v>
      </c>
      <c r="J1528" s="12">
        <v>1</v>
      </c>
      <c r="K1528" s="13">
        <v>30</v>
      </c>
      <c r="L1528" s="14">
        <v>36040</v>
      </c>
      <c r="M1528" s="10">
        <v>21404</v>
      </c>
      <c r="N1528" s="10">
        <v>3982479</v>
      </c>
      <c r="O1528" s="10">
        <v>1678477</v>
      </c>
      <c r="P1528" s="10">
        <v>5660956</v>
      </c>
    </row>
    <row r="1529" spans="1:16" ht="27" customHeight="1" x14ac:dyDescent="0.2">
      <c r="A1529" s="9" t="s">
        <v>5119</v>
      </c>
      <c r="B1529" s="10" t="s">
        <v>5608</v>
      </c>
      <c r="C1529" s="11" t="s">
        <v>5610</v>
      </c>
      <c r="D1529" s="11" t="s">
        <v>5611</v>
      </c>
      <c r="E1529" s="11" t="s">
        <v>26</v>
      </c>
      <c r="F1529" s="11" t="s">
        <v>5612</v>
      </c>
      <c r="G1529" s="11" t="s">
        <v>28</v>
      </c>
      <c r="H1529" s="11" t="s">
        <v>5612</v>
      </c>
      <c r="I1529" s="11" t="s">
        <v>5613</v>
      </c>
      <c r="J1529" s="12">
        <v>0.66769999999999996</v>
      </c>
      <c r="K1529" s="13">
        <v>1</v>
      </c>
      <c r="L1529" s="14">
        <v>1297</v>
      </c>
      <c r="M1529" s="10">
        <v>866</v>
      </c>
      <c r="N1529" s="10">
        <v>143321</v>
      </c>
      <c r="O1529" s="10">
        <v>67911</v>
      </c>
      <c r="P1529" s="10">
        <v>211232</v>
      </c>
    </row>
    <row r="1530" spans="1:16" ht="27" customHeight="1" x14ac:dyDescent="0.2">
      <c r="A1530" s="9" t="s">
        <v>5119</v>
      </c>
      <c r="B1530" s="10" t="s">
        <v>5608</v>
      </c>
      <c r="C1530" s="11" t="s">
        <v>5614</v>
      </c>
      <c r="D1530" s="11" t="s">
        <v>5615</v>
      </c>
      <c r="E1530" s="11" t="s">
        <v>26</v>
      </c>
      <c r="F1530" s="11" t="s">
        <v>5616</v>
      </c>
      <c r="G1530" s="11" t="s">
        <v>28</v>
      </c>
      <c r="H1530" s="11" t="s">
        <v>5122</v>
      </c>
      <c r="I1530" s="11" t="s">
        <v>5123</v>
      </c>
      <c r="J1530" s="12">
        <v>1</v>
      </c>
      <c r="K1530" s="13">
        <v>1</v>
      </c>
      <c r="L1530" s="14">
        <v>236</v>
      </c>
      <c r="M1530" s="10">
        <v>209</v>
      </c>
      <c r="N1530" s="10">
        <v>26078</v>
      </c>
      <c r="O1530" s="10">
        <v>16390</v>
      </c>
      <c r="P1530" s="10">
        <v>42468</v>
      </c>
    </row>
    <row r="1531" spans="1:16" ht="27" customHeight="1" x14ac:dyDescent="0.2">
      <c r="A1531" s="9" t="s">
        <v>5119</v>
      </c>
      <c r="B1531" s="10" t="s">
        <v>5617</v>
      </c>
      <c r="C1531" s="11" t="s">
        <v>18</v>
      </c>
      <c r="D1531" s="11" t="s">
        <v>19</v>
      </c>
      <c r="E1531" s="11" t="s">
        <v>19</v>
      </c>
      <c r="F1531" s="11" t="s">
        <v>5618</v>
      </c>
      <c r="G1531" s="11" t="s">
        <v>83</v>
      </c>
      <c r="H1531" s="11" t="s">
        <v>5618</v>
      </c>
      <c r="I1531" s="11" t="s">
        <v>5619</v>
      </c>
      <c r="J1531" s="12">
        <v>0.80320000000000003</v>
      </c>
      <c r="K1531" s="13">
        <v>2</v>
      </c>
      <c r="L1531" s="14">
        <v>188</v>
      </c>
      <c r="M1531" s="10">
        <v>151</v>
      </c>
      <c r="N1531" s="10">
        <v>20774</v>
      </c>
      <c r="O1531" s="10">
        <v>11841</v>
      </c>
      <c r="P1531" s="10">
        <v>32615</v>
      </c>
    </row>
    <row r="1532" spans="1:16" ht="27" customHeight="1" x14ac:dyDescent="0.2">
      <c r="A1532" s="9" t="s">
        <v>5119</v>
      </c>
      <c r="B1532" s="10" t="s">
        <v>5620</v>
      </c>
      <c r="C1532" s="11" t="s">
        <v>18</v>
      </c>
      <c r="D1532" s="11" t="s">
        <v>19</v>
      </c>
      <c r="E1532" s="11" t="s">
        <v>19</v>
      </c>
      <c r="F1532" s="11" t="s">
        <v>5621</v>
      </c>
      <c r="G1532" s="11" t="s">
        <v>83</v>
      </c>
      <c r="H1532" s="11" t="s">
        <v>5622</v>
      </c>
      <c r="I1532" s="11" t="s">
        <v>5623</v>
      </c>
      <c r="J1532" s="12">
        <v>0.89959999999999996</v>
      </c>
      <c r="K1532" s="13">
        <v>29</v>
      </c>
      <c r="L1532" s="14">
        <v>19020</v>
      </c>
      <c r="M1532" s="10">
        <v>11949</v>
      </c>
      <c r="N1532" s="10">
        <v>2101741</v>
      </c>
      <c r="O1532" s="10">
        <v>937029</v>
      </c>
      <c r="P1532" s="10">
        <v>3038770</v>
      </c>
    </row>
    <row r="1533" spans="1:16" ht="27" customHeight="1" x14ac:dyDescent="0.2">
      <c r="A1533" s="9" t="s">
        <v>5119</v>
      </c>
      <c r="B1533" s="10" t="s">
        <v>5620</v>
      </c>
      <c r="C1533" s="11" t="s">
        <v>5624</v>
      </c>
      <c r="D1533" s="11" t="s">
        <v>5625</v>
      </c>
      <c r="E1533" s="11" t="s">
        <v>26</v>
      </c>
      <c r="F1533" s="11" t="s">
        <v>5626</v>
      </c>
      <c r="G1533" s="11" t="s">
        <v>28</v>
      </c>
      <c r="H1533" s="11" t="s">
        <v>5122</v>
      </c>
      <c r="I1533" s="11" t="s">
        <v>5123</v>
      </c>
      <c r="J1533" s="12">
        <v>1</v>
      </c>
      <c r="K1533" s="13">
        <v>1</v>
      </c>
      <c r="L1533" s="14">
        <v>743</v>
      </c>
      <c r="M1533" s="10">
        <v>672</v>
      </c>
      <c r="N1533" s="10">
        <v>82103</v>
      </c>
      <c r="O1533" s="10">
        <v>52698</v>
      </c>
      <c r="P1533" s="10">
        <v>134801</v>
      </c>
    </row>
    <row r="1534" spans="1:16" ht="27" customHeight="1" x14ac:dyDescent="0.2">
      <c r="A1534" s="9" t="s">
        <v>5119</v>
      </c>
      <c r="B1534" s="10" t="s">
        <v>5620</v>
      </c>
      <c r="C1534" s="11" t="s">
        <v>5627</v>
      </c>
      <c r="D1534" s="11" t="s">
        <v>5628</v>
      </c>
      <c r="E1534" s="11" t="s">
        <v>26</v>
      </c>
      <c r="F1534" s="11" t="s">
        <v>5629</v>
      </c>
      <c r="G1534" s="11" t="s">
        <v>28</v>
      </c>
      <c r="H1534" s="11" t="s">
        <v>5122</v>
      </c>
      <c r="I1534" s="11" t="s">
        <v>5123</v>
      </c>
      <c r="J1534" s="12">
        <v>1</v>
      </c>
      <c r="K1534" s="13">
        <v>1</v>
      </c>
      <c r="L1534" s="14">
        <v>173</v>
      </c>
      <c r="M1534" s="10">
        <v>86</v>
      </c>
      <c r="N1534" s="10">
        <v>19117</v>
      </c>
      <c r="O1534" s="10">
        <v>6744</v>
      </c>
      <c r="P1534" s="10">
        <v>25861</v>
      </c>
    </row>
    <row r="1535" spans="1:16" ht="27" customHeight="1" x14ac:dyDescent="0.2">
      <c r="A1535" s="9" t="s">
        <v>5119</v>
      </c>
      <c r="B1535" s="10" t="s">
        <v>5620</v>
      </c>
      <c r="C1535" s="11" t="s">
        <v>5630</v>
      </c>
      <c r="D1535" s="11" t="s">
        <v>5631</v>
      </c>
      <c r="E1535" s="11" t="s">
        <v>26</v>
      </c>
      <c r="F1535" s="11" t="s">
        <v>5632</v>
      </c>
      <c r="G1535" s="11" t="s">
        <v>28</v>
      </c>
      <c r="H1535" s="11" t="s">
        <v>5632</v>
      </c>
      <c r="I1535" s="11" t="s">
        <v>5633</v>
      </c>
      <c r="J1535" s="12">
        <v>0.36359999999999998</v>
      </c>
      <c r="K1535" s="13">
        <v>1</v>
      </c>
      <c r="L1535" s="14">
        <v>55</v>
      </c>
      <c r="M1535" s="10">
        <v>20</v>
      </c>
      <c r="N1535" s="10">
        <v>6078</v>
      </c>
      <c r="O1535" s="10">
        <v>1568</v>
      </c>
      <c r="P1535" s="10">
        <v>7646</v>
      </c>
    </row>
    <row r="1536" spans="1:16" ht="27" customHeight="1" x14ac:dyDescent="0.2">
      <c r="A1536" s="9" t="s">
        <v>5119</v>
      </c>
      <c r="B1536" s="10" t="s">
        <v>5620</v>
      </c>
      <c r="C1536" s="11" t="s">
        <v>5634</v>
      </c>
      <c r="D1536" s="11" t="s">
        <v>5635</v>
      </c>
      <c r="E1536" s="11" t="s">
        <v>26</v>
      </c>
      <c r="F1536" s="11" t="s">
        <v>5636</v>
      </c>
      <c r="G1536" s="11" t="s">
        <v>28</v>
      </c>
      <c r="H1536" s="11" t="s">
        <v>5636</v>
      </c>
      <c r="I1536" s="11" t="s">
        <v>5637</v>
      </c>
      <c r="J1536" s="12">
        <v>0.55530000000000002</v>
      </c>
      <c r="K1536" s="13">
        <v>1</v>
      </c>
      <c r="L1536" s="14">
        <v>398</v>
      </c>
      <c r="M1536" s="10">
        <v>221</v>
      </c>
      <c r="N1536" s="10">
        <v>43980</v>
      </c>
      <c r="O1536" s="10">
        <v>17331</v>
      </c>
      <c r="P1536" s="10">
        <v>61311</v>
      </c>
    </row>
    <row r="1537" spans="1:16" ht="27" customHeight="1" x14ac:dyDescent="0.2">
      <c r="A1537" s="9" t="s">
        <v>5119</v>
      </c>
      <c r="B1537" s="10" t="s">
        <v>5620</v>
      </c>
      <c r="C1537" s="11" t="s">
        <v>5638</v>
      </c>
      <c r="D1537" s="11" t="s">
        <v>5639</v>
      </c>
      <c r="E1537" s="11" t="s">
        <v>26</v>
      </c>
      <c r="F1537" s="11" t="s">
        <v>5640</v>
      </c>
      <c r="G1537" s="11" t="s">
        <v>28</v>
      </c>
      <c r="H1537" s="11" t="s">
        <v>5640</v>
      </c>
      <c r="I1537" s="11" t="s">
        <v>5641</v>
      </c>
      <c r="J1537" s="12">
        <v>0.57430000000000003</v>
      </c>
      <c r="K1537" s="13">
        <v>1</v>
      </c>
      <c r="L1537" s="14">
        <v>1346</v>
      </c>
      <c r="M1537" s="10">
        <v>773</v>
      </c>
      <c r="N1537" s="10">
        <v>148735</v>
      </c>
      <c r="O1537" s="10">
        <v>60618</v>
      </c>
      <c r="P1537" s="10">
        <v>209353</v>
      </c>
    </row>
    <row r="1538" spans="1:16" ht="27" customHeight="1" x14ac:dyDescent="0.2">
      <c r="A1538" s="9" t="s">
        <v>5119</v>
      </c>
      <c r="B1538" s="10" t="s">
        <v>5642</v>
      </c>
      <c r="C1538" s="11" t="s">
        <v>18</v>
      </c>
      <c r="D1538" s="11" t="s">
        <v>19</v>
      </c>
      <c r="E1538" s="11" t="s">
        <v>19</v>
      </c>
      <c r="F1538" s="11" t="s">
        <v>5643</v>
      </c>
      <c r="G1538" s="11" t="s">
        <v>83</v>
      </c>
      <c r="H1538" s="11" t="s">
        <v>1482</v>
      </c>
      <c r="I1538" s="11" t="s">
        <v>5644</v>
      </c>
      <c r="J1538" s="12">
        <v>0.48270000000000002</v>
      </c>
      <c r="K1538" s="13">
        <v>17</v>
      </c>
      <c r="L1538" s="14">
        <v>11029</v>
      </c>
      <c r="M1538" s="10">
        <v>2361</v>
      </c>
      <c r="N1538" s="10">
        <v>1218724</v>
      </c>
      <c r="O1538" s="10">
        <v>185147</v>
      </c>
      <c r="P1538" s="10">
        <v>1403871</v>
      </c>
    </row>
    <row r="1539" spans="1:16" ht="27" customHeight="1" x14ac:dyDescent="0.2">
      <c r="A1539" s="9" t="s">
        <v>5119</v>
      </c>
      <c r="B1539" s="10" t="s">
        <v>5645</v>
      </c>
      <c r="C1539" s="11" t="s">
        <v>18</v>
      </c>
      <c r="D1539" s="11" t="s">
        <v>19</v>
      </c>
      <c r="E1539" s="11" t="s">
        <v>19</v>
      </c>
      <c r="F1539" s="11" t="s">
        <v>5646</v>
      </c>
      <c r="G1539" s="11" t="s">
        <v>83</v>
      </c>
      <c r="H1539" s="11" t="s">
        <v>5647</v>
      </c>
      <c r="I1539" s="11" t="s">
        <v>5648</v>
      </c>
      <c r="J1539" s="12">
        <v>0.94989999999999997</v>
      </c>
      <c r="K1539" s="13">
        <v>24</v>
      </c>
      <c r="L1539" s="14">
        <v>15560</v>
      </c>
      <c r="M1539" s="10">
        <v>11141</v>
      </c>
      <c r="N1539" s="10">
        <v>1719406</v>
      </c>
      <c r="O1539" s="10">
        <v>873666</v>
      </c>
      <c r="P1539" s="10">
        <v>2593072</v>
      </c>
    </row>
    <row r="1540" spans="1:16" ht="27" customHeight="1" x14ac:dyDescent="0.2">
      <c r="A1540" s="9" t="s">
        <v>5119</v>
      </c>
      <c r="B1540" s="10" t="s">
        <v>5645</v>
      </c>
      <c r="C1540" s="11" t="s">
        <v>5649</v>
      </c>
      <c r="D1540" s="11" t="s">
        <v>5650</v>
      </c>
      <c r="E1540" s="11" t="s">
        <v>26</v>
      </c>
      <c r="F1540" s="11" t="s">
        <v>5651</v>
      </c>
      <c r="G1540" s="11" t="s">
        <v>28</v>
      </c>
      <c r="H1540" s="11" t="s">
        <v>5651</v>
      </c>
      <c r="I1540" s="11" t="s">
        <v>5652</v>
      </c>
      <c r="J1540" s="12">
        <v>0.28170000000000001</v>
      </c>
      <c r="K1540" s="13">
        <v>1</v>
      </c>
      <c r="L1540" s="14">
        <v>1789</v>
      </c>
      <c r="M1540" s="10">
        <v>504</v>
      </c>
      <c r="N1540" s="10">
        <v>197687</v>
      </c>
      <c r="O1540" s="10">
        <v>39523</v>
      </c>
      <c r="P1540" s="10">
        <v>237210</v>
      </c>
    </row>
    <row r="1541" spans="1:16" ht="27" customHeight="1" x14ac:dyDescent="0.2">
      <c r="A1541" s="9" t="s">
        <v>5119</v>
      </c>
      <c r="B1541" s="10" t="s">
        <v>5645</v>
      </c>
      <c r="C1541" s="11" t="s">
        <v>5653</v>
      </c>
      <c r="D1541" s="11" t="s">
        <v>5654</v>
      </c>
      <c r="E1541" s="11" t="s">
        <v>26</v>
      </c>
      <c r="F1541" s="11" t="s">
        <v>5655</v>
      </c>
      <c r="G1541" s="11" t="s">
        <v>28</v>
      </c>
      <c r="H1541" s="11" t="s">
        <v>5655</v>
      </c>
      <c r="I1541" s="11" t="s">
        <v>5656</v>
      </c>
      <c r="J1541" s="12">
        <v>0.7077</v>
      </c>
      <c r="K1541" s="13">
        <v>1</v>
      </c>
      <c r="L1541" s="14">
        <v>633</v>
      </c>
      <c r="M1541" s="10">
        <v>448</v>
      </c>
      <c r="N1541" s="10">
        <v>69948</v>
      </c>
      <c r="O1541" s="10">
        <v>35132</v>
      </c>
      <c r="P1541" s="10">
        <v>105080</v>
      </c>
    </row>
    <row r="1542" spans="1:16" ht="27" customHeight="1" x14ac:dyDescent="0.2">
      <c r="A1542" s="9" t="s">
        <v>5119</v>
      </c>
      <c r="B1542" s="10" t="s">
        <v>5657</v>
      </c>
      <c r="C1542" s="11" t="s">
        <v>18</v>
      </c>
      <c r="D1542" s="11" t="s">
        <v>19</v>
      </c>
      <c r="E1542" s="11" t="s">
        <v>19</v>
      </c>
      <c r="F1542" s="11" t="s">
        <v>5658</v>
      </c>
      <c r="G1542" s="11" t="s">
        <v>83</v>
      </c>
      <c r="H1542" s="11" t="s">
        <v>5659</v>
      </c>
      <c r="I1542" s="11" t="s">
        <v>5660</v>
      </c>
      <c r="J1542" s="12">
        <v>0.76919999999999999</v>
      </c>
      <c r="K1542" s="13">
        <v>20</v>
      </c>
      <c r="L1542" s="14">
        <v>19668</v>
      </c>
      <c r="M1542" s="10">
        <v>7346</v>
      </c>
      <c r="N1542" s="10">
        <v>2173347</v>
      </c>
      <c r="O1542" s="10">
        <v>576066</v>
      </c>
      <c r="P1542" s="10">
        <v>2749413</v>
      </c>
    </row>
    <row r="1543" spans="1:16" ht="27" customHeight="1" x14ac:dyDescent="0.2">
      <c r="A1543" s="9" t="s">
        <v>5119</v>
      </c>
      <c r="B1543" s="10" t="s">
        <v>5657</v>
      </c>
      <c r="C1543" s="11" t="s">
        <v>5661</v>
      </c>
      <c r="D1543" s="11" t="s">
        <v>5662</v>
      </c>
      <c r="E1543" s="11" t="s">
        <v>26</v>
      </c>
      <c r="F1543" s="11" t="s">
        <v>5663</v>
      </c>
      <c r="G1543" s="11" t="s">
        <v>28</v>
      </c>
      <c r="H1543" s="11" t="s">
        <v>5663</v>
      </c>
      <c r="I1543" s="11" t="s">
        <v>5664</v>
      </c>
      <c r="J1543" s="12">
        <v>0.45779999999999998</v>
      </c>
      <c r="K1543" s="13">
        <v>1</v>
      </c>
      <c r="L1543" s="14">
        <v>83</v>
      </c>
      <c r="M1543" s="10">
        <v>38</v>
      </c>
      <c r="N1543" s="10">
        <v>9172</v>
      </c>
      <c r="O1543" s="10">
        <v>2980</v>
      </c>
      <c r="P1543" s="10">
        <v>12152</v>
      </c>
    </row>
    <row r="1544" spans="1:16" ht="27" customHeight="1" x14ac:dyDescent="0.2">
      <c r="A1544" s="9" t="s">
        <v>5119</v>
      </c>
      <c r="B1544" s="10" t="s">
        <v>5665</v>
      </c>
      <c r="C1544" s="11" t="s">
        <v>18</v>
      </c>
      <c r="D1544" s="11" t="s">
        <v>19</v>
      </c>
      <c r="E1544" s="11" t="s">
        <v>19</v>
      </c>
      <c r="F1544" s="11" t="s">
        <v>5666</v>
      </c>
      <c r="G1544" s="11" t="s">
        <v>83</v>
      </c>
      <c r="H1544" s="11" t="s">
        <v>5667</v>
      </c>
      <c r="I1544" s="11" t="s">
        <v>5668</v>
      </c>
      <c r="J1544" s="12">
        <v>0.76149999999999995</v>
      </c>
      <c r="K1544" s="13">
        <v>4</v>
      </c>
      <c r="L1544" s="14">
        <v>217</v>
      </c>
      <c r="M1544" s="10">
        <v>159</v>
      </c>
      <c r="N1544" s="10">
        <v>23979</v>
      </c>
      <c r="O1544" s="10">
        <v>12469</v>
      </c>
      <c r="P1544" s="10">
        <v>36448</v>
      </c>
    </row>
    <row r="1545" spans="1:16" ht="27" customHeight="1" x14ac:dyDescent="0.2">
      <c r="A1545" s="9" t="s">
        <v>5119</v>
      </c>
      <c r="B1545" s="10" t="s">
        <v>5665</v>
      </c>
      <c r="C1545" s="11" t="s">
        <v>5669</v>
      </c>
      <c r="D1545" s="11" t="s">
        <v>5670</v>
      </c>
      <c r="E1545" s="11" t="s">
        <v>26</v>
      </c>
      <c r="F1545" s="11" t="s">
        <v>5122</v>
      </c>
      <c r="G1545" s="11" t="s">
        <v>28</v>
      </c>
      <c r="H1545" s="11" t="s">
        <v>5122</v>
      </c>
      <c r="I1545" s="11" t="s">
        <v>5123</v>
      </c>
      <c r="J1545" s="12">
        <v>1</v>
      </c>
      <c r="K1545" s="13">
        <v>1</v>
      </c>
      <c r="L1545" s="14">
        <v>51</v>
      </c>
      <c r="M1545" s="10">
        <v>51</v>
      </c>
      <c r="N1545" s="10">
        <v>5636</v>
      </c>
      <c r="O1545" s="10">
        <v>3999</v>
      </c>
      <c r="P1545" s="10">
        <v>9635</v>
      </c>
    </row>
    <row r="1546" spans="1:16" ht="27" customHeight="1" x14ac:dyDescent="0.2">
      <c r="A1546" s="9" t="s">
        <v>5119</v>
      </c>
      <c r="B1546" s="10" t="s">
        <v>5665</v>
      </c>
      <c r="C1546" s="11" t="s">
        <v>5671</v>
      </c>
      <c r="D1546" s="11" t="s">
        <v>5672</v>
      </c>
      <c r="E1546" s="11" t="s">
        <v>26</v>
      </c>
      <c r="F1546" s="11" t="s">
        <v>5673</v>
      </c>
      <c r="G1546" s="11" t="s">
        <v>28</v>
      </c>
      <c r="H1546" s="11" t="s">
        <v>5673</v>
      </c>
      <c r="I1546" s="11" t="s">
        <v>5674</v>
      </c>
      <c r="J1546" s="12">
        <v>0.5837</v>
      </c>
      <c r="K1546" s="13">
        <v>1</v>
      </c>
      <c r="L1546" s="14">
        <v>245</v>
      </c>
      <c r="M1546" s="10">
        <v>143</v>
      </c>
      <c r="N1546" s="10">
        <v>27073</v>
      </c>
      <c r="O1546" s="10">
        <v>11214</v>
      </c>
      <c r="P1546" s="10">
        <v>38287</v>
      </c>
    </row>
    <row r="1547" spans="1:16" ht="27" customHeight="1" x14ac:dyDescent="0.2">
      <c r="A1547" s="9" t="s">
        <v>5119</v>
      </c>
      <c r="B1547" s="10" t="s">
        <v>5665</v>
      </c>
      <c r="C1547" s="11" t="s">
        <v>5675</v>
      </c>
      <c r="D1547" s="11" t="s">
        <v>5676</v>
      </c>
      <c r="E1547" s="11" t="s">
        <v>26</v>
      </c>
      <c r="F1547" s="11" t="s">
        <v>5677</v>
      </c>
      <c r="G1547" s="11" t="s">
        <v>28</v>
      </c>
      <c r="H1547" s="11" t="s">
        <v>5677</v>
      </c>
      <c r="I1547" s="11" t="s">
        <v>5678</v>
      </c>
      <c r="J1547" s="12">
        <v>0.63580000000000003</v>
      </c>
      <c r="K1547" s="13">
        <v>1</v>
      </c>
      <c r="L1547" s="14">
        <v>151</v>
      </c>
      <c r="M1547" s="10">
        <v>96</v>
      </c>
      <c r="N1547" s="10">
        <v>16686</v>
      </c>
      <c r="O1547" s="10">
        <v>7528</v>
      </c>
      <c r="P1547" s="10">
        <v>24214</v>
      </c>
    </row>
    <row r="1548" spans="1:16" ht="27" customHeight="1" x14ac:dyDescent="0.2">
      <c r="A1548" s="9" t="s">
        <v>5119</v>
      </c>
      <c r="B1548" s="10" t="s">
        <v>5665</v>
      </c>
      <c r="C1548" s="11" t="s">
        <v>5679</v>
      </c>
      <c r="D1548" s="11" t="s">
        <v>5680</v>
      </c>
      <c r="E1548" s="11" t="s">
        <v>26</v>
      </c>
      <c r="F1548" s="11" t="s">
        <v>5681</v>
      </c>
      <c r="G1548" s="11" t="s">
        <v>28</v>
      </c>
      <c r="H1548" s="11" t="s">
        <v>5681</v>
      </c>
      <c r="I1548" s="11" t="s">
        <v>5682</v>
      </c>
      <c r="J1548" s="12">
        <v>0.31809999999999999</v>
      </c>
      <c r="K1548" s="13">
        <v>1</v>
      </c>
      <c r="L1548" s="14">
        <v>371</v>
      </c>
      <c r="M1548" s="10">
        <v>118</v>
      </c>
      <c r="N1548" s="10">
        <v>40996</v>
      </c>
      <c r="O1548" s="10">
        <v>9253</v>
      </c>
      <c r="P1548" s="10">
        <v>50249</v>
      </c>
    </row>
    <row r="1549" spans="1:16" ht="27" customHeight="1" x14ac:dyDescent="0.2">
      <c r="A1549" s="9" t="s">
        <v>5119</v>
      </c>
      <c r="B1549" s="10" t="s">
        <v>5665</v>
      </c>
      <c r="C1549" s="11" t="s">
        <v>5683</v>
      </c>
      <c r="D1549" s="11" t="s">
        <v>5684</v>
      </c>
      <c r="E1549" s="11" t="s">
        <v>26</v>
      </c>
      <c r="F1549" s="11" t="s">
        <v>4897</v>
      </c>
      <c r="G1549" s="11" t="s">
        <v>28</v>
      </c>
      <c r="H1549" s="11" t="s">
        <v>4897</v>
      </c>
      <c r="I1549" s="11" t="s">
        <v>5685</v>
      </c>
      <c r="J1549" s="12">
        <v>0.39029999999999998</v>
      </c>
      <c r="K1549" s="13">
        <v>1</v>
      </c>
      <c r="L1549" s="14">
        <v>1048</v>
      </c>
      <c r="M1549" s="10">
        <v>409</v>
      </c>
      <c r="N1549" s="10">
        <v>115806</v>
      </c>
      <c r="O1549" s="10">
        <v>32073</v>
      </c>
      <c r="P1549" s="10">
        <v>147879</v>
      </c>
    </row>
    <row r="1550" spans="1:16" ht="27" customHeight="1" x14ac:dyDescent="0.2">
      <c r="A1550" s="9" t="s">
        <v>5119</v>
      </c>
      <c r="B1550" s="10" t="s">
        <v>5665</v>
      </c>
      <c r="C1550" s="11" t="s">
        <v>5686</v>
      </c>
      <c r="D1550" s="11" t="s">
        <v>5687</v>
      </c>
      <c r="E1550" s="11" t="s">
        <v>26</v>
      </c>
      <c r="F1550" s="11" t="s">
        <v>5688</v>
      </c>
      <c r="G1550" s="11" t="s">
        <v>28</v>
      </c>
      <c r="H1550" s="11" t="s">
        <v>5122</v>
      </c>
      <c r="I1550" s="11" t="s">
        <v>5123</v>
      </c>
      <c r="J1550" s="12">
        <v>1</v>
      </c>
      <c r="K1550" s="13">
        <v>1</v>
      </c>
      <c r="L1550" s="14">
        <v>179</v>
      </c>
      <c r="M1550" s="10">
        <v>59</v>
      </c>
      <c r="N1550" s="10">
        <v>19780</v>
      </c>
      <c r="O1550" s="10">
        <v>4627</v>
      </c>
      <c r="P1550" s="10">
        <v>24407</v>
      </c>
    </row>
    <row r="1551" spans="1:16" ht="27" customHeight="1" x14ac:dyDescent="0.2">
      <c r="A1551" s="9" t="s">
        <v>5119</v>
      </c>
      <c r="B1551" s="10" t="s">
        <v>5665</v>
      </c>
      <c r="C1551" s="11" t="s">
        <v>5689</v>
      </c>
      <c r="D1551" s="11" t="s">
        <v>5690</v>
      </c>
      <c r="E1551" s="11" t="s">
        <v>26</v>
      </c>
      <c r="F1551" s="11" t="s">
        <v>5691</v>
      </c>
      <c r="G1551" s="11" t="s">
        <v>28</v>
      </c>
      <c r="H1551" s="11" t="s">
        <v>5691</v>
      </c>
      <c r="I1551" s="11" t="s">
        <v>5692</v>
      </c>
      <c r="J1551" s="12">
        <v>1</v>
      </c>
      <c r="K1551" s="13">
        <v>1</v>
      </c>
      <c r="L1551" s="14">
        <v>59</v>
      </c>
      <c r="M1551" s="10">
        <v>59</v>
      </c>
      <c r="N1551" s="10">
        <v>6520</v>
      </c>
      <c r="O1551" s="10">
        <v>4627</v>
      </c>
      <c r="P1551" s="10">
        <v>11147</v>
      </c>
    </row>
    <row r="1552" spans="1:16" ht="27" customHeight="1" x14ac:dyDescent="0.2">
      <c r="A1552" s="9" t="s">
        <v>5119</v>
      </c>
      <c r="B1552" s="10" t="s">
        <v>5693</v>
      </c>
      <c r="C1552" s="11" t="s">
        <v>18</v>
      </c>
      <c r="D1552" s="11" t="s">
        <v>19</v>
      </c>
      <c r="E1552" s="11" t="s">
        <v>19</v>
      </c>
      <c r="F1552" s="11" t="s">
        <v>5694</v>
      </c>
      <c r="G1552" s="11" t="s">
        <v>83</v>
      </c>
      <c r="H1552" s="11" t="s">
        <v>5695</v>
      </c>
      <c r="I1552" s="11" t="s">
        <v>5696</v>
      </c>
      <c r="J1552" s="12">
        <v>0.76949999999999996</v>
      </c>
      <c r="K1552" s="13">
        <v>9</v>
      </c>
      <c r="L1552" s="14">
        <v>3798</v>
      </c>
      <c r="M1552" s="10">
        <v>1897</v>
      </c>
      <c r="N1552" s="10">
        <v>419684</v>
      </c>
      <c r="O1552" s="10">
        <v>148763</v>
      </c>
      <c r="P1552" s="10">
        <v>568447</v>
      </c>
    </row>
    <row r="1553" spans="1:16" ht="27" customHeight="1" x14ac:dyDescent="0.2">
      <c r="A1553" s="9" t="s">
        <v>5119</v>
      </c>
      <c r="B1553" s="10" t="s">
        <v>5697</v>
      </c>
      <c r="C1553" s="11" t="s">
        <v>5698</v>
      </c>
      <c r="D1553" s="11" t="s">
        <v>5699</v>
      </c>
      <c r="E1553" s="11" t="s">
        <v>26</v>
      </c>
      <c r="F1553" s="11" t="s">
        <v>5700</v>
      </c>
      <c r="G1553" s="11" t="s">
        <v>28</v>
      </c>
      <c r="H1553" s="11" t="s">
        <v>5122</v>
      </c>
      <c r="I1553" s="11" t="s">
        <v>5123</v>
      </c>
      <c r="J1553" s="12">
        <v>1</v>
      </c>
      <c r="K1553" s="13">
        <v>1</v>
      </c>
      <c r="L1553" s="14">
        <v>639</v>
      </c>
      <c r="M1553" s="10">
        <v>237</v>
      </c>
      <c r="N1553" s="10">
        <v>70611</v>
      </c>
      <c r="O1553" s="10">
        <v>18585</v>
      </c>
      <c r="P1553" s="10">
        <v>89196</v>
      </c>
    </row>
    <row r="1554" spans="1:16" ht="27" customHeight="1" x14ac:dyDescent="0.2">
      <c r="A1554" s="9" t="s">
        <v>5119</v>
      </c>
      <c r="B1554" s="10" t="s">
        <v>5697</v>
      </c>
      <c r="C1554" s="11" t="s">
        <v>5701</v>
      </c>
      <c r="D1554" s="11" t="s">
        <v>5699</v>
      </c>
      <c r="E1554" s="11" t="s">
        <v>26</v>
      </c>
      <c r="F1554" s="11" t="s">
        <v>5702</v>
      </c>
      <c r="G1554" s="11" t="s">
        <v>28</v>
      </c>
      <c r="H1554" s="11" t="s">
        <v>5122</v>
      </c>
      <c r="I1554" s="11" t="s">
        <v>5123</v>
      </c>
      <c r="J1554" s="12">
        <v>1</v>
      </c>
      <c r="K1554" s="13">
        <v>1</v>
      </c>
      <c r="L1554" s="14">
        <v>418</v>
      </c>
      <c r="M1554" s="10">
        <v>164</v>
      </c>
      <c r="N1554" s="10">
        <v>46190</v>
      </c>
      <c r="O1554" s="10">
        <v>12861</v>
      </c>
      <c r="P1554" s="10">
        <v>59051</v>
      </c>
    </row>
    <row r="1555" spans="1:16" ht="27" customHeight="1" x14ac:dyDescent="0.2">
      <c r="A1555" s="9" t="s">
        <v>5119</v>
      </c>
      <c r="B1555" s="10" t="s">
        <v>5697</v>
      </c>
      <c r="C1555" s="11" t="s">
        <v>5703</v>
      </c>
      <c r="D1555" s="11" t="s">
        <v>5699</v>
      </c>
      <c r="E1555" s="11" t="s">
        <v>26</v>
      </c>
      <c r="F1555" s="11" t="s">
        <v>5704</v>
      </c>
      <c r="G1555" s="11" t="s">
        <v>28</v>
      </c>
      <c r="H1555" s="11" t="s">
        <v>5122</v>
      </c>
      <c r="I1555" s="11" t="s">
        <v>5123</v>
      </c>
      <c r="J1555" s="12">
        <v>1</v>
      </c>
      <c r="K1555" s="13">
        <v>1</v>
      </c>
      <c r="L1555" s="14">
        <v>336</v>
      </c>
      <c r="M1555" s="10">
        <v>155</v>
      </c>
      <c r="N1555" s="10">
        <v>37129</v>
      </c>
      <c r="O1555" s="10">
        <v>12155</v>
      </c>
      <c r="P1555" s="10">
        <v>49284</v>
      </c>
    </row>
    <row r="1556" spans="1:16" ht="27" customHeight="1" x14ac:dyDescent="0.2">
      <c r="A1556" s="9" t="s">
        <v>5119</v>
      </c>
      <c r="B1556" s="10" t="s">
        <v>5697</v>
      </c>
      <c r="C1556" s="11" t="s">
        <v>5705</v>
      </c>
      <c r="D1556" s="11" t="s">
        <v>5699</v>
      </c>
      <c r="E1556" s="11" t="s">
        <v>26</v>
      </c>
      <c r="F1556" s="11" t="s">
        <v>5706</v>
      </c>
      <c r="G1556" s="11" t="s">
        <v>28</v>
      </c>
      <c r="H1556" s="11" t="s">
        <v>5122</v>
      </c>
      <c r="I1556" s="11" t="s">
        <v>5123</v>
      </c>
      <c r="J1556" s="12">
        <v>1</v>
      </c>
      <c r="K1556" s="13">
        <v>1</v>
      </c>
      <c r="L1556" s="14">
        <v>334</v>
      </c>
      <c r="M1556" s="10">
        <v>140</v>
      </c>
      <c r="N1556" s="10">
        <v>36908</v>
      </c>
      <c r="O1556" s="10">
        <v>10979</v>
      </c>
      <c r="P1556" s="10">
        <v>47887</v>
      </c>
    </row>
    <row r="1557" spans="1:16" ht="27" customHeight="1" x14ac:dyDescent="0.2">
      <c r="A1557" s="9" t="s">
        <v>5119</v>
      </c>
      <c r="B1557" s="10" t="s">
        <v>5697</v>
      </c>
      <c r="C1557" s="11" t="s">
        <v>5707</v>
      </c>
      <c r="D1557" s="11" t="s">
        <v>5699</v>
      </c>
      <c r="E1557" s="11" t="s">
        <v>26</v>
      </c>
      <c r="F1557" s="11" t="s">
        <v>5708</v>
      </c>
      <c r="G1557" s="11" t="s">
        <v>28</v>
      </c>
      <c r="H1557" s="11" t="s">
        <v>5708</v>
      </c>
      <c r="I1557" s="11" t="s">
        <v>5709</v>
      </c>
      <c r="J1557" s="12">
        <v>0.53600000000000003</v>
      </c>
      <c r="K1557" s="13">
        <v>1</v>
      </c>
      <c r="L1557" s="14">
        <v>431</v>
      </c>
      <c r="M1557" s="10">
        <v>231</v>
      </c>
      <c r="N1557" s="10">
        <v>47626</v>
      </c>
      <c r="O1557" s="10">
        <v>18115</v>
      </c>
      <c r="P1557" s="10">
        <v>65741</v>
      </c>
    </row>
    <row r="1558" spans="1:16" ht="27" customHeight="1" x14ac:dyDescent="0.2">
      <c r="A1558" s="9" t="s">
        <v>5119</v>
      </c>
      <c r="B1558" s="10" t="s">
        <v>5697</v>
      </c>
      <c r="C1558" s="11" t="s">
        <v>5710</v>
      </c>
      <c r="D1558" s="11" t="s">
        <v>5699</v>
      </c>
      <c r="E1558" s="11" t="s">
        <v>26</v>
      </c>
      <c r="F1558" s="11" t="s">
        <v>5711</v>
      </c>
      <c r="G1558" s="11" t="s">
        <v>28</v>
      </c>
      <c r="H1558" s="11" t="s">
        <v>5711</v>
      </c>
      <c r="I1558" s="11" t="s">
        <v>5712</v>
      </c>
      <c r="J1558" s="12">
        <v>0.50229999999999997</v>
      </c>
      <c r="K1558" s="13">
        <v>1</v>
      </c>
      <c r="L1558" s="14">
        <v>442</v>
      </c>
      <c r="M1558" s="10">
        <v>222</v>
      </c>
      <c r="N1558" s="10">
        <v>48842</v>
      </c>
      <c r="O1558" s="10">
        <v>17409</v>
      </c>
      <c r="P1558" s="10">
        <v>66251</v>
      </c>
    </row>
    <row r="1559" spans="1:16" ht="27" customHeight="1" x14ac:dyDescent="0.2">
      <c r="A1559" s="9" t="s">
        <v>5119</v>
      </c>
      <c r="B1559" s="10" t="s">
        <v>5697</v>
      </c>
      <c r="C1559" s="11" t="s">
        <v>5713</v>
      </c>
      <c r="D1559" s="11" t="s">
        <v>5699</v>
      </c>
      <c r="E1559" s="11" t="s">
        <v>26</v>
      </c>
      <c r="F1559" s="11" t="s">
        <v>5714</v>
      </c>
      <c r="G1559" s="11" t="s">
        <v>28</v>
      </c>
      <c r="H1559" s="11" t="s">
        <v>5122</v>
      </c>
      <c r="I1559" s="11" t="s">
        <v>5123</v>
      </c>
      <c r="J1559" s="12">
        <v>1</v>
      </c>
      <c r="K1559" s="13">
        <v>1</v>
      </c>
      <c r="L1559" s="14">
        <v>434</v>
      </c>
      <c r="M1559" s="10">
        <v>143</v>
      </c>
      <c r="N1559" s="10">
        <v>47958</v>
      </c>
      <c r="O1559" s="10">
        <v>11214</v>
      </c>
      <c r="P1559" s="10">
        <v>59172</v>
      </c>
    </row>
    <row r="1560" spans="1:16" ht="27" customHeight="1" x14ac:dyDescent="0.2">
      <c r="A1560" s="9" t="s">
        <v>5119</v>
      </c>
      <c r="B1560" s="10" t="s">
        <v>5697</v>
      </c>
      <c r="C1560" s="11" t="s">
        <v>5715</v>
      </c>
      <c r="D1560" s="11" t="s">
        <v>5699</v>
      </c>
      <c r="E1560" s="11" t="s">
        <v>26</v>
      </c>
      <c r="F1560" s="11" t="s">
        <v>5716</v>
      </c>
      <c r="G1560" s="11" t="s">
        <v>28</v>
      </c>
      <c r="H1560" s="11" t="s">
        <v>5122</v>
      </c>
      <c r="I1560" s="11" t="s">
        <v>5123</v>
      </c>
      <c r="J1560" s="12">
        <v>1</v>
      </c>
      <c r="K1560" s="13">
        <v>1</v>
      </c>
      <c r="L1560" s="14">
        <v>337</v>
      </c>
      <c r="M1560" s="10">
        <v>121</v>
      </c>
      <c r="N1560" s="10">
        <v>37239</v>
      </c>
      <c r="O1560" s="10">
        <v>9489</v>
      </c>
      <c r="P1560" s="10">
        <v>46728</v>
      </c>
    </row>
    <row r="1561" spans="1:16" ht="27" customHeight="1" x14ac:dyDescent="0.2">
      <c r="A1561" s="9" t="s">
        <v>5119</v>
      </c>
      <c r="B1561" s="10" t="s">
        <v>5697</v>
      </c>
      <c r="C1561" s="11" t="s">
        <v>5717</v>
      </c>
      <c r="D1561" s="11" t="s">
        <v>5699</v>
      </c>
      <c r="E1561" s="11" t="s">
        <v>26</v>
      </c>
      <c r="F1561" s="11" t="s">
        <v>5718</v>
      </c>
      <c r="G1561" s="11" t="s">
        <v>28</v>
      </c>
      <c r="H1561" s="11" t="s">
        <v>5718</v>
      </c>
      <c r="I1561" s="11" t="s">
        <v>5719</v>
      </c>
      <c r="J1561" s="12">
        <v>0.36359999999999998</v>
      </c>
      <c r="K1561" s="13">
        <v>1</v>
      </c>
      <c r="L1561" s="14">
        <v>440</v>
      </c>
      <c r="M1561" s="10">
        <v>160</v>
      </c>
      <c r="N1561" s="10">
        <v>48621</v>
      </c>
      <c r="O1561" s="10">
        <v>12547</v>
      </c>
      <c r="P1561" s="10">
        <v>61168</v>
      </c>
    </row>
    <row r="1562" spans="1:16" ht="27" customHeight="1" x14ac:dyDescent="0.2">
      <c r="A1562" s="9" t="s">
        <v>5119</v>
      </c>
      <c r="B1562" s="10" t="s">
        <v>5720</v>
      </c>
      <c r="C1562" s="11" t="s">
        <v>18</v>
      </c>
      <c r="D1562" s="11" t="s">
        <v>19</v>
      </c>
      <c r="E1562" s="11" t="s">
        <v>19</v>
      </c>
      <c r="F1562" s="11" t="s">
        <v>5721</v>
      </c>
      <c r="G1562" s="11" t="s">
        <v>83</v>
      </c>
      <c r="H1562" s="11" t="s">
        <v>5722</v>
      </c>
      <c r="I1562" s="11" t="s">
        <v>5723</v>
      </c>
      <c r="J1562" s="12">
        <v>0.35349999999999998</v>
      </c>
      <c r="K1562" s="13">
        <v>5</v>
      </c>
      <c r="L1562" s="14">
        <v>2089</v>
      </c>
      <c r="M1562" s="10">
        <v>765</v>
      </c>
      <c r="N1562" s="10">
        <v>230838</v>
      </c>
      <c r="O1562" s="10">
        <v>59990</v>
      </c>
      <c r="P1562" s="10">
        <v>290828</v>
      </c>
    </row>
    <row r="1563" spans="1:16" ht="27" customHeight="1" x14ac:dyDescent="0.2">
      <c r="A1563" s="9" t="s">
        <v>5119</v>
      </c>
      <c r="B1563" s="10" t="s">
        <v>5720</v>
      </c>
      <c r="C1563" s="11" t="s">
        <v>5724</v>
      </c>
      <c r="D1563" s="11" t="s">
        <v>5725</v>
      </c>
      <c r="E1563" s="11" t="s">
        <v>57</v>
      </c>
      <c r="F1563" s="11" t="s">
        <v>5726</v>
      </c>
      <c r="G1563" s="11" t="s">
        <v>28</v>
      </c>
      <c r="H1563" s="11" t="s">
        <v>5726</v>
      </c>
      <c r="I1563" s="11" t="s">
        <v>5727</v>
      </c>
      <c r="J1563" s="12">
        <v>0.59550000000000003</v>
      </c>
      <c r="K1563" s="13">
        <v>1</v>
      </c>
      <c r="L1563" s="14">
        <v>89</v>
      </c>
      <c r="M1563" s="10">
        <v>53</v>
      </c>
      <c r="N1563" s="10">
        <v>9835</v>
      </c>
      <c r="O1563" s="10">
        <v>4156</v>
      </c>
      <c r="P1563" s="10">
        <v>13991</v>
      </c>
    </row>
    <row r="1564" spans="1:16" ht="27" customHeight="1" x14ac:dyDescent="0.2">
      <c r="A1564" s="9" t="s">
        <v>5119</v>
      </c>
      <c r="B1564" s="10" t="s">
        <v>5728</v>
      </c>
      <c r="C1564" s="11" t="s">
        <v>5729</v>
      </c>
      <c r="D1564" s="11" t="s">
        <v>5730</v>
      </c>
      <c r="E1564" s="11" t="s">
        <v>26</v>
      </c>
      <c r="F1564" s="11" t="s">
        <v>5731</v>
      </c>
      <c r="G1564" s="11" t="s">
        <v>28</v>
      </c>
      <c r="H1564" s="11" t="s">
        <v>5122</v>
      </c>
      <c r="I1564" s="11" t="s">
        <v>5123</v>
      </c>
      <c r="J1564" s="12">
        <v>1</v>
      </c>
      <c r="K1564" s="13">
        <v>1</v>
      </c>
      <c r="L1564" s="14">
        <v>257</v>
      </c>
      <c r="M1564" s="10">
        <v>178</v>
      </c>
      <c r="N1564" s="10">
        <v>28399</v>
      </c>
      <c r="O1564" s="10">
        <v>13959</v>
      </c>
      <c r="P1564" s="10">
        <v>42358</v>
      </c>
    </row>
    <row r="1565" spans="1:16" ht="27" customHeight="1" x14ac:dyDescent="0.2">
      <c r="A1565" s="9" t="s">
        <v>5119</v>
      </c>
      <c r="B1565" s="10" t="s">
        <v>5732</v>
      </c>
      <c r="C1565" s="11" t="s">
        <v>5733</v>
      </c>
      <c r="D1565" s="11" t="s">
        <v>5734</v>
      </c>
      <c r="E1565" s="11" t="s">
        <v>26</v>
      </c>
      <c r="F1565" s="11" t="s">
        <v>5735</v>
      </c>
      <c r="G1565" s="11" t="s">
        <v>28</v>
      </c>
      <c r="H1565" s="11" t="s">
        <v>5122</v>
      </c>
      <c r="I1565" s="11" t="s">
        <v>5123</v>
      </c>
      <c r="J1565" s="12">
        <v>1</v>
      </c>
      <c r="K1565" s="13">
        <v>1</v>
      </c>
      <c r="L1565" s="14">
        <v>369</v>
      </c>
      <c r="M1565" s="10">
        <v>270</v>
      </c>
      <c r="N1565" s="10">
        <v>40775</v>
      </c>
      <c r="O1565" s="10">
        <v>21173</v>
      </c>
      <c r="P1565" s="10">
        <v>61948</v>
      </c>
    </row>
    <row r="1566" spans="1:16" ht="27" customHeight="1" x14ac:dyDescent="0.2">
      <c r="A1566" s="9" t="s">
        <v>5119</v>
      </c>
      <c r="B1566" s="10" t="s">
        <v>5736</v>
      </c>
      <c r="C1566" s="11" t="s">
        <v>5737</v>
      </c>
      <c r="D1566" s="11" t="s">
        <v>5738</v>
      </c>
      <c r="E1566" s="11" t="s">
        <v>26</v>
      </c>
      <c r="F1566" s="11" t="s">
        <v>5739</v>
      </c>
      <c r="G1566" s="11" t="s">
        <v>28</v>
      </c>
      <c r="H1566" s="11" t="s">
        <v>5739</v>
      </c>
      <c r="I1566" s="11" t="s">
        <v>5740</v>
      </c>
      <c r="J1566" s="12">
        <v>0.68289999999999995</v>
      </c>
      <c r="K1566" s="13">
        <v>1</v>
      </c>
      <c r="L1566" s="14">
        <v>246</v>
      </c>
      <c r="M1566" s="10">
        <v>168</v>
      </c>
      <c r="N1566" s="10">
        <v>27183</v>
      </c>
      <c r="O1566" s="10">
        <v>13174</v>
      </c>
      <c r="P1566" s="10">
        <v>40357</v>
      </c>
    </row>
    <row r="1567" spans="1:16" ht="27" customHeight="1" x14ac:dyDescent="0.2">
      <c r="A1567" s="9" t="s">
        <v>5119</v>
      </c>
      <c r="B1567" s="10" t="s">
        <v>5741</v>
      </c>
      <c r="C1567" s="11" t="s">
        <v>5742</v>
      </c>
      <c r="D1567" s="11" t="s">
        <v>5743</v>
      </c>
      <c r="E1567" s="11" t="s">
        <v>26</v>
      </c>
      <c r="F1567" s="11" t="s">
        <v>5744</v>
      </c>
      <c r="G1567" s="11" t="s">
        <v>28</v>
      </c>
      <c r="H1567" s="11" t="s">
        <v>5122</v>
      </c>
      <c r="I1567" s="11" t="s">
        <v>5123</v>
      </c>
      <c r="J1567" s="12">
        <v>1</v>
      </c>
      <c r="K1567" s="13">
        <v>1</v>
      </c>
      <c r="L1567" s="14">
        <v>394</v>
      </c>
      <c r="M1567" s="10">
        <v>132</v>
      </c>
      <c r="N1567" s="10">
        <v>43538</v>
      </c>
      <c r="O1567" s="10">
        <v>10351</v>
      </c>
      <c r="P1567" s="10">
        <v>53889</v>
      </c>
    </row>
    <row r="1568" spans="1:16" ht="27" customHeight="1" x14ac:dyDescent="0.2">
      <c r="A1568" s="9" t="s">
        <v>5119</v>
      </c>
      <c r="B1568" s="10" t="s">
        <v>5745</v>
      </c>
      <c r="C1568" s="11" t="s">
        <v>5746</v>
      </c>
      <c r="D1568" s="11" t="s">
        <v>5747</v>
      </c>
      <c r="E1568" s="11" t="s">
        <v>26</v>
      </c>
      <c r="F1568" s="11" t="s">
        <v>5748</v>
      </c>
      <c r="G1568" s="11" t="s">
        <v>28</v>
      </c>
      <c r="H1568" s="11" t="s">
        <v>5748</v>
      </c>
      <c r="I1568" s="11" t="s">
        <v>5749</v>
      </c>
      <c r="J1568" s="12">
        <v>0.41710000000000003</v>
      </c>
      <c r="K1568" s="13">
        <v>1</v>
      </c>
      <c r="L1568" s="14">
        <v>199</v>
      </c>
      <c r="M1568" s="10">
        <v>83</v>
      </c>
      <c r="N1568" s="10">
        <v>21990</v>
      </c>
      <c r="O1568" s="10">
        <v>6509</v>
      </c>
      <c r="P1568" s="10">
        <v>28499</v>
      </c>
    </row>
    <row r="1569" spans="1:16" ht="27" customHeight="1" x14ac:dyDescent="0.2">
      <c r="A1569" s="9" t="s">
        <v>5750</v>
      </c>
      <c r="B1569" s="10" t="s">
        <v>5751</v>
      </c>
      <c r="C1569" s="11" t="s">
        <v>18</v>
      </c>
      <c r="D1569" s="11" t="s">
        <v>19</v>
      </c>
      <c r="E1569" s="11" t="s">
        <v>19</v>
      </c>
      <c r="F1569" s="11" t="s">
        <v>5752</v>
      </c>
      <c r="G1569" s="11" t="s">
        <v>21</v>
      </c>
      <c r="H1569" s="11" t="s">
        <v>5753</v>
      </c>
      <c r="I1569" s="11" t="s">
        <v>5754</v>
      </c>
      <c r="J1569" s="12">
        <v>1</v>
      </c>
      <c r="K1569" s="13">
        <v>5</v>
      </c>
      <c r="L1569" s="14">
        <v>276</v>
      </c>
      <c r="M1569" s="10">
        <v>166</v>
      </c>
      <c r="N1569" s="10">
        <v>30499</v>
      </c>
      <c r="O1569" s="10">
        <v>13018</v>
      </c>
      <c r="P1569" s="10">
        <v>43517</v>
      </c>
    </row>
    <row r="1570" spans="1:16" ht="27" customHeight="1" x14ac:dyDescent="0.2">
      <c r="A1570" s="9" t="s">
        <v>5750</v>
      </c>
      <c r="B1570" s="10" t="s">
        <v>5755</v>
      </c>
      <c r="C1570" s="11" t="s">
        <v>18</v>
      </c>
      <c r="D1570" s="11" t="s">
        <v>19</v>
      </c>
      <c r="E1570" s="11" t="s">
        <v>19</v>
      </c>
      <c r="F1570" s="11" t="s">
        <v>5756</v>
      </c>
      <c r="G1570" s="11" t="s">
        <v>83</v>
      </c>
      <c r="H1570" s="11" t="s">
        <v>5753</v>
      </c>
      <c r="I1570" s="11" t="s">
        <v>5754</v>
      </c>
      <c r="J1570" s="12">
        <v>1</v>
      </c>
      <c r="K1570" s="13">
        <v>114</v>
      </c>
      <c r="L1570" s="14">
        <v>49816</v>
      </c>
      <c r="M1570" s="10">
        <v>26271</v>
      </c>
      <c r="N1570" s="10">
        <v>5504752</v>
      </c>
      <c r="O1570" s="10">
        <v>2060146</v>
      </c>
      <c r="P1570" s="10">
        <v>7564898</v>
      </c>
    </row>
    <row r="1571" spans="1:16" ht="27" customHeight="1" x14ac:dyDescent="0.2">
      <c r="A1571" s="9" t="s">
        <v>5750</v>
      </c>
      <c r="B1571" s="10" t="s">
        <v>5755</v>
      </c>
      <c r="C1571" s="11" t="s">
        <v>5757</v>
      </c>
      <c r="D1571" s="11" t="s">
        <v>5758</v>
      </c>
      <c r="E1571" s="11" t="s">
        <v>26</v>
      </c>
      <c r="F1571" s="11" t="s">
        <v>5759</v>
      </c>
      <c r="G1571" s="11" t="s">
        <v>28</v>
      </c>
      <c r="H1571" s="11" t="s">
        <v>5753</v>
      </c>
      <c r="I1571" s="11" t="s">
        <v>5754</v>
      </c>
      <c r="J1571" s="12">
        <v>1</v>
      </c>
      <c r="K1571" s="13">
        <v>1</v>
      </c>
      <c r="L1571" s="14">
        <v>199</v>
      </c>
      <c r="M1571" s="10">
        <v>176</v>
      </c>
      <c r="N1571" s="10">
        <v>21990</v>
      </c>
      <c r="O1571" s="10">
        <v>13802</v>
      </c>
      <c r="P1571" s="10">
        <v>35792</v>
      </c>
    </row>
    <row r="1572" spans="1:16" ht="27" customHeight="1" x14ac:dyDescent="0.2">
      <c r="A1572" s="9" t="s">
        <v>5750</v>
      </c>
      <c r="B1572" s="10" t="s">
        <v>5755</v>
      </c>
      <c r="C1572" s="11" t="s">
        <v>5760</v>
      </c>
      <c r="D1572" s="11" t="s">
        <v>5761</v>
      </c>
      <c r="E1572" s="11" t="s">
        <v>26</v>
      </c>
      <c r="F1572" s="11" t="s">
        <v>5762</v>
      </c>
      <c r="G1572" s="11" t="s">
        <v>28</v>
      </c>
      <c r="H1572" s="11" t="s">
        <v>5753</v>
      </c>
      <c r="I1572" s="11" t="s">
        <v>5754</v>
      </c>
      <c r="J1572" s="12">
        <v>1</v>
      </c>
      <c r="K1572" s="13">
        <v>1</v>
      </c>
      <c r="L1572" s="14">
        <v>278</v>
      </c>
      <c r="M1572" s="10">
        <v>264</v>
      </c>
      <c r="N1572" s="10">
        <v>30719</v>
      </c>
      <c r="O1572" s="10">
        <v>20703</v>
      </c>
      <c r="P1572" s="10">
        <v>51422</v>
      </c>
    </row>
    <row r="1573" spans="1:16" ht="27" customHeight="1" x14ac:dyDescent="0.2">
      <c r="A1573" s="9" t="s">
        <v>5750</v>
      </c>
      <c r="B1573" s="10" t="s">
        <v>5755</v>
      </c>
      <c r="C1573" s="11" t="s">
        <v>5763</v>
      </c>
      <c r="D1573" s="11" t="s">
        <v>5764</v>
      </c>
      <c r="E1573" s="11" t="s">
        <v>26</v>
      </c>
      <c r="F1573" s="11" t="s">
        <v>5765</v>
      </c>
      <c r="G1573" s="11" t="s">
        <v>28</v>
      </c>
      <c r="H1573" s="11" t="s">
        <v>5753</v>
      </c>
      <c r="I1573" s="11" t="s">
        <v>5754</v>
      </c>
      <c r="J1573" s="12">
        <v>1</v>
      </c>
      <c r="K1573" s="13">
        <v>1</v>
      </c>
      <c r="L1573" s="14">
        <v>135</v>
      </c>
      <c r="M1573" s="10">
        <v>40</v>
      </c>
      <c r="N1573" s="10">
        <v>14918</v>
      </c>
      <c r="O1573" s="10">
        <v>3137</v>
      </c>
      <c r="P1573" s="10">
        <v>18055</v>
      </c>
    </row>
    <row r="1574" spans="1:16" ht="27" customHeight="1" x14ac:dyDescent="0.2">
      <c r="A1574" s="9" t="s">
        <v>5750</v>
      </c>
      <c r="B1574" s="10" t="s">
        <v>5755</v>
      </c>
      <c r="C1574" s="11" t="s">
        <v>5766</v>
      </c>
      <c r="D1574" s="11" t="s">
        <v>5767</v>
      </c>
      <c r="E1574" s="11" t="s">
        <v>26</v>
      </c>
      <c r="F1574" s="11" t="s">
        <v>5768</v>
      </c>
      <c r="G1574" s="11" t="s">
        <v>28</v>
      </c>
      <c r="H1574" s="11" t="s">
        <v>5753</v>
      </c>
      <c r="I1574" s="11" t="s">
        <v>5754</v>
      </c>
      <c r="J1574" s="12">
        <v>1</v>
      </c>
      <c r="K1574" s="13">
        <v>1</v>
      </c>
      <c r="L1574" s="14">
        <v>473</v>
      </c>
      <c r="M1574" s="10">
        <v>324</v>
      </c>
      <c r="N1574" s="10">
        <v>52267</v>
      </c>
      <c r="O1574" s="10">
        <v>25408</v>
      </c>
      <c r="P1574" s="10">
        <v>77675</v>
      </c>
    </row>
    <row r="1575" spans="1:16" ht="27" customHeight="1" x14ac:dyDescent="0.2">
      <c r="A1575" s="9" t="s">
        <v>5750</v>
      </c>
      <c r="B1575" s="10" t="s">
        <v>5755</v>
      </c>
      <c r="C1575" s="11" t="s">
        <v>5769</v>
      </c>
      <c r="D1575" s="11" t="s">
        <v>5770</v>
      </c>
      <c r="E1575" s="11" t="s">
        <v>26</v>
      </c>
      <c r="F1575" s="11" t="s">
        <v>5771</v>
      </c>
      <c r="G1575" s="11" t="s">
        <v>28</v>
      </c>
      <c r="H1575" s="11" t="s">
        <v>5753</v>
      </c>
      <c r="I1575" s="11" t="s">
        <v>5754</v>
      </c>
      <c r="J1575" s="12">
        <v>1</v>
      </c>
      <c r="K1575" s="13">
        <v>1</v>
      </c>
      <c r="L1575" s="14">
        <v>3019</v>
      </c>
      <c r="M1575" s="10">
        <v>766</v>
      </c>
      <c r="N1575" s="10">
        <v>333604</v>
      </c>
      <c r="O1575" s="10">
        <v>60069</v>
      </c>
      <c r="P1575" s="10">
        <v>393673</v>
      </c>
    </row>
    <row r="1576" spans="1:16" ht="27" customHeight="1" x14ac:dyDescent="0.2">
      <c r="A1576" s="9" t="s">
        <v>5750</v>
      </c>
      <c r="B1576" s="10" t="s">
        <v>5755</v>
      </c>
      <c r="C1576" s="11" t="s">
        <v>5772</v>
      </c>
      <c r="D1576" s="11" t="s">
        <v>5773</v>
      </c>
      <c r="E1576" s="11" t="s">
        <v>26</v>
      </c>
      <c r="F1576" s="11" t="s">
        <v>5774</v>
      </c>
      <c r="G1576" s="11" t="s">
        <v>28</v>
      </c>
      <c r="H1576" s="11" t="s">
        <v>5753</v>
      </c>
      <c r="I1576" s="11" t="s">
        <v>5754</v>
      </c>
      <c r="J1576" s="12">
        <v>1</v>
      </c>
      <c r="K1576" s="13">
        <v>1</v>
      </c>
      <c r="L1576" s="14">
        <v>302</v>
      </c>
      <c r="M1576" s="10">
        <v>145</v>
      </c>
      <c r="N1576" s="10">
        <v>33371</v>
      </c>
      <c r="O1576" s="10">
        <v>11371</v>
      </c>
      <c r="P1576" s="10">
        <v>44742</v>
      </c>
    </row>
    <row r="1577" spans="1:16" ht="27" customHeight="1" x14ac:dyDescent="0.2">
      <c r="A1577" s="9" t="s">
        <v>5750</v>
      </c>
      <c r="B1577" s="10" t="s">
        <v>5755</v>
      </c>
      <c r="C1577" s="11" t="s">
        <v>5775</v>
      </c>
      <c r="D1577" s="11" t="s">
        <v>5776</v>
      </c>
      <c r="E1577" s="11" t="s">
        <v>26</v>
      </c>
      <c r="F1577" s="11" t="s">
        <v>5777</v>
      </c>
      <c r="G1577" s="11" t="s">
        <v>28</v>
      </c>
      <c r="H1577" s="11" t="s">
        <v>5777</v>
      </c>
      <c r="I1577" s="11" t="s">
        <v>5778</v>
      </c>
      <c r="J1577" s="12">
        <v>0.68440000000000001</v>
      </c>
      <c r="K1577" s="13">
        <v>1</v>
      </c>
      <c r="L1577" s="14">
        <v>469</v>
      </c>
      <c r="M1577" s="10">
        <v>321</v>
      </c>
      <c r="N1577" s="10">
        <v>51825</v>
      </c>
      <c r="O1577" s="10">
        <v>25172</v>
      </c>
      <c r="P1577" s="10">
        <v>76997</v>
      </c>
    </row>
    <row r="1578" spans="1:16" ht="27" customHeight="1" x14ac:dyDescent="0.2">
      <c r="A1578" s="9" t="s">
        <v>5750</v>
      </c>
      <c r="B1578" s="10" t="s">
        <v>5755</v>
      </c>
      <c r="C1578" s="11" t="s">
        <v>5779</v>
      </c>
      <c r="D1578" s="11" t="s">
        <v>5780</v>
      </c>
      <c r="E1578" s="11" t="s">
        <v>26</v>
      </c>
      <c r="F1578" s="11" t="s">
        <v>5781</v>
      </c>
      <c r="G1578" s="11" t="s">
        <v>28</v>
      </c>
      <c r="H1578" s="11" t="s">
        <v>5753</v>
      </c>
      <c r="I1578" s="11" t="s">
        <v>5754</v>
      </c>
      <c r="J1578" s="12">
        <v>1</v>
      </c>
      <c r="K1578" s="13">
        <v>1</v>
      </c>
      <c r="L1578" s="14">
        <v>316</v>
      </c>
      <c r="M1578" s="10">
        <v>258</v>
      </c>
      <c r="N1578" s="10">
        <v>34919</v>
      </c>
      <c r="O1578" s="10">
        <v>20232</v>
      </c>
      <c r="P1578" s="10">
        <v>55151</v>
      </c>
    </row>
    <row r="1579" spans="1:16" ht="27" customHeight="1" x14ac:dyDescent="0.2">
      <c r="A1579" s="9" t="s">
        <v>5750</v>
      </c>
      <c r="B1579" s="10" t="s">
        <v>5755</v>
      </c>
      <c r="C1579" s="11" t="s">
        <v>5782</v>
      </c>
      <c r="D1579" s="11" t="s">
        <v>5783</v>
      </c>
      <c r="E1579" s="11" t="s">
        <v>26</v>
      </c>
      <c r="F1579" s="11" t="s">
        <v>5784</v>
      </c>
      <c r="G1579" s="11" t="s">
        <v>28</v>
      </c>
      <c r="H1579" s="11" t="s">
        <v>5753</v>
      </c>
      <c r="I1579" s="11" t="s">
        <v>5754</v>
      </c>
      <c r="J1579" s="12">
        <v>1</v>
      </c>
      <c r="K1579" s="13">
        <v>1</v>
      </c>
      <c r="L1579" s="14">
        <v>41</v>
      </c>
      <c r="M1579" s="10">
        <v>36</v>
      </c>
      <c r="N1579" s="10">
        <v>4531</v>
      </c>
      <c r="O1579" s="10">
        <v>2823</v>
      </c>
      <c r="P1579" s="10">
        <v>7354</v>
      </c>
    </row>
    <row r="1580" spans="1:16" ht="27" customHeight="1" x14ac:dyDescent="0.2">
      <c r="A1580" s="9" t="s">
        <v>5750</v>
      </c>
      <c r="B1580" s="10" t="s">
        <v>5755</v>
      </c>
      <c r="C1580" s="11" t="s">
        <v>5785</v>
      </c>
      <c r="D1580" s="11" t="s">
        <v>5786</v>
      </c>
      <c r="E1580" s="11" t="s">
        <v>26</v>
      </c>
      <c r="F1580" s="11" t="s">
        <v>5787</v>
      </c>
      <c r="G1580" s="11" t="s">
        <v>28</v>
      </c>
      <c r="H1580" s="11" t="s">
        <v>5753</v>
      </c>
      <c r="I1580" s="11" t="s">
        <v>5754</v>
      </c>
      <c r="J1580" s="12">
        <v>1</v>
      </c>
      <c r="K1580" s="13">
        <v>1</v>
      </c>
      <c r="L1580" s="14">
        <v>489</v>
      </c>
      <c r="M1580" s="10">
        <v>240</v>
      </c>
      <c r="N1580" s="10">
        <v>54035</v>
      </c>
      <c r="O1580" s="10">
        <v>18821</v>
      </c>
      <c r="P1580" s="10">
        <v>72856</v>
      </c>
    </row>
    <row r="1581" spans="1:16" ht="27" customHeight="1" x14ac:dyDescent="0.2">
      <c r="A1581" s="9" t="s">
        <v>5750</v>
      </c>
      <c r="B1581" s="10" t="s">
        <v>5755</v>
      </c>
      <c r="C1581" s="11" t="s">
        <v>5788</v>
      </c>
      <c r="D1581" s="11" t="s">
        <v>5789</v>
      </c>
      <c r="E1581" s="11" t="s">
        <v>26</v>
      </c>
      <c r="F1581" s="11" t="s">
        <v>5790</v>
      </c>
      <c r="G1581" s="11" t="s">
        <v>28</v>
      </c>
      <c r="H1581" s="11" t="s">
        <v>5790</v>
      </c>
      <c r="I1581" s="11" t="s">
        <v>5791</v>
      </c>
      <c r="J1581" s="12">
        <v>0.35759999999999997</v>
      </c>
      <c r="K1581" s="13">
        <v>1</v>
      </c>
      <c r="L1581" s="14">
        <v>590</v>
      </c>
      <c r="M1581" s="10">
        <v>211</v>
      </c>
      <c r="N1581" s="10">
        <v>65196</v>
      </c>
      <c r="O1581" s="10">
        <v>16546</v>
      </c>
      <c r="P1581" s="10">
        <v>81742</v>
      </c>
    </row>
    <row r="1582" spans="1:16" ht="27" customHeight="1" x14ac:dyDescent="0.2">
      <c r="A1582" s="9" t="s">
        <v>5750</v>
      </c>
      <c r="B1582" s="10" t="s">
        <v>5755</v>
      </c>
      <c r="C1582" s="11" t="s">
        <v>5792</v>
      </c>
      <c r="D1582" s="11" t="s">
        <v>5793</v>
      </c>
      <c r="E1582" s="11" t="s">
        <v>26</v>
      </c>
      <c r="F1582" s="11" t="s">
        <v>5794</v>
      </c>
      <c r="G1582" s="11" t="s">
        <v>28</v>
      </c>
      <c r="H1582" s="11" t="s">
        <v>5794</v>
      </c>
      <c r="I1582" s="11" t="s">
        <v>5795</v>
      </c>
      <c r="J1582" s="12">
        <v>0.1837</v>
      </c>
      <c r="K1582" s="13">
        <v>1</v>
      </c>
      <c r="L1582" s="14">
        <v>441</v>
      </c>
      <c r="M1582" s="10">
        <v>81</v>
      </c>
      <c r="N1582" s="10">
        <v>48731</v>
      </c>
      <c r="O1582" s="10">
        <v>6352</v>
      </c>
      <c r="P1582" s="10">
        <v>55083</v>
      </c>
    </row>
    <row r="1583" spans="1:16" ht="27" customHeight="1" x14ac:dyDescent="0.2">
      <c r="A1583" s="9" t="s">
        <v>5750</v>
      </c>
      <c r="B1583" s="10" t="s">
        <v>5796</v>
      </c>
      <c r="C1583" s="11" t="s">
        <v>5797</v>
      </c>
      <c r="D1583" s="11" t="s">
        <v>5798</v>
      </c>
      <c r="E1583" s="11" t="s">
        <v>26</v>
      </c>
      <c r="F1583" s="11" t="s">
        <v>5799</v>
      </c>
      <c r="G1583" s="11" t="s">
        <v>28</v>
      </c>
      <c r="H1583" s="11" t="s">
        <v>5799</v>
      </c>
      <c r="I1583" s="11" t="s">
        <v>5800</v>
      </c>
      <c r="J1583" s="12">
        <v>0.33710000000000001</v>
      </c>
      <c r="K1583" s="13">
        <v>1</v>
      </c>
      <c r="L1583" s="14">
        <v>439</v>
      </c>
      <c r="M1583" s="10">
        <v>148</v>
      </c>
      <c r="N1583" s="10">
        <v>48510</v>
      </c>
      <c r="O1583" s="10">
        <v>11606</v>
      </c>
      <c r="P1583" s="10">
        <v>60116</v>
      </c>
    </row>
    <row r="1584" spans="1:16" ht="27" customHeight="1" x14ac:dyDescent="0.2">
      <c r="A1584" s="9" t="s">
        <v>5750</v>
      </c>
      <c r="B1584" s="10" t="s">
        <v>5801</v>
      </c>
      <c r="C1584" s="11" t="s">
        <v>5802</v>
      </c>
      <c r="D1584" s="11" t="s">
        <v>5803</v>
      </c>
      <c r="E1584" s="11" t="s">
        <v>26</v>
      </c>
      <c r="F1584" s="11" t="s">
        <v>5804</v>
      </c>
      <c r="G1584" s="11" t="s">
        <v>28</v>
      </c>
      <c r="H1584" s="11" t="s">
        <v>5804</v>
      </c>
      <c r="I1584" s="11" t="s">
        <v>5805</v>
      </c>
      <c r="J1584" s="12">
        <v>0.92549999999999999</v>
      </c>
      <c r="K1584" s="13">
        <v>1</v>
      </c>
      <c r="L1584" s="14">
        <v>161</v>
      </c>
      <c r="M1584" s="10">
        <v>149</v>
      </c>
      <c r="N1584" s="10">
        <v>17791</v>
      </c>
      <c r="O1584" s="10">
        <v>11684</v>
      </c>
      <c r="P1584" s="10">
        <v>29475</v>
      </c>
    </row>
    <row r="1585" spans="1:16" ht="27" customHeight="1" x14ac:dyDescent="0.2">
      <c r="A1585" s="9" t="s">
        <v>5806</v>
      </c>
      <c r="B1585" s="10" t="s">
        <v>5807</v>
      </c>
      <c r="C1585" s="11" t="s">
        <v>18</v>
      </c>
      <c r="D1585" s="11" t="s">
        <v>19</v>
      </c>
      <c r="E1585" s="11" t="s">
        <v>19</v>
      </c>
      <c r="F1585" s="11" t="s">
        <v>5808</v>
      </c>
      <c r="G1585" s="11" t="s">
        <v>21</v>
      </c>
      <c r="H1585" s="11" t="s">
        <v>5809</v>
      </c>
      <c r="I1585" s="11" t="s">
        <v>5810</v>
      </c>
      <c r="J1585" s="12">
        <v>0.96760000000000002</v>
      </c>
      <c r="K1585" s="13">
        <v>4</v>
      </c>
      <c r="L1585" s="14">
        <v>2609</v>
      </c>
      <c r="M1585" s="10">
        <v>1922</v>
      </c>
      <c r="N1585" s="10">
        <v>288300</v>
      </c>
      <c r="O1585" s="10">
        <v>150722</v>
      </c>
      <c r="P1585" s="10">
        <v>439022</v>
      </c>
    </row>
    <row r="1586" spans="1:16" ht="27" customHeight="1" x14ac:dyDescent="0.2">
      <c r="A1586" s="9" t="s">
        <v>5806</v>
      </c>
      <c r="B1586" s="10" t="s">
        <v>5807</v>
      </c>
      <c r="C1586" s="11" t="s">
        <v>5811</v>
      </c>
      <c r="D1586" s="11" t="s">
        <v>5812</v>
      </c>
      <c r="E1586" s="11" t="s">
        <v>26</v>
      </c>
      <c r="F1586" s="11" t="s">
        <v>5813</v>
      </c>
      <c r="G1586" s="11" t="s">
        <v>28</v>
      </c>
      <c r="H1586" s="11" t="s">
        <v>5809</v>
      </c>
      <c r="I1586" s="11" t="s">
        <v>5810</v>
      </c>
      <c r="J1586" s="12">
        <v>0.96760000000000002</v>
      </c>
      <c r="K1586" s="13">
        <v>1</v>
      </c>
      <c r="L1586" s="14">
        <v>846</v>
      </c>
      <c r="M1586" s="10">
        <v>637</v>
      </c>
      <c r="N1586" s="10">
        <v>93484</v>
      </c>
      <c r="O1586" s="10">
        <v>49953</v>
      </c>
      <c r="P1586" s="10">
        <v>143437</v>
      </c>
    </row>
    <row r="1587" spans="1:16" ht="27" customHeight="1" x14ac:dyDescent="0.2">
      <c r="A1587" s="9" t="s">
        <v>5806</v>
      </c>
      <c r="B1587" s="10" t="s">
        <v>5807</v>
      </c>
      <c r="C1587" s="11" t="s">
        <v>5814</v>
      </c>
      <c r="D1587" s="11" t="s">
        <v>5815</v>
      </c>
      <c r="E1587" s="11" t="s">
        <v>26</v>
      </c>
      <c r="F1587" s="11" t="s">
        <v>5816</v>
      </c>
      <c r="G1587" s="11" t="s">
        <v>28</v>
      </c>
      <c r="H1587" s="11" t="s">
        <v>5816</v>
      </c>
      <c r="I1587" s="11" t="s">
        <v>5817</v>
      </c>
      <c r="J1587" s="12">
        <v>0.77359999999999995</v>
      </c>
      <c r="K1587" s="13">
        <v>1</v>
      </c>
      <c r="L1587" s="14">
        <v>596</v>
      </c>
      <c r="M1587" s="10">
        <v>461</v>
      </c>
      <c r="N1587" s="10">
        <v>65859</v>
      </c>
      <c r="O1587" s="10">
        <v>36151</v>
      </c>
      <c r="P1587" s="10">
        <v>102010</v>
      </c>
    </row>
    <row r="1588" spans="1:16" ht="27" customHeight="1" x14ac:dyDescent="0.2">
      <c r="A1588" s="9" t="s">
        <v>5806</v>
      </c>
      <c r="B1588" s="10" t="s">
        <v>5807</v>
      </c>
      <c r="C1588" s="11" t="s">
        <v>5818</v>
      </c>
      <c r="D1588" s="11" t="s">
        <v>5819</v>
      </c>
      <c r="E1588" s="11" t="s">
        <v>26</v>
      </c>
      <c r="F1588" s="11" t="s">
        <v>5820</v>
      </c>
      <c r="G1588" s="11" t="s">
        <v>28</v>
      </c>
      <c r="H1588" s="11" t="s">
        <v>5809</v>
      </c>
      <c r="I1588" s="11" t="s">
        <v>5810</v>
      </c>
      <c r="J1588" s="12">
        <v>0.96760000000000002</v>
      </c>
      <c r="K1588" s="13">
        <v>1</v>
      </c>
      <c r="L1588" s="14">
        <v>1644</v>
      </c>
      <c r="M1588" s="10">
        <v>1063</v>
      </c>
      <c r="N1588" s="10">
        <v>181665</v>
      </c>
      <c r="O1588" s="10">
        <v>83359</v>
      </c>
      <c r="P1588" s="10">
        <v>265024</v>
      </c>
    </row>
    <row r="1589" spans="1:16" ht="27" customHeight="1" x14ac:dyDescent="0.2">
      <c r="A1589" s="9" t="s">
        <v>5806</v>
      </c>
      <c r="B1589" s="10" t="s">
        <v>5821</v>
      </c>
      <c r="C1589" s="11" t="s">
        <v>18</v>
      </c>
      <c r="D1589" s="11" t="s">
        <v>19</v>
      </c>
      <c r="E1589" s="11" t="s">
        <v>19</v>
      </c>
      <c r="F1589" s="11" t="s">
        <v>5822</v>
      </c>
      <c r="G1589" s="11" t="s">
        <v>83</v>
      </c>
      <c r="H1589" s="11" t="s">
        <v>5823</v>
      </c>
      <c r="I1589" s="11" t="s">
        <v>5824</v>
      </c>
      <c r="J1589" s="12">
        <v>0.71719999999999995</v>
      </c>
      <c r="K1589" s="13">
        <v>8</v>
      </c>
      <c r="L1589" s="14">
        <v>2670</v>
      </c>
      <c r="M1589" s="10">
        <v>1197</v>
      </c>
      <c r="N1589" s="10">
        <v>295041</v>
      </c>
      <c r="O1589" s="10">
        <v>93867</v>
      </c>
      <c r="P1589" s="10">
        <v>388908</v>
      </c>
    </row>
    <row r="1590" spans="1:16" ht="27" customHeight="1" x14ac:dyDescent="0.2">
      <c r="A1590" s="9" t="s">
        <v>5806</v>
      </c>
      <c r="B1590" s="10" t="s">
        <v>5821</v>
      </c>
      <c r="C1590" s="11" t="s">
        <v>5825</v>
      </c>
      <c r="D1590" s="11" t="s">
        <v>5826</v>
      </c>
      <c r="E1590" s="11" t="s">
        <v>26</v>
      </c>
      <c r="F1590" s="11" t="s">
        <v>5827</v>
      </c>
      <c r="G1590" s="11" t="s">
        <v>28</v>
      </c>
      <c r="H1590" s="11" t="s">
        <v>5827</v>
      </c>
      <c r="I1590" s="11" t="s">
        <v>5828</v>
      </c>
      <c r="J1590" s="12">
        <v>0.22539999999999999</v>
      </c>
      <c r="K1590" s="13">
        <v>1</v>
      </c>
      <c r="L1590" s="14">
        <v>315</v>
      </c>
      <c r="M1590" s="10">
        <v>71</v>
      </c>
      <c r="N1590" s="10">
        <v>34808</v>
      </c>
      <c r="O1590" s="10">
        <v>5568</v>
      </c>
      <c r="P1590" s="10">
        <v>40376</v>
      </c>
    </row>
    <row r="1591" spans="1:16" ht="27" customHeight="1" x14ac:dyDescent="0.2">
      <c r="A1591" s="9" t="s">
        <v>5806</v>
      </c>
      <c r="B1591" s="10" t="s">
        <v>5829</v>
      </c>
      <c r="C1591" s="11" t="s">
        <v>18</v>
      </c>
      <c r="D1591" s="11" t="s">
        <v>19</v>
      </c>
      <c r="E1591" s="11" t="s">
        <v>19</v>
      </c>
      <c r="F1591" s="11" t="s">
        <v>1482</v>
      </c>
      <c r="G1591" s="11" t="s">
        <v>83</v>
      </c>
      <c r="H1591" s="11" t="s">
        <v>5830</v>
      </c>
      <c r="I1591" s="11" t="s">
        <v>5831</v>
      </c>
      <c r="J1591" s="12">
        <v>0.34189999999999998</v>
      </c>
      <c r="K1591" s="13">
        <v>5</v>
      </c>
      <c r="L1591" s="14">
        <v>2638</v>
      </c>
      <c r="M1591" s="10">
        <v>635</v>
      </c>
      <c r="N1591" s="10">
        <v>291504</v>
      </c>
      <c r="O1591" s="10">
        <v>49797</v>
      </c>
      <c r="P1591" s="10">
        <v>341301</v>
      </c>
    </row>
    <row r="1592" spans="1:16" ht="27" customHeight="1" x14ac:dyDescent="0.2">
      <c r="A1592" s="9" t="s">
        <v>5806</v>
      </c>
      <c r="B1592" s="10" t="s">
        <v>5832</v>
      </c>
      <c r="C1592" s="11" t="s">
        <v>18</v>
      </c>
      <c r="D1592" s="11" t="s">
        <v>19</v>
      </c>
      <c r="E1592" s="11" t="s">
        <v>19</v>
      </c>
      <c r="F1592" s="11" t="s">
        <v>5833</v>
      </c>
      <c r="G1592" s="11" t="s">
        <v>83</v>
      </c>
      <c r="H1592" s="11" t="s">
        <v>5834</v>
      </c>
      <c r="I1592" s="11" t="s">
        <v>5835</v>
      </c>
      <c r="J1592" s="12">
        <v>0.77329999999999999</v>
      </c>
      <c r="K1592" s="13">
        <v>14</v>
      </c>
      <c r="L1592" s="14">
        <v>8613</v>
      </c>
      <c r="M1592" s="10">
        <v>5423</v>
      </c>
      <c r="N1592" s="10">
        <v>951751</v>
      </c>
      <c r="O1592" s="10">
        <v>425267</v>
      </c>
      <c r="P1592" s="10">
        <v>1377018</v>
      </c>
    </row>
    <row r="1593" spans="1:16" ht="27" customHeight="1" x14ac:dyDescent="0.2">
      <c r="A1593" s="9" t="s">
        <v>5806</v>
      </c>
      <c r="B1593" s="10" t="s">
        <v>5832</v>
      </c>
      <c r="C1593" s="11" t="s">
        <v>5836</v>
      </c>
      <c r="D1593" s="11" t="s">
        <v>5837</v>
      </c>
      <c r="E1593" s="11" t="s">
        <v>57</v>
      </c>
      <c r="F1593" s="11" t="s">
        <v>5838</v>
      </c>
      <c r="G1593" s="11" t="s">
        <v>28</v>
      </c>
      <c r="H1593" s="11" t="s">
        <v>5838</v>
      </c>
      <c r="I1593" s="11" t="s">
        <v>5839</v>
      </c>
      <c r="J1593" s="12">
        <v>0.50439999999999996</v>
      </c>
      <c r="K1593" s="13">
        <v>1</v>
      </c>
      <c r="L1593" s="14">
        <v>458</v>
      </c>
      <c r="M1593" s="10">
        <v>231</v>
      </c>
      <c r="N1593" s="10">
        <v>50610</v>
      </c>
      <c r="O1593" s="10">
        <v>18115</v>
      </c>
      <c r="P1593" s="10">
        <v>68725</v>
      </c>
    </row>
    <row r="1594" spans="1:16" ht="27" customHeight="1" x14ac:dyDescent="0.2">
      <c r="A1594" s="9" t="s">
        <v>5806</v>
      </c>
      <c r="B1594" s="10" t="s">
        <v>5840</v>
      </c>
      <c r="C1594" s="11" t="s">
        <v>18</v>
      </c>
      <c r="D1594" s="11" t="s">
        <v>19</v>
      </c>
      <c r="E1594" s="11" t="s">
        <v>19</v>
      </c>
      <c r="F1594" s="11" t="s">
        <v>5841</v>
      </c>
      <c r="G1594" s="11" t="s">
        <v>83</v>
      </c>
      <c r="H1594" s="11" t="s">
        <v>5842</v>
      </c>
      <c r="I1594" s="11" t="s">
        <v>5843</v>
      </c>
      <c r="J1594" s="12">
        <v>0.76829999999999998</v>
      </c>
      <c r="K1594" s="13">
        <v>7</v>
      </c>
      <c r="L1594" s="14">
        <v>2284</v>
      </c>
      <c r="M1594" s="10">
        <v>1530</v>
      </c>
      <c r="N1594" s="10">
        <v>252388</v>
      </c>
      <c r="O1594" s="10">
        <v>119981</v>
      </c>
      <c r="P1594" s="10">
        <v>372369</v>
      </c>
    </row>
    <row r="1595" spans="1:16" ht="27" customHeight="1" x14ac:dyDescent="0.2">
      <c r="A1595" s="9" t="s">
        <v>5806</v>
      </c>
      <c r="B1595" s="10" t="s">
        <v>5844</v>
      </c>
      <c r="C1595" s="11" t="s">
        <v>18</v>
      </c>
      <c r="D1595" s="11" t="s">
        <v>19</v>
      </c>
      <c r="E1595" s="11" t="s">
        <v>19</v>
      </c>
      <c r="F1595" s="11" t="s">
        <v>5845</v>
      </c>
      <c r="G1595" s="11" t="s">
        <v>83</v>
      </c>
      <c r="H1595" s="11" t="s">
        <v>5809</v>
      </c>
      <c r="I1595" s="11" t="s">
        <v>5810</v>
      </c>
      <c r="J1595" s="12">
        <v>0.96760000000000002</v>
      </c>
      <c r="K1595" s="13">
        <v>49</v>
      </c>
      <c r="L1595" s="14">
        <v>27293</v>
      </c>
      <c r="M1595" s="10">
        <v>20221</v>
      </c>
      <c r="N1595" s="10">
        <v>3015920</v>
      </c>
      <c r="O1595" s="10">
        <v>1585712</v>
      </c>
      <c r="P1595" s="10">
        <v>4601632</v>
      </c>
    </row>
    <row r="1596" spans="1:16" ht="27" customHeight="1" x14ac:dyDescent="0.2">
      <c r="A1596" s="9" t="s">
        <v>5806</v>
      </c>
      <c r="B1596" s="10" t="s">
        <v>5844</v>
      </c>
      <c r="C1596" s="11" t="s">
        <v>5846</v>
      </c>
      <c r="D1596" s="11" t="s">
        <v>5847</v>
      </c>
      <c r="E1596" s="11" t="s">
        <v>26</v>
      </c>
      <c r="F1596" s="11" t="s">
        <v>5848</v>
      </c>
      <c r="G1596" s="11" t="s">
        <v>28</v>
      </c>
      <c r="H1596" s="11" t="s">
        <v>5809</v>
      </c>
      <c r="I1596" s="11" t="s">
        <v>5810</v>
      </c>
      <c r="J1596" s="12">
        <v>0.96760000000000002</v>
      </c>
      <c r="K1596" s="13">
        <v>1</v>
      </c>
      <c r="L1596" s="14">
        <v>685</v>
      </c>
      <c r="M1596" s="10">
        <v>338</v>
      </c>
      <c r="N1596" s="10">
        <v>75694</v>
      </c>
      <c r="O1596" s="10">
        <v>26506</v>
      </c>
      <c r="P1596" s="10">
        <v>102200</v>
      </c>
    </row>
    <row r="1597" spans="1:16" ht="27" customHeight="1" x14ac:dyDescent="0.2">
      <c r="A1597" s="9" t="s">
        <v>5806</v>
      </c>
      <c r="B1597" s="10" t="s">
        <v>5844</v>
      </c>
      <c r="C1597" s="11" t="s">
        <v>5849</v>
      </c>
      <c r="D1597" s="11" t="s">
        <v>5850</v>
      </c>
      <c r="E1597" s="11" t="s">
        <v>26</v>
      </c>
      <c r="F1597" s="11" t="s">
        <v>5851</v>
      </c>
      <c r="G1597" s="11" t="s">
        <v>28</v>
      </c>
      <c r="H1597" s="11" t="s">
        <v>5851</v>
      </c>
      <c r="I1597" s="11" t="s">
        <v>5852</v>
      </c>
      <c r="J1597" s="12">
        <v>0.54510000000000003</v>
      </c>
      <c r="K1597" s="13">
        <v>1</v>
      </c>
      <c r="L1597" s="14">
        <v>787</v>
      </c>
      <c r="M1597" s="10">
        <v>429</v>
      </c>
      <c r="N1597" s="10">
        <v>86965</v>
      </c>
      <c r="O1597" s="10">
        <v>33642</v>
      </c>
      <c r="P1597" s="10">
        <v>120607</v>
      </c>
    </row>
    <row r="1598" spans="1:16" ht="27" customHeight="1" x14ac:dyDescent="0.2">
      <c r="A1598" s="9" t="s">
        <v>5806</v>
      </c>
      <c r="B1598" s="10" t="s">
        <v>5844</v>
      </c>
      <c r="C1598" s="11" t="s">
        <v>5853</v>
      </c>
      <c r="D1598" s="11" t="s">
        <v>5854</v>
      </c>
      <c r="E1598" s="11" t="s">
        <v>26</v>
      </c>
      <c r="F1598" s="11" t="s">
        <v>5855</v>
      </c>
      <c r="G1598" s="11" t="s">
        <v>28</v>
      </c>
      <c r="H1598" s="11" t="s">
        <v>5809</v>
      </c>
      <c r="I1598" s="11" t="s">
        <v>5810</v>
      </c>
      <c r="J1598" s="12">
        <v>0.96760000000000002</v>
      </c>
      <c r="K1598" s="13">
        <v>1</v>
      </c>
      <c r="L1598" s="14">
        <v>567</v>
      </c>
      <c r="M1598" s="10">
        <v>326</v>
      </c>
      <c r="N1598" s="10">
        <v>62654</v>
      </c>
      <c r="O1598" s="10">
        <v>25565</v>
      </c>
      <c r="P1598" s="10">
        <v>88219</v>
      </c>
    </row>
    <row r="1599" spans="1:16" ht="27" customHeight="1" x14ac:dyDescent="0.2">
      <c r="A1599" s="9" t="s">
        <v>5806</v>
      </c>
      <c r="B1599" s="10" t="s">
        <v>5844</v>
      </c>
      <c r="C1599" s="11" t="s">
        <v>5856</v>
      </c>
      <c r="D1599" s="11" t="s">
        <v>5857</v>
      </c>
      <c r="E1599" s="11" t="s">
        <v>26</v>
      </c>
      <c r="F1599" s="11" t="s">
        <v>5858</v>
      </c>
      <c r="G1599" s="11" t="s">
        <v>28</v>
      </c>
      <c r="H1599" s="11" t="s">
        <v>5858</v>
      </c>
      <c r="I1599" s="11" t="s">
        <v>5859</v>
      </c>
      <c r="J1599" s="12">
        <v>0.54039999999999999</v>
      </c>
      <c r="K1599" s="13">
        <v>1</v>
      </c>
      <c r="L1599" s="14">
        <v>446</v>
      </c>
      <c r="M1599" s="10">
        <v>241</v>
      </c>
      <c r="N1599" s="10">
        <v>49284</v>
      </c>
      <c r="O1599" s="10">
        <v>18899</v>
      </c>
      <c r="P1599" s="10">
        <v>68183</v>
      </c>
    </row>
    <row r="1600" spans="1:16" ht="27" customHeight="1" x14ac:dyDescent="0.2">
      <c r="A1600" s="9" t="s">
        <v>5806</v>
      </c>
      <c r="B1600" s="10" t="s">
        <v>5844</v>
      </c>
      <c r="C1600" s="11" t="s">
        <v>5860</v>
      </c>
      <c r="D1600" s="11" t="s">
        <v>5861</v>
      </c>
      <c r="E1600" s="11" t="s">
        <v>57</v>
      </c>
      <c r="F1600" s="11" t="s">
        <v>5862</v>
      </c>
      <c r="G1600" s="11" t="s">
        <v>28</v>
      </c>
      <c r="H1600" s="11" t="s">
        <v>5862</v>
      </c>
      <c r="I1600" s="11" t="s">
        <v>5863</v>
      </c>
      <c r="J1600" s="12">
        <v>0.63590000000000002</v>
      </c>
      <c r="K1600" s="13">
        <v>1</v>
      </c>
      <c r="L1600" s="14">
        <v>358</v>
      </c>
      <c r="M1600" s="10">
        <v>228</v>
      </c>
      <c r="N1600" s="10">
        <v>39560</v>
      </c>
      <c r="O1600" s="10">
        <v>17880</v>
      </c>
      <c r="P1600" s="10">
        <v>57440</v>
      </c>
    </row>
    <row r="1601" spans="1:16" ht="27" customHeight="1" x14ac:dyDescent="0.2">
      <c r="A1601" s="9" t="s">
        <v>5806</v>
      </c>
      <c r="B1601" s="10" t="s">
        <v>5844</v>
      </c>
      <c r="C1601" s="11" t="s">
        <v>5864</v>
      </c>
      <c r="D1601" s="11" t="s">
        <v>5865</v>
      </c>
      <c r="E1601" s="11" t="s">
        <v>26</v>
      </c>
      <c r="F1601" s="11" t="s">
        <v>5866</v>
      </c>
      <c r="G1601" s="11" t="s">
        <v>28</v>
      </c>
      <c r="H1601" s="11" t="s">
        <v>5866</v>
      </c>
      <c r="I1601" s="11" t="s">
        <v>5867</v>
      </c>
      <c r="J1601" s="12">
        <v>0.75719999999999998</v>
      </c>
      <c r="K1601" s="13">
        <v>1</v>
      </c>
      <c r="L1601" s="14">
        <v>453</v>
      </c>
      <c r="M1601" s="10">
        <v>343</v>
      </c>
      <c r="N1601" s="10">
        <v>50057</v>
      </c>
      <c r="O1601" s="10">
        <v>26898</v>
      </c>
      <c r="P1601" s="10">
        <v>76955</v>
      </c>
    </row>
    <row r="1602" spans="1:16" ht="27" customHeight="1" x14ac:dyDescent="0.2">
      <c r="A1602" s="9" t="s">
        <v>5806</v>
      </c>
      <c r="B1602" s="10" t="s">
        <v>5868</v>
      </c>
      <c r="C1602" s="11" t="s">
        <v>18</v>
      </c>
      <c r="D1602" s="11" t="s">
        <v>19</v>
      </c>
      <c r="E1602" s="11" t="s">
        <v>19</v>
      </c>
      <c r="F1602" s="11" t="s">
        <v>5869</v>
      </c>
      <c r="G1602" s="11" t="s">
        <v>83</v>
      </c>
      <c r="H1602" s="11" t="s">
        <v>5870</v>
      </c>
      <c r="I1602" s="11" t="s">
        <v>5871</v>
      </c>
      <c r="J1602" s="12">
        <v>0.79139999999999999</v>
      </c>
      <c r="K1602" s="13">
        <v>31</v>
      </c>
      <c r="L1602" s="14">
        <v>24964</v>
      </c>
      <c r="M1602" s="10">
        <v>13632</v>
      </c>
      <c r="N1602" s="10">
        <v>2758563</v>
      </c>
      <c r="O1602" s="10">
        <v>1069009</v>
      </c>
      <c r="P1602" s="10">
        <v>3827572</v>
      </c>
    </row>
    <row r="1603" spans="1:16" ht="27" customHeight="1" x14ac:dyDescent="0.2">
      <c r="A1603" s="9" t="s">
        <v>5806</v>
      </c>
      <c r="B1603" s="10" t="s">
        <v>5872</v>
      </c>
      <c r="C1603" s="11" t="s">
        <v>18</v>
      </c>
      <c r="D1603" s="11" t="s">
        <v>19</v>
      </c>
      <c r="E1603" s="11" t="s">
        <v>19</v>
      </c>
      <c r="F1603" s="11" t="s">
        <v>5873</v>
      </c>
      <c r="G1603" s="11" t="s">
        <v>83</v>
      </c>
      <c r="H1603" s="11" t="s">
        <v>5873</v>
      </c>
      <c r="I1603" s="11" t="s">
        <v>5874</v>
      </c>
      <c r="J1603" s="12">
        <v>0.7571</v>
      </c>
      <c r="K1603" s="13">
        <v>2</v>
      </c>
      <c r="L1603" s="14">
        <v>179</v>
      </c>
      <c r="M1603" s="10">
        <v>136</v>
      </c>
      <c r="N1603" s="10">
        <v>19780</v>
      </c>
      <c r="O1603" s="10">
        <v>10665</v>
      </c>
      <c r="P1603" s="10">
        <v>30445</v>
      </c>
    </row>
    <row r="1604" spans="1:16" ht="27" customHeight="1" x14ac:dyDescent="0.2">
      <c r="A1604" s="9" t="s">
        <v>5806</v>
      </c>
      <c r="B1604" s="10" t="s">
        <v>5875</v>
      </c>
      <c r="C1604" s="11" t="s">
        <v>18</v>
      </c>
      <c r="D1604" s="11" t="s">
        <v>19</v>
      </c>
      <c r="E1604" s="11" t="s">
        <v>19</v>
      </c>
      <c r="F1604" s="11" t="s">
        <v>5876</v>
      </c>
      <c r="G1604" s="11" t="s">
        <v>83</v>
      </c>
      <c r="H1604" s="11" t="s">
        <v>5876</v>
      </c>
      <c r="I1604" s="11" t="s">
        <v>5877</v>
      </c>
      <c r="J1604" s="12">
        <v>0.56520000000000004</v>
      </c>
      <c r="K1604" s="13">
        <v>2</v>
      </c>
      <c r="L1604" s="14">
        <v>23</v>
      </c>
      <c r="M1604" s="10">
        <v>13</v>
      </c>
      <c r="N1604" s="10">
        <v>2542</v>
      </c>
      <c r="O1604" s="10">
        <v>1019</v>
      </c>
      <c r="P1604" s="10">
        <v>3561</v>
      </c>
    </row>
    <row r="1605" spans="1:16" ht="27" customHeight="1" x14ac:dyDescent="0.2">
      <c r="A1605" s="9" t="s">
        <v>5806</v>
      </c>
      <c r="B1605" s="10" t="s">
        <v>5875</v>
      </c>
      <c r="C1605" s="11" t="s">
        <v>5878</v>
      </c>
      <c r="D1605" s="11" t="s">
        <v>5879</v>
      </c>
      <c r="E1605" s="11" t="s">
        <v>57</v>
      </c>
      <c r="F1605" s="11" t="s">
        <v>5880</v>
      </c>
      <c r="G1605" s="11" t="s">
        <v>28</v>
      </c>
      <c r="H1605" s="11" t="s">
        <v>5880</v>
      </c>
      <c r="I1605" s="11" t="s">
        <v>5881</v>
      </c>
      <c r="J1605" s="12">
        <v>0.61370000000000002</v>
      </c>
      <c r="K1605" s="13">
        <v>1</v>
      </c>
      <c r="L1605" s="14">
        <v>233</v>
      </c>
      <c r="M1605" s="10">
        <v>143</v>
      </c>
      <c r="N1605" s="10">
        <v>25747</v>
      </c>
      <c r="O1605" s="10">
        <v>11214</v>
      </c>
      <c r="P1605" s="10">
        <v>36961</v>
      </c>
    </row>
    <row r="1606" spans="1:16" ht="27" customHeight="1" x14ac:dyDescent="0.2">
      <c r="A1606" s="9" t="s">
        <v>5806</v>
      </c>
      <c r="B1606" s="10" t="s">
        <v>5875</v>
      </c>
      <c r="C1606" s="11" t="s">
        <v>5882</v>
      </c>
      <c r="D1606" s="11" t="s">
        <v>5883</v>
      </c>
      <c r="E1606" s="11" t="s">
        <v>26</v>
      </c>
      <c r="F1606" s="11" t="s">
        <v>5884</v>
      </c>
      <c r="G1606" s="11" t="s">
        <v>28</v>
      </c>
      <c r="H1606" s="11" t="s">
        <v>5884</v>
      </c>
      <c r="I1606" s="11" t="s">
        <v>5885</v>
      </c>
      <c r="J1606" s="12">
        <v>0.72330000000000005</v>
      </c>
      <c r="K1606" s="13">
        <v>1</v>
      </c>
      <c r="L1606" s="14">
        <v>1189</v>
      </c>
      <c r="M1606" s="10">
        <v>860</v>
      </c>
      <c r="N1606" s="10">
        <v>131386</v>
      </c>
      <c r="O1606" s="10">
        <v>67440</v>
      </c>
      <c r="P1606" s="10">
        <v>198826</v>
      </c>
    </row>
    <row r="1607" spans="1:16" ht="27" customHeight="1" x14ac:dyDescent="0.2">
      <c r="A1607" s="9" t="s">
        <v>5806</v>
      </c>
      <c r="B1607" s="10" t="s">
        <v>5875</v>
      </c>
      <c r="C1607" s="11" t="s">
        <v>5886</v>
      </c>
      <c r="D1607" s="11" t="s">
        <v>5887</v>
      </c>
      <c r="E1607" s="11" t="s">
        <v>26</v>
      </c>
      <c r="F1607" s="11" t="s">
        <v>5888</v>
      </c>
      <c r="G1607" s="11" t="s">
        <v>28</v>
      </c>
      <c r="H1607" s="11" t="s">
        <v>5888</v>
      </c>
      <c r="I1607" s="11" t="s">
        <v>5889</v>
      </c>
      <c r="J1607" s="12">
        <v>0.63880000000000003</v>
      </c>
      <c r="K1607" s="13">
        <v>1</v>
      </c>
      <c r="L1607" s="14">
        <v>2561</v>
      </c>
      <c r="M1607" s="10">
        <v>1636</v>
      </c>
      <c r="N1607" s="10">
        <v>282995</v>
      </c>
      <c r="O1607" s="10">
        <v>128293</v>
      </c>
      <c r="P1607" s="10">
        <v>411288</v>
      </c>
    </row>
    <row r="1608" spans="1:16" ht="27" customHeight="1" x14ac:dyDescent="0.2">
      <c r="A1608" s="9" t="s">
        <v>5806</v>
      </c>
      <c r="B1608" s="10" t="s">
        <v>5875</v>
      </c>
      <c r="C1608" s="11" t="s">
        <v>5890</v>
      </c>
      <c r="D1608" s="11" t="s">
        <v>5891</v>
      </c>
      <c r="E1608" s="11" t="s">
        <v>57</v>
      </c>
      <c r="F1608" s="11" t="s">
        <v>5892</v>
      </c>
      <c r="G1608" s="11" t="s">
        <v>28</v>
      </c>
      <c r="H1608" s="11" t="s">
        <v>5892</v>
      </c>
      <c r="I1608" s="11" t="s">
        <v>5893</v>
      </c>
      <c r="J1608" s="12">
        <v>0.48959999999999998</v>
      </c>
      <c r="K1608" s="13">
        <v>1</v>
      </c>
      <c r="L1608" s="14">
        <v>241</v>
      </c>
      <c r="M1608" s="10">
        <v>118</v>
      </c>
      <c r="N1608" s="10">
        <v>26631</v>
      </c>
      <c r="O1608" s="10">
        <v>9253</v>
      </c>
      <c r="P1608" s="10">
        <v>35884</v>
      </c>
    </row>
    <row r="1609" spans="1:16" ht="27" customHeight="1" x14ac:dyDescent="0.2">
      <c r="A1609" s="9" t="s">
        <v>5806</v>
      </c>
      <c r="B1609" s="10" t="s">
        <v>5875</v>
      </c>
      <c r="C1609" s="11" t="s">
        <v>5894</v>
      </c>
      <c r="D1609" s="11" t="s">
        <v>5895</v>
      </c>
      <c r="E1609" s="11" t="s">
        <v>26</v>
      </c>
      <c r="F1609" s="11" t="s">
        <v>5896</v>
      </c>
      <c r="G1609" s="11" t="s">
        <v>28</v>
      </c>
      <c r="H1609" s="11" t="s">
        <v>5896</v>
      </c>
      <c r="I1609" s="11" t="s">
        <v>5897</v>
      </c>
      <c r="J1609" s="12">
        <v>0.26100000000000001</v>
      </c>
      <c r="K1609" s="13">
        <v>1</v>
      </c>
      <c r="L1609" s="14">
        <v>613</v>
      </c>
      <c r="M1609" s="10">
        <v>160</v>
      </c>
      <c r="N1609" s="10">
        <v>67738</v>
      </c>
      <c r="O1609" s="10">
        <v>12547</v>
      </c>
      <c r="P1609" s="10">
        <v>80285</v>
      </c>
    </row>
    <row r="1610" spans="1:16" ht="27" customHeight="1" x14ac:dyDescent="0.2">
      <c r="A1610" s="9" t="s">
        <v>5806</v>
      </c>
      <c r="B1610" s="10" t="s">
        <v>5875</v>
      </c>
      <c r="C1610" s="11" t="s">
        <v>5898</v>
      </c>
      <c r="D1610" s="11" t="s">
        <v>5899</v>
      </c>
      <c r="E1610" s="11" t="s">
        <v>26</v>
      </c>
      <c r="F1610" s="11" t="s">
        <v>5900</v>
      </c>
      <c r="G1610" s="11" t="s">
        <v>28</v>
      </c>
      <c r="H1610" s="11" t="s">
        <v>5900</v>
      </c>
      <c r="I1610" s="11" t="s">
        <v>5901</v>
      </c>
      <c r="J1610" s="12">
        <v>0.77569999999999995</v>
      </c>
      <c r="K1610" s="13">
        <v>1</v>
      </c>
      <c r="L1610" s="14">
        <v>214</v>
      </c>
      <c r="M1610" s="10">
        <v>166</v>
      </c>
      <c r="N1610" s="10">
        <v>23647</v>
      </c>
      <c r="O1610" s="10">
        <v>13018</v>
      </c>
      <c r="P1610" s="10">
        <v>36665</v>
      </c>
    </row>
    <row r="1611" spans="1:16" ht="27" customHeight="1" x14ac:dyDescent="0.2">
      <c r="A1611" s="9" t="s">
        <v>5806</v>
      </c>
      <c r="B1611" s="10" t="s">
        <v>5875</v>
      </c>
      <c r="C1611" s="11" t="s">
        <v>5902</v>
      </c>
      <c r="D1611" s="11" t="s">
        <v>5903</v>
      </c>
      <c r="E1611" s="11" t="s">
        <v>26</v>
      </c>
      <c r="F1611" s="11" t="s">
        <v>5904</v>
      </c>
      <c r="G1611" s="11" t="s">
        <v>28</v>
      </c>
      <c r="H1611" s="11" t="s">
        <v>5904</v>
      </c>
      <c r="I1611" s="11" t="s">
        <v>5905</v>
      </c>
      <c r="J1611" s="12">
        <v>0.58509999999999995</v>
      </c>
      <c r="K1611" s="13">
        <v>1</v>
      </c>
      <c r="L1611" s="14">
        <v>188</v>
      </c>
      <c r="M1611" s="10">
        <v>110</v>
      </c>
      <c r="N1611" s="10">
        <v>20774</v>
      </c>
      <c r="O1611" s="10">
        <v>8626</v>
      </c>
      <c r="P1611" s="10">
        <v>29400</v>
      </c>
    </row>
    <row r="1612" spans="1:16" ht="27" customHeight="1" x14ac:dyDescent="0.2">
      <c r="A1612" s="9" t="s">
        <v>5806</v>
      </c>
      <c r="B1612" s="10" t="s">
        <v>5875</v>
      </c>
      <c r="C1612" s="11" t="s">
        <v>5906</v>
      </c>
      <c r="D1612" s="11" t="s">
        <v>5907</v>
      </c>
      <c r="E1612" s="11" t="s">
        <v>57</v>
      </c>
      <c r="F1612" s="11" t="s">
        <v>5908</v>
      </c>
      <c r="G1612" s="11" t="s">
        <v>28</v>
      </c>
      <c r="H1612" s="11" t="s">
        <v>5908</v>
      </c>
      <c r="I1612" s="11" t="s">
        <v>5909</v>
      </c>
      <c r="J1612" s="12">
        <v>0.70730000000000004</v>
      </c>
      <c r="K1612" s="13">
        <v>1</v>
      </c>
      <c r="L1612" s="14">
        <v>123</v>
      </c>
      <c r="M1612" s="10">
        <v>87</v>
      </c>
      <c r="N1612" s="10">
        <v>13592</v>
      </c>
      <c r="O1612" s="10">
        <v>6822</v>
      </c>
      <c r="P1612" s="10">
        <v>20414</v>
      </c>
    </row>
    <row r="1613" spans="1:16" ht="27" customHeight="1" x14ac:dyDescent="0.2">
      <c r="A1613" s="9" t="s">
        <v>5806</v>
      </c>
      <c r="B1613" s="10" t="s">
        <v>5875</v>
      </c>
      <c r="C1613" s="11" t="s">
        <v>5910</v>
      </c>
      <c r="D1613" s="11" t="s">
        <v>5911</v>
      </c>
      <c r="E1613" s="11" t="s">
        <v>57</v>
      </c>
      <c r="F1613" s="11" t="s">
        <v>5912</v>
      </c>
      <c r="G1613" s="11" t="s">
        <v>28</v>
      </c>
      <c r="H1613" s="11" t="s">
        <v>5912</v>
      </c>
      <c r="I1613" s="11" t="s">
        <v>5913</v>
      </c>
      <c r="J1613" s="12">
        <v>0.49569999999999997</v>
      </c>
      <c r="K1613" s="13">
        <v>1</v>
      </c>
      <c r="L1613" s="14">
        <v>232</v>
      </c>
      <c r="M1613" s="10">
        <v>115</v>
      </c>
      <c r="N1613" s="10">
        <v>25636</v>
      </c>
      <c r="O1613" s="10">
        <v>9018</v>
      </c>
      <c r="P1613" s="10">
        <v>34654</v>
      </c>
    </row>
    <row r="1614" spans="1:16" ht="27" customHeight="1" x14ac:dyDescent="0.2">
      <c r="A1614" s="9" t="s">
        <v>5806</v>
      </c>
      <c r="B1614" s="10" t="s">
        <v>5875</v>
      </c>
      <c r="C1614" s="11" t="s">
        <v>5914</v>
      </c>
      <c r="D1614" s="11" t="s">
        <v>5915</v>
      </c>
      <c r="E1614" s="11" t="s">
        <v>57</v>
      </c>
      <c r="F1614" s="11" t="s">
        <v>5916</v>
      </c>
      <c r="G1614" s="11" t="s">
        <v>28</v>
      </c>
      <c r="H1614" s="11" t="s">
        <v>5916</v>
      </c>
      <c r="I1614" s="11" t="s">
        <v>5917</v>
      </c>
      <c r="J1614" s="12">
        <v>0.48749999999999999</v>
      </c>
      <c r="K1614" s="13">
        <v>1</v>
      </c>
      <c r="L1614" s="14">
        <v>798</v>
      </c>
      <c r="M1614" s="10">
        <v>389</v>
      </c>
      <c r="N1614" s="10">
        <v>88180</v>
      </c>
      <c r="O1614" s="10">
        <v>30505</v>
      </c>
      <c r="P1614" s="10">
        <v>118685</v>
      </c>
    </row>
    <row r="1615" spans="1:16" ht="27" customHeight="1" x14ac:dyDescent="0.2">
      <c r="A1615" s="9" t="s">
        <v>5806</v>
      </c>
      <c r="B1615" s="10" t="s">
        <v>5918</v>
      </c>
      <c r="C1615" s="11" t="s">
        <v>18</v>
      </c>
      <c r="D1615" s="11" t="s">
        <v>19</v>
      </c>
      <c r="E1615" s="11" t="s">
        <v>19</v>
      </c>
      <c r="F1615" s="11" t="s">
        <v>5919</v>
      </c>
      <c r="G1615" s="11" t="s">
        <v>83</v>
      </c>
      <c r="H1615" s="11" t="s">
        <v>4096</v>
      </c>
      <c r="I1615" s="11" t="s">
        <v>5920</v>
      </c>
      <c r="J1615" s="12">
        <v>0.42480000000000001</v>
      </c>
      <c r="K1615" s="13">
        <v>2</v>
      </c>
      <c r="L1615" s="14">
        <v>382</v>
      </c>
      <c r="M1615" s="10">
        <v>162</v>
      </c>
      <c r="N1615" s="10">
        <v>42212</v>
      </c>
      <c r="O1615" s="10">
        <v>12704</v>
      </c>
      <c r="P1615" s="10">
        <v>54916</v>
      </c>
    </row>
    <row r="1616" spans="1:16" ht="27" customHeight="1" x14ac:dyDescent="0.2">
      <c r="A1616" s="9" t="s">
        <v>5806</v>
      </c>
      <c r="B1616" s="10" t="s">
        <v>5921</v>
      </c>
      <c r="C1616" s="11" t="s">
        <v>18</v>
      </c>
      <c r="D1616" s="11" t="s">
        <v>19</v>
      </c>
      <c r="E1616" s="11" t="s">
        <v>19</v>
      </c>
      <c r="F1616" s="11" t="s">
        <v>5922</v>
      </c>
      <c r="G1616" s="11" t="s">
        <v>83</v>
      </c>
      <c r="H1616" s="11" t="s">
        <v>5923</v>
      </c>
      <c r="I1616" s="11" t="s">
        <v>5924</v>
      </c>
      <c r="J1616" s="12">
        <v>0.47710000000000002</v>
      </c>
      <c r="K1616" s="13">
        <v>8</v>
      </c>
      <c r="L1616" s="14">
        <v>3322</v>
      </c>
      <c r="M1616" s="10">
        <v>1041</v>
      </c>
      <c r="N1616" s="10">
        <v>367088</v>
      </c>
      <c r="O1616" s="10">
        <v>81634</v>
      </c>
      <c r="P1616" s="10">
        <v>448722</v>
      </c>
    </row>
    <row r="1617" spans="1:16" ht="27" customHeight="1" x14ac:dyDescent="0.2">
      <c r="A1617" s="9" t="s">
        <v>5806</v>
      </c>
      <c r="B1617" s="10" t="s">
        <v>5921</v>
      </c>
      <c r="C1617" s="11" t="s">
        <v>5925</v>
      </c>
      <c r="D1617" s="11" t="s">
        <v>5926</v>
      </c>
      <c r="E1617" s="11" t="s">
        <v>26</v>
      </c>
      <c r="F1617" s="11" t="s">
        <v>5927</v>
      </c>
      <c r="G1617" s="11" t="s">
        <v>28</v>
      </c>
      <c r="H1617" s="11" t="s">
        <v>5927</v>
      </c>
      <c r="I1617" s="11" t="s">
        <v>5928</v>
      </c>
      <c r="J1617" s="12">
        <v>0.48070000000000002</v>
      </c>
      <c r="K1617" s="13">
        <v>1</v>
      </c>
      <c r="L1617" s="14">
        <v>1766</v>
      </c>
      <c r="M1617" s="10">
        <v>849</v>
      </c>
      <c r="N1617" s="10">
        <v>195146</v>
      </c>
      <c r="O1617" s="10">
        <v>66578</v>
      </c>
      <c r="P1617" s="10">
        <v>261724</v>
      </c>
    </row>
    <row r="1618" spans="1:16" ht="27" customHeight="1" x14ac:dyDescent="0.2">
      <c r="A1618" s="9" t="s">
        <v>5806</v>
      </c>
      <c r="B1618" s="10" t="s">
        <v>5929</v>
      </c>
      <c r="C1618" s="11" t="s">
        <v>18</v>
      </c>
      <c r="D1618" s="11" t="s">
        <v>19</v>
      </c>
      <c r="E1618" s="11" t="s">
        <v>19</v>
      </c>
      <c r="F1618" s="11" t="s">
        <v>5930</v>
      </c>
      <c r="G1618" s="11" t="s">
        <v>83</v>
      </c>
      <c r="H1618" s="11" t="s">
        <v>5931</v>
      </c>
      <c r="I1618" s="11" t="s">
        <v>5932</v>
      </c>
      <c r="J1618" s="12">
        <v>0.92359999999999998</v>
      </c>
      <c r="K1618" s="13">
        <v>50</v>
      </c>
      <c r="L1618" s="14">
        <v>34453</v>
      </c>
      <c r="M1618" s="10">
        <v>26482</v>
      </c>
      <c r="N1618" s="10">
        <v>3807113</v>
      </c>
      <c r="O1618" s="10">
        <v>2076689</v>
      </c>
      <c r="P1618" s="10">
        <v>5883802</v>
      </c>
    </row>
    <row r="1619" spans="1:16" ht="27" customHeight="1" x14ac:dyDescent="0.2">
      <c r="A1619" s="9" t="s">
        <v>5806</v>
      </c>
      <c r="B1619" s="10" t="s">
        <v>5929</v>
      </c>
      <c r="C1619" s="11" t="s">
        <v>5933</v>
      </c>
      <c r="D1619" s="11" t="s">
        <v>5934</v>
      </c>
      <c r="E1619" s="11" t="s">
        <v>26</v>
      </c>
      <c r="F1619" s="11" t="s">
        <v>5935</v>
      </c>
      <c r="G1619" s="11" t="s">
        <v>28</v>
      </c>
      <c r="H1619" s="11" t="s">
        <v>5935</v>
      </c>
      <c r="I1619" s="11" t="s">
        <v>5936</v>
      </c>
      <c r="J1619" s="12">
        <v>0.84260000000000002</v>
      </c>
      <c r="K1619" s="13">
        <v>1</v>
      </c>
      <c r="L1619" s="14">
        <v>394</v>
      </c>
      <c r="M1619" s="10">
        <v>332</v>
      </c>
      <c r="N1619" s="10">
        <v>43538</v>
      </c>
      <c r="O1619" s="10">
        <v>26035</v>
      </c>
      <c r="P1619" s="10">
        <v>69573</v>
      </c>
    </row>
    <row r="1620" spans="1:16" ht="27" customHeight="1" x14ac:dyDescent="0.2">
      <c r="A1620" s="9" t="s">
        <v>5806</v>
      </c>
      <c r="B1620" s="10" t="s">
        <v>5929</v>
      </c>
      <c r="C1620" s="11" t="s">
        <v>5937</v>
      </c>
      <c r="D1620" s="11" t="s">
        <v>5938</v>
      </c>
      <c r="E1620" s="11" t="s">
        <v>57</v>
      </c>
      <c r="F1620" s="11" t="s">
        <v>5939</v>
      </c>
      <c r="G1620" s="11" t="s">
        <v>28</v>
      </c>
      <c r="H1620" s="11" t="s">
        <v>5939</v>
      </c>
      <c r="I1620" s="11" t="s">
        <v>5940</v>
      </c>
      <c r="J1620" s="12">
        <v>0.81589999999999996</v>
      </c>
      <c r="K1620" s="13">
        <v>1</v>
      </c>
      <c r="L1620" s="14">
        <v>682</v>
      </c>
      <c r="M1620" s="10">
        <v>556</v>
      </c>
      <c r="N1620" s="10">
        <v>75362</v>
      </c>
      <c r="O1620" s="10">
        <v>43601</v>
      </c>
      <c r="P1620" s="10">
        <v>118963</v>
      </c>
    </row>
    <row r="1621" spans="1:16" ht="27" customHeight="1" x14ac:dyDescent="0.2">
      <c r="A1621" s="9" t="s">
        <v>5806</v>
      </c>
      <c r="B1621" s="10" t="s">
        <v>5929</v>
      </c>
      <c r="C1621" s="11" t="s">
        <v>5941</v>
      </c>
      <c r="D1621" s="11" t="s">
        <v>5942</v>
      </c>
      <c r="E1621" s="11" t="s">
        <v>26</v>
      </c>
      <c r="F1621" s="11" t="s">
        <v>5943</v>
      </c>
      <c r="G1621" s="11" t="s">
        <v>28</v>
      </c>
      <c r="H1621" s="11" t="s">
        <v>5943</v>
      </c>
      <c r="I1621" s="11" t="s">
        <v>5944</v>
      </c>
      <c r="J1621" s="12">
        <v>0.76229999999999998</v>
      </c>
      <c r="K1621" s="13">
        <v>1</v>
      </c>
      <c r="L1621" s="14">
        <v>446</v>
      </c>
      <c r="M1621" s="10">
        <v>340</v>
      </c>
      <c r="N1621" s="10">
        <v>49284</v>
      </c>
      <c r="O1621" s="10">
        <v>26662</v>
      </c>
      <c r="P1621" s="10">
        <v>75946</v>
      </c>
    </row>
    <row r="1622" spans="1:16" ht="27" customHeight="1" x14ac:dyDescent="0.2">
      <c r="A1622" s="9" t="s">
        <v>5806</v>
      </c>
      <c r="B1622" s="10" t="s">
        <v>5929</v>
      </c>
      <c r="C1622" s="11" t="s">
        <v>5945</v>
      </c>
      <c r="D1622" s="11" t="s">
        <v>5946</v>
      </c>
      <c r="E1622" s="11" t="s">
        <v>26</v>
      </c>
      <c r="F1622" s="11" t="s">
        <v>5947</v>
      </c>
      <c r="G1622" s="11" t="s">
        <v>28</v>
      </c>
      <c r="H1622" s="11" t="s">
        <v>5947</v>
      </c>
      <c r="I1622" s="11" t="s">
        <v>5948</v>
      </c>
      <c r="J1622" s="12">
        <v>0.96150000000000002</v>
      </c>
      <c r="K1622" s="13">
        <v>1</v>
      </c>
      <c r="L1622" s="14">
        <v>260</v>
      </c>
      <c r="M1622" s="10">
        <v>250</v>
      </c>
      <c r="N1622" s="10">
        <v>28730</v>
      </c>
      <c r="O1622" s="10">
        <v>19605</v>
      </c>
      <c r="P1622" s="10">
        <v>48335</v>
      </c>
    </row>
    <row r="1623" spans="1:16" ht="27" customHeight="1" x14ac:dyDescent="0.2">
      <c r="A1623" s="9" t="s">
        <v>5806</v>
      </c>
      <c r="B1623" s="10" t="s">
        <v>5929</v>
      </c>
      <c r="C1623" s="11" t="s">
        <v>5949</v>
      </c>
      <c r="D1623" s="11" t="s">
        <v>5950</v>
      </c>
      <c r="E1623" s="11" t="s">
        <v>26</v>
      </c>
      <c r="F1623" s="11" t="s">
        <v>5951</v>
      </c>
      <c r="G1623" s="11" t="s">
        <v>28</v>
      </c>
      <c r="H1623" s="11" t="s">
        <v>5951</v>
      </c>
      <c r="I1623" s="11" t="s">
        <v>5952</v>
      </c>
      <c r="J1623" s="12">
        <v>0.65839999999999999</v>
      </c>
      <c r="K1623" s="13">
        <v>1</v>
      </c>
      <c r="L1623" s="14">
        <v>770</v>
      </c>
      <c r="M1623" s="10">
        <v>507</v>
      </c>
      <c r="N1623" s="10">
        <v>85086</v>
      </c>
      <c r="O1623" s="10">
        <v>39758</v>
      </c>
      <c r="P1623" s="10">
        <v>124844</v>
      </c>
    </row>
    <row r="1624" spans="1:16" ht="27" customHeight="1" x14ac:dyDescent="0.2">
      <c r="A1624" s="9" t="s">
        <v>5806</v>
      </c>
      <c r="B1624" s="10" t="s">
        <v>5929</v>
      </c>
      <c r="C1624" s="11" t="s">
        <v>5953</v>
      </c>
      <c r="D1624" s="11" t="s">
        <v>5954</v>
      </c>
      <c r="E1624" s="11" t="s">
        <v>57</v>
      </c>
      <c r="F1624" s="11" t="s">
        <v>5955</v>
      </c>
      <c r="G1624" s="11" t="s">
        <v>28</v>
      </c>
      <c r="H1624" s="11" t="s">
        <v>5809</v>
      </c>
      <c r="I1624" s="11" t="s">
        <v>5810</v>
      </c>
      <c r="J1624" s="12">
        <v>0.96760000000000002</v>
      </c>
      <c r="K1624" s="13">
        <v>1</v>
      </c>
      <c r="L1624" s="14">
        <v>428</v>
      </c>
      <c r="M1624" s="10">
        <v>255</v>
      </c>
      <c r="N1624" s="10">
        <v>47295</v>
      </c>
      <c r="O1624" s="10">
        <v>19997</v>
      </c>
      <c r="P1624" s="10">
        <v>67292</v>
      </c>
    </row>
    <row r="1625" spans="1:16" ht="27" customHeight="1" x14ac:dyDescent="0.2">
      <c r="A1625" s="9" t="s">
        <v>5806</v>
      </c>
      <c r="B1625" s="10" t="s">
        <v>5929</v>
      </c>
      <c r="C1625" s="11" t="s">
        <v>5956</v>
      </c>
      <c r="D1625" s="11" t="s">
        <v>5957</v>
      </c>
      <c r="E1625" s="11" t="s">
        <v>26</v>
      </c>
      <c r="F1625" s="11" t="s">
        <v>5958</v>
      </c>
      <c r="G1625" s="11" t="s">
        <v>28</v>
      </c>
      <c r="H1625" s="11" t="s">
        <v>5958</v>
      </c>
      <c r="I1625" s="11" t="s">
        <v>5959</v>
      </c>
      <c r="J1625" s="12">
        <v>0.5181</v>
      </c>
      <c r="K1625" s="13">
        <v>1</v>
      </c>
      <c r="L1625" s="14">
        <v>386</v>
      </c>
      <c r="M1625" s="10">
        <v>200</v>
      </c>
      <c r="N1625" s="10">
        <v>42654</v>
      </c>
      <c r="O1625" s="10">
        <v>15684</v>
      </c>
      <c r="P1625" s="10">
        <v>58338</v>
      </c>
    </row>
    <row r="1626" spans="1:16" ht="27" customHeight="1" x14ac:dyDescent="0.2">
      <c r="A1626" s="9" t="s">
        <v>5806</v>
      </c>
      <c r="B1626" s="10" t="s">
        <v>5929</v>
      </c>
      <c r="C1626" s="11" t="s">
        <v>5960</v>
      </c>
      <c r="D1626" s="11" t="s">
        <v>5961</v>
      </c>
      <c r="E1626" s="11" t="s">
        <v>26</v>
      </c>
      <c r="F1626" s="11" t="s">
        <v>5962</v>
      </c>
      <c r="G1626" s="11" t="s">
        <v>28</v>
      </c>
      <c r="H1626" s="11" t="s">
        <v>5962</v>
      </c>
      <c r="I1626" s="11" t="s">
        <v>5963</v>
      </c>
      <c r="J1626" s="12">
        <v>0.32290000000000002</v>
      </c>
      <c r="K1626" s="13">
        <v>1</v>
      </c>
      <c r="L1626" s="14">
        <v>449</v>
      </c>
      <c r="M1626" s="10">
        <v>145</v>
      </c>
      <c r="N1626" s="10">
        <v>49615</v>
      </c>
      <c r="O1626" s="10">
        <v>11371</v>
      </c>
      <c r="P1626" s="10">
        <v>60986</v>
      </c>
    </row>
    <row r="1627" spans="1:16" ht="27" customHeight="1" x14ac:dyDescent="0.2">
      <c r="A1627" s="9" t="s">
        <v>5806</v>
      </c>
      <c r="B1627" s="10" t="s">
        <v>5929</v>
      </c>
      <c r="C1627" s="11" t="s">
        <v>5964</v>
      </c>
      <c r="D1627" s="11" t="s">
        <v>5965</v>
      </c>
      <c r="E1627" s="11" t="s">
        <v>26</v>
      </c>
      <c r="F1627" s="11" t="s">
        <v>5966</v>
      </c>
      <c r="G1627" s="11" t="s">
        <v>28</v>
      </c>
      <c r="H1627" s="11" t="s">
        <v>5966</v>
      </c>
      <c r="I1627" s="11" t="s">
        <v>5967</v>
      </c>
      <c r="J1627" s="12">
        <v>0.76870000000000005</v>
      </c>
      <c r="K1627" s="13">
        <v>1</v>
      </c>
      <c r="L1627" s="14">
        <v>307</v>
      </c>
      <c r="M1627" s="10">
        <v>236</v>
      </c>
      <c r="N1627" s="10">
        <v>33924</v>
      </c>
      <c r="O1627" s="10">
        <v>18507</v>
      </c>
      <c r="P1627" s="10">
        <v>52431</v>
      </c>
    </row>
    <row r="1628" spans="1:16" ht="27" customHeight="1" x14ac:dyDescent="0.2">
      <c r="A1628" s="9" t="s">
        <v>5806</v>
      </c>
      <c r="B1628" s="10" t="s">
        <v>5929</v>
      </c>
      <c r="C1628" s="11" t="s">
        <v>5968</v>
      </c>
      <c r="D1628" s="11" t="s">
        <v>5969</v>
      </c>
      <c r="E1628" s="11" t="s">
        <v>57</v>
      </c>
      <c r="F1628" s="11" t="s">
        <v>5970</v>
      </c>
      <c r="G1628" s="11" t="s">
        <v>28</v>
      </c>
      <c r="H1628" s="11" t="s">
        <v>5809</v>
      </c>
      <c r="I1628" s="11" t="s">
        <v>5810</v>
      </c>
      <c r="J1628" s="12">
        <v>0.96760000000000002</v>
      </c>
      <c r="K1628" s="13">
        <v>1</v>
      </c>
      <c r="L1628" s="14">
        <v>407</v>
      </c>
      <c r="M1628" s="10">
        <v>296</v>
      </c>
      <c r="N1628" s="10">
        <v>44974</v>
      </c>
      <c r="O1628" s="10">
        <v>23212</v>
      </c>
      <c r="P1628" s="10">
        <v>68186</v>
      </c>
    </row>
    <row r="1629" spans="1:16" ht="27" customHeight="1" x14ac:dyDescent="0.2">
      <c r="A1629" s="9" t="s">
        <v>5806</v>
      </c>
      <c r="B1629" s="10" t="s">
        <v>5929</v>
      </c>
      <c r="C1629" s="11" t="s">
        <v>5971</v>
      </c>
      <c r="D1629" s="11" t="s">
        <v>5972</v>
      </c>
      <c r="E1629" s="11" t="s">
        <v>57</v>
      </c>
      <c r="F1629" s="11" t="s">
        <v>5973</v>
      </c>
      <c r="G1629" s="11" t="s">
        <v>28</v>
      </c>
      <c r="H1629" s="11" t="s">
        <v>5809</v>
      </c>
      <c r="I1629" s="11" t="s">
        <v>5810</v>
      </c>
      <c r="J1629" s="12">
        <v>0.96760000000000002</v>
      </c>
      <c r="K1629" s="13">
        <v>1</v>
      </c>
      <c r="L1629" s="14">
        <v>184</v>
      </c>
      <c r="M1629" s="10">
        <v>100</v>
      </c>
      <c r="N1629" s="10">
        <v>20332</v>
      </c>
      <c r="O1629" s="10">
        <v>7842</v>
      </c>
      <c r="P1629" s="10">
        <v>28174</v>
      </c>
    </row>
    <row r="1630" spans="1:16" ht="27" customHeight="1" x14ac:dyDescent="0.2">
      <c r="A1630" s="9" t="s">
        <v>5806</v>
      </c>
      <c r="B1630" s="10" t="s">
        <v>5929</v>
      </c>
      <c r="C1630" s="11" t="s">
        <v>5974</v>
      </c>
      <c r="D1630" s="11" t="s">
        <v>5975</v>
      </c>
      <c r="E1630" s="11" t="s">
        <v>26</v>
      </c>
      <c r="F1630" s="11" t="s">
        <v>5976</v>
      </c>
      <c r="G1630" s="11" t="s">
        <v>28</v>
      </c>
      <c r="H1630" s="11" t="s">
        <v>5809</v>
      </c>
      <c r="I1630" s="11" t="s">
        <v>5810</v>
      </c>
      <c r="J1630" s="12">
        <v>0.96760000000000002</v>
      </c>
      <c r="K1630" s="13">
        <v>1</v>
      </c>
      <c r="L1630" s="14">
        <v>195</v>
      </c>
      <c r="M1630" s="10">
        <v>160</v>
      </c>
      <c r="N1630" s="10">
        <v>21548</v>
      </c>
      <c r="O1630" s="10">
        <v>12547</v>
      </c>
      <c r="P1630" s="10">
        <v>34095</v>
      </c>
    </row>
    <row r="1631" spans="1:16" ht="27" customHeight="1" x14ac:dyDescent="0.2">
      <c r="A1631" s="9" t="s">
        <v>5806</v>
      </c>
      <c r="B1631" s="10" t="s">
        <v>5929</v>
      </c>
      <c r="C1631" s="11" t="s">
        <v>5977</v>
      </c>
      <c r="D1631" s="11" t="s">
        <v>5978</v>
      </c>
      <c r="E1631" s="11" t="s">
        <v>26</v>
      </c>
      <c r="F1631" s="11" t="s">
        <v>5979</v>
      </c>
      <c r="G1631" s="11" t="s">
        <v>28</v>
      </c>
      <c r="H1631" s="11" t="s">
        <v>5979</v>
      </c>
      <c r="I1631" s="11" t="s">
        <v>5980</v>
      </c>
      <c r="J1631" s="12">
        <v>0.90849999999999997</v>
      </c>
      <c r="K1631" s="13">
        <v>1</v>
      </c>
      <c r="L1631" s="14">
        <v>142</v>
      </c>
      <c r="M1631" s="10">
        <v>129</v>
      </c>
      <c r="N1631" s="10">
        <v>15691</v>
      </c>
      <c r="O1631" s="10">
        <v>10116</v>
      </c>
      <c r="P1631" s="10">
        <v>25807</v>
      </c>
    </row>
    <row r="1632" spans="1:16" ht="27" customHeight="1" x14ac:dyDescent="0.2">
      <c r="A1632" s="9" t="s">
        <v>5806</v>
      </c>
      <c r="B1632" s="10" t="s">
        <v>5929</v>
      </c>
      <c r="C1632" s="11" t="s">
        <v>5981</v>
      </c>
      <c r="D1632" s="11" t="s">
        <v>5982</v>
      </c>
      <c r="E1632" s="11" t="s">
        <v>26</v>
      </c>
      <c r="F1632" s="11" t="s">
        <v>5983</v>
      </c>
      <c r="G1632" s="11" t="s">
        <v>28</v>
      </c>
      <c r="H1632" s="11" t="s">
        <v>5983</v>
      </c>
      <c r="I1632" s="11" t="s">
        <v>5984</v>
      </c>
      <c r="J1632" s="12">
        <v>0.62139999999999995</v>
      </c>
      <c r="K1632" s="13">
        <v>1</v>
      </c>
      <c r="L1632" s="14">
        <v>103</v>
      </c>
      <c r="M1632" s="10">
        <v>64</v>
      </c>
      <c r="N1632" s="10">
        <v>11382</v>
      </c>
      <c r="O1632" s="10">
        <v>5019</v>
      </c>
      <c r="P1632" s="10">
        <v>16401</v>
      </c>
    </row>
    <row r="1633" spans="1:16" ht="27" customHeight="1" x14ac:dyDescent="0.2">
      <c r="A1633" s="9" t="s">
        <v>5806</v>
      </c>
      <c r="B1633" s="10" t="s">
        <v>5929</v>
      </c>
      <c r="C1633" s="11" t="s">
        <v>5985</v>
      </c>
      <c r="D1633" s="11" t="s">
        <v>5986</v>
      </c>
      <c r="E1633" s="11" t="s">
        <v>26</v>
      </c>
      <c r="F1633" s="11" t="s">
        <v>5987</v>
      </c>
      <c r="G1633" s="11" t="s">
        <v>28</v>
      </c>
      <c r="H1633" s="11" t="s">
        <v>5987</v>
      </c>
      <c r="I1633" s="11" t="s">
        <v>5988</v>
      </c>
      <c r="J1633" s="12">
        <v>0.68510000000000004</v>
      </c>
      <c r="K1633" s="13">
        <v>1</v>
      </c>
      <c r="L1633" s="14">
        <v>181</v>
      </c>
      <c r="M1633" s="10">
        <v>124</v>
      </c>
      <c r="N1633" s="10">
        <v>20001</v>
      </c>
      <c r="O1633" s="10">
        <v>9724</v>
      </c>
      <c r="P1633" s="10">
        <v>29725</v>
      </c>
    </row>
    <row r="1634" spans="1:16" ht="27" customHeight="1" x14ac:dyDescent="0.2">
      <c r="A1634" s="9" t="s">
        <v>5806</v>
      </c>
      <c r="B1634" s="10" t="s">
        <v>5929</v>
      </c>
      <c r="C1634" s="11" t="s">
        <v>5989</v>
      </c>
      <c r="D1634" s="11" t="s">
        <v>5990</v>
      </c>
      <c r="E1634" s="11" t="s">
        <v>26</v>
      </c>
      <c r="F1634" s="11" t="s">
        <v>5991</v>
      </c>
      <c r="G1634" s="11" t="s">
        <v>28</v>
      </c>
      <c r="H1634" s="11" t="s">
        <v>5991</v>
      </c>
      <c r="I1634" s="11" t="s">
        <v>5992</v>
      </c>
      <c r="J1634" s="12">
        <v>0.89870000000000005</v>
      </c>
      <c r="K1634" s="13">
        <v>1</v>
      </c>
      <c r="L1634" s="14">
        <v>79</v>
      </c>
      <c r="M1634" s="10">
        <v>71</v>
      </c>
      <c r="N1634" s="10">
        <v>8730</v>
      </c>
      <c r="O1634" s="10">
        <v>5568</v>
      </c>
      <c r="P1634" s="10">
        <v>14298</v>
      </c>
    </row>
    <row r="1635" spans="1:16" ht="27" customHeight="1" x14ac:dyDescent="0.2">
      <c r="A1635" s="9" t="s">
        <v>5806</v>
      </c>
      <c r="B1635" s="10" t="s">
        <v>5929</v>
      </c>
      <c r="C1635" s="11" t="s">
        <v>5993</v>
      </c>
      <c r="D1635" s="11" t="s">
        <v>5994</v>
      </c>
      <c r="E1635" s="11" t="s">
        <v>26</v>
      </c>
      <c r="F1635" s="11" t="s">
        <v>5995</v>
      </c>
      <c r="G1635" s="11" t="s">
        <v>28</v>
      </c>
      <c r="H1635" s="11" t="s">
        <v>5995</v>
      </c>
      <c r="I1635" s="11" t="s">
        <v>5996</v>
      </c>
      <c r="J1635" s="12">
        <v>0.90910000000000002</v>
      </c>
      <c r="K1635" s="13">
        <v>1</v>
      </c>
      <c r="L1635" s="14">
        <v>33</v>
      </c>
      <c r="M1635" s="10">
        <v>30</v>
      </c>
      <c r="N1635" s="10">
        <v>3647</v>
      </c>
      <c r="O1635" s="10">
        <v>2353</v>
      </c>
      <c r="P1635" s="10">
        <v>6000</v>
      </c>
    </row>
    <row r="1636" spans="1:16" ht="27" customHeight="1" x14ac:dyDescent="0.2">
      <c r="A1636" s="9" t="s">
        <v>5806</v>
      </c>
      <c r="B1636" s="10" t="s">
        <v>5929</v>
      </c>
      <c r="C1636" s="11" t="s">
        <v>5997</v>
      </c>
      <c r="D1636" s="11" t="s">
        <v>5998</v>
      </c>
      <c r="E1636" s="11" t="s">
        <v>57</v>
      </c>
      <c r="F1636" s="11" t="s">
        <v>5999</v>
      </c>
      <c r="G1636" s="11" t="s">
        <v>28</v>
      </c>
      <c r="H1636" s="11" t="s">
        <v>5999</v>
      </c>
      <c r="I1636" s="11" t="s">
        <v>6000</v>
      </c>
      <c r="J1636" s="12">
        <v>0.77480000000000004</v>
      </c>
      <c r="K1636" s="13">
        <v>1</v>
      </c>
      <c r="L1636" s="14">
        <v>417</v>
      </c>
      <c r="M1636" s="10">
        <v>323</v>
      </c>
      <c r="N1636" s="10">
        <v>46079</v>
      </c>
      <c r="O1636" s="10">
        <v>25329</v>
      </c>
      <c r="P1636" s="10">
        <v>71408</v>
      </c>
    </row>
    <row r="1637" spans="1:16" ht="27" customHeight="1" x14ac:dyDescent="0.2">
      <c r="A1637" s="9" t="s">
        <v>5806</v>
      </c>
      <c r="B1637" s="10" t="s">
        <v>6001</v>
      </c>
      <c r="C1637" s="11" t="s">
        <v>18</v>
      </c>
      <c r="D1637" s="11" t="s">
        <v>19</v>
      </c>
      <c r="E1637" s="11" t="s">
        <v>19</v>
      </c>
      <c r="F1637" s="11" t="s">
        <v>6002</v>
      </c>
      <c r="G1637" s="11" t="s">
        <v>83</v>
      </c>
      <c r="H1637" s="11" t="s">
        <v>1806</v>
      </c>
      <c r="I1637" s="11" t="s">
        <v>6003</v>
      </c>
      <c r="J1637" s="12">
        <v>0.85499999999999998</v>
      </c>
      <c r="K1637" s="13">
        <v>20</v>
      </c>
      <c r="L1637" s="14">
        <v>13749</v>
      </c>
      <c r="M1637" s="10">
        <v>7674</v>
      </c>
      <c r="N1637" s="10">
        <v>1519288</v>
      </c>
      <c r="O1637" s="10">
        <v>601788</v>
      </c>
      <c r="P1637" s="10">
        <v>2121076</v>
      </c>
    </row>
    <row r="1638" spans="1:16" ht="27" customHeight="1" x14ac:dyDescent="0.2">
      <c r="A1638" s="9" t="s">
        <v>5806</v>
      </c>
      <c r="B1638" s="10" t="s">
        <v>6001</v>
      </c>
      <c r="C1638" s="11" t="s">
        <v>6004</v>
      </c>
      <c r="D1638" s="11" t="s">
        <v>6005</v>
      </c>
      <c r="E1638" s="11" t="s">
        <v>26</v>
      </c>
      <c r="F1638" s="11" t="s">
        <v>6006</v>
      </c>
      <c r="G1638" s="11" t="s">
        <v>28</v>
      </c>
      <c r="H1638" s="11" t="s">
        <v>6006</v>
      </c>
      <c r="I1638" s="11" t="s">
        <v>6007</v>
      </c>
      <c r="J1638" s="12">
        <v>0.1915</v>
      </c>
      <c r="K1638" s="13">
        <v>1</v>
      </c>
      <c r="L1638" s="14">
        <v>402</v>
      </c>
      <c r="M1638" s="10">
        <v>77</v>
      </c>
      <c r="N1638" s="10">
        <v>44422</v>
      </c>
      <c r="O1638" s="10">
        <v>6038</v>
      </c>
      <c r="P1638" s="10">
        <v>50460</v>
      </c>
    </row>
    <row r="1639" spans="1:16" ht="27" customHeight="1" x14ac:dyDescent="0.2">
      <c r="A1639" s="9" t="s">
        <v>5806</v>
      </c>
      <c r="B1639" s="10" t="s">
        <v>6001</v>
      </c>
      <c r="C1639" s="11" t="s">
        <v>6008</v>
      </c>
      <c r="D1639" s="11" t="s">
        <v>6009</v>
      </c>
      <c r="E1639" s="11" t="s">
        <v>26</v>
      </c>
      <c r="F1639" s="11" t="s">
        <v>6010</v>
      </c>
      <c r="G1639" s="11" t="s">
        <v>28</v>
      </c>
      <c r="H1639" s="11" t="s">
        <v>5809</v>
      </c>
      <c r="I1639" s="11" t="s">
        <v>5810</v>
      </c>
      <c r="J1639" s="12">
        <v>0.96760000000000002</v>
      </c>
      <c r="K1639" s="13">
        <v>1</v>
      </c>
      <c r="L1639" s="14">
        <v>478</v>
      </c>
      <c r="M1639" s="10">
        <v>160</v>
      </c>
      <c r="N1639" s="10">
        <v>52820</v>
      </c>
      <c r="O1639" s="10">
        <v>12547</v>
      </c>
      <c r="P1639" s="10">
        <v>65367</v>
      </c>
    </row>
    <row r="1640" spans="1:16" ht="27" customHeight="1" x14ac:dyDescent="0.2">
      <c r="A1640" s="9" t="s">
        <v>5806</v>
      </c>
      <c r="B1640" s="10" t="s">
        <v>6001</v>
      </c>
      <c r="C1640" s="11" t="s">
        <v>6011</v>
      </c>
      <c r="D1640" s="11" t="s">
        <v>6012</v>
      </c>
      <c r="E1640" s="11" t="s">
        <v>57</v>
      </c>
      <c r="F1640" s="11" t="s">
        <v>6013</v>
      </c>
      <c r="G1640" s="11" t="s">
        <v>28</v>
      </c>
      <c r="H1640" s="11" t="s">
        <v>6013</v>
      </c>
      <c r="I1640" s="11" t="s">
        <v>6014</v>
      </c>
      <c r="J1640" s="12">
        <v>0.63</v>
      </c>
      <c r="K1640" s="13">
        <v>1</v>
      </c>
      <c r="L1640" s="14">
        <v>300</v>
      </c>
      <c r="M1640" s="10">
        <v>189</v>
      </c>
      <c r="N1640" s="10">
        <v>33150</v>
      </c>
      <c r="O1640" s="10">
        <v>14821</v>
      </c>
      <c r="P1640" s="10">
        <v>47971</v>
      </c>
    </row>
    <row r="1641" spans="1:16" ht="27" customHeight="1" x14ac:dyDescent="0.2">
      <c r="A1641" s="9" t="s">
        <v>5806</v>
      </c>
      <c r="B1641" s="10" t="s">
        <v>6001</v>
      </c>
      <c r="C1641" s="11" t="s">
        <v>6015</v>
      </c>
      <c r="D1641" s="11" t="s">
        <v>6016</v>
      </c>
      <c r="E1641" s="11" t="s">
        <v>26</v>
      </c>
      <c r="F1641" s="11" t="s">
        <v>5224</v>
      </c>
      <c r="G1641" s="11" t="s">
        <v>28</v>
      </c>
      <c r="H1641" s="11" t="s">
        <v>5809</v>
      </c>
      <c r="I1641" s="11" t="s">
        <v>5810</v>
      </c>
      <c r="J1641" s="12">
        <v>0.96760000000000002</v>
      </c>
      <c r="K1641" s="13">
        <v>1</v>
      </c>
      <c r="L1641" s="14">
        <v>365</v>
      </c>
      <c r="M1641" s="10">
        <v>84</v>
      </c>
      <c r="N1641" s="10">
        <v>40333</v>
      </c>
      <c r="O1641" s="10">
        <v>6587</v>
      </c>
      <c r="P1641" s="10">
        <v>46920</v>
      </c>
    </row>
    <row r="1642" spans="1:16" ht="27" customHeight="1" x14ac:dyDescent="0.2">
      <c r="A1642" s="9" t="s">
        <v>5806</v>
      </c>
      <c r="B1642" s="10" t="s">
        <v>6017</v>
      </c>
      <c r="C1642" s="11" t="s">
        <v>18</v>
      </c>
      <c r="D1642" s="11" t="s">
        <v>19</v>
      </c>
      <c r="E1642" s="11" t="s">
        <v>19</v>
      </c>
      <c r="F1642" s="11" t="s">
        <v>6018</v>
      </c>
      <c r="G1642" s="11" t="s">
        <v>83</v>
      </c>
      <c r="H1642" s="11" t="s">
        <v>6019</v>
      </c>
      <c r="I1642" s="11" t="s">
        <v>6020</v>
      </c>
      <c r="J1642" s="12">
        <v>0.31580000000000003</v>
      </c>
      <c r="K1642" s="13">
        <v>10</v>
      </c>
      <c r="L1642" s="14">
        <v>7539</v>
      </c>
      <c r="M1642" s="10">
        <v>922</v>
      </c>
      <c r="N1642" s="10">
        <v>833073</v>
      </c>
      <c r="O1642" s="10">
        <v>72303</v>
      </c>
      <c r="P1642" s="10">
        <v>905376</v>
      </c>
    </row>
    <row r="1643" spans="1:16" ht="27" customHeight="1" x14ac:dyDescent="0.2">
      <c r="A1643" s="9" t="s">
        <v>5806</v>
      </c>
      <c r="B1643" s="10" t="s">
        <v>6021</v>
      </c>
      <c r="C1643" s="11" t="s">
        <v>18</v>
      </c>
      <c r="D1643" s="11" t="s">
        <v>19</v>
      </c>
      <c r="E1643" s="11" t="s">
        <v>19</v>
      </c>
      <c r="F1643" s="11" t="s">
        <v>6022</v>
      </c>
      <c r="G1643" s="11" t="s">
        <v>83</v>
      </c>
      <c r="H1643" s="11" t="s">
        <v>6023</v>
      </c>
      <c r="I1643" s="11" t="s">
        <v>6024</v>
      </c>
      <c r="J1643" s="12">
        <v>0.77390000000000003</v>
      </c>
      <c r="K1643" s="13">
        <v>2</v>
      </c>
      <c r="L1643" s="14">
        <v>204</v>
      </c>
      <c r="M1643" s="10">
        <v>158</v>
      </c>
      <c r="N1643" s="10">
        <v>22542</v>
      </c>
      <c r="O1643" s="10">
        <v>12390</v>
      </c>
      <c r="P1643" s="10">
        <v>34932</v>
      </c>
    </row>
    <row r="1644" spans="1:16" ht="27" customHeight="1" x14ac:dyDescent="0.2">
      <c r="A1644" s="9" t="s">
        <v>5806</v>
      </c>
      <c r="B1644" s="10" t="s">
        <v>6021</v>
      </c>
      <c r="C1644" s="11" t="s">
        <v>6025</v>
      </c>
      <c r="D1644" s="11" t="s">
        <v>6026</v>
      </c>
      <c r="E1644" s="11" t="s">
        <v>26</v>
      </c>
      <c r="F1644" s="11" t="s">
        <v>6027</v>
      </c>
      <c r="G1644" s="11" t="s">
        <v>28</v>
      </c>
      <c r="H1644" s="11" t="s">
        <v>6027</v>
      </c>
      <c r="I1644" s="11" t="s">
        <v>6028</v>
      </c>
      <c r="J1644" s="12">
        <v>0.34039999999999998</v>
      </c>
      <c r="K1644" s="13">
        <v>1</v>
      </c>
      <c r="L1644" s="14">
        <v>993</v>
      </c>
      <c r="M1644" s="10">
        <v>338</v>
      </c>
      <c r="N1644" s="10">
        <v>109728</v>
      </c>
      <c r="O1644" s="10">
        <v>26506</v>
      </c>
      <c r="P1644" s="10">
        <v>136234</v>
      </c>
    </row>
    <row r="1645" spans="1:16" ht="27" customHeight="1" x14ac:dyDescent="0.2">
      <c r="A1645" s="9" t="s">
        <v>5806</v>
      </c>
      <c r="B1645" s="10" t="s">
        <v>6021</v>
      </c>
      <c r="C1645" s="11" t="s">
        <v>6029</v>
      </c>
      <c r="D1645" s="11" t="s">
        <v>6030</v>
      </c>
      <c r="E1645" s="11" t="s">
        <v>26</v>
      </c>
      <c r="F1645" s="11" t="s">
        <v>6031</v>
      </c>
      <c r="G1645" s="11" t="s">
        <v>28</v>
      </c>
      <c r="H1645" s="11" t="s">
        <v>6031</v>
      </c>
      <c r="I1645" s="11" t="s">
        <v>6032</v>
      </c>
      <c r="J1645" s="12">
        <v>0.36299999999999999</v>
      </c>
      <c r="K1645" s="13">
        <v>1</v>
      </c>
      <c r="L1645" s="14">
        <v>765</v>
      </c>
      <c r="M1645" s="10">
        <v>278</v>
      </c>
      <c r="N1645" s="10">
        <v>84534</v>
      </c>
      <c r="O1645" s="10">
        <v>21800</v>
      </c>
      <c r="P1645" s="10">
        <v>106334</v>
      </c>
    </row>
    <row r="1646" spans="1:16" ht="27" customHeight="1" x14ac:dyDescent="0.2">
      <c r="A1646" s="9" t="s">
        <v>5806</v>
      </c>
      <c r="B1646" s="10" t="s">
        <v>6021</v>
      </c>
      <c r="C1646" s="11" t="s">
        <v>6033</v>
      </c>
      <c r="D1646" s="11" t="s">
        <v>6034</v>
      </c>
      <c r="E1646" s="11" t="s">
        <v>26</v>
      </c>
      <c r="F1646" s="11" t="s">
        <v>6035</v>
      </c>
      <c r="G1646" s="11" t="s">
        <v>28</v>
      </c>
      <c r="H1646" s="11" t="s">
        <v>6035</v>
      </c>
      <c r="I1646" s="11" t="s">
        <v>6036</v>
      </c>
      <c r="J1646" s="12">
        <v>0.77610000000000001</v>
      </c>
      <c r="K1646" s="13">
        <v>1</v>
      </c>
      <c r="L1646" s="14">
        <v>67</v>
      </c>
      <c r="M1646" s="10">
        <v>52</v>
      </c>
      <c r="N1646" s="10">
        <v>7404</v>
      </c>
      <c r="O1646" s="10">
        <v>4078</v>
      </c>
      <c r="P1646" s="10">
        <v>11482</v>
      </c>
    </row>
    <row r="1647" spans="1:16" ht="27" customHeight="1" x14ac:dyDescent="0.2">
      <c r="A1647" s="9" t="s">
        <v>5806</v>
      </c>
      <c r="B1647" s="10" t="s">
        <v>6021</v>
      </c>
      <c r="C1647" s="11" t="s">
        <v>6037</v>
      </c>
      <c r="D1647" s="11" t="s">
        <v>6038</v>
      </c>
      <c r="E1647" s="11" t="s">
        <v>26</v>
      </c>
      <c r="F1647" s="11" t="s">
        <v>6039</v>
      </c>
      <c r="G1647" s="11" t="s">
        <v>28</v>
      </c>
      <c r="H1647" s="11" t="s">
        <v>6039</v>
      </c>
      <c r="I1647" s="11" t="s">
        <v>6040</v>
      </c>
      <c r="J1647" s="12">
        <v>0.30790000000000001</v>
      </c>
      <c r="K1647" s="13">
        <v>1</v>
      </c>
      <c r="L1647" s="14">
        <v>458</v>
      </c>
      <c r="M1647" s="10">
        <v>141</v>
      </c>
      <c r="N1647" s="10">
        <v>50610</v>
      </c>
      <c r="O1647" s="10">
        <v>11057</v>
      </c>
      <c r="P1647" s="10">
        <v>61667</v>
      </c>
    </row>
    <row r="1648" spans="1:16" ht="27" customHeight="1" x14ac:dyDescent="0.2">
      <c r="A1648" s="9" t="s">
        <v>5806</v>
      </c>
      <c r="B1648" s="10" t="s">
        <v>6021</v>
      </c>
      <c r="C1648" s="11" t="s">
        <v>6041</v>
      </c>
      <c r="D1648" s="11" t="s">
        <v>6042</v>
      </c>
      <c r="E1648" s="11" t="s">
        <v>26</v>
      </c>
      <c r="F1648" s="11" t="s">
        <v>6043</v>
      </c>
      <c r="G1648" s="11" t="s">
        <v>28</v>
      </c>
      <c r="H1648" s="11" t="s">
        <v>5809</v>
      </c>
      <c r="I1648" s="11" t="s">
        <v>5810</v>
      </c>
      <c r="J1648" s="12">
        <v>0.96760000000000002</v>
      </c>
      <c r="K1648" s="13">
        <v>1</v>
      </c>
      <c r="L1648" s="14">
        <v>108</v>
      </c>
      <c r="M1648" s="10">
        <v>42</v>
      </c>
      <c r="N1648" s="10">
        <v>11934</v>
      </c>
      <c r="O1648" s="10">
        <v>3294</v>
      </c>
      <c r="P1648" s="10">
        <v>15228</v>
      </c>
    </row>
    <row r="1649" spans="1:16" ht="27" customHeight="1" x14ac:dyDescent="0.2">
      <c r="A1649" s="9" t="s">
        <v>6044</v>
      </c>
      <c r="B1649" s="10" t="s">
        <v>6045</v>
      </c>
      <c r="C1649" s="11" t="s">
        <v>18</v>
      </c>
      <c r="D1649" s="11" t="s">
        <v>19</v>
      </c>
      <c r="E1649" s="11" t="s">
        <v>19</v>
      </c>
      <c r="F1649" s="11" t="s">
        <v>6046</v>
      </c>
      <c r="G1649" s="11" t="s">
        <v>21</v>
      </c>
      <c r="H1649" s="11" t="s">
        <v>6047</v>
      </c>
      <c r="I1649" s="11" t="s">
        <v>6048</v>
      </c>
      <c r="J1649" s="12">
        <v>0.9</v>
      </c>
      <c r="K1649" s="13">
        <v>4</v>
      </c>
      <c r="L1649" s="14">
        <v>245</v>
      </c>
      <c r="M1649" s="10">
        <v>226</v>
      </c>
      <c r="N1649" s="10">
        <v>27074</v>
      </c>
      <c r="O1649" s="10">
        <v>17723</v>
      </c>
      <c r="P1649" s="10">
        <v>44797</v>
      </c>
    </row>
    <row r="1650" spans="1:16" ht="27" customHeight="1" x14ac:dyDescent="0.2">
      <c r="A1650" s="9" t="s">
        <v>6044</v>
      </c>
      <c r="B1650" s="10" t="s">
        <v>6045</v>
      </c>
      <c r="C1650" s="11" t="s">
        <v>6049</v>
      </c>
      <c r="D1650" s="11" t="s">
        <v>6050</v>
      </c>
      <c r="E1650" s="11" t="s">
        <v>57</v>
      </c>
      <c r="F1650" s="11" t="s">
        <v>6051</v>
      </c>
      <c r="G1650" s="11" t="s">
        <v>28</v>
      </c>
      <c r="H1650" s="11" t="s">
        <v>6047</v>
      </c>
      <c r="I1650" s="11" t="s">
        <v>6048</v>
      </c>
      <c r="J1650" s="12">
        <v>0.9</v>
      </c>
      <c r="K1650" s="13">
        <v>1</v>
      </c>
      <c r="L1650" s="14">
        <v>212</v>
      </c>
      <c r="M1650" s="10">
        <v>169</v>
      </c>
      <c r="N1650" s="10">
        <v>23426</v>
      </c>
      <c r="O1650" s="10">
        <v>13253</v>
      </c>
      <c r="P1650" s="10">
        <v>36679</v>
      </c>
    </row>
    <row r="1651" spans="1:16" ht="27" customHeight="1" x14ac:dyDescent="0.2">
      <c r="A1651" s="9" t="s">
        <v>6044</v>
      </c>
      <c r="B1651" s="10" t="s">
        <v>6045</v>
      </c>
      <c r="C1651" s="11" t="s">
        <v>6052</v>
      </c>
      <c r="D1651" s="11" t="s">
        <v>6053</v>
      </c>
      <c r="E1651" s="11" t="s">
        <v>26</v>
      </c>
      <c r="F1651" s="11" t="s">
        <v>6054</v>
      </c>
      <c r="G1651" s="11" t="s">
        <v>28</v>
      </c>
      <c r="H1651" s="11" t="s">
        <v>6054</v>
      </c>
      <c r="I1651" s="11" t="s">
        <v>6055</v>
      </c>
      <c r="J1651" s="12">
        <v>0.34200000000000003</v>
      </c>
      <c r="K1651" s="13">
        <v>1</v>
      </c>
      <c r="L1651" s="14">
        <v>462</v>
      </c>
      <c r="M1651" s="10">
        <v>158</v>
      </c>
      <c r="N1651" s="10">
        <v>51052</v>
      </c>
      <c r="O1651" s="10">
        <v>12390</v>
      </c>
      <c r="P1651" s="10">
        <v>63442</v>
      </c>
    </row>
    <row r="1652" spans="1:16" ht="27" customHeight="1" x14ac:dyDescent="0.2">
      <c r="A1652" s="9" t="s">
        <v>6044</v>
      </c>
      <c r="B1652" s="10" t="s">
        <v>6056</v>
      </c>
      <c r="C1652" s="11" t="s">
        <v>18</v>
      </c>
      <c r="D1652" s="11" t="s">
        <v>19</v>
      </c>
      <c r="E1652" s="11" t="s">
        <v>19</v>
      </c>
      <c r="F1652" s="11" t="s">
        <v>6057</v>
      </c>
      <c r="G1652" s="11" t="s">
        <v>83</v>
      </c>
      <c r="H1652" s="11" t="s">
        <v>6047</v>
      </c>
      <c r="I1652" s="11" t="s">
        <v>6048</v>
      </c>
      <c r="J1652" s="12">
        <v>0.9</v>
      </c>
      <c r="K1652" s="13">
        <v>13</v>
      </c>
      <c r="L1652" s="14">
        <v>4333</v>
      </c>
      <c r="M1652" s="10">
        <v>2067</v>
      </c>
      <c r="N1652" s="10">
        <v>478804</v>
      </c>
      <c r="O1652" s="10">
        <v>162092</v>
      </c>
      <c r="P1652" s="10">
        <v>640896</v>
      </c>
    </row>
    <row r="1653" spans="1:16" ht="27" customHeight="1" x14ac:dyDescent="0.2">
      <c r="A1653" s="9" t="s">
        <v>6044</v>
      </c>
      <c r="B1653" s="10" t="s">
        <v>6058</v>
      </c>
      <c r="C1653" s="11" t="s">
        <v>18</v>
      </c>
      <c r="D1653" s="11" t="s">
        <v>19</v>
      </c>
      <c r="E1653" s="11" t="s">
        <v>19</v>
      </c>
      <c r="F1653" s="11" t="s">
        <v>6059</v>
      </c>
      <c r="G1653" s="11" t="s">
        <v>83</v>
      </c>
      <c r="H1653" s="11" t="s">
        <v>6059</v>
      </c>
      <c r="I1653" s="11" t="s">
        <v>6060</v>
      </c>
      <c r="J1653" s="12">
        <v>0.39179999999999998</v>
      </c>
      <c r="K1653" s="13">
        <v>2</v>
      </c>
      <c r="L1653" s="14">
        <v>172</v>
      </c>
      <c r="M1653" s="10">
        <v>67</v>
      </c>
      <c r="N1653" s="10">
        <v>19006</v>
      </c>
      <c r="O1653" s="10">
        <v>5254</v>
      </c>
      <c r="P1653" s="10">
        <v>24260</v>
      </c>
    </row>
    <row r="1654" spans="1:16" ht="27" customHeight="1" x14ac:dyDescent="0.2">
      <c r="A1654" s="9" t="s">
        <v>6044</v>
      </c>
      <c r="B1654" s="10" t="s">
        <v>6061</v>
      </c>
      <c r="C1654" s="11" t="s">
        <v>18</v>
      </c>
      <c r="D1654" s="11" t="s">
        <v>19</v>
      </c>
      <c r="E1654" s="11" t="s">
        <v>19</v>
      </c>
      <c r="F1654" s="11" t="s">
        <v>6062</v>
      </c>
      <c r="G1654" s="11" t="s">
        <v>83</v>
      </c>
      <c r="H1654" s="11" t="s">
        <v>6063</v>
      </c>
      <c r="I1654" s="11" t="s">
        <v>6064</v>
      </c>
      <c r="J1654" s="12">
        <v>0.85240000000000005</v>
      </c>
      <c r="K1654" s="13">
        <v>20</v>
      </c>
      <c r="L1654" s="14">
        <v>9693</v>
      </c>
      <c r="M1654" s="10">
        <v>5738</v>
      </c>
      <c r="N1654" s="10">
        <v>1071092</v>
      </c>
      <c r="O1654" s="10">
        <v>449967</v>
      </c>
      <c r="P1654" s="10">
        <v>1521059</v>
      </c>
    </row>
    <row r="1655" spans="1:16" ht="27" customHeight="1" x14ac:dyDescent="0.2">
      <c r="A1655" s="9" t="s">
        <v>6044</v>
      </c>
      <c r="B1655" s="10" t="s">
        <v>6065</v>
      </c>
      <c r="C1655" s="11" t="s">
        <v>18</v>
      </c>
      <c r="D1655" s="11" t="s">
        <v>19</v>
      </c>
      <c r="E1655" s="11" t="s">
        <v>19</v>
      </c>
      <c r="F1655" s="11" t="s">
        <v>6066</v>
      </c>
      <c r="G1655" s="11" t="s">
        <v>83</v>
      </c>
      <c r="H1655" s="11" t="s">
        <v>6067</v>
      </c>
      <c r="I1655" s="11" t="s">
        <v>6068</v>
      </c>
      <c r="J1655" s="12">
        <v>0.30909999999999999</v>
      </c>
      <c r="K1655" s="13">
        <v>2</v>
      </c>
      <c r="L1655" s="14">
        <v>56</v>
      </c>
      <c r="M1655" s="10">
        <v>17</v>
      </c>
      <c r="N1655" s="10">
        <v>6188</v>
      </c>
      <c r="O1655" s="10">
        <v>1333</v>
      </c>
      <c r="P1655" s="10">
        <v>7521</v>
      </c>
    </row>
    <row r="1656" spans="1:16" ht="27" customHeight="1" x14ac:dyDescent="0.2">
      <c r="A1656" s="9" t="s">
        <v>6044</v>
      </c>
      <c r="B1656" s="10" t="s">
        <v>6069</v>
      </c>
      <c r="C1656" s="11" t="s">
        <v>18</v>
      </c>
      <c r="D1656" s="11" t="s">
        <v>19</v>
      </c>
      <c r="E1656" s="11" t="s">
        <v>19</v>
      </c>
      <c r="F1656" s="11" t="s">
        <v>6070</v>
      </c>
      <c r="G1656" s="11" t="s">
        <v>83</v>
      </c>
      <c r="H1656" s="11" t="s">
        <v>6071</v>
      </c>
      <c r="I1656" s="11" t="s">
        <v>6072</v>
      </c>
      <c r="J1656" s="12">
        <v>0.50690000000000002</v>
      </c>
      <c r="K1656" s="13">
        <v>17</v>
      </c>
      <c r="L1656" s="14">
        <v>7629</v>
      </c>
      <c r="M1656" s="10">
        <v>2599</v>
      </c>
      <c r="N1656" s="10">
        <v>843017</v>
      </c>
      <c r="O1656" s="10">
        <v>203812</v>
      </c>
      <c r="P1656" s="10">
        <v>1046829</v>
      </c>
    </row>
    <row r="1657" spans="1:16" ht="27" customHeight="1" x14ac:dyDescent="0.2">
      <c r="A1657" s="9" t="s">
        <v>6044</v>
      </c>
      <c r="B1657" s="10" t="s">
        <v>6069</v>
      </c>
      <c r="C1657" s="11" t="s">
        <v>6073</v>
      </c>
      <c r="D1657" s="11" t="s">
        <v>6074</v>
      </c>
      <c r="E1657" s="11" t="s">
        <v>26</v>
      </c>
      <c r="F1657" s="11" t="s">
        <v>6075</v>
      </c>
      <c r="G1657" s="11" t="s">
        <v>28</v>
      </c>
      <c r="H1657" s="11" t="s">
        <v>6075</v>
      </c>
      <c r="I1657" s="11" t="s">
        <v>6076</v>
      </c>
      <c r="J1657" s="12">
        <v>0.14810000000000001</v>
      </c>
      <c r="K1657" s="13">
        <v>1</v>
      </c>
      <c r="L1657" s="14">
        <v>162</v>
      </c>
      <c r="M1657" s="10">
        <v>24</v>
      </c>
      <c r="N1657" s="10">
        <v>17901</v>
      </c>
      <c r="O1657" s="10">
        <v>1882</v>
      </c>
      <c r="P1657" s="10">
        <v>19783</v>
      </c>
    </row>
    <row r="1658" spans="1:16" ht="27" customHeight="1" x14ac:dyDescent="0.2">
      <c r="A1658" s="9" t="s">
        <v>6044</v>
      </c>
      <c r="B1658" s="10" t="s">
        <v>6077</v>
      </c>
      <c r="C1658" s="11" t="s">
        <v>18</v>
      </c>
      <c r="D1658" s="11" t="s">
        <v>19</v>
      </c>
      <c r="E1658" s="11" t="s">
        <v>19</v>
      </c>
      <c r="F1658" s="11" t="s">
        <v>6078</v>
      </c>
      <c r="G1658" s="11" t="s">
        <v>83</v>
      </c>
      <c r="H1658" s="11" t="s">
        <v>6079</v>
      </c>
      <c r="I1658" s="11" t="s">
        <v>6080</v>
      </c>
      <c r="J1658" s="12">
        <v>0.76939999999999997</v>
      </c>
      <c r="K1658" s="13">
        <v>3</v>
      </c>
      <c r="L1658" s="14">
        <v>661</v>
      </c>
      <c r="M1658" s="10">
        <v>424</v>
      </c>
      <c r="N1658" s="10">
        <v>73041</v>
      </c>
      <c r="O1658" s="10">
        <v>33250</v>
      </c>
      <c r="P1658" s="10">
        <v>106291</v>
      </c>
    </row>
    <row r="1659" spans="1:16" ht="27" customHeight="1" x14ac:dyDescent="0.2">
      <c r="A1659" s="9" t="s">
        <v>6044</v>
      </c>
      <c r="B1659" s="10" t="s">
        <v>6081</v>
      </c>
      <c r="C1659" s="11" t="s">
        <v>18</v>
      </c>
      <c r="D1659" s="11" t="s">
        <v>19</v>
      </c>
      <c r="E1659" s="11" t="s">
        <v>19</v>
      </c>
      <c r="F1659" s="11" t="s">
        <v>6082</v>
      </c>
      <c r="G1659" s="11" t="s">
        <v>83</v>
      </c>
      <c r="H1659" s="11" t="s">
        <v>6083</v>
      </c>
      <c r="I1659" s="11" t="s">
        <v>6084</v>
      </c>
      <c r="J1659" s="12">
        <v>0.76570000000000005</v>
      </c>
      <c r="K1659" s="13">
        <v>4</v>
      </c>
      <c r="L1659" s="14">
        <v>272</v>
      </c>
      <c r="M1659" s="10">
        <v>191</v>
      </c>
      <c r="N1659" s="10">
        <v>30056</v>
      </c>
      <c r="O1659" s="10">
        <v>14978</v>
      </c>
      <c r="P1659" s="10">
        <v>45034</v>
      </c>
    </row>
    <row r="1660" spans="1:16" ht="27" customHeight="1" x14ac:dyDescent="0.2">
      <c r="A1660" s="9" t="s">
        <v>6044</v>
      </c>
      <c r="B1660" s="10" t="s">
        <v>6085</v>
      </c>
      <c r="C1660" s="11" t="s">
        <v>18</v>
      </c>
      <c r="D1660" s="11" t="s">
        <v>19</v>
      </c>
      <c r="E1660" s="11" t="s">
        <v>19</v>
      </c>
      <c r="F1660" s="11" t="s">
        <v>6086</v>
      </c>
      <c r="G1660" s="11" t="s">
        <v>83</v>
      </c>
      <c r="H1660" s="11" t="s">
        <v>6087</v>
      </c>
      <c r="I1660" s="11" t="s">
        <v>6088</v>
      </c>
      <c r="J1660" s="12">
        <v>0.23499999999999999</v>
      </c>
      <c r="K1660" s="13">
        <v>8</v>
      </c>
      <c r="L1660" s="14">
        <v>2270</v>
      </c>
      <c r="M1660" s="10">
        <v>474</v>
      </c>
      <c r="N1660" s="10">
        <v>250839</v>
      </c>
      <c r="O1660" s="10">
        <v>37171</v>
      </c>
      <c r="P1660" s="10">
        <v>288010</v>
      </c>
    </row>
    <row r="1661" spans="1:16" ht="27" customHeight="1" x14ac:dyDescent="0.2">
      <c r="A1661" s="9" t="s">
        <v>6044</v>
      </c>
      <c r="B1661" s="10" t="s">
        <v>6089</v>
      </c>
      <c r="C1661" s="11" t="s">
        <v>18</v>
      </c>
      <c r="D1661" s="11" t="s">
        <v>19</v>
      </c>
      <c r="E1661" s="11" t="s">
        <v>19</v>
      </c>
      <c r="F1661" s="11" t="s">
        <v>6090</v>
      </c>
      <c r="G1661" s="11" t="s">
        <v>83</v>
      </c>
      <c r="H1661" s="11" t="s">
        <v>6091</v>
      </c>
      <c r="I1661" s="11" t="s">
        <v>6092</v>
      </c>
      <c r="J1661" s="12">
        <v>0.79479999999999995</v>
      </c>
      <c r="K1661" s="13">
        <v>14</v>
      </c>
      <c r="L1661" s="14">
        <v>6393</v>
      </c>
      <c r="M1661" s="10">
        <v>4061</v>
      </c>
      <c r="N1661" s="10">
        <v>706438</v>
      </c>
      <c r="O1661" s="10">
        <v>318458</v>
      </c>
      <c r="P1661" s="10">
        <v>1024896</v>
      </c>
    </row>
    <row r="1662" spans="1:16" ht="27" customHeight="1" x14ac:dyDescent="0.2">
      <c r="A1662" s="9" t="s">
        <v>6044</v>
      </c>
      <c r="B1662" s="10" t="s">
        <v>6093</v>
      </c>
      <c r="C1662" s="11" t="s">
        <v>18</v>
      </c>
      <c r="D1662" s="11" t="s">
        <v>19</v>
      </c>
      <c r="E1662" s="11" t="s">
        <v>19</v>
      </c>
      <c r="F1662" s="11" t="s">
        <v>6094</v>
      </c>
      <c r="G1662" s="11" t="s">
        <v>83</v>
      </c>
      <c r="H1662" s="11" t="s">
        <v>6095</v>
      </c>
      <c r="I1662" s="11" t="s">
        <v>6096</v>
      </c>
      <c r="J1662" s="12">
        <v>0.64249999999999996</v>
      </c>
      <c r="K1662" s="13">
        <v>5</v>
      </c>
      <c r="L1662" s="14">
        <v>494</v>
      </c>
      <c r="M1662" s="10">
        <v>328</v>
      </c>
      <c r="N1662" s="10">
        <v>54589</v>
      </c>
      <c r="O1662" s="10">
        <v>25721</v>
      </c>
      <c r="P1662" s="10">
        <v>80310</v>
      </c>
    </row>
    <row r="1663" spans="1:16" ht="27" customHeight="1" x14ac:dyDescent="0.2">
      <c r="A1663" s="9" t="s">
        <v>6097</v>
      </c>
      <c r="B1663" s="10" t="s">
        <v>6098</v>
      </c>
      <c r="C1663" s="11" t="s">
        <v>18</v>
      </c>
      <c r="D1663" s="11" t="s">
        <v>19</v>
      </c>
      <c r="E1663" s="11" t="s">
        <v>19</v>
      </c>
      <c r="F1663" s="11" t="s">
        <v>6099</v>
      </c>
      <c r="G1663" s="11" t="s">
        <v>21</v>
      </c>
      <c r="H1663" s="11" t="s">
        <v>6100</v>
      </c>
      <c r="I1663" s="11" t="s">
        <v>6101</v>
      </c>
      <c r="J1663" s="12">
        <v>0.91410000000000002</v>
      </c>
      <c r="K1663" s="13">
        <v>6</v>
      </c>
      <c r="L1663" s="14">
        <v>705</v>
      </c>
      <c r="M1663" s="10">
        <v>617</v>
      </c>
      <c r="N1663" s="10">
        <v>77905</v>
      </c>
      <c r="O1663" s="10">
        <v>48384</v>
      </c>
      <c r="P1663" s="10">
        <v>126289</v>
      </c>
    </row>
    <row r="1664" spans="1:16" ht="27" customHeight="1" x14ac:dyDescent="0.2">
      <c r="A1664" s="9" t="s">
        <v>6097</v>
      </c>
      <c r="B1664" s="10" t="s">
        <v>6098</v>
      </c>
      <c r="C1664" s="11" t="s">
        <v>6102</v>
      </c>
      <c r="D1664" s="11" t="s">
        <v>6103</v>
      </c>
      <c r="E1664" s="11" t="s">
        <v>26</v>
      </c>
      <c r="F1664" s="11" t="s">
        <v>6104</v>
      </c>
      <c r="G1664" s="11" t="s">
        <v>28</v>
      </c>
      <c r="H1664" s="11" t="s">
        <v>6100</v>
      </c>
      <c r="I1664" s="11" t="s">
        <v>6101</v>
      </c>
      <c r="J1664" s="12">
        <v>0.91410000000000002</v>
      </c>
      <c r="K1664" s="13">
        <v>1</v>
      </c>
      <c r="L1664" s="14">
        <v>92</v>
      </c>
      <c r="M1664" s="10">
        <v>68</v>
      </c>
      <c r="N1664" s="10">
        <v>10166</v>
      </c>
      <c r="O1664" s="10">
        <v>5332</v>
      </c>
      <c r="P1664" s="10">
        <v>15498</v>
      </c>
    </row>
    <row r="1665" spans="1:16" ht="27" customHeight="1" x14ac:dyDescent="0.2">
      <c r="A1665" s="9" t="s">
        <v>6097</v>
      </c>
      <c r="B1665" s="10" t="s">
        <v>6105</v>
      </c>
      <c r="C1665" s="11" t="s">
        <v>18</v>
      </c>
      <c r="D1665" s="11" t="s">
        <v>19</v>
      </c>
      <c r="E1665" s="11" t="s">
        <v>19</v>
      </c>
      <c r="F1665" s="11" t="s">
        <v>6106</v>
      </c>
      <c r="G1665" s="11" t="s">
        <v>83</v>
      </c>
      <c r="H1665" s="11" t="s">
        <v>6107</v>
      </c>
      <c r="I1665" s="11" t="s">
        <v>6108</v>
      </c>
      <c r="J1665" s="12">
        <v>0.53420000000000001</v>
      </c>
      <c r="K1665" s="13">
        <v>2</v>
      </c>
      <c r="L1665" s="14">
        <v>326</v>
      </c>
      <c r="M1665" s="10">
        <v>174</v>
      </c>
      <c r="N1665" s="10">
        <v>36024</v>
      </c>
      <c r="O1665" s="10">
        <v>13645</v>
      </c>
      <c r="P1665" s="10">
        <v>49669</v>
      </c>
    </row>
    <row r="1666" spans="1:16" ht="27" customHeight="1" x14ac:dyDescent="0.2">
      <c r="A1666" s="9" t="s">
        <v>6097</v>
      </c>
      <c r="B1666" s="10" t="s">
        <v>6109</v>
      </c>
      <c r="C1666" s="11" t="s">
        <v>18</v>
      </c>
      <c r="D1666" s="11" t="s">
        <v>19</v>
      </c>
      <c r="E1666" s="11" t="s">
        <v>19</v>
      </c>
      <c r="F1666" s="11" t="s">
        <v>6110</v>
      </c>
      <c r="G1666" s="11" t="s">
        <v>83</v>
      </c>
      <c r="H1666" s="11" t="s">
        <v>6111</v>
      </c>
      <c r="I1666" s="11" t="s">
        <v>6112</v>
      </c>
      <c r="J1666" s="12">
        <v>0.17430000000000001</v>
      </c>
      <c r="K1666" s="13">
        <v>8</v>
      </c>
      <c r="L1666" s="14">
        <v>3964</v>
      </c>
      <c r="M1666" s="10">
        <v>288</v>
      </c>
      <c r="N1666" s="10">
        <v>438028</v>
      </c>
      <c r="O1666" s="10">
        <v>22584</v>
      </c>
      <c r="P1666" s="10">
        <v>460612</v>
      </c>
    </row>
    <row r="1667" spans="1:16" ht="27" customHeight="1" x14ac:dyDescent="0.2">
      <c r="A1667" s="9" t="s">
        <v>6097</v>
      </c>
      <c r="B1667" s="10" t="s">
        <v>6113</v>
      </c>
      <c r="C1667" s="11" t="s">
        <v>18</v>
      </c>
      <c r="D1667" s="11" t="s">
        <v>19</v>
      </c>
      <c r="E1667" s="11" t="s">
        <v>19</v>
      </c>
      <c r="F1667" s="11" t="s">
        <v>6114</v>
      </c>
      <c r="G1667" s="11" t="s">
        <v>83</v>
      </c>
      <c r="H1667" s="11" t="s">
        <v>6115</v>
      </c>
      <c r="I1667" s="11" t="s">
        <v>6116</v>
      </c>
      <c r="J1667" s="12">
        <v>0.29909999999999998</v>
      </c>
      <c r="K1667" s="13">
        <v>4</v>
      </c>
      <c r="L1667" s="14">
        <v>463</v>
      </c>
      <c r="M1667" s="10">
        <v>91</v>
      </c>
      <c r="N1667" s="10">
        <v>51163</v>
      </c>
      <c r="O1667" s="10">
        <v>7136</v>
      </c>
      <c r="P1667" s="10">
        <v>58299</v>
      </c>
    </row>
    <row r="1668" spans="1:16" ht="27" customHeight="1" x14ac:dyDescent="0.2">
      <c r="A1668" s="9" t="s">
        <v>6097</v>
      </c>
      <c r="B1668" s="10" t="s">
        <v>6117</v>
      </c>
      <c r="C1668" s="11" t="s">
        <v>18</v>
      </c>
      <c r="D1668" s="11" t="s">
        <v>19</v>
      </c>
      <c r="E1668" s="11" t="s">
        <v>19</v>
      </c>
      <c r="F1668" s="11" t="s">
        <v>6118</v>
      </c>
      <c r="G1668" s="11" t="s">
        <v>83</v>
      </c>
      <c r="H1668" s="11" t="s">
        <v>3215</v>
      </c>
      <c r="I1668" s="11" t="s">
        <v>6119</v>
      </c>
      <c r="J1668" s="12">
        <v>0.25719999999999998</v>
      </c>
      <c r="K1668" s="13">
        <v>9</v>
      </c>
      <c r="L1668" s="14">
        <v>3289</v>
      </c>
      <c r="M1668" s="10">
        <v>524</v>
      </c>
      <c r="N1668" s="10">
        <v>363441</v>
      </c>
      <c r="O1668" s="10">
        <v>41091</v>
      </c>
      <c r="P1668" s="10">
        <v>404532</v>
      </c>
    </row>
    <row r="1669" spans="1:16" ht="27" customHeight="1" x14ac:dyDescent="0.2">
      <c r="A1669" s="9" t="s">
        <v>6097</v>
      </c>
      <c r="B1669" s="10" t="s">
        <v>6120</v>
      </c>
      <c r="C1669" s="11" t="s">
        <v>18</v>
      </c>
      <c r="D1669" s="11" t="s">
        <v>19</v>
      </c>
      <c r="E1669" s="11" t="s">
        <v>19</v>
      </c>
      <c r="F1669" s="11" t="s">
        <v>6121</v>
      </c>
      <c r="G1669" s="11" t="s">
        <v>83</v>
      </c>
      <c r="H1669" s="11" t="s">
        <v>6122</v>
      </c>
      <c r="I1669" s="11" t="s">
        <v>6123</v>
      </c>
      <c r="J1669" s="12">
        <v>0.46489999999999998</v>
      </c>
      <c r="K1669" s="13">
        <v>8</v>
      </c>
      <c r="L1669" s="14">
        <v>2760</v>
      </c>
      <c r="M1669" s="10">
        <v>1004</v>
      </c>
      <c r="N1669" s="10">
        <v>304986</v>
      </c>
      <c r="O1669" s="10">
        <v>78732</v>
      </c>
      <c r="P1669" s="10">
        <v>383718</v>
      </c>
    </row>
    <row r="1670" spans="1:16" ht="27" customHeight="1" x14ac:dyDescent="0.2">
      <c r="A1670" s="9" t="s">
        <v>6097</v>
      </c>
      <c r="B1670" s="10" t="s">
        <v>6124</v>
      </c>
      <c r="C1670" s="11" t="s">
        <v>18</v>
      </c>
      <c r="D1670" s="11" t="s">
        <v>19</v>
      </c>
      <c r="E1670" s="11" t="s">
        <v>19</v>
      </c>
      <c r="F1670" s="11" t="s">
        <v>6125</v>
      </c>
      <c r="G1670" s="11" t="s">
        <v>83</v>
      </c>
      <c r="H1670" s="11" t="s">
        <v>6126</v>
      </c>
      <c r="I1670" s="11" t="s">
        <v>6127</v>
      </c>
      <c r="J1670" s="12">
        <v>3.04E-2</v>
      </c>
      <c r="K1670" s="13">
        <v>5</v>
      </c>
      <c r="L1670" s="14">
        <v>1297</v>
      </c>
      <c r="M1670" s="10">
        <v>34</v>
      </c>
      <c r="N1670" s="10">
        <v>143320</v>
      </c>
      <c r="O1670" s="10">
        <v>2666</v>
      </c>
      <c r="P1670" s="10">
        <v>145986</v>
      </c>
    </row>
    <row r="1671" spans="1:16" ht="27" customHeight="1" x14ac:dyDescent="0.2">
      <c r="A1671" s="9" t="s">
        <v>6097</v>
      </c>
      <c r="B1671" s="10" t="s">
        <v>6128</v>
      </c>
      <c r="C1671" s="11" t="s">
        <v>18</v>
      </c>
      <c r="D1671" s="11" t="s">
        <v>19</v>
      </c>
      <c r="E1671" s="11" t="s">
        <v>19</v>
      </c>
      <c r="F1671" s="11" t="s">
        <v>1482</v>
      </c>
      <c r="G1671" s="11" t="s">
        <v>83</v>
      </c>
      <c r="H1671" s="11" t="s">
        <v>6129</v>
      </c>
      <c r="I1671" s="11" t="s">
        <v>6130</v>
      </c>
      <c r="J1671" s="12">
        <v>0.61539999999999995</v>
      </c>
      <c r="K1671" s="13">
        <v>15</v>
      </c>
      <c r="L1671" s="14">
        <v>5123</v>
      </c>
      <c r="M1671" s="10">
        <v>2531</v>
      </c>
      <c r="N1671" s="10">
        <v>566102</v>
      </c>
      <c r="O1671" s="10">
        <v>198479</v>
      </c>
      <c r="P1671" s="10">
        <v>764581</v>
      </c>
    </row>
    <row r="1672" spans="1:16" ht="27" customHeight="1" x14ac:dyDescent="0.2">
      <c r="A1672" s="9" t="s">
        <v>6097</v>
      </c>
      <c r="B1672" s="10" t="s">
        <v>6128</v>
      </c>
      <c r="C1672" s="11" t="s">
        <v>6131</v>
      </c>
      <c r="D1672" s="11" t="s">
        <v>6132</v>
      </c>
      <c r="E1672" s="11" t="s">
        <v>26</v>
      </c>
      <c r="F1672" s="11" t="s">
        <v>6133</v>
      </c>
      <c r="G1672" s="11" t="s">
        <v>28</v>
      </c>
      <c r="H1672" s="11" t="s">
        <v>6133</v>
      </c>
      <c r="I1672" s="11" t="s">
        <v>6134</v>
      </c>
      <c r="J1672" s="12">
        <v>0.50839999999999996</v>
      </c>
      <c r="K1672" s="13">
        <v>1</v>
      </c>
      <c r="L1672" s="14">
        <v>1009</v>
      </c>
      <c r="M1672" s="10">
        <v>513</v>
      </c>
      <c r="N1672" s="10">
        <v>111496</v>
      </c>
      <c r="O1672" s="10">
        <v>40229</v>
      </c>
      <c r="P1672" s="10">
        <v>151725</v>
      </c>
    </row>
    <row r="1673" spans="1:16" ht="27" customHeight="1" x14ac:dyDescent="0.2">
      <c r="A1673" s="9" t="s">
        <v>6097</v>
      </c>
      <c r="B1673" s="10" t="s">
        <v>6135</v>
      </c>
      <c r="C1673" s="11" t="s">
        <v>18</v>
      </c>
      <c r="D1673" s="11" t="s">
        <v>19</v>
      </c>
      <c r="E1673" s="11" t="s">
        <v>19</v>
      </c>
      <c r="F1673" s="11" t="s">
        <v>6136</v>
      </c>
      <c r="G1673" s="11" t="s">
        <v>83</v>
      </c>
      <c r="H1673" s="11" t="s">
        <v>6100</v>
      </c>
      <c r="I1673" s="11" t="s">
        <v>6101</v>
      </c>
      <c r="J1673" s="12">
        <v>0.91410000000000002</v>
      </c>
      <c r="K1673" s="13">
        <v>6</v>
      </c>
      <c r="L1673" s="14">
        <v>3866</v>
      </c>
      <c r="M1673" s="10">
        <v>1131</v>
      </c>
      <c r="N1673" s="10">
        <v>427199</v>
      </c>
      <c r="O1673" s="10">
        <v>88691</v>
      </c>
      <c r="P1673" s="10">
        <v>515890</v>
      </c>
    </row>
    <row r="1674" spans="1:16" ht="27" customHeight="1" x14ac:dyDescent="0.2">
      <c r="A1674" s="9" t="s">
        <v>6097</v>
      </c>
      <c r="B1674" s="10" t="s">
        <v>6135</v>
      </c>
      <c r="C1674" s="11" t="s">
        <v>6137</v>
      </c>
      <c r="D1674" s="11" t="s">
        <v>6138</v>
      </c>
      <c r="E1674" s="11" t="s">
        <v>26</v>
      </c>
      <c r="F1674" s="11" t="s">
        <v>6139</v>
      </c>
      <c r="G1674" s="11" t="s">
        <v>28</v>
      </c>
      <c r="H1674" s="11" t="s">
        <v>6100</v>
      </c>
      <c r="I1674" s="11" t="s">
        <v>6101</v>
      </c>
      <c r="J1674" s="12">
        <v>0.91410000000000002</v>
      </c>
      <c r="K1674" s="13">
        <v>1</v>
      </c>
      <c r="L1674" s="14">
        <v>442</v>
      </c>
      <c r="M1674" s="10">
        <v>115</v>
      </c>
      <c r="N1674" s="10">
        <v>48842</v>
      </c>
      <c r="O1674" s="10">
        <v>9018</v>
      </c>
      <c r="P1674" s="10">
        <v>57860</v>
      </c>
    </row>
    <row r="1675" spans="1:16" ht="27" customHeight="1" x14ac:dyDescent="0.2">
      <c r="A1675" s="9" t="s">
        <v>6097</v>
      </c>
      <c r="B1675" s="10" t="s">
        <v>6140</v>
      </c>
      <c r="C1675" s="11" t="s">
        <v>18</v>
      </c>
      <c r="D1675" s="11" t="s">
        <v>19</v>
      </c>
      <c r="E1675" s="11" t="s">
        <v>19</v>
      </c>
      <c r="F1675" s="11" t="s">
        <v>6141</v>
      </c>
      <c r="G1675" s="11" t="s">
        <v>83</v>
      </c>
      <c r="H1675" s="11" t="s">
        <v>6142</v>
      </c>
      <c r="I1675" s="11" t="s">
        <v>6143</v>
      </c>
      <c r="J1675" s="12">
        <v>0.36549999999999999</v>
      </c>
      <c r="K1675" s="13">
        <v>9</v>
      </c>
      <c r="L1675" s="14">
        <v>2756</v>
      </c>
      <c r="M1675" s="10">
        <v>515</v>
      </c>
      <c r="N1675" s="10">
        <v>304543</v>
      </c>
      <c r="O1675" s="10">
        <v>40386</v>
      </c>
      <c r="P1675" s="10">
        <v>344929</v>
      </c>
    </row>
    <row r="1676" spans="1:16" ht="27" customHeight="1" x14ac:dyDescent="0.2">
      <c r="A1676" s="9" t="s">
        <v>6097</v>
      </c>
      <c r="B1676" s="10" t="s">
        <v>6144</v>
      </c>
      <c r="C1676" s="11" t="s">
        <v>18</v>
      </c>
      <c r="D1676" s="11" t="s">
        <v>19</v>
      </c>
      <c r="E1676" s="11" t="s">
        <v>19</v>
      </c>
      <c r="F1676" s="11" t="s">
        <v>6145</v>
      </c>
      <c r="G1676" s="11" t="s">
        <v>83</v>
      </c>
      <c r="H1676" s="11" t="s">
        <v>6146</v>
      </c>
      <c r="I1676" s="11" t="s">
        <v>6147</v>
      </c>
      <c r="J1676" s="12">
        <v>0.42280000000000001</v>
      </c>
      <c r="K1676" s="13">
        <v>4</v>
      </c>
      <c r="L1676" s="14">
        <v>262</v>
      </c>
      <c r="M1676" s="10">
        <v>96</v>
      </c>
      <c r="N1676" s="10">
        <v>28951</v>
      </c>
      <c r="O1676" s="10">
        <v>7528</v>
      </c>
      <c r="P1676" s="10">
        <v>36479</v>
      </c>
    </row>
    <row r="1677" spans="1:16" ht="27" customHeight="1" x14ac:dyDescent="0.2">
      <c r="A1677" s="9" t="s">
        <v>6097</v>
      </c>
      <c r="B1677" s="10" t="s">
        <v>6148</v>
      </c>
      <c r="C1677" s="11" t="s">
        <v>18</v>
      </c>
      <c r="D1677" s="11" t="s">
        <v>19</v>
      </c>
      <c r="E1677" s="11" t="s">
        <v>19</v>
      </c>
      <c r="F1677" s="11" t="s">
        <v>6149</v>
      </c>
      <c r="G1677" s="11" t="s">
        <v>83</v>
      </c>
      <c r="H1677" s="11" t="s">
        <v>6149</v>
      </c>
      <c r="I1677" s="11" t="s">
        <v>6150</v>
      </c>
      <c r="J1677" s="12">
        <v>6.1699999999999998E-2</v>
      </c>
      <c r="K1677" s="13">
        <v>3</v>
      </c>
      <c r="L1677" s="14">
        <v>1148</v>
      </c>
      <c r="M1677" s="10">
        <v>71</v>
      </c>
      <c r="N1677" s="10">
        <v>126855</v>
      </c>
      <c r="O1677" s="10">
        <v>5568</v>
      </c>
      <c r="P1677" s="10">
        <v>132423</v>
      </c>
    </row>
    <row r="1678" spans="1:16" ht="27" customHeight="1" x14ac:dyDescent="0.2">
      <c r="A1678" s="9" t="s">
        <v>6097</v>
      </c>
      <c r="B1678" s="10" t="s">
        <v>6151</v>
      </c>
      <c r="C1678" s="11" t="s">
        <v>18</v>
      </c>
      <c r="D1678" s="11" t="s">
        <v>19</v>
      </c>
      <c r="E1678" s="11" t="s">
        <v>19</v>
      </c>
      <c r="F1678" s="11" t="s">
        <v>6152</v>
      </c>
      <c r="G1678" s="11" t="s">
        <v>83</v>
      </c>
      <c r="H1678" s="11" t="s">
        <v>6153</v>
      </c>
      <c r="I1678" s="11" t="s">
        <v>6154</v>
      </c>
      <c r="J1678" s="12">
        <v>0.1196</v>
      </c>
      <c r="K1678" s="13">
        <v>5</v>
      </c>
      <c r="L1678" s="14">
        <v>2719</v>
      </c>
      <c r="M1678" s="10">
        <v>262</v>
      </c>
      <c r="N1678" s="10">
        <v>300454</v>
      </c>
      <c r="O1678" s="10">
        <v>20546</v>
      </c>
      <c r="P1678" s="10">
        <v>321000</v>
      </c>
    </row>
    <row r="1679" spans="1:16" ht="27" customHeight="1" x14ac:dyDescent="0.2">
      <c r="A1679" s="9" t="s">
        <v>6097</v>
      </c>
      <c r="B1679" s="10" t="s">
        <v>6155</v>
      </c>
      <c r="C1679" s="11" t="s">
        <v>18</v>
      </c>
      <c r="D1679" s="11" t="s">
        <v>19</v>
      </c>
      <c r="E1679" s="11" t="s">
        <v>19</v>
      </c>
      <c r="F1679" s="11" t="s">
        <v>6156</v>
      </c>
      <c r="G1679" s="11" t="s">
        <v>83</v>
      </c>
      <c r="H1679" s="11" t="s">
        <v>6157</v>
      </c>
      <c r="I1679" s="11" t="s">
        <v>6158</v>
      </c>
      <c r="J1679" s="12">
        <v>0.45729999999999998</v>
      </c>
      <c r="K1679" s="13">
        <v>6</v>
      </c>
      <c r="L1679" s="14">
        <v>2092</v>
      </c>
      <c r="M1679" s="10">
        <v>502</v>
      </c>
      <c r="N1679" s="10">
        <v>231170</v>
      </c>
      <c r="O1679" s="10">
        <v>39366</v>
      </c>
      <c r="P1679" s="10">
        <v>270536</v>
      </c>
    </row>
    <row r="1680" spans="1:16" ht="27" customHeight="1" x14ac:dyDescent="0.2">
      <c r="A1680" s="9" t="s">
        <v>6097</v>
      </c>
      <c r="B1680" s="10" t="s">
        <v>6159</v>
      </c>
      <c r="C1680" s="11" t="s">
        <v>18</v>
      </c>
      <c r="D1680" s="11" t="s">
        <v>19</v>
      </c>
      <c r="E1680" s="11" t="s">
        <v>19</v>
      </c>
      <c r="F1680" s="11" t="s">
        <v>6160</v>
      </c>
      <c r="G1680" s="11" t="s">
        <v>83</v>
      </c>
      <c r="H1680" s="11" t="s">
        <v>6161</v>
      </c>
      <c r="I1680" s="11" t="s">
        <v>6162</v>
      </c>
      <c r="J1680" s="12">
        <v>0.05</v>
      </c>
      <c r="K1680" s="13">
        <v>3</v>
      </c>
      <c r="L1680" s="14">
        <v>514</v>
      </c>
      <c r="M1680" s="10">
        <v>30</v>
      </c>
      <c r="N1680" s="10">
        <v>56798</v>
      </c>
      <c r="O1680" s="10">
        <v>2353</v>
      </c>
      <c r="P1680" s="10">
        <v>59151</v>
      </c>
    </row>
    <row r="1681" spans="1:16" ht="27" customHeight="1" x14ac:dyDescent="0.2">
      <c r="A1681" s="9" t="s">
        <v>6097</v>
      </c>
      <c r="B1681" s="10" t="s">
        <v>6163</v>
      </c>
      <c r="C1681" s="11" t="s">
        <v>18</v>
      </c>
      <c r="D1681" s="11" t="s">
        <v>19</v>
      </c>
      <c r="E1681" s="11" t="s">
        <v>19</v>
      </c>
      <c r="F1681" s="11" t="s">
        <v>6164</v>
      </c>
      <c r="G1681" s="11" t="s">
        <v>83</v>
      </c>
      <c r="H1681" s="11" t="s">
        <v>6165</v>
      </c>
      <c r="I1681" s="11" t="s">
        <v>6166</v>
      </c>
      <c r="J1681" s="12">
        <v>0.86799999999999999</v>
      </c>
      <c r="K1681" s="13">
        <v>5</v>
      </c>
      <c r="L1681" s="14">
        <v>1524</v>
      </c>
      <c r="M1681" s="10">
        <v>1251</v>
      </c>
      <c r="N1681" s="10">
        <v>168405</v>
      </c>
      <c r="O1681" s="10">
        <v>98102</v>
      </c>
      <c r="P1681" s="10">
        <v>266507</v>
      </c>
    </row>
    <row r="1682" spans="1:16" ht="27" customHeight="1" x14ac:dyDescent="0.2">
      <c r="A1682" s="9" t="s">
        <v>6097</v>
      </c>
      <c r="B1682" s="10" t="s">
        <v>6163</v>
      </c>
      <c r="C1682" s="11" t="s">
        <v>6167</v>
      </c>
      <c r="D1682" s="11" t="s">
        <v>6168</v>
      </c>
      <c r="E1682" s="11" t="s">
        <v>26</v>
      </c>
      <c r="F1682" s="11" t="s">
        <v>6169</v>
      </c>
      <c r="G1682" s="11" t="s">
        <v>28</v>
      </c>
      <c r="H1682" s="11" t="s">
        <v>6169</v>
      </c>
      <c r="I1682" s="11" t="s">
        <v>6170</v>
      </c>
      <c r="J1682" s="12">
        <v>0.74250000000000005</v>
      </c>
      <c r="K1682" s="13">
        <v>1</v>
      </c>
      <c r="L1682" s="14">
        <v>532</v>
      </c>
      <c r="M1682" s="10">
        <v>395</v>
      </c>
      <c r="N1682" s="10">
        <v>58787</v>
      </c>
      <c r="O1682" s="10">
        <v>30975</v>
      </c>
      <c r="P1682" s="10">
        <v>89762</v>
      </c>
    </row>
    <row r="1683" spans="1:16" ht="27" customHeight="1" x14ac:dyDescent="0.2">
      <c r="A1683" s="9" t="s">
        <v>6097</v>
      </c>
      <c r="B1683" s="10" t="s">
        <v>6163</v>
      </c>
      <c r="C1683" s="11" t="s">
        <v>6171</v>
      </c>
      <c r="D1683" s="11" t="s">
        <v>6172</v>
      </c>
      <c r="E1683" s="11" t="s">
        <v>26</v>
      </c>
      <c r="F1683" s="11" t="s">
        <v>6173</v>
      </c>
      <c r="G1683" s="11" t="s">
        <v>28</v>
      </c>
      <c r="H1683" s="11" t="s">
        <v>6173</v>
      </c>
      <c r="I1683" s="11" t="s">
        <v>6174</v>
      </c>
      <c r="J1683" s="12">
        <v>0.90790000000000004</v>
      </c>
      <c r="K1683" s="13">
        <v>1</v>
      </c>
      <c r="L1683" s="14">
        <v>619</v>
      </c>
      <c r="M1683" s="10">
        <v>562</v>
      </c>
      <c r="N1683" s="10">
        <v>68401</v>
      </c>
      <c r="O1683" s="10">
        <v>44071</v>
      </c>
      <c r="P1683" s="10">
        <v>112472</v>
      </c>
    </row>
    <row r="1684" spans="1:16" ht="27" customHeight="1" x14ac:dyDescent="0.2">
      <c r="A1684" s="9" t="s">
        <v>6097</v>
      </c>
      <c r="B1684" s="10" t="s">
        <v>6175</v>
      </c>
      <c r="C1684" s="11" t="s">
        <v>18</v>
      </c>
      <c r="D1684" s="11" t="s">
        <v>19</v>
      </c>
      <c r="E1684" s="11" t="s">
        <v>19</v>
      </c>
      <c r="F1684" s="11" t="s">
        <v>6176</v>
      </c>
      <c r="G1684" s="11" t="s">
        <v>83</v>
      </c>
      <c r="H1684" s="11" t="s">
        <v>6177</v>
      </c>
      <c r="I1684" s="11" t="s">
        <v>6178</v>
      </c>
      <c r="J1684" s="12">
        <v>0.88980000000000004</v>
      </c>
      <c r="K1684" s="13">
        <v>13</v>
      </c>
      <c r="L1684" s="14">
        <v>6757</v>
      </c>
      <c r="M1684" s="10">
        <v>3917</v>
      </c>
      <c r="N1684" s="10">
        <v>746660</v>
      </c>
      <c r="O1684" s="10">
        <v>307169</v>
      </c>
      <c r="P1684" s="10">
        <v>1053829</v>
      </c>
    </row>
    <row r="1685" spans="1:16" ht="27" customHeight="1" x14ac:dyDescent="0.2">
      <c r="A1685" s="9" t="s">
        <v>6097</v>
      </c>
      <c r="B1685" s="10" t="s">
        <v>6175</v>
      </c>
      <c r="C1685" s="11" t="s">
        <v>6179</v>
      </c>
      <c r="D1685" s="11" t="s">
        <v>6180</v>
      </c>
      <c r="E1685" s="11" t="s">
        <v>26</v>
      </c>
      <c r="F1685" s="11" t="s">
        <v>6181</v>
      </c>
      <c r="G1685" s="11" t="s">
        <v>28</v>
      </c>
      <c r="H1685" s="11" t="s">
        <v>6181</v>
      </c>
      <c r="I1685" s="11" t="s">
        <v>6182</v>
      </c>
      <c r="J1685" s="12">
        <v>0.62839999999999996</v>
      </c>
      <c r="K1685" s="13">
        <v>1</v>
      </c>
      <c r="L1685" s="14">
        <v>148</v>
      </c>
      <c r="M1685" s="10">
        <v>93</v>
      </c>
      <c r="N1685" s="10">
        <v>16354</v>
      </c>
      <c r="O1685" s="10">
        <v>7293</v>
      </c>
      <c r="P1685" s="10">
        <v>23647</v>
      </c>
    </row>
    <row r="1686" spans="1:16" ht="27" customHeight="1" x14ac:dyDescent="0.2">
      <c r="A1686" s="9" t="s">
        <v>6097</v>
      </c>
      <c r="B1686" s="10" t="s">
        <v>6175</v>
      </c>
      <c r="C1686" s="11" t="s">
        <v>6183</v>
      </c>
      <c r="D1686" s="11" t="s">
        <v>6184</v>
      </c>
      <c r="E1686" s="11" t="s">
        <v>26</v>
      </c>
      <c r="F1686" s="11" t="s">
        <v>6100</v>
      </c>
      <c r="G1686" s="11" t="s">
        <v>28</v>
      </c>
      <c r="H1686" s="11" t="s">
        <v>6100</v>
      </c>
      <c r="I1686" s="11" t="s">
        <v>6101</v>
      </c>
      <c r="J1686" s="12">
        <v>0.91410000000000002</v>
      </c>
      <c r="K1686" s="13">
        <v>1</v>
      </c>
      <c r="L1686" s="14">
        <v>733</v>
      </c>
      <c r="M1686" s="10">
        <v>670</v>
      </c>
      <c r="N1686" s="10">
        <v>80998</v>
      </c>
      <c r="O1686" s="10">
        <v>52541</v>
      </c>
      <c r="P1686" s="10">
        <v>133539</v>
      </c>
    </row>
    <row r="1687" spans="1:16" ht="27" customHeight="1" x14ac:dyDescent="0.2">
      <c r="A1687" s="9" t="s">
        <v>6097</v>
      </c>
      <c r="B1687" s="10" t="s">
        <v>6175</v>
      </c>
      <c r="C1687" s="11" t="s">
        <v>6185</v>
      </c>
      <c r="D1687" s="11" t="s">
        <v>6186</v>
      </c>
      <c r="E1687" s="11" t="s">
        <v>26</v>
      </c>
      <c r="F1687" s="11" t="s">
        <v>6187</v>
      </c>
      <c r="G1687" s="11" t="s">
        <v>28</v>
      </c>
      <c r="H1687" s="11" t="s">
        <v>6187</v>
      </c>
      <c r="I1687" s="11" t="s">
        <v>6188</v>
      </c>
      <c r="J1687" s="12">
        <v>0.83650000000000002</v>
      </c>
      <c r="K1687" s="13">
        <v>1</v>
      </c>
      <c r="L1687" s="14">
        <v>312</v>
      </c>
      <c r="M1687" s="10">
        <v>261</v>
      </c>
      <c r="N1687" s="10">
        <v>34477</v>
      </c>
      <c r="O1687" s="10">
        <v>20467</v>
      </c>
      <c r="P1687" s="10">
        <v>54944</v>
      </c>
    </row>
    <row r="1688" spans="1:16" ht="27" customHeight="1" x14ac:dyDescent="0.2">
      <c r="A1688" s="9" t="s">
        <v>6097</v>
      </c>
      <c r="B1688" s="10" t="s">
        <v>6189</v>
      </c>
      <c r="C1688" s="11" t="s">
        <v>18</v>
      </c>
      <c r="D1688" s="11" t="s">
        <v>19</v>
      </c>
      <c r="E1688" s="11" t="s">
        <v>19</v>
      </c>
      <c r="F1688" s="11" t="s">
        <v>6190</v>
      </c>
      <c r="G1688" s="11" t="s">
        <v>83</v>
      </c>
      <c r="H1688" s="11" t="s">
        <v>6191</v>
      </c>
      <c r="I1688" s="11" t="s">
        <v>6192</v>
      </c>
      <c r="J1688" s="12">
        <v>0.61309999999999998</v>
      </c>
      <c r="K1688" s="13">
        <v>6</v>
      </c>
      <c r="L1688" s="14">
        <v>1840</v>
      </c>
      <c r="M1688" s="10">
        <v>748</v>
      </c>
      <c r="N1688" s="10">
        <v>203323</v>
      </c>
      <c r="O1688" s="10">
        <v>58658</v>
      </c>
      <c r="P1688" s="10">
        <v>261981</v>
      </c>
    </row>
    <row r="1689" spans="1:16" ht="27" customHeight="1" x14ac:dyDescent="0.2">
      <c r="A1689" s="9" t="s">
        <v>6097</v>
      </c>
      <c r="B1689" s="10" t="s">
        <v>6193</v>
      </c>
      <c r="C1689" s="11" t="s">
        <v>18</v>
      </c>
      <c r="D1689" s="11" t="s">
        <v>19</v>
      </c>
      <c r="E1689" s="11" t="s">
        <v>19</v>
      </c>
      <c r="F1689" s="11" t="s">
        <v>6194</v>
      </c>
      <c r="G1689" s="11" t="s">
        <v>83</v>
      </c>
      <c r="H1689" s="11" t="s">
        <v>6195</v>
      </c>
      <c r="I1689" s="11" t="s">
        <v>6196</v>
      </c>
      <c r="J1689" s="12">
        <v>0.1227</v>
      </c>
      <c r="K1689" s="13">
        <v>10</v>
      </c>
      <c r="L1689" s="14">
        <v>2713</v>
      </c>
      <c r="M1689" s="10">
        <v>270</v>
      </c>
      <c r="N1689" s="10">
        <v>299792</v>
      </c>
      <c r="O1689" s="10">
        <v>21173</v>
      </c>
      <c r="P1689" s="10">
        <v>320965</v>
      </c>
    </row>
    <row r="1690" spans="1:16" ht="27" customHeight="1" x14ac:dyDescent="0.2">
      <c r="A1690" s="9" t="s">
        <v>6097</v>
      </c>
      <c r="B1690" s="10" t="s">
        <v>6193</v>
      </c>
      <c r="C1690" s="11" t="s">
        <v>6197</v>
      </c>
      <c r="D1690" s="11" t="s">
        <v>6198</v>
      </c>
      <c r="E1690" s="11" t="s">
        <v>26</v>
      </c>
      <c r="F1690" s="11" t="s">
        <v>6199</v>
      </c>
      <c r="G1690" s="11" t="s">
        <v>28</v>
      </c>
      <c r="H1690" s="11" t="s">
        <v>6199</v>
      </c>
      <c r="I1690" s="11" t="s">
        <v>6200</v>
      </c>
      <c r="J1690" s="12">
        <v>3.09E-2</v>
      </c>
      <c r="K1690" s="13">
        <v>1</v>
      </c>
      <c r="L1690" s="14">
        <v>356</v>
      </c>
      <c r="M1690" s="10">
        <v>11</v>
      </c>
      <c r="N1690" s="10">
        <v>39339</v>
      </c>
      <c r="O1690" s="10">
        <v>863</v>
      </c>
      <c r="P1690" s="10">
        <v>40202</v>
      </c>
    </row>
    <row r="1691" spans="1:16" ht="27" customHeight="1" x14ac:dyDescent="0.2">
      <c r="A1691" s="9" t="s">
        <v>6097</v>
      </c>
      <c r="B1691" s="10" t="s">
        <v>6201</v>
      </c>
      <c r="C1691" s="11" t="s">
        <v>18</v>
      </c>
      <c r="D1691" s="11" t="s">
        <v>19</v>
      </c>
      <c r="E1691" s="11" t="s">
        <v>19</v>
      </c>
      <c r="F1691" s="11" t="s">
        <v>6202</v>
      </c>
      <c r="G1691" s="11" t="s">
        <v>83</v>
      </c>
      <c r="H1691" s="11" t="s">
        <v>6203</v>
      </c>
      <c r="I1691" s="11" t="s">
        <v>6204</v>
      </c>
      <c r="J1691" s="12">
        <v>0.62749999999999995</v>
      </c>
      <c r="K1691" s="13">
        <v>23</v>
      </c>
      <c r="L1691" s="14">
        <v>10300</v>
      </c>
      <c r="M1691" s="10">
        <v>2932</v>
      </c>
      <c r="N1691" s="10">
        <v>1138168</v>
      </c>
      <c r="O1691" s="10">
        <v>229923</v>
      </c>
      <c r="P1691" s="10">
        <v>1368091</v>
      </c>
    </row>
    <row r="1692" spans="1:16" ht="27" customHeight="1" x14ac:dyDescent="0.2">
      <c r="A1692" s="9" t="s">
        <v>6097</v>
      </c>
      <c r="B1692" s="10" t="s">
        <v>6205</v>
      </c>
      <c r="C1692" s="11" t="s">
        <v>18</v>
      </c>
      <c r="D1692" s="11" t="s">
        <v>19</v>
      </c>
      <c r="E1692" s="11" t="s">
        <v>19</v>
      </c>
      <c r="F1692" s="11" t="s">
        <v>6206</v>
      </c>
      <c r="G1692" s="11" t="s">
        <v>83</v>
      </c>
      <c r="H1692" s="11" t="s">
        <v>6100</v>
      </c>
      <c r="I1692" s="11" t="s">
        <v>6101</v>
      </c>
      <c r="J1692" s="12">
        <v>0.91410000000000002</v>
      </c>
      <c r="K1692" s="13">
        <v>8</v>
      </c>
      <c r="L1692" s="14">
        <v>8899</v>
      </c>
      <c r="M1692" s="10">
        <v>1825</v>
      </c>
      <c r="N1692" s="10">
        <v>983353</v>
      </c>
      <c r="O1692" s="10">
        <v>143116</v>
      </c>
      <c r="P1692" s="10">
        <v>1126469</v>
      </c>
    </row>
    <row r="1693" spans="1:16" ht="27" customHeight="1" x14ac:dyDescent="0.2">
      <c r="A1693" s="9" t="s">
        <v>6097</v>
      </c>
      <c r="B1693" s="10" t="s">
        <v>6205</v>
      </c>
      <c r="C1693" s="11" t="s">
        <v>6207</v>
      </c>
      <c r="D1693" s="11" t="s">
        <v>6208</v>
      </c>
      <c r="E1693" s="11" t="s">
        <v>26</v>
      </c>
      <c r="F1693" s="11" t="s">
        <v>6209</v>
      </c>
      <c r="G1693" s="11" t="s">
        <v>28</v>
      </c>
      <c r="H1693" s="11" t="s">
        <v>6100</v>
      </c>
      <c r="I1693" s="11" t="s">
        <v>6101</v>
      </c>
      <c r="J1693" s="12">
        <v>0.91410000000000002</v>
      </c>
      <c r="K1693" s="13">
        <v>1</v>
      </c>
      <c r="L1693" s="14">
        <v>545</v>
      </c>
      <c r="M1693" s="10">
        <v>33</v>
      </c>
      <c r="N1693" s="10">
        <v>60223</v>
      </c>
      <c r="O1693" s="10">
        <v>2588</v>
      </c>
      <c r="P1693" s="10">
        <v>62811</v>
      </c>
    </row>
    <row r="1694" spans="1:16" ht="27" customHeight="1" x14ac:dyDescent="0.2">
      <c r="A1694" s="9" t="s">
        <v>6097</v>
      </c>
      <c r="B1694" s="10" t="s">
        <v>6210</v>
      </c>
      <c r="C1694" s="11" t="s">
        <v>18</v>
      </c>
      <c r="D1694" s="11" t="s">
        <v>19</v>
      </c>
      <c r="E1694" s="11" t="s">
        <v>19</v>
      </c>
      <c r="F1694" s="11" t="s">
        <v>6211</v>
      </c>
      <c r="G1694" s="11" t="s">
        <v>83</v>
      </c>
      <c r="H1694" s="11" t="s">
        <v>6100</v>
      </c>
      <c r="I1694" s="11" t="s">
        <v>6101</v>
      </c>
      <c r="J1694" s="12">
        <v>0.91410000000000002</v>
      </c>
      <c r="K1694" s="13">
        <v>7</v>
      </c>
      <c r="L1694" s="14">
        <v>8565</v>
      </c>
      <c r="M1694" s="10">
        <v>2159</v>
      </c>
      <c r="N1694" s="10">
        <v>946447</v>
      </c>
      <c r="O1694" s="10">
        <v>169306</v>
      </c>
      <c r="P1694" s="10">
        <v>1115753</v>
      </c>
    </row>
    <row r="1695" spans="1:16" ht="27" customHeight="1" x14ac:dyDescent="0.2">
      <c r="A1695" s="9" t="s">
        <v>6097</v>
      </c>
      <c r="B1695" s="10" t="s">
        <v>6210</v>
      </c>
      <c r="C1695" s="11" t="s">
        <v>6212</v>
      </c>
      <c r="D1695" s="11" t="s">
        <v>6213</v>
      </c>
      <c r="E1695" s="11" t="s">
        <v>26</v>
      </c>
      <c r="F1695" s="11" t="s">
        <v>6214</v>
      </c>
      <c r="G1695" s="11" t="s">
        <v>28</v>
      </c>
      <c r="H1695" s="11" t="s">
        <v>6100</v>
      </c>
      <c r="I1695" s="11" t="s">
        <v>6101</v>
      </c>
      <c r="J1695" s="12">
        <v>0.91410000000000002</v>
      </c>
      <c r="K1695" s="13">
        <v>1</v>
      </c>
      <c r="L1695" s="14">
        <v>389</v>
      </c>
      <c r="M1695" s="10">
        <v>234</v>
      </c>
      <c r="N1695" s="10">
        <v>42985</v>
      </c>
      <c r="O1695" s="10">
        <v>18350</v>
      </c>
      <c r="P1695" s="10">
        <v>61335</v>
      </c>
    </row>
    <row r="1696" spans="1:16" ht="27" customHeight="1" x14ac:dyDescent="0.2">
      <c r="A1696" s="9" t="s">
        <v>6097</v>
      </c>
      <c r="B1696" s="10" t="s">
        <v>6210</v>
      </c>
      <c r="C1696" s="11" t="s">
        <v>6215</v>
      </c>
      <c r="D1696" s="11" t="s">
        <v>6216</v>
      </c>
      <c r="E1696" s="11" t="s">
        <v>26</v>
      </c>
      <c r="F1696" s="11" t="s">
        <v>6217</v>
      </c>
      <c r="G1696" s="11" t="s">
        <v>28</v>
      </c>
      <c r="H1696" s="11" t="s">
        <v>6100</v>
      </c>
      <c r="I1696" s="11" t="s">
        <v>6101</v>
      </c>
      <c r="J1696" s="12">
        <v>0.91410000000000002</v>
      </c>
      <c r="K1696" s="13">
        <v>1</v>
      </c>
      <c r="L1696" s="14">
        <v>295</v>
      </c>
      <c r="M1696" s="10">
        <v>214</v>
      </c>
      <c r="N1696" s="10">
        <v>32598</v>
      </c>
      <c r="O1696" s="10">
        <v>16782</v>
      </c>
      <c r="P1696" s="10">
        <v>49380</v>
      </c>
    </row>
    <row r="1697" spans="1:16" ht="27" customHeight="1" x14ac:dyDescent="0.2">
      <c r="A1697" s="9" t="s">
        <v>6097</v>
      </c>
      <c r="B1697" s="10" t="s">
        <v>6210</v>
      </c>
      <c r="C1697" s="11" t="s">
        <v>6218</v>
      </c>
      <c r="D1697" s="11" t="s">
        <v>6219</v>
      </c>
      <c r="E1697" s="11" t="s">
        <v>26</v>
      </c>
      <c r="F1697" s="11" t="s">
        <v>6220</v>
      </c>
      <c r="G1697" s="11" t="s">
        <v>28</v>
      </c>
      <c r="H1697" s="11" t="s">
        <v>6100</v>
      </c>
      <c r="I1697" s="11" t="s">
        <v>6101</v>
      </c>
      <c r="J1697" s="12">
        <v>0.91410000000000002</v>
      </c>
      <c r="K1697" s="13">
        <v>1</v>
      </c>
      <c r="L1697" s="14">
        <v>299</v>
      </c>
      <c r="M1697" s="10">
        <v>205</v>
      </c>
      <c r="N1697" s="10">
        <v>33040</v>
      </c>
      <c r="O1697" s="10">
        <v>16076</v>
      </c>
      <c r="P1697" s="10">
        <v>49116</v>
      </c>
    </row>
    <row r="1698" spans="1:16" ht="27" customHeight="1" x14ac:dyDescent="0.2">
      <c r="A1698" s="9" t="s">
        <v>6097</v>
      </c>
      <c r="B1698" s="10" t="s">
        <v>6210</v>
      </c>
      <c r="C1698" s="11" t="s">
        <v>6221</v>
      </c>
      <c r="D1698" s="11" t="s">
        <v>6222</v>
      </c>
      <c r="E1698" s="11" t="s">
        <v>26</v>
      </c>
      <c r="F1698" s="11" t="s">
        <v>6223</v>
      </c>
      <c r="G1698" s="11" t="s">
        <v>28</v>
      </c>
      <c r="H1698" s="11" t="s">
        <v>6100</v>
      </c>
      <c r="I1698" s="11" t="s">
        <v>6101</v>
      </c>
      <c r="J1698" s="12">
        <v>0.91410000000000002</v>
      </c>
      <c r="K1698" s="13">
        <v>1</v>
      </c>
      <c r="L1698" s="14">
        <v>220</v>
      </c>
      <c r="M1698" s="10">
        <v>193</v>
      </c>
      <c r="N1698" s="10">
        <v>24310</v>
      </c>
      <c r="O1698" s="10">
        <v>15135</v>
      </c>
      <c r="P1698" s="10">
        <v>39445</v>
      </c>
    </row>
    <row r="1699" spans="1:16" ht="27" customHeight="1" x14ac:dyDescent="0.2">
      <c r="A1699" s="9" t="s">
        <v>6097</v>
      </c>
      <c r="B1699" s="10" t="s">
        <v>6224</v>
      </c>
      <c r="C1699" s="11" t="s">
        <v>18</v>
      </c>
      <c r="D1699" s="11" t="s">
        <v>19</v>
      </c>
      <c r="E1699" s="11" t="s">
        <v>19</v>
      </c>
      <c r="F1699" s="11" t="s">
        <v>6225</v>
      </c>
      <c r="G1699" s="11" t="s">
        <v>83</v>
      </c>
      <c r="H1699" s="11" t="s">
        <v>6226</v>
      </c>
      <c r="I1699" s="11" t="s">
        <v>6227</v>
      </c>
      <c r="J1699" s="12">
        <v>0.61270000000000002</v>
      </c>
      <c r="K1699" s="13">
        <v>18</v>
      </c>
      <c r="L1699" s="14">
        <v>8001</v>
      </c>
      <c r="M1699" s="10">
        <v>2917</v>
      </c>
      <c r="N1699" s="10">
        <v>884123</v>
      </c>
      <c r="O1699" s="10">
        <v>228750</v>
      </c>
      <c r="P1699" s="10">
        <v>1112873</v>
      </c>
    </row>
    <row r="1700" spans="1:16" ht="27" customHeight="1" x14ac:dyDescent="0.2">
      <c r="A1700" s="9" t="s">
        <v>6097</v>
      </c>
      <c r="B1700" s="10" t="s">
        <v>6228</v>
      </c>
      <c r="C1700" s="11" t="s">
        <v>18</v>
      </c>
      <c r="D1700" s="11" t="s">
        <v>19</v>
      </c>
      <c r="E1700" s="11" t="s">
        <v>19</v>
      </c>
      <c r="F1700" s="11" t="s">
        <v>6229</v>
      </c>
      <c r="G1700" s="11" t="s">
        <v>83</v>
      </c>
      <c r="H1700" s="11" t="s">
        <v>6229</v>
      </c>
      <c r="I1700" s="11" t="s">
        <v>6230</v>
      </c>
      <c r="J1700" s="12">
        <v>7.8200000000000006E-2</v>
      </c>
      <c r="K1700" s="13">
        <v>2</v>
      </c>
      <c r="L1700" s="14">
        <v>373</v>
      </c>
      <c r="M1700" s="10">
        <v>29</v>
      </c>
      <c r="N1700" s="10">
        <v>41218</v>
      </c>
      <c r="O1700" s="10">
        <v>2274</v>
      </c>
      <c r="P1700" s="10">
        <v>43492</v>
      </c>
    </row>
    <row r="1701" spans="1:16" ht="27" customHeight="1" x14ac:dyDescent="0.2">
      <c r="A1701" s="9" t="s">
        <v>6231</v>
      </c>
      <c r="B1701" s="10" t="s">
        <v>6232</v>
      </c>
      <c r="C1701" s="11" t="s">
        <v>18</v>
      </c>
      <c r="D1701" s="11" t="s">
        <v>19</v>
      </c>
      <c r="E1701" s="11" t="s">
        <v>19</v>
      </c>
      <c r="F1701" s="11" t="s">
        <v>6233</v>
      </c>
      <c r="G1701" s="11" t="s">
        <v>21</v>
      </c>
      <c r="H1701" s="11" t="s">
        <v>430</v>
      </c>
      <c r="I1701" s="11" t="s">
        <v>6234</v>
      </c>
      <c r="J1701" s="12">
        <v>0.93389999999999995</v>
      </c>
      <c r="K1701" s="13">
        <v>4</v>
      </c>
      <c r="L1701" s="14">
        <v>728</v>
      </c>
      <c r="M1701" s="10">
        <v>671</v>
      </c>
      <c r="N1701" s="10">
        <v>80446</v>
      </c>
      <c r="O1701" s="10">
        <v>52619</v>
      </c>
      <c r="P1701" s="10">
        <v>133065</v>
      </c>
    </row>
    <row r="1702" spans="1:16" ht="27" customHeight="1" x14ac:dyDescent="0.2">
      <c r="A1702" s="9" t="s">
        <v>6231</v>
      </c>
      <c r="B1702" s="10" t="s">
        <v>6235</v>
      </c>
      <c r="C1702" s="11" t="s">
        <v>18</v>
      </c>
      <c r="D1702" s="11" t="s">
        <v>19</v>
      </c>
      <c r="E1702" s="11" t="s">
        <v>19</v>
      </c>
      <c r="F1702" s="11" t="s">
        <v>6236</v>
      </c>
      <c r="G1702" s="11" t="s">
        <v>83</v>
      </c>
      <c r="H1702" s="11" t="s">
        <v>6236</v>
      </c>
      <c r="I1702" s="11" t="s">
        <v>6237</v>
      </c>
      <c r="J1702" s="12">
        <v>0.1017</v>
      </c>
      <c r="K1702" s="13">
        <v>2</v>
      </c>
      <c r="L1702" s="14">
        <v>118</v>
      </c>
      <c r="M1702" s="10">
        <v>12</v>
      </c>
      <c r="N1702" s="10">
        <v>13039</v>
      </c>
      <c r="O1702" s="10">
        <v>941</v>
      </c>
      <c r="P1702" s="10">
        <v>13980</v>
      </c>
    </row>
    <row r="1703" spans="1:16" ht="27" customHeight="1" x14ac:dyDescent="0.2">
      <c r="A1703" s="9" t="s">
        <v>6231</v>
      </c>
      <c r="B1703" s="10" t="s">
        <v>6238</v>
      </c>
      <c r="C1703" s="11" t="s">
        <v>18</v>
      </c>
      <c r="D1703" s="11" t="s">
        <v>19</v>
      </c>
      <c r="E1703" s="11" t="s">
        <v>19</v>
      </c>
      <c r="F1703" s="11" t="s">
        <v>6239</v>
      </c>
      <c r="G1703" s="11" t="s">
        <v>83</v>
      </c>
      <c r="H1703" s="11" t="s">
        <v>6240</v>
      </c>
      <c r="I1703" s="11" t="s">
        <v>6241</v>
      </c>
      <c r="J1703" s="12">
        <v>0.48149999999999998</v>
      </c>
      <c r="K1703" s="13">
        <v>2</v>
      </c>
      <c r="L1703" s="14">
        <v>189</v>
      </c>
      <c r="M1703" s="10">
        <v>91</v>
      </c>
      <c r="N1703" s="10">
        <v>20885</v>
      </c>
      <c r="O1703" s="10">
        <v>7136</v>
      </c>
      <c r="P1703" s="10">
        <v>28021</v>
      </c>
    </row>
    <row r="1704" spans="1:16" ht="27" customHeight="1" x14ac:dyDescent="0.2">
      <c r="A1704" s="9" t="s">
        <v>6231</v>
      </c>
      <c r="B1704" s="10" t="s">
        <v>6238</v>
      </c>
      <c r="C1704" s="11" t="s">
        <v>6242</v>
      </c>
      <c r="D1704" s="11" t="s">
        <v>6243</v>
      </c>
      <c r="E1704" s="11" t="s">
        <v>26</v>
      </c>
      <c r="F1704" s="11" t="s">
        <v>6244</v>
      </c>
      <c r="G1704" s="11" t="s">
        <v>28</v>
      </c>
      <c r="H1704" s="11" t="s">
        <v>6244</v>
      </c>
      <c r="I1704" s="11" t="s">
        <v>6245</v>
      </c>
      <c r="J1704" s="12">
        <v>0.38319999999999999</v>
      </c>
      <c r="K1704" s="13">
        <v>1</v>
      </c>
      <c r="L1704" s="14">
        <v>368</v>
      </c>
      <c r="M1704" s="10">
        <v>141</v>
      </c>
      <c r="N1704" s="10">
        <v>40665</v>
      </c>
      <c r="O1704" s="10">
        <v>11057</v>
      </c>
      <c r="P1704" s="10">
        <v>51722</v>
      </c>
    </row>
    <row r="1705" spans="1:16" ht="27" customHeight="1" x14ac:dyDescent="0.2">
      <c r="A1705" s="9" t="s">
        <v>6231</v>
      </c>
      <c r="B1705" s="10" t="s">
        <v>6238</v>
      </c>
      <c r="C1705" s="11" t="s">
        <v>6246</v>
      </c>
      <c r="D1705" s="11" t="s">
        <v>6247</v>
      </c>
      <c r="E1705" s="11" t="s">
        <v>26</v>
      </c>
      <c r="F1705" s="11" t="s">
        <v>6248</v>
      </c>
      <c r="G1705" s="11" t="s">
        <v>28</v>
      </c>
      <c r="H1705" s="11" t="s">
        <v>6248</v>
      </c>
      <c r="I1705" s="11" t="s">
        <v>6249</v>
      </c>
      <c r="J1705" s="12">
        <v>0.23680000000000001</v>
      </c>
      <c r="K1705" s="13">
        <v>1</v>
      </c>
      <c r="L1705" s="14">
        <v>321</v>
      </c>
      <c r="M1705" s="10">
        <v>76</v>
      </c>
      <c r="N1705" s="10">
        <v>35471</v>
      </c>
      <c r="O1705" s="10">
        <v>5960</v>
      </c>
      <c r="P1705" s="10">
        <v>41431</v>
      </c>
    </row>
    <row r="1706" spans="1:16" ht="27" customHeight="1" x14ac:dyDescent="0.2">
      <c r="A1706" s="9" t="s">
        <v>6231</v>
      </c>
      <c r="B1706" s="10" t="s">
        <v>6238</v>
      </c>
      <c r="C1706" s="11" t="s">
        <v>6250</v>
      </c>
      <c r="D1706" s="11" t="s">
        <v>6251</v>
      </c>
      <c r="E1706" s="11" t="s">
        <v>26</v>
      </c>
      <c r="F1706" s="11" t="s">
        <v>6252</v>
      </c>
      <c r="G1706" s="11" t="s">
        <v>28</v>
      </c>
      <c r="H1706" s="11" t="s">
        <v>6252</v>
      </c>
      <c r="I1706" s="11" t="s">
        <v>6253</v>
      </c>
      <c r="J1706" s="12">
        <v>0.2</v>
      </c>
      <c r="K1706" s="13">
        <v>1</v>
      </c>
      <c r="L1706" s="14">
        <v>240</v>
      </c>
      <c r="M1706" s="10">
        <v>48</v>
      </c>
      <c r="N1706" s="10">
        <v>26520</v>
      </c>
      <c r="O1706" s="10">
        <v>3764</v>
      </c>
      <c r="P1706" s="10">
        <v>30284</v>
      </c>
    </row>
    <row r="1707" spans="1:16" ht="27" customHeight="1" x14ac:dyDescent="0.2">
      <c r="A1707" s="9" t="s">
        <v>6231</v>
      </c>
      <c r="B1707" s="10" t="s">
        <v>6238</v>
      </c>
      <c r="C1707" s="11" t="s">
        <v>6254</v>
      </c>
      <c r="D1707" s="11" t="s">
        <v>6255</v>
      </c>
      <c r="E1707" s="11" t="s">
        <v>26</v>
      </c>
      <c r="F1707" s="11" t="s">
        <v>6256</v>
      </c>
      <c r="G1707" s="11" t="s">
        <v>28</v>
      </c>
      <c r="H1707" s="11" t="s">
        <v>6256</v>
      </c>
      <c r="I1707" s="11" t="s">
        <v>6257</v>
      </c>
      <c r="J1707" s="12">
        <v>0.18179999999999999</v>
      </c>
      <c r="K1707" s="13">
        <v>1</v>
      </c>
      <c r="L1707" s="14">
        <v>297</v>
      </c>
      <c r="M1707" s="10">
        <v>54</v>
      </c>
      <c r="N1707" s="10">
        <v>32819</v>
      </c>
      <c r="O1707" s="10">
        <v>4235</v>
      </c>
      <c r="P1707" s="10">
        <v>37054</v>
      </c>
    </row>
    <row r="1708" spans="1:16" ht="27" customHeight="1" x14ac:dyDescent="0.2">
      <c r="A1708" s="9" t="s">
        <v>6231</v>
      </c>
      <c r="B1708" s="10" t="s">
        <v>6258</v>
      </c>
      <c r="C1708" s="11" t="s">
        <v>18</v>
      </c>
      <c r="D1708" s="11" t="s">
        <v>19</v>
      </c>
      <c r="E1708" s="11" t="s">
        <v>19</v>
      </c>
      <c r="F1708" s="11" t="s">
        <v>6259</v>
      </c>
      <c r="G1708" s="11" t="s">
        <v>83</v>
      </c>
      <c r="H1708" s="11" t="s">
        <v>6260</v>
      </c>
      <c r="I1708" s="11" t="s">
        <v>6261</v>
      </c>
      <c r="J1708" s="12">
        <v>0.93030000000000002</v>
      </c>
      <c r="K1708" s="13">
        <v>22</v>
      </c>
      <c r="L1708" s="14">
        <v>16959</v>
      </c>
      <c r="M1708" s="10">
        <v>13845</v>
      </c>
      <c r="N1708" s="10">
        <v>1873997</v>
      </c>
      <c r="O1708" s="10">
        <v>1085714</v>
      </c>
      <c r="P1708" s="10">
        <v>2959711</v>
      </c>
    </row>
    <row r="1709" spans="1:16" ht="27" customHeight="1" x14ac:dyDescent="0.2">
      <c r="A1709" s="9" t="s">
        <v>6231</v>
      </c>
      <c r="B1709" s="10" t="s">
        <v>6262</v>
      </c>
      <c r="C1709" s="11" t="s">
        <v>18</v>
      </c>
      <c r="D1709" s="11" t="s">
        <v>19</v>
      </c>
      <c r="E1709" s="11" t="s">
        <v>19</v>
      </c>
      <c r="F1709" s="11" t="s">
        <v>6263</v>
      </c>
      <c r="G1709" s="11" t="s">
        <v>83</v>
      </c>
      <c r="H1709" s="11" t="s">
        <v>6264</v>
      </c>
      <c r="I1709" s="11" t="s">
        <v>6265</v>
      </c>
      <c r="J1709" s="12">
        <v>0.50570000000000004</v>
      </c>
      <c r="K1709" s="13">
        <v>3</v>
      </c>
      <c r="L1709" s="14">
        <v>519</v>
      </c>
      <c r="M1709" s="10">
        <v>267</v>
      </c>
      <c r="N1709" s="10">
        <v>57351</v>
      </c>
      <c r="O1709" s="10">
        <v>20938</v>
      </c>
      <c r="P1709" s="10">
        <v>78289</v>
      </c>
    </row>
    <row r="1710" spans="1:16" ht="27" customHeight="1" x14ac:dyDescent="0.2">
      <c r="A1710" s="9" t="s">
        <v>6231</v>
      </c>
      <c r="B1710" s="10" t="s">
        <v>6266</v>
      </c>
      <c r="C1710" s="11" t="s">
        <v>18</v>
      </c>
      <c r="D1710" s="11" t="s">
        <v>19</v>
      </c>
      <c r="E1710" s="11" t="s">
        <v>19</v>
      </c>
      <c r="F1710" s="11" t="s">
        <v>6267</v>
      </c>
      <c r="G1710" s="11" t="s">
        <v>83</v>
      </c>
      <c r="H1710" s="11" t="s">
        <v>6268</v>
      </c>
      <c r="I1710" s="11" t="s">
        <v>6269</v>
      </c>
      <c r="J1710" s="12">
        <v>0.76900000000000002</v>
      </c>
      <c r="K1710" s="13">
        <v>7</v>
      </c>
      <c r="L1710" s="14">
        <v>2053</v>
      </c>
      <c r="M1710" s="10">
        <v>1425</v>
      </c>
      <c r="N1710" s="10">
        <v>226861</v>
      </c>
      <c r="O1710" s="10">
        <v>111746</v>
      </c>
      <c r="P1710" s="10">
        <v>338607</v>
      </c>
    </row>
    <row r="1711" spans="1:16" ht="27" customHeight="1" x14ac:dyDescent="0.2">
      <c r="A1711" s="9" t="s">
        <v>6231</v>
      </c>
      <c r="B1711" s="10" t="s">
        <v>6270</v>
      </c>
      <c r="C1711" s="11" t="s">
        <v>18</v>
      </c>
      <c r="D1711" s="11" t="s">
        <v>19</v>
      </c>
      <c r="E1711" s="11" t="s">
        <v>19</v>
      </c>
      <c r="F1711" s="11" t="s">
        <v>6271</v>
      </c>
      <c r="G1711" s="11" t="s">
        <v>83</v>
      </c>
      <c r="H1711" s="11" t="s">
        <v>6271</v>
      </c>
      <c r="I1711" s="11" t="s">
        <v>6272</v>
      </c>
      <c r="J1711" s="12">
        <v>5.1799999999999999E-2</v>
      </c>
      <c r="K1711" s="13">
        <v>2</v>
      </c>
      <c r="L1711" s="14">
        <v>193</v>
      </c>
      <c r="M1711" s="10">
        <v>10</v>
      </c>
      <c r="N1711" s="10">
        <v>21327</v>
      </c>
      <c r="O1711" s="10">
        <v>784</v>
      </c>
      <c r="P1711" s="10">
        <v>22111</v>
      </c>
    </row>
    <row r="1712" spans="1:16" ht="27" customHeight="1" x14ac:dyDescent="0.2">
      <c r="A1712" s="9" t="s">
        <v>6231</v>
      </c>
      <c r="B1712" s="10" t="s">
        <v>6273</v>
      </c>
      <c r="C1712" s="11" t="s">
        <v>18</v>
      </c>
      <c r="D1712" s="11" t="s">
        <v>19</v>
      </c>
      <c r="E1712" s="11" t="s">
        <v>19</v>
      </c>
      <c r="F1712" s="11" t="s">
        <v>6274</v>
      </c>
      <c r="G1712" s="11" t="s">
        <v>83</v>
      </c>
      <c r="H1712" s="11" t="s">
        <v>6275</v>
      </c>
      <c r="I1712" s="11" t="s">
        <v>6276</v>
      </c>
      <c r="J1712" s="12">
        <v>0.53490000000000004</v>
      </c>
      <c r="K1712" s="13">
        <v>3</v>
      </c>
      <c r="L1712" s="14">
        <v>202</v>
      </c>
      <c r="M1712" s="10">
        <v>106</v>
      </c>
      <c r="N1712" s="10">
        <v>22321</v>
      </c>
      <c r="O1712" s="10">
        <v>8313</v>
      </c>
      <c r="P1712" s="10">
        <v>30634</v>
      </c>
    </row>
    <row r="1713" spans="1:16" ht="27" customHeight="1" x14ac:dyDescent="0.2">
      <c r="A1713" s="9" t="s">
        <v>6231</v>
      </c>
      <c r="B1713" s="10" t="s">
        <v>6273</v>
      </c>
      <c r="C1713" s="11" t="s">
        <v>6277</v>
      </c>
      <c r="D1713" s="11" t="s">
        <v>6278</v>
      </c>
      <c r="E1713" s="11" t="s">
        <v>26</v>
      </c>
      <c r="F1713" s="11" t="s">
        <v>6279</v>
      </c>
      <c r="G1713" s="11" t="s">
        <v>28</v>
      </c>
      <c r="H1713" s="11" t="s">
        <v>6279</v>
      </c>
      <c r="I1713" s="11" t="s">
        <v>6280</v>
      </c>
      <c r="J1713" s="12">
        <v>0.21820000000000001</v>
      </c>
      <c r="K1713" s="13">
        <v>1</v>
      </c>
      <c r="L1713" s="14">
        <v>165</v>
      </c>
      <c r="M1713" s="10">
        <v>36</v>
      </c>
      <c r="N1713" s="10">
        <v>18233</v>
      </c>
      <c r="O1713" s="10">
        <v>2823</v>
      </c>
      <c r="P1713" s="10">
        <v>21056</v>
      </c>
    </row>
    <row r="1714" spans="1:16" ht="27" customHeight="1" x14ac:dyDescent="0.2">
      <c r="A1714" s="9" t="s">
        <v>6231</v>
      </c>
      <c r="B1714" s="10" t="s">
        <v>6281</v>
      </c>
      <c r="C1714" s="11" t="s">
        <v>18</v>
      </c>
      <c r="D1714" s="11" t="s">
        <v>19</v>
      </c>
      <c r="E1714" s="11" t="s">
        <v>19</v>
      </c>
      <c r="F1714" s="11" t="s">
        <v>6282</v>
      </c>
      <c r="G1714" s="11" t="s">
        <v>83</v>
      </c>
      <c r="H1714" s="11" t="s">
        <v>6283</v>
      </c>
      <c r="I1714" s="11" t="s">
        <v>6284</v>
      </c>
      <c r="J1714" s="12">
        <v>0.47920000000000001</v>
      </c>
      <c r="K1714" s="13">
        <v>11</v>
      </c>
      <c r="L1714" s="14">
        <v>3553</v>
      </c>
      <c r="M1714" s="10">
        <v>1199</v>
      </c>
      <c r="N1714" s="10">
        <v>392615</v>
      </c>
      <c r="O1714" s="10">
        <v>94026</v>
      </c>
      <c r="P1714" s="10">
        <v>486641</v>
      </c>
    </row>
    <row r="1715" spans="1:16" ht="27" customHeight="1" x14ac:dyDescent="0.2">
      <c r="A1715" s="9" t="s">
        <v>6231</v>
      </c>
      <c r="B1715" s="10" t="s">
        <v>6285</v>
      </c>
      <c r="C1715" s="11" t="s">
        <v>18</v>
      </c>
      <c r="D1715" s="11" t="s">
        <v>19</v>
      </c>
      <c r="E1715" s="11" t="s">
        <v>19</v>
      </c>
      <c r="F1715" s="11" t="s">
        <v>6286</v>
      </c>
      <c r="G1715" s="11" t="s">
        <v>83</v>
      </c>
      <c r="H1715" s="11" t="s">
        <v>6287</v>
      </c>
      <c r="I1715" s="11" t="s">
        <v>6288</v>
      </c>
      <c r="J1715" s="12">
        <v>0.87970000000000004</v>
      </c>
      <c r="K1715" s="13">
        <v>4</v>
      </c>
      <c r="L1715" s="14">
        <v>1294</v>
      </c>
      <c r="M1715" s="10">
        <v>1143</v>
      </c>
      <c r="N1715" s="10">
        <v>142990</v>
      </c>
      <c r="O1715" s="10">
        <v>89633</v>
      </c>
      <c r="P1715" s="10">
        <v>232623</v>
      </c>
    </row>
    <row r="1716" spans="1:16" ht="27" customHeight="1" x14ac:dyDescent="0.2">
      <c r="A1716" s="9" t="s">
        <v>6231</v>
      </c>
      <c r="B1716" s="10" t="s">
        <v>6289</v>
      </c>
      <c r="C1716" s="11" t="s">
        <v>18</v>
      </c>
      <c r="D1716" s="11" t="s">
        <v>19</v>
      </c>
      <c r="E1716" s="11" t="s">
        <v>19</v>
      </c>
      <c r="F1716" s="11" t="s">
        <v>6290</v>
      </c>
      <c r="G1716" s="11" t="s">
        <v>83</v>
      </c>
      <c r="H1716" s="11" t="s">
        <v>6290</v>
      </c>
      <c r="I1716" s="11" t="s">
        <v>6291</v>
      </c>
      <c r="J1716" s="12">
        <v>0.43120000000000003</v>
      </c>
      <c r="K1716" s="13">
        <v>4</v>
      </c>
      <c r="L1716" s="14">
        <v>849</v>
      </c>
      <c r="M1716" s="10">
        <v>265</v>
      </c>
      <c r="N1716" s="10">
        <v>93815</v>
      </c>
      <c r="O1716" s="10">
        <v>20782</v>
      </c>
      <c r="P1716" s="10">
        <v>114597</v>
      </c>
    </row>
    <row r="1717" spans="1:16" ht="27" customHeight="1" x14ac:dyDescent="0.2">
      <c r="A1717" s="9" t="s">
        <v>6231</v>
      </c>
      <c r="B1717" s="10" t="s">
        <v>6292</v>
      </c>
      <c r="C1717" s="11" t="s">
        <v>18</v>
      </c>
      <c r="D1717" s="11" t="s">
        <v>19</v>
      </c>
      <c r="E1717" s="11" t="s">
        <v>19</v>
      </c>
      <c r="F1717" s="11" t="s">
        <v>6293</v>
      </c>
      <c r="G1717" s="11" t="s">
        <v>83</v>
      </c>
      <c r="H1717" s="11" t="s">
        <v>6294</v>
      </c>
      <c r="I1717" s="11" t="s">
        <v>6295</v>
      </c>
      <c r="J1717" s="12">
        <v>0.83860000000000001</v>
      </c>
      <c r="K1717" s="13">
        <v>17</v>
      </c>
      <c r="L1717" s="14">
        <v>9060</v>
      </c>
      <c r="M1717" s="10">
        <v>5661</v>
      </c>
      <c r="N1717" s="10">
        <v>1001146</v>
      </c>
      <c r="O1717" s="10">
        <v>443929</v>
      </c>
      <c r="P1717" s="10">
        <v>1445075</v>
      </c>
    </row>
    <row r="1718" spans="1:16" ht="27" customHeight="1" x14ac:dyDescent="0.2">
      <c r="A1718" s="9" t="s">
        <v>6231</v>
      </c>
      <c r="B1718" s="10" t="s">
        <v>6292</v>
      </c>
      <c r="C1718" s="11" t="s">
        <v>6296</v>
      </c>
      <c r="D1718" s="11" t="s">
        <v>6297</v>
      </c>
      <c r="E1718" s="11" t="s">
        <v>26</v>
      </c>
      <c r="F1718" s="11" t="s">
        <v>6298</v>
      </c>
      <c r="G1718" s="11" t="s">
        <v>28</v>
      </c>
      <c r="H1718" s="11" t="s">
        <v>6298</v>
      </c>
      <c r="I1718" s="11" t="s">
        <v>6299</v>
      </c>
      <c r="J1718" s="12">
        <v>0.49669999999999997</v>
      </c>
      <c r="K1718" s="13">
        <v>1</v>
      </c>
      <c r="L1718" s="14">
        <v>453</v>
      </c>
      <c r="M1718" s="10">
        <v>225</v>
      </c>
      <c r="N1718" s="10">
        <v>50057</v>
      </c>
      <c r="O1718" s="10">
        <v>17644</v>
      </c>
      <c r="P1718" s="10">
        <v>67701</v>
      </c>
    </row>
    <row r="1719" spans="1:16" ht="27" customHeight="1" x14ac:dyDescent="0.2">
      <c r="A1719" s="9" t="s">
        <v>6231</v>
      </c>
      <c r="B1719" s="10" t="s">
        <v>6300</v>
      </c>
      <c r="C1719" s="11" t="s">
        <v>18</v>
      </c>
      <c r="D1719" s="11" t="s">
        <v>19</v>
      </c>
      <c r="E1719" s="11" t="s">
        <v>19</v>
      </c>
      <c r="F1719" s="11" t="s">
        <v>6301</v>
      </c>
      <c r="G1719" s="11" t="s">
        <v>83</v>
      </c>
      <c r="H1719" s="11" t="s">
        <v>6301</v>
      </c>
      <c r="I1719" s="11" t="s">
        <v>6302</v>
      </c>
      <c r="J1719" s="12">
        <v>0.2515</v>
      </c>
      <c r="K1719" s="13">
        <v>2</v>
      </c>
      <c r="L1719" s="14">
        <v>163</v>
      </c>
      <c r="M1719" s="10">
        <v>41</v>
      </c>
      <c r="N1719" s="10">
        <v>18012</v>
      </c>
      <c r="O1719" s="10">
        <v>3215</v>
      </c>
      <c r="P1719" s="10">
        <v>21227</v>
      </c>
    </row>
    <row r="1720" spans="1:16" ht="27" customHeight="1" x14ac:dyDescent="0.2">
      <c r="A1720" s="9" t="s">
        <v>6231</v>
      </c>
      <c r="B1720" s="10" t="s">
        <v>6303</v>
      </c>
      <c r="C1720" s="11" t="s">
        <v>18</v>
      </c>
      <c r="D1720" s="11" t="s">
        <v>19</v>
      </c>
      <c r="E1720" s="11" t="s">
        <v>19</v>
      </c>
      <c r="F1720" s="11" t="s">
        <v>6304</v>
      </c>
      <c r="G1720" s="11" t="s">
        <v>83</v>
      </c>
      <c r="H1720" s="11" t="s">
        <v>6305</v>
      </c>
      <c r="I1720" s="11" t="s">
        <v>6306</v>
      </c>
      <c r="J1720" s="12">
        <v>5.3800000000000001E-2</v>
      </c>
      <c r="K1720" s="13">
        <v>2</v>
      </c>
      <c r="L1720" s="14">
        <v>353</v>
      </c>
      <c r="M1720" s="10">
        <v>19</v>
      </c>
      <c r="N1720" s="10">
        <v>39007</v>
      </c>
      <c r="O1720" s="10">
        <v>1490</v>
      </c>
      <c r="P1720" s="10">
        <v>40497</v>
      </c>
    </row>
    <row r="1721" spans="1:16" ht="27" customHeight="1" x14ac:dyDescent="0.2">
      <c r="A1721" s="9" t="s">
        <v>6231</v>
      </c>
      <c r="B1721" s="10" t="s">
        <v>6307</v>
      </c>
      <c r="C1721" s="11" t="s">
        <v>18</v>
      </c>
      <c r="D1721" s="11" t="s">
        <v>19</v>
      </c>
      <c r="E1721" s="11" t="s">
        <v>19</v>
      </c>
      <c r="F1721" s="11" t="s">
        <v>6308</v>
      </c>
      <c r="G1721" s="11" t="s">
        <v>83</v>
      </c>
      <c r="H1721" s="11" t="s">
        <v>6309</v>
      </c>
      <c r="I1721" s="11" t="s">
        <v>6310</v>
      </c>
      <c r="J1721" s="12">
        <v>0.82840000000000003</v>
      </c>
      <c r="K1721" s="13">
        <v>10</v>
      </c>
      <c r="L1721" s="14">
        <v>3998</v>
      </c>
      <c r="M1721" s="10">
        <v>1802</v>
      </c>
      <c r="N1721" s="10">
        <v>441786</v>
      </c>
      <c r="O1721" s="10">
        <v>141311</v>
      </c>
      <c r="P1721" s="10">
        <v>583097</v>
      </c>
    </row>
    <row r="1722" spans="1:16" ht="27" customHeight="1" x14ac:dyDescent="0.2">
      <c r="A1722" s="9" t="s">
        <v>6231</v>
      </c>
      <c r="B1722" s="10" t="s">
        <v>6307</v>
      </c>
      <c r="C1722" s="11" t="s">
        <v>6311</v>
      </c>
      <c r="D1722" s="11" t="s">
        <v>6312</v>
      </c>
      <c r="E1722" s="11" t="s">
        <v>57</v>
      </c>
      <c r="F1722" s="11" t="s">
        <v>6313</v>
      </c>
      <c r="G1722" s="11" t="s">
        <v>28</v>
      </c>
      <c r="H1722" s="11" t="s">
        <v>6313</v>
      </c>
      <c r="I1722" s="11" t="s">
        <v>6314</v>
      </c>
      <c r="J1722" s="12">
        <v>0.28029999999999999</v>
      </c>
      <c r="K1722" s="13">
        <v>1</v>
      </c>
      <c r="L1722" s="14">
        <v>767</v>
      </c>
      <c r="M1722" s="10">
        <v>215</v>
      </c>
      <c r="N1722" s="10">
        <v>84755</v>
      </c>
      <c r="O1722" s="10">
        <v>16860</v>
      </c>
      <c r="P1722" s="10">
        <v>101615</v>
      </c>
    </row>
    <row r="1723" spans="1:16" ht="27" customHeight="1" x14ac:dyDescent="0.2">
      <c r="A1723" s="9" t="s">
        <v>6231</v>
      </c>
      <c r="B1723" s="10" t="s">
        <v>6315</v>
      </c>
      <c r="C1723" s="11" t="s">
        <v>18</v>
      </c>
      <c r="D1723" s="11" t="s">
        <v>19</v>
      </c>
      <c r="E1723" s="11" t="s">
        <v>19</v>
      </c>
      <c r="F1723" s="11" t="s">
        <v>6316</v>
      </c>
      <c r="G1723" s="11" t="s">
        <v>83</v>
      </c>
      <c r="H1723" s="11" t="s">
        <v>430</v>
      </c>
      <c r="I1723" s="11" t="s">
        <v>6234</v>
      </c>
      <c r="J1723" s="12">
        <v>0.93389999999999995</v>
      </c>
      <c r="K1723" s="13">
        <v>5</v>
      </c>
      <c r="L1723" s="14">
        <v>9251</v>
      </c>
      <c r="M1723" s="10">
        <v>6705</v>
      </c>
      <c r="N1723" s="10">
        <v>1022250</v>
      </c>
      <c r="O1723" s="10">
        <v>525800</v>
      </c>
      <c r="P1723" s="10">
        <v>1548050</v>
      </c>
    </row>
    <row r="1724" spans="1:16" ht="27" customHeight="1" x14ac:dyDescent="0.2">
      <c r="A1724" s="9" t="s">
        <v>6231</v>
      </c>
      <c r="B1724" s="10" t="s">
        <v>6317</v>
      </c>
      <c r="C1724" s="11" t="s">
        <v>18</v>
      </c>
      <c r="D1724" s="11" t="s">
        <v>19</v>
      </c>
      <c r="E1724" s="11" t="s">
        <v>19</v>
      </c>
      <c r="F1724" s="11" t="s">
        <v>6318</v>
      </c>
      <c r="G1724" s="11" t="s">
        <v>83</v>
      </c>
      <c r="H1724" s="11" t="s">
        <v>430</v>
      </c>
      <c r="I1724" s="11" t="s">
        <v>6234</v>
      </c>
      <c r="J1724" s="12">
        <v>0.93389999999999995</v>
      </c>
      <c r="K1724" s="13">
        <v>3</v>
      </c>
      <c r="L1724" s="14">
        <v>853</v>
      </c>
      <c r="M1724" s="10">
        <v>210</v>
      </c>
      <c r="N1724" s="10">
        <v>94258</v>
      </c>
      <c r="O1724" s="10">
        <v>16468</v>
      </c>
      <c r="P1724" s="10">
        <v>110726</v>
      </c>
    </row>
    <row r="1725" spans="1:16" ht="27" customHeight="1" x14ac:dyDescent="0.2">
      <c r="A1725" s="9" t="s">
        <v>6231</v>
      </c>
      <c r="B1725" s="10" t="s">
        <v>6319</v>
      </c>
      <c r="C1725" s="11" t="s">
        <v>18</v>
      </c>
      <c r="D1725" s="11" t="s">
        <v>19</v>
      </c>
      <c r="E1725" s="11" t="s">
        <v>19</v>
      </c>
      <c r="F1725" s="11" t="s">
        <v>6320</v>
      </c>
      <c r="G1725" s="11" t="s">
        <v>83</v>
      </c>
      <c r="H1725" s="11" t="s">
        <v>6320</v>
      </c>
      <c r="I1725" s="11" t="s">
        <v>6321</v>
      </c>
      <c r="J1725" s="12">
        <v>0.38619999999999999</v>
      </c>
      <c r="K1725" s="13">
        <v>2</v>
      </c>
      <c r="L1725" s="14">
        <v>593</v>
      </c>
      <c r="M1725" s="10">
        <v>229</v>
      </c>
      <c r="N1725" s="10">
        <v>65527</v>
      </c>
      <c r="O1725" s="10">
        <v>17958</v>
      </c>
      <c r="P1725" s="10">
        <v>83485</v>
      </c>
    </row>
    <row r="1726" spans="1:16" ht="27" customHeight="1" x14ac:dyDescent="0.2">
      <c r="A1726" s="9" t="s">
        <v>6231</v>
      </c>
      <c r="B1726" s="10" t="s">
        <v>6322</v>
      </c>
      <c r="C1726" s="11" t="s">
        <v>18</v>
      </c>
      <c r="D1726" s="11" t="s">
        <v>19</v>
      </c>
      <c r="E1726" s="11" t="s">
        <v>19</v>
      </c>
      <c r="F1726" s="11" t="s">
        <v>6323</v>
      </c>
      <c r="G1726" s="11" t="s">
        <v>83</v>
      </c>
      <c r="H1726" s="11" t="s">
        <v>6324</v>
      </c>
      <c r="I1726" s="11" t="s">
        <v>6325</v>
      </c>
      <c r="J1726" s="12">
        <v>0.43590000000000001</v>
      </c>
      <c r="K1726" s="13">
        <v>2</v>
      </c>
      <c r="L1726" s="14">
        <v>39</v>
      </c>
      <c r="M1726" s="10">
        <v>17</v>
      </c>
      <c r="N1726" s="10">
        <v>4310</v>
      </c>
      <c r="O1726" s="10">
        <v>1333</v>
      </c>
      <c r="P1726" s="10">
        <v>5643</v>
      </c>
    </row>
    <row r="1727" spans="1:16" ht="27" customHeight="1" x14ac:dyDescent="0.2">
      <c r="A1727" s="9" t="s">
        <v>6231</v>
      </c>
      <c r="B1727" s="10" t="s">
        <v>6326</v>
      </c>
      <c r="C1727" s="11" t="s">
        <v>18</v>
      </c>
      <c r="D1727" s="11" t="s">
        <v>19</v>
      </c>
      <c r="E1727" s="11" t="s">
        <v>19</v>
      </c>
      <c r="F1727" s="11" t="s">
        <v>6327</v>
      </c>
      <c r="G1727" s="11" t="s">
        <v>83</v>
      </c>
      <c r="H1727" s="11" t="s">
        <v>6328</v>
      </c>
      <c r="I1727" s="11" t="s">
        <v>6329</v>
      </c>
      <c r="J1727" s="12">
        <v>0.76029999999999998</v>
      </c>
      <c r="K1727" s="13">
        <v>4</v>
      </c>
      <c r="L1727" s="14">
        <v>182</v>
      </c>
      <c r="M1727" s="10">
        <v>145</v>
      </c>
      <c r="N1727" s="10">
        <v>20112</v>
      </c>
      <c r="O1727" s="10">
        <v>11371</v>
      </c>
      <c r="P1727" s="10">
        <v>31483</v>
      </c>
    </row>
    <row r="1728" spans="1:16" ht="27" customHeight="1" x14ac:dyDescent="0.2">
      <c r="A1728" s="9" t="s">
        <v>6231</v>
      </c>
      <c r="B1728" s="10" t="s">
        <v>6326</v>
      </c>
      <c r="C1728" s="11" t="s">
        <v>6330</v>
      </c>
      <c r="D1728" s="11" t="s">
        <v>6331</v>
      </c>
      <c r="E1728" s="11" t="s">
        <v>26</v>
      </c>
      <c r="F1728" s="11" t="s">
        <v>6332</v>
      </c>
      <c r="G1728" s="11" t="s">
        <v>28</v>
      </c>
      <c r="H1728" s="11" t="s">
        <v>6332</v>
      </c>
      <c r="I1728" s="11" t="s">
        <v>6333</v>
      </c>
      <c r="J1728" s="12">
        <v>0.44919999999999999</v>
      </c>
      <c r="K1728" s="13">
        <v>1</v>
      </c>
      <c r="L1728" s="14">
        <v>118</v>
      </c>
      <c r="M1728" s="10">
        <v>53</v>
      </c>
      <c r="N1728" s="10">
        <v>13039</v>
      </c>
      <c r="O1728" s="10">
        <v>4156</v>
      </c>
      <c r="P1728" s="10">
        <v>17195</v>
      </c>
    </row>
    <row r="1729" spans="1:16" ht="27" customHeight="1" x14ac:dyDescent="0.2">
      <c r="A1729" s="9" t="s">
        <v>6231</v>
      </c>
      <c r="B1729" s="10" t="s">
        <v>6334</v>
      </c>
      <c r="C1729" s="11" t="s">
        <v>18</v>
      </c>
      <c r="D1729" s="11" t="s">
        <v>19</v>
      </c>
      <c r="E1729" s="11" t="s">
        <v>19</v>
      </c>
      <c r="F1729" s="11" t="s">
        <v>6335</v>
      </c>
      <c r="G1729" s="11" t="s">
        <v>83</v>
      </c>
      <c r="H1729" s="11" t="s">
        <v>430</v>
      </c>
      <c r="I1729" s="11" t="s">
        <v>6234</v>
      </c>
      <c r="J1729" s="12">
        <v>0.93389999999999995</v>
      </c>
      <c r="K1729" s="13">
        <v>21</v>
      </c>
      <c r="L1729" s="14">
        <v>12535</v>
      </c>
      <c r="M1729" s="10">
        <v>7608</v>
      </c>
      <c r="N1729" s="10">
        <v>1385139</v>
      </c>
      <c r="O1729" s="10">
        <v>596611</v>
      </c>
      <c r="P1729" s="10">
        <v>1981750</v>
      </c>
    </row>
    <row r="1730" spans="1:16" ht="27" customHeight="1" x14ac:dyDescent="0.2">
      <c r="A1730" s="9" t="s">
        <v>6231</v>
      </c>
      <c r="B1730" s="10" t="s">
        <v>6334</v>
      </c>
      <c r="C1730" s="11" t="s">
        <v>6336</v>
      </c>
      <c r="D1730" s="11" t="s">
        <v>6337</v>
      </c>
      <c r="E1730" s="11" t="s">
        <v>26</v>
      </c>
      <c r="F1730" s="11" t="s">
        <v>6338</v>
      </c>
      <c r="G1730" s="11" t="s">
        <v>28</v>
      </c>
      <c r="H1730" s="11" t="s">
        <v>6338</v>
      </c>
      <c r="I1730" s="11" t="s">
        <v>6339</v>
      </c>
      <c r="J1730" s="12">
        <v>0.43680000000000002</v>
      </c>
      <c r="K1730" s="13">
        <v>1</v>
      </c>
      <c r="L1730" s="14">
        <v>767</v>
      </c>
      <c r="M1730" s="10">
        <v>335</v>
      </c>
      <c r="N1730" s="10">
        <v>84755</v>
      </c>
      <c r="O1730" s="10">
        <v>26270</v>
      </c>
      <c r="P1730" s="10">
        <v>111025</v>
      </c>
    </row>
    <row r="1731" spans="1:16" ht="27" customHeight="1" x14ac:dyDescent="0.2">
      <c r="A1731" s="9" t="s">
        <v>6231</v>
      </c>
      <c r="B1731" s="10" t="s">
        <v>6334</v>
      </c>
      <c r="C1731" s="11" t="s">
        <v>6340</v>
      </c>
      <c r="D1731" s="11" t="s">
        <v>6341</v>
      </c>
      <c r="E1731" s="11" t="s">
        <v>57</v>
      </c>
      <c r="F1731" s="11" t="s">
        <v>6342</v>
      </c>
      <c r="G1731" s="11" t="s">
        <v>28</v>
      </c>
      <c r="H1731" s="11" t="s">
        <v>6342</v>
      </c>
      <c r="I1731" s="11" t="s">
        <v>6343</v>
      </c>
      <c r="J1731" s="12">
        <v>0.24379999999999999</v>
      </c>
      <c r="K1731" s="13">
        <v>1</v>
      </c>
      <c r="L1731" s="14">
        <v>283</v>
      </c>
      <c r="M1731" s="10">
        <v>69</v>
      </c>
      <c r="N1731" s="10">
        <v>31272</v>
      </c>
      <c r="O1731" s="10">
        <v>5411</v>
      </c>
      <c r="P1731" s="10">
        <v>36683</v>
      </c>
    </row>
    <row r="1732" spans="1:16" ht="27" customHeight="1" x14ac:dyDescent="0.2">
      <c r="A1732" s="9" t="s">
        <v>6231</v>
      </c>
      <c r="B1732" s="10" t="s">
        <v>6334</v>
      </c>
      <c r="C1732" s="11" t="s">
        <v>6344</v>
      </c>
      <c r="D1732" s="11" t="s">
        <v>6345</v>
      </c>
      <c r="E1732" s="11" t="s">
        <v>26</v>
      </c>
      <c r="F1732" s="11" t="s">
        <v>6346</v>
      </c>
      <c r="G1732" s="11" t="s">
        <v>28</v>
      </c>
      <c r="H1732" s="11" t="s">
        <v>6346</v>
      </c>
      <c r="I1732" s="11" t="s">
        <v>6347</v>
      </c>
      <c r="J1732" s="12">
        <v>0.72389999999999999</v>
      </c>
      <c r="K1732" s="13">
        <v>1</v>
      </c>
      <c r="L1732" s="14">
        <v>297</v>
      </c>
      <c r="M1732" s="10">
        <v>215</v>
      </c>
      <c r="N1732" s="10">
        <v>32819</v>
      </c>
      <c r="O1732" s="10">
        <v>16860</v>
      </c>
      <c r="P1732" s="10">
        <v>49679</v>
      </c>
    </row>
    <row r="1733" spans="1:16" ht="27" customHeight="1" x14ac:dyDescent="0.2">
      <c r="A1733" s="9" t="s">
        <v>6231</v>
      </c>
      <c r="B1733" s="10" t="s">
        <v>6348</v>
      </c>
      <c r="C1733" s="11" t="s">
        <v>6349</v>
      </c>
      <c r="D1733" s="11" t="s">
        <v>6350</v>
      </c>
      <c r="E1733" s="11" t="s">
        <v>26</v>
      </c>
      <c r="F1733" s="11" t="s">
        <v>6351</v>
      </c>
      <c r="G1733" s="11" t="s">
        <v>28</v>
      </c>
      <c r="H1733" s="11" t="s">
        <v>6351</v>
      </c>
      <c r="I1733" s="11" t="s">
        <v>6352</v>
      </c>
      <c r="J1733" s="12">
        <v>0.61180000000000001</v>
      </c>
      <c r="K1733" s="13">
        <v>1</v>
      </c>
      <c r="L1733" s="14">
        <v>152</v>
      </c>
      <c r="M1733" s="10">
        <v>93</v>
      </c>
      <c r="N1733" s="10">
        <v>16796</v>
      </c>
      <c r="O1733" s="10">
        <v>7293</v>
      </c>
      <c r="P1733" s="10">
        <v>24089</v>
      </c>
    </row>
    <row r="1734" spans="1:16" ht="27" customHeight="1" x14ac:dyDescent="0.2">
      <c r="A1734" s="9" t="s">
        <v>6231</v>
      </c>
      <c r="B1734" s="10" t="s">
        <v>6353</v>
      </c>
      <c r="C1734" s="11" t="s">
        <v>6354</v>
      </c>
      <c r="D1734" s="11" t="s">
        <v>6355</v>
      </c>
      <c r="E1734" s="11" t="s">
        <v>26</v>
      </c>
      <c r="F1734" s="11" t="s">
        <v>6356</v>
      </c>
      <c r="G1734" s="11" t="s">
        <v>28</v>
      </c>
      <c r="H1734" s="11" t="s">
        <v>6356</v>
      </c>
      <c r="I1734" s="11" t="s">
        <v>6357</v>
      </c>
      <c r="J1734" s="12">
        <v>0.75890000000000002</v>
      </c>
      <c r="K1734" s="13">
        <v>1</v>
      </c>
      <c r="L1734" s="14">
        <v>112</v>
      </c>
      <c r="M1734" s="10">
        <v>85</v>
      </c>
      <c r="N1734" s="10">
        <v>12376</v>
      </c>
      <c r="O1734" s="10">
        <v>6666</v>
      </c>
      <c r="P1734" s="10">
        <v>19042</v>
      </c>
    </row>
    <row r="1735" spans="1:16" ht="27" customHeight="1" x14ac:dyDescent="0.2">
      <c r="A1735" s="9" t="s">
        <v>6231</v>
      </c>
      <c r="B1735" s="10" t="s">
        <v>6358</v>
      </c>
      <c r="C1735" s="11" t="s">
        <v>6359</v>
      </c>
      <c r="D1735" s="11" t="s">
        <v>6360</v>
      </c>
      <c r="E1735" s="11" t="s">
        <v>26</v>
      </c>
      <c r="F1735" s="11" t="s">
        <v>6361</v>
      </c>
      <c r="G1735" s="11" t="s">
        <v>28</v>
      </c>
      <c r="H1735" s="11" t="s">
        <v>6361</v>
      </c>
      <c r="I1735" s="11" t="s">
        <v>6362</v>
      </c>
      <c r="J1735" s="12">
        <v>0.3846</v>
      </c>
      <c r="K1735" s="13">
        <v>1</v>
      </c>
      <c r="L1735" s="14">
        <v>39</v>
      </c>
      <c r="M1735" s="10">
        <v>15</v>
      </c>
      <c r="N1735" s="10">
        <v>4310</v>
      </c>
      <c r="O1735" s="10">
        <v>1176</v>
      </c>
      <c r="P1735" s="10">
        <v>5486</v>
      </c>
    </row>
    <row r="1736" spans="1:16" ht="27" customHeight="1" x14ac:dyDescent="0.2">
      <c r="A1736" s="9" t="s">
        <v>6231</v>
      </c>
      <c r="B1736" s="10" t="s">
        <v>6363</v>
      </c>
      <c r="C1736" s="11" t="s">
        <v>6364</v>
      </c>
      <c r="D1736" s="11" t="s">
        <v>6365</v>
      </c>
      <c r="E1736" s="11" t="s">
        <v>26</v>
      </c>
      <c r="F1736" s="11" t="s">
        <v>6366</v>
      </c>
      <c r="G1736" s="11" t="s">
        <v>28</v>
      </c>
      <c r="H1736" s="11" t="s">
        <v>6366</v>
      </c>
      <c r="I1736" s="11" t="s">
        <v>6367</v>
      </c>
      <c r="J1736" s="12">
        <v>0.53749999999999998</v>
      </c>
      <c r="K1736" s="13">
        <v>1</v>
      </c>
      <c r="L1736" s="14">
        <v>80</v>
      </c>
      <c r="M1736" s="10">
        <v>43</v>
      </c>
      <c r="N1736" s="10">
        <v>8840</v>
      </c>
      <c r="O1736" s="10">
        <v>3372</v>
      </c>
      <c r="P1736" s="10">
        <v>12212</v>
      </c>
    </row>
    <row r="1737" spans="1:16" ht="27" customHeight="1" x14ac:dyDescent="0.2">
      <c r="A1737" s="9" t="s">
        <v>6368</v>
      </c>
      <c r="B1737" s="10" t="s">
        <v>6369</v>
      </c>
      <c r="C1737" s="11" t="s">
        <v>18</v>
      </c>
      <c r="D1737" s="11" t="s">
        <v>19</v>
      </c>
      <c r="E1737" s="11" t="s">
        <v>19</v>
      </c>
      <c r="F1737" s="11" t="s">
        <v>6370</v>
      </c>
      <c r="G1737" s="11" t="s">
        <v>21</v>
      </c>
      <c r="H1737" s="11" t="s">
        <v>6371</v>
      </c>
      <c r="I1737" s="11" t="s">
        <v>6372</v>
      </c>
      <c r="J1737" s="12">
        <v>0.91559999999999997</v>
      </c>
      <c r="K1737" s="13">
        <v>4</v>
      </c>
      <c r="L1737" s="14">
        <v>1349</v>
      </c>
      <c r="M1737" s="10">
        <v>799</v>
      </c>
      <c r="N1737" s="10">
        <v>149066</v>
      </c>
      <c r="O1737" s="10">
        <v>62657</v>
      </c>
      <c r="P1737" s="10">
        <v>211723</v>
      </c>
    </row>
    <row r="1738" spans="1:16" ht="27" customHeight="1" x14ac:dyDescent="0.2">
      <c r="A1738" s="9" t="s">
        <v>6368</v>
      </c>
      <c r="B1738" s="10" t="s">
        <v>6369</v>
      </c>
      <c r="C1738" s="11" t="s">
        <v>6373</v>
      </c>
      <c r="D1738" s="11" t="s">
        <v>6374</v>
      </c>
      <c r="E1738" s="11" t="s">
        <v>26</v>
      </c>
      <c r="F1738" s="11" t="s">
        <v>6375</v>
      </c>
      <c r="G1738" s="11" t="s">
        <v>28</v>
      </c>
      <c r="H1738" s="11" t="s">
        <v>6375</v>
      </c>
      <c r="I1738" s="11" t="s">
        <v>6376</v>
      </c>
      <c r="J1738" s="12">
        <v>1.89E-2</v>
      </c>
      <c r="K1738" s="13">
        <v>1</v>
      </c>
      <c r="L1738" s="14">
        <v>1058</v>
      </c>
      <c r="M1738" s="10">
        <v>20</v>
      </c>
      <c r="N1738" s="10">
        <v>116911</v>
      </c>
      <c r="O1738" s="10">
        <v>1568</v>
      </c>
      <c r="P1738" s="10">
        <v>118479</v>
      </c>
    </row>
    <row r="1739" spans="1:16" ht="27" customHeight="1" x14ac:dyDescent="0.2">
      <c r="A1739" s="9" t="s">
        <v>6368</v>
      </c>
      <c r="B1739" s="10" t="s">
        <v>6369</v>
      </c>
      <c r="C1739" s="11" t="s">
        <v>6377</v>
      </c>
      <c r="D1739" s="11" t="s">
        <v>6378</v>
      </c>
      <c r="E1739" s="11" t="s">
        <v>26</v>
      </c>
      <c r="F1739" s="11" t="s">
        <v>5224</v>
      </c>
      <c r="G1739" s="11" t="s">
        <v>28</v>
      </c>
      <c r="H1739" s="11" t="s">
        <v>5224</v>
      </c>
      <c r="I1739" s="11" t="s">
        <v>6379</v>
      </c>
      <c r="J1739" s="12">
        <v>0.1009</v>
      </c>
      <c r="K1739" s="13">
        <v>1</v>
      </c>
      <c r="L1739" s="14">
        <v>535</v>
      </c>
      <c r="M1739" s="10">
        <v>54</v>
      </c>
      <c r="N1739" s="10">
        <v>59118</v>
      </c>
      <c r="O1739" s="10">
        <v>4235</v>
      </c>
      <c r="P1739" s="10">
        <v>63353</v>
      </c>
    </row>
    <row r="1740" spans="1:16" ht="27" customHeight="1" x14ac:dyDescent="0.2">
      <c r="A1740" s="9" t="s">
        <v>6368</v>
      </c>
      <c r="B1740" s="10" t="s">
        <v>6369</v>
      </c>
      <c r="C1740" s="11" t="s">
        <v>6380</v>
      </c>
      <c r="D1740" s="11" t="s">
        <v>6381</v>
      </c>
      <c r="E1740" s="11" t="s">
        <v>26</v>
      </c>
      <c r="F1740" s="11" t="s">
        <v>6382</v>
      </c>
      <c r="G1740" s="11" t="s">
        <v>28</v>
      </c>
      <c r="H1740" s="11" t="s">
        <v>6371</v>
      </c>
      <c r="I1740" s="11" t="s">
        <v>6372</v>
      </c>
      <c r="J1740" s="12">
        <v>0.91559999999999997</v>
      </c>
      <c r="K1740" s="13">
        <v>1</v>
      </c>
      <c r="L1740" s="14">
        <v>713</v>
      </c>
      <c r="M1740" s="10">
        <v>214</v>
      </c>
      <c r="N1740" s="10">
        <v>78788</v>
      </c>
      <c r="O1740" s="10">
        <v>16782</v>
      </c>
      <c r="P1740" s="10">
        <v>95570</v>
      </c>
    </row>
    <row r="1741" spans="1:16" ht="27" customHeight="1" x14ac:dyDescent="0.2">
      <c r="A1741" s="9" t="s">
        <v>6368</v>
      </c>
      <c r="B1741" s="10" t="s">
        <v>6369</v>
      </c>
      <c r="C1741" s="11" t="s">
        <v>6383</v>
      </c>
      <c r="D1741" s="11" t="s">
        <v>6384</v>
      </c>
      <c r="E1741" s="11" t="s">
        <v>26</v>
      </c>
      <c r="F1741" s="11" t="s">
        <v>6385</v>
      </c>
      <c r="G1741" s="11" t="s">
        <v>28</v>
      </c>
      <c r="H1741" s="11" t="s">
        <v>6385</v>
      </c>
      <c r="I1741" s="11" t="s">
        <v>6386</v>
      </c>
      <c r="J1741" s="12">
        <v>0.73429999999999995</v>
      </c>
      <c r="K1741" s="13">
        <v>1</v>
      </c>
      <c r="L1741" s="14">
        <v>493</v>
      </c>
      <c r="M1741" s="10">
        <v>362</v>
      </c>
      <c r="N1741" s="10">
        <v>54477</v>
      </c>
      <c r="O1741" s="10">
        <v>28388</v>
      </c>
      <c r="P1741" s="10">
        <v>82865</v>
      </c>
    </row>
    <row r="1742" spans="1:16" ht="27" customHeight="1" x14ac:dyDescent="0.2">
      <c r="A1742" s="9" t="s">
        <v>6368</v>
      </c>
      <c r="B1742" s="10" t="s">
        <v>6369</v>
      </c>
      <c r="C1742" s="11" t="s">
        <v>6387</v>
      </c>
      <c r="D1742" s="11" t="s">
        <v>6388</v>
      </c>
      <c r="E1742" s="11" t="s">
        <v>26</v>
      </c>
      <c r="F1742" s="11" t="s">
        <v>6389</v>
      </c>
      <c r="G1742" s="11" t="s">
        <v>28</v>
      </c>
      <c r="H1742" s="11" t="s">
        <v>6371</v>
      </c>
      <c r="I1742" s="11" t="s">
        <v>6372</v>
      </c>
      <c r="J1742" s="12">
        <v>0.91559999999999997</v>
      </c>
      <c r="K1742" s="13">
        <v>1</v>
      </c>
      <c r="L1742" s="14">
        <v>191</v>
      </c>
      <c r="M1742" s="10">
        <v>162</v>
      </c>
      <c r="N1742" s="10">
        <v>21106</v>
      </c>
      <c r="O1742" s="10">
        <v>12704</v>
      </c>
      <c r="P1742" s="10">
        <v>33810</v>
      </c>
    </row>
    <row r="1743" spans="1:16" ht="27" customHeight="1" x14ac:dyDescent="0.2">
      <c r="A1743" s="9" t="s">
        <v>6368</v>
      </c>
      <c r="B1743" s="10" t="s">
        <v>6369</v>
      </c>
      <c r="C1743" s="11" t="s">
        <v>6390</v>
      </c>
      <c r="D1743" s="11" t="s">
        <v>6391</v>
      </c>
      <c r="E1743" s="11" t="s">
        <v>26</v>
      </c>
      <c r="F1743" s="11" t="s">
        <v>6392</v>
      </c>
      <c r="G1743" s="11" t="s">
        <v>28</v>
      </c>
      <c r="H1743" s="11" t="s">
        <v>6392</v>
      </c>
      <c r="I1743" s="11" t="s">
        <v>6393</v>
      </c>
      <c r="J1743" s="12">
        <v>0.83020000000000005</v>
      </c>
      <c r="K1743" s="13">
        <v>1</v>
      </c>
      <c r="L1743" s="14">
        <v>324</v>
      </c>
      <c r="M1743" s="10">
        <v>269</v>
      </c>
      <c r="N1743" s="10">
        <v>35803</v>
      </c>
      <c r="O1743" s="10">
        <v>21095</v>
      </c>
      <c r="P1743" s="10">
        <v>56898</v>
      </c>
    </row>
    <row r="1744" spans="1:16" ht="27" customHeight="1" x14ac:dyDescent="0.2">
      <c r="A1744" s="9" t="s">
        <v>6368</v>
      </c>
      <c r="B1744" s="10" t="s">
        <v>6369</v>
      </c>
      <c r="C1744" s="11" t="s">
        <v>6394</v>
      </c>
      <c r="D1744" s="11" t="s">
        <v>6395</v>
      </c>
      <c r="E1744" s="11" t="s">
        <v>26</v>
      </c>
      <c r="F1744" s="11" t="s">
        <v>6396</v>
      </c>
      <c r="G1744" s="11" t="s">
        <v>28</v>
      </c>
      <c r="H1744" s="11" t="s">
        <v>6396</v>
      </c>
      <c r="I1744" s="11" t="s">
        <v>6397</v>
      </c>
      <c r="J1744" s="12">
        <v>0.84279999999999999</v>
      </c>
      <c r="K1744" s="13">
        <v>1</v>
      </c>
      <c r="L1744" s="14">
        <v>369</v>
      </c>
      <c r="M1744" s="10">
        <v>311</v>
      </c>
      <c r="N1744" s="10">
        <v>40775</v>
      </c>
      <c r="O1744" s="10">
        <v>24388</v>
      </c>
      <c r="P1744" s="10">
        <v>65163</v>
      </c>
    </row>
    <row r="1745" spans="1:16" ht="27" customHeight="1" x14ac:dyDescent="0.2">
      <c r="A1745" s="9" t="s">
        <v>6368</v>
      </c>
      <c r="B1745" s="10" t="s">
        <v>6369</v>
      </c>
      <c r="C1745" s="11" t="s">
        <v>6398</v>
      </c>
      <c r="D1745" s="11" t="s">
        <v>6399</v>
      </c>
      <c r="E1745" s="11" t="s">
        <v>26</v>
      </c>
      <c r="F1745" s="11" t="s">
        <v>6400</v>
      </c>
      <c r="G1745" s="11" t="s">
        <v>28</v>
      </c>
      <c r="H1745" s="11" t="s">
        <v>6400</v>
      </c>
      <c r="I1745" s="11" t="s">
        <v>6401</v>
      </c>
      <c r="J1745" s="12">
        <v>0.52690000000000003</v>
      </c>
      <c r="K1745" s="13">
        <v>1</v>
      </c>
      <c r="L1745" s="14">
        <v>520</v>
      </c>
      <c r="M1745" s="10">
        <v>274</v>
      </c>
      <c r="N1745" s="10">
        <v>57461</v>
      </c>
      <c r="O1745" s="10">
        <v>21487</v>
      </c>
      <c r="P1745" s="10">
        <v>78948</v>
      </c>
    </row>
    <row r="1746" spans="1:16" ht="27" customHeight="1" x14ac:dyDescent="0.2">
      <c r="A1746" s="9" t="s">
        <v>6368</v>
      </c>
      <c r="B1746" s="10" t="s">
        <v>6369</v>
      </c>
      <c r="C1746" s="11" t="s">
        <v>6402</v>
      </c>
      <c r="D1746" s="11" t="s">
        <v>6403</v>
      </c>
      <c r="E1746" s="11" t="s">
        <v>26</v>
      </c>
      <c r="F1746" s="11" t="s">
        <v>6404</v>
      </c>
      <c r="G1746" s="11" t="s">
        <v>28</v>
      </c>
      <c r="H1746" s="11" t="s">
        <v>6404</v>
      </c>
      <c r="I1746" s="11" t="s">
        <v>6405</v>
      </c>
      <c r="J1746" s="12">
        <v>0.75239999999999996</v>
      </c>
      <c r="K1746" s="13">
        <v>1</v>
      </c>
      <c r="L1746" s="14">
        <v>529</v>
      </c>
      <c r="M1746" s="10">
        <v>398</v>
      </c>
      <c r="N1746" s="10">
        <v>58455</v>
      </c>
      <c r="O1746" s="10">
        <v>31211</v>
      </c>
      <c r="P1746" s="10">
        <v>89666</v>
      </c>
    </row>
    <row r="1747" spans="1:16" ht="27" customHeight="1" x14ac:dyDescent="0.2">
      <c r="A1747" s="9" t="s">
        <v>6368</v>
      </c>
      <c r="B1747" s="10" t="s">
        <v>6369</v>
      </c>
      <c r="C1747" s="11" t="s">
        <v>6406</v>
      </c>
      <c r="D1747" s="11" t="s">
        <v>6407</v>
      </c>
      <c r="E1747" s="11" t="s">
        <v>26</v>
      </c>
      <c r="F1747" s="11" t="s">
        <v>6408</v>
      </c>
      <c r="G1747" s="11" t="s">
        <v>28</v>
      </c>
      <c r="H1747" s="11" t="s">
        <v>6408</v>
      </c>
      <c r="I1747" s="11" t="s">
        <v>6409</v>
      </c>
      <c r="J1747" s="12">
        <v>0.75970000000000004</v>
      </c>
      <c r="K1747" s="13">
        <v>1</v>
      </c>
      <c r="L1747" s="14">
        <v>437</v>
      </c>
      <c r="M1747" s="10">
        <v>332</v>
      </c>
      <c r="N1747" s="10">
        <v>48289</v>
      </c>
      <c r="O1747" s="10">
        <v>26035</v>
      </c>
      <c r="P1747" s="10">
        <v>74324</v>
      </c>
    </row>
    <row r="1748" spans="1:16" ht="27" customHeight="1" x14ac:dyDescent="0.2">
      <c r="A1748" s="9" t="s">
        <v>6368</v>
      </c>
      <c r="B1748" s="10" t="s">
        <v>6369</v>
      </c>
      <c r="C1748" s="11" t="s">
        <v>6410</v>
      </c>
      <c r="D1748" s="11" t="s">
        <v>6411</v>
      </c>
      <c r="E1748" s="11" t="s">
        <v>26</v>
      </c>
      <c r="F1748" s="11" t="s">
        <v>6412</v>
      </c>
      <c r="G1748" s="11" t="s">
        <v>28</v>
      </c>
      <c r="H1748" s="11" t="s">
        <v>6371</v>
      </c>
      <c r="I1748" s="11" t="s">
        <v>6372</v>
      </c>
      <c r="J1748" s="12">
        <v>0.91559999999999997</v>
      </c>
      <c r="K1748" s="13">
        <v>1</v>
      </c>
      <c r="L1748" s="14">
        <v>314</v>
      </c>
      <c r="M1748" s="10">
        <v>73</v>
      </c>
      <c r="N1748" s="10">
        <v>34698</v>
      </c>
      <c r="O1748" s="10">
        <v>5725</v>
      </c>
      <c r="P1748" s="10">
        <v>40423</v>
      </c>
    </row>
    <row r="1749" spans="1:16" ht="27" customHeight="1" x14ac:dyDescent="0.2">
      <c r="A1749" s="9" t="s">
        <v>6368</v>
      </c>
      <c r="B1749" s="10" t="s">
        <v>6369</v>
      </c>
      <c r="C1749" s="11" t="s">
        <v>6413</v>
      </c>
      <c r="D1749" s="11" t="s">
        <v>6414</v>
      </c>
      <c r="E1749" s="11" t="s">
        <v>26</v>
      </c>
      <c r="F1749" s="11" t="s">
        <v>6415</v>
      </c>
      <c r="G1749" s="11" t="s">
        <v>28</v>
      </c>
      <c r="H1749" s="11" t="s">
        <v>6371</v>
      </c>
      <c r="I1749" s="11" t="s">
        <v>6372</v>
      </c>
      <c r="J1749" s="12">
        <v>0.91559999999999997</v>
      </c>
      <c r="K1749" s="13">
        <v>1</v>
      </c>
      <c r="L1749" s="14">
        <v>308</v>
      </c>
      <c r="M1749" s="10">
        <v>247</v>
      </c>
      <c r="N1749" s="10">
        <v>34035</v>
      </c>
      <c r="O1749" s="10">
        <v>19369</v>
      </c>
      <c r="P1749" s="10">
        <v>53404</v>
      </c>
    </row>
    <row r="1750" spans="1:16" ht="27" customHeight="1" x14ac:dyDescent="0.2">
      <c r="A1750" s="9" t="s">
        <v>6368</v>
      </c>
      <c r="B1750" s="10" t="s">
        <v>6369</v>
      </c>
      <c r="C1750" s="11" t="s">
        <v>6416</v>
      </c>
      <c r="D1750" s="11" t="s">
        <v>6417</v>
      </c>
      <c r="E1750" s="11" t="s">
        <v>26</v>
      </c>
      <c r="F1750" s="11" t="s">
        <v>6418</v>
      </c>
      <c r="G1750" s="11" t="s">
        <v>28</v>
      </c>
      <c r="H1750" s="11" t="s">
        <v>6418</v>
      </c>
      <c r="I1750" s="11" t="s">
        <v>6419</v>
      </c>
      <c r="J1750" s="12">
        <v>0.75</v>
      </c>
      <c r="K1750" s="13">
        <v>1</v>
      </c>
      <c r="L1750" s="14">
        <v>504</v>
      </c>
      <c r="M1750" s="10">
        <v>378</v>
      </c>
      <c r="N1750" s="10">
        <v>55693</v>
      </c>
      <c r="O1750" s="10">
        <v>29642</v>
      </c>
      <c r="P1750" s="10">
        <v>85335</v>
      </c>
    </row>
    <row r="1751" spans="1:16" ht="27" customHeight="1" x14ac:dyDescent="0.2">
      <c r="A1751" s="9" t="s">
        <v>6368</v>
      </c>
      <c r="B1751" s="10" t="s">
        <v>6369</v>
      </c>
      <c r="C1751" s="11" t="s">
        <v>6420</v>
      </c>
      <c r="D1751" s="11" t="s">
        <v>6421</v>
      </c>
      <c r="E1751" s="11" t="s">
        <v>26</v>
      </c>
      <c r="F1751" s="11" t="s">
        <v>6422</v>
      </c>
      <c r="G1751" s="11" t="s">
        <v>28</v>
      </c>
      <c r="H1751" s="11" t="s">
        <v>6422</v>
      </c>
      <c r="I1751" s="11" t="s">
        <v>6423</v>
      </c>
      <c r="J1751" s="12">
        <v>0.76890000000000003</v>
      </c>
      <c r="K1751" s="13">
        <v>1</v>
      </c>
      <c r="L1751" s="14">
        <v>515</v>
      </c>
      <c r="M1751" s="10">
        <v>396</v>
      </c>
      <c r="N1751" s="10">
        <v>56908</v>
      </c>
      <c r="O1751" s="10">
        <v>31054</v>
      </c>
      <c r="P1751" s="10">
        <v>87962</v>
      </c>
    </row>
    <row r="1752" spans="1:16" ht="27" customHeight="1" x14ac:dyDescent="0.2">
      <c r="A1752" s="9" t="s">
        <v>6368</v>
      </c>
      <c r="B1752" s="10" t="s">
        <v>6369</v>
      </c>
      <c r="C1752" s="11" t="s">
        <v>6424</v>
      </c>
      <c r="D1752" s="11" t="s">
        <v>6425</v>
      </c>
      <c r="E1752" s="11" t="s">
        <v>26</v>
      </c>
      <c r="F1752" s="11" t="s">
        <v>6426</v>
      </c>
      <c r="G1752" s="11" t="s">
        <v>28</v>
      </c>
      <c r="H1752" s="11" t="s">
        <v>6426</v>
      </c>
      <c r="I1752" s="11" t="s">
        <v>6427</v>
      </c>
      <c r="J1752" s="12">
        <v>0.13519999999999999</v>
      </c>
      <c r="K1752" s="13">
        <v>1</v>
      </c>
      <c r="L1752" s="14">
        <v>488</v>
      </c>
      <c r="M1752" s="10">
        <v>66</v>
      </c>
      <c r="N1752" s="10">
        <v>53925</v>
      </c>
      <c r="O1752" s="10">
        <v>5176</v>
      </c>
      <c r="P1752" s="10">
        <v>59101</v>
      </c>
    </row>
    <row r="1753" spans="1:16" ht="27" customHeight="1" x14ac:dyDescent="0.2">
      <c r="A1753" s="9" t="s">
        <v>6368</v>
      </c>
      <c r="B1753" s="10" t="s">
        <v>6369</v>
      </c>
      <c r="C1753" s="11" t="s">
        <v>6428</v>
      </c>
      <c r="D1753" s="11" t="s">
        <v>6429</v>
      </c>
      <c r="E1753" s="11" t="s">
        <v>26</v>
      </c>
      <c r="F1753" s="11" t="s">
        <v>6430</v>
      </c>
      <c r="G1753" s="11" t="s">
        <v>28</v>
      </c>
      <c r="H1753" s="11" t="s">
        <v>6430</v>
      </c>
      <c r="I1753" s="11" t="s">
        <v>6431</v>
      </c>
      <c r="J1753" s="12">
        <v>0.9002</v>
      </c>
      <c r="K1753" s="13">
        <v>1</v>
      </c>
      <c r="L1753" s="14">
        <v>451</v>
      </c>
      <c r="M1753" s="10">
        <v>406</v>
      </c>
      <c r="N1753" s="10">
        <v>49836</v>
      </c>
      <c r="O1753" s="10">
        <v>31838</v>
      </c>
      <c r="P1753" s="10">
        <v>81674</v>
      </c>
    </row>
    <row r="1754" spans="1:16" ht="27" customHeight="1" x14ac:dyDescent="0.2">
      <c r="A1754" s="9" t="s">
        <v>6368</v>
      </c>
      <c r="B1754" s="10" t="s">
        <v>6369</v>
      </c>
      <c r="C1754" s="11" t="s">
        <v>6432</v>
      </c>
      <c r="D1754" s="11" t="s">
        <v>6433</v>
      </c>
      <c r="E1754" s="11" t="s">
        <v>26</v>
      </c>
      <c r="F1754" s="11" t="s">
        <v>6434</v>
      </c>
      <c r="G1754" s="11" t="s">
        <v>28</v>
      </c>
      <c r="H1754" s="11" t="s">
        <v>6434</v>
      </c>
      <c r="I1754" s="11" t="s">
        <v>6435</v>
      </c>
      <c r="J1754" s="12">
        <v>0.75360000000000005</v>
      </c>
      <c r="K1754" s="13">
        <v>1</v>
      </c>
      <c r="L1754" s="14">
        <v>560</v>
      </c>
      <c r="M1754" s="10">
        <v>422</v>
      </c>
      <c r="N1754" s="10">
        <v>61881</v>
      </c>
      <c r="O1754" s="10">
        <v>33093</v>
      </c>
      <c r="P1754" s="10">
        <v>94974</v>
      </c>
    </row>
    <row r="1755" spans="1:16" ht="27" customHeight="1" x14ac:dyDescent="0.2">
      <c r="A1755" s="9" t="s">
        <v>6368</v>
      </c>
      <c r="B1755" s="10" t="s">
        <v>6369</v>
      </c>
      <c r="C1755" s="11" t="s">
        <v>6436</v>
      </c>
      <c r="D1755" s="11" t="s">
        <v>6437</v>
      </c>
      <c r="E1755" s="11" t="s">
        <v>26</v>
      </c>
      <c r="F1755" s="11" t="s">
        <v>6438</v>
      </c>
      <c r="G1755" s="11" t="s">
        <v>28</v>
      </c>
      <c r="H1755" s="11" t="s">
        <v>6438</v>
      </c>
      <c r="I1755" s="11" t="s">
        <v>6439</v>
      </c>
      <c r="J1755" s="12">
        <v>0.5121</v>
      </c>
      <c r="K1755" s="13">
        <v>1</v>
      </c>
      <c r="L1755" s="14">
        <v>289</v>
      </c>
      <c r="M1755" s="10">
        <v>148</v>
      </c>
      <c r="N1755" s="10">
        <v>31935</v>
      </c>
      <c r="O1755" s="10">
        <v>11606</v>
      </c>
      <c r="P1755" s="10">
        <v>43541</v>
      </c>
    </row>
    <row r="1756" spans="1:16" ht="27" customHeight="1" x14ac:dyDescent="0.2">
      <c r="A1756" s="9" t="s">
        <v>6368</v>
      </c>
      <c r="B1756" s="10" t="s">
        <v>6369</v>
      </c>
      <c r="C1756" s="11" t="s">
        <v>6440</v>
      </c>
      <c r="D1756" s="11" t="s">
        <v>6441</v>
      </c>
      <c r="E1756" s="11" t="s">
        <v>26</v>
      </c>
      <c r="F1756" s="11" t="s">
        <v>6442</v>
      </c>
      <c r="G1756" s="11" t="s">
        <v>28</v>
      </c>
      <c r="H1756" s="11" t="s">
        <v>6442</v>
      </c>
      <c r="I1756" s="11" t="s">
        <v>6443</v>
      </c>
      <c r="J1756" s="12">
        <v>0.54900000000000004</v>
      </c>
      <c r="K1756" s="13">
        <v>1</v>
      </c>
      <c r="L1756" s="14">
        <v>286</v>
      </c>
      <c r="M1756" s="10">
        <v>157</v>
      </c>
      <c r="N1756" s="10">
        <v>31603</v>
      </c>
      <c r="O1756" s="10">
        <v>12312</v>
      </c>
      <c r="P1756" s="10">
        <v>43915</v>
      </c>
    </row>
    <row r="1757" spans="1:16" ht="27" customHeight="1" x14ac:dyDescent="0.2">
      <c r="A1757" s="9" t="s">
        <v>6368</v>
      </c>
      <c r="B1757" s="10" t="s">
        <v>6369</v>
      </c>
      <c r="C1757" s="11" t="s">
        <v>6444</v>
      </c>
      <c r="D1757" s="11" t="s">
        <v>6445</v>
      </c>
      <c r="E1757" s="11" t="s">
        <v>26</v>
      </c>
      <c r="F1757" s="11" t="s">
        <v>6446</v>
      </c>
      <c r="G1757" s="11" t="s">
        <v>28</v>
      </c>
      <c r="H1757" s="11" t="s">
        <v>6446</v>
      </c>
      <c r="I1757" s="11" t="s">
        <v>6447</v>
      </c>
      <c r="J1757" s="12">
        <v>0.72509999999999997</v>
      </c>
      <c r="K1757" s="13">
        <v>1</v>
      </c>
      <c r="L1757" s="14">
        <v>593</v>
      </c>
      <c r="M1757" s="10">
        <v>430</v>
      </c>
      <c r="N1757" s="10">
        <v>65527</v>
      </c>
      <c r="O1757" s="10">
        <v>33720</v>
      </c>
      <c r="P1757" s="10">
        <v>99247</v>
      </c>
    </row>
    <row r="1758" spans="1:16" ht="27" customHeight="1" x14ac:dyDescent="0.2">
      <c r="A1758" s="9" t="s">
        <v>6368</v>
      </c>
      <c r="B1758" s="10" t="s">
        <v>6369</v>
      </c>
      <c r="C1758" s="11" t="s">
        <v>6448</v>
      </c>
      <c r="D1758" s="11" t="s">
        <v>6449</v>
      </c>
      <c r="E1758" s="11" t="s">
        <v>57</v>
      </c>
      <c r="F1758" s="11" t="s">
        <v>6450</v>
      </c>
      <c r="G1758" s="11" t="s">
        <v>28</v>
      </c>
      <c r="H1758" s="11" t="s">
        <v>6371</v>
      </c>
      <c r="I1758" s="11" t="s">
        <v>6372</v>
      </c>
      <c r="J1758" s="12">
        <v>0.91559999999999997</v>
      </c>
      <c r="K1758" s="13">
        <v>1</v>
      </c>
      <c r="L1758" s="14">
        <v>337</v>
      </c>
      <c r="M1758" s="10">
        <v>287</v>
      </c>
      <c r="N1758" s="10">
        <v>37239</v>
      </c>
      <c r="O1758" s="10">
        <v>22506</v>
      </c>
      <c r="P1758" s="10">
        <v>59745</v>
      </c>
    </row>
    <row r="1759" spans="1:16" ht="27" customHeight="1" x14ac:dyDescent="0.2">
      <c r="A1759" s="9" t="s">
        <v>6368</v>
      </c>
      <c r="B1759" s="10" t="s">
        <v>6451</v>
      </c>
      <c r="C1759" s="11" t="s">
        <v>18</v>
      </c>
      <c r="D1759" s="11" t="s">
        <v>19</v>
      </c>
      <c r="E1759" s="11" t="s">
        <v>19</v>
      </c>
      <c r="F1759" s="11" t="s">
        <v>6452</v>
      </c>
      <c r="G1759" s="11" t="s">
        <v>83</v>
      </c>
      <c r="H1759" s="11" t="s">
        <v>6453</v>
      </c>
      <c r="I1759" s="11" t="s">
        <v>6454</v>
      </c>
      <c r="J1759" s="12">
        <v>0.88859999999999995</v>
      </c>
      <c r="K1759" s="13">
        <v>23</v>
      </c>
      <c r="L1759" s="14">
        <v>7672</v>
      </c>
      <c r="M1759" s="10">
        <v>5790</v>
      </c>
      <c r="N1759" s="10">
        <v>847770</v>
      </c>
      <c r="O1759" s="10">
        <v>454047</v>
      </c>
      <c r="P1759" s="10">
        <v>1301817</v>
      </c>
    </row>
    <row r="1760" spans="1:16" ht="27" customHeight="1" x14ac:dyDescent="0.2">
      <c r="A1760" s="9" t="s">
        <v>6368</v>
      </c>
      <c r="B1760" s="10" t="s">
        <v>6451</v>
      </c>
      <c r="C1760" s="11" t="s">
        <v>6455</v>
      </c>
      <c r="D1760" s="11" t="s">
        <v>6456</v>
      </c>
      <c r="E1760" s="11" t="s">
        <v>26</v>
      </c>
      <c r="F1760" s="11" t="s">
        <v>6457</v>
      </c>
      <c r="G1760" s="11" t="s">
        <v>28</v>
      </c>
      <c r="H1760" s="11" t="s">
        <v>6371</v>
      </c>
      <c r="I1760" s="11" t="s">
        <v>6372</v>
      </c>
      <c r="J1760" s="12">
        <v>0.91559999999999997</v>
      </c>
      <c r="K1760" s="13">
        <v>1</v>
      </c>
      <c r="L1760" s="14">
        <v>415</v>
      </c>
      <c r="M1760" s="10">
        <v>292</v>
      </c>
      <c r="N1760" s="10">
        <v>45858</v>
      </c>
      <c r="O1760" s="10">
        <v>22898</v>
      </c>
      <c r="P1760" s="10">
        <v>68756</v>
      </c>
    </row>
    <row r="1761" spans="1:16" ht="27" customHeight="1" x14ac:dyDescent="0.2">
      <c r="A1761" s="9" t="s">
        <v>6368</v>
      </c>
      <c r="B1761" s="10" t="s">
        <v>6451</v>
      </c>
      <c r="C1761" s="11" t="s">
        <v>6458</v>
      </c>
      <c r="D1761" s="11" t="s">
        <v>6459</v>
      </c>
      <c r="E1761" s="11" t="s">
        <v>26</v>
      </c>
      <c r="F1761" s="11" t="s">
        <v>6460</v>
      </c>
      <c r="G1761" s="11" t="s">
        <v>28</v>
      </c>
      <c r="H1761" s="11" t="s">
        <v>6460</v>
      </c>
      <c r="I1761" s="11" t="s">
        <v>6461</v>
      </c>
      <c r="J1761" s="12">
        <v>0.74570000000000003</v>
      </c>
      <c r="K1761" s="13">
        <v>1</v>
      </c>
      <c r="L1761" s="14">
        <v>468</v>
      </c>
      <c r="M1761" s="10">
        <v>349</v>
      </c>
      <c r="N1761" s="10">
        <v>51715</v>
      </c>
      <c r="O1761" s="10">
        <v>27368</v>
      </c>
      <c r="P1761" s="10">
        <v>79083</v>
      </c>
    </row>
    <row r="1762" spans="1:16" ht="27" customHeight="1" x14ac:dyDescent="0.2">
      <c r="A1762" s="9" t="s">
        <v>6368</v>
      </c>
      <c r="B1762" s="10" t="s">
        <v>6451</v>
      </c>
      <c r="C1762" s="11" t="s">
        <v>6462</v>
      </c>
      <c r="D1762" s="11" t="s">
        <v>6463</v>
      </c>
      <c r="E1762" s="11" t="s">
        <v>26</v>
      </c>
      <c r="F1762" s="11" t="s">
        <v>6464</v>
      </c>
      <c r="G1762" s="11" t="s">
        <v>28</v>
      </c>
      <c r="H1762" s="11" t="s">
        <v>6371</v>
      </c>
      <c r="I1762" s="11" t="s">
        <v>6372</v>
      </c>
      <c r="J1762" s="12">
        <v>0.91559999999999997</v>
      </c>
      <c r="K1762" s="13">
        <v>1</v>
      </c>
      <c r="L1762" s="14">
        <v>395</v>
      </c>
      <c r="M1762" s="10">
        <v>311</v>
      </c>
      <c r="N1762" s="10">
        <v>43648</v>
      </c>
      <c r="O1762" s="10">
        <v>24388</v>
      </c>
      <c r="P1762" s="10">
        <v>68036</v>
      </c>
    </row>
    <row r="1763" spans="1:16" ht="27" customHeight="1" x14ac:dyDescent="0.2">
      <c r="A1763" s="9" t="s">
        <v>6368</v>
      </c>
      <c r="B1763" s="10" t="s">
        <v>6465</v>
      </c>
      <c r="C1763" s="11" t="s">
        <v>18</v>
      </c>
      <c r="D1763" s="11" t="s">
        <v>19</v>
      </c>
      <c r="E1763" s="11" t="s">
        <v>19</v>
      </c>
      <c r="F1763" s="11" t="s">
        <v>6466</v>
      </c>
      <c r="G1763" s="11" t="s">
        <v>83</v>
      </c>
      <c r="H1763" s="11" t="s">
        <v>6467</v>
      </c>
      <c r="I1763" s="11" t="s">
        <v>6468</v>
      </c>
      <c r="J1763" s="12">
        <v>0.42920000000000003</v>
      </c>
      <c r="K1763" s="13">
        <v>15</v>
      </c>
      <c r="L1763" s="14">
        <v>5992</v>
      </c>
      <c r="M1763" s="10">
        <v>1610</v>
      </c>
      <c r="N1763" s="10">
        <v>662128</v>
      </c>
      <c r="O1763" s="10">
        <v>126255</v>
      </c>
      <c r="P1763" s="10">
        <v>788383</v>
      </c>
    </row>
    <row r="1764" spans="1:16" ht="27" customHeight="1" x14ac:dyDescent="0.2">
      <c r="A1764" s="9" t="s">
        <v>6368</v>
      </c>
      <c r="B1764" s="10" t="s">
        <v>6469</v>
      </c>
      <c r="C1764" s="11" t="s">
        <v>18</v>
      </c>
      <c r="D1764" s="11" t="s">
        <v>19</v>
      </c>
      <c r="E1764" s="11" t="s">
        <v>19</v>
      </c>
      <c r="F1764" s="11" t="s">
        <v>6470</v>
      </c>
      <c r="G1764" s="11" t="s">
        <v>83</v>
      </c>
      <c r="H1764" s="11" t="s">
        <v>6471</v>
      </c>
      <c r="I1764" s="11" t="s">
        <v>6472</v>
      </c>
      <c r="J1764" s="12">
        <v>0.14910000000000001</v>
      </c>
      <c r="K1764" s="13">
        <v>3</v>
      </c>
      <c r="L1764" s="14">
        <v>974</v>
      </c>
      <c r="M1764" s="10">
        <v>109</v>
      </c>
      <c r="N1764" s="10">
        <v>107629</v>
      </c>
      <c r="O1764" s="10">
        <v>8548</v>
      </c>
      <c r="P1764" s="10">
        <v>116177</v>
      </c>
    </row>
    <row r="1765" spans="1:16" ht="27" customHeight="1" x14ac:dyDescent="0.2">
      <c r="A1765" s="9" t="s">
        <v>6368</v>
      </c>
      <c r="B1765" s="10" t="s">
        <v>6469</v>
      </c>
      <c r="C1765" s="11" t="s">
        <v>6473</v>
      </c>
      <c r="D1765" s="11" t="s">
        <v>6474</v>
      </c>
      <c r="E1765" s="11" t="s">
        <v>57</v>
      </c>
      <c r="F1765" s="11" t="s">
        <v>6475</v>
      </c>
      <c r="G1765" s="11" t="s">
        <v>28</v>
      </c>
      <c r="H1765" s="11" t="s">
        <v>6475</v>
      </c>
      <c r="I1765" s="11" t="s">
        <v>6476</v>
      </c>
      <c r="J1765" s="12">
        <v>0.24560000000000001</v>
      </c>
      <c r="K1765" s="13">
        <v>1</v>
      </c>
      <c r="L1765" s="14">
        <v>465</v>
      </c>
      <c r="M1765" s="10">
        <v>114</v>
      </c>
      <c r="N1765" s="10">
        <v>51383</v>
      </c>
      <c r="O1765" s="10">
        <v>8940</v>
      </c>
      <c r="P1765" s="10">
        <v>60323</v>
      </c>
    </row>
    <row r="1766" spans="1:16" ht="27" customHeight="1" x14ac:dyDescent="0.2">
      <c r="A1766" s="9" t="s">
        <v>6368</v>
      </c>
      <c r="B1766" s="10" t="s">
        <v>6469</v>
      </c>
      <c r="C1766" s="11" t="s">
        <v>6477</v>
      </c>
      <c r="D1766" s="11" t="s">
        <v>6478</v>
      </c>
      <c r="E1766" s="11" t="s">
        <v>57</v>
      </c>
      <c r="F1766" s="11" t="s">
        <v>6479</v>
      </c>
      <c r="G1766" s="11" t="s">
        <v>28</v>
      </c>
      <c r="H1766" s="11" t="s">
        <v>6479</v>
      </c>
      <c r="I1766" s="11" t="s">
        <v>6480</v>
      </c>
      <c r="J1766" s="12">
        <v>0.1925</v>
      </c>
      <c r="K1766" s="13">
        <v>1</v>
      </c>
      <c r="L1766" s="14">
        <v>349</v>
      </c>
      <c r="M1766" s="10">
        <v>67</v>
      </c>
      <c r="N1766" s="10">
        <v>38565</v>
      </c>
      <c r="O1766" s="10">
        <v>5254</v>
      </c>
      <c r="P1766" s="10">
        <v>43819</v>
      </c>
    </row>
    <row r="1767" spans="1:16" ht="27" customHeight="1" x14ac:dyDescent="0.2">
      <c r="A1767" s="9" t="s">
        <v>6368</v>
      </c>
      <c r="B1767" s="10" t="s">
        <v>6469</v>
      </c>
      <c r="C1767" s="11" t="s">
        <v>6481</v>
      </c>
      <c r="D1767" s="11" t="s">
        <v>6482</v>
      </c>
      <c r="E1767" s="11" t="s">
        <v>57</v>
      </c>
      <c r="F1767" s="11" t="s">
        <v>6483</v>
      </c>
      <c r="G1767" s="11" t="s">
        <v>28</v>
      </c>
      <c r="H1767" s="11" t="s">
        <v>6371</v>
      </c>
      <c r="I1767" s="11" t="s">
        <v>6372</v>
      </c>
      <c r="J1767" s="12">
        <v>0.91559999999999997</v>
      </c>
      <c r="K1767" s="13">
        <v>1</v>
      </c>
      <c r="L1767" s="14">
        <v>870</v>
      </c>
      <c r="M1767" s="10">
        <v>156</v>
      </c>
      <c r="N1767" s="10">
        <v>96136</v>
      </c>
      <c r="O1767" s="10">
        <v>12233</v>
      </c>
      <c r="P1767" s="10">
        <v>108369</v>
      </c>
    </row>
    <row r="1768" spans="1:16" ht="27" customHeight="1" x14ac:dyDescent="0.2">
      <c r="A1768" s="9" t="s">
        <v>6368</v>
      </c>
      <c r="B1768" s="10" t="s">
        <v>6469</v>
      </c>
      <c r="C1768" s="11" t="s">
        <v>6484</v>
      </c>
      <c r="D1768" s="11" t="s">
        <v>6485</v>
      </c>
      <c r="E1768" s="11" t="s">
        <v>57</v>
      </c>
      <c r="F1768" s="11" t="s">
        <v>6486</v>
      </c>
      <c r="G1768" s="11" t="s">
        <v>28</v>
      </c>
      <c r="H1768" s="11" t="s">
        <v>6486</v>
      </c>
      <c r="I1768" s="11" t="s">
        <v>6487</v>
      </c>
      <c r="J1768" s="12">
        <v>0.223</v>
      </c>
      <c r="K1768" s="13">
        <v>1</v>
      </c>
      <c r="L1768" s="14">
        <v>281</v>
      </c>
      <c r="M1768" s="10">
        <v>63</v>
      </c>
      <c r="N1768" s="10">
        <v>31051</v>
      </c>
      <c r="O1768" s="10">
        <v>4940</v>
      </c>
      <c r="P1768" s="10">
        <v>35991</v>
      </c>
    </row>
    <row r="1769" spans="1:16" ht="27" customHeight="1" x14ac:dyDescent="0.2">
      <c r="A1769" s="9" t="s">
        <v>6368</v>
      </c>
      <c r="B1769" s="10" t="s">
        <v>6488</v>
      </c>
      <c r="C1769" s="11" t="s">
        <v>18</v>
      </c>
      <c r="D1769" s="11" t="s">
        <v>19</v>
      </c>
      <c r="E1769" s="11" t="s">
        <v>19</v>
      </c>
      <c r="F1769" s="11" t="s">
        <v>6489</v>
      </c>
      <c r="G1769" s="11" t="s">
        <v>83</v>
      </c>
      <c r="H1769" s="11" t="s">
        <v>6490</v>
      </c>
      <c r="I1769" s="11" t="s">
        <v>6491</v>
      </c>
      <c r="J1769" s="12">
        <v>0.77200000000000002</v>
      </c>
      <c r="K1769" s="13">
        <v>2</v>
      </c>
      <c r="L1769" s="14">
        <v>567</v>
      </c>
      <c r="M1769" s="10">
        <v>437</v>
      </c>
      <c r="N1769" s="10">
        <v>62654</v>
      </c>
      <c r="O1769" s="10">
        <v>34269</v>
      </c>
      <c r="P1769" s="10">
        <v>96923</v>
      </c>
    </row>
    <row r="1770" spans="1:16" ht="27" customHeight="1" x14ac:dyDescent="0.2">
      <c r="A1770" s="9" t="s">
        <v>6368</v>
      </c>
      <c r="B1770" s="10" t="s">
        <v>6488</v>
      </c>
      <c r="C1770" s="11" t="s">
        <v>6492</v>
      </c>
      <c r="D1770" s="11" t="s">
        <v>6493</v>
      </c>
      <c r="E1770" s="11" t="s">
        <v>57</v>
      </c>
      <c r="F1770" s="11" t="s">
        <v>6494</v>
      </c>
      <c r="G1770" s="11" t="s">
        <v>28</v>
      </c>
      <c r="H1770" s="11" t="s">
        <v>6494</v>
      </c>
      <c r="I1770" s="11" t="s">
        <v>6495</v>
      </c>
      <c r="J1770" s="12">
        <v>0.1757</v>
      </c>
      <c r="K1770" s="13">
        <v>1</v>
      </c>
      <c r="L1770" s="14">
        <v>222</v>
      </c>
      <c r="M1770" s="10">
        <v>39</v>
      </c>
      <c r="N1770" s="10">
        <v>24531</v>
      </c>
      <c r="O1770" s="10">
        <v>3058</v>
      </c>
      <c r="P1770" s="10">
        <v>27589</v>
      </c>
    </row>
    <row r="1771" spans="1:16" ht="27" customHeight="1" x14ac:dyDescent="0.2">
      <c r="A1771" s="9" t="s">
        <v>6368</v>
      </c>
      <c r="B1771" s="10" t="s">
        <v>6488</v>
      </c>
      <c r="C1771" s="11" t="s">
        <v>6496</v>
      </c>
      <c r="D1771" s="11" t="s">
        <v>6497</v>
      </c>
      <c r="E1771" s="11" t="s">
        <v>57</v>
      </c>
      <c r="F1771" s="11" t="s">
        <v>6498</v>
      </c>
      <c r="G1771" s="11" t="s">
        <v>28</v>
      </c>
      <c r="H1771" s="11" t="s">
        <v>6498</v>
      </c>
      <c r="I1771" s="11" t="s">
        <v>6499</v>
      </c>
      <c r="J1771" s="12">
        <v>0.2228</v>
      </c>
      <c r="K1771" s="13">
        <v>1</v>
      </c>
      <c r="L1771" s="14">
        <v>781</v>
      </c>
      <c r="M1771" s="10">
        <v>174</v>
      </c>
      <c r="N1771" s="10">
        <v>86302</v>
      </c>
      <c r="O1771" s="10">
        <v>13645</v>
      </c>
      <c r="P1771" s="10">
        <v>99947</v>
      </c>
    </row>
    <row r="1772" spans="1:16" ht="27" customHeight="1" x14ac:dyDescent="0.2">
      <c r="A1772" s="9" t="s">
        <v>6368</v>
      </c>
      <c r="B1772" s="10" t="s">
        <v>6488</v>
      </c>
      <c r="C1772" s="11" t="s">
        <v>6500</v>
      </c>
      <c r="D1772" s="11" t="s">
        <v>6501</v>
      </c>
      <c r="E1772" s="11" t="s">
        <v>57</v>
      </c>
      <c r="F1772" s="11" t="s">
        <v>6502</v>
      </c>
      <c r="G1772" s="11" t="s">
        <v>28</v>
      </c>
      <c r="H1772" s="11" t="s">
        <v>6502</v>
      </c>
      <c r="I1772" s="11" t="s">
        <v>6503</v>
      </c>
      <c r="J1772" s="12">
        <v>0.50800000000000001</v>
      </c>
      <c r="K1772" s="13">
        <v>1</v>
      </c>
      <c r="L1772" s="14">
        <v>376</v>
      </c>
      <c r="M1772" s="10">
        <v>191</v>
      </c>
      <c r="N1772" s="10">
        <v>41549</v>
      </c>
      <c r="O1772" s="10">
        <v>14978</v>
      </c>
      <c r="P1772" s="10">
        <v>56527</v>
      </c>
    </row>
    <row r="1773" spans="1:16" ht="27" customHeight="1" x14ac:dyDescent="0.2">
      <c r="A1773" s="9" t="s">
        <v>6368</v>
      </c>
      <c r="B1773" s="10" t="s">
        <v>6488</v>
      </c>
      <c r="C1773" s="11" t="s">
        <v>6504</v>
      </c>
      <c r="D1773" s="11" t="s">
        <v>6505</v>
      </c>
      <c r="E1773" s="11" t="s">
        <v>57</v>
      </c>
      <c r="F1773" s="11" t="s">
        <v>6506</v>
      </c>
      <c r="G1773" s="11" t="s">
        <v>28</v>
      </c>
      <c r="H1773" s="11" t="s">
        <v>6506</v>
      </c>
      <c r="I1773" s="11" t="s">
        <v>6507</v>
      </c>
      <c r="J1773" s="12">
        <v>0.31159999999999999</v>
      </c>
      <c r="K1773" s="13">
        <v>1</v>
      </c>
      <c r="L1773" s="14">
        <v>431</v>
      </c>
      <c r="M1773" s="10">
        <v>134</v>
      </c>
      <c r="N1773" s="10">
        <v>47626</v>
      </c>
      <c r="O1773" s="10">
        <v>10508</v>
      </c>
      <c r="P1773" s="10">
        <v>58134</v>
      </c>
    </row>
    <row r="1774" spans="1:16" ht="27" customHeight="1" x14ac:dyDescent="0.2">
      <c r="A1774" s="9" t="s">
        <v>6368</v>
      </c>
      <c r="B1774" s="10" t="s">
        <v>6488</v>
      </c>
      <c r="C1774" s="11" t="s">
        <v>6508</v>
      </c>
      <c r="D1774" s="11" t="s">
        <v>6509</v>
      </c>
      <c r="E1774" s="11" t="s">
        <v>57</v>
      </c>
      <c r="F1774" s="11" t="s">
        <v>6510</v>
      </c>
      <c r="G1774" s="11" t="s">
        <v>28</v>
      </c>
      <c r="H1774" s="11" t="s">
        <v>6510</v>
      </c>
      <c r="I1774" s="11" t="s">
        <v>6511</v>
      </c>
      <c r="J1774" s="12">
        <v>0.42480000000000001</v>
      </c>
      <c r="K1774" s="13">
        <v>1</v>
      </c>
      <c r="L1774" s="14">
        <v>452</v>
      </c>
      <c r="M1774" s="10">
        <v>192</v>
      </c>
      <c r="N1774" s="10">
        <v>49947</v>
      </c>
      <c r="O1774" s="10">
        <v>15056</v>
      </c>
      <c r="P1774" s="10">
        <v>65003</v>
      </c>
    </row>
    <row r="1775" spans="1:16" ht="27" customHeight="1" x14ac:dyDescent="0.2">
      <c r="A1775" s="9" t="s">
        <v>6368</v>
      </c>
      <c r="B1775" s="10" t="s">
        <v>6488</v>
      </c>
      <c r="C1775" s="11" t="s">
        <v>6512</v>
      </c>
      <c r="D1775" s="11" t="s">
        <v>6513</v>
      </c>
      <c r="E1775" s="11" t="s">
        <v>57</v>
      </c>
      <c r="F1775" s="11" t="s">
        <v>6514</v>
      </c>
      <c r="G1775" s="11" t="s">
        <v>28</v>
      </c>
      <c r="H1775" s="11" t="s">
        <v>6514</v>
      </c>
      <c r="I1775" s="11" t="s">
        <v>6515</v>
      </c>
      <c r="J1775" s="12">
        <v>0.11550000000000001</v>
      </c>
      <c r="K1775" s="13">
        <v>1</v>
      </c>
      <c r="L1775" s="14">
        <v>563</v>
      </c>
      <c r="M1775" s="10">
        <v>65</v>
      </c>
      <c r="N1775" s="10">
        <v>62212</v>
      </c>
      <c r="O1775" s="10">
        <v>5097</v>
      </c>
      <c r="P1775" s="10">
        <v>67309</v>
      </c>
    </row>
    <row r="1776" spans="1:16" ht="27" customHeight="1" x14ac:dyDescent="0.2">
      <c r="A1776" s="9" t="s">
        <v>6368</v>
      </c>
      <c r="B1776" s="10" t="s">
        <v>6488</v>
      </c>
      <c r="C1776" s="11" t="s">
        <v>6516</v>
      </c>
      <c r="D1776" s="11" t="s">
        <v>6517</v>
      </c>
      <c r="E1776" s="11" t="s">
        <v>57</v>
      </c>
      <c r="F1776" s="11" t="s">
        <v>6518</v>
      </c>
      <c r="G1776" s="11" t="s">
        <v>28</v>
      </c>
      <c r="H1776" s="11" t="s">
        <v>6518</v>
      </c>
      <c r="I1776" s="11" t="s">
        <v>6519</v>
      </c>
      <c r="J1776" s="12">
        <v>0.3891</v>
      </c>
      <c r="K1776" s="13">
        <v>1</v>
      </c>
      <c r="L1776" s="14">
        <v>479</v>
      </c>
      <c r="M1776" s="10">
        <v>186</v>
      </c>
      <c r="N1776" s="10">
        <v>52930</v>
      </c>
      <c r="O1776" s="10">
        <v>14586</v>
      </c>
      <c r="P1776" s="10">
        <v>67516</v>
      </c>
    </row>
    <row r="1777" spans="1:16" ht="27" customHeight="1" x14ac:dyDescent="0.2">
      <c r="A1777" s="9" t="s">
        <v>6368</v>
      </c>
      <c r="B1777" s="10" t="s">
        <v>6488</v>
      </c>
      <c r="C1777" s="11" t="s">
        <v>6520</v>
      </c>
      <c r="D1777" s="11" t="s">
        <v>6521</v>
      </c>
      <c r="E1777" s="11" t="s">
        <v>57</v>
      </c>
      <c r="F1777" s="11" t="s">
        <v>6522</v>
      </c>
      <c r="G1777" s="11" t="s">
        <v>28</v>
      </c>
      <c r="H1777" s="11" t="s">
        <v>6522</v>
      </c>
      <c r="I1777" s="11" t="s">
        <v>6523</v>
      </c>
      <c r="J1777" s="12">
        <v>0.11210000000000001</v>
      </c>
      <c r="K1777" s="13">
        <v>1</v>
      </c>
      <c r="L1777" s="14">
        <v>437</v>
      </c>
      <c r="M1777" s="10">
        <v>49</v>
      </c>
      <c r="N1777" s="10">
        <v>48289</v>
      </c>
      <c r="O1777" s="10">
        <v>3843</v>
      </c>
      <c r="P1777" s="10">
        <v>52132</v>
      </c>
    </row>
    <row r="1778" spans="1:16" ht="27" customHeight="1" x14ac:dyDescent="0.2">
      <c r="A1778" s="9" t="s">
        <v>6368</v>
      </c>
      <c r="B1778" s="10" t="s">
        <v>6488</v>
      </c>
      <c r="C1778" s="11" t="s">
        <v>6524</v>
      </c>
      <c r="D1778" s="11" t="s">
        <v>6525</v>
      </c>
      <c r="E1778" s="11" t="s">
        <v>57</v>
      </c>
      <c r="F1778" s="11" t="s">
        <v>6526</v>
      </c>
      <c r="G1778" s="11" t="s">
        <v>28</v>
      </c>
      <c r="H1778" s="11" t="s">
        <v>6371</v>
      </c>
      <c r="I1778" s="11" t="s">
        <v>6372</v>
      </c>
      <c r="J1778" s="12">
        <v>0.91559999999999997</v>
      </c>
      <c r="K1778" s="13">
        <v>1</v>
      </c>
      <c r="L1778" s="14">
        <v>729</v>
      </c>
      <c r="M1778" s="10">
        <v>335</v>
      </c>
      <c r="N1778" s="10">
        <v>80556</v>
      </c>
      <c r="O1778" s="10">
        <v>26270</v>
      </c>
      <c r="P1778" s="10">
        <v>106826</v>
      </c>
    </row>
    <row r="1779" spans="1:16" ht="27" customHeight="1" x14ac:dyDescent="0.2">
      <c r="A1779" s="9" t="s">
        <v>6368</v>
      </c>
      <c r="B1779" s="10" t="s">
        <v>6488</v>
      </c>
      <c r="C1779" s="11" t="s">
        <v>6527</v>
      </c>
      <c r="D1779" s="11" t="s">
        <v>6528</v>
      </c>
      <c r="E1779" s="11" t="s">
        <v>57</v>
      </c>
      <c r="F1779" s="11" t="s">
        <v>6529</v>
      </c>
      <c r="G1779" s="11" t="s">
        <v>28</v>
      </c>
      <c r="H1779" s="11" t="s">
        <v>6371</v>
      </c>
      <c r="I1779" s="11" t="s">
        <v>6372</v>
      </c>
      <c r="J1779" s="12">
        <v>0.91559999999999997</v>
      </c>
      <c r="K1779" s="13">
        <v>1</v>
      </c>
      <c r="L1779" s="14">
        <v>861</v>
      </c>
      <c r="M1779" s="10">
        <v>156</v>
      </c>
      <c r="N1779" s="10">
        <v>95142</v>
      </c>
      <c r="O1779" s="10">
        <v>12233</v>
      </c>
      <c r="P1779" s="10">
        <v>107375</v>
      </c>
    </row>
    <row r="1780" spans="1:16" ht="27" customHeight="1" x14ac:dyDescent="0.2">
      <c r="A1780" s="9" t="s">
        <v>6368</v>
      </c>
      <c r="B1780" s="10" t="s">
        <v>6488</v>
      </c>
      <c r="C1780" s="11" t="s">
        <v>6530</v>
      </c>
      <c r="D1780" s="11" t="s">
        <v>6531</v>
      </c>
      <c r="E1780" s="11" t="s">
        <v>57</v>
      </c>
      <c r="F1780" s="11" t="s">
        <v>6532</v>
      </c>
      <c r="G1780" s="11" t="s">
        <v>28</v>
      </c>
      <c r="H1780" s="11" t="s">
        <v>6532</v>
      </c>
      <c r="I1780" s="11" t="s">
        <v>6533</v>
      </c>
      <c r="J1780" s="12">
        <v>0.4783</v>
      </c>
      <c r="K1780" s="13">
        <v>1</v>
      </c>
      <c r="L1780" s="14">
        <v>552</v>
      </c>
      <c r="M1780" s="10">
        <v>264</v>
      </c>
      <c r="N1780" s="10">
        <v>60997</v>
      </c>
      <c r="O1780" s="10">
        <v>20703</v>
      </c>
      <c r="P1780" s="10">
        <v>81700</v>
      </c>
    </row>
    <row r="1781" spans="1:16" ht="27" customHeight="1" x14ac:dyDescent="0.2">
      <c r="A1781" s="9" t="s">
        <v>6368</v>
      </c>
      <c r="B1781" s="10" t="s">
        <v>6534</v>
      </c>
      <c r="C1781" s="11" t="s">
        <v>18</v>
      </c>
      <c r="D1781" s="11" t="s">
        <v>19</v>
      </c>
      <c r="E1781" s="11" t="s">
        <v>19</v>
      </c>
      <c r="F1781" s="11" t="s">
        <v>6535</v>
      </c>
      <c r="G1781" s="11" t="s">
        <v>83</v>
      </c>
      <c r="H1781" s="11" t="s">
        <v>6371</v>
      </c>
      <c r="I1781" s="11" t="s">
        <v>6372</v>
      </c>
      <c r="J1781" s="12">
        <v>0.91559999999999997</v>
      </c>
      <c r="K1781" s="13">
        <v>7</v>
      </c>
      <c r="L1781" s="14">
        <v>8609</v>
      </c>
      <c r="M1781" s="10">
        <v>3258</v>
      </c>
      <c r="N1781" s="10">
        <v>951309</v>
      </c>
      <c r="O1781" s="10">
        <v>255490</v>
      </c>
      <c r="P1781" s="10">
        <v>1206799</v>
      </c>
    </row>
    <row r="1782" spans="1:16" ht="27" customHeight="1" x14ac:dyDescent="0.2">
      <c r="A1782" s="9" t="s">
        <v>6368</v>
      </c>
      <c r="B1782" s="10" t="s">
        <v>6536</v>
      </c>
      <c r="C1782" s="11" t="s">
        <v>18</v>
      </c>
      <c r="D1782" s="11" t="s">
        <v>19</v>
      </c>
      <c r="E1782" s="11" t="s">
        <v>19</v>
      </c>
      <c r="F1782" s="11" t="s">
        <v>6537</v>
      </c>
      <c r="G1782" s="11" t="s">
        <v>83</v>
      </c>
      <c r="H1782" s="11" t="s">
        <v>6538</v>
      </c>
      <c r="I1782" s="11" t="s">
        <v>6539</v>
      </c>
      <c r="J1782" s="12">
        <v>0.48930000000000001</v>
      </c>
      <c r="K1782" s="13">
        <v>24</v>
      </c>
      <c r="L1782" s="14">
        <v>13518</v>
      </c>
      <c r="M1782" s="10">
        <v>2183</v>
      </c>
      <c r="N1782" s="10">
        <v>1493761</v>
      </c>
      <c r="O1782" s="10">
        <v>171189</v>
      </c>
      <c r="P1782" s="10">
        <v>1664950</v>
      </c>
    </row>
    <row r="1783" spans="1:16" ht="27" customHeight="1" x14ac:dyDescent="0.2">
      <c r="A1783" s="9" t="s">
        <v>6368</v>
      </c>
      <c r="B1783" s="10" t="s">
        <v>6540</v>
      </c>
      <c r="C1783" s="11" t="s">
        <v>18</v>
      </c>
      <c r="D1783" s="11" t="s">
        <v>19</v>
      </c>
      <c r="E1783" s="11" t="s">
        <v>19</v>
      </c>
      <c r="F1783" s="11" t="s">
        <v>6541</v>
      </c>
      <c r="G1783" s="11" t="s">
        <v>83</v>
      </c>
      <c r="H1783" s="11" t="s">
        <v>6371</v>
      </c>
      <c r="I1783" s="11" t="s">
        <v>6372</v>
      </c>
      <c r="J1783" s="12">
        <v>0.91559999999999997</v>
      </c>
      <c r="K1783" s="13">
        <v>17</v>
      </c>
      <c r="L1783" s="14">
        <v>21140</v>
      </c>
      <c r="M1783" s="10">
        <v>6854</v>
      </c>
      <c r="N1783" s="10">
        <v>2336006</v>
      </c>
      <c r="O1783" s="10">
        <v>537482</v>
      </c>
      <c r="P1783" s="10">
        <v>2873488</v>
      </c>
    </row>
    <row r="1784" spans="1:16" ht="27" customHeight="1" x14ac:dyDescent="0.2">
      <c r="A1784" s="9" t="s">
        <v>6368</v>
      </c>
      <c r="B1784" s="10" t="s">
        <v>6540</v>
      </c>
      <c r="C1784" s="11" t="s">
        <v>6542</v>
      </c>
      <c r="D1784" s="11" t="s">
        <v>6543</v>
      </c>
      <c r="E1784" s="11" t="s">
        <v>26</v>
      </c>
      <c r="F1784" s="11" t="s">
        <v>6544</v>
      </c>
      <c r="G1784" s="11" t="s">
        <v>28</v>
      </c>
      <c r="H1784" s="11" t="s">
        <v>6371</v>
      </c>
      <c r="I1784" s="11" t="s">
        <v>6372</v>
      </c>
      <c r="J1784" s="12">
        <v>0.91559999999999997</v>
      </c>
      <c r="K1784" s="13">
        <v>1</v>
      </c>
      <c r="L1784" s="14">
        <v>528</v>
      </c>
      <c r="M1784" s="10">
        <v>80</v>
      </c>
      <c r="N1784" s="10">
        <v>58345</v>
      </c>
      <c r="O1784" s="10">
        <v>6274</v>
      </c>
      <c r="P1784" s="10">
        <v>64619</v>
      </c>
    </row>
    <row r="1785" spans="1:16" ht="27" customHeight="1" x14ac:dyDescent="0.2">
      <c r="A1785" s="9" t="s">
        <v>6368</v>
      </c>
      <c r="B1785" s="10" t="s">
        <v>6540</v>
      </c>
      <c r="C1785" s="11" t="s">
        <v>6545</v>
      </c>
      <c r="D1785" s="11" t="s">
        <v>6546</v>
      </c>
      <c r="E1785" s="11" t="s">
        <v>26</v>
      </c>
      <c r="F1785" s="11" t="s">
        <v>6547</v>
      </c>
      <c r="G1785" s="11" t="s">
        <v>28</v>
      </c>
      <c r="H1785" s="11" t="s">
        <v>6371</v>
      </c>
      <c r="I1785" s="11" t="s">
        <v>6372</v>
      </c>
      <c r="J1785" s="12">
        <v>0.91559999999999997</v>
      </c>
      <c r="K1785" s="13">
        <v>1</v>
      </c>
      <c r="L1785" s="14">
        <v>516</v>
      </c>
      <c r="M1785" s="10">
        <v>381</v>
      </c>
      <c r="N1785" s="10">
        <v>57019</v>
      </c>
      <c r="O1785" s="10">
        <v>29878</v>
      </c>
      <c r="P1785" s="10">
        <v>86897</v>
      </c>
    </row>
    <row r="1786" spans="1:16" ht="27" customHeight="1" x14ac:dyDescent="0.2">
      <c r="A1786" s="9" t="s">
        <v>6368</v>
      </c>
      <c r="B1786" s="10" t="s">
        <v>6540</v>
      </c>
      <c r="C1786" s="11" t="s">
        <v>6548</v>
      </c>
      <c r="D1786" s="11" t="s">
        <v>6549</v>
      </c>
      <c r="E1786" s="11" t="s">
        <v>26</v>
      </c>
      <c r="F1786" s="11" t="s">
        <v>6550</v>
      </c>
      <c r="G1786" s="11" t="s">
        <v>28</v>
      </c>
      <c r="H1786" s="11" t="s">
        <v>6371</v>
      </c>
      <c r="I1786" s="11" t="s">
        <v>6372</v>
      </c>
      <c r="J1786" s="12">
        <v>0.91559999999999997</v>
      </c>
      <c r="K1786" s="13">
        <v>1</v>
      </c>
      <c r="L1786" s="14">
        <v>370</v>
      </c>
      <c r="M1786" s="10">
        <v>296</v>
      </c>
      <c r="N1786" s="10">
        <v>40886</v>
      </c>
      <c r="O1786" s="10">
        <v>23212</v>
      </c>
      <c r="P1786" s="10">
        <v>64098</v>
      </c>
    </row>
    <row r="1787" spans="1:16" ht="27" customHeight="1" x14ac:dyDescent="0.2">
      <c r="A1787" s="9" t="s">
        <v>6368</v>
      </c>
      <c r="B1787" s="10" t="s">
        <v>6540</v>
      </c>
      <c r="C1787" s="11" t="s">
        <v>6551</v>
      </c>
      <c r="D1787" s="11" t="s">
        <v>6552</v>
      </c>
      <c r="E1787" s="11" t="s">
        <v>26</v>
      </c>
      <c r="F1787" s="11" t="s">
        <v>6553</v>
      </c>
      <c r="G1787" s="11" t="s">
        <v>28</v>
      </c>
      <c r="H1787" s="11" t="s">
        <v>6371</v>
      </c>
      <c r="I1787" s="11" t="s">
        <v>6372</v>
      </c>
      <c r="J1787" s="12">
        <v>0.91559999999999997</v>
      </c>
      <c r="K1787" s="13">
        <v>1</v>
      </c>
      <c r="L1787" s="14">
        <v>270</v>
      </c>
      <c r="M1787" s="10">
        <v>205</v>
      </c>
      <c r="N1787" s="10">
        <v>29835</v>
      </c>
      <c r="O1787" s="10">
        <v>16076</v>
      </c>
      <c r="P1787" s="10">
        <v>45911</v>
      </c>
    </row>
    <row r="1788" spans="1:16" ht="27" customHeight="1" x14ac:dyDescent="0.2">
      <c r="A1788" s="9" t="s">
        <v>6368</v>
      </c>
      <c r="B1788" s="10" t="s">
        <v>6540</v>
      </c>
      <c r="C1788" s="11" t="s">
        <v>6554</v>
      </c>
      <c r="D1788" s="11" t="s">
        <v>6555</v>
      </c>
      <c r="E1788" s="11" t="s">
        <v>26</v>
      </c>
      <c r="F1788" s="11" t="s">
        <v>6556</v>
      </c>
      <c r="G1788" s="11" t="s">
        <v>28</v>
      </c>
      <c r="H1788" s="11" t="s">
        <v>6371</v>
      </c>
      <c r="I1788" s="11" t="s">
        <v>6372</v>
      </c>
      <c r="J1788" s="12">
        <v>0.91559999999999997</v>
      </c>
      <c r="K1788" s="13">
        <v>1</v>
      </c>
      <c r="L1788" s="14">
        <v>264</v>
      </c>
      <c r="M1788" s="10">
        <v>216</v>
      </c>
      <c r="N1788" s="10">
        <v>29172</v>
      </c>
      <c r="O1788" s="10">
        <v>16938</v>
      </c>
      <c r="P1788" s="10">
        <v>46110</v>
      </c>
    </row>
    <row r="1789" spans="1:16" ht="27" customHeight="1" x14ac:dyDescent="0.2">
      <c r="A1789" s="9" t="s">
        <v>6368</v>
      </c>
      <c r="B1789" s="10" t="s">
        <v>6540</v>
      </c>
      <c r="C1789" s="11" t="s">
        <v>6557</v>
      </c>
      <c r="D1789" s="11" t="s">
        <v>6558</v>
      </c>
      <c r="E1789" s="11" t="s">
        <v>26</v>
      </c>
      <c r="F1789" s="11" t="s">
        <v>6559</v>
      </c>
      <c r="G1789" s="11" t="s">
        <v>28</v>
      </c>
      <c r="H1789" s="11" t="s">
        <v>6371</v>
      </c>
      <c r="I1789" s="11" t="s">
        <v>6372</v>
      </c>
      <c r="J1789" s="12">
        <v>0.91559999999999997</v>
      </c>
      <c r="K1789" s="13">
        <v>1</v>
      </c>
      <c r="L1789" s="14">
        <v>455</v>
      </c>
      <c r="M1789" s="10">
        <v>303</v>
      </c>
      <c r="N1789" s="10">
        <v>50278</v>
      </c>
      <c r="O1789" s="10">
        <v>23761</v>
      </c>
      <c r="P1789" s="10">
        <v>74039</v>
      </c>
    </row>
    <row r="1790" spans="1:16" ht="27" customHeight="1" x14ac:dyDescent="0.2">
      <c r="A1790" s="9" t="s">
        <v>6368</v>
      </c>
      <c r="B1790" s="10" t="s">
        <v>6540</v>
      </c>
      <c r="C1790" s="11" t="s">
        <v>6560</v>
      </c>
      <c r="D1790" s="11" t="s">
        <v>6561</v>
      </c>
      <c r="E1790" s="11" t="s">
        <v>26</v>
      </c>
      <c r="F1790" s="11" t="s">
        <v>6562</v>
      </c>
      <c r="G1790" s="11" t="s">
        <v>28</v>
      </c>
      <c r="H1790" s="11" t="s">
        <v>6371</v>
      </c>
      <c r="I1790" s="11" t="s">
        <v>6372</v>
      </c>
      <c r="J1790" s="12">
        <v>0.91559999999999997</v>
      </c>
      <c r="K1790" s="13">
        <v>1</v>
      </c>
      <c r="L1790" s="14">
        <v>408</v>
      </c>
      <c r="M1790" s="10">
        <v>312</v>
      </c>
      <c r="N1790" s="10">
        <v>45085</v>
      </c>
      <c r="O1790" s="10">
        <v>24467</v>
      </c>
      <c r="P1790" s="10">
        <v>69552</v>
      </c>
    </row>
    <row r="1791" spans="1:16" ht="27" customHeight="1" x14ac:dyDescent="0.2">
      <c r="A1791" s="9" t="s">
        <v>6368</v>
      </c>
      <c r="B1791" s="10" t="s">
        <v>6540</v>
      </c>
      <c r="C1791" s="11" t="s">
        <v>6563</v>
      </c>
      <c r="D1791" s="11" t="s">
        <v>6564</v>
      </c>
      <c r="E1791" s="11" t="s">
        <v>26</v>
      </c>
      <c r="F1791" s="11" t="s">
        <v>6565</v>
      </c>
      <c r="G1791" s="11" t="s">
        <v>28</v>
      </c>
      <c r="H1791" s="11" t="s">
        <v>6371</v>
      </c>
      <c r="I1791" s="11" t="s">
        <v>6372</v>
      </c>
      <c r="J1791" s="12">
        <v>0.91559999999999997</v>
      </c>
      <c r="K1791" s="13">
        <v>1</v>
      </c>
      <c r="L1791" s="14">
        <v>174</v>
      </c>
      <c r="M1791" s="10">
        <v>125</v>
      </c>
      <c r="N1791" s="10">
        <v>19227</v>
      </c>
      <c r="O1791" s="10">
        <v>9802</v>
      </c>
      <c r="P1791" s="10">
        <v>29029</v>
      </c>
    </row>
    <row r="1792" spans="1:16" ht="27" customHeight="1" x14ac:dyDescent="0.2">
      <c r="A1792" s="9" t="s">
        <v>6368</v>
      </c>
      <c r="B1792" s="10" t="s">
        <v>6540</v>
      </c>
      <c r="C1792" s="11" t="s">
        <v>6566</v>
      </c>
      <c r="D1792" s="11" t="s">
        <v>6567</v>
      </c>
      <c r="E1792" s="11" t="s">
        <v>26</v>
      </c>
      <c r="F1792" s="11" t="s">
        <v>6371</v>
      </c>
      <c r="G1792" s="11" t="s">
        <v>28</v>
      </c>
      <c r="H1792" s="11" t="s">
        <v>6371</v>
      </c>
      <c r="I1792" s="11" t="s">
        <v>6372</v>
      </c>
      <c r="J1792" s="12">
        <v>0.91559999999999997</v>
      </c>
      <c r="K1792" s="13">
        <v>1</v>
      </c>
      <c r="L1792" s="14">
        <v>391</v>
      </c>
      <c r="M1792" s="10">
        <v>358</v>
      </c>
      <c r="N1792" s="10">
        <v>43206</v>
      </c>
      <c r="O1792" s="10">
        <v>28074</v>
      </c>
      <c r="P1792" s="10">
        <v>71280</v>
      </c>
    </row>
    <row r="1793" spans="1:16" ht="27" customHeight="1" x14ac:dyDescent="0.2">
      <c r="A1793" s="9" t="s">
        <v>6368</v>
      </c>
      <c r="B1793" s="10" t="s">
        <v>6568</v>
      </c>
      <c r="C1793" s="11" t="s">
        <v>18</v>
      </c>
      <c r="D1793" s="11" t="s">
        <v>19</v>
      </c>
      <c r="E1793" s="11" t="s">
        <v>19</v>
      </c>
      <c r="F1793" s="11" t="s">
        <v>1883</v>
      </c>
      <c r="G1793" s="11" t="s">
        <v>83</v>
      </c>
      <c r="H1793" s="11" t="s">
        <v>6569</v>
      </c>
      <c r="I1793" s="11" t="s">
        <v>6570</v>
      </c>
      <c r="J1793" s="12">
        <v>0.75129999999999997</v>
      </c>
      <c r="K1793" s="13">
        <v>17</v>
      </c>
      <c r="L1793" s="14">
        <v>8923</v>
      </c>
      <c r="M1793" s="10">
        <v>2782</v>
      </c>
      <c r="N1793" s="10">
        <v>986006</v>
      </c>
      <c r="O1793" s="10">
        <v>218161</v>
      </c>
      <c r="P1793" s="10">
        <v>1204167</v>
      </c>
    </row>
    <row r="1794" spans="1:16" ht="27" customHeight="1" x14ac:dyDescent="0.2">
      <c r="A1794" s="9" t="s">
        <v>6368</v>
      </c>
      <c r="B1794" s="10" t="s">
        <v>6571</v>
      </c>
      <c r="C1794" s="11" t="s">
        <v>18</v>
      </c>
      <c r="D1794" s="11" t="s">
        <v>19</v>
      </c>
      <c r="E1794" s="11" t="s">
        <v>19</v>
      </c>
      <c r="F1794" s="11" t="s">
        <v>6572</v>
      </c>
      <c r="G1794" s="11" t="s">
        <v>83</v>
      </c>
      <c r="H1794" s="11" t="s">
        <v>6573</v>
      </c>
      <c r="I1794" s="11" t="s">
        <v>6574</v>
      </c>
      <c r="J1794" s="12">
        <v>0.67820000000000003</v>
      </c>
      <c r="K1794" s="13">
        <v>17</v>
      </c>
      <c r="L1794" s="14">
        <v>6047</v>
      </c>
      <c r="M1794" s="10">
        <v>3331</v>
      </c>
      <c r="N1794" s="10">
        <v>668203</v>
      </c>
      <c r="O1794" s="10">
        <v>261211</v>
      </c>
      <c r="P1794" s="10">
        <v>929414</v>
      </c>
    </row>
    <row r="1795" spans="1:16" ht="27" customHeight="1" x14ac:dyDescent="0.2">
      <c r="A1795" s="9" t="s">
        <v>6368</v>
      </c>
      <c r="B1795" s="10" t="s">
        <v>6571</v>
      </c>
      <c r="C1795" s="11" t="s">
        <v>6575</v>
      </c>
      <c r="D1795" s="11" t="s">
        <v>6576</v>
      </c>
      <c r="E1795" s="11" t="s">
        <v>26</v>
      </c>
      <c r="F1795" s="11" t="s">
        <v>6577</v>
      </c>
      <c r="G1795" s="11" t="s">
        <v>28</v>
      </c>
      <c r="H1795" s="11" t="s">
        <v>6577</v>
      </c>
      <c r="I1795" s="11" t="s">
        <v>6578</v>
      </c>
      <c r="J1795" s="12">
        <v>0.38740000000000002</v>
      </c>
      <c r="K1795" s="13">
        <v>1</v>
      </c>
      <c r="L1795" s="14">
        <v>364</v>
      </c>
      <c r="M1795" s="10">
        <v>141</v>
      </c>
      <c r="N1795" s="10">
        <v>40223</v>
      </c>
      <c r="O1795" s="10">
        <v>11057</v>
      </c>
      <c r="P1795" s="10">
        <v>51280</v>
      </c>
    </row>
    <row r="1796" spans="1:16" ht="27" customHeight="1" x14ac:dyDescent="0.2">
      <c r="A1796" s="9" t="s">
        <v>6368</v>
      </c>
      <c r="B1796" s="10" t="s">
        <v>6571</v>
      </c>
      <c r="C1796" s="11" t="s">
        <v>6579</v>
      </c>
      <c r="D1796" s="11" t="s">
        <v>6580</v>
      </c>
      <c r="E1796" s="11" t="s">
        <v>26</v>
      </c>
      <c r="F1796" s="11" t="s">
        <v>6581</v>
      </c>
      <c r="G1796" s="11" t="s">
        <v>28</v>
      </c>
      <c r="H1796" s="11" t="s">
        <v>6581</v>
      </c>
      <c r="I1796" s="11" t="s">
        <v>6582</v>
      </c>
      <c r="J1796" s="12">
        <v>0.67789999999999995</v>
      </c>
      <c r="K1796" s="13">
        <v>1</v>
      </c>
      <c r="L1796" s="14">
        <v>565</v>
      </c>
      <c r="M1796" s="10">
        <v>383</v>
      </c>
      <c r="N1796" s="10">
        <v>62433</v>
      </c>
      <c r="O1796" s="10">
        <v>30034</v>
      </c>
      <c r="P1796" s="10">
        <v>92467</v>
      </c>
    </row>
    <row r="1797" spans="1:16" ht="27" customHeight="1" x14ac:dyDescent="0.2">
      <c r="A1797" s="9" t="s">
        <v>6368</v>
      </c>
      <c r="B1797" s="10" t="s">
        <v>6571</v>
      </c>
      <c r="C1797" s="11" t="s">
        <v>6583</v>
      </c>
      <c r="D1797" s="11" t="s">
        <v>6584</v>
      </c>
      <c r="E1797" s="11" t="s">
        <v>26</v>
      </c>
      <c r="F1797" s="11" t="s">
        <v>6585</v>
      </c>
      <c r="G1797" s="11" t="s">
        <v>28</v>
      </c>
      <c r="H1797" s="11" t="s">
        <v>6585</v>
      </c>
      <c r="I1797" s="11" t="s">
        <v>6586</v>
      </c>
      <c r="J1797" s="12">
        <v>0.56810000000000005</v>
      </c>
      <c r="K1797" s="13">
        <v>1</v>
      </c>
      <c r="L1797" s="14">
        <v>558</v>
      </c>
      <c r="M1797" s="10">
        <v>317</v>
      </c>
      <c r="N1797" s="10">
        <v>61660</v>
      </c>
      <c r="O1797" s="10">
        <v>24859</v>
      </c>
      <c r="P1797" s="10">
        <v>86519</v>
      </c>
    </row>
    <row r="1798" spans="1:16" ht="27" customHeight="1" x14ac:dyDescent="0.2">
      <c r="A1798" s="9" t="s">
        <v>6368</v>
      </c>
      <c r="B1798" s="10" t="s">
        <v>6571</v>
      </c>
      <c r="C1798" s="11" t="s">
        <v>6587</v>
      </c>
      <c r="D1798" s="11" t="s">
        <v>6588</v>
      </c>
      <c r="E1798" s="11" t="s">
        <v>26</v>
      </c>
      <c r="F1798" s="11" t="s">
        <v>6589</v>
      </c>
      <c r="G1798" s="11" t="s">
        <v>28</v>
      </c>
      <c r="H1798" s="11" t="s">
        <v>6371</v>
      </c>
      <c r="I1798" s="11" t="s">
        <v>6372</v>
      </c>
      <c r="J1798" s="12">
        <v>0.91559999999999997</v>
      </c>
      <c r="K1798" s="13">
        <v>1</v>
      </c>
      <c r="L1798" s="14">
        <v>447</v>
      </c>
      <c r="M1798" s="10">
        <v>310</v>
      </c>
      <c r="N1798" s="10">
        <v>49394</v>
      </c>
      <c r="O1798" s="10">
        <v>24310</v>
      </c>
      <c r="P1798" s="10">
        <v>73704</v>
      </c>
    </row>
    <row r="1799" spans="1:16" ht="27" customHeight="1" x14ac:dyDescent="0.2">
      <c r="A1799" s="9" t="s">
        <v>6368</v>
      </c>
      <c r="B1799" s="10" t="s">
        <v>6571</v>
      </c>
      <c r="C1799" s="11" t="s">
        <v>6590</v>
      </c>
      <c r="D1799" s="11" t="s">
        <v>6591</v>
      </c>
      <c r="E1799" s="11" t="s">
        <v>26</v>
      </c>
      <c r="F1799" s="11" t="s">
        <v>6592</v>
      </c>
      <c r="G1799" s="11" t="s">
        <v>28</v>
      </c>
      <c r="H1799" s="11" t="s">
        <v>6371</v>
      </c>
      <c r="I1799" s="11" t="s">
        <v>6372</v>
      </c>
      <c r="J1799" s="12">
        <v>0.91559999999999997</v>
      </c>
      <c r="K1799" s="13">
        <v>1</v>
      </c>
      <c r="L1799" s="14">
        <v>221</v>
      </c>
      <c r="M1799" s="10">
        <v>177</v>
      </c>
      <c r="N1799" s="10">
        <v>24421</v>
      </c>
      <c r="O1799" s="10">
        <v>13880</v>
      </c>
      <c r="P1799" s="10">
        <v>38301</v>
      </c>
    </row>
    <row r="1800" spans="1:16" ht="27" customHeight="1" x14ac:dyDescent="0.2">
      <c r="A1800" s="9" t="s">
        <v>6368</v>
      </c>
      <c r="B1800" s="10" t="s">
        <v>6593</v>
      </c>
      <c r="C1800" s="11" t="s">
        <v>18</v>
      </c>
      <c r="D1800" s="11" t="s">
        <v>19</v>
      </c>
      <c r="E1800" s="11" t="s">
        <v>19</v>
      </c>
      <c r="F1800" s="11" t="s">
        <v>6594</v>
      </c>
      <c r="G1800" s="11" t="s">
        <v>83</v>
      </c>
      <c r="H1800" s="11" t="s">
        <v>6371</v>
      </c>
      <c r="I1800" s="11" t="s">
        <v>6372</v>
      </c>
      <c r="J1800" s="12">
        <v>0.91559999999999997</v>
      </c>
      <c r="K1800" s="13">
        <v>7</v>
      </c>
      <c r="L1800" s="14">
        <v>9978</v>
      </c>
      <c r="M1800" s="10">
        <v>1118</v>
      </c>
      <c r="N1800" s="10">
        <v>1102585</v>
      </c>
      <c r="O1800" s="10">
        <v>87673</v>
      </c>
      <c r="P1800" s="10">
        <v>1190258</v>
      </c>
    </row>
    <row r="1801" spans="1:16" ht="27" customHeight="1" x14ac:dyDescent="0.2">
      <c r="A1801" s="9" t="s">
        <v>6368</v>
      </c>
      <c r="B1801" s="10" t="s">
        <v>6595</v>
      </c>
      <c r="C1801" s="11" t="s">
        <v>18</v>
      </c>
      <c r="D1801" s="11" t="s">
        <v>19</v>
      </c>
      <c r="E1801" s="11" t="s">
        <v>19</v>
      </c>
      <c r="F1801" s="11" t="s">
        <v>6596</v>
      </c>
      <c r="G1801" s="11" t="s">
        <v>83</v>
      </c>
      <c r="H1801" s="11" t="s">
        <v>6597</v>
      </c>
      <c r="I1801" s="11" t="s">
        <v>6598</v>
      </c>
      <c r="J1801" s="12">
        <v>0.82940000000000003</v>
      </c>
      <c r="K1801" s="13">
        <v>16</v>
      </c>
      <c r="L1801" s="14">
        <v>10609</v>
      </c>
      <c r="M1801" s="10">
        <v>5337</v>
      </c>
      <c r="N1801" s="10">
        <v>1172312</v>
      </c>
      <c r="O1801" s="10">
        <v>418522</v>
      </c>
      <c r="P1801" s="10">
        <v>1590834</v>
      </c>
    </row>
    <row r="1802" spans="1:16" ht="27" customHeight="1" x14ac:dyDescent="0.2">
      <c r="A1802" s="9" t="s">
        <v>6368</v>
      </c>
      <c r="B1802" s="10" t="s">
        <v>6595</v>
      </c>
      <c r="C1802" s="11" t="s">
        <v>6599</v>
      </c>
      <c r="D1802" s="11" t="s">
        <v>6600</v>
      </c>
      <c r="E1802" s="11" t="s">
        <v>26</v>
      </c>
      <c r="F1802" s="11" t="s">
        <v>6601</v>
      </c>
      <c r="G1802" s="11" t="s">
        <v>28</v>
      </c>
      <c r="H1802" s="11" t="s">
        <v>6601</v>
      </c>
      <c r="I1802" s="11" t="s">
        <v>6602</v>
      </c>
      <c r="J1802" s="12">
        <v>0.37869999999999998</v>
      </c>
      <c r="K1802" s="13">
        <v>1</v>
      </c>
      <c r="L1802" s="14">
        <v>544</v>
      </c>
      <c r="M1802" s="10">
        <v>206</v>
      </c>
      <c r="N1802" s="10">
        <v>60113</v>
      </c>
      <c r="O1802" s="10">
        <v>16154</v>
      </c>
      <c r="P1802" s="10">
        <v>76267</v>
      </c>
    </row>
    <row r="1803" spans="1:16" ht="27" customHeight="1" x14ac:dyDescent="0.2">
      <c r="A1803" s="9" t="s">
        <v>6368</v>
      </c>
      <c r="B1803" s="10" t="s">
        <v>6603</v>
      </c>
      <c r="C1803" s="11" t="s">
        <v>18</v>
      </c>
      <c r="D1803" s="11" t="s">
        <v>19</v>
      </c>
      <c r="E1803" s="11" t="s">
        <v>19</v>
      </c>
      <c r="F1803" s="11" t="s">
        <v>6604</v>
      </c>
      <c r="G1803" s="11" t="s">
        <v>83</v>
      </c>
      <c r="H1803" s="11" t="s">
        <v>1569</v>
      </c>
      <c r="I1803" s="11" t="s">
        <v>6605</v>
      </c>
      <c r="J1803" s="12">
        <v>0.13700000000000001</v>
      </c>
      <c r="K1803" s="13">
        <v>2</v>
      </c>
      <c r="L1803" s="14">
        <v>74</v>
      </c>
      <c r="M1803" s="10">
        <v>10</v>
      </c>
      <c r="N1803" s="10">
        <v>8177</v>
      </c>
      <c r="O1803" s="10">
        <v>784</v>
      </c>
      <c r="P1803" s="10">
        <v>8961</v>
      </c>
    </row>
    <row r="1804" spans="1:16" ht="27" customHeight="1" x14ac:dyDescent="0.2">
      <c r="A1804" s="9" t="s">
        <v>6368</v>
      </c>
      <c r="B1804" s="10" t="s">
        <v>6606</v>
      </c>
      <c r="C1804" s="11" t="s">
        <v>18</v>
      </c>
      <c r="D1804" s="11" t="s">
        <v>19</v>
      </c>
      <c r="E1804" s="11" t="s">
        <v>19</v>
      </c>
      <c r="F1804" s="11" t="s">
        <v>6607</v>
      </c>
      <c r="G1804" s="11" t="s">
        <v>83</v>
      </c>
      <c r="H1804" s="11" t="s">
        <v>6608</v>
      </c>
      <c r="I1804" s="11" t="s">
        <v>6609</v>
      </c>
      <c r="J1804" s="12">
        <v>0.10150000000000001</v>
      </c>
      <c r="K1804" s="13">
        <v>3</v>
      </c>
      <c r="L1804" s="14">
        <v>434</v>
      </c>
      <c r="M1804" s="10">
        <v>39</v>
      </c>
      <c r="N1804" s="10">
        <v>47958</v>
      </c>
      <c r="O1804" s="10">
        <v>3058</v>
      </c>
      <c r="P1804" s="10">
        <v>51016</v>
      </c>
    </row>
    <row r="1805" spans="1:16" ht="27" customHeight="1" x14ac:dyDescent="0.2">
      <c r="A1805" s="9" t="s">
        <v>6368</v>
      </c>
      <c r="B1805" s="10" t="s">
        <v>6610</v>
      </c>
      <c r="C1805" s="11" t="s">
        <v>18</v>
      </c>
      <c r="D1805" s="11" t="s">
        <v>19</v>
      </c>
      <c r="E1805" s="11" t="s">
        <v>19</v>
      </c>
      <c r="F1805" s="11" t="s">
        <v>6611</v>
      </c>
      <c r="G1805" s="11" t="s">
        <v>83</v>
      </c>
      <c r="H1805" s="11" t="s">
        <v>6612</v>
      </c>
      <c r="I1805" s="11" t="s">
        <v>6613</v>
      </c>
      <c r="J1805" s="12">
        <v>0.1636</v>
      </c>
      <c r="K1805" s="13">
        <v>11</v>
      </c>
      <c r="L1805" s="14">
        <v>3372</v>
      </c>
      <c r="M1805" s="10">
        <v>225</v>
      </c>
      <c r="N1805" s="10">
        <v>372612</v>
      </c>
      <c r="O1805" s="10">
        <v>17644</v>
      </c>
      <c r="P1805" s="10">
        <v>390256</v>
      </c>
    </row>
    <row r="1806" spans="1:16" ht="27" customHeight="1" x14ac:dyDescent="0.2">
      <c r="A1806" s="9" t="s">
        <v>6368</v>
      </c>
      <c r="B1806" s="10" t="s">
        <v>6614</v>
      </c>
      <c r="C1806" s="11" t="s">
        <v>18</v>
      </c>
      <c r="D1806" s="11" t="s">
        <v>19</v>
      </c>
      <c r="E1806" s="11" t="s">
        <v>19</v>
      </c>
      <c r="F1806" s="11" t="s">
        <v>6615</v>
      </c>
      <c r="G1806" s="11" t="s">
        <v>83</v>
      </c>
      <c r="H1806" s="11" t="s">
        <v>6616</v>
      </c>
      <c r="I1806" s="11" t="s">
        <v>6617</v>
      </c>
      <c r="J1806" s="12">
        <v>4.9000000000000002E-2</v>
      </c>
      <c r="K1806" s="13">
        <v>6</v>
      </c>
      <c r="L1806" s="14">
        <v>2627</v>
      </c>
      <c r="M1806" s="10">
        <v>102</v>
      </c>
      <c r="N1806" s="10">
        <v>290288</v>
      </c>
      <c r="O1806" s="10">
        <v>8000</v>
      </c>
      <c r="P1806" s="10">
        <v>298288</v>
      </c>
    </row>
    <row r="1807" spans="1:16" ht="27" customHeight="1" x14ac:dyDescent="0.2">
      <c r="A1807" s="9" t="s">
        <v>6368</v>
      </c>
      <c r="B1807" s="10" t="s">
        <v>6618</v>
      </c>
      <c r="C1807" s="11" t="s">
        <v>18</v>
      </c>
      <c r="D1807" s="11" t="s">
        <v>19</v>
      </c>
      <c r="E1807" s="11" t="s">
        <v>19</v>
      </c>
      <c r="F1807" s="11" t="s">
        <v>6619</v>
      </c>
      <c r="G1807" s="11" t="s">
        <v>83</v>
      </c>
      <c r="H1807" s="11" t="s">
        <v>6371</v>
      </c>
      <c r="I1807" s="11" t="s">
        <v>6372</v>
      </c>
      <c r="J1807" s="12">
        <v>0.91559999999999997</v>
      </c>
      <c r="K1807" s="13">
        <v>3</v>
      </c>
      <c r="L1807" s="14">
        <v>3261</v>
      </c>
      <c r="M1807" s="10">
        <v>357</v>
      </c>
      <c r="N1807" s="10">
        <v>360346</v>
      </c>
      <c r="O1807" s="10">
        <v>27995</v>
      </c>
      <c r="P1807" s="10">
        <v>388341</v>
      </c>
    </row>
    <row r="1808" spans="1:16" ht="27" customHeight="1" x14ac:dyDescent="0.2">
      <c r="A1808" s="9" t="s">
        <v>6368</v>
      </c>
      <c r="B1808" s="10" t="s">
        <v>6620</v>
      </c>
      <c r="C1808" s="11" t="s">
        <v>18</v>
      </c>
      <c r="D1808" s="11" t="s">
        <v>19</v>
      </c>
      <c r="E1808" s="11" t="s">
        <v>19</v>
      </c>
      <c r="F1808" s="11" t="s">
        <v>6621</v>
      </c>
      <c r="G1808" s="11" t="s">
        <v>83</v>
      </c>
      <c r="H1808" s="11" t="s">
        <v>6622</v>
      </c>
      <c r="I1808" s="11" t="s">
        <v>6623</v>
      </c>
      <c r="J1808" s="12">
        <v>0.82940000000000003</v>
      </c>
      <c r="K1808" s="13">
        <v>2</v>
      </c>
      <c r="L1808" s="14">
        <v>457</v>
      </c>
      <c r="M1808" s="10">
        <v>379</v>
      </c>
      <c r="N1808" s="10">
        <v>50500</v>
      </c>
      <c r="O1808" s="10">
        <v>29721</v>
      </c>
      <c r="P1808" s="10">
        <v>80221</v>
      </c>
    </row>
    <row r="1809" spans="1:16" ht="27" customHeight="1" x14ac:dyDescent="0.2">
      <c r="A1809" s="9" t="s">
        <v>6368</v>
      </c>
      <c r="B1809" s="10" t="s">
        <v>6624</v>
      </c>
      <c r="C1809" s="11" t="s">
        <v>18</v>
      </c>
      <c r="D1809" s="11" t="s">
        <v>19</v>
      </c>
      <c r="E1809" s="11" t="s">
        <v>19</v>
      </c>
      <c r="F1809" s="11" t="s">
        <v>6625</v>
      </c>
      <c r="G1809" s="11" t="s">
        <v>83</v>
      </c>
      <c r="H1809" s="11" t="s">
        <v>6626</v>
      </c>
      <c r="I1809" s="11" t="s">
        <v>6627</v>
      </c>
      <c r="J1809" s="12">
        <v>0.84750000000000003</v>
      </c>
      <c r="K1809" s="13">
        <v>8</v>
      </c>
      <c r="L1809" s="14">
        <v>4013</v>
      </c>
      <c r="M1809" s="10">
        <v>1375</v>
      </c>
      <c r="N1809" s="10">
        <v>443444</v>
      </c>
      <c r="O1809" s="10">
        <v>107826</v>
      </c>
      <c r="P1809" s="10">
        <v>551270</v>
      </c>
    </row>
    <row r="1810" spans="1:16" ht="27" customHeight="1" x14ac:dyDescent="0.2">
      <c r="A1810" s="9" t="s">
        <v>6368</v>
      </c>
      <c r="B1810" s="10" t="s">
        <v>6628</v>
      </c>
      <c r="C1810" s="11" t="s">
        <v>18</v>
      </c>
      <c r="D1810" s="11" t="s">
        <v>19</v>
      </c>
      <c r="E1810" s="11" t="s">
        <v>19</v>
      </c>
      <c r="F1810" s="11" t="s">
        <v>6629</v>
      </c>
      <c r="G1810" s="11" t="s">
        <v>83</v>
      </c>
      <c r="H1810" s="11" t="s">
        <v>6630</v>
      </c>
      <c r="I1810" s="11" t="s">
        <v>6631</v>
      </c>
      <c r="J1810" s="12">
        <v>0.68089999999999995</v>
      </c>
      <c r="K1810" s="13">
        <v>14</v>
      </c>
      <c r="L1810" s="14">
        <v>8054</v>
      </c>
      <c r="M1810" s="10">
        <v>3105</v>
      </c>
      <c r="N1810" s="10">
        <v>889982</v>
      </c>
      <c r="O1810" s="10">
        <v>243491</v>
      </c>
      <c r="P1810" s="10">
        <v>1133473</v>
      </c>
    </row>
    <row r="1811" spans="1:16" ht="27" customHeight="1" x14ac:dyDescent="0.2">
      <c r="A1811" s="9" t="s">
        <v>6368</v>
      </c>
      <c r="B1811" s="10" t="s">
        <v>6628</v>
      </c>
      <c r="C1811" s="11" t="s">
        <v>6632</v>
      </c>
      <c r="D1811" s="11" t="s">
        <v>6633</v>
      </c>
      <c r="E1811" s="11" t="s">
        <v>26</v>
      </c>
      <c r="F1811" s="11" t="s">
        <v>6634</v>
      </c>
      <c r="G1811" s="11" t="s">
        <v>28</v>
      </c>
      <c r="H1811" s="11" t="s">
        <v>6634</v>
      </c>
      <c r="I1811" s="11" t="s">
        <v>6635</v>
      </c>
      <c r="J1811" s="12">
        <v>8.1000000000000003E-2</v>
      </c>
      <c r="K1811" s="13">
        <v>1</v>
      </c>
      <c r="L1811" s="14">
        <v>654</v>
      </c>
      <c r="M1811" s="10">
        <v>53</v>
      </c>
      <c r="N1811" s="10">
        <v>72268</v>
      </c>
      <c r="O1811" s="10">
        <v>4156</v>
      </c>
      <c r="P1811" s="10">
        <v>76424</v>
      </c>
    </row>
    <row r="1812" spans="1:16" ht="27" customHeight="1" x14ac:dyDescent="0.2">
      <c r="A1812" s="9" t="s">
        <v>6368</v>
      </c>
      <c r="B1812" s="10" t="s">
        <v>6636</v>
      </c>
      <c r="C1812" s="11" t="s">
        <v>18</v>
      </c>
      <c r="D1812" s="11" t="s">
        <v>19</v>
      </c>
      <c r="E1812" s="11" t="s">
        <v>19</v>
      </c>
      <c r="F1812" s="11" t="s">
        <v>6637</v>
      </c>
      <c r="G1812" s="11" t="s">
        <v>83</v>
      </c>
      <c r="H1812" s="11" t="s">
        <v>6638</v>
      </c>
      <c r="I1812" s="11" t="s">
        <v>6639</v>
      </c>
      <c r="J1812" s="12">
        <v>0.80649999999999999</v>
      </c>
      <c r="K1812" s="13">
        <v>13</v>
      </c>
      <c r="L1812" s="14">
        <v>4680</v>
      </c>
      <c r="M1812" s="10">
        <v>1416</v>
      </c>
      <c r="N1812" s="10">
        <v>517149</v>
      </c>
      <c r="O1812" s="10">
        <v>111042</v>
      </c>
      <c r="P1812" s="10">
        <v>628191</v>
      </c>
    </row>
    <row r="1813" spans="1:16" ht="27" customHeight="1" x14ac:dyDescent="0.2">
      <c r="A1813" s="9" t="s">
        <v>6368</v>
      </c>
      <c r="B1813" s="10" t="s">
        <v>6640</v>
      </c>
      <c r="C1813" s="11" t="s">
        <v>18</v>
      </c>
      <c r="D1813" s="11" t="s">
        <v>19</v>
      </c>
      <c r="E1813" s="11" t="s">
        <v>19</v>
      </c>
      <c r="F1813" s="11" t="s">
        <v>6641</v>
      </c>
      <c r="G1813" s="11" t="s">
        <v>83</v>
      </c>
      <c r="H1813" s="11" t="s">
        <v>6371</v>
      </c>
      <c r="I1813" s="11" t="s">
        <v>6372</v>
      </c>
      <c r="J1813" s="12">
        <v>0.91559999999999997</v>
      </c>
      <c r="K1813" s="13">
        <v>4</v>
      </c>
      <c r="L1813" s="14">
        <v>4430</v>
      </c>
      <c r="M1813" s="10">
        <v>588</v>
      </c>
      <c r="N1813" s="10">
        <v>489523</v>
      </c>
      <c r="O1813" s="10">
        <v>46111</v>
      </c>
      <c r="P1813" s="10">
        <v>535634</v>
      </c>
    </row>
    <row r="1814" spans="1:16" ht="27" customHeight="1" x14ac:dyDescent="0.2">
      <c r="A1814" s="9" t="s">
        <v>6368</v>
      </c>
      <c r="B1814" s="10" t="s">
        <v>6642</v>
      </c>
      <c r="C1814" s="11" t="s">
        <v>18</v>
      </c>
      <c r="D1814" s="11" t="s">
        <v>19</v>
      </c>
      <c r="E1814" s="11" t="s">
        <v>19</v>
      </c>
      <c r="F1814" s="11" t="s">
        <v>6643</v>
      </c>
      <c r="G1814" s="11" t="s">
        <v>83</v>
      </c>
      <c r="H1814" s="11" t="s">
        <v>6644</v>
      </c>
      <c r="I1814" s="11" t="s">
        <v>6645</v>
      </c>
      <c r="J1814" s="12">
        <v>0.76619999999999999</v>
      </c>
      <c r="K1814" s="13">
        <v>5</v>
      </c>
      <c r="L1814" s="14">
        <v>1243</v>
      </c>
      <c r="M1814" s="10">
        <v>892</v>
      </c>
      <c r="N1814" s="10">
        <v>137354</v>
      </c>
      <c r="O1814" s="10">
        <v>69949</v>
      </c>
      <c r="P1814" s="10">
        <v>207303</v>
      </c>
    </row>
    <row r="1815" spans="1:16" ht="27" customHeight="1" x14ac:dyDescent="0.2">
      <c r="A1815" s="9" t="s">
        <v>6368</v>
      </c>
      <c r="B1815" s="10" t="s">
        <v>6642</v>
      </c>
      <c r="C1815" s="11" t="s">
        <v>6646</v>
      </c>
      <c r="D1815" s="11" t="s">
        <v>6647</v>
      </c>
      <c r="E1815" s="11" t="s">
        <v>57</v>
      </c>
      <c r="F1815" s="11" t="s">
        <v>6648</v>
      </c>
      <c r="G1815" s="11" t="s">
        <v>28</v>
      </c>
      <c r="H1815" s="11" t="s">
        <v>6648</v>
      </c>
      <c r="I1815" s="11" t="s">
        <v>6649</v>
      </c>
      <c r="J1815" s="12">
        <v>0.56210000000000004</v>
      </c>
      <c r="K1815" s="13">
        <v>1</v>
      </c>
      <c r="L1815" s="14">
        <v>427</v>
      </c>
      <c r="M1815" s="10">
        <v>240</v>
      </c>
      <c r="N1815" s="10">
        <v>47184</v>
      </c>
      <c r="O1815" s="10">
        <v>18821</v>
      </c>
      <c r="P1815" s="10">
        <v>66005</v>
      </c>
    </row>
    <row r="1816" spans="1:16" ht="27" customHeight="1" x14ac:dyDescent="0.2">
      <c r="A1816" s="9" t="s">
        <v>6368</v>
      </c>
      <c r="B1816" s="10" t="s">
        <v>6650</v>
      </c>
      <c r="C1816" s="11" t="s">
        <v>18</v>
      </c>
      <c r="D1816" s="11" t="s">
        <v>19</v>
      </c>
      <c r="E1816" s="11" t="s">
        <v>19</v>
      </c>
      <c r="F1816" s="11" t="s">
        <v>6651</v>
      </c>
      <c r="G1816" s="11" t="s">
        <v>83</v>
      </c>
      <c r="H1816" s="11" t="s">
        <v>6652</v>
      </c>
      <c r="I1816" s="11" t="s">
        <v>6653</v>
      </c>
      <c r="J1816" s="12">
        <v>0.61199999999999999</v>
      </c>
      <c r="K1816" s="13">
        <v>19</v>
      </c>
      <c r="L1816" s="14">
        <v>8731</v>
      </c>
      <c r="M1816" s="10">
        <v>3148</v>
      </c>
      <c r="N1816" s="10">
        <v>964791</v>
      </c>
      <c r="O1816" s="10">
        <v>246863</v>
      </c>
      <c r="P1816" s="10">
        <v>1211654</v>
      </c>
    </row>
    <row r="1817" spans="1:16" ht="27" customHeight="1" x14ac:dyDescent="0.2">
      <c r="A1817" s="9" t="s">
        <v>6368</v>
      </c>
      <c r="B1817" s="10" t="s">
        <v>6654</v>
      </c>
      <c r="C1817" s="11" t="s">
        <v>18</v>
      </c>
      <c r="D1817" s="11" t="s">
        <v>19</v>
      </c>
      <c r="E1817" s="11" t="s">
        <v>19</v>
      </c>
      <c r="F1817" s="11" t="s">
        <v>6655</v>
      </c>
      <c r="G1817" s="11" t="s">
        <v>83</v>
      </c>
      <c r="H1817" s="11" t="s">
        <v>6655</v>
      </c>
      <c r="I1817" s="11" t="s">
        <v>6656</v>
      </c>
      <c r="J1817" s="12">
        <v>0.43909999999999999</v>
      </c>
      <c r="K1817" s="13">
        <v>2</v>
      </c>
      <c r="L1817" s="14">
        <v>777</v>
      </c>
      <c r="M1817" s="10">
        <v>341</v>
      </c>
      <c r="N1817" s="10">
        <v>85860</v>
      </c>
      <c r="O1817" s="10">
        <v>26741</v>
      </c>
      <c r="P1817" s="10">
        <v>112601</v>
      </c>
    </row>
    <row r="1818" spans="1:16" ht="27" customHeight="1" x14ac:dyDescent="0.2">
      <c r="A1818" s="9" t="s">
        <v>6368</v>
      </c>
      <c r="B1818" s="15" t="s">
        <v>6657</v>
      </c>
      <c r="C1818" s="11" t="s">
        <v>18</v>
      </c>
      <c r="D1818" s="11" t="s">
        <v>19</v>
      </c>
      <c r="E1818" s="11" t="s">
        <v>19</v>
      </c>
      <c r="F1818" s="11" t="s">
        <v>6658</v>
      </c>
      <c r="G1818" s="11" t="s">
        <v>83</v>
      </c>
      <c r="H1818" s="11" t="s">
        <v>6659</v>
      </c>
      <c r="I1818" s="11" t="s">
        <v>6660</v>
      </c>
      <c r="J1818" s="12">
        <v>0.4</v>
      </c>
      <c r="K1818" s="13">
        <v>20</v>
      </c>
      <c r="L1818" s="14">
        <v>10363</v>
      </c>
      <c r="M1818" s="10">
        <v>1201</v>
      </c>
      <c r="N1818" s="10">
        <v>1145128</v>
      </c>
      <c r="O1818" s="10">
        <v>94181</v>
      </c>
      <c r="P1818" s="10">
        <v>1239309</v>
      </c>
    </row>
    <row r="1819" spans="1:16" ht="27" customHeight="1" x14ac:dyDescent="0.2">
      <c r="A1819" s="9" t="s">
        <v>6368</v>
      </c>
      <c r="B1819" s="10" t="s">
        <v>6661</v>
      </c>
      <c r="C1819" s="11" t="s">
        <v>18</v>
      </c>
      <c r="D1819" s="11" t="s">
        <v>19</v>
      </c>
      <c r="E1819" s="11" t="s">
        <v>19</v>
      </c>
      <c r="F1819" s="11" t="s">
        <v>6662</v>
      </c>
      <c r="G1819" s="11" t="s">
        <v>83</v>
      </c>
      <c r="H1819" s="11" t="s">
        <v>948</v>
      </c>
      <c r="I1819" s="11" t="s">
        <v>6663</v>
      </c>
      <c r="J1819" s="12">
        <v>0.83860000000000001</v>
      </c>
      <c r="K1819" s="13">
        <v>43</v>
      </c>
      <c r="L1819" s="14">
        <v>25441</v>
      </c>
      <c r="M1819" s="10">
        <v>10529</v>
      </c>
      <c r="N1819" s="10">
        <v>2811273</v>
      </c>
      <c r="O1819" s="10">
        <v>825676</v>
      </c>
      <c r="P1819" s="10">
        <v>3636949</v>
      </c>
    </row>
    <row r="1820" spans="1:16" ht="27" customHeight="1" x14ac:dyDescent="0.2">
      <c r="A1820" s="9" t="s">
        <v>6368</v>
      </c>
      <c r="B1820" s="10" t="s">
        <v>6661</v>
      </c>
      <c r="C1820" s="11" t="s">
        <v>6664</v>
      </c>
      <c r="D1820" s="11" t="s">
        <v>6665</v>
      </c>
      <c r="E1820" s="11" t="s">
        <v>26</v>
      </c>
      <c r="F1820" s="11" t="s">
        <v>6666</v>
      </c>
      <c r="G1820" s="11" t="s">
        <v>28</v>
      </c>
      <c r="H1820" s="11" t="s">
        <v>6371</v>
      </c>
      <c r="I1820" s="11" t="s">
        <v>6372</v>
      </c>
      <c r="J1820" s="12">
        <v>0.91559999999999997</v>
      </c>
      <c r="K1820" s="13">
        <v>1</v>
      </c>
      <c r="L1820" s="14">
        <v>294</v>
      </c>
      <c r="M1820" s="10">
        <v>233</v>
      </c>
      <c r="N1820" s="10">
        <v>32487</v>
      </c>
      <c r="O1820" s="10">
        <v>18272</v>
      </c>
      <c r="P1820" s="10">
        <v>50759</v>
      </c>
    </row>
    <row r="1821" spans="1:16" ht="27" customHeight="1" x14ac:dyDescent="0.2">
      <c r="A1821" s="9" t="s">
        <v>6368</v>
      </c>
      <c r="B1821" s="10" t="s">
        <v>6661</v>
      </c>
      <c r="C1821" s="11" t="s">
        <v>6667</v>
      </c>
      <c r="D1821" s="11" t="s">
        <v>6668</v>
      </c>
      <c r="E1821" s="11" t="s">
        <v>26</v>
      </c>
      <c r="F1821" s="11" t="s">
        <v>6669</v>
      </c>
      <c r="G1821" s="11" t="s">
        <v>28</v>
      </c>
      <c r="H1821" s="11" t="s">
        <v>6371</v>
      </c>
      <c r="I1821" s="11" t="s">
        <v>6372</v>
      </c>
      <c r="J1821" s="12">
        <v>0.91559999999999997</v>
      </c>
      <c r="K1821" s="13">
        <v>1</v>
      </c>
      <c r="L1821" s="14">
        <v>239</v>
      </c>
      <c r="M1821" s="10">
        <v>193</v>
      </c>
      <c r="N1821" s="10">
        <v>26410</v>
      </c>
      <c r="O1821" s="10">
        <v>15135</v>
      </c>
      <c r="P1821" s="10">
        <v>41545</v>
      </c>
    </row>
    <row r="1822" spans="1:16" ht="27" customHeight="1" x14ac:dyDescent="0.2">
      <c r="A1822" s="9" t="s">
        <v>6368</v>
      </c>
      <c r="B1822" s="10" t="s">
        <v>6661</v>
      </c>
      <c r="C1822" s="11" t="s">
        <v>6670</v>
      </c>
      <c r="D1822" s="11" t="s">
        <v>6671</v>
      </c>
      <c r="E1822" s="11" t="s">
        <v>26</v>
      </c>
      <c r="F1822" s="11" t="s">
        <v>6672</v>
      </c>
      <c r="G1822" s="11" t="s">
        <v>28</v>
      </c>
      <c r="H1822" s="11" t="s">
        <v>6371</v>
      </c>
      <c r="I1822" s="11" t="s">
        <v>6372</v>
      </c>
      <c r="J1822" s="12">
        <v>0.91559999999999997</v>
      </c>
      <c r="K1822" s="13">
        <v>1</v>
      </c>
      <c r="L1822" s="14">
        <v>495</v>
      </c>
      <c r="M1822" s="10">
        <v>380</v>
      </c>
      <c r="N1822" s="10">
        <v>54698</v>
      </c>
      <c r="O1822" s="10">
        <v>29799</v>
      </c>
      <c r="P1822" s="10">
        <v>84497</v>
      </c>
    </row>
    <row r="1823" spans="1:16" ht="27" customHeight="1" x14ac:dyDescent="0.2">
      <c r="A1823" s="9" t="s">
        <v>6368</v>
      </c>
      <c r="B1823" s="10" t="s">
        <v>6673</v>
      </c>
      <c r="C1823" s="11" t="s">
        <v>18</v>
      </c>
      <c r="D1823" s="11" t="s">
        <v>19</v>
      </c>
      <c r="E1823" s="11" t="s">
        <v>19</v>
      </c>
      <c r="F1823" s="11" t="s">
        <v>6674</v>
      </c>
      <c r="G1823" s="11" t="s">
        <v>83</v>
      </c>
      <c r="H1823" s="11" t="s">
        <v>6675</v>
      </c>
      <c r="I1823" s="11" t="s">
        <v>6676</v>
      </c>
      <c r="J1823" s="12">
        <v>0.71209999999999996</v>
      </c>
      <c r="K1823" s="13">
        <v>31</v>
      </c>
      <c r="L1823" s="14">
        <v>14220</v>
      </c>
      <c r="M1823" s="10">
        <v>5832</v>
      </c>
      <c r="N1823" s="10">
        <v>1571339</v>
      </c>
      <c r="O1823" s="10">
        <v>457341</v>
      </c>
      <c r="P1823" s="10">
        <v>2028680</v>
      </c>
    </row>
    <row r="1824" spans="1:16" ht="27" customHeight="1" x14ac:dyDescent="0.2">
      <c r="A1824" s="9" t="s">
        <v>6368</v>
      </c>
      <c r="B1824" s="10" t="s">
        <v>6677</v>
      </c>
      <c r="C1824" s="11" t="s">
        <v>18</v>
      </c>
      <c r="D1824" s="11" t="s">
        <v>19</v>
      </c>
      <c r="E1824" s="11" t="s">
        <v>19</v>
      </c>
      <c r="F1824" s="11" t="s">
        <v>6678</v>
      </c>
      <c r="G1824" s="11" t="s">
        <v>83</v>
      </c>
      <c r="H1824" s="11" t="s">
        <v>954</v>
      </c>
      <c r="I1824" s="11" t="s">
        <v>6679</v>
      </c>
      <c r="J1824" s="12">
        <v>4.9700000000000001E-2</v>
      </c>
      <c r="K1824" s="13">
        <v>6</v>
      </c>
      <c r="L1824" s="14">
        <v>1630</v>
      </c>
      <c r="M1824" s="10">
        <v>53</v>
      </c>
      <c r="N1824" s="10">
        <v>180117</v>
      </c>
      <c r="O1824" s="10">
        <v>4156</v>
      </c>
      <c r="P1824" s="10">
        <v>184273</v>
      </c>
    </row>
    <row r="1825" spans="1:16" ht="27" customHeight="1" x14ac:dyDescent="0.2">
      <c r="A1825" s="9" t="s">
        <v>6368</v>
      </c>
      <c r="B1825" s="10" t="s">
        <v>6680</v>
      </c>
      <c r="C1825" s="11" t="s">
        <v>18</v>
      </c>
      <c r="D1825" s="11" t="s">
        <v>19</v>
      </c>
      <c r="E1825" s="11" t="s">
        <v>19</v>
      </c>
      <c r="F1825" s="11" t="s">
        <v>6681</v>
      </c>
      <c r="G1825" s="11" t="s">
        <v>83</v>
      </c>
      <c r="H1825" s="11" t="s">
        <v>1290</v>
      </c>
      <c r="I1825" s="11" t="s">
        <v>6682</v>
      </c>
      <c r="J1825" s="12">
        <v>0.56420000000000003</v>
      </c>
      <c r="K1825" s="13">
        <v>11</v>
      </c>
      <c r="L1825" s="14">
        <v>5603</v>
      </c>
      <c r="M1825" s="10">
        <v>1715</v>
      </c>
      <c r="N1825" s="10">
        <v>619142</v>
      </c>
      <c r="O1825" s="10">
        <v>134489</v>
      </c>
      <c r="P1825" s="10">
        <v>753631</v>
      </c>
    </row>
    <row r="1826" spans="1:16" ht="27" customHeight="1" x14ac:dyDescent="0.2">
      <c r="A1826" s="9" t="s">
        <v>6368</v>
      </c>
      <c r="B1826" s="10" t="s">
        <v>6683</v>
      </c>
      <c r="C1826" s="11" t="s">
        <v>18</v>
      </c>
      <c r="D1826" s="11" t="s">
        <v>19</v>
      </c>
      <c r="E1826" s="11" t="s">
        <v>19</v>
      </c>
      <c r="F1826" s="11" t="s">
        <v>6684</v>
      </c>
      <c r="G1826" s="11" t="s">
        <v>83</v>
      </c>
      <c r="H1826" s="11" t="s">
        <v>6685</v>
      </c>
      <c r="I1826" s="11" t="s">
        <v>6686</v>
      </c>
      <c r="J1826" s="12">
        <v>0.17599999999999999</v>
      </c>
      <c r="K1826" s="13">
        <v>9</v>
      </c>
      <c r="L1826" s="14">
        <v>5393</v>
      </c>
      <c r="M1826" s="10">
        <v>500</v>
      </c>
      <c r="N1826" s="10">
        <v>595935</v>
      </c>
      <c r="O1826" s="10">
        <v>39211</v>
      </c>
      <c r="P1826" s="10">
        <v>635146</v>
      </c>
    </row>
    <row r="1827" spans="1:16" ht="27" customHeight="1" x14ac:dyDescent="0.2">
      <c r="A1827" s="9" t="s">
        <v>6368</v>
      </c>
      <c r="B1827" s="10" t="s">
        <v>6687</v>
      </c>
      <c r="C1827" s="11" t="s">
        <v>18</v>
      </c>
      <c r="D1827" s="11" t="s">
        <v>19</v>
      </c>
      <c r="E1827" s="11" t="s">
        <v>19</v>
      </c>
      <c r="F1827" s="11" t="s">
        <v>6688</v>
      </c>
      <c r="G1827" s="11" t="s">
        <v>83</v>
      </c>
      <c r="H1827" s="11" t="s">
        <v>6689</v>
      </c>
      <c r="I1827" s="11" t="s">
        <v>6690</v>
      </c>
      <c r="J1827" s="12">
        <v>0.5423</v>
      </c>
      <c r="K1827" s="13">
        <v>16</v>
      </c>
      <c r="L1827" s="14">
        <v>10051</v>
      </c>
      <c r="M1827" s="10">
        <v>2848</v>
      </c>
      <c r="N1827" s="10">
        <v>1110652</v>
      </c>
      <c r="O1827" s="10">
        <v>223339</v>
      </c>
      <c r="P1827" s="10">
        <v>1333991</v>
      </c>
    </row>
    <row r="1828" spans="1:16" ht="27" customHeight="1" x14ac:dyDescent="0.2">
      <c r="A1828" s="9" t="s">
        <v>6368</v>
      </c>
      <c r="B1828" s="10" t="s">
        <v>6691</v>
      </c>
      <c r="C1828" s="11" t="s">
        <v>6692</v>
      </c>
      <c r="D1828" s="11" t="s">
        <v>6693</v>
      </c>
      <c r="E1828" s="11" t="s">
        <v>26</v>
      </c>
      <c r="F1828" s="11" t="s">
        <v>6694</v>
      </c>
      <c r="G1828" s="11" t="s">
        <v>28</v>
      </c>
      <c r="H1828" s="11" t="s">
        <v>6371</v>
      </c>
      <c r="I1828" s="11" t="s">
        <v>6372</v>
      </c>
      <c r="J1828" s="12">
        <v>0.91559999999999997</v>
      </c>
      <c r="K1828" s="13">
        <v>1</v>
      </c>
      <c r="L1828" s="14">
        <v>338</v>
      </c>
      <c r="M1828" s="10">
        <v>250</v>
      </c>
      <c r="N1828" s="10">
        <v>37350</v>
      </c>
      <c r="O1828" s="10">
        <v>19605</v>
      </c>
      <c r="P1828" s="10">
        <v>56955</v>
      </c>
    </row>
    <row r="1829" spans="1:16" ht="27" customHeight="1" x14ac:dyDescent="0.2">
      <c r="A1829" s="9" t="s">
        <v>6695</v>
      </c>
      <c r="B1829" s="10" t="s">
        <v>6696</v>
      </c>
      <c r="C1829" s="11" t="s">
        <v>18</v>
      </c>
      <c r="D1829" s="11" t="s">
        <v>19</v>
      </c>
      <c r="E1829" s="11" t="s">
        <v>19</v>
      </c>
      <c r="F1829" s="11" t="s">
        <v>6697</v>
      </c>
      <c r="G1829" s="11" t="s">
        <v>21</v>
      </c>
      <c r="H1829" s="11" t="s">
        <v>6698</v>
      </c>
      <c r="I1829" s="11" t="s">
        <v>6699</v>
      </c>
      <c r="J1829" s="12">
        <v>0.97509999999999997</v>
      </c>
      <c r="K1829" s="13">
        <v>4</v>
      </c>
      <c r="L1829" s="14">
        <v>917</v>
      </c>
      <c r="M1829" s="10">
        <v>449</v>
      </c>
      <c r="N1829" s="10">
        <v>101331</v>
      </c>
      <c r="O1829" s="10">
        <v>35210</v>
      </c>
      <c r="P1829" s="10">
        <v>136541</v>
      </c>
    </row>
    <row r="1830" spans="1:16" ht="27" customHeight="1" x14ac:dyDescent="0.2">
      <c r="A1830" s="9" t="s">
        <v>6695</v>
      </c>
      <c r="B1830" s="10" t="s">
        <v>6696</v>
      </c>
      <c r="C1830" s="11" t="s">
        <v>6700</v>
      </c>
      <c r="D1830" s="11" t="s">
        <v>6701</v>
      </c>
      <c r="E1830" s="11" t="s">
        <v>57</v>
      </c>
      <c r="F1830" s="11" t="s">
        <v>6702</v>
      </c>
      <c r="G1830" s="11" t="s">
        <v>28</v>
      </c>
      <c r="H1830" s="11" t="s">
        <v>6698</v>
      </c>
      <c r="I1830" s="11" t="s">
        <v>6699</v>
      </c>
      <c r="J1830" s="12">
        <v>0.97509999999999997</v>
      </c>
      <c r="K1830" s="13">
        <v>1</v>
      </c>
      <c r="L1830" s="14">
        <v>163</v>
      </c>
      <c r="M1830" s="10">
        <v>22</v>
      </c>
      <c r="N1830" s="10">
        <v>18012</v>
      </c>
      <c r="O1830" s="10">
        <v>1725</v>
      </c>
      <c r="P1830" s="10">
        <v>19737</v>
      </c>
    </row>
    <row r="1831" spans="1:16" ht="27" customHeight="1" x14ac:dyDescent="0.2">
      <c r="A1831" s="9" t="s">
        <v>6695</v>
      </c>
      <c r="B1831" s="10" t="s">
        <v>6696</v>
      </c>
      <c r="C1831" s="11" t="s">
        <v>6703</v>
      </c>
      <c r="D1831" s="11" t="s">
        <v>6704</v>
      </c>
      <c r="E1831" s="11" t="s">
        <v>26</v>
      </c>
      <c r="F1831" s="11" t="s">
        <v>6705</v>
      </c>
      <c r="G1831" s="11" t="s">
        <v>28</v>
      </c>
      <c r="H1831" s="11" t="s">
        <v>6698</v>
      </c>
      <c r="I1831" s="11" t="s">
        <v>6699</v>
      </c>
      <c r="J1831" s="12">
        <v>0.97509999999999997</v>
      </c>
      <c r="K1831" s="13">
        <v>1</v>
      </c>
      <c r="L1831" s="14">
        <v>533</v>
      </c>
      <c r="M1831" s="10">
        <v>48</v>
      </c>
      <c r="N1831" s="10">
        <v>58897</v>
      </c>
      <c r="O1831" s="10">
        <v>3764</v>
      </c>
      <c r="P1831" s="10">
        <v>62661</v>
      </c>
    </row>
    <row r="1832" spans="1:16" ht="27" customHeight="1" x14ac:dyDescent="0.2">
      <c r="A1832" s="9" t="s">
        <v>6695</v>
      </c>
      <c r="B1832" s="10" t="s">
        <v>6706</v>
      </c>
      <c r="C1832" s="11" t="s">
        <v>18</v>
      </c>
      <c r="D1832" s="11" t="s">
        <v>19</v>
      </c>
      <c r="E1832" s="11" t="s">
        <v>19</v>
      </c>
      <c r="F1832" s="11" t="s">
        <v>6707</v>
      </c>
      <c r="G1832" s="11" t="s">
        <v>83</v>
      </c>
      <c r="H1832" s="11" t="s">
        <v>6708</v>
      </c>
      <c r="I1832" s="11" t="s">
        <v>6709</v>
      </c>
      <c r="J1832" s="12">
        <v>0.13039999999999999</v>
      </c>
      <c r="K1832" s="13">
        <v>2</v>
      </c>
      <c r="L1832" s="14">
        <v>115</v>
      </c>
      <c r="M1832" s="10">
        <v>15</v>
      </c>
      <c r="N1832" s="10">
        <v>12708</v>
      </c>
      <c r="O1832" s="10">
        <v>1176</v>
      </c>
      <c r="P1832" s="10">
        <v>13884</v>
      </c>
    </row>
    <row r="1833" spans="1:16" ht="27" customHeight="1" x14ac:dyDescent="0.2">
      <c r="A1833" s="9" t="s">
        <v>6695</v>
      </c>
      <c r="B1833" s="10" t="s">
        <v>6710</v>
      </c>
      <c r="C1833" s="11" t="s">
        <v>18</v>
      </c>
      <c r="D1833" s="11" t="s">
        <v>19</v>
      </c>
      <c r="E1833" s="11" t="s">
        <v>19</v>
      </c>
      <c r="F1833" s="11" t="s">
        <v>6711</v>
      </c>
      <c r="G1833" s="11" t="s">
        <v>83</v>
      </c>
      <c r="H1833" s="11" t="s">
        <v>6711</v>
      </c>
      <c r="I1833" s="11" t="s">
        <v>6712</v>
      </c>
      <c r="J1833" s="12">
        <v>0.1</v>
      </c>
      <c r="K1833" s="13">
        <v>2</v>
      </c>
      <c r="L1833" s="14">
        <v>120</v>
      </c>
      <c r="M1833" s="10">
        <v>12</v>
      </c>
      <c r="N1833" s="10">
        <v>13260</v>
      </c>
      <c r="O1833" s="10">
        <v>941</v>
      </c>
      <c r="P1833" s="10">
        <v>14201</v>
      </c>
    </row>
    <row r="1834" spans="1:16" ht="27" customHeight="1" x14ac:dyDescent="0.2">
      <c r="A1834" s="9" t="s">
        <v>6695</v>
      </c>
      <c r="B1834" s="10" t="s">
        <v>6713</v>
      </c>
      <c r="C1834" s="11" t="s">
        <v>18</v>
      </c>
      <c r="D1834" s="11" t="s">
        <v>19</v>
      </c>
      <c r="E1834" s="11" t="s">
        <v>19</v>
      </c>
      <c r="F1834" s="11" t="s">
        <v>6714</v>
      </c>
      <c r="G1834" s="11" t="s">
        <v>83</v>
      </c>
      <c r="H1834" s="11" t="s">
        <v>6071</v>
      </c>
      <c r="I1834" s="11" t="s">
        <v>6715</v>
      </c>
      <c r="J1834" s="12">
        <v>0.50290000000000001</v>
      </c>
      <c r="K1834" s="13">
        <v>7</v>
      </c>
      <c r="L1834" s="14">
        <v>1599</v>
      </c>
      <c r="M1834" s="10">
        <v>840</v>
      </c>
      <c r="N1834" s="10">
        <v>176692</v>
      </c>
      <c r="O1834" s="10">
        <v>65871</v>
      </c>
      <c r="P1834" s="10">
        <v>242563</v>
      </c>
    </row>
    <row r="1835" spans="1:16" ht="27" customHeight="1" x14ac:dyDescent="0.2">
      <c r="A1835" s="9" t="s">
        <v>6695</v>
      </c>
      <c r="B1835" s="10" t="s">
        <v>6713</v>
      </c>
      <c r="C1835" s="11" t="s">
        <v>6716</v>
      </c>
      <c r="D1835" s="11" t="s">
        <v>6717</v>
      </c>
      <c r="E1835" s="11" t="s">
        <v>57</v>
      </c>
      <c r="F1835" s="11" t="s">
        <v>6718</v>
      </c>
      <c r="G1835" s="11" t="s">
        <v>28</v>
      </c>
      <c r="H1835" s="11" t="s">
        <v>6718</v>
      </c>
      <c r="I1835" s="11" t="s">
        <v>6719</v>
      </c>
      <c r="J1835" s="12">
        <v>0.28389999999999999</v>
      </c>
      <c r="K1835" s="13">
        <v>1</v>
      </c>
      <c r="L1835" s="14">
        <v>155</v>
      </c>
      <c r="M1835" s="10">
        <v>44</v>
      </c>
      <c r="N1835" s="10">
        <v>17128</v>
      </c>
      <c r="O1835" s="10">
        <v>3450</v>
      </c>
      <c r="P1835" s="10">
        <v>20578</v>
      </c>
    </row>
    <row r="1836" spans="1:16" ht="27" customHeight="1" x14ac:dyDescent="0.2">
      <c r="A1836" s="9" t="s">
        <v>6695</v>
      </c>
      <c r="B1836" s="10" t="s">
        <v>6720</v>
      </c>
      <c r="C1836" s="11" t="s">
        <v>18</v>
      </c>
      <c r="D1836" s="11" t="s">
        <v>19</v>
      </c>
      <c r="E1836" s="11" t="s">
        <v>19</v>
      </c>
      <c r="F1836" s="11" t="s">
        <v>6721</v>
      </c>
      <c r="G1836" s="11" t="s">
        <v>83</v>
      </c>
      <c r="H1836" s="11" t="s">
        <v>6721</v>
      </c>
      <c r="I1836" s="11" t="s">
        <v>6722</v>
      </c>
      <c r="J1836" s="12">
        <v>0.1938</v>
      </c>
      <c r="K1836" s="13">
        <v>2</v>
      </c>
      <c r="L1836" s="14">
        <v>161</v>
      </c>
      <c r="M1836" s="10">
        <v>31</v>
      </c>
      <c r="N1836" s="10">
        <v>17791</v>
      </c>
      <c r="O1836" s="10">
        <v>2431</v>
      </c>
      <c r="P1836" s="10">
        <v>20222</v>
      </c>
    </row>
    <row r="1837" spans="1:16" ht="27" customHeight="1" x14ac:dyDescent="0.2">
      <c r="A1837" s="9" t="s">
        <v>6695</v>
      </c>
      <c r="B1837" s="10" t="s">
        <v>6723</v>
      </c>
      <c r="C1837" s="11" t="s">
        <v>18</v>
      </c>
      <c r="D1837" s="11" t="s">
        <v>19</v>
      </c>
      <c r="E1837" s="11" t="s">
        <v>19</v>
      </c>
      <c r="F1837" s="11" t="s">
        <v>6724</v>
      </c>
      <c r="G1837" s="11" t="s">
        <v>83</v>
      </c>
      <c r="H1837" s="11" t="s">
        <v>6724</v>
      </c>
      <c r="I1837" s="11" t="s">
        <v>6725</v>
      </c>
      <c r="J1837" s="12">
        <v>0.35060000000000002</v>
      </c>
      <c r="K1837" s="13">
        <v>2</v>
      </c>
      <c r="L1837" s="14">
        <v>165</v>
      </c>
      <c r="M1837" s="10">
        <v>58</v>
      </c>
      <c r="N1837" s="10">
        <v>18233</v>
      </c>
      <c r="O1837" s="10">
        <v>4549</v>
      </c>
      <c r="P1837" s="10">
        <v>22782</v>
      </c>
    </row>
    <row r="1838" spans="1:16" ht="27" customHeight="1" x14ac:dyDescent="0.2">
      <c r="A1838" s="9" t="s">
        <v>6695</v>
      </c>
      <c r="B1838" s="10" t="s">
        <v>6726</v>
      </c>
      <c r="C1838" s="11" t="s">
        <v>18</v>
      </c>
      <c r="D1838" s="11" t="s">
        <v>19</v>
      </c>
      <c r="E1838" s="11" t="s">
        <v>19</v>
      </c>
      <c r="F1838" s="11" t="s">
        <v>6727</v>
      </c>
      <c r="G1838" s="11" t="s">
        <v>83</v>
      </c>
      <c r="H1838" s="11" t="s">
        <v>6698</v>
      </c>
      <c r="I1838" s="11" t="s">
        <v>6699</v>
      </c>
      <c r="J1838" s="12">
        <v>0.97509999999999997</v>
      </c>
      <c r="K1838" s="13">
        <v>30</v>
      </c>
      <c r="L1838" s="14">
        <v>16292</v>
      </c>
      <c r="M1838" s="10">
        <v>13410</v>
      </c>
      <c r="N1838" s="10">
        <v>1800295</v>
      </c>
      <c r="O1838" s="10">
        <v>1051598</v>
      </c>
      <c r="P1838" s="10">
        <v>2851893</v>
      </c>
    </row>
    <row r="1839" spans="1:16" ht="27" customHeight="1" x14ac:dyDescent="0.2">
      <c r="A1839" s="9" t="s">
        <v>6695</v>
      </c>
      <c r="B1839" s="10" t="s">
        <v>6726</v>
      </c>
      <c r="C1839" s="11" t="s">
        <v>6728</v>
      </c>
      <c r="D1839" s="11" t="s">
        <v>6729</v>
      </c>
      <c r="E1839" s="11" t="s">
        <v>26</v>
      </c>
      <c r="F1839" s="11" t="s">
        <v>6730</v>
      </c>
      <c r="G1839" s="11" t="s">
        <v>28</v>
      </c>
      <c r="H1839" s="11" t="s">
        <v>6730</v>
      </c>
      <c r="I1839" s="11" t="s">
        <v>6731</v>
      </c>
      <c r="J1839" s="12">
        <v>0.7671</v>
      </c>
      <c r="K1839" s="13">
        <v>1</v>
      </c>
      <c r="L1839" s="14">
        <v>511</v>
      </c>
      <c r="M1839" s="10">
        <v>392</v>
      </c>
      <c r="N1839" s="10">
        <v>56466</v>
      </c>
      <c r="O1839" s="10">
        <v>30740</v>
      </c>
      <c r="P1839" s="10">
        <v>87206</v>
      </c>
    </row>
    <row r="1840" spans="1:16" ht="27" customHeight="1" x14ac:dyDescent="0.2">
      <c r="A1840" s="9" t="s">
        <v>6695</v>
      </c>
      <c r="B1840" s="10" t="s">
        <v>6726</v>
      </c>
      <c r="C1840" s="11" t="s">
        <v>6732</v>
      </c>
      <c r="D1840" s="11" t="s">
        <v>6733</v>
      </c>
      <c r="E1840" s="11" t="s">
        <v>57</v>
      </c>
      <c r="F1840" s="11" t="s">
        <v>6734</v>
      </c>
      <c r="G1840" s="11" t="s">
        <v>28</v>
      </c>
      <c r="H1840" s="11" t="s">
        <v>6734</v>
      </c>
      <c r="I1840" s="11" t="s">
        <v>6735</v>
      </c>
      <c r="J1840" s="12">
        <v>0.59389999999999998</v>
      </c>
      <c r="K1840" s="13">
        <v>1</v>
      </c>
      <c r="L1840" s="14">
        <v>165</v>
      </c>
      <c r="M1840" s="10">
        <v>98</v>
      </c>
      <c r="N1840" s="10">
        <v>18233</v>
      </c>
      <c r="O1840" s="10">
        <v>7685</v>
      </c>
      <c r="P1840" s="10">
        <v>25918</v>
      </c>
    </row>
    <row r="1841" spans="1:16" ht="27" customHeight="1" x14ac:dyDescent="0.2">
      <c r="A1841" s="9" t="s">
        <v>6695</v>
      </c>
      <c r="B1841" s="10" t="s">
        <v>6726</v>
      </c>
      <c r="C1841" s="11" t="s">
        <v>6736</v>
      </c>
      <c r="D1841" s="11" t="s">
        <v>6737</v>
      </c>
      <c r="E1841" s="11" t="s">
        <v>57</v>
      </c>
      <c r="F1841" s="11" t="s">
        <v>6738</v>
      </c>
      <c r="G1841" s="11" t="s">
        <v>28</v>
      </c>
      <c r="H1841" s="11" t="s">
        <v>6698</v>
      </c>
      <c r="I1841" s="11" t="s">
        <v>6699</v>
      </c>
      <c r="J1841" s="12">
        <v>0.97509999999999997</v>
      </c>
      <c r="K1841" s="13">
        <v>1</v>
      </c>
      <c r="L1841" s="14">
        <v>83</v>
      </c>
      <c r="M1841" s="10">
        <v>63</v>
      </c>
      <c r="N1841" s="10">
        <v>9172</v>
      </c>
      <c r="O1841" s="10">
        <v>4940</v>
      </c>
      <c r="P1841" s="10">
        <v>14112</v>
      </c>
    </row>
    <row r="1842" spans="1:16" ht="27" customHeight="1" x14ac:dyDescent="0.2">
      <c r="A1842" s="9" t="s">
        <v>6695</v>
      </c>
      <c r="B1842" s="10" t="s">
        <v>6726</v>
      </c>
      <c r="C1842" s="11" t="s">
        <v>6739</v>
      </c>
      <c r="D1842" s="11" t="s">
        <v>6740</v>
      </c>
      <c r="E1842" s="11" t="s">
        <v>57</v>
      </c>
      <c r="F1842" s="11" t="s">
        <v>6741</v>
      </c>
      <c r="G1842" s="11" t="s">
        <v>28</v>
      </c>
      <c r="H1842" s="11" t="s">
        <v>6741</v>
      </c>
      <c r="I1842" s="11" t="s">
        <v>6742</v>
      </c>
      <c r="J1842" s="12">
        <v>0.61780000000000002</v>
      </c>
      <c r="K1842" s="13">
        <v>1</v>
      </c>
      <c r="L1842" s="14">
        <v>259</v>
      </c>
      <c r="M1842" s="10">
        <v>160</v>
      </c>
      <c r="N1842" s="10">
        <v>28620</v>
      </c>
      <c r="O1842" s="10">
        <v>12547</v>
      </c>
      <c r="P1842" s="10">
        <v>41167</v>
      </c>
    </row>
    <row r="1843" spans="1:16" ht="27" customHeight="1" x14ac:dyDescent="0.2">
      <c r="A1843" s="9" t="s">
        <v>6695</v>
      </c>
      <c r="B1843" s="10" t="s">
        <v>6726</v>
      </c>
      <c r="C1843" s="11" t="s">
        <v>6743</v>
      </c>
      <c r="D1843" s="11" t="s">
        <v>6744</v>
      </c>
      <c r="E1843" s="11" t="s">
        <v>57</v>
      </c>
      <c r="F1843" s="11" t="s">
        <v>6745</v>
      </c>
      <c r="G1843" s="11" t="s">
        <v>28</v>
      </c>
      <c r="H1843" s="11" t="s">
        <v>6745</v>
      </c>
      <c r="I1843" s="11" t="s">
        <v>6746</v>
      </c>
      <c r="J1843" s="12">
        <v>0.79530000000000001</v>
      </c>
      <c r="K1843" s="13">
        <v>1</v>
      </c>
      <c r="L1843" s="14">
        <v>640</v>
      </c>
      <c r="M1843" s="10">
        <v>509</v>
      </c>
      <c r="N1843" s="10">
        <v>70721</v>
      </c>
      <c r="O1843" s="10">
        <v>39915</v>
      </c>
      <c r="P1843" s="10">
        <v>110636</v>
      </c>
    </row>
    <row r="1844" spans="1:16" ht="27" customHeight="1" x14ac:dyDescent="0.2">
      <c r="A1844" s="9" t="s">
        <v>6695</v>
      </c>
      <c r="B1844" s="10" t="s">
        <v>6726</v>
      </c>
      <c r="C1844" s="11" t="s">
        <v>6747</v>
      </c>
      <c r="D1844" s="11" t="s">
        <v>6748</v>
      </c>
      <c r="E1844" s="11" t="s">
        <v>57</v>
      </c>
      <c r="F1844" s="11" t="s">
        <v>6749</v>
      </c>
      <c r="G1844" s="11" t="s">
        <v>28</v>
      </c>
      <c r="H1844" s="11" t="s">
        <v>6749</v>
      </c>
      <c r="I1844" s="11" t="s">
        <v>6750</v>
      </c>
      <c r="J1844" s="12">
        <v>0.5948</v>
      </c>
      <c r="K1844" s="13">
        <v>1</v>
      </c>
      <c r="L1844" s="14">
        <v>385</v>
      </c>
      <c r="M1844" s="10">
        <v>229</v>
      </c>
      <c r="N1844" s="10">
        <v>42543</v>
      </c>
      <c r="O1844" s="10">
        <v>17958</v>
      </c>
      <c r="P1844" s="10">
        <v>60501</v>
      </c>
    </row>
    <row r="1845" spans="1:16" ht="27" customHeight="1" x14ac:dyDescent="0.2">
      <c r="A1845" s="9" t="s">
        <v>6695</v>
      </c>
      <c r="B1845" s="10" t="s">
        <v>6751</v>
      </c>
      <c r="C1845" s="11" t="s">
        <v>18</v>
      </c>
      <c r="D1845" s="11" t="s">
        <v>19</v>
      </c>
      <c r="E1845" s="11" t="s">
        <v>19</v>
      </c>
      <c r="F1845" s="11" t="s">
        <v>6752</v>
      </c>
      <c r="G1845" s="11" t="s">
        <v>83</v>
      </c>
      <c r="H1845" s="11" t="s">
        <v>6753</v>
      </c>
      <c r="I1845" s="11" t="s">
        <v>6754</v>
      </c>
      <c r="J1845" s="12">
        <v>0.3261</v>
      </c>
      <c r="K1845" s="13">
        <v>6</v>
      </c>
      <c r="L1845" s="14">
        <v>2097</v>
      </c>
      <c r="M1845" s="10">
        <v>516</v>
      </c>
      <c r="N1845" s="10">
        <v>231723</v>
      </c>
      <c r="O1845" s="10">
        <v>40464</v>
      </c>
      <c r="P1845" s="10">
        <v>272187</v>
      </c>
    </row>
    <row r="1846" spans="1:16" ht="27" customHeight="1" x14ac:dyDescent="0.2">
      <c r="A1846" s="9" t="s">
        <v>6695</v>
      </c>
      <c r="B1846" s="10" t="s">
        <v>6751</v>
      </c>
      <c r="C1846" s="11" t="s">
        <v>6755</v>
      </c>
      <c r="D1846" s="11" t="s">
        <v>6756</v>
      </c>
      <c r="E1846" s="11" t="s">
        <v>26</v>
      </c>
      <c r="F1846" s="11" t="s">
        <v>6757</v>
      </c>
      <c r="G1846" s="11" t="s">
        <v>28</v>
      </c>
      <c r="H1846" s="11" t="s">
        <v>6757</v>
      </c>
      <c r="I1846" s="11" t="s">
        <v>6758</v>
      </c>
      <c r="J1846" s="12">
        <v>0.24640000000000001</v>
      </c>
      <c r="K1846" s="13">
        <v>1</v>
      </c>
      <c r="L1846" s="14">
        <v>3023</v>
      </c>
      <c r="M1846" s="10">
        <v>745</v>
      </c>
      <c r="N1846" s="10">
        <v>334046</v>
      </c>
      <c r="O1846" s="10">
        <v>58422</v>
      </c>
      <c r="P1846" s="10">
        <v>392468</v>
      </c>
    </row>
    <row r="1847" spans="1:16" ht="27" customHeight="1" x14ac:dyDescent="0.2">
      <c r="A1847" s="9" t="s">
        <v>6695</v>
      </c>
      <c r="B1847" s="10" t="s">
        <v>6751</v>
      </c>
      <c r="C1847" s="11" t="s">
        <v>6759</v>
      </c>
      <c r="D1847" s="11" t="s">
        <v>6760</v>
      </c>
      <c r="E1847" s="11" t="s">
        <v>57</v>
      </c>
      <c r="F1847" s="11" t="s">
        <v>6761</v>
      </c>
      <c r="G1847" s="11" t="s">
        <v>28</v>
      </c>
      <c r="H1847" s="11" t="s">
        <v>6761</v>
      </c>
      <c r="I1847" s="11" t="s">
        <v>6762</v>
      </c>
      <c r="J1847" s="12">
        <v>0.25929999999999997</v>
      </c>
      <c r="K1847" s="13">
        <v>1</v>
      </c>
      <c r="L1847" s="14">
        <v>297</v>
      </c>
      <c r="M1847" s="10">
        <v>77</v>
      </c>
      <c r="N1847" s="10">
        <v>32819</v>
      </c>
      <c r="O1847" s="10">
        <v>6038</v>
      </c>
      <c r="P1847" s="10">
        <v>38857</v>
      </c>
    </row>
    <row r="1848" spans="1:16" ht="27" customHeight="1" x14ac:dyDescent="0.2">
      <c r="A1848" s="9" t="s">
        <v>6695</v>
      </c>
      <c r="B1848" s="10" t="s">
        <v>6763</v>
      </c>
      <c r="C1848" s="11" t="s">
        <v>18</v>
      </c>
      <c r="D1848" s="11" t="s">
        <v>19</v>
      </c>
      <c r="E1848" s="11" t="s">
        <v>19</v>
      </c>
      <c r="F1848" s="11" t="s">
        <v>6764</v>
      </c>
      <c r="G1848" s="11" t="s">
        <v>83</v>
      </c>
      <c r="H1848" s="11" t="s">
        <v>6765</v>
      </c>
      <c r="I1848" s="11" t="s">
        <v>6766</v>
      </c>
      <c r="J1848" s="12">
        <v>0.63549999999999995</v>
      </c>
      <c r="K1848" s="13">
        <v>6</v>
      </c>
      <c r="L1848" s="14">
        <v>1764</v>
      </c>
      <c r="M1848" s="10">
        <v>635</v>
      </c>
      <c r="N1848" s="10">
        <v>194926</v>
      </c>
      <c r="O1848" s="10">
        <v>49797</v>
      </c>
      <c r="P1848" s="10">
        <v>244723</v>
      </c>
    </row>
    <row r="1849" spans="1:16" ht="27" customHeight="1" x14ac:dyDescent="0.2">
      <c r="A1849" s="9" t="s">
        <v>6695</v>
      </c>
      <c r="B1849" s="10" t="s">
        <v>6767</v>
      </c>
      <c r="C1849" s="11" t="s">
        <v>18</v>
      </c>
      <c r="D1849" s="11" t="s">
        <v>19</v>
      </c>
      <c r="E1849" s="11" t="s">
        <v>19</v>
      </c>
      <c r="F1849" s="11" t="s">
        <v>6768</v>
      </c>
      <c r="G1849" s="11" t="s">
        <v>83</v>
      </c>
      <c r="H1849" s="11" t="s">
        <v>6698</v>
      </c>
      <c r="I1849" s="11" t="s">
        <v>6699</v>
      </c>
      <c r="J1849" s="12">
        <v>0.97509999999999997</v>
      </c>
      <c r="K1849" s="13">
        <v>9</v>
      </c>
      <c r="L1849" s="14">
        <v>4267</v>
      </c>
      <c r="M1849" s="10">
        <v>1359</v>
      </c>
      <c r="N1849" s="10">
        <v>471511</v>
      </c>
      <c r="O1849" s="10">
        <v>106571</v>
      </c>
      <c r="P1849" s="10">
        <v>578082</v>
      </c>
    </row>
    <row r="1850" spans="1:16" ht="27" customHeight="1" x14ac:dyDescent="0.2">
      <c r="A1850" s="9" t="s">
        <v>6695</v>
      </c>
      <c r="B1850" s="10" t="s">
        <v>6767</v>
      </c>
      <c r="C1850" s="11" t="s">
        <v>6769</v>
      </c>
      <c r="D1850" s="11" t="s">
        <v>6770</v>
      </c>
      <c r="E1850" s="11" t="s">
        <v>57</v>
      </c>
      <c r="F1850" s="11" t="s">
        <v>5916</v>
      </c>
      <c r="G1850" s="11" t="s">
        <v>28</v>
      </c>
      <c r="H1850" s="11" t="s">
        <v>6698</v>
      </c>
      <c r="I1850" s="11" t="s">
        <v>6699</v>
      </c>
      <c r="J1850" s="12">
        <v>0.97509999999999997</v>
      </c>
      <c r="K1850" s="13">
        <v>1</v>
      </c>
      <c r="L1850" s="14">
        <v>116</v>
      </c>
      <c r="M1850" s="10">
        <v>40</v>
      </c>
      <c r="N1850" s="10">
        <v>12818</v>
      </c>
      <c r="O1850" s="10">
        <v>3137</v>
      </c>
      <c r="P1850" s="10">
        <v>15955</v>
      </c>
    </row>
    <row r="1851" spans="1:16" ht="27" customHeight="1" x14ac:dyDescent="0.2">
      <c r="A1851" s="9" t="s">
        <v>6695</v>
      </c>
      <c r="B1851" s="10" t="s">
        <v>6771</v>
      </c>
      <c r="C1851" s="11" t="s">
        <v>18</v>
      </c>
      <c r="D1851" s="11" t="s">
        <v>19</v>
      </c>
      <c r="E1851" s="11" t="s">
        <v>19</v>
      </c>
      <c r="F1851" s="11" t="s">
        <v>6772</v>
      </c>
      <c r="G1851" s="11" t="s">
        <v>83</v>
      </c>
      <c r="H1851" s="11" t="s">
        <v>6773</v>
      </c>
      <c r="I1851" s="11" t="s">
        <v>6774</v>
      </c>
      <c r="J1851" s="12">
        <v>0.3911</v>
      </c>
      <c r="K1851" s="13">
        <v>6</v>
      </c>
      <c r="L1851" s="14">
        <v>1667</v>
      </c>
      <c r="M1851" s="10">
        <v>513</v>
      </c>
      <c r="N1851" s="10">
        <v>184207</v>
      </c>
      <c r="O1851" s="10">
        <v>40229</v>
      </c>
      <c r="P1851" s="10">
        <v>224436</v>
      </c>
    </row>
    <row r="1852" spans="1:16" ht="27" customHeight="1" x14ac:dyDescent="0.2">
      <c r="A1852" s="9" t="s">
        <v>6695</v>
      </c>
      <c r="B1852" s="10" t="s">
        <v>6775</v>
      </c>
      <c r="C1852" s="11" t="s">
        <v>18</v>
      </c>
      <c r="D1852" s="11" t="s">
        <v>19</v>
      </c>
      <c r="E1852" s="11" t="s">
        <v>19</v>
      </c>
      <c r="F1852" s="11" t="s">
        <v>6776</v>
      </c>
      <c r="G1852" s="11" t="s">
        <v>83</v>
      </c>
      <c r="H1852" s="11" t="s">
        <v>6777</v>
      </c>
      <c r="I1852" s="11" t="s">
        <v>6778</v>
      </c>
      <c r="J1852" s="12">
        <v>0.11849999999999999</v>
      </c>
      <c r="K1852" s="13">
        <v>5</v>
      </c>
      <c r="L1852" s="14">
        <v>2173</v>
      </c>
      <c r="M1852" s="10">
        <v>230</v>
      </c>
      <c r="N1852" s="10">
        <v>240120</v>
      </c>
      <c r="O1852" s="10">
        <v>18035</v>
      </c>
      <c r="P1852" s="10">
        <v>258155</v>
      </c>
    </row>
    <row r="1853" spans="1:16" ht="27" customHeight="1" x14ac:dyDescent="0.2">
      <c r="A1853" s="9" t="s">
        <v>6695</v>
      </c>
      <c r="B1853" s="10" t="s">
        <v>6775</v>
      </c>
      <c r="C1853" s="11" t="s">
        <v>6779</v>
      </c>
      <c r="D1853" s="11" t="s">
        <v>6780</v>
      </c>
      <c r="E1853" s="11" t="s">
        <v>26</v>
      </c>
      <c r="F1853" s="11" t="s">
        <v>6781</v>
      </c>
      <c r="G1853" s="11" t="s">
        <v>28</v>
      </c>
      <c r="H1853" s="11" t="s">
        <v>6781</v>
      </c>
      <c r="I1853" s="11" t="s">
        <v>6782</v>
      </c>
      <c r="J1853" s="12">
        <v>0.36130000000000001</v>
      </c>
      <c r="K1853" s="13">
        <v>1</v>
      </c>
      <c r="L1853" s="14">
        <v>476</v>
      </c>
      <c r="M1853" s="10">
        <v>172</v>
      </c>
      <c r="N1853" s="10">
        <v>52599</v>
      </c>
      <c r="O1853" s="10">
        <v>13488</v>
      </c>
      <c r="P1853" s="10">
        <v>66087</v>
      </c>
    </row>
    <row r="1854" spans="1:16" ht="27" customHeight="1" x14ac:dyDescent="0.2">
      <c r="A1854" s="9" t="s">
        <v>6695</v>
      </c>
      <c r="B1854" s="10" t="s">
        <v>6783</v>
      </c>
      <c r="C1854" s="11" t="s">
        <v>6784</v>
      </c>
      <c r="D1854" s="11" t="s">
        <v>6785</v>
      </c>
      <c r="E1854" s="11" t="s">
        <v>26</v>
      </c>
      <c r="F1854" s="11" t="s">
        <v>6786</v>
      </c>
      <c r="G1854" s="11" t="s">
        <v>28</v>
      </c>
      <c r="H1854" s="11" t="s">
        <v>6786</v>
      </c>
      <c r="I1854" s="11" t="s">
        <v>6787</v>
      </c>
      <c r="J1854" s="12">
        <v>0.66920000000000002</v>
      </c>
      <c r="K1854" s="13">
        <v>1</v>
      </c>
      <c r="L1854" s="14">
        <v>396</v>
      </c>
      <c r="M1854" s="10">
        <v>265</v>
      </c>
      <c r="N1854" s="10">
        <v>43759</v>
      </c>
      <c r="O1854" s="10">
        <v>20781</v>
      </c>
      <c r="P1854" s="10">
        <v>64540</v>
      </c>
    </row>
    <row r="1855" spans="1:16" ht="27" customHeight="1" x14ac:dyDescent="0.2">
      <c r="A1855" s="9" t="s">
        <v>6788</v>
      </c>
      <c r="B1855" s="10" t="s">
        <v>6789</v>
      </c>
      <c r="C1855" s="11" t="s">
        <v>18</v>
      </c>
      <c r="D1855" s="11" t="s">
        <v>19</v>
      </c>
      <c r="E1855" s="11" t="s">
        <v>19</v>
      </c>
      <c r="F1855" s="11" t="s">
        <v>6790</v>
      </c>
      <c r="G1855" s="11" t="s">
        <v>21</v>
      </c>
      <c r="H1855" s="11" t="s">
        <v>6791</v>
      </c>
      <c r="I1855" s="11" t="s">
        <v>6792</v>
      </c>
      <c r="J1855" s="12">
        <v>0.9</v>
      </c>
      <c r="K1855" s="13">
        <v>5</v>
      </c>
      <c r="L1855" s="14">
        <v>426</v>
      </c>
      <c r="M1855" s="10">
        <v>381</v>
      </c>
      <c r="N1855" s="10">
        <v>47074</v>
      </c>
      <c r="O1855" s="10">
        <v>29878</v>
      </c>
      <c r="P1855" s="10">
        <v>76952</v>
      </c>
    </row>
    <row r="1856" spans="1:16" ht="27" customHeight="1" x14ac:dyDescent="0.2">
      <c r="A1856" s="9" t="s">
        <v>6788</v>
      </c>
      <c r="B1856" s="10" t="s">
        <v>6789</v>
      </c>
      <c r="C1856" s="11" t="s">
        <v>6793</v>
      </c>
      <c r="D1856" s="11" t="s">
        <v>6794</v>
      </c>
      <c r="E1856" s="11" t="s">
        <v>26</v>
      </c>
      <c r="F1856" s="11" t="s">
        <v>6795</v>
      </c>
      <c r="G1856" s="11" t="s">
        <v>28</v>
      </c>
      <c r="H1856" s="11" t="s">
        <v>6795</v>
      </c>
      <c r="I1856" s="11" t="s">
        <v>6796</v>
      </c>
      <c r="J1856" s="12">
        <v>0.36820000000000003</v>
      </c>
      <c r="K1856" s="13">
        <v>1</v>
      </c>
      <c r="L1856" s="14">
        <v>239</v>
      </c>
      <c r="M1856" s="10">
        <v>88</v>
      </c>
      <c r="N1856" s="10">
        <v>26410</v>
      </c>
      <c r="O1856" s="10">
        <v>6901</v>
      </c>
      <c r="P1856" s="10">
        <v>33311</v>
      </c>
    </row>
    <row r="1857" spans="1:16" ht="27" customHeight="1" x14ac:dyDescent="0.2">
      <c r="A1857" s="9" t="s">
        <v>6788</v>
      </c>
      <c r="B1857" s="10" t="s">
        <v>6789</v>
      </c>
      <c r="C1857" s="11" t="s">
        <v>6797</v>
      </c>
      <c r="D1857" s="11" t="s">
        <v>6798</v>
      </c>
      <c r="E1857" s="11" t="s">
        <v>26</v>
      </c>
      <c r="F1857" s="11" t="s">
        <v>6799</v>
      </c>
      <c r="G1857" s="11" t="s">
        <v>28</v>
      </c>
      <c r="H1857" s="11" t="s">
        <v>6799</v>
      </c>
      <c r="I1857" s="11" t="s">
        <v>6800</v>
      </c>
      <c r="J1857" s="12">
        <v>0.59240000000000004</v>
      </c>
      <c r="K1857" s="13">
        <v>1</v>
      </c>
      <c r="L1857" s="14">
        <v>184</v>
      </c>
      <c r="M1857" s="10">
        <v>109</v>
      </c>
      <c r="N1857" s="10">
        <v>20332</v>
      </c>
      <c r="O1857" s="10">
        <v>8548</v>
      </c>
      <c r="P1857" s="10">
        <v>28880</v>
      </c>
    </row>
    <row r="1858" spans="1:16" ht="27" customHeight="1" x14ac:dyDescent="0.2">
      <c r="A1858" s="9" t="s">
        <v>6788</v>
      </c>
      <c r="B1858" s="10" t="s">
        <v>6789</v>
      </c>
      <c r="C1858" s="11" t="s">
        <v>6801</v>
      </c>
      <c r="D1858" s="11" t="s">
        <v>6802</v>
      </c>
      <c r="E1858" s="11" t="s">
        <v>26</v>
      </c>
      <c r="F1858" s="11" t="s">
        <v>6803</v>
      </c>
      <c r="G1858" s="11" t="s">
        <v>28</v>
      </c>
      <c r="H1858" s="11" t="s">
        <v>6803</v>
      </c>
      <c r="I1858" s="11" t="s">
        <v>6804</v>
      </c>
      <c r="J1858" s="12">
        <v>0.6</v>
      </c>
      <c r="K1858" s="13">
        <v>1</v>
      </c>
      <c r="L1858" s="14">
        <v>245</v>
      </c>
      <c r="M1858" s="10">
        <v>147</v>
      </c>
      <c r="N1858" s="10">
        <v>27073</v>
      </c>
      <c r="O1858" s="10">
        <v>11528</v>
      </c>
      <c r="P1858" s="10">
        <v>38601</v>
      </c>
    </row>
    <row r="1859" spans="1:16" ht="27" customHeight="1" x14ac:dyDescent="0.2">
      <c r="A1859" s="9" t="s">
        <v>6788</v>
      </c>
      <c r="B1859" s="10" t="s">
        <v>6805</v>
      </c>
      <c r="C1859" s="11" t="s">
        <v>18</v>
      </c>
      <c r="D1859" s="11" t="s">
        <v>19</v>
      </c>
      <c r="E1859" s="11" t="s">
        <v>19</v>
      </c>
      <c r="F1859" s="11" t="s">
        <v>6806</v>
      </c>
      <c r="G1859" s="11" t="s">
        <v>83</v>
      </c>
      <c r="H1859" s="11" t="s">
        <v>6791</v>
      </c>
      <c r="I1859" s="11" t="s">
        <v>6792</v>
      </c>
      <c r="J1859" s="12">
        <v>0.9</v>
      </c>
      <c r="K1859" s="13">
        <v>6</v>
      </c>
      <c r="L1859" s="14">
        <v>1534</v>
      </c>
      <c r="M1859" s="10">
        <v>959</v>
      </c>
      <c r="N1859" s="10">
        <v>169510</v>
      </c>
      <c r="O1859" s="10">
        <v>75204</v>
      </c>
      <c r="P1859" s="10">
        <v>244714</v>
      </c>
    </row>
    <row r="1860" spans="1:16" ht="27" customHeight="1" x14ac:dyDescent="0.2">
      <c r="A1860" s="9" t="s">
        <v>6788</v>
      </c>
      <c r="B1860" s="10" t="s">
        <v>6805</v>
      </c>
      <c r="C1860" s="11" t="s">
        <v>6807</v>
      </c>
      <c r="D1860" s="11" t="s">
        <v>6808</v>
      </c>
      <c r="E1860" s="11" t="s">
        <v>57</v>
      </c>
      <c r="F1860" s="11" t="s">
        <v>6809</v>
      </c>
      <c r="G1860" s="11" t="s">
        <v>28</v>
      </c>
      <c r="H1860" s="11" t="s">
        <v>6791</v>
      </c>
      <c r="I1860" s="11" t="s">
        <v>6792</v>
      </c>
      <c r="J1860" s="12">
        <v>0.9</v>
      </c>
      <c r="K1860" s="13">
        <v>1</v>
      </c>
      <c r="L1860" s="14">
        <v>87</v>
      </c>
      <c r="M1860" s="10">
        <v>59</v>
      </c>
      <c r="N1860" s="10">
        <v>9614</v>
      </c>
      <c r="O1860" s="10">
        <v>4627</v>
      </c>
      <c r="P1860" s="10">
        <v>14241</v>
      </c>
    </row>
    <row r="1861" spans="1:16" ht="27" customHeight="1" x14ac:dyDescent="0.2">
      <c r="A1861" s="9" t="s">
        <v>6788</v>
      </c>
      <c r="B1861" s="10" t="s">
        <v>6810</v>
      </c>
      <c r="C1861" s="11" t="s">
        <v>18</v>
      </c>
      <c r="D1861" s="11" t="s">
        <v>19</v>
      </c>
      <c r="E1861" s="11" t="s">
        <v>19</v>
      </c>
      <c r="F1861" s="11" t="s">
        <v>614</v>
      </c>
      <c r="G1861" s="11" t="s">
        <v>83</v>
      </c>
      <c r="H1861" s="11" t="s">
        <v>614</v>
      </c>
      <c r="I1861" s="11" t="s">
        <v>6811</v>
      </c>
      <c r="J1861" s="12">
        <v>0.64439999999999997</v>
      </c>
      <c r="K1861" s="13">
        <v>2</v>
      </c>
      <c r="L1861" s="14">
        <v>331</v>
      </c>
      <c r="M1861" s="10">
        <v>213</v>
      </c>
      <c r="N1861" s="10">
        <v>36576</v>
      </c>
      <c r="O1861" s="10">
        <v>16703</v>
      </c>
      <c r="P1861" s="10">
        <v>53279</v>
      </c>
    </row>
    <row r="1862" spans="1:16" ht="27" customHeight="1" x14ac:dyDescent="0.2">
      <c r="A1862" s="9" t="s">
        <v>6788</v>
      </c>
      <c r="B1862" s="10" t="s">
        <v>6812</v>
      </c>
      <c r="C1862" s="11" t="s">
        <v>18</v>
      </c>
      <c r="D1862" s="11" t="s">
        <v>19</v>
      </c>
      <c r="E1862" s="11" t="s">
        <v>19</v>
      </c>
      <c r="F1862" s="11" t="s">
        <v>6813</v>
      </c>
      <c r="G1862" s="11" t="s">
        <v>83</v>
      </c>
      <c r="H1862" s="11" t="s">
        <v>6814</v>
      </c>
      <c r="I1862" s="11" t="s">
        <v>6815</v>
      </c>
      <c r="J1862" s="12">
        <v>0.745</v>
      </c>
      <c r="K1862" s="13">
        <v>3</v>
      </c>
      <c r="L1862" s="14">
        <v>226</v>
      </c>
      <c r="M1862" s="10">
        <v>161</v>
      </c>
      <c r="N1862" s="10">
        <v>24974</v>
      </c>
      <c r="O1862" s="10">
        <v>12626</v>
      </c>
      <c r="P1862" s="10">
        <v>37600</v>
      </c>
    </row>
    <row r="1863" spans="1:16" ht="27" customHeight="1" x14ac:dyDescent="0.2">
      <c r="A1863" s="9" t="s">
        <v>6788</v>
      </c>
      <c r="B1863" s="10" t="s">
        <v>6816</v>
      </c>
      <c r="C1863" s="11" t="s">
        <v>18</v>
      </c>
      <c r="D1863" s="11" t="s">
        <v>19</v>
      </c>
      <c r="E1863" s="11" t="s">
        <v>19</v>
      </c>
      <c r="F1863" s="11" t="s">
        <v>6817</v>
      </c>
      <c r="G1863" s="11" t="s">
        <v>83</v>
      </c>
      <c r="H1863" s="11" t="s">
        <v>6818</v>
      </c>
      <c r="I1863" s="11" t="s">
        <v>6819</v>
      </c>
      <c r="J1863" s="12">
        <v>0.85870000000000002</v>
      </c>
      <c r="K1863" s="13">
        <v>5</v>
      </c>
      <c r="L1863" s="14">
        <v>1181</v>
      </c>
      <c r="M1863" s="10">
        <v>927</v>
      </c>
      <c r="N1863" s="10">
        <v>130503</v>
      </c>
      <c r="O1863" s="10">
        <v>72694</v>
      </c>
      <c r="P1863" s="10">
        <v>203197</v>
      </c>
    </row>
    <row r="1864" spans="1:16" ht="27" customHeight="1" x14ac:dyDescent="0.2">
      <c r="A1864" s="9" t="s">
        <v>6788</v>
      </c>
      <c r="B1864" s="10" t="s">
        <v>6816</v>
      </c>
      <c r="C1864" s="11" t="s">
        <v>6820</v>
      </c>
      <c r="D1864" s="11" t="s">
        <v>6821</v>
      </c>
      <c r="E1864" s="11" t="s">
        <v>26</v>
      </c>
      <c r="F1864" s="11" t="s">
        <v>6822</v>
      </c>
      <c r="G1864" s="11" t="s">
        <v>28</v>
      </c>
      <c r="H1864" s="11" t="s">
        <v>6822</v>
      </c>
      <c r="I1864" s="11" t="s">
        <v>6823</v>
      </c>
      <c r="J1864" s="12">
        <v>0.61960000000000004</v>
      </c>
      <c r="K1864" s="13">
        <v>1</v>
      </c>
      <c r="L1864" s="14">
        <v>326</v>
      </c>
      <c r="M1864" s="10">
        <v>202</v>
      </c>
      <c r="N1864" s="10">
        <v>36024</v>
      </c>
      <c r="O1864" s="10">
        <v>15841</v>
      </c>
      <c r="P1864" s="10">
        <v>51865</v>
      </c>
    </row>
    <row r="1865" spans="1:16" ht="27" customHeight="1" x14ac:dyDescent="0.2">
      <c r="A1865" s="9" t="s">
        <v>6788</v>
      </c>
      <c r="B1865" s="10" t="s">
        <v>6824</v>
      </c>
      <c r="C1865" s="11" t="s">
        <v>18</v>
      </c>
      <c r="D1865" s="11" t="s">
        <v>19</v>
      </c>
      <c r="E1865" s="11" t="s">
        <v>19</v>
      </c>
      <c r="F1865" s="11" t="s">
        <v>6825</v>
      </c>
      <c r="G1865" s="11" t="s">
        <v>83</v>
      </c>
      <c r="H1865" s="11" t="s">
        <v>6826</v>
      </c>
      <c r="I1865" s="11" t="s">
        <v>6827</v>
      </c>
      <c r="J1865" s="12">
        <v>0.71430000000000005</v>
      </c>
      <c r="K1865" s="13">
        <v>2</v>
      </c>
      <c r="L1865" s="14">
        <v>42</v>
      </c>
      <c r="M1865" s="10">
        <v>29</v>
      </c>
      <c r="N1865" s="10">
        <v>4642</v>
      </c>
      <c r="O1865" s="10">
        <v>2274</v>
      </c>
      <c r="P1865" s="10">
        <v>6916</v>
      </c>
    </row>
    <row r="1866" spans="1:16" ht="27" customHeight="1" x14ac:dyDescent="0.2">
      <c r="A1866" s="9" t="s">
        <v>6788</v>
      </c>
      <c r="B1866" s="10" t="s">
        <v>6828</v>
      </c>
      <c r="C1866" s="11" t="s">
        <v>18</v>
      </c>
      <c r="D1866" s="11" t="s">
        <v>19</v>
      </c>
      <c r="E1866" s="11" t="s">
        <v>19</v>
      </c>
      <c r="F1866" s="11" t="s">
        <v>1879</v>
      </c>
      <c r="G1866" s="11" t="s">
        <v>83</v>
      </c>
      <c r="H1866" s="11" t="s">
        <v>1879</v>
      </c>
      <c r="I1866" s="11" t="s">
        <v>6829</v>
      </c>
      <c r="J1866" s="12">
        <v>0.42630000000000001</v>
      </c>
      <c r="K1866" s="13">
        <v>4</v>
      </c>
      <c r="L1866" s="14">
        <v>758</v>
      </c>
      <c r="M1866" s="10">
        <v>330</v>
      </c>
      <c r="N1866" s="10">
        <v>83761</v>
      </c>
      <c r="O1866" s="10">
        <v>25878</v>
      </c>
      <c r="P1866" s="10">
        <v>109639</v>
      </c>
    </row>
    <row r="1867" spans="1:16" ht="27" customHeight="1" x14ac:dyDescent="0.2">
      <c r="A1867" s="9" t="s">
        <v>6788</v>
      </c>
      <c r="B1867" s="10" t="s">
        <v>6828</v>
      </c>
      <c r="C1867" s="11" t="s">
        <v>6830</v>
      </c>
      <c r="D1867" s="11" t="s">
        <v>6831</v>
      </c>
      <c r="E1867" s="11" t="s">
        <v>26</v>
      </c>
      <c r="F1867" s="11" t="s">
        <v>6832</v>
      </c>
      <c r="G1867" s="11" t="s">
        <v>28</v>
      </c>
      <c r="H1867" s="11" t="s">
        <v>6832</v>
      </c>
      <c r="I1867" s="11" t="s">
        <v>6833</v>
      </c>
      <c r="J1867" s="12">
        <v>0.30559999999999998</v>
      </c>
      <c r="K1867" s="13">
        <v>1</v>
      </c>
      <c r="L1867" s="14">
        <v>602</v>
      </c>
      <c r="M1867" s="10">
        <v>184</v>
      </c>
      <c r="N1867" s="10">
        <v>66522</v>
      </c>
      <c r="O1867" s="10">
        <v>14429</v>
      </c>
      <c r="P1867" s="10">
        <v>80951</v>
      </c>
    </row>
    <row r="1868" spans="1:16" ht="27" customHeight="1" x14ac:dyDescent="0.2">
      <c r="A1868" s="9" t="s">
        <v>6788</v>
      </c>
      <c r="B1868" s="10" t="s">
        <v>6828</v>
      </c>
      <c r="C1868" s="11" t="s">
        <v>6834</v>
      </c>
      <c r="D1868" s="11" t="s">
        <v>6835</v>
      </c>
      <c r="E1868" s="11" t="s">
        <v>26</v>
      </c>
      <c r="F1868" s="11" t="s">
        <v>6836</v>
      </c>
      <c r="G1868" s="11" t="s">
        <v>28</v>
      </c>
      <c r="H1868" s="11" t="s">
        <v>6836</v>
      </c>
      <c r="I1868" s="11" t="s">
        <v>6837</v>
      </c>
      <c r="J1868" s="12">
        <v>0.47739999999999999</v>
      </c>
      <c r="K1868" s="13">
        <v>1</v>
      </c>
      <c r="L1868" s="14">
        <v>509</v>
      </c>
      <c r="M1868" s="10">
        <v>243</v>
      </c>
      <c r="N1868" s="10">
        <v>56245</v>
      </c>
      <c r="O1868" s="10">
        <v>19056</v>
      </c>
      <c r="P1868" s="10">
        <v>75301</v>
      </c>
    </row>
    <row r="1869" spans="1:16" ht="27" customHeight="1" x14ac:dyDescent="0.2">
      <c r="A1869" s="9" t="s">
        <v>6788</v>
      </c>
      <c r="B1869" s="10" t="s">
        <v>6828</v>
      </c>
      <c r="C1869" s="11" t="s">
        <v>6838</v>
      </c>
      <c r="D1869" s="11" t="s">
        <v>6839</v>
      </c>
      <c r="E1869" s="11" t="s">
        <v>26</v>
      </c>
      <c r="F1869" s="11" t="s">
        <v>6840</v>
      </c>
      <c r="G1869" s="11" t="s">
        <v>28</v>
      </c>
      <c r="H1869" s="11" t="s">
        <v>6840</v>
      </c>
      <c r="I1869" s="11" t="s">
        <v>6841</v>
      </c>
      <c r="J1869" s="12">
        <v>0.59260000000000002</v>
      </c>
      <c r="K1869" s="13">
        <v>1</v>
      </c>
      <c r="L1869" s="14">
        <v>270</v>
      </c>
      <c r="M1869" s="10">
        <v>160</v>
      </c>
      <c r="N1869" s="10">
        <v>29835</v>
      </c>
      <c r="O1869" s="10">
        <v>12547</v>
      </c>
      <c r="P1869" s="10">
        <v>42382</v>
      </c>
    </row>
    <row r="1870" spans="1:16" ht="27" customHeight="1" x14ac:dyDescent="0.2">
      <c r="A1870" s="9" t="s">
        <v>6788</v>
      </c>
      <c r="B1870" s="10" t="s">
        <v>6842</v>
      </c>
      <c r="C1870" s="11" t="s">
        <v>18</v>
      </c>
      <c r="D1870" s="11" t="s">
        <v>19</v>
      </c>
      <c r="E1870" s="11" t="s">
        <v>19</v>
      </c>
      <c r="F1870" s="11" t="s">
        <v>6843</v>
      </c>
      <c r="G1870" s="11" t="s">
        <v>83</v>
      </c>
      <c r="H1870" s="11" t="s">
        <v>6844</v>
      </c>
      <c r="I1870" s="11" t="s">
        <v>6845</v>
      </c>
      <c r="J1870" s="12">
        <v>0.46260000000000001</v>
      </c>
      <c r="K1870" s="13">
        <v>4</v>
      </c>
      <c r="L1870" s="14">
        <v>892</v>
      </c>
      <c r="M1870" s="10">
        <v>420</v>
      </c>
      <c r="N1870" s="10">
        <v>98568</v>
      </c>
      <c r="O1870" s="10">
        <v>32936</v>
      </c>
      <c r="P1870" s="10">
        <v>131504</v>
      </c>
    </row>
    <row r="1871" spans="1:16" ht="27" customHeight="1" x14ac:dyDescent="0.2">
      <c r="A1871" s="9" t="s">
        <v>6788</v>
      </c>
      <c r="B1871" s="10" t="s">
        <v>6842</v>
      </c>
      <c r="C1871" s="11" t="s">
        <v>6846</v>
      </c>
      <c r="D1871" s="11" t="s">
        <v>6847</v>
      </c>
      <c r="E1871" s="11" t="s">
        <v>26</v>
      </c>
      <c r="F1871" s="11" t="s">
        <v>6848</v>
      </c>
      <c r="G1871" s="11" t="s">
        <v>28</v>
      </c>
      <c r="H1871" s="11" t="s">
        <v>6848</v>
      </c>
      <c r="I1871" s="11" t="s">
        <v>6849</v>
      </c>
      <c r="J1871" s="12">
        <v>0.318</v>
      </c>
      <c r="K1871" s="13">
        <v>1</v>
      </c>
      <c r="L1871" s="14">
        <v>261</v>
      </c>
      <c r="M1871" s="10">
        <v>83</v>
      </c>
      <c r="N1871" s="10">
        <v>28841</v>
      </c>
      <c r="O1871" s="10">
        <v>6509</v>
      </c>
      <c r="P1871" s="10">
        <v>35350</v>
      </c>
    </row>
    <row r="1872" spans="1:16" ht="27" customHeight="1" x14ac:dyDescent="0.2">
      <c r="A1872" s="9" t="s">
        <v>6788</v>
      </c>
      <c r="B1872" s="10" t="s">
        <v>6850</v>
      </c>
      <c r="C1872" s="11" t="s">
        <v>18</v>
      </c>
      <c r="D1872" s="11" t="s">
        <v>19</v>
      </c>
      <c r="E1872" s="11" t="s">
        <v>19</v>
      </c>
      <c r="F1872" s="11" t="s">
        <v>6851</v>
      </c>
      <c r="G1872" s="11" t="s">
        <v>83</v>
      </c>
      <c r="H1872" s="11" t="s">
        <v>6791</v>
      </c>
      <c r="I1872" s="11" t="s">
        <v>6792</v>
      </c>
      <c r="J1872" s="12">
        <v>0.9</v>
      </c>
      <c r="K1872" s="13">
        <v>9</v>
      </c>
      <c r="L1872" s="14">
        <v>3523</v>
      </c>
      <c r="M1872" s="10">
        <v>2538</v>
      </c>
      <c r="N1872" s="10">
        <v>389297</v>
      </c>
      <c r="O1872" s="10">
        <v>199028</v>
      </c>
      <c r="P1872" s="10">
        <v>588325</v>
      </c>
    </row>
    <row r="1873" spans="1:16" ht="27" customHeight="1" x14ac:dyDescent="0.2">
      <c r="A1873" s="9" t="s">
        <v>6788</v>
      </c>
      <c r="B1873" s="10" t="s">
        <v>6850</v>
      </c>
      <c r="C1873" s="11" t="s">
        <v>6852</v>
      </c>
      <c r="D1873" s="11" t="s">
        <v>6853</v>
      </c>
      <c r="E1873" s="11" t="s">
        <v>57</v>
      </c>
      <c r="F1873" s="11" t="s">
        <v>6854</v>
      </c>
      <c r="G1873" s="11" t="s">
        <v>28</v>
      </c>
      <c r="H1873" s="11" t="s">
        <v>6854</v>
      </c>
      <c r="I1873" s="11" t="s">
        <v>6855</v>
      </c>
      <c r="J1873" s="12">
        <v>0.64359999999999995</v>
      </c>
      <c r="K1873" s="13">
        <v>1</v>
      </c>
      <c r="L1873" s="14">
        <v>188</v>
      </c>
      <c r="M1873" s="10">
        <v>121</v>
      </c>
      <c r="N1873" s="10">
        <v>20774</v>
      </c>
      <c r="O1873" s="10">
        <v>9489</v>
      </c>
      <c r="P1873" s="10">
        <v>30263</v>
      </c>
    </row>
    <row r="1874" spans="1:16" ht="27" customHeight="1" x14ac:dyDescent="0.2">
      <c r="A1874" s="9" t="s">
        <v>6788</v>
      </c>
      <c r="B1874" s="10" t="s">
        <v>6856</v>
      </c>
      <c r="C1874" s="11" t="s">
        <v>18</v>
      </c>
      <c r="D1874" s="11" t="s">
        <v>19</v>
      </c>
      <c r="E1874" s="11" t="s">
        <v>19</v>
      </c>
      <c r="F1874" s="11" t="s">
        <v>6857</v>
      </c>
      <c r="G1874" s="11" t="s">
        <v>83</v>
      </c>
      <c r="H1874" s="11" t="s">
        <v>6858</v>
      </c>
      <c r="I1874" s="11" t="s">
        <v>6859</v>
      </c>
      <c r="J1874" s="12">
        <v>0.64639999999999997</v>
      </c>
      <c r="K1874" s="13">
        <v>12</v>
      </c>
      <c r="L1874" s="14">
        <v>1192</v>
      </c>
      <c r="M1874" s="10">
        <v>635</v>
      </c>
      <c r="N1874" s="10">
        <v>131718</v>
      </c>
      <c r="O1874" s="10">
        <v>49796</v>
      </c>
      <c r="P1874" s="10">
        <v>181514</v>
      </c>
    </row>
    <row r="1875" spans="1:16" ht="27" customHeight="1" x14ac:dyDescent="0.2">
      <c r="A1875" s="9" t="s">
        <v>6788</v>
      </c>
      <c r="B1875" s="10" t="s">
        <v>6860</v>
      </c>
      <c r="C1875" s="11" t="s">
        <v>18</v>
      </c>
      <c r="D1875" s="11" t="s">
        <v>19</v>
      </c>
      <c r="E1875" s="11" t="s">
        <v>19</v>
      </c>
      <c r="F1875" s="11" t="s">
        <v>6861</v>
      </c>
      <c r="G1875" s="11" t="s">
        <v>83</v>
      </c>
      <c r="H1875" s="11" t="s">
        <v>6861</v>
      </c>
      <c r="I1875" s="11" t="s">
        <v>6862</v>
      </c>
      <c r="J1875" s="12">
        <v>0.72219999999999995</v>
      </c>
      <c r="K1875" s="13">
        <v>2</v>
      </c>
      <c r="L1875" s="14">
        <v>18</v>
      </c>
      <c r="M1875" s="10">
        <v>13</v>
      </c>
      <c r="N1875" s="10">
        <v>1989</v>
      </c>
      <c r="O1875" s="10">
        <v>1019</v>
      </c>
      <c r="P1875" s="10">
        <v>3008</v>
      </c>
    </row>
    <row r="1876" spans="1:16" ht="27" customHeight="1" x14ac:dyDescent="0.2">
      <c r="A1876" s="9" t="s">
        <v>6788</v>
      </c>
      <c r="B1876" s="10" t="s">
        <v>6863</v>
      </c>
      <c r="C1876" s="11" t="s">
        <v>18</v>
      </c>
      <c r="D1876" s="11" t="s">
        <v>19</v>
      </c>
      <c r="E1876" s="11" t="s">
        <v>19</v>
      </c>
      <c r="F1876" s="11" t="s">
        <v>6864</v>
      </c>
      <c r="G1876" s="11" t="s">
        <v>83</v>
      </c>
      <c r="H1876" s="11" t="s">
        <v>6864</v>
      </c>
      <c r="I1876" s="11" t="s">
        <v>6865</v>
      </c>
      <c r="J1876" s="12">
        <v>0.1835</v>
      </c>
      <c r="K1876" s="13">
        <v>2</v>
      </c>
      <c r="L1876" s="14">
        <v>643</v>
      </c>
      <c r="M1876" s="10">
        <v>118</v>
      </c>
      <c r="N1876" s="10">
        <v>71053</v>
      </c>
      <c r="O1876" s="10">
        <v>9253</v>
      </c>
      <c r="P1876" s="10">
        <v>80306</v>
      </c>
    </row>
    <row r="1877" spans="1:16" ht="27" customHeight="1" x14ac:dyDescent="0.2">
      <c r="A1877" s="9" t="s">
        <v>6788</v>
      </c>
      <c r="B1877" s="10" t="s">
        <v>6866</v>
      </c>
      <c r="C1877" s="11" t="s">
        <v>18</v>
      </c>
      <c r="D1877" s="11" t="s">
        <v>19</v>
      </c>
      <c r="E1877" s="11" t="s">
        <v>19</v>
      </c>
      <c r="F1877" s="11" t="s">
        <v>6867</v>
      </c>
      <c r="G1877" s="11" t="s">
        <v>83</v>
      </c>
      <c r="H1877" s="11" t="s">
        <v>6868</v>
      </c>
      <c r="I1877" s="11" t="s">
        <v>6869</v>
      </c>
      <c r="J1877" s="12">
        <v>0.65349999999999997</v>
      </c>
      <c r="K1877" s="13">
        <v>4</v>
      </c>
      <c r="L1877" s="14">
        <v>495</v>
      </c>
      <c r="M1877" s="10">
        <v>318</v>
      </c>
      <c r="N1877" s="10">
        <v>54699</v>
      </c>
      <c r="O1877" s="10">
        <v>24937</v>
      </c>
      <c r="P1877" s="10">
        <v>79636</v>
      </c>
    </row>
    <row r="1878" spans="1:16" ht="27" customHeight="1" x14ac:dyDescent="0.2">
      <c r="A1878" s="9" t="s">
        <v>6788</v>
      </c>
      <c r="B1878" s="10" t="s">
        <v>6870</v>
      </c>
      <c r="C1878" s="11" t="s">
        <v>18</v>
      </c>
      <c r="D1878" s="11" t="s">
        <v>19</v>
      </c>
      <c r="E1878" s="11" t="s">
        <v>19</v>
      </c>
      <c r="F1878" s="11" t="s">
        <v>6871</v>
      </c>
      <c r="G1878" s="11" t="s">
        <v>83</v>
      </c>
      <c r="H1878" s="11" t="s">
        <v>6872</v>
      </c>
      <c r="I1878" s="11" t="s">
        <v>6873</v>
      </c>
      <c r="J1878" s="12">
        <v>0.9</v>
      </c>
      <c r="K1878" s="13">
        <v>2</v>
      </c>
      <c r="L1878" s="14">
        <v>33</v>
      </c>
      <c r="M1878" s="10">
        <v>30</v>
      </c>
      <c r="N1878" s="10">
        <v>3647</v>
      </c>
      <c r="O1878" s="10">
        <v>2352</v>
      </c>
      <c r="P1878" s="10">
        <v>5999</v>
      </c>
    </row>
    <row r="1879" spans="1:16" ht="27" customHeight="1" x14ac:dyDescent="0.2">
      <c r="A1879" s="9" t="s">
        <v>6788</v>
      </c>
      <c r="B1879" s="10" t="s">
        <v>6874</v>
      </c>
      <c r="C1879" s="11" t="s">
        <v>18</v>
      </c>
      <c r="D1879" s="11" t="s">
        <v>19</v>
      </c>
      <c r="E1879" s="11" t="s">
        <v>19</v>
      </c>
      <c r="F1879" s="11" t="s">
        <v>6875</v>
      </c>
      <c r="G1879" s="11" t="s">
        <v>83</v>
      </c>
      <c r="H1879" s="11" t="s">
        <v>6875</v>
      </c>
      <c r="I1879" s="11" t="s">
        <v>6876</v>
      </c>
      <c r="J1879" s="12">
        <v>0.30180000000000001</v>
      </c>
      <c r="K1879" s="13">
        <v>2</v>
      </c>
      <c r="L1879" s="14">
        <v>393</v>
      </c>
      <c r="M1879" s="10">
        <v>118</v>
      </c>
      <c r="N1879" s="10">
        <v>43427</v>
      </c>
      <c r="O1879" s="10">
        <v>9253</v>
      </c>
      <c r="P1879" s="10">
        <v>52680</v>
      </c>
    </row>
    <row r="1880" spans="1:16" ht="27" customHeight="1" x14ac:dyDescent="0.2">
      <c r="A1880" s="9" t="s">
        <v>6788</v>
      </c>
      <c r="B1880" s="10" t="s">
        <v>6877</v>
      </c>
      <c r="C1880" s="11" t="s">
        <v>18</v>
      </c>
      <c r="D1880" s="11" t="s">
        <v>19</v>
      </c>
      <c r="E1880" s="11" t="s">
        <v>19</v>
      </c>
      <c r="F1880" s="11" t="s">
        <v>6878</v>
      </c>
      <c r="G1880" s="11" t="s">
        <v>83</v>
      </c>
      <c r="H1880" s="11" t="s">
        <v>6878</v>
      </c>
      <c r="I1880" s="11" t="s">
        <v>6879</v>
      </c>
      <c r="J1880" s="12">
        <v>0.32369999999999999</v>
      </c>
      <c r="K1880" s="13">
        <v>2</v>
      </c>
      <c r="L1880" s="14">
        <v>241</v>
      </c>
      <c r="M1880" s="10">
        <v>78</v>
      </c>
      <c r="N1880" s="10">
        <v>26631</v>
      </c>
      <c r="O1880" s="10">
        <v>6117</v>
      </c>
      <c r="P1880" s="10">
        <v>32748</v>
      </c>
    </row>
    <row r="1881" spans="1:16" ht="27" customHeight="1" x14ac:dyDescent="0.2">
      <c r="A1881" s="9" t="s">
        <v>6788</v>
      </c>
      <c r="B1881" s="10" t="s">
        <v>6880</v>
      </c>
      <c r="C1881" s="11" t="s">
        <v>18</v>
      </c>
      <c r="D1881" s="11" t="s">
        <v>19</v>
      </c>
      <c r="E1881" s="11" t="s">
        <v>19</v>
      </c>
      <c r="F1881" s="11" t="s">
        <v>6881</v>
      </c>
      <c r="G1881" s="11" t="s">
        <v>83</v>
      </c>
      <c r="H1881" s="11" t="s">
        <v>6881</v>
      </c>
      <c r="I1881" s="11" t="s">
        <v>6882</v>
      </c>
      <c r="J1881" s="12">
        <v>0.16800000000000001</v>
      </c>
      <c r="K1881" s="13">
        <v>2</v>
      </c>
      <c r="L1881" s="14">
        <v>258</v>
      </c>
      <c r="M1881" s="10">
        <v>43</v>
      </c>
      <c r="N1881" s="10">
        <v>28509</v>
      </c>
      <c r="O1881" s="10">
        <v>3372</v>
      </c>
      <c r="P1881" s="10">
        <v>31881</v>
      </c>
    </row>
    <row r="1882" spans="1:16" ht="27" customHeight="1" x14ac:dyDescent="0.2">
      <c r="A1882" s="9" t="s">
        <v>6788</v>
      </c>
      <c r="B1882" s="10" t="s">
        <v>6883</v>
      </c>
      <c r="C1882" s="11" t="s">
        <v>18</v>
      </c>
      <c r="D1882" s="11" t="s">
        <v>19</v>
      </c>
      <c r="E1882" s="11" t="s">
        <v>19</v>
      </c>
      <c r="F1882" s="11" t="s">
        <v>6884</v>
      </c>
      <c r="G1882" s="11" t="s">
        <v>83</v>
      </c>
      <c r="H1882" s="11" t="s">
        <v>6884</v>
      </c>
      <c r="I1882" s="11" t="s">
        <v>6885</v>
      </c>
      <c r="J1882" s="12">
        <v>0.82220000000000004</v>
      </c>
      <c r="K1882" s="13">
        <v>2</v>
      </c>
      <c r="L1882" s="14">
        <v>45</v>
      </c>
      <c r="M1882" s="10">
        <v>37</v>
      </c>
      <c r="N1882" s="10">
        <v>4973</v>
      </c>
      <c r="O1882" s="10">
        <v>2902</v>
      </c>
      <c r="P1882" s="10">
        <v>7875</v>
      </c>
    </row>
    <row r="1883" spans="1:16" ht="27" customHeight="1" x14ac:dyDescent="0.2">
      <c r="A1883" s="9" t="s">
        <v>6788</v>
      </c>
      <c r="B1883" s="10" t="s">
        <v>6886</v>
      </c>
      <c r="C1883" s="11" t="s">
        <v>18</v>
      </c>
      <c r="D1883" s="11" t="s">
        <v>19</v>
      </c>
      <c r="E1883" s="11" t="s">
        <v>19</v>
      </c>
      <c r="F1883" s="11" t="s">
        <v>6887</v>
      </c>
      <c r="G1883" s="11" t="s">
        <v>83</v>
      </c>
      <c r="H1883" s="11" t="s">
        <v>6888</v>
      </c>
      <c r="I1883" s="11" t="s">
        <v>6889</v>
      </c>
      <c r="J1883" s="12">
        <v>0.51100000000000001</v>
      </c>
      <c r="K1883" s="13">
        <v>3</v>
      </c>
      <c r="L1883" s="14">
        <v>680</v>
      </c>
      <c r="M1883" s="10">
        <v>344</v>
      </c>
      <c r="N1883" s="10">
        <v>75142</v>
      </c>
      <c r="O1883" s="10">
        <v>26975</v>
      </c>
      <c r="P1883" s="10">
        <v>102117</v>
      </c>
    </row>
    <row r="1884" spans="1:16" ht="27" customHeight="1" x14ac:dyDescent="0.2">
      <c r="A1884" s="9" t="s">
        <v>6788</v>
      </c>
      <c r="B1884" s="10" t="s">
        <v>6890</v>
      </c>
      <c r="C1884" s="11" t="s">
        <v>18</v>
      </c>
      <c r="D1884" s="11" t="s">
        <v>19</v>
      </c>
      <c r="E1884" s="11" t="s">
        <v>19</v>
      </c>
      <c r="F1884" s="11" t="s">
        <v>6891</v>
      </c>
      <c r="G1884" s="11" t="s">
        <v>83</v>
      </c>
      <c r="H1884" s="11" t="s">
        <v>4053</v>
      </c>
      <c r="I1884" s="11" t="s">
        <v>6892</v>
      </c>
      <c r="J1884" s="12">
        <v>0.87829999999999997</v>
      </c>
      <c r="K1884" s="13">
        <v>9</v>
      </c>
      <c r="L1884" s="14">
        <v>2772</v>
      </c>
      <c r="M1884" s="10">
        <v>1894</v>
      </c>
      <c r="N1884" s="10">
        <v>306310</v>
      </c>
      <c r="O1884" s="10">
        <v>148526</v>
      </c>
      <c r="P1884" s="10">
        <v>454836</v>
      </c>
    </row>
    <row r="1885" spans="1:16" ht="27" customHeight="1" x14ac:dyDescent="0.2">
      <c r="A1885" s="9" t="s">
        <v>6788</v>
      </c>
      <c r="B1885" s="10" t="s">
        <v>6890</v>
      </c>
      <c r="C1885" s="11" t="s">
        <v>6893</v>
      </c>
      <c r="D1885" s="11" t="s">
        <v>6894</v>
      </c>
      <c r="E1885" s="11" t="s">
        <v>57</v>
      </c>
      <c r="F1885" s="11" t="s">
        <v>6895</v>
      </c>
      <c r="G1885" s="11" t="s">
        <v>28</v>
      </c>
      <c r="H1885" s="11" t="s">
        <v>6895</v>
      </c>
      <c r="I1885" s="11" t="s">
        <v>6896</v>
      </c>
      <c r="J1885" s="12">
        <v>0.44</v>
      </c>
      <c r="K1885" s="13">
        <v>1</v>
      </c>
      <c r="L1885" s="14">
        <v>200</v>
      </c>
      <c r="M1885" s="10">
        <v>88</v>
      </c>
      <c r="N1885" s="10">
        <v>22100</v>
      </c>
      <c r="O1885" s="10">
        <v>6901</v>
      </c>
      <c r="P1885" s="10">
        <v>29001</v>
      </c>
    </row>
    <row r="1886" spans="1:16" ht="27" customHeight="1" x14ac:dyDescent="0.2">
      <c r="A1886" s="9" t="s">
        <v>6788</v>
      </c>
      <c r="B1886" s="10" t="s">
        <v>6890</v>
      </c>
      <c r="C1886" s="11" t="s">
        <v>6897</v>
      </c>
      <c r="D1886" s="11" t="s">
        <v>6898</v>
      </c>
      <c r="E1886" s="11" t="s">
        <v>26</v>
      </c>
      <c r="F1886" s="11" t="s">
        <v>6899</v>
      </c>
      <c r="G1886" s="11" t="s">
        <v>28</v>
      </c>
      <c r="H1886" s="11" t="s">
        <v>6899</v>
      </c>
      <c r="I1886" s="11" t="s">
        <v>6900</v>
      </c>
      <c r="J1886" s="12">
        <v>0.69410000000000005</v>
      </c>
      <c r="K1886" s="13">
        <v>1</v>
      </c>
      <c r="L1886" s="14">
        <v>85</v>
      </c>
      <c r="M1886" s="10">
        <v>59</v>
      </c>
      <c r="N1886" s="10">
        <v>9393</v>
      </c>
      <c r="O1886" s="10">
        <v>4627</v>
      </c>
      <c r="P1886" s="10">
        <v>14020</v>
      </c>
    </row>
    <row r="1887" spans="1:16" ht="27" customHeight="1" x14ac:dyDescent="0.2">
      <c r="A1887" s="9" t="s">
        <v>6788</v>
      </c>
      <c r="B1887" s="10" t="s">
        <v>6901</v>
      </c>
      <c r="C1887" s="11" t="s">
        <v>18</v>
      </c>
      <c r="D1887" s="11" t="s">
        <v>19</v>
      </c>
      <c r="E1887" s="11" t="s">
        <v>19</v>
      </c>
      <c r="F1887" s="11" t="s">
        <v>6902</v>
      </c>
      <c r="G1887" s="11" t="s">
        <v>83</v>
      </c>
      <c r="H1887" s="11" t="s">
        <v>6903</v>
      </c>
      <c r="I1887" s="11" t="s">
        <v>6904</v>
      </c>
      <c r="J1887" s="12">
        <v>0.62070000000000003</v>
      </c>
      <c r="K1887" s="13">
        <v>2</v>
      </c>
      <c r="L1887" s="14">
        <v>88</v>
      </c>
      <c r="M1887" s="10">
        <v>55</v>
      </c>
      <c r="N1887" s="10">
        <v>9725</v>
      </c>
      <c r="O1887" s="10">
        <v>4313</v>
      </c>
      <c r="P1887" s="10">
        <v>14038</v>
      </c>
    </row>
    <row r="1888" spans="1:16" ht="27" customHeight="1" x14ac:dyDescent="0.2">
      <c r="A1888" s="9" t="s">
        <v>6788</v>
      </c>
      <c r="B1888" s="10" t="s">
        <v>6905</v>
      </c>
      <c r="C1888" s="11" t="s">
        <v>18</v>
      </c>
      <c r="D1888" s="11" t="s">
        <v>19</v>
      </c>
      <c r="E1888" s="11" t="s">
        <v>19</v>
      </c>
      <c r="F1888" s="11" t="s">
        <v>6906</v>
      </c>
      <c r="G1888" s="11" t="s">
        <v>83</v>
      </c>
      <c r="H1888" s="11" t="s">
        <v>6791</v>
      </c>
      <c r="I1888" s="11" t="s">
        <v>6792</v>
      </c>
      <c r="J1888" s="12">
        <v>0.9</v>
      </c>
      <c r="K1888" s="13">
        <v>6</v>
      </c>
      <c r="L1888" s="14">
        <v>4263</v>
      </c>
      <c r="M1888" s="10">
        <v>2076</v>
      </c>
      <c r="N1888" s="10">
        <v>471068</v>
      </c>
      <c r="O1888" s="10">
        <v>162797</v>
      </c>
      <c r="P1888" s="10">
        <v>633865</v>
      </c>
    </row>
    <row r="1889" spans="1:16" ht="27" customHeight="1" x14ac:dyDescent="0.2">
      <c r="A1889" s="9" t="s">
        <v>6788</v>
      </c>
      <c r="B1889" s="10" t="s">
        <v>6905</v>
      </c>
      <c r="C1889" s="11" t="s">
        <v>6907</v>
      </c>
      <c r="D1889" s="11" t="s">
        <v>6908</v>
      </c>
      <c r="E1889" s="11" t="s">
        <v>26</v>
      </c>
      <c r="F1889" s="11" t="s">
        <v>6909</v>
      </c>
      <c r="G1889" s="11" t="s">
        <v>28</v>
      </c>
      <c r="H1889" s="11" t="s">
        <v>6909</v>
      </c>
      <c r="I1889" s="11" t="s">
        <v>6910</v>
      </c>
      <c r="J1889" s="12">
        <v>0.32379999999999998</v>
      </c>
      <c r="K1889" s="13">
        <v>1</v>
      </c>
      <c r="L1889" s="14">
        <v>1013</v>
      </c>
      <c r="M1889" s="10">
        <v>328</v>
      </c>
      <c r="N1889" s="10">
        <v>111938</v>
      </c>
      <c r="O1889" s="10">
        <v>25721</v>
      </c>
      <c r="P1889" s="10">
        <v>137659</v>
      </c>
    </row>
    <row r="1890" spans="1:16" ht="27" customHeight="1" x14ac:dyDescent="0.2">
      <c r="A1890" s="9" t="s">
        <v>6788</v>
      </c>
      <c r="B1890" s="10" t="s">
        <v>6905</v>
      </c>
      <c r="C1890" s="11" t="s">
        <v>6911</v>
      </c>
      <c r="D1890" s="11" t="s">
        <v>6912</v>
      </c>
      <c r="E1890" s="11" t="s">
        <v>26</v>
      </c>
      <c r="F1890" s="11" t="s">
        <v>6913</v>
      </c>
      <c r="G1890" s="11" t="s">
        <v>28</v>
      </c>
      <c r="H1890" s="11" t="s">
        <v>6791</v>
      </c>
      <c r="I1890" s="11" t="s">
        <v>6792</v>
      </c>
      <c r="J1890" s="12">
        <v>0.9</v>
      </c>
      <c r="K1890" s="13">
        <v>1</v>
      </c>
      <c r="L1890" s="14">
        <v>274</v>
      </c>
      <c r="M1890" s="10">
        <v>136</v>
      </c>
      <c r="N1890" s="10">
        <v>30277</v>
      </c>
      <c r="O1890" s="10">
        <v>10665</v>
      </c>
      <c r="P1890" s="10">
        <v>40942</v>
      </c>
    </row>
    <row r="1891" spans="1:16" ht="27" customHeight="1" x14ac:dyDescent="0.2">
      <c r="A1891" s="9" t="s">
        <v>6788</v>
      </c>
      <c r="B1891" s="10" t="s">
        <v>6914</v>
      </c>
      <c r="C1891" s="11" t="s">
        <v>18</v>
      </c>
      <c r="D1891" s="11" t="s">
        <v>19</v>
      </c>
      <c r="E1891" s="11" t="s">
        <v>19</v>
      </c>
      <c r="F1891" s="11" t="s">
        <v>6915</v>
      </c>
      <c r="G1891" s="11" t="s">
        <v>83</v>
      </c>
      <c r="H1891" s="11" t="s">
        <v>6916</v>
      </c>
      <c r="I1891" s="11" t="s">
        <v>6917</v>
      </c>
      <c r="J1891" s="12">
        <v>0.30159999999999998</v>
      </c>
      <c r="K1891" s="13">
        <v>2</v>
      </c>
      <c r="L1891" s="14">
        <v>63</v>
      </c>
      <c r="M1891" s="10">
        <v>19</v>
      </c>
      <c r="N1891" s="10">
        <v>6962</v>
      </c>
      <c r="O1891" s="10">
        <v>1490</v>
      </c>
      <c r="P1891" s="10">
        <v>8452</v>
      </c>
    </row>
    <row r="1892" spans="1:16" ht="27" customHeight="1" x14ac:dyDescent="0.2">
      <c r="A1892" s="9" t="s">
        <v>6788</v>
      </c>
      <c r="B1892" s="10" t="s">
        <v>6918</v>
      </c>
      <c r="C1892" s="11" t="s">
        <v>18</v>
      </c>
      <c r="D1892" s="11" t="s">
        <v>19</v>
      </c>
      <c r="E1892" s="11" t="s">
        <v>19</v>
      </c>
      <c r="F1892" s="11" t="s">
        <v>6919</v>
      </c>
      <c r="G1892" s="11" t="s">
        <v>83</v>
      </c>
      <c r="H1892" s="11" t="s">
        <v>6920</v>
      </c>
      <c r="I1892" s="11" t="s">
        <v>6921</v>
      </c>
      <c r="J1892" s="12">
        <v>0.8659</v>
      </c>
      <c r="K1892" s="13">
        <v>2</v>
      </c>
      <c r="L1892" s="14">
        <v>83</v>
      </c>
      <c r="M1892" s="10">
        <v>72</v>
      </c>
      <c r="N1892" s="10">
        <v>9172</v>
      </c>
      <c r="O1892" s="10">
        <v>5646</v>
      </c>
      <c r="P1892" s="10">
        <v>14818</v>
      </c>
    </row>
    <row r="1893" spans="1:16" ht="27" customHeight="1" x14ac:dyDescent="0.2">
      <c r="A1893" s="9" t="s">
        <v>6788</v>
      </c>
      <c r="B1893" s="10" t="s">
        <v>6922</v>
      </c>
      <c r="C1893" s="11" t="s">
        <v>18</v>
      </c>
      <c r="D1893" s="11" t="s">
        <v>19</v>
      </c>
      <c r="E1893" s="11" t="s">
        <v>19</v>
      </c>
      <c r="F1893" s="11" t="s">
        <v>6923</v>
      </c>
      <c r="G1893" s="11" t="s">
        <v>83</v>
      </c>
      <c r="H1893" s="11" t="s">
        <v>6924</v>
      </c>
      <c r="I1893" s="11" t="s">
        <v>6925</v>
      </c>
      <c r="J1893" s="12">
        <v>0.8145</v>
      </c>
      <c r="K1893" s="13">
        <v>8</v>
      </c>
      <c r="L1893" s="14">
        <v>2187</v>
      </c>
      <c r="M1893" s="10">
        <v>1576</v>
      </c>
      <c r="N1893" s="10">
        <v>241669</v>
      </c>
      <c r="O1893" s="10">
        <v>123589</v>
      </c>
      <c r="P1893" s="10">
        <v>365258</v>
      </c>
    </row>
    <row r="1894" spans="1:16" ht="27" customHeight="1" x14ac:dyDescent="0.2">
      <c r="A1894" s="9" t="s">
        <v>6788</v>
      </c>
      <c r="B1894" s="10" t="s">
        <v>6922</v>
      </c>
      <c r="C1894" s="11" t="s">
        <v>6926</v>
      </c>
      <c r="D1894" s="11" t="s">
        <v>6927</v>
      </c>
      <c r="E1894" s="11" t="s">
        <v>26</v>
      </c>
      <c r="F1894" s="11" t="s">
        <v>6928</v>
      </c>
      <c r="G1894" s="11" t="s">
        <v>28</v>
      </c>
      <c r="H1894" s="11" t="s">
        <v>6928</v>
      </c>
      <c r="I1894" s="11" t="s">
        <v>6929</v>
      </c>
      <c r="J1894" s="12">
        <v>0.74209999999999998</v>
      </c>
      <c r="K1894" s="13">
        <v>1</v>
      </c>
      <c r="L1894" s="14">
        <v>159</v>
      </c>
      <c r="M1894" s="10">
        <v>118</v>
      </c>
      <c r="N1894" s="10">
        <v>17570</v>
      </c>
      <c r="O1894" s="10">
        <v>9253</v>
      </c>
      <c r="P1894" s="10">
        <v>26823</v>
      </c>
    </row>
    <row r="1895" spans="1:16" ht="27" customHeight="1" x14ac:dyDescent="0.2">
      <c r="A1895" s="9" t="s">
        <v>6930</v>
      </c>
      <c r="B1895" s="10" t="s">
        <v>6931</v>
      </c>
      <c r="C1895" s="11" t="s">
        <v>18</v>
      </c>
      <c r="D1895" s="11" t="s">
        <v>19</v>
      </c>
      <c r="E1895" s="11" t="s">
        <v>19</v>
      </c>
      <c r="F1895" s="11" t="s">
        <v>6932</v>
      </c>
      <c r="G1895" s="11" t="s">
        <v>21</v>
      </c>
      <c r="H1895" s="11" t="s">
        <v>6933</v>
      </c>
      <c r="I1895" s="11" t="s">
        <v>6934</v>
      </c>
      <c r="J1895" s="12">
        <v>0.59089999999999998</v>
      </c>
      <c r="K1895" s="13">
        <v>2</v>
      </c>
      <c r="L1895" s="14">
        <v>0</v>
      </c>
      <c r="M1895" s="10">
        <v>0</v>
      </c>
      <c r="N1895" s="10">
        <v>0</v>
      </c>
      <c r="O1895" s="10">
        <v>0</v>
      </c>
      <c r="P1895" s="10">
        <v>0</v>
      </c>
    </row>
    <row r="1896" spans="1:16" ht="27" customHeight="1" x14ac:dyDescent="0.2">
      <c r="A1896" s="9" t="s">
        <v>6930</v>
      </c>
      <c r="B1896" s="10" t="s">
        <v>6935</v>
      </c>
      <c r="C1896" s="11" t="s">
        <v>18</v>
      </c>
      <c r="D1896" s="11" t="s">
        <v>19</v>
      </c>
      <c r="E1896" s="11" t="s">
        <v>19</v>
      </c>
      <c r="F1896" s="11" t="s">
        <v>6936</v>
      </c>
      <c r="G1896" s="11" t="s">
        <v>83</v>
      </c>
      <c r="H1896" s="11" t="s">
        <v>6933</v>
      </c>
      <c r="I1896" s="11" t="s">
        <v>6934</v>
      </c>
      <c r="J1896" s="12">
        <v>0.59089999999999998</v>
      </c>
      <c r="K1896" s="13">
        <v>6</v>
      </c>
      <c r="L1896" s="14">
        <v>400</v>
      </c>
      <c r="M1896" s="10">
        <v>148</v>
      </c>
      <c r="N1896" s="10">
        <v>44201</v>
      </c>
      <c r="O1896" s="10">
        <v>11606</v>
      </c>
      <c r="P1896" s="10">
        <v>55807</v>
      </c>
    </row>
    <row r="1897" spans="1:16" ht="27" customHeight="1" x14ac:dyDescent="0.2">
      <c r="A1897" s="9" t="s">
        <v>6937</v>
      </c>
      <c r="B1897" s="10" t="s">
        <v>6938</v>
      </c>
      <c r="C1897" s="11" t="s">
        <v>18</v>
      </c>
      <c r="D1897" s="11" t="s">
        <v>19</v>
      </c>
      <c r="E1897" s="11" t="s">
        <v>19</v>
      </c>
      <c r="F1897" s="11" t="s">
        <v>6939</v>
      </c>
      <c r="G1897" s="11" t="s">
        <v>21</v>
      </c>
      <c r="H1897" s="11" t="s">
        <v>6940</v>
      </c>
      <c r="I1897" s="11" t="s">
        <v>6941</v>
      </c>
      <c r="J1897" s="12">
        <v>1</v>
      </c>
      <c r="K1897" s="13">
        <v>2</v>
      </c>
      <c r="L1897" s="14">
        <v>128</v>
      </c>
      <c r="M1897" s="10">
        <v>83</v>
      </c>
      <c r="N1897" s="10">
        <v>14145</v>
      </c>
      <c r="O1897" s="10">
        <v>6509</v>
      </c>
      <c r="P1897" s="10">
        <v>20654</v>
      </c>
    </row>
    <row r="1898" spans="1:16" ht="27" customHeight="1" x14ac:dyDescent="0.2">
      <c r="A1898" s="9" t="s">
        <v>6937</v>
      </c>
      <c r="B1898" s="10" t="s">
        <v>6938</v>
      </c>
      <c r="C1898" s="11" t="s">
        <v>6942</v>
      </c>
      <c r="D1898" s="11" t="s">
        <v>6943</v>
      </c>
      <c r="E1898" s="11" t="s">
        <v>26</v>
      </c>
      <c r="F1898" s="11" t="s">
        <v>6944</v>
      </c>
      <c r="G1898" s="11" t="s">
        <v>28</v>
      </c>
      <c r="H1898" s="11" t="s">
        <v>6944</v>
      </c>
      <c r="I1898" s="11" t="s">
        <v>6945</v>
      </c>
      <c r="J1898" s="12">
        <v>0.73780000000000001</v>
      </c>
      <c r="K1898" s="13">
        <v>1</v>
      </c>
      <c r="L1898" s="14">
        <v>431</v>
      </c>
      <c r="M1898" s="10">
        <v>318</v>
      </c>
      <c r="N1898" s="10">
        <v>47626</v>
      </c>
      <c r="O1898" s="10">
        <v>24937</v>
      </c>
      <c r="P1898" s="10">
        <v>72563</v>
      </c>
    </row>
    <row r="1899" spans="1:16" ht="27" customHeight="1" x14ac:dyDescent="0.2">
      <c r="A1899" s="9" t="s">
        <v>6937</v>
      </c>
      <c r="B1899" s="10" t="s">
        <v>6938</v>
      </c>
      <c r="C1899" s="11" t="s">
        <v>6946</v>
      </c>
      <c r="D1899" s="11" t="s">
        <v>6947</v>
      </c>
      <c r="E1899" s="11" t="s">
        <v>26</v>
      </c>
      <c r="F1899" s="11" t="s">
        <v>6948</v>
      </c>
      <c r="G1899" s="11" t="s">
        <v>28</v>
      </c>
      <c r="H1899" s="11" t="s">
        <v>6948</v>
      </c>
      <c r="I1899" s="11" t="s">
        <v>6949</v>
      </c>
      <c r="J1899" s="12">
        <v>0.86180000000000001</v>
      </c>
      <c r="K1899" s="13">
        <v>1</v>
      </c>
      <c r="L1899" s="14">
        <v>123</v>
      </c>
      <c r="M1899" s="10">
        <v>106</v>
      </c>
      <c r="N1899" s="10">
        <v>13592</v>
      </c>
      <c r="O1899" s="10">
        <v>8312</v>
      </c>
      <c r="P1899" s="10">
        <v>21904</v>
      </c>
    </row>
    <row r="1900" spans="1:16" ht="27" customHeight="1" x14ac:dyDescent="0.2">
      <c r="A1900" s="9" t="s">
        <v>6937</v>
      </c>
      <c r="B1900" s="10" t="s">
        <v>6950</v>
      </c>
      <c r="C1900" s="11" t="s">
        <v>18</v>
      </c>
      <c r="D1900" s="11" t="s">
        <v>19</v>
      </c>
      <c r="E1900" s="11" t="s">
        <v>19</v>
      </c>
      <c r="F1900" s="11" t="s">
        <v>6951</v>
      </c>
      <c r="G1900" s="11" t="s">
        <v>83</v>
      </c>
      <c r="H1900" s="11" t="s">
        <v>6952</v>
      </c>
      <c r="I1900" s="11" t="s">
        <v>6953</v>
      </c>
      <c r="J1900" s="12">
        <v>0.61439999999999995</v>
      </c>
      <c r="K1900" s="13">
        <v>2</v>
      </c>
      <c r="L1900" s="14">
        <v>153</v>
      </c>
      <c r="M1900" s="10">
        <v>94</v>
      </c>
      <c r="N1900" s="10">
        <v>16907</v>
      </c>
      <c r="O1900" s="10">
        <v>7371</v>
      </c>
      <c r="P1900" s="10">
        <v>24278</v>
      </c>
    </row>
    <row r="1901" spans="1:16" ht="27" customHeight="1" x14ac:dyDescent="0.2">
      <c r="A1901" s="9" t="s">
        <v>6937</v>
      </c>
      <c r="B1901" s="10" t="s">
        <v>6954</v>
      </c>
      <c r="C1901" s="11" t="s">
        <v>18</v>
      </c>
      <c r="D1901" s="11" t="s">
        <v>19</v>
      </c>
      <c r="E1901" s="11" t="s">
        <v>19</v>
      </c>
      <c r="F1901" s="11" t="s">
        <v>6955</v>
      </c>
      <c r="G1901" s="11" t="s">
        <v>83</v>
      </c>
      <c r="H1901" s="11" t="s">
        <v>6955</v>
      </c>
      <c r="I1901" s="11" t="s">
        <v>6956</v>
      </c>
      <c r="J1901" s="12">
        <v>0.6875</v>
      </c>
      <c r="K1901" s="13">
        <v>2</v>
      </c>
      <c r="L1901" s="14">
        <v>16</v>
      </c>
      <c r="M1901" s="10">
        <v>11</v>
      </c>
      <c r="N1901" s="10">
        <v>1768</v>
      </c>
      <c r="O1901" s="10">
        <v>863</v>
      </c>
      <c r="P1901" s="10">
        <v>2631</v>
      </c>
    </row>
    <row r="1902" spans="1:16" ht="27" customHeight="1" x14ac:dyDescent="0.2">
      <c r="A1902" s="9" t="s">
        <v>6937</v>
      </c>
      <c r="B1902" s="10" t="s">
        <v>6957</v>
      </c>
      <c r="C1902" s="11" t="s">
        <v>18</v>
      </c>
      <c r="D1902" s="11" t="s">
        <v>19</v>
      </c>
      <c r="E1902" s="11" t="s">
        <v>19</v>
      </c>
      <c r="F1902" s="11" t="s">
        <v>6958</v>
      </c>
      <c r="G1902" s="11" t="s">
        <v>83</v>
      </c>
      <c r="H1902" s="11" t="s">
        <v>6959</v>
      </c>
      <c r="I1902" s="11" t="s">
        <v>6960</v>
      </c>
      <c r="J1902" s="12">
        <v>0.42170000000000002</v>
      </c>
      <c r="K1902" s="13">
        <v>2</v>
      </c>
      <c r="L1902" s="14">
        <v>166</v>
      </c>
      <c r="M1902" s="10">
        <v>70</v>
      </c>
      <c r="N1902" s="10">
        <v>18343</v>
      </c>
      <c r="O1902" s="10">
        <v>5489</v>
      </c>
      <c r="P1902" s="10">
        <v>23832</v>
      </c>
    </row>
    <row r="1903" spans="1:16" ht="27" customHeight="1" x14ac:dyDescent="0.2">
      <c r="A1903" s="9" t="s">
        <v>6937</v>
      </c>
      <c r="B1903" s="10" t="s">
        <v>6961</v>
      </c>
      <c r="C1903" s="11" t="s">
        <v>18</v>
      </c>
      <c r="D1903" s="11" t="s">
        <v>19</v>
      </c>
      <c r="E1903" s="11" t="s">
        <v>19</v>
      </c>
      <c r="F1903" s="11" t="s">
        <v>6962</v>
      </c>
      <c r="G1903" s="11" t="s">
        <v>83</v>
      </c>
      <c r="H1903" s="11" t="s">
        <v>6962</v>
      </c>
      <c r="I1903" s="11" t="s">
        <v>6963</v>
      </c>
      <c r="J1903" s="12">
        <v>0.71930000000000005</v>
      </c>
      <c r="K1903" s="13">
        <v>2</v>
      </c>
      <c r="L1903" s="14">
        <v>57</v>
      </c>
      <c r="M1903" s="10">
        <v>41</v>
      </c>
      <c r="N1903" s="10">
        <v>6299</v>
      </c>
      <c r="O1903" s="10">
        <v>3215</v>
      </c>
      <c r="P1903" s="10">
        <v>9514</v>
      </c>
    </row>
    <row r="1904" spans="1:16" ht="27" customHeight="1" x14ac:dyDescent="0.2">
      <c r="A1904" s="9" t="s">
        <v>6937</v>
      </c>
      <c r="B1904" s="10" t="s">
        <v>6964</v>
      </c>
      <c r="C1904" s="11" t="s">
        <v>18</v>
      </c>
      <c r="D1904" s="11" t="s">
        <v>19</v>
      </c>
      <c r="E1904" s="11" t="s">
        <v>19</v>
      </c>
      <c r="F1904" s="11" t="s">
        <v>6965</v>
      </c>
      <c r="G1904" s="11" t="s">
        <v>83</v>
      </c>
      <c r="H1904" s="11" t="s">
        <v>6965</v>
      </c>
      <c r="I1904" s="11" t="s">
        <v>6966</v>
      </c>
      <c r="J1904" s="12">
        <v>0.89249999999999996</v>
      </c>
      <c r="K1904" s="13">
        <v>2</v>
      </c>
      <c r="L1904" s="14">
        <v>93</v>
      </c>
      <c r="M1904" s="10">
        <v>83</v>
      </c>
      <c r="N1904" s="10">
        <v>10277</v>
      </c>
      <c r="O1904" s="10">
        <v>6509</v>
      </c>
      <c r="P1904" s="10">
        <v>16786</v>
      </c>
    </row>
    <row r="1905" spans="1:16" ht="27" customHeight="1" x14ac:dyDescent="0.2">
      <c r="A1905" s="9" t="s">
        <v>6937</v>
      </c>
      <c r="B1905" s="10" t="s">
        <v>6967</v>
      </c>
      <c r="C1905" s="11" t="s">
        <v>18</v>
      </c>
      <c r="D1905" s="11" t="s">
        <v>19</v>
      </c>
      <c r="E1905" s="11" t="s">
        <v>19</v>
      </c>
      <c r="F1905" s="11" t="s">
        <v>6968</v>
      </c>
      <c r="G1905" s="11" t="s">
        <v>83</v>
      </c>
      <c r="H1905" s="11" t="s">
        <v>6940</v>
      </c>
      <c r="I1905" s="11" t="s">
        <v>6941</v>
      </c>
      <c r="J1905" s="12">
        <v>1</v>
      </c>
      <c r="K1905" s="13">
        <v>3</v>
      </c>
      <c r="L1905" s="14">
        <v>66</v>
      </c>
      <c r="M1905" s="10">
        <v>49</v>
      </c>
      <c r="N1905" s="10">
        <v>7293</v>
      </c>
      <c r="O1905" s="10">
        <v>3843</v>
      </c>
      <c r="P1905" s="10">
        <v>11136</v>
      </c>
    </row>
    <row r="1906" spans="1:16" ht="27" customHeight="1" x14ac:dyDescent="0.2">
      <c r="A1906" s="9" t="s">
        <v>6937</v>
      </c>
      <c r="B1906" s="10" t="s">
        <v>6969</v>
      </c>
      <c r="C1906" s="11" t="s">
        <v>18</v>
      </c>
      <c r="D1906" s="11" t="s">
        <v>19</v>
      </c>
      <c r="E1906" s="11" t="s">
        <v>19</v>
      </c>
      <c r="F1906" s="11" t="s">
        <v>6970</v>
      </c>
      <c r="G1906" s="11" t="s">
        <v>83</v>
      </c>
      <c r="H1906" s="11" t="s">
        <v>6971</v>
      </c>
      <c r="I1906" s="11" t="s">
        <v>6972</v>
      </c>
      <c r="J1906" s="12">
        <v>0.51429999999999998</v>
      </c>
      <c r="K1906" s="13">
        <v>2</v>
      </c>
      <c r="L1906" s="14">
        <v>35</v>
      </c>
      <c r="M1906" s="10">
        <v>18</v>
      </c>
      <c r="N1906" s="10">
        <v>3868</v>
      </c>
      <c r="O1906" s="10">
        <v>1412</v>
      </c>
      <c r="P1906" s="10">
        <v>5280</v>
      </c>
    </row>
    <row r="1907" spans="1:16" ht="27" customHeight="1" x14ac:dyDescent="0.2">
      <c r="A1907" s="9" t="s">
        <v>6937</v>
      </c>
      <c r="B1907" s="10" t="s">
        <v>6973</v>
      </c>
      <c r="C1907" s="11" t="s">
        <v>18</v>
      </c>
      <c r="D1907" s="11" t="s">
        <v>19</v>
      </c>
      <c r="E1907" s="11" t="s">
        <v>19</v>
      </c>
      <c r="F1907" s="11" t="s">
        <v>6974</v>
      </c>
      <c r="G1907" s="11" t="s">
        <v>83</v>
      </c>
      <c r="H1907" s="11" t="s">
        <v>6974</v>
      </c>
      <c r="I1907" s="11" t="s">
        <v>6975</v>
      </c>
      <c r="J1907" s="12">
        <v>0.47920000000000001</v>
      </c>
      <c r="K1907" s="13">
        <v>2</v>
      </c>
      <c r="L1907" s="14">
        <v>193</v>
      </c>
      <c r="M1907" s="10">
        <v>92</v>
      </c>
      <c r="N1907" s="10">
        <v>21327</v>
      </c>
      <c r="O1907" s="10">
        <v>7215</v>
      </c>
      <c r="P1907" s="10">
        <v>28542</v>
      </c>
    </row>
    <row r="1908" spans="1:16" ht="27" customHeight="1" x14ac:dyDescent="0.2">
      <c r="A1908" s="9" t="s">
        <v>6937</v>
      </c>
      <c r="B1908" s="10" t="s">
        <v>6976</v>
      </c>
      <c r="C1908" s="11" t="s">
        <v>18</v>
      </c>
      <c r="D1908" s="11" t="s">
        <v>19</v>
      </c>
      <c r="E1908" s="11" t="s">
        <v>19</v>
      </c>
      <c r="F1908" s="11" t="s">
        <v>6977</v>
      </c>
      <c r="G1908" s="11" t="s">
        <v>83</v>
      </c>
      <c r="H1908" s="11" t="s">
        <v>6977</v>
      </c>
      <c r="I1908" s="11" t="s">
        <v>6978</v>
      </c>
      <c r="J1908" s="12">
        <v>0.68220000000000003</v>
      </c>
      <c r="K1908" s="13">
        <v>2</v>
      </c>
      <c r="L1908" s="14">
        <v>108</v>
      </c>
      <c r="M1908" s="10">
        <v>73</v>
      </c>
      <c r="N1908" s="10">
        <v>11935</v>
      </c>
      <c r="O1908" s="10">
        <v>5725</v>
      </c>
      <c r="P1908" s="10">
        <v>17660</v>
      </c>
    </row>
    <row r="1909" spans="1:16" ht="27" customHeight="1" x14ac:dyDescent="0.2">
      <c r="A1909" s="9" t="s">
        <v>6937</v>
      </c>
      <c r="B1909" s="10" t="s">
        <v>6979</v>
      </c>
      <c r="C1909" s="11" t="s">
        <v>18</v>
      </c>
      <c r="D1909" s="11" t="s">
        <v>19</v>
      </c>
      <c r="E1909" s="11" t="s">
        <v>19</v>
      </c>
      <c r="F1909" s="11" t="s">
        <v>6980</v>
      </c>
      <c r="G1909" s="11" t="s">
        <v>83</v>
      </c>
      <c r="H1909" s="11" t="s">
        <v>6980</v>
      </c>
      <c r="I1909" s="11" t="s">
        <v>6981</v>
      </c>
      <c r="J1909" s="12">
        <v>0.97140000000000004</v>
      </c>
      <c r="K1909" s="13">
        <v>2</v>
      </c>
      <c r="L1909" s="14">
        <v>35</v>
      </c>
      <c r="M1909" s="10">
        <v>34</v>
      </c>
      <c r="N1909" s="10">
        <v>3868</v>
      </c>
      <c r="O1909" s="10">
        <v>2666</v>
      </c>
      <c r="P1909" s="10">
        <v>6534</v>
      </c>
    </row>
    <row r="1910" spans="1:16" ht="27" customHeight="1" x14ac:dyDescent="0.2">
      <c r="A1910" s="9" t="s">
        <v>6937</v>
      </c>
      <c r="B1910" s="10" t="s">
        <v>6982</v>
      </c>
      <c r="C1910" s="11" t="s">
        <v>18</v>
      </c>
      <c r="D1910" s="11" t="s">
        <v>19</v>
      </c>
      <c r="E1910" s="11" t="s">
        <v>19</v>
      </c>
      <c r="F1910" s="11" t="s">
        <v>6875</v>
      </c>
      <c r="G1910" s="11" t="s">
        <v>83</v>
      </c>
      <c r="H1910" s="11" t="s">
        <v>6875</v>
      </c>
      <c r="I1910" s="11" t="s">
        <v>6983</v>
      </c>
      <c r="J1910" s="12">
        <v>0.84619999999999995</v>
      </c>
      <c r="K1910" s="13">
        <v>3</v>
      </c>
      <c r="L1910" s="14">
        <v>13</v>
      </c>
      <c r="M1910" s="10">
        <v>11</v>
      </c>
      <c r="N1910" s="10">
        <v>1437</v>
      </c>
      <c r="O1910" s="10">
        <v>863</v>
      </c>
      <c r="P1910" s="10">
        <v>2300</v>
      </c>
    </row>
    <row r="1911" spans="1:16" ht="27" customHeight="1" x14ac:dyDescent="0.2">
      <c r="A1911" s="9" t="s">
        <v>6937</v>
      </c>
      <c r="B1911" s="10" t="s">
        <v>6984</v>
      </c>
      <c r="C1911" s="11" t="s">
        <v>18</v>
      </c>
      <c r="D1911" s="11" t="s">
        <v>19</v>
      </c>
      <c r="E1911" s="11" t="s">
        <v>19</v>
      </c>
      <c r="F1911" s="11" t="s">
        <v>6985</v>
      </c>
      <c r="G1911" s="11" t="s">
        <v>83</v>
      </c>
      <c r="H1911" s="11" t="s">
        <v>6940</v>
      </c>
      <c r="I1911" s="11" t="s">
        <v>6941</v>
      </c>
      <c r="J1911" s="12">
        <v>1</v>
      </c>
      <c r="K1911" s="13">
        <v>2</v>
      </c>
      <c r="L1911" s="14">
        <v>6</v>
      </c>
      <c r="M1911" s="10">
        <v>6</v>
      </c>
      <c r="N1911" s="10">
        <v>664</v>
      </c>
      <c r="O1911" s="10">
        <v>470</v>
      </c>
      <c r="P1911" s="10">
        <v>1134</v>
      </c>
    </row>
    <row r="1912" spans="1:16" ht="27" customHeight="1" x14ac:dyDescent="0.2">
      <c r="A1912" s="9" t="s">
        <v>6937</v>
      </c>
      <c r="B1912" s="10" t="s">
        <v>6986</v>
      </c>
      <c r="C1912" s="11" t="s">
        <v>18</v>
      </c>
      <c r="D1912" s="11" t="s">
        <v>19</v>
      </c>
      <c r="E1912" s="11" t="s">
        <v>19</v>
      </c>
      <c r="F1912" s="11" t="s">
        <v>6987</v>
      </c>
      <c r="G1912" s="11" t="s">
        <v>83</v>
      </c>
      <c r="H1912" s="11" t="s">
        <v>6987</v>
      </c>
      <c r="I1912" s="11" t="s">
        <v>6988</v>
      </c>
      <c r="J1912" s="12">
        <v>0.33329999999999999</v>
      </c>
      <c r="K1912" s="13">
        <v>2</v>
      </c>
      <c r="L1912" s="14">
        <v>12</v>
      </c>
      <c r="M1912" s="10">
        <v>4</v>
      </c>
      <c r="N1912" s="10">
        <v>1326</v>
      </c>
      <c r="O1912" s="10">
        <v>314</v>
      </c>
      <c r="P1912" s="10">
        <v>1640</v>
      </c>
    </row>
    <row r="1913" spans="1:16" ht="27" customHeight="1" x14ac:dyDescent="0.2">
      <c r="A1913" s="9" t="s">
        <v>6937</v>
      </c>
      <c r="B1913" s="10" t="s">
        <v>6989</v>
      </c>
      <c r="C1913" s="11" t="s">
        <v>18</v>
      </c>
      <c r="D1913" s="11" t="s">
        <v>19</v>
      </c>
      <c r="E1913" s="11" t="s">
        <v>19</v>
      </c>
      <c r="F1913" s="11" t="s">
        <v>6990</v>
      </c>
      <c r="G1913" s="11" t="s">
        <v>83</v>
      </c>
      <c r="H1913" s="11" t="s">
        <v>6991</v>
      </c>
      <c r="I1913" s="11" t="s">
        <v>6992</v>
      </c>
      <c r="J1913" s="12">
        <v>0.79169999999999996</v>
      </c>
      <c r="K1913" s="13">
        <v>2</v>
      </c>
      <c r="L1913" s="14">
        <v>48</v>
      </c>
      <c r="M1913" s="10">
        <v>38</v>
      </c>
      <c r="N1913" s="10">
        <v>5304</v>
      </c>
      <c r="O1913" s="10">
        <v>2980</v>
      </c>
      <c r="P1913" s="10">
        <v>8284</v>
      </c>
    </row>
    <row r="1914" spans="1:16" ht="27" customHeight="1" x14ac:dyDescent="0.2">
      <c r="A1914" s="9" t="s">
        <v>6937</v>
      </c>
      <c r="B1914" s="10" t="s">
        <v>6993</v>
      </c>
      <c r="C1914" s="11" t="s">
        <v>18</v>
      </c>
      <c r="D1914" s="11" t="s">
        <v>19</v>
      </c>
      <c r="E1914" s="11" t="s">
        <v>19</v>
      </c>
      <c r="F1914" s="11" t="s">
        <v>6994</v>
      </c>
      <c r="G1914" s="11" t="s">
        <v>83</v>
      </c>
      <c r="H1914" s="11" t="s">
        <v>6994</v>
      </c>
      <c r="I1914" s="11" t="s">
        <v>6995</v>
      </c>
      <c r="J1914" s="12">
        <v>0.65090000000000003</v>
      </c>
      <c r="K1914" s="13">
        <v>2</v>
      </c>
      <c r="L1914" s="14">
        <v>185</v>
      </c>
      <c r="M1914" s="10">
        <v>120</v>
      </c>
      <c r="N1914" s="10">
        <v>20443</v>
      </c>
      <c r="O1914" s="10">
        <v>9410</v>
      </c>
      <c r="P1914" s="10">
        <v>29853</v>
      </c>
    </row>
    <row r="1915" spans="1:16" ht="27" customHeight="1" x14ac:dyDescent="0.2">
      <c r="A1915" s="9" t="s">
        <v>6937</v>
      </c>
      <c r="B1915" s="10" t="s">
        <v>6996</v>
      </c>
      <c r="C1915" s="11" t="s">
        <v>18</v>
      </c>
      <c r="D1915" s="11" t="s">
        <v>19</v>
      </c>
      <c r="E1915" s="11" t="s">
        <v>19</v>
      </c>
      <c r="F1915" s="11" t="s">
        <v>6997</v>
      </c>
      <c r="G1915" s="11" t="s">
        <v>83</v>
      </c>
      <c r="H1915" s="11" t="s">
        <v>6998</v>
      </c>
      <c r="I1915" s="11" t="s">
        <v>6999</v>
      </c>
      <c r="J1915" s="12">
        <v>0.51029999999999998</v>
      </c>
      <c r="K1915" s="13">
        <v>3</v>
      </c>
      <c r="L1915" s="14">
        <v>465</v>
      </c>
      <c r="M1915" s="10">
        <v>218</v>
      </c>
      <c r="N1915" s="10">
        <v>51383</v>
      </c>
      <c r="O1915" s="10">
        <v>17095</v>
      </c>
      <c r="P1915" s="10">
        <v>68478</v>
      </c>
    </row>
    <row r="1916" spans="1:16" ht="27" customHeight="1" x14ac:dyDescent="0.2">
      <c r="A1916" s="9" t="s">
        <v>6937</v>
      </c>
      <c r="B1916" s="10" t="s">
        <v>7000</v>
      </c>
      <c r="C1916" s="11" t="s">
        <v>18</v>
      </c>
      <c r="D1916" s="11" t="s">
        <v>19</v>
      </c>
      <c r="E1916" s="11" t="s">
        <v>19</v>
      </c>
      <c r="F1916" s="11" t="s">
        <v>7001</v>
      </c>
      <c r="G1916" s="11" t="s">
        <v>83</v>
      </c>
      <c r="H1916" s="11" t="s">
        <v>7001</v>
      </c>
      <c r="I1916" s="11" t="s">
        <v>7002</v>
      </c>
      <c r="J1916" s="12">
        <v>0.52629999999999999</v>
      </c>
      <c r="K1916" s="13">
        <v>2</v>
      </c>
      <c r="L1916" s="14">
        <v>19</v>
      </c>
      <c r="M1916" s="10">
        <v>10</v>
      </c>
      <c r="N1916" s="10">
        <v>2100</v>
      </c>
      <c r="O1916" s="10">
        <v>784</v>
      </c>
      <c r="P1916" s="10">
        <v>2884</v>
      </c>
    </row>
    <row r="1917" spans="1:16" ht="27" customHeight="1" x14ac:dyDescent="0.2">
      <c r="A1917" s="9" t="s">
        <v>6937</v>
      </c>
      <c r="B1917" s="10" t="s">
        <v>7003</v>
      </c>
      <c r="C1917" s="11" t="s">
        <v>18</v>
      </c>
      <c r="D1917" s="11" t="s">
        <v>19</v>
      </c>
      <c r="E1917" s="11" t="s">
        <v>19</v>
      </c>
      <c r="F1917" s="11" t="s">
        <v>7004</v>
      </c>
      <c r="G1917" s="11" t="s">
        <v>83</v>
      </c>
      <c r="H1917" s="11" t="s">
        <v>6940</v>
      </c>
      <c r="I1917" s="11" t="s">
        <v>6941</v>
      </c>
      <c r="J1917" s="12">
        <v>1</v>
      </c>
      <c r="K1917" s="13">
        <v>5</v>
      </c>
      <c r="L1917" s="14">
        <v>531</v>
      </c>
      <c r="M1917" s="10">
        <v>221</v>
      </c>
      <c r="N1917" s="10">
        <v>58676</v>
      </c>
      <c r="O1917" s="10">
        <v>17331</v>
      </c>
      <c r="P1917" s="10">
        <v>76007</v>
      </c>
    </row>
    <row r="1918" spans="1:16" ht="27" customHeight="1" x14ac:dyDescent="0.2">
      <c r="A1918" s="9" t="s">
        <v>6937</v>
      </c>
      <c r="B1918" s="10" t="s">
        <v>7005</v>
      </c>
      <c r="C1918" s="11" t="s">
        <v>18</v>
      </c>
      <c r="D1918" s="11" t="s">
        <v>19</v>
      </c>
      <c r="E1918" s="11" t="s">
        <v>19</v>
      </c>
      <c r="F1918" s="11" t="s">
        <v>7006</v>
      </c>
      <c r="G1918" s="11" t="s">
        <v>83</v>
      </c>
      <c r="H1918" s="11" t="s">
        <v>7007</v>
      </c>
      <c r="I1918" s="11" t="s">
        <v>7008</v>
      </c>
      <c r="J1918" s="12">
        <v>0.7802</v>
      </c>
      <c r="K1918" s="13">
        <v>2</v>
      </c>
      <c r="L1918" s="14">
        <v>323</v>
      </c>
      <c r="M1918" s="10">
        <v>252</v>
      </c>
      <c r="N1918" s="10">
        <v>35692</v>
      </c>
      <c r="O1918" s="10">
        <v>19762</v>
      </c>
      <c r="P1918" s="10">
        <v>55454</v>
      </c>
    </row>
    <row r="1919" spans="1:16" ht="27" customHeight="1" x14ac:dyDescent="0.2">
      <c r="A1919" s="9" t="s">
        <v>6937</v>
      </c>
      <c r="B1919" s="10" t="s">
        <v>7009</v>
      </c>
      <c r="C1919" s="11" t="s">
        <v>18</v>
      </c>
      <c r="D1919" s="11" t="s">
        <v>19</v>
      </c>
      <c r="E1919" s="11" t="s">
        <v>19</v>
      </c>
      <c r="F1919" s="11" t="s">
        <v>7010</v>
      </c>
      <c r="G1919" s="11" t="s">
        <v>83</v>
      </c>
      <c r="H1919" s="11" t="s">
        <v>7010</v>
      </c>
      <c r="I1919" s="11" t="s">
        <v>7011</v>
      </c>
      <c r="J1919" s="12">
        <v>0.84089999999999998</v>
      </c>
      <c r="K1919" s="13">
        <v>2</v>
      </c>
      <c r="L1919" s="14">
        <v>44</v>
      </c>
      <c r="M1919" s="10">
        <v>37</v>
      </c>
      <c r="N1919" s="10">
        <v>4862</v>
      </c>
      <c r="O1919" s="10">
        <v>2902</v>
      </c>
      <c r="P1919" s="10">
        <v>7764</v>
      </c>
    </row>
    <row r="1920" spans="1:16" ht="27" customHeight="1" x14ac:dyDescent="0.2">
      <c r="A1920" s="9" t="s">
        <v>6937</v>
      </c>
      <c r="B1920" s="10" t="s">
        <v>7012</v>
      </c>
      <c r="C1920" s="11" t="s">
        <v>18</v>
      </c>
      <c r="D1920" s="11" t="s">
        <v>19</v>
      </c>
      <c r="E1920" s="11" t="s">
        <v>19</v>
      </c>
      <c r="F1920" s="11" t="s">
        <v>7013</v>
      </c>
      <c r="G1920" s="11" t="s">
        <v>83</v>
      </c>
      <c r="H1920" s="11" t="s">
        <v>1883</v>
      </c>
      <c r="I1920" s="11" t="s">
        <v>7014</v>
      </c>
      <c r="J1920" s="12">
        <v>0.70920000000000005</v>
      </c>
      <c r="K1920" s="13">
        <v>5</v>
      </c>
      <c r="L1920" s="14">
        <v>889</v>
      </c>
      <c r="M1920" s="10">
        <v>626</v>
      </c>
      <c r="N1920" s="10">
        <v>98236</v>
      </c>
      <c r="O1920" s="10">
        <v>49090</v>
      </c>
      <c r="P1920" s="10">
        <v>147326</v>
      </c>
    </row>
    <row r="1921" spans="1:16" ht="27" customHeight="1" x14ac:dyDescent="0.2">
      <c r="A1921" s="9" t="s">
        <v>6937</v>
      </c>
      <c r="B1921" s="10" t="s">
        <v>7015</v>
      </c>
      <c r="C1921" s="11" t="s">
        <v>18</v>
      </c>
      <c r="D1921" s="11" t="s">
        <v>19</v>
      </c>
      <c r="E1921" s="11" t="s">
        <v>19</v>
      </c>
      <c r="F1921" s="11" t="s">
        <v>7016</v>
      </c>
      <c r="G1921" s="11" t="s">
        <v>83</v>
      </c>
      <c r="H1921" s="11" t="s">
        <v>6940</v>
      </c>
      <c r="I1921" s="11" t="s">
        <v>6941</v>
      </c>
      <c r="J1921" s="12">
        <v>1</v>
      </c>
      <c r="K1921" s="13">
        <v>4</v>
      </c>
      <c r="L1921" s="14">
        <v>733</v>
      </c>
      <c r="M1921" s="10">
        <v>402</v>
      </c>
      <c r="N1921" s="10">
        <v>80999</v>
      </c>
      <c r="O1921" s="10">
        <v>31524</v>
      </c>
      <c r="P1921" s="10">
        <v>112523</v>
      </c>
    </row>
    <row r="1922" spans="1:16" ht="27" customHeight="1" x14ac:dyDescent="0.2">
      <c r="A1922" s="9" t="s">
        <v>6937</v>
      </c>
      <c r="B1922" s="10" t="s">
        <v>7017</v>
      </c>
      <c r="C1922" s="11" t="s">
        <v>18</v>
      </c>
      <c r="D1922" s="11" t="s">
        <v>19</v>
      </c>
      <c r="E1922" s="11" t="s">
        <v>19</v>
      </c>
      <c r="F1922" s="11" t="s">
        <v>7018</v>
      </c>
      <c r="G1922" s="11" t="s">
        <v>83</v>
      </c>
      <c r="H1922" s="11" t="s">
        <v>7019</v>
      </c>
      <c r="I1922" s="11" t="s">
        <v>7020</v>
      </c>
      <c r="J1922" s="12">
        <v>0.86070000000000002</v>
      </c>
      <c r="K1922" s="13">
        <v>5</v>
      </c>
      <c r="L1922" s="14">
        <v>309</v>
      </c>
      <c r="M1922" s="10">
        <v>253</v>
      </c>
      <c r="N1922" s="10">
        <v>34145</v>
      </c>
      <c r="O1922" s="10">
        <v>19840</v>
      </c>
      <c r="P1922" s="10">
        <v>53985</v>
      </c>
    </row>
    <row r="1923" spans="1:16" ht="27" customHeight="1" x14ac:dyDescent="0.2">
      <c r="A1923" s="9" t="s">
        <v>6937</v>
      </c>
      <c r="B1923" s="10" t="s">
        <v>7021</v>
      </c>
      <c r="C1923" s="11" t="s">
        <v>18</v>
      </c>
      <c r="D1923" s="11" t="s">
        <v>19</v>
      </c>
      <c r="E1923" s="11" t="s">
        <v>19</v>
      </c>
      <c r="F1923" s="11" t="s">
        <v>7022</v>
      </c>
      <c r="G1923" s="11" t="s">
        <v>83</v>
      </c>
      <c r="H1923" s="11" t="s">
        <v>7023</v>
      </c>
      <c r="I1923" s="11" t="s">
        <v>7024</v>
      </c>
      <c r="J1923" s="12">
        <v>0.64100000000000001</v>
      </c>
      <c r="K1923" s="13">
        <v>7</v>
      </c>
      <c r="L1923" s="14">
        <v>622</v>
      </c>
      <c r="M1923" s="10">
        <v>363</v>
      </c>
      <c r="N1923" s="10">
        <v>68732</v>
      </c>
      <c r="O1923" s="10">
        <v>28465</v>
      </c>
      <c r="P1923" s="10">
        <v>97197</v>
      </c>
    </row>
    <row r="1924" spans="1:16" ht="27" customHeight="1" x14ac:dyDescent="0.2">
      <c r="A1924" s="9" t="s">
        <v>7025</v>
      </c>
      <c r="B1924" s="10" t="s">
        <v>7026</v>
      </c>
      <c r="C1924" s="11" t="s">
        <v>18</v>
      </c>
      <c r="D1924" s="11" t="s">
        <v>19</v>
      </c>
      <c r="E1924" s="11" t="s">
        <v>19</v>
      </c>
      <c r="F1924" s="11" t="s">
        <v>7027</v>
      </c>
      <c r="G1924" s="11" t="s">
        <v>21</v>
      </c>
      <c r="H1924" s="11" t="s">
        <v>1518</v>
      </c>
      <c r="I1924" s="11" t="s">
        <v>7028</v>
      </c>
      <c r="J1924" s="12">
        <v>0.97219999999999995</v>
      </c>
      <c r="K1924" s="13">
        <v>4</v>
      </c>
      <c r="L1924" s="14">
        <v>392</v>
      </c>
      <c r="M1924" s="10">
        <v>168</v>
      </c>
      <c r="N1924" s="10">
        <v>43318</v>
      </c>
      <c r="O1924" s="10">
        <v>13174</v>
      </c>
      <c r="P1924" s="10">
        <v>56492</v>
      </c>
    </row>
    <row r="1925" spans="1:16" ht="27" customHeight="1" x14ac:dyDescent="0.2">
      <c r="A1925" s="9" t="s">
        <v>7025</v>
      </c>
      <c r="B1925" s="10" t="s">
        <v>7026</v>
      </c>
      <c r="C1925" s="11" t="s">
        <v>7029</v>
      </c>
      <c r="D1925" s="11" t="s">
        <v>7030</v>
      </c>
      <c r="E1925" s="11" t="s">
        <v>26</v>
      </c>
      <c r="F1925" s="11" t="s">
        <v>7031</v>
      </c>
      <c r="G1925" s="11" t="s">
        <v>28</v>
      </c>
      <c r="H1925" s="11" t="s">
        <v>7031</v>
      </c>
      <c r="I1925" s="11" t="s">
        <v>7032</v>
      </c>
      <c r="J1925" s="12">
        <v>0.61850000000000005</v>
      </c>
      <c r="K1925" s="13">
        <v>1</v>
      </c>
      <c r="L1925" s="14">
        <v>671</v>
      </c>
      <c r="M1925" s="10">
        <v>415</v>
      </c>
      <c r="N1925" s="10">
        <v>74147</v>
      </c>
      <c r="O1925" s="10">
        <v>32544</v>
      </c>
      <c r="P1925" s="10">
        <v>106691</v>
      </c>
    </row>
    <row r="1926" spans="1:16" ht="27" customHeight="1" x14ac:dyDescent="0.2">
      <c r="A1926" s="9" t="s">
        <v>7025</v>
      </c>
      <c r="B1926" s="10" t="s">
        <v>7033</v>
      </c>
      <c r="C1926" s="11" t="s">
        <v>18</v>
      </c>
      <c r="D1926" s="11" t="s">
        <v>19</v>
      </c>
      <c r="E1926" s="11" t="s">
        <v>19</v>
      </c>
      <c r="F1926" s="11" t="s">
        <v>7034</v>
      </c>
      <c r="G1926" s="11" t="s">
        <v>83</v>
      </c>
      <c r="H1926" s="11" t="s">
        <v>7035</v>
      </c>
      <c r="I1926" s="11" t="s">
        <v>7036</v>
      </c>
      <c r="J1926" s="12">
        <v>0.40089999999999998</v>
      </c>
      <c r="K1926" s="13">
        <v>9</v>
      </c>
      <c r="L1926" s="14">
        <v>4426</v>
      </c>
      <c r="M1926" s="10">
        <v>1101</v>
      </c>
      <c r="N1926" s="10">
        <v>489081</v>
      </c>
      <c r="O1926" s="10">
        <v>86339</v>
      </c>
      <c r="P1926" s="10">
        <v>575420</v>
      </c>
    </row>
    <row r="1927" spans="1:16" ht="27" customHeight="1" x14ac:dyDescent="0.2">
      <c r="A1927" s="9" t="s">
        <v>7025</v>
      </c>
      <c r="B1927" s="10" t="s">
        <v>7037</v>
      </c>
      <c r="C1927" s="11" t="s">
        <v>18</v>
      </c>
      <c r="D1927" s="11" t="s">
        <v>19</v>
      </c>
      <c r="E1927" s="11" t="s">
        <v>19</v>
      </c>
      <c r="F1927" s="11" t="s">
        <v>7038</v>
      </c>
      <c r="G1927" s="11" t="s">
        <v>83</v>
      </c>
      <c r="H1927" s="11" t="s">
        <v>7039</v>
      </c>
      <c r="I1927" s="11" t="s">
        <v>7040</v>
      </c>
      <c r="J1927" s="12">
        <v>0.61439999999999995</v>
      </c>
      <c r="K1927" s="13">
        <v>8</v>
      </c>
      <c r="L1927" s="14">
        <v>3031</v>
      </c>
      <c r="M1927" s="10">
        <v>1459</v>
      </c>
      <c r="N1927" s="10">
        <v>334931</v>
      </c>
      <c r="O1927" s="10">
        <v>114413</v>
      </c>
      <c r="P1927" s="10">
        <v>449344</v>
      </c>
    </row>
    <row r="1928" spans="1:16" ht="27" customHeight="1" x14ac:dyDescent="0.2">
      <c r="A1928" s="9" t="s">
        <v>7025</v>
      </c>
      <c r="B1928" s="10" t="s">
        <v>7037</v>
      </c>
      <c r="C1928" s="11" t="s">
        <v>7041</v>
      </c>
      <c r="D1928" s="11" t="s">
        <v>7042</v>
      </c>
      <c r="E1928" s="11" t="s">
        <v>26</v>
      </c>
      <c r="F1928" s="11" t="s">
        <v>7043</v>
      </c>
      <c r="G1928" s="11" t="s">
        <v>28</v>
      </c>
      <c r="H1928" s="11" t="s">
        <v>7043</v>
      </c>
      <c r="I1928" s="11" t="s">
        <v>7044</v>
      </c>
      <c r="J1928" s="12">
        <v>0.2349</v>
      </c>
      <c r="K1928" s="13">
        <v>1</v>
      </c>
      <c r="L1928" s="14">
        <v>447</v>
      </c>
      <c r="M1928" s="10">
        <v>105</v>
      </c>
      <c r="N1928" s="10">
        <v>49394</v>
      </c>
      <c r="O1928" s="10">
        <v>8234</v>
      </c>
      <c r="P1928" s="10">
        <v>57628</v>
      </c>
    </row>
    <row r="1929" spans="1:16" ht="27" customHeight="1" x14ac:dyDescent="0.2">
      <c r="A1929" s="9" t="s">
        <v>7025</v>
      </c>
      <c r="B1929" s="10" t="s">
        <v>7045</v>
      </c>
      <c r="C1929" s="11" t="s">
        <v>18</v>
      </c>
      <c r="D1929" s="11" t="s">
        <v>19</v>
      </c>
      <c r="E1929" s="11" t="s">
        <v>19</v>
      </c>
      <c r="F1929" s="11" t="s">
        <v>7046</v>
      </c>
      <c r="G1929" s="11" t="s">
        <v>83</v>
      </c>
      <c r="H1929" s="11" t="s">
        <v>7047</v>
      </c>
      <c r="I1929" s="11" t="s">
        <v>7048</v>
      </c>
      <c r="J1929" s="12">
        <v>0.8579</v>
      </c>
      <c r="K1929" s="13">
        <v>32</v>
      </c>
      <c r="L1929" s="14">
        <v>21006</v>
      </c>
      <c r="M1929" s="10">
        <v>10412</v>
      </c>
      <c r="N1929" s="10">
        <v>2321198</v>
      </c>
      <c r="O1929" s="10">
        <v>816498</v>
      </c>
      <c r="P1929" s="10">
        <v>3137696</v>
      </c>
    </row>
    <row r="1930" spans="1:16" ht="27" customHeight="1" x14ac:dyDescent="0.2">
      <c r="A1930" s="9" t="s">
        <v>7025</v>
      </c>
      <c r="B1930" s="10" t="s">
        <v>7049</v>
      </c>
      <c r="C1930" s="11" t="s">
        <v>18</v>
      </c>
      <c r="D1930" s="11" t="s">
        <v>19</v>
      </c>
      <c r="E1930" s="11" t="s">
        <v>19</v>
      </c>
      <c r="F1930" s="11" t="s">
        <v>7050</v>
      </c>
      <c r="G1930" s="11" t="s">
        <v>83</v>
      </c>
      <c r="H1930" s="11" t="s">
        <v>7051</v>
      </c>
      <c r="I1930" s="11" t="s">
        <v>7052</v>
      </c>
      <c r="J1930" s="12">
        <v>0.55210000000000004</v>
      </c>
      <c r="K1930" s="13">
        <v>11</v>
      </c>
      <c r="L1930" s="14">
        <v>5368</v>
      </c>
      <c r="M1930" s="10">
        <v>2294</v>
      </c>
      <c r="N1930" s="10">
        <v>593173</v>
      </c>
      <c r="O1930" s="10">
        <v>179892</v>
      </c>
      <c r="P1930" s="10">
        <v>773065</v>
      </c>
    </row>
    <row r="1931" spans="1:16" ht="27" customHeight="1" x14ac:dyDescent="0.2">
      <c r="A1931" s="9" t="s">
        <v>7025</v>
      </c>
      <c r="B1931" s="10" t="s">
        <v>7053</v>
      </c>
      <c r="C1931" s="11" t="s">
        <v>18</v>
      </c>
      <c r="D1931" s="11" t="s">
        <v>19</v>
      </c>
      <c r="E1931" s="11" t="s">
        <v>19</v>
      </c>
      <c r="F1931" s="11" t="s">
        <v>7054</v>
      </c>
      <c r="G1931" s="11" t="s">
        <v>83</v>
      </c>
      <c r="H1931" s="11" t="s">
        <v>7055</v>
      </c>
      <c r="I1931" s="11" t="s">
        <v>7056</v>
      </c>
      <c r="J1931" s="12">
        <v>0.5998</v>
      </c>
      <c r="K1931" s="13">
        <v>16</v>
      </c>
      <c r="L1931" s="14">
        <v>11374</v>
      </c>
      <c r="M1931" s="10">
        <v>4933</v>
      </c>
      <c r="N1931" s="10">
        <v>1256847</v>
      </c>
      <c r="O1931" s="10">
        <v>386843</v>
      </c>
      <c r="P1931" s="10">
        <v>1643690</v>
      </c>
    </row>
    <row r="1932" spans="1:16" ht="27" customHeight="1" x14ac:dyDescent="0.2">
      <c r="A1932" s="9" t="s">
        <v>7025</v>
      </c>
      <c r="B1932" s="10" t="s">
        <v>7053</v>
      </c>
      <c r="C1932" s="11" t="s">
        <v>7057</v>
      </c>
      <c r="D1932" s="11" t="s">
        <v>7058</v>
      </c>
      <c r="E1932" s="11" t="s">
        <v>26</v>
      </c>
      <c r="F1932" s="11" t="s">
        <v>7059</v>
      </c>
      <c r="G1932" s="11" t="s">
        <v>28</v>
      </c>
      <c r="H1932" s="11" t="s">
        <v>7059</v>
      </c>
      <c r="I1932" s="11" t="s">
        <v>7060</v>
      </c>
      <c r="J1932" s="12">
        <v>0.12559999999999999</v>
      </c>
      <c r="K1932" s="13">
        <v>1</v>
      </c>
      <c r="L1932" s="14">
        <v>645</v>
      </c>
      <c r="M1932" s="10">
        <v>81</v>
      </c>
      <c r="N1932" s="10">
        <v>71274</v>
      </c>
      <c r="O1932" s="10">
        <v>6352</v>
      </c>
      <c r="P1932" s="10">
        <v>77626</v>
      </c>
    </row>
    <row r="1933" spans="1:16" ht="27" customHeight="1" x14ac:dyDescent="0.2">
      <c r="A1933" s="9" t="s">
        <v>7025</v>
      </c>
      <c r="B1933" s="10" t="s">
        <v>7053</v>
      </c>
      <c r="C1933" s="11" t="s">
        <v>7061</v>
      </c>
      <c r="D1933" s="11" t="s">
        <v>7062</v>
      </c>
      <c r="E1933" s="11" t="s">
        <v>57</v>
      </c>
      <c r="F1933" s="11" t="s">
        <v>7063</v>
      </c>
      <c r="G1933" s="11" t="s">
        <v>28</v>
      </c>
      <c r="H1933" s="11" t="s">
        <v>1518</v>
      </c>
      <c r="I1933" s="11" t="s">
        <v>7028</v>
      </c>
      <c r="J1933" s="12">
        <v>0.97219999999999995</v>
      </c>
      <c r="K1933" s="13">
        <v>1</v>
      </c>
      <c r="L1933" s="14">
        <v>358</v>
      </c>
      <c r="M1933" s="10">
        <v>205</v>
      </c>
      <c r="N1933" s="10">
        <v>39560</v>
      </c>
      <c r="O1933" s="10">
        <v>16076</v>
      </c>
      <c r="P1933" s="10">
        <v>55636</v>
      </c>
    </row>
    <row r="1934" spans="1:16" ht="27" customHeight="1" x14ac:dyDescent="0.2">
      <c r="A1934" s="9" t="s">
        <v>7025</v>
      </c>
      <c r="B1934" s="10" t="s">
        <v>7053</v>
      </c>
      <c r="C1934" s="11" t="s">
        <v>7064</v>
      </c>
      <c r="D1934" s="11" t="s">
        <v>7065</v>
      </c>
      <c r="E1934" s="11" t="s">
        <v>57</v>
      </c>
      <c r="F1934" s="11" t="s">
        <v>7066</v>
      </c>
      <c r="G1934" s="11" t="s">
        <v>28</v>
      </c>
      <c r="H1934" s="11" t="s">
        <v>1518</v>
      </c>
      <c r="I1934" s="11" t="s">
        <v>7028</v>
      </c>
      <c r="J1934" s="12">
        <v>0.97219999999999995</v>
      </c>
      <c r="K1934" s="13">
        <v>1</v>
      </c>
      <c r="L1934" s="14">
        <v>455</v>
      </c>
      <c r="M1934" s="10">
        <v>134</v>
      </c>
      <c r="N1934" s="10">
        <v>50278</v>
      </c>
      <c r="O1934" s="10">
        <v>10508</v>
      </c>
      <c r="P1934" s="10">
        <v>60786</v>
      </c>
    </row>
    <row r="1935" spans="1:16" ht="27" customHeight="1" x14ac:dyDescent="0.2">
      <c r="A1935" s="9" t="s">
        <v>7025</v>
      </c>
      <c r="B1935" s="10" t="s">
        <v>7053</v>
      </c>
      <c r="C1935" s="11" t="s">
        <v>7067</v>
      </c>
      <c r="D1935" s="11" t="s">
        <v>7068</v>
      </c>
      <c r="E1935" s="11" t="s">
        <v>57</v>
      </c>
      <c r="F1935" s="11" t="s">
        <v>7069</v>
      </c>
      <c r="G1935" s="11" t="s">
        <v>28</v>
      </c>
      <c r="H1935" s="11" t="s">
        <v>7069</v>
      </c>
      <c r="I1935" s="11" t="s">
        <v>7070</v>
      </c>
      <c r="J1935" s="12">
        <v>0.51910000000000001</v>
      </c>
      <c r="K1935" s="13">
        <v>1</v>
      </c>
      <c r="L1935" s="14">
        <v>614</v>
      </c>
      <c r="M1935" s="10">
        <v>319</v>
      </c>
      <c r="N1935" s="10">
        <v>67848</v>
      </c>
      <c r="O1935" s="10">
        <v>25016</v>
      </c>
      <c r="P1935" s="10">
        <v>92864</v>
      </c>
    </row>
    <row r="1936" spans="1:16" ht="27" customHeight="1" x14ac:dyDescent="0.2">
      <c r="A1936" s="9" t="s">
        <v>7025</v>
      </c>
      <c r="B1936" s="10" t="s">
        <v>7071</v>
      </c>
      <c r="C1936" s="11" t="s">
        <v>18</v>
      </c>
      <c r="D1936" s="11" t="s">
        <v>19</v>
      </c>
      <c r="E1936" s="11" t="s">
        <v>19</v>
      </c>
      <c r="F1936" s="11" t="s">
        <v>7072</v>
      </c>
      <c r="G1936" s="11" t="s">
        <v>83</v>
      </c>
      <c r="H1936" s="11" t="s">
        <v>1518</v>
      </c>
      <c r="I1936" s="11" t="s">
        <v>7028</v>
      </c>
      <c r="J1936" s="12">
        <v>0.97219999999999995</v>
      </c>
      <c r="K1936" s="13">
        <v>20</v>
      </c>
      <c r="L1936" s="14">
        <v>9962</v>
      </c>
      <c r="M1936" s="10">
        <v>7767</v>
      </c>
      <c r="N1936" s="10">
        <v>1100818</v>
      </c>
      <c r="O1936" s="10">
        <v>609082</v>
      </c>
      <c r="P1936" s="10">
        <v>1709900</v>
      </c>
    </row>
    <row r="1937" spans="1:16" ht="27" customHeight="1" x14ac:dyDescent="0.2">
      <c r="A1937" s="9" t="s">
        <v>7025</v>
      </c>
      <c r="B1937" s="10" t="s">
        <v>7071</v>
      </c>
      <c r="C1937" s="11" t="s">
        <v>7073</v>
      </c>
      <c r="D1937" s="11" t="s">
        <v>7074</v>
      </c>
      <c r="E1937" s="11" t="s">
        <v>57</v>
      </c>
      <c r="F1937" s="11" t="s">
        <v>7075</v>
      </c>
      <c r="G1937" s="11" t="s">
        <v>28</v>
      </c>
      <c r="H1937" s="11" t="s">
        <v>7075</v>
      </c>
      <c r="I1937" s="11" t="s">
        <v>7076</v>
      </c>
      <c r="J1937" s="12">
        <v>0.72950000000000004</v>
      </c>
      <c r="K1937" s="13">
        <v>1</v>
      </c>
      <c r="L1937" s="14">
        <v>414</v>
      </c>
      <c r="M1937" s="10">
        <v>302</v>
      </c>
      <c r="N1937" s="10">
        <v>45748</v>
      </c>
      <c r="O1937" s="10">
        <v>23683</v>
      </c>
      <c r="P1937" s="10">
        <v>69431</v>
      </c>
    </row>
    <row r="1938" spans="1:16" ht="27" customHeight="1" x14ac:dyDescent="0.2">
      <c r="A1938" s="9" t="s">
        <v>7025</v>
      </c>
      <c r="B1938" s="10" t="s">
        <v>7071</v>
      </c>
      <c r="C1938" s="11" t="s">
        <v>7077</v>
      </c>
      <c r="D1938" s="11" t="s">
        <v>7078</v>
      </c>
      <c r="E1938" s="11" t="s">
        <v>26</v>
      </c>
      <c r="F1938" s="11" t="s">
        <v>7079</v>
      </c>
      <c r="G1938" s="11" t="s">
        <v>28</v>
      </c>
      <c r="H1938" s="11" t="s">
        <v>7079</v>
      </c>
      <c r="I1938" s="11" t="s">
        <v>7080</v>
      </c>
      <c r="J1938" s="12">
        <v>0.69210000000000005</v>
      </c>
      <c r="K1938" s="13">
        <v>1</v>
      </c>
      <c r="L1938" s="14">
        <v>919</v>
      </c>
      <c r="M1938" s="10">
        <v>636</v>
      </c>
      <c r="N1938" s="10">
        <v>101551</v>
      </c>
      <c r="O1938" s="10">
        <v>49874</v>
      </c>
      <c r="P1938" s="10">
        <v>151425</v>
      </c>
    </row>
    <row r="1939" spans="1:16" ht="27" customHeight="1" x14ac:dyDescent="0.2">
      <c r="A1939" s="9" t="s">
        <v>7025</v>
      </c>
      <c r="B1939" s="10" t="s">
        <v>7071</v>
      </c>
      <c r="C1939" s="11" t="s">
        <v>7081</v>
      </c>
      <c r="D1939" s="11" t="s">
        <v>7082</v>
      </c>
      <c r="E1939" s="11" t="s">
        <v>26</v>
      </c>
      <c r="F1939" s="11" t="s">
        <v>7083</v>
      </c>
      <c r="G1939" s="11" t="s">
        <v>28</v>
      </c>
      <c r="H1939" s="11" t="s">
        <v>1518</v>
      </c>
      <c r="I1939" s="11" t="s">
        <v>7028</v>
      </c>
      <c r="J1939" s="12">
        <v>0.97219999999999995</v>
      </c>
      <c r="K1939" s="13">
        <v>1</v>
      </c>
      <c r="L1939" s="14">
        <v>102</v>
      </c>
      <c r="M1939" s="10">
        <v>58</v>
      </c>
      <c r="N1939" s="10">
        <v>11271</v>
      </c>
      <c r="O1939" s="10">
        <v>4548</v>
      </c>
      <c r="P1939" s="10">
        <v>15819</v>
      </c>
    </row>
    <row r="1940" spans="1:16" ht="27" customHeight="1" x14ac:dyDescent="0.2">
      <c r="A1940" s="9" t="s">
        <v>7025</v>
      </c>
      <c r="B1940" s="10" t="s">
        <v>7071</v>
      </c>
      <c r="C1940" s="11" t="s">
        <v>7084</v>
      </c>
      <c r="D1940" s="11" t="s">
        <v>7085</v>
      </c>
      <c r="E1940" s="11" t="s">
        <v>26</v>
      </c>
      <c r="F1940" s="11" t="s">
        <v>7086</v>
      </c>
      <c r="G1940" s="11" t="s">
        <v>28</v>
      </c>
      <c r="H1940" s="11" t="s">
        <v>1518</v>
      </c>
      <c r="I1940" s="11" t="s">
        <v>7028</v>
      </c>
      <c r="J1940" s="12">
        <v>0.97219999999999995</v>
      </c>
      <c r="K1940" s="13">
        <v>1</v>
      </c>
      <c r="L1940" s="14">
        <v>153</v>
      </c>
      <c r="M1940" s="10">
        <v>91</v>
      </c>
      <c r="N1940" s="10">
        <v>16907</v>
      </c>
      <c r="O1940" s="10">
        <v>7136</v>
      </c>
      <c r="P1940" s="10">
        <v>24043</v>
      </c>
    </row>
    <row r="1941" spans="1:16" ht="27" customHeight="1" x14ac:dyDescent="0.2">
      <c r="A1941" s="9" t="s">
        <v>7025</v>
      </c>
      <c r="B1941" s="10" t="s">
        <v>7071</v>
      </c>
      <c r="C1941" s="11" t="s">
        <v>7087</v>
      </c>
      <c r="D1941" s="11" t="s">
        <v>7088</v>
      </c>
      <c r="E1941" s="11" t="s">
        <v>26</v>
      </c>
      <c r="F1941" s="11" t="s">
        <v>7089</v>
      </c>
      <c r="G1941" s="11" t="s">
        <v>28</v>
      </c>
      <c r="H1941" s="11" t="s">
        <v>1518</v>
      </c>
      <c r="I1941" s="11" t="s">
        <v>7028</v>
      </c>
      <c r="J1941" s="12">
        <v>0.97219999999999995</v>
      </c>
      <c r="K1941" s="13">
        <v>1</v>
      </c>
      <c r="L1941" s="14">
        <v>433</v>
      </c>
      <c r="M1941" s="10">
        <v>216</v>
      </c>
      <c r="N1941" s="10">
        <v>47847</v>
      </c>
      <c r="O1941" s="10">
        <v>16938</v>
      </c>
      <c r="P1941" s="10">
        <v>64785</v>
      </c>
    </row>
    <row r="1942" spans="1:16" ht="27" customHeight="1" x14ac:dyDescent="0.2">
      <c r="A1942" s="9" t="s">
        <v>7025</v>
      </c>
      <c r="B1942" s="10" t="s">
        <v>7071</v>
      </c>
      <c r="C1942" s="11" t="s">
        <v>7090</v>
      </c>
      <c r="D1942" s="11" t="s">
        <v>7091</v>
      </c>
      <c r="E1942" s="11" t="s">
        <v>26</v>
      </c>
      <c r="F1942" s="11" t="s">
        <v>7092</v>
      </c>
      <c r="G1942" s="11" t="s">
        <v>28</v>
      </c>
      <c r="H1942" s="11" t="s">
        <v>1518</v>
      </c>
      <c r="I1942" s="11" t="s">
        <v>7028</v>
      </c>
      <c r="J1942" s="12">
        <v>0.97219999999999995</v>
      </c>
      <c r="K1942" s="13">
        <v>1</v>
      </c>
      <c r="L1942" s="14">
        <v>278</v>
      </c>
      <c r="M1942" s="10">
        <v>147</v>
      </c>
      <c r="N1942" s="10">
        <v>30719</v>
      </c>
      <c r="O1942" s="10">
        <v>11528</v>
      </c>
      <c r="P1942" s="10">
        <v>42247</v>
      </c>
    </row>
    <row r="1943" spans="1:16" ht="27" customHeight="1" x14ac:dyDescent="0.2">
      <c r="A1943" s="9" t="s">
        <v>7093</v>
      </c>
      <c r="B1943" s="10" t="s">
        <v>7094</v>
      </c>
      <c r="C1943" s="11" t="s">
        <v>18</v>
      </c>
      <c r="D1943" s="11" t="s">
        <v>19</v>
      </c>
      <c r="E1943" s="11" t="s">
        <v>19</v>
      </c>
      <c r="F1943" s="11" t="s">
        <v>7095</v>
      </c>
      <c r="G1943" s="11" t="s">
        <v>21</v>
      </c>
      <c r="H1943" s="11" t="s">
        <v>7096</v>
      </c>
      <c r="I1943" s="11" t="s">
        <v>7097</v>
      </c>
      <c r="J1943" s="12">
        <v>1</v>
      </c>
      <c r="K1943" s="13">
        <v>4</v>
      </c>
      <c r="L1943" s="14">
        <v>312</v>
      </c>
      <c r="M1943" s="10">
        <v>159</v>
      </c>
      <c r="N1943" s="10">
        <v>34476</v>
      </c>
      <c r="O1943" s="10">
        <v>12469</v>
      </c>
      <c r="P1943" s="10">
        <v>46945</v>
      </c>
    </row>
    <row r="1944" spans="1:16" ht="27" customHeight="1" x14ac:dyDescent="0.2">
      <c r="A1944" s="9" t="s">
        <v>7093</v>
      </c>
      <c r="B1944" s="10" t="s">
        <v>7098</v>
      </c>
      <c r="C1944" s="11" t="s">
        <v>18</v>
      </c>
      <c r="D1944" s="11" t="s">
        <v>19</v>
      </c>
      <c r="E1944" s="11" t="s">
        <v>19</v>
      </c>
      <c r="F1944" s="11" t="s">
        <v>7099</v>
      </c>
      <c r="G1944" s="11" t="s">
        <v>83</v>
      </c>
      <c r="H1944" s="11" t="s">
        <v>7100</v>
      </c>
      <c r="I1944" s="11" t="s">
        <v>7101</v>
      </c>
      <c r="J1944" s="12">
        <v>0.22320000000000001</v>
      </c>
      <c r="K1944" s="13">
        <v>2</v>
      </c>
      <c r="L1944" s="14">
        <v>112</v>
      </c>
      <c r="M1944" s="10">
        <v>25</v>
      </c>
      <c r="N1944" s="10">
        <v>12376</v>
      </c>
      <c r="O1944" s="10">
        <v>1960</v>
      </c>
      <c r="P1944" s="10">
        <v>14336</v>
      </c>
    </row>
    <row r="1945" spans="1:16" ht="27" customHeight="1" x14ac:dyDescent="0.2">
      <c r="A1945" s="9" t="s">
        <v>7093</v>
      </c>
      <c r="B1945" s="10" t="s">
        <v>7102</v>
      </c>
      <c r="C1945" s="11" t="s">
        <v>18</v>
      </c>
      <c r="D1945" s="11" t="s">
        <v>19</v>
      </c>
      <c r="E1945" s="11" t="s">
        <v>19</v>
      </c>
      <c r="F1945" s="11" t="s">
        <v>7103</v>
      </c>
      <c r="G1945" s="11" t="s">
        <v>83</v>
      </c>
      <c r="H1945" s="11" t="s">
        <v>7096</v>
      </c>
      <c r="I1945" s="11" t="s">
        <v>7097</v>
      </c>
      <c r="J1945" s="12">
        <v>1</v>
      </c>
      <c r="K1945" s="13">
        <v>4</v>
      </c>
      <c r="L1945" s="14">
        <v>1604</v>
      </c>
      <c r="M1945" s="10">
        <v>694</v>
      </c>
      <c r="N1945" s="10">
        <v>177245</v>
      </c>
      <c r="O1945" s="10">
        <v>54423</v>
      </c>
      <c r="P1945" s="10">
        <v>231668</v>
      </c>
    </row>
    <row r="1946" spans="1:16" ht="27" customHeight="1" x14ac:dyDescent="0.2">
      <c r="A1946" s="9" t="s">
        <v>7093</v>
      </c>
      <c r="B1946" s="10" t="s">
        <v>7104</v>
      </c>
      <c r="C1946" s="11" t="s">
        <v>18</v>
      </c>
      <c r="D1946" s="11" t="s">
        <v>19</v>
      </c>
      <c r="E1946" s="11" t="s">
        <v>19</v>
      </c>
      <c r="F1946" s="11" t="s">
        <v>7105</v>
      </c>
      <c r="G1946" s="11" t="s">
        <v>83</v>
      </c>
      <c r="H1946" s="11" t="s">
        <v>7106</v>
      </c>
      <c r="I1946" s="11" t="s">
        <v>7107</v>
      </c>
      <c r="J1946" s="12">
        <v>0.83930000000000005</v>
      </c>
      <c r="K1946" s="13">
        <v>5</v>
      </c>
      <c r="L1946" s="14">
        <v>1677</v>
      </c>
      <c r="M1946" s="10">
        <v>1335</v>
      </c>
      <c r="N1946" s="10">
        <v>185312</v>
      </c>
      <c r="O1946" s="10">
        <v>104689</v>
      </c>
      <c r="P1946" s="10">
        <v>290001</v>
      </c>
    </row>
    <row r="1947" spans="1:16" ht="27" customHeight="1" x14ac:dyDescent="0.2">
      <c r="A1947" s="9" t="s">
        <v>7093</v>
      </c>
      <c r="B1947" s="10" t="s">
        <v>7108</v>
      </c>
      <c r="C1947" s="11" t="s">
        <v>18</v>
      </c>
      <c r="D1947" s="11" t="s">
        <v>19</v>
      </c>
      <c r="E1947" s="11" t="s">
        <v>19</v>
      </c>
      <c r="F1947" s="11" t="s">
        <v>7109</v>
      </c>
      <c r="G1947" s="11" t="s">
        <v>83</v>
      </c>
      <c r="H1947" s="11" t="s">
        <v>7110</v>
      </c>
      <c r="I1947" s="11" t="s">
        <v>7111</v>
      </c>
      <c r="J1947" s="12">
        <v>0.22309999999999999</v>
      </c>
      <c r="K1947" s="13">
        <v>3</v>
      </c>
      <c r="L1947" s="14">
        <v>951</v>
      </c>
      <c r="M1947" s="10">
        <v>206</v>
      </c>
      <c r="N1947" s="10">
        <v>105087</v>
      </c>
      <c r="O1947" s="10">
        <v>16155</v>
      </c>
      <c r="P1947" s="10">
        <v>121242</v>
      </c>
    </row>
    <row r="1948" spans="1:16" ht="27" customHeight="1" x14ac:dyDescent="0.2">
      <c r="A1948" s="9" t="s">
        <v>7093</v>
      </c>
      <c r="B1948" s="10" t="s">
        <v>7112</v>
      </c>
      <c r="C1948" s="11" t="s">
        <v>18</v>
      </c>
      <c r="D1948" s="11" t="s">
        <v>19</v>
      </c>
      <c r="E1948" s="11" t="s">
        <v>19</v>
      </c>
      <c r="F1948" s="11" t="s">
        <v>7113</v>
      </c>
      <c r="G1948" s="11" t="s">
        <v>83</v>
      </c>
      <c r="H1948" s="11" t="s">
        <v>7113</v>
      </c>
      <c r="I1948" s="11" t="s">
        <v>7114</v>
      </c>
      <c r="J1948" s="12">
        <v>0.90480000000000005</v>
      </c>
      <c r="K1948" s="13">
        <v>2</v>
      </c>
      <c r="L1948" s="14">
        <v>21</v>
      </c>
      <c r="M1948" s="10">
        <v>19</v>
      </c>
      <c r="N1948" s="10">
        <v>2321</v>
      </c>
      <c r="O1948" s="10">
        <v>1490</v>
      </c>
      <c r="P1948" s="10">
        <v>3811</v>
      </c>
    </row>
    <row r="1949" spans="1:16" ht="27" customHeight="1" x14ac:dyDescent="0.2">
      <c r="A1949" s="9" t="s">
        <v>7093</v>
      </c>
      <c r="B1949" s="10" t="s">
        <v>7112</v>
      </c>
      <c r="C1949" s="11" t="s">
        <v>7115</v>
      </c>
      <c r="D1949" s="11" t="s">
        <v>7116</v>
      </c>
      <c r="E1949" s="11" t="s">
        <v>57</v>
      </c>
      <c r="F1949" s="11" t="s">
        <v>7117</v>
      </c>
      <c r="G1949" s="11" t="s">
        <v>28</v>
      </c>
      <c r="H1949" s="11" t="s">
        <v>7117</v>
      </c>
      <c r="I1949" s="11" t="s">
        <v>7118</v>
      </c>
      <c r="J1949" s="12">
        <v>0.66669999999999996</v>
      </c>
      <c r="K1949" s="13">
        <v>1</v>
      </c>
      <c r="L1949" s="14">
        <v>186</v>
      </c>
      <c r="M1949" s="10">
        <v>124</v>
      </c>
      <c r="N1949" s="10">
        <v>20553</v>
      </c>
      <c r="O1949" s="10">
        <v>9724</v>
      </c>
      <c r="P1949" s="10">
        <v>30277</v>
      </c>
    </row>
    <row r="1950" spans="1:16" ht="27" customHeight="1" x14ac:dyDescent="0.2">
      <c r="A1950" s="9" t="s">
        <v>7093</v>
      </c>
      <c r="B1950" s="10" t="s">
        <v>7119</v>
      </c>
      <c r="C1950" s="11" t="s">
        <v>18</v>
      </c>
      <c r="D1950" s="11" t="s">
        <v>19</v>
      </c>
      <c r="E1950" s="11" t="s">
        <v>19</v>
      </c>
      <c r="F1950" s="11" t="s">
        <v>7120</v>
      </c>
      <c r="G1950" s="11" t="s">
        <v>83</v>
      </c>
      <c r="H1950" s="11" t="s">
        <v>1482</v>
      </c>
      <c r="I1950" s="11" t="s">
        <v>7121</v>
      </c>
      <c r="J1950" s="12">
        <v>0.622</v>
      </c>
      <c r="K1950" s="13">
        <v>7</v>
      </c>
      <c r="L1950" s="14">
        <v>1323</v>
      </c>
      <c r="M1950" s="10">
        <v>714</v>
      </c>
      <c r="N1950" s="10">
        <v>146194</v>
      </c>
      <c r="O1950" s="10">
        <v>55991</v>
      </c>
      <c r="P1950" s="10">
        <v>202185</v>
      </c>
    </row>
    <row r="1951" spans="1:16" ht="27" customHeight="1" x14ac:dyDescent="0.2">
      <c r="A1951" s="9" t="s">
        <v>7093</v>
      </c>
      <c r="B1951" s="10" t="s">
        <v>7122</v>
      </c>
      <c r="C1951" s="11" t="s">
        <v>18</v>
      </c>
      <c r="D1951" s="11" t="s">
        <v>19</v>
      </c>
      <c r="E1951" s="11" t="s">
        <v>19</v>
      </c>
      <c r="F1951" s="11" t="s">
        <v>7123</v>
      </c>
      <c r="G1951" s="11" t="s">
        <v>83</v>
      </c>
      <c r="H1951" s="11" t="s">
        <v>7123</v>
      </c>
      <c r="I1951" s="11" t="s">
        <v>7124</v>
      </c>
      <c r="J1951" s="12">
        <v>0.1111</v>
      </c>
      <c r="K1951" s="13">
        <v>2</v>
      </c>
      <c r="L1951" s="14">
        <v>9</v>
      </c>
      <c r="M1951" s="10">
        <v>1</v>
      </c>
      <c r="N1951" s="10">
        <v>995</v>
      </c>
      <c r="O1951" s="10">
        <v>78</v>
      </c>
      <c r="P1951" s="10">
        <v>1073</v>
      </c>
    </row>
    <row r="1952" spans="1:16" ht="27" customHeight="1" x14ac:dyDescent="0.2">
      <c r="A1952" s="9" t="s">
        <v>7093</v>
      </c>
      <c r="B1952" s="10" t="s">
        <v>7122</v>
      </c>
      <c r="C1952" s="11" t="s">
        <v>7125</v>
      </c>
      <c r="D1952" s="11" t="s">
        <v>7126</v>
      </c>
      <c r="E1952" s="11" t="s">
        <v>57</v>
      </c>
      <c r="F1952" s="11" t="s">
        <v>7127</v>
      </c>
      <c r="G1952" s="11" t="s">
        <v>28</v>
      </c>
      <c r="H1952" s="11" t="s">
        <v>7127</v>
      </c>
      <c r="I1952" s="11" t="s">
        <v>7128</v>
      </c>
      <c r="J1952" s="12">
        <v>0.19570000000000001</v>
      </c>
      <c r="K1952" s="13">
        <v>1</v>
      </c>
      <c r="L1952" s="14">
        <v>138</v>
      </c>
      <c r="M1952" s="10">
        <v>27</v>
      </c>
      <c r="N1952" s="10">
        <v>15249</v>
      </c>
      <c r="O1952" s="10">
        <v>2117</v>
      </c>
      <c r="P1952" s="10">
        <v>17366</v>
      </c>
    </row>
    <row r="1953" spans="1:16" ht="27" customHeight="1" x14ac:dyDescent="0.2">
      <c r="A1953" s="9" t="s">
        <v>7093</v>
      </c>
      <c r="B1953" s="10" t="s">
        <v>7129</v>
      </c>
      <c r="C1953" s="11" t="s">
        <v>18</v>
      </c>
      <c r="D1953" s="11" t="s">
        <v>19</v>
      </c>
      <c r="E1953" s="11" t="s">
        <v>19</v>
      </c>
      <c r="F1953" s="11" t="s">
        <v>7130</v>
      </c>
      <c r="G1953" s="11" t="s">
        <v>83</v>
      </c>
      <c r="H1953" s="11" t="s">
        <v>7131</v>
      </c>
      <c r="I1953" s="11" t="s">
        <v>7132</v>
      </c>
      <c r="J1953" s="12">
        <v>0.29630000000000001</v>
      </c>
      <c r="K1953" s="13">
        <v>2</v>
      </c>
      <c r="L1953" s="14">
        <v>54</v>
      </c>
      <c r="M1953" s="10">
        <v>16</v>
      </c>
      <c r="N1953" s="10">
        <v>5967</v>
      </c>
      <c r="O1953" s="10">
        <v>1255</v>
      </c>
      <c r="P1953" s="10">
        <v>7222</v>
      </c>
    </row>
    <row r="1954" spans="1:16" ht="27" customHeight="1" x14ac:dyDescent="0.2">
      <c r="A1954" s="9" t="s">
        <v>7093</v>
      </c>
      <c r="B1954" s="10" t="s">
        <v>7129</v>
      </c>
      <c r="C1954" s="11" t="s">
        <v>7133</v>
      </c>
      <c r="D1954" s="11" t="s">
        <v>7134</v>
      </c>
      <c r="E1954" s="11" t="s">
        <v>57</v>
      </c>
      <c r="F1954" s="11" t="s">
        <v>7135</v>
      </c>
      <c r="G1954" s="11" t="s">
        <v>28</v>
      </c>
      <c r="H1954" s="11" t="s">
        <v>7135</v>
      </c>
      <c r="I1954" s="11" t="s">
        <v>7136</v>
      </c>
      <c r="J1954" s="12">
        <v>0.4</v>
      </c>
      <c r="K1954" s="13">
        <v>1</v>
      </c>
      <c r="L1954" s="14">
        <v>170</v>
      </c>
      <c r="M1954" s="10">
        <v>68</v>
      </c>
      <c r="N1954" s="10">
        <v>18785</v>
      </c>
      <c r="O1954" s="10">
        <v>5332</v>
      </c>
      <c r="P1954" s="10">
        <v>24117</v>
      </c>
    </row>
    <row r="1955" spans="1:16" ht="27" customHeight="1" x14ac:dyDescent="0.2">
      <c r="A1955" s="9" t="s">
        <v>7093</v>
      </c>
      <c r="B1955" s="10" t="s">
        <v>7137</v>
      </c>
      <c r="C1955" s="11" t="s">
        <v>18</v>
      </c>
      <c r="D1955" s="11" t="s">
        <v>19</v>
      </c>
      <c r="E1955" s="11" t="s">
        <v>19</v>
      </c>
      <c r="F1955" s="11" t="s">
        <v>7138</v>
      </c>
      <c r="G1955" s="11" t="s">
        <v>83</v>
      </c>
      <c r="H1955" s="11" t="s">
        <v>7138</v>
      </c>
      <c r="I1955" s="11" t="s">
        <v>7139</v>
      </c>
      <c r="J1955" s="12">
        <v>0.64290000000000003</v>
      </c>
      <c r="K1955" s="13">
        <v>2</v>
      </c>
      <c r="L1955" s="14">
        <v>14</v>
      </c>
      <c r="M1955" s="10">
        <v>9</v>
      </c>
      <c r="N1955" s="10">
        <v>1547</v>
      </c>
      <c r="O1955" s="10">
        <v>706</v>
      </c>
      <c r="P1955" s="10">
        <v>2253</v>
      </c>
    </row>
    <row r="1956" spans="1:16" ht="27" customHeight="1" x14ac:dyDescent="0.2">
      <c r="A1956" s="9" t="s">
        <v>7093</v>
      </c>
      <c r="B1956" s="10" t="s">
        <v>7140</v>
      </c>
      <c r="C1956" s="11" t="s">
        <v>18</v>
      </c>
      <c r="D1956" s="11" t="s">
        <v>19</v>
      </c>
      <c r="E1956" s="11" t="s">
        <v>19</v>
      </c>
      <c r="F1956" s="11" t="s">
        <v>7141</v>
      </c>
      <c r="G1956" s="11" t="s">
        <v>83</v>
      </c>
      <c r="H1956" s="11" t="s">
        <v>7142</v>
      </c>
      <c r="I1956" s="11" t="s">
        <v>7143</v>
      </c>
      <c r="J1956" s="12">
        <v>0.60419999999999996</v>
      </c>
      <c r="K1956" s="13">
        <v>4</v>
      </c>
      <c r="L1956" s="14">
        <v>211</v>
      </c>
      <c r="M1956" s="10">
        <v>119</v>
      </c>
      <c r="N1956" s="10">
        <v>23316</v>
      </c>
      <c r="O1956" s="10">
        <v>9331</v>
      </c>
      <c r="P1956" s="10">
        <v>32647</v>
      </c>
    </row>
    <row r="1957" spans="1:16" ht="27" customHeight="1" x14ac:dyDescent="0.2">
      <c r="A1957" s="9" t="s">
        <v>7093</v>
      </c>
      <c r="B1957" s="10" t="s">
        <v>7144</v>
      </c>
      <c r="C1957" s="11" t="s">
        <v>18</v>
      </c>
      <c r="D1957" s="11" t="s">
        <v>19</v>
      </c>
      <c r="E1957" s="11" t="s">
        <v>19</v>
      </c>
      <c r="F1957" s="11" t="s">
        <v>7145</v>
      </c>
      <c r="G1957" s="11" t="s">
        <v>83</v>
      </c>
      <c r="H1957" s="11" t="s">
        <v>7146</v>
      </c>
      <c r="I1957" s="11" t="s">
        <v>7147</v>
      </c>
      <c r="J1957" s="12">
        <v>0.26829999999999998</v>
      </c>
      <c r="K1957" s="13">
        <v>3</v>
      </c>
      <c r="L1957" s="14">
        <v>41</v>
      </c>
      <c r="M1957" s="10">
        <v>11</v>
      </c>
      <c r="N1957" s="10">
        <v>4531</v>
      </c>
      <c r="O1957" s="10">
        <v>863</v>
      </c>
      <c r="P1957" s="10">
        <v>5394</v>
      </c>
    </row>
    <row r="1958" spans="1:16" ht="27" customHeight="1" x14ac:dyDescent="0.2">
      <c r="A1958" s="9" t="s">
        <v>7093</v>
      </c>
      <c r="B1958" s="10" t="s">
        <v>7144</v>
      </c>
      <c r="C1958" s="11" t="s">
        <v>7148</v>
      </c>
      <c r="D1958" s="11" t="s">
        <v>7149</v>
      </c>
      <c r="E1958" s="11" t="s">
        <v>57</v>
      </c>
      <c r="F1958" s="11" t="s">
        <v>7150</v>
      </c>
      <c r="G1958" s="11" t="s">
        <v>28</v>
      </c>
      <c r="H1958" s="11" t="s">
        <v>7150</v>
      </c>
      <c r="I1958" s="11" t="s">
        <v>7151</v>
      </c>
      <c r="J1958" s="12">
        <v>0.31469999999999998</v>
      </c>
      <c r="K1958" s="13">
        <v>1</v>
      </c>
      <c r="L1958" s="14">
        <v>448</v>
      </c>
      <c r="M1958" s="10">
        <v>141</v>
      </c>
      <c r="N1958" s="10">
        <v>49505</v>
      </c>
      <c r="O1958" s="10">
        <v>11057</v>
      </c>
      <c r="P1958" s="10">
        <v>60562</v>
      </c>
    </row>
    <row r="1959" spans="1:16" ht="27" customHeight="1" x14ac:dyDescent="0.2">
      <c r="A1959" s="9" t="s">
        <v>7093</v>
      </c>
      <c r="B1959" s="10" t="s">
        <v>7144</v>
      </c>
      <c r="C1959" s="11" t="s">
        <v>7152</v>
      </c>
      <c r="D1959" s="11" t="s">
        <v>7153</v>
      </c>
      <c r="E1959" s="11" t="s">
        <v>57</v>
      </c>
      <c r="F1959" s="11" t="s">
        <v>7154</v>
      </c>
      <c r="G1959" s="11" t="s">
        <v>28</v>
      </c>
      <c r="H1959" s="11" t="s">
        <v>7096</v>
      </c>
      <c r="I1959" s="11" t="s">
        <v>7097</v>
      </c>
      <c r="J1959" s="12">
        <v>1</v>
      </c>
      <c r="K1959" s="13">
        <v>1</v>
      </c>
      <c r="L1959" s="14">
        <v>278</v>
      </c>
      <c r="M1959" s="10">
        <v>111</v>
      </c>
      <c r="N1959" s="10">
        <v>30719</v>
      </c>
      <c r="O1959" s="10">
        <v>8705</v>
      </c>
      <c r="P1959" s="10">
        <v>39424</v>
      </c>
    </row>
    <row r="1960" spans="1:16" ht="27" customHeight="1" x14ac:dyDescent="0.2">
      <c r="A1960" s="9" t="s">
        <v>7093</v>
      </c>
      <c r="B1960" s="10" t="s">
        <v>7155</v>
      </c>
      <c r="C1960" s="11" t="s">
        <v>18</v>
      </c>
      <c r="D1960" s="11" t="s">
        <v>19</v>
      </c>
      <c r="E1960" s="11" t="s">
        <v>19</v>
      </c>
      <c r="F1960" s="11" t="s">
        <v>7156</v>
      </c>
      <c r="G1960" s="11" t="s">
        <v>83</v>
      </c>
      <c r="H1960" s="11" t="s">
        <v>7157</v>
      </c>
      <c r="I1960" s="11" t="s">
        <v>7158</v>
      </c>
      <c r="J1960" s="12">
        <v>0.44440000000000002</v>
      </c>
      <c r="K1960" s="13">
        <v>2</v>
      </c>
      <c r="L1960" s="14">
        <v>18</v>
      </c>
      <c r="M1960" s="10">
        <v>8</v>
      </c>
      <c r="N1960" s="10">
        <v>1989</v>
      </c>
      <c r="O1960" s="10">
        <v>627</v>
      </c>
      <c r="P1960" s="10">
        <v>2616</v>
      </c>
    </row>
    <row r="1961" spans="1:16" ht="27" customHeight="1" x14ac:dyDescent="0.2">
      <c r="A1961" s="9" t="s">
        <v>7093</v>
      </c>
      <c r="B1961" s="10" t="s">
        <v>7155</v>
      </c>
      <c r="C1961" s="11" t="s">
        <v>7159</v>
      </c>
      <c r="D1961" s="11" t="s">
        <v>7160</v>
      </c>
      <c r="E1961" s="11" t="s">
        <v>26</v>
      </c>
      <c r="F1961" s="11" t="s">
        <v>7161</v>
      </c>
      <c r="G1961" s="11" t="s">
        <v>28</v>
      </c>
      <c r="H1961" s="11" t="s">
        <v>7161</v>
      </c>
      <c r="I1961" s="11" t="s">
        <v>7162</v>
      </c>
      <c r="J1961" s="12">
        <v>0.58589999999999998</v>
      </c>
      <c r="K1961" s="13">
        <v>1</v>
      </c>
      <c r="L1961" s="14">
        <v>128</v>
      </c>
      <c r="M1961" s="10">
        <v>75</v>
      </c>
      <c r="N1961" s="10">
        <v>14144</v>
      </c>
      <c r="O1961" s="10">
        <v>5881</v>
      </c>
      <c r="P1961" s="10">
        <v>20025</v>
      </c>
    </row>
    <row r="1962" spans="1:16" ht="27" customHeight="1" x14ac:dyDescent="0.2">
      <c r="A1962" s="9" t="s">
        <v>7093</v>
      </c>
      <c r="B1962" s="10" t="s">
        <v>7155</v>
      </c>
      <c r="C1962" s="11" t="s">
        <v>7163</v>
      </c>
      <c r="D1962" s="11" t="s">
        <v>7164</v>
      </c>
      <c r="E1962" s="11" t="s">
        <v>57</v>
      </c>
      <c r="F1962" s="11" t="s">
        <v>7165</v>
      </c>
      <c r="G1962" s="11" t="s">
        <v>28</v>
      </c>
      <c r="H1962" s="11" t="s">
        <v>7165</v>
      </c>
      <c r="I1962" s="11" t="s">
        <v>7166</v>
      </c>
      <c r="J1962" s="12">
        <v>0.62439999999999996</v>
      </c>
      <c r="K1962" s="13">
        <v>1</v>
      </c>
      <c r="L1962" s="14">
        <v>213</v>
      </c>
      <c r="M1962" s="10">
        <v>133</v>
      </c>
      <c r="N1962" s="10">
        <v>23537</v>
      </c>
      <c r="O1962" s="10">
        <v>10430</v>
      </c>
      <c r="P1962" s="10">
        <v>33967</v>
      </c>
    </row>
    <row r="1963" spans="1:16" ht="27" customHeight="1" x14ac:dyDescent="0.2">
      <c r="A1963" s="9" t="s">
        <v>7093</v>
      </c>
      <c r="B1963" s="10" t="s">
        <v>7167</v>
      </c>
      <c r="C1963" s="11" t="s">
        <v>18</v>
      </c>
      <c r="D1963" s="11" t="s">
        <v>19</v>
      </c>
      <c r="E1963" s="11" t="s">
        <v>19</v>
      </c>
      <c r="F1963" s="11" t="s">
        <v>7168</v>
      </c>
      <c r="G1963" s="11" t="s">
        <v>83</v>
      </c>
      <c r="H1963" s="11" t="s">
        <v>7169</v>
      </c>
      <c r="I1963" s="11" t="s">
        <v>7170</v>
      </c>
      <c r="J1963" s="12">
        <v>0.15690000000000001</v>
      </c>
      <c r="K1963" s="13">
        <v>2</v>
      </c>
      <c r="L1963" s="14">
        <v>51</v>
      </c>
      <c r="M1963" s="10">
        <v>8</v>
      </c>
      <c r="N1963" s="10">
        <v>5636</v>
      </c>
      <c r="O1963" s="10">
        <v>627</v>
      </c>
      <c r="P1963" s="10">
        <v>6263</v>
      </c>
    </row>
    <row r="1964" spans="1:16" ht="27" customHeight="1" x14ac:dyDescent="0.2">
      <c r="A1964" s="9" t="s">
        <v>7093</v>
      </c>
      <c r="B1964" s="10" t="s">
        <v>7167</v>
      </c>
      <c r="C1964" s="11" t="s">
        <v>7171</v>
      </c>
      <c r="D1964" s="11" t="s">
        <v>7172</v>
      </c>
      <c r="E1964" s="11" t="s">
        <v>57</v>
      </c>
      <c r="F1964" s="11" t="s">
        <v>7173</v>
      </c>
      <c r="G1964" s="11" t="s">
        <v>28</v>
      </c>
      <c r="H1964" s="11" t="s">
        <v>7173</v>
      </c>
      <c r="I1964" s="11" t="s">
        <v>7174</v>
      </c>
      <c r="J1964" s="12">
        <v>0.27079999999999999</v>
      </c>
      <c r="K1964" s="13">
        <v>1</v>
      </c>
      <c r="L1964" s="14">
        <v>144</v>
      </c>
      <c r="M1964" s="10">
        <v>39</v>
      </c>
      <c r="N1964" s="10">
        <v>15912</v>
      </c>
      <c r="O1964" s="10">
        <v>3058</v>
      </c>
      <c r="P1964" s="10">
        <v>18970</v>
      </c>
    </row>
    <row r="1965" spans="1:16" ht="27" customHeight="1" x14ac:dyDescent="0.2">
      <c r="A1965" s="9" t="s">
        <v>7093</v>
      </c>
      <c r="B1965" s="10" t="s">
        <v>7167</v>
      </c>
      <c r="C1965" s="11" t="s">
        <v>7175</v>
      </c>
      <c r="D1965" s="11" t="s">
        <v>7176</v>
      </c>
      <c r="E1965" s="11" t="s">
        <v>26</v>
      </c>
      <c r="F1965" s="11" t="s">
        <v>7177</v>
      </c>
      <c r="G1965" s="11" t="s">
        <v>28</v>
      </c>
      <c r="H1965" s="11" t="s">
        <v>7177</v>
      </c>
      <c r="I1965" s="11" t="s">
        <v>7178</v>
      </c>
      <c r="J1965" s="12">
        <v>0.46279999999999999</v>
      </c>
      <c r="K1965" s="13">
        <v>1</v>
      </c>
      <c r="L1965" s="14">
        <v>309</v>
      </c>
      <c r="M1965" s="10">
        <v>143</v>
      </c>
      <c r="N1965" s="10">
        <v>34145</v>
      </c>
      <c r="O1965" s="10">
        <v>11214</v>
      </c>
      <c r="P1965" s="10">
        <v>45359</v>
      </c>
    </row>
    <row r="1966" spans="1:16" ht="27" customHeight="1" x14ac:dyDescent="0.2">
      <c r="A1966" s="9" t="s">
        <v>7093</v>
      </c>
      <c r="B1966" s="10" t="s">
        <v>7179</v>
      </c>
      <c r="C1966" s="11" t="s">
        <v>18</v>
      </c>
      <c r="D1966" s="11" t="s">
        <v>19</v>
      </c>
      <c r="E1966" s="11" t="s">
        <v>19</v>
      </c>
      <c r="F1966" s="11" t="s">
        <v>7180</v>
      </c>
      <c r="G1966" s="11" t="s">
        <v>83</v>
      </c>
      <c r="H1966" s="11" t="s">
        <v>7180</v>
      </c>
      <c r="I1966" s="11" t="s">
        <v>7181</v>
      </c>
      <c r="J1966" s="12">
        <v>0.78569999999999995</v>
      </c>
      <c r="K1966" s="13">
        <v>2</v>
      </c>
      <c r="L1966" s="14">
        <v>57</v>
      </c>
      <c r="M1966" s="10">
        <v>45</v>
      </c>
      <c r="N1966" s="10">
        <v>6299</v>
      </c>
      <c r="O1966" s="10">
        <v>3529</v>
      </c>
      <c r="P1966" s="10">
        <v>9828</v>
      </c>
    </row>
    <row r="1967" spans="1:16" ht="27" customHeight="1" x14ac:dyDescent="0.2">
      <c r="A1967" s="9" t="s">
        <v>7093</v>
      </c>
      <c r="B1967" s="10" t="s">
        <v>7182</v>
      </c>
      <c r="C1967" s="11" t="s">
        <v>18</v>
      </c>
      <c r="D1967" s="11" t="s">
        <v>19</v>
      </c>
      <c r="E1967" s="11" t="s">
        <v>19</v>
      </c>
      <c r="F1967" s="11" t="s">
        <v>7183</v>
      </c>
      <c r="G1967" s="11" t="s">
        <v>83</v>
      </c>
      <c r="H1967" s="11" t="s">
        <v>7184</v>
      </c>
      <c r="I1967" s="11" t="s">
        <v>7185</v>
      </c>
      <c r="J1967" s="12">
        <v>0.2389</v>
      </c>
      <c r="K1967" s="13">
        <v>2</v>
      </c>
      <c r="L1967" s="14">
        <v>113</v>
      </c>
      <c r="M1967" s="10">
        <v>27</v>
      </c>
      <c r="N1967" s="10">
        <v>12487</v>
      </c>
      <c r="O1967" s="10">
        <v>2117</v>
      </c>
      <c r="P1967" s="10">
        <v>14604</v>
      </c>
    </row>
    <row r="1968" spans="1:16" ht="27" customHeight="1" x14ac:dyDescent="0.2">
      <c r="A1968" s="9" t="s">
        <v>7093</v>
      </c>
      <c r="B1968" s="10" t="s">
        <v>7186</v>
      </c>
      <c r="C1968" s="11" t="s">
        <v>18</v>
      </c>
      <c r="D1968" s="11" t="s">
        <v>19</v>
      </c>
      <c r="E1968" s="11" t="s">
        <v>19</v>
      </c>
      <c r="F1968" s="11" t="s">
        <v>7187</v>
      </c>
      <c r="G1968" s="11" t="s">
        <v>83</v>
      </c>
      <c r="H1968" s="11" t="s">
        <v>7188</v>
      </c>
      <c r="I1968" s="11" t="s">
        <v>7189</v>
      </c>
      <c r="J1968" s="12">
        <v>0.1429</v>
      </c>
      <c r="K1968" s="13">
        <v>2</v>
      </c>
      <c r="L1968" s="14">
        <v>56</v>
      </c>
      <c r="M1968" s="10">
        <v>8</v>
      </c>
      <c r="N1968" s="10">
        <v>6188</v>
      </c>
      <c r="O1968" s="10">
        <v>627</v>
      </c>
      <c r="P1968" s="10">
        <v>6815</v>
      </c>
    </row>
    <row r="1969" spans="1:16" ht="27" customHeight="1" x14ac:dyDescent="0.2">
      <c r="A1969" s="9" t="s">
        <v>7093</v>
      </c>
      <c r="B1969" s="10" t="s">
        <v>7186</v>
      </c>
      <c r="C1969" s="11" t="s">
        <v>7190</v>
      </c>
      <c r="D1969" s="11" t="s">
        <v>7191</v>
      </c>
      <c r="E1969" s="11" t="s">
        <v>26</v>
      </c>
      <c r="F1969" s="11" t="s">
        <v>7192</v>
      </c>
      <c r="G1969" s="11" t="s">
        <v>28</v>
      </c>
      <c r="H1969" s="11" t="s">
        <v>7192</v>
      </c>
      <c r="I1969" s="11" t="s">
        <v>7193</v>
      </c>
      <c r="J1969" s="12">
        <v>0.61180000000000001</v>
      </c>
      <c r="K1969" s="13">
        <v>1</v>
      </c>
      <c r="L1969" s="14">
        <v>814</v>
      </c>
      <c r="M1969" s="10">
        <v>498</v>
      </c>
      <c r="N1969" s="10">
        <v>89948</v>
      </c>
      <c r="O1969" s="10">
        <v>39053</v>
      </c>
      <c r="P1969" s="10">
        <v>129001</v>
      </c>
    </row>
    <row r="1970" spans="1:16" ht="27" customHeight="1" x14ac:dyDescent="0.2">
      <c r="A1970" s="9" t="s">
        <v>7093</v>
      </c>
      <c r="B1970" s="10" t="s">
        <v>7186</v>
      </c>
      <c r="C1970" s="11" t="s">
        <v>7194</v>
      </c>
      <c r="D1970" s="11" t="s">
        <v>7195</v>
      </c>
      <c r="E1970" s="11" t="s">
        <v>26</v>
      </c>
      <c r="F1970" s="11" t="s">
        <v>7196</v>
      </c>
      <c r="G1970" s="11" t="s">
        <v>28</v>
      </c>
      <c r="H1970" s="11" t="s">
        <v>7196</v>
      </c>
      <c r="I1970" s="11" t="s">
        <v>7197</v>
      </c>
      <c r="J1970" s="12">
        <v>0.33329999999999999</v>
      </c>
      <c r="K1970" s="13">
        <v>1</v>
      </c>
      <c r="L1970" s="14">
        <v>528</v>
      </c>
      <c r="M1970" s="10">
        <v>176</v>
      </c>
      <c r="N1970" s="10">
        <v>58345</v>
      </c>
      <c r="O1970" s="10">
        <v>13802</v>
      </c>
      <c r="P1970" s="10">
        <v>72147</v>
      </c>
    </row>
    <row r="1971" spans="1:16" ht="27" customHeight="1" x14ac:dyDescent="0.2">
      <c r="A1971" s="9" t="s">
        <v>7093</v>
      </c>
      <c r="B1971" s="10" t="s">
        <v>7186</v>
      </c>
      <c r="C1971" s="11" t="s">
        <v>7198</v>
      </c>
      <c r="D1971" s="11" t="s">
        <v>7199</v>
      </c>
      <c r="E1971" s="11" t="s">
        <v>57</v>
      </c>
      <c r="F1971" s="11" t="s">
        <v>7200</v>
      </c>
      <c r="G1971" s="11" t="s">
        <v>28</v>
      </c>
      <c r="H1971" s="11" t="s">
        <v>7200</v>
      </c>
      <c r="I1971" s="11" t="s">
        <v>7201</v>
      </c>
      <c r="J1971" s="12">
        <v>0</v>
      </c>
      <c r="K1971" s="13">
        <v>1</v>
      </c>
      <c r="L1971" s="14">
        <v>0</v>
      </c>
      <c r="M1971" s="10">
        <v>0</v>
      </c>
      <c r="N1971" s="10">
        <v>0</v>
      </c>
      <c r="O1971" s="10">
        <v>0</v>
      </c>
      <c r="P1971" s="10">
        <v>0</v>
      </c>
    </row>
    <row r="1972" spans="1:16" ht="27" customHeight="1" x14ac:dyDescent="0.2">
      <c r="A1972" s="9" t="s">
        <v>7093</v>
      </c>
      <c r="B1972" s="10" t="s">
        <v>7186</v>
      </c>
      <c r="C1972" s="11" t="s">
        <v>7202</v>
      </c>
      <c r="D1972" s="11" t="s">
        <v>7203</v>
      </c>
      <c r="E1972" s="11" t="s">
        <v>57</v>
      </c>
      <c r="F1972" s="11" t="s">
        <v>7187</v>
      </c>
      <c r="G1972" s="11" t="s">
        <v>28</v>
      </c>
      <c r="H1972" s="11" t="s">
        <v>7187</v>
      </c>
      <c r="I1972" s="11" t="s">
        <v>7204</v>
      </c>
      <c r="J1972" s="12">
        <v>0.2112</v>
      </c>
      <c r="K1972" s="13">
        <v>1</v>
      </c>
      <c r="L1972" s="14">
        <v>162</v>
      </c>
      <c r="M1972" s="10">
        <v>34</v>
      </c>
      <c r="N1972" s="10">
        <v>17901</v>
      </c>
      <c r="O1972" s="10">
        <v>2666</v>
      </c>
      <c r="P1972" s="10">
        <v>20567</v>
      </c>
    </row>
    <row r="1973" spans="1:16" ht="27" customHeight="1" x14ac:dyDescent="0.2">
      <c r="A1973" s="9" t="s">
        <v>7093</v>
      </c>
      <c r="B1973" s="10" t="s">
        <v>7205</v>
      </c>
      <c r="C1973" s="11" t="s">
        <v>18</v>
      </c>
      <c r="D1973" s="11" t="s">
        <v>19</v>
      </c>
      <c r="E1973" s="11" t="s">
        <v>19</v>
      </c>
      <c r="F1973" s="11" t="s">
        <v>7206</v>
      </c>
      <c r="G1973" s="11" t="s">
        <v>83</v>
      </c>
      <c r="H1973" s="11" t="s">
        <v>7207</v>
      </c>
      <c r="I1973" s="11" t="s">
        <v>7208</v>
      </c>
      <c r="J1973" s="12">
        <v>0.46850000000000003</v>
      </c>
      <c r="K1973" s="13">
        <v>2</v>
      </c>
      <c r="L1973" s="14">
        <v>397</v>
      </c>
      <c r="M1973" s="10">
        <v>186</v>
      </c>
      <c r="N1973" s="10">
        <v>43869</v>
      </c>
      <c r="O1973" s="10">
        <v>14586</v>
      </c>
      <c r="P1973" s="10">
        <v>58455</v>
      </c>
    </row>
    <row r="1974" spans="1:16" ht="27" customHeight="1" x14ac:dyDescent="0.2">
      <c r="A1974" s="9" t="s">
        <v>7093</v>
      </c>
      <c r="B1974" s="10" t="s">
        <v>7205</v>
      </c>
      <c r="C1974" s="11" t="s">
        <v>7209</v>
      </c>
      <c r="D1974" s="11" t="s">
        <v>7210</v>
      </c>
      <c r="E1974" s="11" t="s">
        <v>57</v>
      </c>
      <c r="F1974" s="11" t="s">
        <v>7211</v>
      </c>
      <c r="G1974" s="11" t="s">
        <v>28</v>
      </c>
      <c r="H1974" s="11" t="s">
        <v>7211</v>
      </c>
      <c r="I1974" s="11" t="s">
        <v>7212</v>
      </c>
      <c r="J1974" s="12">
        <v>0.35339999999999999</v>
      </c>
      <c r="K1974" s="13">
        <v>1</v>
      </c>
      <c r="L1974" s="14">
        <v>116</v>
      </c>
      <c r="M1974" s="10">
        <v>41</v>
      </c>
      <c r="N1974" s="10">
        <v>12818</v>
      </c>
      <c r="O1974" s="10">
        <v>3215</v>
      </c>
      <c r="P1974" s="10">
        <v>16033</v>
      </c>
    </row>
    <row r="1975" spans="1:16" ht="27" customHeight="1" x14ac:dyDescent="0.2">
      <c r="A1975" s="9" t="s">
        <v>7093</v>
      </c>
      <c r="B1975" s="10" t="s">
        <v>7205</v>
      </c>
      <c r="C1975" s="11" t="s">
        <v>7213</v>
      </c>
      <c r="D1975" s="11" t="s">
        <v>7214</v>
      </c>
      <c r="E1975" s="11" t="s">
        <v>57</v>
      </c>
      <c r="F1975" s="11" t="s">
        <v>7215</v>
      </c>
      <c r="G1975" s="11" t="s">
        <v>28</v>
      </c>
      <c r="H1975" s="11" t="s">
        <v>7215</v>
      </c>
      <c r="I1975" s="11" t="s">
        <v>7216</v>
      </c>
      <c r="J1975" s="12">
        <v>0.43240000000000001</v>
      </c>
      <c r="K1975" s="13">
        <v>1</v>
      </c>
      <c r="L1975" s="14">
        <v>407</v>
      </c>
      <c r="M1975" s="10">
        <v>176</v>
      </c>
      <c r="N1975" s="10">
        <v>44974</v>
      </c>
      <c r="O1975" s="10">
        <v>13802</v>
      </c>
      <c r="P1975" s="10">
        <v>58776</v>
      </c>
    </row>
    <row r="1976" spans="1:16" ht="27" customHeight="1" x14ac:dyDescent="0.2">
      <c r="A1976" s="9" t="s">
        <v>7093</v>
      </c>
      <c r="B1976" s="10" t="s">
        <v>7205</v>
      </c>
      <c r="C1976" s="11" t="s">
        <v>7217</v>
      </c>
      <c r="D1976" s="11" t="s">
        <v>7218</v>
      </c>
      <c r="E1976" s="11" t="s">
        <v>57</v>
      </c>
      <c r="F1976" s="11" t="s">
        <v>7219</v>
      </c>
      <c r="G1976" s="11" t="s">
        <v>28</v>
      </c>
      <c r="H1976" s="11" t="s">
        <v>7219</v>
      </c>
      <c r="I1976" s="11" t="s">
        <v>7220</v>
      </c>
      <c r="J1976" s="12">
        <v>0.3281</v>
      </c>
      <c r="K1976" s="13">
        <v>1</v>
      </c>
      <c r="L1976" s="14">
        <v>384</v>
      </c>
      <c r="M1976" s="10">
        <v>126</v>
      </c>
      <c r="N1976" s="10">
        <v>42433</v>
      </c>
      <c r="O1976" s="10">
        <v>9881</v>
      </c>
      <c r="P1976" s="10">
        <v>52314</v>
      </c>
    </row>
    <row r="1977" spans="1:16" ht="27" customHeight="1" x14ac:dyDescent="0.2">
      <c r="A1977" s="9" t="s">
        <v>7093</v>
      </c>
      <c r="B1977" s="10" t="s">
        <v>7221</v>
      </c>
      <c r="C1977" s="11" t="s">
        <v>18</v>
      </c>
      <c r="D1977" s="11" t="s">
        <v>19</v>
      </c>
      <c r="E1977" s="11" t="s">
        <v>19</v>
      </c>
      <c r="F1977" s="11" t="s">
        <v>7222</v>
      </c>
      <c r="G1977" s="11" t="s">
        <v>83</v>
      </c>
      <c r="H1977" s="11" t="s">
        <v>7223</v>
      </c>
      <c r="I1977" s="11" t="s">
        <v>7224</v>
      </c>
      <c r="J1977" s="12">
        <v>0.69489999999999996</v>
      </c>
      <c r="K1977" s="13">
        <v>2</v>
      </c>
      <c r="L1977" s="14">
        <v>59</v>
      </c>
      <c r="M1977" s="10">
        <v>41</v>
      </c>
      <c r="N1977" s="10">
        <v>6520</v>
      </c>
      <c r="O1977" s="10">
        <v>3215</v>
      </c>
      <c r="P1977" s="10">
        <v>9735</v>
      </c>
    </row>
    <row r="1978" spans="1:16" ht="27" customHeight="1" x14ac:dyDescent="0.2">
      <c r="A1978" s="9" t="s">
        <v>7093</v>
      </c>
      <c r="B1978" s="10" t="s">
        <v>7225</v>
      </c>
      <c r="C1978" s="11" t="s">
        <v>18</v>
      </c>
      <c r="D1978" s="11" t="s">
        <v>19</v>
      </c>
      <c r="E1978" s="11" t="s">
        <v>19</v>
      </c>
      <c r="F1978" s="11" t="s">
        <v>7226</v>
      </c>
      <c r="G1978" s="11" t="s">
        <v>83</v>
      </c>
      <c r="H1978" s="11" t="s">
        <v>7226</v>
      </c>
      <c r="I1978" s="11" t="s">
        <v>7227</v>
      </c>
      <c r="J1978" s="12">
        <v>0.57140000000000002</v>
      </c>
      <c r="K1978" s="13">
        <v>2</v>
      </c>
      <c r="L1978" s="14">
        <v>21</v>
      </c>
      <c r="M1978" s="10">
        <v>12</v>
      </c>
      <c r="N1978" s="10">
        <v>2321</v>
      </c>
      <c r="O1978" s="10">
        <v>941</v>
      </c>
      <c r="P1978" s="10">
        <v>3262</v>
      </c>
    </row>
    <row r="1979" spans="1:16" ht="27" customHeight="1" x14ac:dyDescent="0.2">
      <c r="A1979" s="9" t="s">
        <v>7093</v>
      </c>
      <c r="B1979" s="10" t="s">
        <v>7228</v>
      </c>
      <c r="C1979" s="11" t="s">
        <v>18</v>
      </c>
      <c r="D1979" s="11" t="s">
        <v>19</v>
      </c>
      <c r="E1979" s="11" t="s">
        <v>19</v>
      </c>
      <c r="F1979" s="11" t="s">
        <v>7229</v>
      </c>
      <c r="G1979" s="11" t="s">
        <v>83</v>
      </c>
      <c r="H1979" s="11" t="s">
        <v>6651</v>
      </c>
      <c r="I1979" s="11" t="s">
        <v>7230</v>
      </c>
      <c r="J1979" s="12">
        <v>0.17949999999999999</v>
      </c>
      <c r="K1979" s="13">
        <v>2</v>
      </c>
      <c r="L1979" s="14">
        <v>78</v>
      </c>
      <c r="M1979" s="10">
        <v>14</v>
      </c>
      <c r="N1979" s="10">
        <v>8619</v>
      </c>
      <c r="O1979" s="10">
        <v>1098</v>
      </c>
      <c r="P1979" s="10">
        <v>9717</v>
      </c>
    </row>
    <row r="1980" spans="1:16" ht="27" customHeight="1" x14ac:dyDescent="0.2">
      <c r="A1980" s="9" t="s">
        <v>7093</v>
      </c>
      <c r="B1980" s="10" t="s">
        <v>7228</v>
      </c>
      <c r="C1980" s="11" t="s">
        <v>7231</v>
      </c>
      <c r="D1980" s="11" t="s">
        <v>7232</v>
      </c>
      <c r="E1980" s="11" t="s">
        <v>26</v>
      </c>
      <c r="F1980" s="11" t="s">
        <v>7233</v>
      </c>
      <c r="G1980" s="11" t="s">
        <v>28</v>
      </c>
      <c r="H1980" s="11" t="s">
        <v>7233</v>
      </c>
      <c r="I1980" s="11" t="s">
        <v>7234</v>
      </c>
      <c r="J1980" s="12">
        <v>0.54820000000000002</v>
      </c>
      <c r="K1980" s="13">
        <v>1</v>
      </c>
      <c r="L1980" s="14">
        <v>394</v>
      </c>
      <c r="M1980" s="10">
        <v>216</v>
      </c>
      <c r="N1980" s="10">
        <v>43538</v>
      </c>
      <c r="O1980" s="10">
        <v>16938</v>
      </c>
      <c r="P1980" s="10">
        <v>60476</v>
      </c>
    </row>
    <row r="1981" spans="1:16" ht="27" customHeight="1" x14ac:dyDescent="0.2">
      <c r="A1981" s="9" t="s">
        <v>7093</v>
      </c>
      <c r="B1981" s="10" t="s">
        <v>7228</v>
      </c>
      <c r="C1981" s="11" t="s">
        <v>7235</v>
      </c>
      <c r="D1981" s="11" t="s">
        <v>7236</v>
      </c>
      <c r="E1981" s="11" t="s">
        <v>57</v>
      </c>
      <c r="F1981" s="11" t="s">
        <v>7237</v>
      </c>
      <c r="G1981" s="11" t="s">
        <v>28</v>
      </c>
      <c r="H1981" s="11" t="s">
        <v>7237</v>
      </c>
      <c r="I1981" s="11" t="s">
        <v>7238</v>
      </c>
      <c r="J1981" s="12">
        <v>0.25879999999999997</v>
      </c>
      <c r="K1981" s="13">
        <v>1</v>
      </c>
      <c r="L1981" s="14">
        <v>742</v>
      </c>
      <c r="M1981" s="10">
        <v>192</v>
      </c>
      <c r="N1981" s="10">
        <v>81992</v>
      </c>
      <c r="O1981" s="10">
        <v>15056</v>
      </c>
      <c r="P1981" s="10">
        <v>97048</v>
      </c>
    </row>
    <row r="1982" spans="1:16" ht="27" customHeight="1" x14ac:dyDescent="0.2">
      <c r="A1982" s="9" t="s">
        <v>7093</v>
      </c>
      <c r="B1982" s="10" t="s">
        <v>7239</v>
      </c>
      <c r="C1982" s="11" t="s">
        <v>18</v>
      </c>
      <c r="D1982" s="11" t="s">
        <v>19</v>
      </c>
      <c r="E1982" s="11" t="s">
        <v>19</v>
      </c>
      <c r="F1982" s="11" t="s">
        <v>7240</v>
      </c>
      <c r="G1982" s="11" t="s">
        <v>83</v>
      </c>
      <c r="H1982" s="11" t="s">
        <v>7241</v>
      </c>
      <c r="I1982" s="11" t="s">
        <v>7242</v>
      </c>
      <c r="J1982" s="12">
        <v>0.36919999999999997</v>
      </c>
      <c r="K1982" s="13">
        <v>2</v>
      </c>
      <c r="L1982" s="14">
        <v>349</v>
      </c>
      <c r="M1982" s="10">
        <v>129</v>
      </c>
      <c r="N1982" s="10">
        <v>38565</v>
      </c>
      <c r="O1982" s="10">
        <v>10116</v>
      </c>
      <c r="P1982" s="10">
        <v>48681</v>
      </c>
    </row>
    <row r="1983" spans="1:16" ht="27" customHeight="1" x14ac:dyDescent="0.2">
      <c r="A1983" s="9" t="s">
        <v>7093</v>
      </c>
      <c r="B1983" s="10" t="s">
        <v>7239</v>
      </c>
      <c r="C1983" s="11" t="s">
        <v>7243</v>
      </c>
      <c r="D1983" s="11" t="s">
        <v>7244</v>
      </c>
      <c r="E1983" s="11" t="s">
        <v>26</v>
      </c>
      <c r="F1983" s="11" t="s">
        <v>7245</v>
      </c>
      <c r="G1983" s="11" t="s">
        <v>28</v>
      </c>
      <c r="H1983" s="11" t="s">
        <v>7245</v>
      </c>
      <c r="I1983" s="11" t="s">
        <v>7246</v>
      </c>
      <c r="J1983" s="12">
        <v>0.1971</v>
      </c>
      <c r="K1983" s="13">
        <v>1</v>
      </c>
      <c r="L1983" s="14">
        <v>137</v>
      </c>
      <c r="M1983" s="10">
        <v>27</v>
      </c>
      <c r="N1983" s="10">
        <v>15139</v>
      </c>
      <c r="O1983" s="10">
        <v>2117</v>
      </c>
      <c r="P1983" s="10">
        <v>17256</v>
      </c>
    </row>
    <row r="1984" spans="1:16" ht="27" customHeight="1" x14ac:dyDescent="0.2">
      <c r="A1984" s="9" t="s">
        <v>7093</v>
      </c>
      <c r="B1984" s="10" t="s">
        <v>7239</v>
      </c>
      <c r="C1984" s="11" t="s">
        <v>7247</v>
      </c>
      <c r="D1984" s="11" t="s">
        <v>7248</v>
      </c>
      <c r="E1984" s="11" t="s">
        <v>57</v>
      </c>
      <c r="F1984" s="11" t="s">
        <v>7249</v>
      </c>
      <c r="G1984" s="11" t="s">
        <v>28</v>
      </c>
      <c r="H1984" s="11" t="s">
        <v>7249</v>
      </c>
      <c r="I1984" s="11" t="s">
        <v>7250</v>
      </c>
      <c r="J1984" s="12">
        <v>0.36609999999999998</v>
      </c>
      <c r="K1984" s="13">
        <v>1</v>
      </c>
      <c r="L1984" s="14">
        <v>489</v>
      </c>
      <c r="M1984" s="10">
        <v>179</v>
      </c>
      <c r="N1984" s="10">
        <v>54035</v>
      </c>
      <c r="O1984" s="10">
        <v>14037</v>
      </c>
      <c r="P1984" s="10">
        <v>68072</v>
      </c>
    </row>
    <row r="1985" spans="1:16" ht="27" customHeight="1" x14ac:dyDescent="0.2">
      <c r="A1985" s="9" t="s">
        <v>7093</v>
      </c>
      <c r="B1985" s="10" t="s">
        <v>7239</v>
      </c>
      <c r="C1985" s="11" t="s">
        <v>7251</v>
      </c>
      <c r="D1985" s="11" t="s">
        <v>7252</v>
      </c>
      <c r="E1985" s="11" t="s">
        <v>57</v>
      </c>
      <c r="F1985" s="11" t="s">
        <v>7253</v>
      </c>
      <c r="G1985" s="11" t="s">
        <v>28</v>
      </c>
      <c r="H1985" s="11" t="s">
        <v>7253</v>
      </c>
      <c r="I1985" s="11" t="s">
        <v>7254</v>
      </c>
      <c r="J1985" s="12">
        <v>0.25</v>
      </c>
      <c r="K1985" s="13">
        <v>1</v>
      </c>
      <c r="L1985" s="14">
        <v>288</v>
      </c>
      <c r="M1985" s="10">
        <v>72</v>
      </c>
      <c r="N1985" s="10">
        <v>31824</v>
      </c>
      <c r="O1985" s="10">
        <v>5646</v>
      </c>
      <c r="P1985" s="10">
        <v>37470</v>
      </c>
    </row>
    <row r="1986" spans="1:16" ht="27" customHeight="1" x14ac:dyDescent="0.2">
      <c r="A1986" s="9" t="s">
        <v>7093</v>
      </c>
      <c r="B1986" s="10" t="s">
        <v>7239</v>
      </c>
      <c r="C1986" s="11" t="s">
        <v>7255</v>
      </c>
      <c r="D1986" s="11" t="s">
        <v>7256</v>
      </c>
      <c r="E1986" s="11" t="s">
        <v>57</v>
      </c>
      <c r="F1986" s="11" t="s">
        <v>7257</v>
      </c>
      <c r="G1986" s="11" t="s">
        <v>28</v>
      </c>
      <c r="H1986" s="11" t="s">
        <v>7257</v>
      </c>
      <c r="I1986" s="11" t="s">
        <v>7258</v>
      </c>
      <c r="J1986" s="12">
        <v>0.70989999999999998</v>
      </c>
      <c r="K1986" s="13">
        <v>1</v>
      </c>
      <c r="L1986" s="14">
        <v>293</v>
      </c>
      <c r="M1986" s="10">
        <v>208</v>
      </c>
      <c r="N1986" s="10">
        <v>32377</v>
      </c>
      <c r="O1986" s="10">
        <v>16311</v>
      </c>
      <c r="P1986" s="10">
        <v>48688</v>
      </c>
    </row>
    <row r="1987" spans="1:16" ht="27" customHeight="1" x14ac:dyDescent="0.2">
      <c r="A1987" s="9" t="s">
        <v>7093</v>
      </c>
      <c r="B1987" s="10" t="s">
        <v>7239</v>
      </c>
      <c r="C1987" s="11" t="s">
        <v>7259</v>
      </c>
      <c r="D1987" s="11" t="s">
        <v>7260</v>
      </c>
      <c r="E1987" s="11" t="s">
        <v>57</v>
      </c>
      <c r="F1987" s="11" t="s">
        <v>7261</v>
      </c>
      <c r="G1987" s="11" t="s">
        <v>28</v>
      </c>
      <c r="H1987" s="11" t="s">
        <v>7261</v>
      </c>
      <c r="I1987" s="11" t="s">
        <v>7262</v>
      </c>
      <c r="J1987" s="12">
        <v>0.13039999999999999</v>
      </c>
      <c r="K1987" s="13">
        <v>1</v>
      </c>
      <c r="L1987" s="14">
        <v>437</v>
      </c>
      <c r="M1987" s="10">
        <v>57</v>
      </c>
      <c r="N1987" s="10">
        <v>48289</v>
      </c>
      <c r="O1987" s="10">
        <v>4470</v>
      </c>
      <c r="P1987" s="10">
        <v>52759</v>
      </c>
    </row>
    <row r="1988" spans="1:16" ht="27" customHeight="1" x14ac:dyDescent="0.2">
      <c r="A1988" s="9" t="s">
        <v>7093</v>
      </c>
      <c r="B1988" s="10" t="s">
        <v>7263</v>
      </c>
      <c r="C1988" s="11" t="s">
        <v>18</v>
      </c>
      <c r="D1988" s="11" t="s">
        <v>19</v>
      </c>
      <c r="E1988" s="11" t="s">
        <v>19</v>
      </c>
      <c r="F1988" s="11" t="s">
        <v>7264</v>
      </c>
      <c r="G1988" s="11" t="s">
        <v>83</v>
      </c>
      <c r="H1988" s="11" t="s">
        <v>7265</v>
      </c>
      <c r="I1988" s="11" t="s">
        <v>7266</v>
      </c>
      <c r="J1988" s="12">
        <v>0.84079999999999999</v>
      </c>
      <c r="K1988" s="13">
        <v>8</v>
      </c>
      <c r="L1988" s="14">
        <v>1759</v>
      </c>
      <c r="M1988" s="10">
        <v>804</v>
      </c>
      <c r="N1988" s="10">
        <v>194372</v>
      </c>
      <c r="O1988" s="10">
        <v>63050</v>
      </c>
      <c r="P1988" s="10">
        <v>257422</v>
      </c>
    </row>
    <row r="1989" spans="1:16" ht="27" customHeight="1" x14ac:dyDescent="0.2">
      <c r="A1989" s="9" t="s">
        <v>7093</v>
      </c>
      <c r="B1989" s="10" t="s">
        <v>7263</v>
      </c>
      <c r="C1989" s="11" t="s">
        <v>7267</v>
      </c>
      <c r="D1989" s="11" t="s">
        <v>7268</v>
      </c>
      <c r="E1989" s="11" t="s">
        <v>57</v>
      </c>
      <c r="F1989" s="11" t="s">
        <v>7269</v>
      </c>
      <c r="G1989" s="11" t="s">
        <v>28</v>
      </c>
      <c r="H1989" s="11" t="s">
        <v>7269</v>
      </c>
      <c r="I1989" s="11" t="s">
        <v>7270</v>
      </c>
      <c r="J1989" s="12">
        <v>0.35139999999999999</v>
      </c>
      <c r="K1989" s="13">
        <v>1</v>
      </c>
      <c r="L1989" s="14">
        <v>481</v>
      </c>
      <c r="M1989" s="10">
        <v>169</v>
      </c>
      <c r="N1989" s="10">
        <v>53151</v>
      </c>
      <c r="O1989" s="10">
        <v>13253</v>
      </c>
      <c r="P1989" s="10">
        <v>66404</v>
      </c>
    </row>
    <row r="1990" spans="1:16" ht="27" customHeight="1" x14ac:dyDescent="0.2">
      <c r="A1990" s="9" t="s">
        <v>7093</v>
      </c>
      <c r="B1990" s="10" t="s">
        <v>7263</v>
      </c>
      <c r="C1990" s="11" t="s">
        <v>7271</v>
      </c>
      <c r="D1990" s="11" t="s">
        <v>7272</v>
      </c>
      <c r="E1990" s="11" t="s">
        <v>26</v>
      </c>
      <c r="F1990" s="11" t="s">
        <v>7273</v>
      </c>
      <c r="G1990" s="11" t="s">
        <v>28</v>
      </c>
      <c r="H1990" s="11" t="s">
        <v>7273</v>
      </c>
      <c r="I1990" s="11" t="s">
        <v>7274</v>
      </c>
      <c r="J1990" s="12">
        <v>0.15870000000000001</v>
      </c>
      <c r="K1990" s="13">
        <v>1</v>
      </c>
      <c r="L1990" s="14">
        <v>252</v>
      </c>
      <c r="M1990" s="10">
        <v>40</v>
      </c>
      <c r="N1990" s="10">
        <v>27846</v>
      </c>
      <c r="O1990" s="10">
        <v>3137</v>
      </c>
      <c r="P1990" s="10">
        <v>30983</v>
      </c>
    </row>
    <row r="1991" spans="1:16" ht="27" customHeight="1" x14ac:dyDescent="0.2">
      <c r="A1991" s="9" t="s">
        <v>7093</v>
      </c>
      <c r="B1991" s="10" t="s">
        <v>7275</v>
      </c>
      <c r="C1991" s="11" t="s">
        <v>18</v>
      </c>
      <c r="D1991" s="11" t="s">
        <v>19</v>
      </c>
      <c r="E1991" s="11" t="s">
        <v>19</v>
      </c>
      <c r="F1991" s="11" t="s">
        <v>7276</v>
      </c>
      <c r="G1991" s="11" t="s">
        <v>83</v>
      </c>
      <c r="H1991" s="11" t="s">
        <v>7096</v>
      </c>
      <c r="I1991" s="11" t="s">
        <v>7097</v>
      </c>
      <c r="J1991" s="12">
        <v>1</v>
      </c>
      <c r="K1991" s="13">
        <v>9</v>
      </c>
      <c r="L1991" s="14">
        <v>4325</v>
      </c>
      <c r="M1991" s="10">
        <v>1892</v>
      </c>
      <c r="N1991" s="10">
        <v>477921</v>
      </c>
      <c r="O1991" s="10">
        <v>148369</v>
      </c>
      <c r="P1991" s="10">
        <v>626290</v>
      </c>
    </row>
    <row r="1992" spans="1:16" ht="27" customHeight="1" x14ac:dyDescent="0.2">
      <c r="A1992" s="9" t="s">
        <v>7093</v>
      </c>
      <c r="B1992" s="10" t="s">
        <v>7275</v>
      </c>
      <c r="C1992" s="11" t="s">
        <v>7277</v>
      </c>
      <c r="D1992" s="11" t="s">
        <v>7278</v>
      </c>
      <c r="E1992" s="11" t="s">
        <v>57</v>
      </c>
      <c r="F1992" s="11" t="s">
        <v>7279</v>
      </c>
      <c r="G1992" s="11" t="s">
        <v>28</v>
      </c>
      <c r="H1992" s="11" t="s">
        <v>7096</v>
      </c>
      <c r="I1992" s="11" t="s">
        <v>7097</v>
      </c>
      <c r="J1992" s="12">
        <v>1</v>
      </c>
      <c r="K1992" s="13">
        <v>1</v>
      </c>
      <c r="L1992" s="14">
        <v>123</v>
      </c>
      <c r="M1992" s="10">
        <v>15</v>
      </c>
      <c r="N1992" s="10">
        <v>13592</v>
      </c>
      <c r="O1992" s="10">
        <v>1176</v>
      </c>
      <c r="P1992" s="10">
        <v>14768</v>
      </c>
    </row>
    <row r="1993" spans="1:16" ht="27" customHeight="1" x14ac:dyDescent="0.2">
      <c r="A1993" s="9" t="s">
        <v>7093</v>
      </c>
      <c r="B1993" s="10" t="s">
        <v>7275</v>
      </c>
      <c r="C1993" s="11" t="s">
        <v>7280</v>
      </c>
      <c r="D1993" s="11" t="s">
        <v>7281</v>
      </c>
      <c r="E1993" s="11" t="s">
        <v>57</v>
      </c>
      <c r="F1993" s="11" t="s">
        <v>7282</v>
      </c>
      <c r="G1993" s="11" t="s">
        <v>28</v>
      </c>
      <c r="H1993" s="11" t="s">
        <v>7282</v>
      </c>
      <c r="I1993" s="11" t="s">
        <v>7283</v>
      </c>
      <c r="J1993" s="12">
        <v>0.26550000000000001</v>
      </c>
      <c r="K1993" s="13">
        <v>1</v>
      </c>
      <c r="L1993" s="14">
        <v>452</v>
      </c>
      <c r="M1993" s="10">
        <v>120</v>
      </c>
      <c r="N1993" s="10">
        <v>49947</v>
      </c>
      <c r="O1993" s="10">
        <v>9410</v>
      </c>
      <c r="P1993" s="10">
        <v>59357</v>
      </c>
    </row>
    <row r="1994" spans="1:16" ht="27" customHeight="1" x14ac:dyDescent="0.2">
      <c r="A1994" s="9" t="s">
        <v>7093</v>
      </c>
      <c r="B1994" s="10" t="s">
        <v>7284</v>
      </c>
      <c r="C1994" s="11" t="s">
        <v>18</v>
      </c>
      <c r="D1994" s="11" t="s">
        <v>19</v>
      </c>
      <c r="E1994" s="11" t="s">
        <v>19</v>
      </c>
      <c r="F1994" s="11" t="s">
        <v>7285</v>
      </c>
      <c r="G1994" s="11" t="s">
        <v>83</v>
      </c>
      <c r="H1994" s="11" t="s">
        <v>508</v>
      </c>
      <c r="I1994" s="11" t="s">
        <v>7286</v>
      </c>
      <c r="J1994" s="12">
        <v>0.59640000000000004</v>
      </c>
      <c r="K1994" s="13">
        <v>2</v>
      </c>
      <c r="L1994" s="14">
        <v>275</v>
      </c>
      <c r="M1994" s="10">
        <v>164</v>
      </c>
      <c r="N1994" s="10">
        <v>30388</v>
      </c>
      <c r="O1994" s="10">
        <v>12861</v>
      </c>
      <c r="P1994" s="10">
        <v>43249</v>
      </c>
    </row>
    <row r="1995" spans="1:16" ht="27" customHeight="1" x14ac:dyDescent="0.2">
      <c r="A1995" s="9" t="s">
        <v>7093</v>
      </c>
      <c r="B1995" s="10" t="s">
        <v>7284</v>
      </c>
      <c r="C1995" s="11" t="s">
        <v>7287</v>
      </c>
      <c r="D1995" s="11" t="s">
        <v>7288</v>
      </c>
      <c r="E1995" s="11" t="s">
        <v>26</v>
      </c>
      <c r="F1995" s="11" t="s">
        <v>7289</v>
      </c>
      <c r="G1995" s="11" t="s">
        <v>28</v>
      </c>
      <c r="H1995" s="11" t="s">
        <v>7289</v>
      </c>
      <c r="I1995" s="11" t="s">
        <v>7290</v>
      </c>
      <c r="J1995" s="12">
        <v>0.4919</v>
      </c>
      <c r="K1995" s="13">
        <v>1</v>
      </c>
      <c r="L1995" s="14">
        <v>124</v>
      </c>
      <c r="M1995" s="10">
        <v>61</v>
      </c>
      <c r="N1995" s="10">
        <v>13702</v>
      </c>
      <c r="O1995" s="10">
        <v>4784</v>
      </c>
      <c r="P1995" s="10">
        <v>18486</v>
      </c>
    </row>
    <row r="1996" spans="1:16" ht="27" customHeight="1" x14ac:dyDescent="0.2">
      <c r="A1996" s="9" t="s">
        <v>7093</v>
      </c>
      <c r="B1996" s="10" t="s">
        <v>7284</v>
      </c>
      <c r="C1996" s="11" t="s">
        <v>7291</v>
      </c>
      <c r="D1996" s="11" t="s">
        <v>7292</v>
      </c>
      <c r="E1996" s="11" t="s">
        <v>26</v>
      </c>
      <c r="F1996" s="11" t="s">
        <v>7293</v>
      </c>
      <c r="G1996" s="11" t="s">
        <v>28</v>
      </c>
      <c r="H1996" s="11" t="s">
        <v>7293</v>
      </c>
      <c r="I1996" s="11" t="s">
        <v>7294</v>
      </c>
      <c r="J1996" s="12">
        <v>0.4516</v>
      </c>
      <c r="K1996" s="13">
        <v>1</v>
      </c>
      <c r="L1996" s="14">
        <v>310</v>
      </c>
      <c r="M1996" s="10">
        <v>140</v>
      </c>
      <c r="N1996" s="10">
        <v>34256</v>
      </c>
      <c r="O1996" s="10">
        <v>10979</v>
      </c>
      <c r="P1996" s="10">
        <v>45235</v>
      </c>
    </row>
    <row r="1997" spans="1:16" ht="27" customHeight="1" x14ac:dyDescent="0.2">
      <c r="A1997" s="9" t="s">
        <v>7093</v>
      </c>
      <c r="B1997" s="10" t="s">
        <v>7284</v>
      </c>
      <c r="C1997" s="11" t="s">
        <v>7295</v>
      </c>
      <c r="D1997" s="11" t="s">
        <v>7296</v>
      </c>
      <c r="E1997" s="11" t="s">
        <v>26</v>
      </c>
      <c r="F1997" s="11" t="s">
        <v>7297</v>
      </c>
      <c r="G1997" s="11" t="s">
        <v>28</v>
      </c>
      <c r="H1997" s="11" t="s">
        <v>7297</v>
      </c>
      <c r="I1997" s="11" t="s">
        <v>7298</v>
      </c>
      <c r="J1997" s="12">
        <v>0.63700000000000001</v>
      </c>
      <c r="K1997" s="13">
        <v>1</v>
      </c>
      <c r="L1997" s="14">
        <v>303</v>
      </c>
      <c r="M1997" s="10">
        <v>193</v>
      </c>
      <c r="N1997" s="10">
        <v>33482</v>
      </c>
      <c r="O1997" s="10">
        <v>15135</v>
      </c>
      <c r="P1997" s="10">
        <v>48617</v>
      </c>
    </row>
    <row r="1998" spans="1:16" ht="27" customHeight="1" x14ac:dyDescent="0.2">
      <c r="A1998" s="9" t="s">
        <v>7093</v>
      </c>
      <c r="B1998" s="10" t="s">
        <v>7284</v>
      </c>
      <c r="C1998" s="11" t="s">
        <v>7299</v>
      </c>
      <c r="D1998" s="11" t="s">
        <v>7300</v>
      </c>
      <c r="E1998" s="11" t="s">
        <v>26</v>
      </c>
      <c r="F1998" s="11" t="s">
        <v>7301</v>
      </c>
      <c r="G1998" s="11" t="s">
        <v>28</v>
      </c>
      <c r="H1998" s="11" t="s">
        <v>7096</v>
      </c>
      <c r="I1998" s="11" t="s">
        <v>7097</v>
      </c>
      <c r="J1998" s="12">
        <v>1</v>
      </c>
      <c r="K1998" s="13">
        <v>1</v>
      </c>
      <c r="L1998" s="14">
        <v>216</v>
      </c>
      <c r="M1998" s="10">
        <v>96</v>
      </c>
      <c r="N1998" s="10">
        <v>23868</v>
      </c>
      <c r="O1998" s="10">
        <v>7528</v>
      </c>
      <c r="P1998" s="10">
        <v>31396</v>
      </c>
    </row>
    <row r="1999" spans="1:16" ht="27" customHeight="1" x14ac:dyDescent="0.2">
      <c r="A1999" s="9" t="s">
        <v>7093</v>
      </c>
      <c r="B1999" s="10" t="s">
        <v>7302</v>
      </c>
      <c r="C1999" s="11" t="s">
        <v>18</v>
      </c>
      <c r="D1999" s="11" t="s">
        <v>19</v>
      </c>
      <c r="E1999" s="11" t="s">
        <v>19</v>
      </c>
      <c r="F1999" s="11" t="s">
        <v>7096</v>
      </c>
      <c r="G1999" s="11" t="s">
        <v>83</v>
      </c>
      <c r="H1999" s="11" t="s">
        <v>7096</v>
      </c>
      <c r="I1999" s="11" t="s">
        <v>7097</v>
      </c>
      <c r="J1999" s="12">
        <v>1</v>
      </c>
      <c r="K1999" s="13">
        <v>2</v>
      </c>
      <c r="L1999" s="14">
        <v>8</v>
      </c>
      <c r="M1999" s="10">
        <v>8</v>
      </c>
      <c r="N1999" s="10">
        <v>884</v>
      </c>
      <c r="O1999" s="10">
        <v>627</v>
      </c>
      <c r="P1999" s="10">
        <v>1511</v>
      </c>
    </row>
    <row r="2000" spans="1:16" ht="27" customHeight="1" x14ac:dyDescent="0.2">
      <c r="A2000" s="9" t="s">
        <v>7093</v>
      </c>
      <c r="B2000" s="10" t="s">
        <v>7303</v>
      </c>
      <c r="C2000" s="11" t="s">
        <v>18</v>
      </c>
      <c r="D2000" s="11" t="s">
        <v>19</v>
      </c>
      <c r="E2000" s="11" t="s">
        <v>19</v>
      </c>
      <c r="F2000" s="11" t="s">
        <v>7304</v>
      </c>
      <c r="G2000" s="11" t="s">
        <v>83</v>
      </c>
      <c r="H2000" s="11" t="s">
        <v>7305</v>
      </c>
      <c r="I2000" s="11" t="s">
        <v>7306</v>
      </c>
      <c r="J2000" s="12">
        <v>0.41289999999999999</v>
      </c>
      <c r="K2000" s="13">
        <v>5</v>
      </c>
      <c r="L2000" s="14">
        <v>1280</v>
      </c>
      <c r="M2000" s="10">
        <v>338</v>
      </c>
      <c r="N2000" s="10">
        <v>141443</v>
      </c>
      <c r="O2000" s="10">
        <v>26506</v>
      </c>
      <c r="P2000" s="10">
        <v>167949</v>
      </c>
    </row>
    <row r="2001" spans="1:16" ht="27" customHeight="1" x14ac:dyDescent="0.2">
      <c r="A2001" s="9" t="s">
        <v>7093</v>
      </c>
      <c r="B2001" s="10" t="s">
        <v>7303</v>
      </c>
      <c r="C2001" s="11" t="s">
        <v>7307</v>
      </c>
      <c r="D2001" s="11" t="s">
        <v>7308</v>
      </c>
      <c r="E2001" s="11" t="s">
        <v>57</v>
      </c>
      <c r="F2001" s="11" t="s">
        <v>7309</v>
      </c>
      <c r="G2001" s="11" t="s">
        <v>28</v>
      </c>
      <c r="H2001" s="11" t="s">
        <v>7309</v>
      </c>
      <c r="I2001" s="11" t="s">
        <v>7310</v>
      </c>
      <c r="J2001" s="12">
        <v>0.28349999999999997</v>
      </c>
      <c r="K2001" s="13">
        <v>1</v>
      </c>
      <c r="L2001" s="14">
        <v>328</v>
      </c>
      <c r="M2001" s="10">
        <v>93</v>
      </c>
      <c r="N2001" s="10">
        <v>36245</v>
      </c>
      <c r="O2001" s="10">
        <v>7293</v>
      </c>
      <c r="P2001" s="10">
        <v>43538</v>
      </c>
    </row>
    <row r="2002" spans="1:16" ht="27" customHeight="1" x14ac:dyDescent="0.2">
      <c r="A2002" s="9" t="s">
        <v>7093</v>
      </c>
      <c r="B2002" s="10" t="s">
        <v>7303</v>
      </c>
      <c r="C2002" s="11" t="s">
        <v>7311</v>
      </c>
      <c r="D2002" s="11" t="s">
        <v>7312</v>
      </c>
      <c r="E2002" s="11" t="s">
        <v>57</v>
      </c>
      <c r="F2002" s="11" t="s">
        <v>7313</v>
      </c>
      <c r="G2002" s="11" t="s">
        <v>28</v>
      </c>
      <c r="H2002" s="11" t="s">
        <v>7313</v>
      </c>
      <c r="I2002" s="11" t="s">
        <v>7314</v>
      </c>
      <c r="J2002" s="12">
        <v>0.43930000000000002</v>
      </c>
      <c r="K2002" s="13">
        <v>1</v>
      </c>
      <c r="L2002" s="14">
        <v>412</v>
      </c>
      <c r="M2002" s="10">
        <v>181</v>
      </c>
      <c r="N2002" s="10">
        <v>45527</v>
      </c>
      <c r="O2002" s="10">
        <v>14194</v>
      </c>
      <c r="P2002" s="10">
        <v>59721</v>
      </c>
    </row>
    <row r="2003" spans="1:16" ht="27" customHeight="1" x14ac:dyDescent="0.2">
      <c r="A2003" s="9" t="s">
        <v>7093</v>
      </c>
      <c r="B2003" s="10" t="s">
        <v>7303</v>
      </c>
      <c r="C2003" s="11" t="s">
        <v>7315</v>
      </c>
      <c r="D2003" s="11" t="s">
        <v>7316</v>
      </c>
      <c r="E2003" s="11" t="s">
        <v>57</v>
      </c>
      <c r="F2003" s="11" t="s">
        <v>7317</v>
      </c>
      <c r="G2003" s="11" t="s">
        <v>28</v>
      </c>
      <c r="H2003" s="11" t="s">
        <v>7317</v>
      </c>
      <c r="I2003" s="11" t="s">
        <v>7318</v>
      </c>
      <c r="J2003" s="12">
        <v>0.4914</v>
      </c>
      <c r="K2003" s="13">
        <v>1</v>
      </c>
      <c r="L2003" s="14">
        <v>348</v>
      </c>
      <c r="M2003" s="10">
        <v>171</v>
      </c>
      <c r="N2003" s="10">
        <v>38455</v>
      </c>
      <c r="O2003" s="10">
        <v>13410</v>
      </c>
      <c r="P2003" s="10">
        <v>51865</v>
      </c>
    </row>
    <row r="2004" spans="1:16" ht="27" customHeight="1" x14ac:dyDescent="0.2">
      <c r="A2004" s="9" t="s">
        <v>7093</v>
      </c>
      <c r="B2004" s="10" t="s">
        <v>7303</v>
      </c>
      <c r="C2004" s="11" t="s">
        <v>7319</v>
      </c>
      <c r="D2004" s="11" t="s">
        <v>7320</v>
      </c>
      <c r="E2004" s="11" t="s">
        <v>57</v>
      </c>
      <c r="F2004" s="11" t="s">
        <v>7321</v>
      </c>
      <c r="G2004" s="11" t="s">
        <v>28</v>
      </c>
      <c r="H2004" s="11" t="s">
        <v>7321</v>
      </c>
      <c r="I2004" s="11" t="s">
        <v>7322</v>
      </c>
      <c r="J2004" s="12">
        <v>0.48349999999999999</v>
      </c>
      <c r="K2004" s="13">
        <v>1</v>
      </c>
      <c r="L2004" s="14">
        <v>393</v>
      </c>
      <c r="M2004" s="10">
        <v>190</v>
      </c>
      <c r="N2004" s="10">
        <v>43427</v>
      </c>
      <c r="O2004" s="10">
        <v>14900</v>
      </c>
      <c r="P2004" s="10">
        <v>58327</v>
      </c>
    </row>
    <row r="2005" spans="1:16" ht="27" customHeight="1" x14ac:dyDescent="0.2">
      <c r="A2005" s="9" t="s">
        <v>7093</v>
      </c>
      <c r="B2005" s="10" t="s">
        <v>7303</v>
      </c>
      <c r="C2005" s="11" t="s">
        <v>7323</v>
      </c>
      <c r="D2005" s="11" t="s">
        <v>7324</v>
      </c>
      <c r="E2005" s="11" t="s">
        <v>57</v>
      </c>
      <c r="F2005" s="11" t="s">
        <v>7325</v>
      </c>
      <c r="G2005" s="11" t="s">
        <v>28</v>
      </c>
      <c r="H2005" s="11" t="s">
        <v>7325</v>
      </c>
      <c r="I2005" s="11" t="s">
        <v>7326</v>
      </c>
      <c r="J2005" s="12">
        <v>0.4027</v>
      </c>
      <c r="K2005" s="13">
        <v>1</v>
      </c>
      <c r="L2005" s="14">
        <v>365</v>
      </c>
      <c r="M2005" s="10">
        <v>147</v>
      </c>
      <c r="N2005" s="10">
        <v>40333</v>
      </c>
      <c r="O2005" s="10">
        <v>11528</v>
      </c>
      <c r="P2005" s="10">
        <v>51861</v>
      </c>
    </row>
    <row r="2006" spans="1:16" ht="27" customHeight="1" x14ac:dyDescent="0.2">
      <c r="A2006" s="9" t="s">
        <v>7093</v>
      </c>
      <c r="B2006" s="10" t="s">
        <v>7327</v>
      </c>
      <c r="C2006" s="11" t="s">
        <v>18</v>
      </c>
      <c r="D2006" s="11" t="s">
        <v>19</v>
      </c>
      <c r="E2006" s="11" t="s">
        <v>19</v>
      </c>
      <c r="F2006" s="11" t="s">
        <v>7328</v>
      </c>
      <c r="G2006" s="11" t="s">
        <v>83</v>
      </c>
      <c r="H2006" s="11" t="s">
        <v>7329</v>
      </c>
      <c r="I2006" s="11" t="s">
        <v>7330</v>
      </c>
      <c r="J2006" s="12">
        <v>0.86080000000000001</v>
      </c>
      <c r="K2006" s="13">
        <v>4</v>
      </c>
      <c r="L2006" s="14">
        <v>1554</v>
      </c>
      <c r="M2006" s="10">
        <v>1252</v>
      </c>
      <c r="N2006" s="10">
        <v>171719</v>
      </c>
      <c r="O2006" s="10">
        <v>98181</v>
      </c>
      <c r="P2006" s="10">
        <v>269900</v>
      </c>
    </row>
    <row r="2007" spans="1:16" ht="27" customHeight="1" x14ac:dyDescent="0.2">
      <c r="A2007" s="9" t="s">
        <v>7093</v>
      </c>
      <c r="B2007" s="10" t="s">
        <v>7327</v>
      </c>
      <c r="C2007" s="11" t="s">
        <v>7331</v>
      </c>
      <c r="D2007" s="11" t="s">
        <v>7332</v>
      </c>
      <c r="E2007" s="11" t="s">
        <v>26</v>
      </c>
      <c r="F2007" s="11" t="s">
        <v>7333</v>
      </c>
      <c r="G2007" s="11" t="s">
        <v>28</v>
      </c>
      <c r="H2007" s="11" t="s">
        <v>7333</v>
      </c>
      <c r="I2007" s="11" t="s">
        <v>7334</v>
      </c>
      <c r="J2007" s="12">
        <v>0.70220000000000005</v>
      </c>
      <c r="K2007" s="13">
        <v>1</v>
      </c>
      <c r="L2007" s="14">
        <v>1293</v>
      </c>
      <c r="M2007" s="10">
        <v>908</v>
      </c>
      <c r="N2007" s="10">
        <v>142879</v>
      </c>
      <c r="O2007" s="10">
        <v>71204</v>
      </c>
      <c r="P2007" s="10">
        <v>214083</v>
      </c>
    </row>
    <row r="2008" spans="1:16" ht="27" customHeight="1" x14ac:dyDescent="0.2">
      <c r="A2008" s="9" t="s">
        <v>7093</v>
      </c>
      <c r="B2008" s="10" t="s">
        <v>7335</v>
      </c>
      <c r="C2008" s="11" t="s">
        <v>18</v>
      </c>
      <c r="D2008" s="11" t="s">
        <v>19</v>
      </c>
      <c r="E2008" s="11" t="s">
        <v>19</v>
      </c>
      <c r="F2008" s="11" t="s">
        <v>7336</v>
      </c>
      <c r="G2008" s="11" t="s">
        <v>83</v>
      </c>
      <c r="H2008" s="11" t="s">
        <v>7337</v>
      </c>
      <c r="I2008" s="11" t="s">
        <v>7338</v>
      </c>
      <c r="J2008" s="12">
        <v>0.7591</v>
      </c>
      <c r="K2008" s="13">
        <v>11</v>
      </c>
      <c r="L2008" s="14">
        <v>3216</v>
      </c>
      <c r="M2008" s="10">
        <v>1864</v>
      </c>
      <c r="N2008" s="10">
        <v>355375</v>
      </c>
      <c r="O2008" s="10">
        <v>146172</v>
      </c>
      <c r="P2008" s="10">
        <v>501547</v>
      </c>
    </row>
    <row r="2009" spans="1:16" ht="27" customHeight="1" x14ac:dyDescent="0.2">
      <c r="A2009" s="9" t="s">
        <v>7093</v>
      </c>
      <c r="B2009" s="10" t="s">
        <v>7335</v>
      </c>
      <c r="C2009" s="11" t="s">
        <v>7339</v>
      </c>
      <c r="D2009" s="11" t="s">
        <v>7340</v>
      </c>
      <c r="E2009" s="11" t="s">
        <v>57</v>
      </c>
      <c r="F2009" s="11" t="s">
        <v>7341</v>
      </c>
      <c r="G2009" s="11" t="s">
        <v>28</v>
      </c>
      <c r="H2009" s="11" t="s">
        <v>7341</v>
      </c>
      <c r="I2009" s="11" t="s">
        <v>7342</v>
      </c>
      <c r="J2009" s="12">
        <v>0.3453</v>
      </c>
      <c r="K2009" s="13">
        <v>1</v>
      </c>
      <c r="L2009" s="14">
        <v>391</v>
      </c>
      <c r="M2009" s="10">
        <v>135</v>
      </c>
      <c r="N2009" s="10">
        <v>43206</v>
      </c>
      <c r="O2009" s="10">
        <v>10587</v>
      </c>
      <c r="P2009" s="10">
        <v>53793</v>
      </c>
    </row>
    <row r="2010" spans="1:16" ht="27" customHeight="1" x14ac:dyDescent="0.2">
      <c r="A2010" s="9" t="s">
        <v>7093</v>
      </c>
      <c r="B2010" s="10" t="s">
        <v>7335</v>
      </c>
      <c r="C2010" s="11" t="s">
        <v>7343</v>
      </c>
      <c r="D2010" s="11" t="s">
        <v>7344</v>
      </c>
      <c r="E2010" s="11" t="s">
        <v>57</v>
      </c>
      <c r="F2010" s="11" t="s">
        <v>7345</v>
      </c>
      <c r="G2010" s="11" t="s">
        <v>28</v>
      </c>
      <c r="H2010" s="11" t="s">
        <v>7345</v>
      </c>
      <c r="I2010" s="11" t="s">
        <v>7346</v>
      </c>
      <c r="J2010" s="12">
        <v>0.18809999999999999</v>
      </c>
      <c r="K2010" s="13">
        <v>1</v>
      </c>
      <c r="L2010" s="14">
        <v>436</v>
      </c>
      <c r="M2010" s="10">
        <v>82</v>
      </c>
      <c r="N2010" s="10">
        <v>48179</v>
      </c>
      <c r="O2010" s="10">
        <v>6430</v>
      </c>
      <c r="P2010" s="10">
        <v>54609</v>
      </c>
    </row>
    <row r="2011" spans="1:16" ht="27" customHeight="1" x14ac:dyDescent="0.2">
      <c r="A2011" s="9" t="s">
        <v>7093</v>
      </c>
      <c r="B2011" s="10" t="s">
        <v>7335</v>
      </c>
      <c r="C2011" s="11" t="s">
        <v>7347</v>
      </c>
      <c r="D2011" s="11" t="s">
        <v>7348</v>
      </c>
      <c r="E2011" s="11" t="s">
        <v>57</v>
      </c>
      <c r="F2011" s="11" t="s">
        <v>7349</v>
      </c>
      <c r="G2011" s="11" t="s">
        <v>28</v>
      </c>
      <c r="H2011" s="11" t="s">
        <v>7349</v>
      </c>
      <c r="I2011" s="11" t="s">
        <v>7350</v>
      </c>
      <c r="J2011" s="12">
        <v>0.54039999999999999</v>
      </c>
      <c r="K2011" s="13">
        <v>1</v>
      </c>
      <c r="L2011" s="14">
        <v>853</v>
      </c>
      <c r="M2011" s="10">
        <v>461</v>
      </c>
      <c r="N2011" s="10">
        <v>94258</v>
      </c>
      <c r="O2011" s="10">
        <v>36151</v>
      </c>
      <c r="P2011" s="10">
        <v>130409</v>
      </c>
    </row>
    <row r="2012" spans="1:16" ht="27" customHeight="1" x14ac:dyDescent="0.2">
      <c r="A2012" s="9" t="s">
        <v>7093</v>
      </c>
      <c r="B2012" s="10" t="s">
        <v>7335</v>
      </c>
      <c r="C2012" s="11" t="s">
        <v>7351</v>
      </c>
      <c r="D2012" s="11" t="s">
        <v>7352</v>
      </c>
      <c r="E2012" s="11" t="s">
        <v>26</v>
      </c>
      <c r="F2012" s="11" t="s">
        <v>7353</v>
      </c>
      <c r="G2012" s="11" t="s">
        <v>28</v>
      </c>
      <c r="H2012" s="11" t="s">
        <v>7353</v>
      </c>
      <c r="I2012" s="11" t="s">
        <v>7354</v>
      </c>
      <c r="J2012" s="12">
        <v>0.68520000000000003</v>
      </c>
      <c r="K2012" s="13">
        <v>1</v>
      </c>
      <c r="L2012" s="14">
        <v>108</v>
      </c>
      <c r="M2012" s="10">
        <v>74</v>
      </c>
      <c r="N2012" s="10">
        <v>11934</v>
      </c>
      <c r="O2012" s="10">
        <v>5803</v>
      </c>
      <c r="P2012" s="10">
        <v>17737</v>
      </c>
    </row>
    <row r="2013" spans="1:16" ht="27" customHeight="1" x14ac:dyDescent="0.2">
      <c r="A2013" s="9" t="s">
        <v>7093</v>
      </c>
      <c r="B2013" s="10" t="s">
        <v>7355</v>
      </c>
      <c r="C2013" s="11" t="s">
        <v>18</v>
      </c>
      <c r="D2013" s="11" t="s">
        <v>19</v>
      </c>
      <c r="E2013" s="11" t="s">
        <v>19</v>
      </c>
      <c r="F2013" s="11" t="s">
        <v>7356</v>
      </c>
      <c r="G2013" s="11" t="s">
        <v>83</v>
      </c>
      <c r="H2013" s="11" t="s">
        <v>7357</v>
      </c>
      <c r="I2013" s="11" t="s">
        <v>7358</v>
      </c>
      <c r="J2013" s="12">
        <v>0.28000000000000003</v>
      </c>
      <c r="K2013" s="13">
        <v>12</v>
      </c>
      <c r="L2013" s="14">
        <v>9921</v>
      </c>
      <c r="M2013" s="10">
        <v>4106</v>
      </c>
      <c r="N2013" s="10">
        <v>1096288</v>
      </c>
      <c r="O2013" s="10">
        <v>321989</v>
      </c>
      <c r="P2013" s="10">
        <v>1418277</v>
      </c>
    </row>
    <row r="2014" spans="1:16" ht="27" customHeight="1" x14ac:dyDescent="0.2">
      <c r="A2014" s="9" t="s">
        <v>7093</v>
      </c>
      <c r="B2014" s="10" t="s">
        <v>7355</v>
      </c>
      <c r="C2014" s="11" t="s">
        <v>7359</v>
      </c>
      <c r="D2014" s="11" t="s">
        <v>7360</v>
      </c>
      <c r="E2014" s="11" t="s">
        <v>57</v>
      </c>
      <c r="F2014" s="11" t="s">
        <v>7361</v>
      </c>
      <c r="G2014" s="11" t="s">
        <v>28</v>
      </c>
      <c r="H2014" s="11" t="s">
        <v>7096</v>
      </c>
      <c r="I2014" s="11" t="s">
        <v>7097</v>
      </c>
      <c r="J2014" s="12">
        <v>1</v>
      </c>
      <c r="K2014" s="13">
        <v>1</v>
      </c>
      <c r="L2014" s="14">
        <v>128</v>
      </c>
      <c r="M2014" s="10">
        <v>13</v>
      </c>
      <c r="N2014" s="10">
        <v>14144</v>
      </c>
      <c r="O2014" s="10">
        <v>1019</v>
      </c>
      <c r="P2014" s="10">
        <v>15163</v>
      </c>
    </row>
    <row r="2015" spans="1:16" ht="27" customHeight="1" x14ac:dyDescent="0.2">
      <c r="A2015" s="9" t="s">
        <v>7093</v>
      </c>
      <c r="B2015" s="10" t="s">
        <v>7362</v>
      </c>
      <c r="C2015" s="11" t="s">
        <v>18</v>
      </c>
      <c r="D2015" s="11" t="s">
        <v>19</v>
      </c>
      <c r="E2015" s="11" t="s">
        <v>19</v>
      </c>
      <c r="F2015" s="11" t="s">
        <v>7363</v>
      </c>
      <c r="G2015" s="11" t="s">
        <v>83</v>
      </c>
      <c r="H2015" s="11" t="s">
        <v>7364</v>
      </c>
      <c r="I2015" s="11" t="s">
        <v>7365</v>
      </c>
      <c r="J2015" s="12">
        <v>0.56710000000000005</v>
      </c>
      <c r="K2015" s="13">
        <v>3</v>
      </c>
      <c r="L2015" s="14">
        <v>424</v>
      </c>
      <c r="M2015" s="10">
        <v>235</v>
      </c>
      <c r="N2015" s="10">
        <v>46853</v>
      </c>
      <c r="O2015" s="10">
        <v>18429</v>
      </c>
      <c r="P2015" s="10">
        <v>65282</v>
      </c>
    </row>
    <row r="2016" spans="1:16" ht="27" customHeight="1" x14ac:dyDescent="0.2">
      <c r="A2016" s="9" t="s">
        <v>7093</v>
      </c>
      <c r="B2016" s="10" t="s">
        <v>7362</v>
      </c>
      <c r="C2016" s="11" t="s">
        <v>7366</v>
      </c>
      <c r="D2016" s="11" t="s">
        <v>7367</v>
      </c>
      <c r="E2016" s="11" t="s">
        <v>26</v>
      </c>
      <c r="F2016" s="11" t="s">
        <v>7368</v>
      </c>
      <c r="G2016" s="11" t="s">
        <v>28</v>
      </c>
      <c r="H2016" s="11" t="s">
        <v>7368</v>
      </c>
      <c r="I2016" s="11" t="s">
        <v>7369</v>
      </c>
      <c r="J2016" s="12">
        <v>0.30480000000000002</v>
      </c>
      <c r="K2016" s="13">
        <v>1</v>
      </c>
      <c r="L2016" s="14">
        <v>269</v>
      </c>
      <c r="M2016" s="10">
        <v>82</v>
      </c>
      <c r="N2016" s="10">
        <v>29725</v>
      </c>
      <c r="O2016" s="10">
        <v>6430</v>
      </c>
      <c r="P2016" s="10">
        <v>36155</v>
      </c>
    </row>
    <row r="2017" spans="1:16" ht="27" customHeight="1" x14ac:dyDescent="0.2">
      <c r="A2017" s="9" t="s">
        <v>7093</v>
      </c>
      <c r="B2017" s="10" t="s">
        <v>7370</v>
      </c>
      <c r="C2017" s="11" t="s">
        <v>18</v>
      </c>
      <c r="D2017" s="11" t="s">
        <v>19</v>
      </c>
      <c r="E2017" s="11" t="s">
        <v>19</v>
      </c>
      <c r="F2017" s="11" t="s">
        <v>7371</v>
      </c>
      <c r="G2017" s="11" t="s">
        <v>83</v>
      </c>
      <c r="H2017" s="11" t="s">
        <v>7372</v>
      </c>
      <c r="I2017" s="11" t="s">
        <v>7373</v>
      </c>
      <c r="J2017" s="12">
        <v>0.5857</v>
      </c>
      <c r="K2017" s="13">
        <v>9</v>
      </c>
      <c r="L2017" s="14">
        <v>3134</v>
      </c>
      <c r="M2017" s="10">
        <v>1411</v>
      </c>
      <c r="N2017" s="10">
        <v>346312</v>
      </c>
      <c r="O2017" s="10">
        <v>110649</v>
      </c>
      <c r="P2017" s="10">
        <v>456961</v>
      </c>
    </row>
    <row r="2018" spans="1:16" ht="27" customHeight="1" x14ac:dyDescent="0.2">
      <c r="A2018" s="9" t="s">
        <v>7093</v>
      </c>
      <c r="B2018" s="10" t="s">
        <v>7370</v>
      </c>
      <c r="C2018" s="11" t="s">
        <v>7374</v>
      </c>
      <c r="D2018" s="11" t="s">
        <v>7375</v>
      </c>
      <c r="E2018" s="11" t="s">
        <v>26</v>
      </c>
      <c r="F2018" s="11" t="s">
        <v>7376</v>
      </c>
      <c r="G2018" s="11" t="s">
        <v>28</v>
      </c>
      <c r="H2018" s="11" t="s">
        <v>7376</v>
      </c>
      <c r="I2018" s="11" t="s">
        <v>7377</v>
      </c>
      <c r="J2018" s="12">
        <v>0.40450000000000003</v>
      </c>
      <c r="K2018" s="13">
        <v>1</v>
      </c>
      <c r="L2018" s="14">
        <v>220</v>
      </c>
      <c r="M2018" s="10">
        <v>89</v>
      </c>
      <c r="N2018" s="10">
        <v>24310</v>
      </c>
      <c r="O2018" s="10">
        <v>6979</v>
      </c>
      <c r="P2018" s="10">
        <v>31289</v>
      </c>
    </row>
    <row r="2019" spans="1:16" ht="27" customHeight="1" x14ac:dyDescent="0.2">
      <c r="A2019" s="9" t="s">
        <v>7093</v>
      </c>
      <c r="B2019" s="10" t="s">
        <v>7370</v>
      </c>
      <c r="C2019" s="11" t="s">
        <v>7378</v>
      </c>
      <c r="D2019" s="11" t="s">
        <v>7379</v>
      </c>
      <c r="E2019" s="11" t="s">
        <v>26</v>
      </c>
      <c r="F2019" s="11" t="s">
        <v>7380</v>
      </c>
      <c r="G2019" s="11" t="s">
        <v>28</v>
      </c>
      <c r="H2019" s="11" t="s">
        <v>7380</v>
      </c>
      <c r="I2019" s="11" t="s">
        <v>7381</v>
      </c>
      <c r="J2019" s="12">
        <v>0.34599999999999997</v>
      </c>
      <c r="K2019" s="13">
        <v>1</v>
      </c>
      <c r="L2019" s="14">
        <v>211</v>
      </c>
      <c r="M2019" s="10">
        <v>73</v>
      </c>
      <c r="N2019" s="10">
        <v>23316</v>
      </c>
      <c r="O2019" s="10">
        <v>5725</v>
      </c>
      <c r="P2019" s="10">
        <v>29041</v>
      </c>
    </row>
    <row r="2020" spans="1:16" ht="27" customHeight="1" x14ac:dyDescent="0.2">
      <c r="A2020" s="9" t="s">
        <v>7093</v>
      </c>
      <c r="B2020" s="10" t="s">
        <v>7382</v>
      </c>
      <c r="C2020" s="11" t="s">
        <v>18</v>
      </c>
      <c r="D2020" s="11" t="s">
        <v>19</v>
      </c>
      <c r="E2020" s="11" t="s">
        <v>19</v>
      </c>
      <c r="F2020" s="11" t="s">
        <v>7383</v>
      </c>
      <c r="G2020" s="11" t="s">
        <v>83</v>
      </c>
      <c r="H2020" s="11" t="s">
        <v>7384</v>
      </c>
      <c r="I2020" s="11" t="s">
        <v>7385</v>
      </c>
      <c r="J2020" s="12">
        <v>0.223</v>
      </c>
      <c r="K2020" s="13">
        <v>2</v>
      </c>
      <c r="L2020" s="14">
        <v>296</v>
      </c>
      <c r="M2020" s="10">
        <v>66</v>
      </c>
      <c r="N2020" s="10">
        <v>32708</v>
      </c>
      <c r="O2020" s="10">
        <v>5176</v>
      </c>
      <c r="P2020" s="10">
        <v>37884</v>
      </c>
    </row>
    <row r="2021" spans="1:16" ht="27" customHeight="1" x14ac:dyDescent="0.2">
      <c r="A2021" s="9" t="s">
        <v>7093</v>
      </c>
      <c r="B2021" s="10" t="s">
        <v>7382</v>
      </c>
      <c r="C2021" s="11" t="s">
        <v>7386</v>
      </c>
      <c r="D2021" s="11" t="s">
        <v>7387</v>
      </c>
      <c r="E2021" s="11" t="s">
        <v>57</v>
      </c>
      <c r="F2021" s="11" t="s">
        <v>7388</v>
      </c>
      <c r="G2021" s="11" t="s">
        <v>28</v>
      </c>
      <c r="H2021" s="11" t="s">
        <v>7388</v>
      </c>
      <c r="I2021" s="11" t="s">
        <v>7389</v>
      </c>
      <c r="J2021" s="12">
        <v>0.20369999999999999</v>
      </c>
      <c r="K2021" s="13">
        <v>1</v>
      </c>
      <c r="L2021" s="14">
        <v>216</v>
      </c>
      <c r="M2021" s="10">
        <v>44</v>
      </c>
      <c r="N2021" s="10">
        <v>23868</v>
      </c>
      <c r="O2021" s="10">
        <v>3450</v>
      </c>
      <c r="P2021" s="10">
        <v>27318</v>
      </c>
    </row>
    <row r="2022" spans="1:16" ht="27" customHeight="1" x14ac:dyDescent="0.2">
      <c r="A2022" s="9" t="s">
        <v>7093</v>
      </c>
      <c r="B2022" s="10" t="s">
        <v>7382</v>
      </c>
      <c r="C2022" s="11" t="s">
        <v>7390</v>
      </c>
      <c r="D2022" s="11" t="s">
        <v>7391</v>
      </c>
      <c r="E2022" s="11" t="s">
        <v>57</v>
      </c>
      <c r="F2022" s="11" t="s">
        <v>7392</v>
      </c>
      <c r="G2022" s="11" t="s">
        <v>28</v>
      </c>
      <c r="H2022" s="11" t="s">
        <v>7392</v>
      </c>
      <c r="I2022" s="11" t="s">
        <v>7393</v>
      </c>
      <c r="J2022" s="12">
        <v>0.34160000000000001</v>
      </c>
      <c r="K2022" s="13">
        <v>1</v>
      </c>
      <c r="L2022" s="14">
        <v>243</v>
      </c>
      <c r="M2022" s="10">
        <v>83</v>
      </c>
      <c r="N2022" s="10">
        <v>26852</v>
      </c>
      <c r="O2022" s="10">
        <v>6509</v>
      </c>
      <c r="P2022" s="10">
        <v>33361</v>
      </c>
    </row>
    <row r="2023" spans="1:16" ht="27" customHeight="1" x14ac:dyDescent="0.2">
      <c r="A2023" s="9" t="s">
        <v>7093</v>
      </c>
      <c r="B2023" s="10" t="s">
        <v>7382</v>
      </c>
      <c r="C2023" s="11" t="s">
        <v>7394</v>
      </c>
      <c r="D2023" s="11" t="s">
        <v>7395</v>
      </c>
      <c r="E2023" s="11" t="s">
        <v>57</v>
      </c>
      <c r="F2023" s="11" t="s">
        <v>7396</v>
      </c>
      <c r="G2023" s="11" t="s">
        <v>28</v>
      </c>
      <c r="H2023" s="11" t="s">
        <v>7096</v>
      </c>
      <c r="I2023" s="11" t="s">
        <v>7097</v>
      </c>
      <c r="J2023" s="12">
        <v>1</v>
      </c>
      <c r="K2023" s="13">
        <v>1</v>
      </c>
      <c r="L2023" s="14">
        <v>204</v>
      </c>
      <c r="M2023" s="10">
        <v>55</v>
      </c>
      <c r="N2023" s="10">
        <v>22542</v>
      </c>
      <c r="O2023" s="10">
        <v>4313</v>
      </c>
      <c r="P2023" s="10">
        <v>26855</v>
      </c>
    </row>
    <row r="2024" spans="1:16" ht="27" customHeight="1" x14ac:dyDescent="0.2">
      <c r="A2024" s="9" t="s">
        <v>7093</v>
      </c>
      <c r="B2024" s="10" t="s">
        <v>7397</v>
      </c>
      <c r="C2024" s="11" t="s">
        <v>18</v>
      </c>
      <c r="D2024" s="11" t="s">
        <v>19</v>
      </c>
      <c r="E2024" s="11" t="s">
        <v>19</v>
      </c>
      <c r="F2024" s="11" t="s">
        <v>7398</v>
      </c>
      <c r="G2024" s="11" t="s">
        <v>83</v>
      </c>
      <c r="H2024" s="11" t="s">
        <v>7399</v>
      </c>
      <c r="I2024" s="11" t="s">
        <v>7400</v>
      </c>
      <c r="J2024" s="12">
        <v>0.46210000000000001</v>
      </c>
      <c r="K2024" s="13">
        <v>2</v>
      </c>
      <c r="L2024" s="14">
        <v>132</v>
      </c>
      <c r="M2024" s="10">
        <v>61</v>
      </c>
      <c r="N2024" s="10">
        <v>14586</v>
      </c>
      <c r="O2024" s="10">
        <v>4784</v>
      </c>
      <c r="P2024" s="10">
        <v>19370</v>
      </c>
    </row>
    <row r="2025" spans="1:16" ht="27" customHeight="1" x14ac:dyDescent="0.2">
      <c r="A2025" s="9" t="s">
        <v>7093</v>
      </c>
      <c r="B2025" s="10" t="s">
        <v>7401</v>
      </c>
      <c r="C2025" s="11" t="s">
        <v>18</v>
      </c>
      <c r="D2025" s="11" t="s">
        <v>19</v>
      </c>
      <c r="E2025" s="11" t="s">
        <v>19</v>
      </c>
      <c r="F2025" s="11" t="s">
        <v>7402</v>
      </c>
      <c r="G2025" s="11" t="s">
        <v>83</v>
      </c>
      <c r="H2025" s="11" t="s">
        <v>7403</v>
      </c>
      <c r="I2025" s="11" t="s">
        <v>7404</v>
      </c>
      <c r="J2025" s="12">
        <v>0.18640000000000001</v>
      </c>
      <c r="K2025" s="13">
        <v>3</v>
      </c>
      <c r="L2025" s="14">
        <v>774</v>
      </c>
      <c r="M2025" s="10">
        <v>120</v>
      </c>
      <c r="N2025" s="10">
        <v>85528</v>
      </c>
      <c r="O2025" s="10">
        <v>9410</v>
      </c>
      <c r="P2025" s="10">
        <v>94938</v>
      </c>
    </row>
    <row r="2026" spans="1:16" ht="27" customHeight="1" x14ac:dyDescent="0.2">
      <c r="A2026" s="9" t="s">
        <v>7093</v>
      </c>
      <c r="B2026" s="10" t="s">
        <v>7405</v>
      </c>
      <c r="C2026" s="11" t="s">
        <v>18</v>
      </c>
      <c r="D2026" s="11" t="s">
        <v>19</v>
      </c>
      <c r="E2026" s="11" t="s">
        <v>19</v>
      </c>
      <c r="F2026" s="11" t="s">
        <v>7406</v>
      </c>
      <c r="G2026" s="11" t="s">
        <v>83</v>
      </c>
      <c r="H2026" s="11" t="s">
        <v>7407</v>
      </c>
      <c r="I2026" s="11" t="s">
        <v>7408</v>
      </c>
      <c r="J2026" s="12">
        <v>0.2482</v>
      </c>
      <c r="K2026" s="13">
        <v>2</v>
      </c>
      <c r="L2026" s="14">
        <v>137</v>
      </c>
      <c r="M2026" s="10">
        <v>34</v>
      </c>
      <c r="N2026" s="10">
        <v>15139</v>
      </c>
      <c r="O2026" s="10">
        <v>2666</v>
      </c>
      <c r="P2026" s="10">
        <v>17805</v>
      </c>
    </row>
    <row r="2027" spans="1:16" ht="27" customHeight="1" x14ac:dyDescent="0.2">
      <c r="A2027" s="9" t="s">
        <v>7093</v>
      </c>
      <c r="B2027" s="10" t="s">
        <v>7409</v>
      </c>
      <c r="C2027" s="11" t="s">
        <v>18</v>
      </c>
      <c r="D2027" s="11" t="s">
        <v>19</v>
      </c>
      <c r="E2027" s="11" t="s">
        <v>19</v>
      </c>
      <c r="F2027" s="11" t="s">
        <v>7410</v>
      </c>
      <c r="G2027" s="11" t="s">
        <v>83</v>
      </c>
      <c r="H2027" s="11" t="s">
        <v>899</v>
      </c>
      <c r="I2027" s="11" t="s">
        <v>7411</v>
      </c>
      <c r="J2027" s="12">
        <v>0.2064</v>
      </c>
      <c r="K2027" s="13">
        <v>2</v>
      </c>
      <c r="L2027" s="14">
        <v>219</v>
      </c>
      <c r="M2027" s="10">
        <v>45</v>
      </c>
      <c r="N2027" s="10">
        <v>24200</v>
      </c>
      <c r="O2027" s="10">
        <v>3529</v>
      </c>
      <c r="P2027" s="10">
        <v>27729</v>
      </c>
    </row>
    <row r="2028" spans="1:16" ht="27" customHeight="1" x14ac:dyDescent="0.2">
      <c r="A2028" s="9" t="s">
        <v>7093</v>
      </c>
      <c r="B2028" s="10" t="s">
        <v>7412</v>
      </c>
      <c r="C2028" s="11" t="s">
        <v>18</v>
      </c>
      <c r="D2028" s="11" t="s">
        <v>19</v>
      </c>
      <c r="E2028" s="11" t="s">
        <v>19</v>
      </c>
      <c r="F2028" s="11" t="s">
        <v>7413</v>
      </c>
      <c r="G2028" s="11" t="s">
        <v>83</v>
      </c>
      <c r="H2028" s="11" t="s">
        <v>7414</v>
      </c>
      <c r="I2028" s="11" t="s">
        <v>7415</v>
      </c>
      <c r="J2028" s="12">
        <v>0.77629999999999999</v>
      </c>
      <c r="K2028" s="13">
        <v>3</v>
      </c>
      <c r="L2028" s="14">
        <v>826</v>
      </c>
      <c r="M2028" s="10">
        <v>565</v>
      </c>
      <c r="N2028" s="10">
        <v>91274</v>
      </c>
      <c r="O2028" s="10">
        <v>44307</v>
      </c>
      <c r="P2028" s="10">
        <v>135581</v>
      </c>
    </row>
    <row r="2029" spans="1:16" ht="27" customHeight="1" x14ac:dyDescent="0.2">
      <c r="A2029" s="9" t="s">
        <v>7093</v>
      </c>
      <c r="B2029" s="10" t="s">
        <v>7412</v>
      </c>
      <c r="C2029" s="11" t="s">
        <v>7416</v>
      </c>
      <c r="D2029" s="11" t="s">
        <v>7417</v>
      </c>
      <c r="E2029" s="11" t="s">
        <v>57</v>
      </c>
      <c r="F2029" s="11" t="s">
        <v>7418</v>
      </c>
      <c r="G2029" s="11" t="s">
        <v>28</v>
      </c>
      <c r="H2029" s="11" t="s">
        <v>7418</v>
      </c>
      <c r="I2029" s="11" t="s">
        <v>7419</v>
      </c>
      <c r="J2029" s="12">
        <v>0.68269999999999997</v>
      </c>
      <c r="K2029" s="13">
        <v>1</v>
      </c>
      <c r="L2029" s="14">
        <v>457</v>
      </c>
      <c r="M2029" s="10">
        <v>312</v>
      </c>
      <c r="N2029" s="10">
        <v>50499</v>
      </c>
      <c r="O2029" s="10">
        <v>24467</v>
      </c>
      <c r="P2029" s="10">
        <v>74966</v>
      </c>
    </row>
    <row r="2030" spans="1:16" ht="27" customHeight="1" x14ac:dyDescent="0.2">
      <c r="A2030" s="9" t="s">
        <v>7093</v>
      </c>
      <c r="B2030" s="10" t="s">
        <v>7420</v>
      </c>
      <c r="C2030" s="11" t="s">
        <v>18</v>
      </c>
      <c r="D2030" s="11" t="s">
        <v>19</v>
      </c>
      <c r="E2030" s="11" t="s">
        <v>19</v>
      </c>
      <c r="F2030" s="11" t="s">
        <v>7421</v>
      </c>
      <c r="G2030" s="11" t="s">
        <v>83</v>
      </c>
      <c r="H2030" s="11" t="s">
        <v>7422</v>
      </c>
      <c r="I2030" s="11" t="s">
        <v>7423</v>
      </c>
      <c r="J2030" s="12">
        <v>0.79630000000000001</v>
      </c>
      <c r="K2030" s="13">
        <v>14</v>
      </c>
      <c r="L2030" s="14">
        <v>6040</v>
      </c>
      <c r="M2030" s="10">
        <v>2512</v>
      </c>
      <c r="N2030" s="10">
        <v>667431</v>
      </c>
      <c r="O2030" s="10">
        <v>196987</v>
      </c>
      <c r="P2030" s="10">
        <v>864418</v>
      </c>
    </row>
    <row r="2031" spans="1:16" ht="27" customHeight="1" x14ac:dyDescent="0.2">
      <c r="A2031" s="9" t="s">
        <v>7093</v>
      </c>
      <c r="B2031" s="10" t="s">
        <v>7420</v>
      </c>
      <c r="C2031" s="11" t="s">
        <v>7424</v>
      </c>
      <c r="D2031" s="11" t="s">
        <v>7425</v>
      </c>
      <c r="E2031" s="11" t="s">
        <v>26</v>
      </c>
      <c r="F2031" s="11" t="s">
        <v>7426</v>
      </c>
      <c r="G2031" s="11" t="s">
        <v>28</v>
      </c>
      <c r="H2031" s="11" t="s">
        <v>7096</v>
      </c>
      <c r="I2031" s="11" t="s">
        <v>7097</v>
      </c>
      <c r="J2031" s="12">
        <v>1</v>
      </c>
      <c r="K2031" s="13">
        <v>1</v>
      </c>
      <c r="L2031" s="14">
        <v>439</v>
      </c>
      <c r="M2031" s="10">
        <v>140</v>
      </c>
      <c r="N2031" s="10">
        <v>48510</v>
      </c>
      <c r="O2031" s="10">
        <v>10979</v>
      </c>
      <c r="P2031" s="10">
        <v>59489</v>
      </c>
    </row>
    <row r="2032" spans="1:16" ht="27" customHeight="1" x14ac:dyDescent="0.2">
      <c r="A2032" s="9" t="s">
        <v>7093</v>
      </c>
      <c r="B2032" s="10" t="s">
        <v>7427</v>
      </c>
      <c r="C2032" s="11" t="s">
        <v>18</v>
      </c>
      <c r="D2032" s="11" t="s">
        <v>19</v>
      </c>
      <c r="E2032" s="11" t="s">
        <v>19</v>
      </c>
      <c r="F2032" s="11" t="s">
        <v>7428</v>
      </c>
      <c r="G2032" s="11" t="s">
        <v>83</v>
      </c>
      <c r="H2032" s="11" t="s">
        <v>7429</v>
      </c>
      <c r="I2032" s="11" t="s">
        <v>7430</v>
      </c>
      <c r="J2032" s="12">
        <v>0.54969999999999997</v>
      </c>
      <c r="K2032" s="13">
        <v>8</v>
      </c>
      <c r="L2032" s="14">
        <v>3482</v>
      </c>
      <c r="M2032" s="10">
        <v>1700</v>
      </c>
      <c r="N2032" s="10">
        <v>384767</v>
      </c>
      <c r="O2032" s="10">
        <v>133313</v>
      </c>
      <c r="P2032" s="10">
        <v>518080</v>
      </c>
    </row>
    <row r="2033" spans="1:16" ht="27" customHeight="1" x14ac:dyDescent="0.2">
      <c r="A2033" s="9" t="s">
        <v>7093</v>
      </c>
      <c r="B2033" s="10" t="s">
        <v>7427</v>
      </c>
      <c r="C2033" s="11" t="s">
        <v>7431</v>
      </c>
      <c r="D2033" s="11" t="s">
        <v>7432</v>
      </c>
      <c r="E2033" s="11" t="s">
        <v>26</v>
      </c>
      <c r="F2033" s="11" t="s">
        <v>7433</v>
      </c>
      <c r="G2033" s="11" t="s">
        <v>28</v>
      </c>
      <c r="H2033" s="11" t="s">
        <v>7433</v>
      </c>
      <c r="I2033" s="11" t="s">
        <v>7434</v>
      </c>
      <c r="J2033" s="12">
        <v>0.47310000000000002</v>
      </c>
      <c r="K2033" s="13">
        <v>1</v>
      </c>
      <c r="L2033" s="14">
        <v>93</v>
      </c>
      <c r="M2033" s="10">
        <v>44</v>
      </c>
      <c r="N2033" s="10">
        <v>10277</v>
      </c>
      <c r="O2033" s="10">
        <v>3450</v>
      </c>
      <c r="P2033" s="10">
        <v>13727</v>
      </c>
    </row>
    <row r="2034" spans="1:16" ht="27" customHeight="1" x14ac:dyDescent="0.2">
      <c r="A2034" s="9" t="s">
        <v>7093</v>
      </c>
      <c r="B2034" s="10" t="s">
        <v>7427</v>
      </c>
      <c r="C2034" s="11" t="s">
        <v>7435</v>
      </c>
      <c r="D2034" s="11" t="s">
        <v>7436</v>
      </c>
      <c r="E2034" s="11" t="s">
        <v>57</v>
      </c>
      <c r="F2034" s="11" t="s">
        <v>7437</v>
      </c>
      <c r="G2034" s="11" t="s">
        <v>28</v>
      </c>
      <c r="H2034" s="11" t="s">
        <v>7437</v>
      </c>
      <c r="I2034" s="11" t="s">
        <v>7438</v>
      </c>
      <c r="J2034" s="12">
        <v>0.58220000000000005</v>
      </c>
      <c r="K2034" s="13">
        <v>1</v>
      </c>
      <c r="L2034" s="14">
        <v>1168</v>
      </c>
      <c r="M2034" s="10">
        <v>680</v>
      </c>
      <c r="N2034" s="10">
        <v>129066</v>
      </c>
      <c r="O2034" s="10">
        <v>53325</v>
      </c>
      <c r="P2034" s="10">
        <v>182391</v>
      </c>
    </row>
    <row r="2035" spans="1:16" ht="27" customHeight="1" x14ac:dyDescent="0.2">
      <c r="A2035" s="9" t="s">
        <v>7093</v>
      </c>
      <c r="B2035" s="10" t="s">
        <v>7439</v>
      </c>
      <c r="C2035" s="11" t="s">
        <v>18</v>
      </c>
      <c r="D2035" s="11" t="s">
        <v>19</v>
      </c>
      <c r="E2035" s="11" t="s">
        <v>19</v>
      </c>
      <c r="F2035" s="11" t="s">
        <v>7440</v>
      </c>
      <c r="G2035" s="11" t="s">
        <v>83</v>
      </c>
      <c r="H2035" s="11" t="s">
        <v>7441</v>
      </c>
      <c r="I2035" s="11" t="s">
        <v>7442</v>
      </c>
      <c r="J2035" s="12">
        <v>0.67249999999999999</v>
      </c>
      <c r="K2035" s="13">
        <v>5</v>
      </c>
      <c r="L2035" s="14">
        <v>1278</v>
      </c>
      <c r="M2035" s="10">
        <v>729</v>
      </c>
      <c r="N2035" s="10">
        <v>141221</v>
      </c>
      <c r="O2035" s="10">
        <v>57168</v>
      </c>
      <c r="P2035" s="10">
        <v>198389</v>
      </c>
    </row>
    <row r="2036" spans="1:16" ht="27" customHeight="1" x14ac:dyDescent="0.2">
      <c r="A2036" s="9" t="s">
        <v>7443</v>
      </c>
      <c r="B2036" s="10" t="s">
        <v>7444</v>
      </c>
      <c r="C2036" s="11" t="s">
        <v>18</v>
      </c>
      <c r="D2036" s="11" t="s">
        <v>19</v>
      </c>
      <c r="E2036" s="11" t="s">
        <v>19</v>
      </c>
      <c r="F2036" s="11" t="s">
        <v>7445</v>
      </c>
      <c r="G2036" s="11" t="s">
        <v>21</v>
      </c>
      <c r="H2036" s="11" t="s">
        <v>7446</v>
      </c>
      <c r="I2036" s="11" t="s">
        <v>7447</v>
      </c>
      <c r="J2036" s="12">
        <v>0.95469999999999999</v>
      </c>
      <c r="K2036" s="13">
        <v>5</v>
      </c>
      <c r="L2036" s="14">
        <v>1266</v>
      </c>
      <c r="M2036" s="10">
        <v>1046</v>
      </c>
      <c r="N2036" s="10">
        <v>139895</v>
      </c>
      <c r="O2036" s="10">
        <v>82027</v>
      </c>
      <c r="P2036" s="10">
        <v>221922</v>
      </c>
    </row>
    <row r="2037" spans="1:16" ht="27" customHeight="1" x14ac:dyDescent="0.2">
      <c r="A2037" s="9" t="s">
        <v>7443</v>
      </c>
      <c r="B2037" s="10" t="s">
        <v>7444</v>
      </c>
      <c r="C2037" s="11" t="s">
        <v>7448</v>
      </c>
      <c r="D2037" s="11" t="s">
        <v>7449</v>
      </c>
      <c r="E2037" s="11" t="s">
        <v>26</v>
      </c>
      <c r="F2037" s="11" t="s">
        <v>7450</v>
      </c>
      <c r="G2037" s="11" t="s">
        <v>28</v>
      </c>
      <c r="H2037" s="11" t="s">
        <v>7450</v>
      </c>
      <c r="I2037" s="11" t="s">
        <v>7451</v>
      </c>
      <c r="J2037" s="12">
        <v>0.38840000000000002</v>
      </c>
      <c r="K2037" s="13">
        <v>1</v>
      </c>
      <c r="L2037" s="14">
        <v>847</v>
      </c>
      <c r="M2037" s="10">
        <v>329</v>
      </c>
      <c r="N2037" s="10">
        <v>93595</v>
      </c>
      <c r="O2037" s="10">
        <v>25800</v>
      </c>
      <c r="P2037" s="10">
        <v>119395</v>
      </c>
    </row>
    <row r="2038" spans="1:16" ht="27" customHeight="1" x14ac:dyDescent="0.2">
      <c r="A2038" s="9" t="s">
        <v>7443</v>
      </c>
      <c r="B2038" s="10" t="s">
        <v>7444</v>
      </c>
      <c r="C2038" s="11" t="s">
        <v>7452</v>
      </c>
      <c r="D2038" s="11" t="s">
        <v>7453</v>
      </c>
      <c r="E2038" s="11" t="s">
        <v>26</v>
      </c>
      <c r="F2038" s="11" t="s">
        <v>7454</v>
      </c>
      <c r="G2038" s="11" t="s">
        <v>28</v>
      </c>
      <c r="H2038" s="11" t="s">
        <v>7446</v>
      </c>
      <c r="I2038" s="11" t="s">
        <v>7447</v>
      </c>
      <c r="J2038" s="12">
        <v>0.95469999999999999</v>
      </c>
      <c r="K2038" s="13">
        <v>1</v>
      </c>
      <c r="L2038" s="14">
        <v>552</v>
      </c>
      <c r="M2038" s="10">
        <v>305</v>
      </c>
      <c r="N2038" s="10">
        <v>60997</v>
      </c>
      <c r="O2038" s="10">
        <v>23918</v>
      </c>
      <c r="P2038" s="10">
        <v>84915</v>
      </c>
    </row>
    <row r="2039" spans="1:16" ht="27" customHeight="1" x14ac:dyDescent="0.2">
      <c r="A2039" s="9" t="s">
        <v>7443</v>
      </c>
      <c r="B2039" s="10" t="s">
        <v>7455</v>
      </c>
      <c r="C2039" s="11" t="s">
        <v>18</v>
      </c>
      <c r="D2039" s="11" t="s">
        <v>19</v>
      </c>
      <c r="E2039" s="11" t="s">
        <v>19</v>
      </c>
      <c r="F2039" s="11" t="s">
        <v>7456</v>
      </c>
      <c r="G2039" s="11" t="s">
        <v>83</v>
      </c>
      <c r="H2039" s="11" t="s">
        <v>7457</v>
      </c>
      <c r="I2039" s="11" t="s">
        <v>7458</v>
      </c>
      <c r="J2039" s="12">
        <v>0.91679999999999995</v>
      </c>
      <c r="K2039" s="13">
        <v>23</v>
      </c>
      <c r="L2039" s="14">
        <v>13744</v>
      </c>
      <c r="M2039" s="10">
        <v>11384</v>
      </c>
      <c r="N2039" s="10">
        <v>1518734</v>
      </c>
      <c r="O2039" s="10">
        <v>892723</v>
      </c>
      <c r="P2039" s="10">
        <v>2411457</v>
      </c>
    </row>
    <row r="2040" spans="1:16" ht="27" customHeight="1" x14ac:dyDescent="0.2">
      <c r="A2040" s="9" t="s">
        <v>7443</v>
      </c>
      <c r="B2040" s="10" t="s">
        <v>7455</v>
      </c>
      <c r="C2040" s="11" t="s">
        <v>7459</v>
      </c>
      <c r="D2040" s="11" t="s">
        <v>7460</v>
      </c>
      <c r="E2040" s="11" t="s">
        <v>57</v>
      </c>
      <c r="F2040" s="11" t="s">
        <v>7461</v>
      </c>
      <c r="G2040" s="11" t="s">
        <v>28</v>
      </c>
      <c r="H2040" s="11" t="s">
        <v>7461</v>
      </c>
      <c r="I2040" s="11" t="s">
        <v>7462</v>
      </c>
      <c r="J2040" s="12">
        <v>0.51339999999999997</v>
      </c>
      <c r="K2040" s="13">
        <v>1</v>
      </c>
      <c r="L2040" s="14">
        <v>411</v>
      </c>
      <c r="M2040" s="10">
        <v>211</v>
      </c>
      <c r="N2040" s="10">
        <v>45416</v>
      </c>
      <c r="O2040" s="10">
        <v>16546</v>
      </c>
      <c r="P2040" s="10">
        <v>61962</v>
      </c>
    </row>
    <row r="2041" spans="1:16" ht="27" customHeight="1" x14ac:dyDescent="0.2">
      <c r="A2041" s="9" t="s">
        <v>7443</v>
      </c>
      <c r="B2041" s="10" t="s">
        <v>7455</v>
      </c>
      <c r="C2041" s="11" t="s">
        <v>7463</v>
      </c>
      <c r="D2041" s="11" t="s">
        <v>7464</v>
      </c>
      <c r="E2041" s="11" t="s">
        <v>57</v>
      </c>
      <c r="F2041" s="11" t="s">
        <v>7465</v>
      </c>
      <c r="G2041" s="11" t="s">
        <v>28</v>
      </c>
      <c r="H2041" s="11" t="s">
        <v>7446</v>
      </c>
      <c r="I2041" s="11" t="s">
        <v>7447</v>
      </c>
      <c r="J2041" s="12">
        <v>0.95469999999999999</v>
      </c>
      <c r="K2041" s="13">
        <v>1</v>
      </c>
      <c r="L2041" s="14">
        <v>98</v>
      </c>
      <c r="M2041" s="10">
        <v>48</v>
      </c>
      <c r="N2041" s="10">
        <v>10829</v>
      </c>
      <c r="O2041" s="10">
        <v>3764</v>
      </c>
      <c r="P2041" s="10">
        <v>14593</v>
      </c>
    </row>
    <row r="2042" spans="1:16" ht="27" customHeight="1" x14ac:dyDescent="0.2">
      <c r="A2042" s="9" t="s">
        <v>7443</v>
      </c>
      <c r="B2042" s="10" t="s">
        <v>7455</v>
      </c>
      <c r="C2042" s="11" t="s">
        <v>7466</v>
      </c>
      <c r="D2042" s="11" t="s">
        <v>7467</v>
      </c>
      <c r="E2042" s="11" t="s">
        <v>26</v>
      </c>
      <c r="F2042" s="11" t="s">
        <v>7468</v>
      </c>
      <c r="G2042" s="11" t="s">
        <v>28</v>
      </c>
      <c r="H2042" s="11" t="s">
        <v>7468</v>
      </c>
      <c r="I2042" s="11" t="s">
        <v>7469</v>
      </c>
      <c r="J2042" s="12">
        <v>0.75880000000000003</v>
      </c>
      <c r="K2042" s="13">
        <v>1</v>
      </c>
      <c r="L2042" s="14">
        <v>369</v>
      </c>
      <c r="M2042" s="10">
        <v>280</v>
      </c>
      <c r="N2042" s="10">
        <v>40775</v>
      </c>
      <c r="O2042" s="10">
        <v>21957</v>
      </c>
      <c r="P2042" s="10">
        <v>62732</v>
      </c>
    </row>
    <row r="2043" spans="1:16" ht="27" customHeight="1" x14ac:dyDescent="0.2">
      <c r="A2043" s="9" t="s">
        <v>7443</v>
      </c>
      <c r="B2043" s="10" t="s">
        <v>7470</v>
      </c>
      <c r="C2043" s="11" t="s">
        <v>18</v>
      </c>
      <c r="D2043" s="11" t="s">
        <v>19</v>
      </c>
      <c r="E2043" s="11" t="s">
        <v>19</v>
      </c>
      <c r="F2043" s="11" t="s">
        <v>7471</v>
      </c>
      <c r="G2043" s="11" t="s">
        <v>83</v>
      </c>
      <c r="H2043" s="11" t="s">
        <v>7472</v>
      </c>
      <c r="I2043" s="11" t="s">
        <v>7473</v>
      </c>
      <c r="J2043" s="12">
        <v>0.73560000000000003</v>
      </c>
      <c r="K2043" s="13">
        <v>3</v>
      </c>
      <c r="L2043" s="14">
        <v>607</v>
      </c>
      <c r="M2043" s="10">
        <v>427</v>
      </c>
      <c r="N2043" s="10">
        <v>67075</v>
      </c>
      <c r="O2043" s="10">
        <v>33485</v>
      </c>
      <c r="P2043" s="10">
        <v>100560</v>
      </c>
    </row>
    <row r="2044" spans="1:16" ht="27" customHeight="1" x14ac:dyDescent="0.2">
      <c r="A2044" s="9" t="s">
        <v>7443</v>
      </c>
      <c r="B2044" s="10" t="s">
        <v>7474</v>
      </c>
      <c r="C2044" s="11" t="s">
        <v>18</v>
      </c>
      <c r="D2044" s="11" t="s">
        <v>19</v>
      </c>
      <c r="E2044" s="11" t="s">
        <v>19</v>
      </c>
      <c r="F2044" s="11" t="s">
        <v>7475</v>
      </c>
      <c r="G2044" s="11" t="s">
        <v>83</v>
      </c>
      <c r="H2044" s="11" t="s">
        <v>7446</v>
      </c>
      <c r="I2044" s="11" t="s">
        <v>7447</v>
      </c>
      <c r="J2044" s="12">
        <v>0.95469999999999999</v>
      </c>
      <c r="K2044" s="13">
        <v>4</v>
      </c>
      <c r="L2044" s="14">
        <v>566</v>
      </c>
      <c r="M2044" s="10">
        <v>315</v>
      </c>
      <c r="N2044" s="10">
        <v>62544</v>
      </c>
      <c r="O2044" s="10">
        <v>24702</v>
      </c>
      <c r="P2044" s="10">
        <v>87246</v>
      </c>
    </row>
    <row r="2045" spans="1:16" ht="27" customHeight="1" x14ac:dyDescent="0.2">
      <c r="A2045" s="9" t="s">
        <v>7443</v>
      </c>
      <c r="B2045" s="10" t="s">
        <v>7474</v>
      </c>
      <c r="C2045" s="11" t="s">
        <v>7476</v>
      </c>
      <c r="D2045" s="11" t="s">
        <v>7477</v>
      </c>
      <c r="E2045" s="11" t="s">
        <v>57</v>
      </c>
      <c r="F2045" s="11" t="s">
        <v>7478</v>
      </c>
      <c r="G2045" s="11" t="s">
        <v>28</v>
      </c>
      <c r="H2045" s="11" t="s">
        <v>7478</v>
      </c>
      <c r="I2045" s="11" t="s">
        <v>7479</v>
      </c>
      <c r="J2045" s="12">
        <v>0.5151</v>
      </c>
      <c r="K2045" s="13">
        <v>1</v>
      </c>
      <c r="L2045" s="14">
        <v>600</v>
      </c>
      <c r="M2045" s="10">
        <v>309</v>
      </c>
      <c r="N2045" s="10">
        <v>66301</v>
      </c>
      <c r="O2045" s="10">
        <v>24231</v>
      </c>
      <c r="P2045" s="10">
        <v>90532</v>
      </c>
    </row>
    <row r="2046" spans="1:16" ht="27" customHeight="1" x14ac:dyDescent="0.2">
      <c r="A2046" s="9" t="s">
        <v>7443</v>
      </c>
      <c r="B2046" s="10" t="s">
        <v>7474</v>
      </c>
      <c r="C2046" s="11" t="s">
        <v>7480</v>
      </c>
      <c r="D2046" s="11" t="s">
        <v>7481</v>
      </c>
      <c r="E2046" s="11" t="s">
        <v>57</v>
      </c>
      <c r="F2046" s="11" t="s">
        <v>7482</v>
      </c>
      <c r="G2046" s="11" t="s">
        <v>28</v>
      </c>
      <c r="H2046" s="11" t="s">
        <v>7482</v>
      </c>
      <c r="I2046" s="11" t="s">
        <v>7483</v>
      </c>
      <c r="J2046" s="12">
        <v>0.53290000000000004</v>
      </c>
      <c r="K2046" s="13">
        <v>1</v>
      </c>
      <c r="L2046" s="14">
        <v>167</v>
      </c>
      <c r="M2046" s="10">
        <v>89</v>
      </c>
      <c r="N2046" s="10">
        <v>18454</v>
      </c>
      <c r="O2046" s="10">
        <v>6979</v>
      </c>
      <c r="P2046" s="10">
        <v>25433</v>
      </c>
    </row>
    <row r="2047" spans="1:16" ht="27" customHeight="1" x14ac:dyDescent="0.2">
      <c r="A2047" s="9" t="s">
        <v>7443</v>
      </c>
      <c r="B2047" s="10" t="s">
        <v>7484</v>
      </c>
      <c r="C2047" s="11" t="s">
        <v>18</v>
      </c>
      <c r="D2047" s="11" t="s">
        <v>19</v>
      </c>
      <c r="E2047" s="11" t="s">
        <v>19</v>
      </c>
      <c r="F2047" s="11" t="s">
        <v>7485</v>
      </c>
      <c r="G2047" s="11" t="s">
        <v>83</v>
      </c>
      <c r="H2047" s="11" t="s">
        <v>7486</v>
      </c>
      <c r="I2047" s="11" t="s">
        <v>7487</v>
      </c>
      <c r="J2047" s="12">
        <v>0.88160000000000005</v>
      </c>
      <c r="K2047" s="13">
        <v>7</v>
      </c>
      <c r="L2047" s="14">
        <v>2895</v>
      </c>
      <c r="M2047" s="10">
        <v>2293</v>
      </c>
      <c r="N2047" s="10">
        <v>319903</v>
      </c>
      <c r="O2047" s="10">
        <v>179815</v>
      </c>
      <c r="P2047" s="10">
        <v>499718</v>
      </c>
    </row>
    <row r="2048" spans="1:16" ht="27" customHeight="1" x14ac:dyDescent="0.2">
      <c r="A2048" s="9" t="s">
        <v>7443</v>
      </c>
      <c r="B2048" s="10" t="s">
        <v>7488</v>
      </c>
      <c r="C2048" s="11" t="s">
        <v>18</v>
      </c>
      <c r="D2048" s="11" t="s">
        <v>19</v>
      </c>
      <c r="E2048" s="11" t="s">
        <v>19</v>
      </c>
      <c r="F2048" s="11" t="s">
        <v>7489</v>
      </c>
      <c r="G2048" s="11" t="s">
        <v>83</v>
      </c>
      <c r="H2048" s="11" t="s">
        <v>7489</v>
      </c>
      <c r="I2048" s="11" t="s">
        <v>7490</v>
      </c>
      <c r="J2048" s="12">
        <v>0.26090000000000002</v>
      </c>
      <c r="K2048" s="13">
        <v>2</v>
      </c>
      <c r="L2048" s="14">
        <v>23</v>
      </c>
      <c r="M2048" s="10">
        <v>6</v>
      </c>
      <c r="N2048" s="10">
        <v>2542</v>
      </c>
      <c r="O2048" s="10">
        <v>471</v>
      </c>
      <c r="P2048" s="10">
        <v>3013</v>
      </c>
    </row>
    <row r="2049" spans="1:16" ht="27" customHeight="1" x14ac:dyDescent="0.2">
      <c r="A2049" s="9" t="s">
        <v>7443</v>
      </c>
      <c r="B2049" s="10" t="s">
        <v>7488</v>
      </c>
      <c r="C2049" s="11" t="s">
        <v>7491</v>
      </c>
      <c r="D2049" s="11" t="s">
        <v>7492</v>
      </c>
      <c r="E2049" s="11" t="s">
        <v>57</v>
      </c>
      <c r="F2049" s="11" t="s">
        <v>7493</v>
      </c>
      <c r="G2049" s="11" t="s">
        <v>28</v>
      </c>
      <c r="H2049" s="11" t="s">
        <v>7493</v>
      </c>
      <c r="I2049" s="11" t="s">
        <v>7494</v>
      </c>
      <c r="J2049" s="12">
        <v>0.15129999999999999</v>
      </c>
      <c r="K2049" s="13">
        <v>1</v>
      </c>
      <c r="L2049" s="14">
        <v>119</v>
      </c>
      <c r="M2049" s="10">
        <v>18</v>
      </c>
      <c r="N2049" s="10">
        <v>13150</v>
      </c>
      <c r="O2049" s="10">
        <v>1412</v>
      </c>
      <c r="P2049" s="10">
        <v>14562</v>
      </c>
    </row>
    <row r="2050" spans="1:16" ht="27" customHeight="1" x14ac:dyDescent="0.2">
      <c r="A2050" s="9" t="s">
        <v>7443</v>
      </c>
      <c r="B2050" s="10" t="s">
        <v>7495</v>
      </c>
      <c r="C2050" s="11" t="s">
        <v>18</v>
      </c>
      <c r="D2050" s="11" t="s">
        <v>19</v>
      </c>
      <c r="E2050" s="11" t="s">
        <v>19</v>
      </c>
      <c r="F2050" s="11" t="s">
        <v>7496</v>
      </c>
      <c r="G2050" s="11" t="s">
        <v>83</v>
      </c>
      <c r="H2050" s="11" t="s">
        <v>7497</v>
      </c>
      <c r="I2050" s="11" t="s">
        <v>7498</v>
      </c>
      <c r="J2050" s="12">
        <v>0.45050000000000001</v>
      </c>
      <c r="K2050" s="13">
        <v>2</v>
      </c>
      <c r="L2050" s="14">
        <v>737</v>
      </c>
      <c r="M2050" s="10">
        <v>332</v>
      </c>
      <c r="N2050" s="10">
        <v>81440</v>
      </c>
      <c r="O2050" s="10">
        <v>26035</v>
      </c>
      <c r="P2050" s="10">
        <v>107475</v>
      </c>
    </row>
    <row r="2051" spans="1:16" ht="27" customHeight="1" x14ac:dyDescent="0.2">
      <c r="A2051" s="9" t="s">
        <v>7443</v>
      </c>
      <c r="B2051" s="10" t="s">
        <v>7495</v>
      </c>
      <c r="C2051" s="11" t="s">
        <v>7499</v>
      </c>
      <c r="D2051" s="11" t="s">
        <v>7500</v>
      </c>
      <c r="E2051" s="11" t="s">
        <v>57</v>
      </c>
      <c r="F2051" s="11" t="s">
        <v>7501</v>
      </c>
      <c r="G2051" s="11" t="s">
        <v>28</v>
      </c>
      <c r="H2051" s="11" t="s">
        <v>7501</v>
      </c>
      <c r="I2051" s="11" t="s">
        <v>7502</v>
      </c>
      <c r="J2051" s="12">
        <v>0.41970000000000002</v>
      </c>
      <c r="K2051" s="13">
        <v>1</v>
      </c>
      <c r="L2051" s="14">
        <v>436</v>
      </c>
      <c r="M2051" s="10">
        <v>183</v>
      </c>
      <c r="N2051" s="10">
        <v>48179</v>
      </c>
      <c r="O2051" s="10">
        <v>14351</v>
      </c>
      <c r="P2051" s="10">
        <v>62530</v>
      </c>
    </row>
    <row r="2052" spans="1:16" ht="27" customHeight="1" x14ac:dyDescent="0.2">
      <c r="A2052" s="9" t="s">
        <v>7443</v>
      </c>
      <c r="B2052" s="10" t="s">
        <v>7503</v>
      </c>
      <c r="C2052" s="11" t="s">
        <v>18</v>
      </c>
      <c r="D2052" s="11" t="s">
        <v>19</v>
      </c>
      <c r="E2052" s="11" t="s">
        <v>19</v>
      </c>
      <c r="F2052" s="11" t="s">
        <v>7504</v>
      </c>
      <c r="G2052" s="11" t="s">
        <v>83</v>
      </c>
      <c r="H2052" s="11" t="s">
        <v>7505</v>
      </c>
      <c r="I2052" s="11" t="s">
        <v>7506</v>
      </c>
      <c r="J2052" s="12">
        <v>0.37369999999999998</v>
      </c>
      <c r="K2052" s="13">
        <v>4</v>
      </c>
      <c r="L2052" s="14">
        <v>986</v>
      </c>
      <c r="M2052" s="10">
        <v>341</v>
      </c>
      <c r="N2052" s="10">
        <v>108955</v>
      </c>
      <c r="O2052" s="10">
        <v>26741</v>
      </c>
      <c r="P2052" s="10">
        <v>135696</v>
      </c>
    </row>
    <row r="2053" spans="1:16" ht="27" customHeight="1" x14ac:dyDescent="0.2">
      <c r="A2053" s="9" t="s">
        <v>7443</v>
      </c>
      <c r="B2053" s="10" t="s">
        <v>7507</v>
      </c>
      <c r="C2053" s="11" t="s">
        <v>18</v>
      </c>
      <c r="D2053" s="11" t="s">
        <v>19</v>
      </c>
      <c r="E2053" s="11" t="s">
        <v>19</v>
      </c>
      <c r="F2053" s="11" t="s">
        <v>7508</v>
      </c>
      <c r="G2053" s="11" t="s">
        <v>83</v>
      </c>
      <c r="H2053" s="11" t="s">
        <v>7509</v>
      </c>
      <c r="I2053" s="11" t="s">
        <v>7510</v>
      </c>
      <c r="J2053" s="12">
        <v>0.84989999999999999</v>
      </c>
      <c r="K2053" s="13">
        <v>3</v>
      </c>
      <c r="L2053" s="14">
        <v>741</v>
      </c>
      <c r="M2053" s="10">
        <v>639</v>
      </c>
      <c r="N2053" s="10">
        <v>81882</v>
      </c>
      <c r="O2053" s="10">
        <v>50109</v>
      </c>
      <c r="P2053" s="10">
        <v>131991</v>
      </c>
    </row>
    <row r="2054" spans="1:16" ht="27" customHeight="1" x14ac:dyDescent="0.2">
      <c r="A2054" s="9" t="s">
        <v>7443</v>
      </c>
      <c r="B2054" s="10" t="s">
        <v>7507</v>
      </c>
      <c r="C2054" s="11" t="s">
        <v>7511</v>
      </c>
      <c r="D2054" s="11" t="s">
        <v>7512</v>
      </c>
      <c r="E2054" s="11" t="s">
        <v>57</v>
      </c>
      <c r="F2054" s="11" t="s">
        <v>7513</v>
      </c>
      <c r="G2054" s="11" t="s">
        <v>28</v>
      </c>
      <c r="H2054" s="11" t="s">
        <v>7513</v>
      </c>
      <c r="I2054" s="11" t="s">
        <v>7514</v>
      </c>
      <c r="J2054" s="12">
        <v>0.38800000000000001</v>
      </c>
      <c r="K2054" s="13">
        <v>1</v>
      </c>
      <c r="L2054" s="14">
        <v>317</v>
      </c>
      <c r="M2054" s="10">
        <v>123</v>
      </c>
      <c r="N2054" s="10">
        <v>35029</v>
      </c>
      <c r="O2054" s="10">
        <v>9646</v>
      </c>
      <c r="P2054" s="10">
        <v>44675</v>
      </c>
    </row>
    <row r="2055" spans="1:16" ht="27" customHeight="1" x14ac:dyDescent="0.2">
      <c r="A2055" s="9" t="s">
        <v>7443</v>
      </c>
      <c r="B2055" s="10" t="s">
        <v>7515</v>
      </c>
      <c r="C2055" s="11" t="s">
        <v>18</v>
      </c>
      <c r="D2055" s="11" t="s">
        <v>19</v>
      </c>
      <c r="E2055" s="11" t="s">
        <v>19</v>
      </c>
      <c r="F2055" s="11" t="s">
        <v>7516</v>
      </c>
      <c r="G2055" s="11" t="s">
        <v>83</v>
      </c>
      <c r="H2055" s="11" t="s">
        <v>7516</v>
      </c>
      <c r="I2055" s="11" t="s">
        <v>7517</v>
      </c>
      <c r="J2055" s="12">
        <v>0.18640000000000001</v>
      </c>
      <c r="K2055" s="13">
        <v>2</v>
      </c>
      <c r="L2055" s="14">
        <v>118</v>
      </c>
      <c r="M2055" s="10">
        <v>22</v>
      </c>
      <c r="N2055" s="10">
        <v>13039</v>
      </c>
      <c r="O2055" s="10">
        <v>1725</v>
      </c>
      <c r="P2055" s="10">
        <v>14764</v>
      </c>
    </row>
    <row r="2056" spans="1:16" ht="27" customHeight="1" x14ac:dyDescent="0.2">
      <c r="A2056" s="9" t="s">
        <v>7443</v>
      </c>
      <c r="B2056" s="10" t="s">
        <v>7518</v>
      </c>
      <c r="C2056" s="11" t="s">
        <v>18</v>
      </c>
      <c r="D2056" s="11" t="s">
        <v>19</v>
      </c>
      <c r="E2056" s="11" t="s">
        <v>19</v>
      </c>
      <c r="F2056" s="11" t="s">
        <v>7519</v>
      </c>
      <c r="G2056" s="11" t="s">
        <v>83</v>
      </c>
      <c r="H2056" s="11" t="s">
        <v>7446</v>
      </c>
      <c r="I2056" s="11" t="s">
        <v>7447</v>
      </c>
      <c r="J2056" s="12">
        <v>0.95469999999999999</v>
      </c>
      <c r="K2056" s="13">
        <v>27</v>
      </c>
      <c r="L2056" s="14">
        <v>14784</v>
      </c>
      <c r="M2056" s="10">
        <v>12434</v>
      </c>
      <c r="N2056" s="10">
        <v>1633659</v>
      </c>
      <c r="O2056" s="10">
        <v>975062</v>
      </c>
      <c r="P2056" s="10">
        <v>2608721</v>
      </c>
    </row>
    <row r="2057" spans="1:16" ht="27" customHeight="1" x14ac:dyDescent="0.2">
      <c r="A2057" s="9" t="s">
        <v>7443</v>
      </c>
      <c r="B2057" s="10" t="s">
        <v>7518</v>
      </c>
      <c r="C2057" s="11" t="s">
        <v>7520</v>
      </c>
      <c r="D2057" s="11" t="s">
        <v>7521</v>
      </c>
      <c r="E2057" s="11" t="s">
        <v>26</v>
      </c>
      <c r="F2057" s="11" t="s">
        <v>7522</v>
      </c>
      <c r="G2057" s="11" t="s">
        <v>28</v>
      </c>
      <c r="H2057" s="11" t="s">
        <v>7522</v>
      </c>
      <c r="I2057" s="11" t="s">
        <v>7523</v>
      </c>
      <c r="J2057" s="12">
        <v>0.77329999999999999</v>
      </c>
      <c r="K2057" s="13">
        <v>1</v>
      </c>
      <c r="L2057" s="14">
        <v>419</v>
      </c>
      <c r="M2057" s="10">
        <v>324</v>
      </c>
      <c r="N2057" s="10">
        <v>46300</v>
      </c>
      <c r="O2057" s="10">
        <v>25408</v>
      </c>
      <c r="P2057" s="10">
        <v>71708</v>
      </c>
    </row>
    <row r="2058" spans="1:16" ht="27" customHeight="1" x14ac:dyDescent="0.2">
      <c r="A2058" s="9" t="s">
        <v>7443</v>
      </c>
      <c r="B2058" s="10" t="s">
        <v>7518</v>
      </c>
      <c r="C2058" s="11" t="s">
        <v>7524</v>
      </c>
      <c r="D2058" s="11" t="s">
        <v>7525</v>
      </c>
      <c r="E2058" s="11" t="s">
        <v>26</v>
      </c>
      <c r="F2058" s="11" t="s">
        <v>7526</v>
      </c>
      <c r="G2058" s="11" t="s">
        <v>28</v>
      </c>
      <c r="H2058" s="11" t="s">
        <v>7526</v>
      </c>
      <c r="I2058" s="11" t="s">
        <v>7527</v>
      </c>
      <c r="J2058" s="12">
        <v>0.51280000000000003</v>
      </c>
      <c r="K2058" s="13">
        <v>1</v>
      </c>
      <c r="L2058" s="14">
        <v>624</v>
      </c>
      <c r="M2058" s="10">
        <v>320</v>
      </c>
      <c r="N2058" s="10">
        <v>68953</v>
      </c>
      <c r="O2058" s="10">
        <v>25094</v>
      </c>
      <c r="P2058" s="10">
        <v>94047</v>
      </c>
    </row>
    <row r="2059" spans="1:16" ht="27" customHeight="1" x14ac:dyDescent="0.2">
      <c r="A2059" s="9" t="s">
        <v>7443</v>
      </c>
      <c r="B2059" s="10" t="s">
        <v>7528</v>
      </c>
      <c r="C2059" s="11" t="s">
        <v>18</v>
      </c>
      <c r="D2059" s="11" t="s">
        <v>19</v>
      </c>
      <c r="E2059" s="11" t="s">
        <v>19</v>
      </c>
      <c r="F2059" s="11" t="s">
        <v>7529</v>
      </c>
      <c r="G2059" s="11" t="s">
        <v>83</v>
      </c>
      <c r="H2059" s="11" t="s">
        <v>7446</v>
      </c>
      <c r="I2059" s="11" t="s">
        <v>7447</v>
      </c>
      <c r="J2059" s="12">
        <v>0.95469999999999999</v>
      </c>
      <c r="K2059" s="13">
        <v>9</v>
      </c>
      <c r="L2059" s="14">
        <v>15547</v>
      </c>
      <c r="M2059" s="10">
        <v>10272</v>
      </c>
      <c r="N2059" s="10">
        <v>1717969</v>
      </c>
      <c r="O2059" s="10">
        <v>805520</v>
      </c>
      <c r="P2059" s="10">
        <v>2523489</v>
      </c>
    </row>
    <row r="2060" spans="1:16" ht="27" customHeight="1" x14ac:dyDescent="0.2">
      <c r="A2060" s="9" t="s">
        <v>7443</v>
      </c>
      <c r="B2060" s="10" t="s">
        <v>7528</v>
      </c>
      <c r="C2060" s="11" t="s">
        <v>7530</v>
      </c>
      <c r="D2060" s="11" t="s">
        <v>7531</v>
      </c>
      <c r="E2060" s="11" t="s">
        <v>26</v>
      </c>
      <c r="F2060" s="11" t="s">
        <v>7532</v>
      </c>
      <c r="G2060" s="11" t="s">
        <v>28</v>
      </c>
      <c r="H2060" s="11" t="s">
        <v>7532</v>
      </c>
      <c r="I2060" s="11" t="s">
        <v>7533</v>
      </c>
      <c r="J2060" s="12">
        <v>0.72650000000000003</v>
      </c>
      <c r="K2060" s="13">
        <v>1</v>
      </c>
      <c r="L2060" s="14">
        <v>596</v>
      </c>
      <c r="M2060" s="10">
        <v>433</v>
      </c>
      <c r="N2060" s="10">
        <v>65859</v>
      </c>
      <c r="O2060" s="10">
        <v>33955</v>
      </c>
      <c r="P2060" s="10">
        <v>99814</v>
      </c>
    </row>
    <row r="2061" spans="1:16" ht="27" customHeight="1" x14ac:dyDescent="0.2">
      <c r="A2061" s="9" t="s">
        <v>7443</v>
      </c>
      <c r="B2061" s="10" t="s">
        <v>7534</v>
      </c>
      <c r="C2061" s="11" t="s">
        <v>18</v>
      </c>
      <c r="D2061" s="11" t="s">
        <v>19</v>
      </c>
      <c r="E2061" s="11" t="s">
        <v>19</v>
      </c>
      <c r="F2061" s="11" t="s">
        <v>7535</v>
      </c>
      <c r="G2061" s="11" t="s">
        <v>83</v>
      </c>
      <c r="H2061" s="11" t="s">
        <v>7535</v>
      </c>
      <c r="I2061" s="11" t="s">
        <v>7536</v>
      </c>
      <c r="J2061" s="12">
        <v>0.66200000000000003</v>
      </c>
      <c r="K2061" s="13">
        <v>2</v>
      </c>
      <c r="L2061" s="14">
        <v>71</v>
      </c>
      <c r="M2061" s="10">
        <v>47</v>
      </c>
      <c r="N2061" s="10">
        <v>7846</v>
      </c>
      <c r="O2061" s="10">
        <v>3686</v>
      </c>
      <c r="P2061" s="10">
        <v>11532</v>
      </c>
    </row>
    <row r="2062" spans="1:16" ht="27" customHeight="1" x14ac:dyDescent="0.2">
      <c r="A2062" s="9" t="s">
        <v>7443</v>
      </c>
      <c r="B2062" s="10" t="s">
        <v>7534</v>
      </c>
      <c r="C2062" s="11" t="s">
        <v>7537</v>
      </c>
      <c r="D2062" s="11" t="s">
        <v>7538</v>
      </c>
      <c r="E2062" s="11" t="s">
        <v>57</v>
      </c>
      <c r="F2062" s="11" t="s">
        <v>7539</v>
      </c>
      <c r="G2062" s="11" t="s">
        <v>28</v>
      </c>
      <c r="H2062" s="11" t="s">
        <v>7539</v>
      </c>
      <c r="I2062" s="11" t="s">
        <v>7540</v>
      </c>
      <c r="J2062" s="12">
        <v>0.65569999999999995</v>
      </c>
      <c r="K2062" s="13">
        <v>1</v>
      </c>
      <c r="L2062" s="14">
        <v>122</v>
      </c>
      <c r="M2062" s="10">
        <v>80</v>
      </c>
      <c r="N2062" s="10">
        <v>13481</v>
      </c>
      <c r="O2062" s="10">
        <v>6274</v>
      </c>
      <c r="P2062" s="10">
        <v>19755</v>
      </c>
    </row>
    <row r="2063" spans="1:16" ht="27" customHeight="1" x14ac:dyDescent="0.2">
      <c r="A2063" s="9" t="s">
        <v>7443</v>
      </c>
      <c r="B2063" s="10" t="s">
        <v>7541</v>
      </c>
      <c r="C2063" s="11" t="s">
        <v>18</v>
      </c>
      <c r="D2063" s="11" t="s">
        <v>19</v>
      </c>
      <c r="E2063" s="11" t="s">
        <v>19</v>
      </c>
      <c r="F2063" s="11" t="s">
        <v>7542</v>
      </c>
      <c r="G2063" s="11" t="s">
        <v>83</v>
      </c>
      <c r="H2063" s="11" t="s">
        <v>7543</v>
      </c>
      <c r="I2063" s="11" t="s">
        <v>7544</v>
      </c>
      <c r="J2063" s="12">
        <v>0.94740000000000002</v>
      </c>
      <c r="K2063" s="13">
        <v>12</v>
      </c>
      <c r="L2063" s="14">
        <v>6353</v>
      </c>
      <c r="M2063" s="10">
        <v>4733</v>
      </c>
      <c r="N2063" s="10">
        <v>702018</v>
      </c>
      <c r="O2063" s="10">
        <v>371158</v>
      </c>
      <c r="P2063" s="10">
        <v>1073176</v>
      </c>
    </row>
    <row r="2064" spans="1:16" ht="27" customHeight="1" x14ac:dyDescent="0.2">
      <c r="A2064" s="9" t="s">
        <v>7443</v>
      </c>
      <c r="B2064" s="10" t="s">
        <v>7545</v>
      </c>
      <c r="C2064" s="11" t="s">
        <v>18</v>
      </c>
      <c r="D2064" s="11" t="s">
        <v>19</v>
      </c>
      <c r="E2064" s="11" t="s">
        <v>19</v>
      </c>
      <c r="F2064" s="11" t="s">
        <v>7546</v>
      </c>
      <c r="G2064" s="11" t="s">
        <v>83</v>
      </c>
      <c r="H2064" s="11" t="s">
        <v>7546</v>
      </c>
      <c r="I2064" s="11" t="s">
        <v>7547</v>
      </c>
      <c r="J2064" s="12">
        <v>0.62960000000000005</v>
      </c>
      <c r="K2064" s="13">
        <v>2</v>
      </c>
      <c r="L2064" s="14">
        <v>27</v>
      </c>
      <c r="M2064" s="10">
        <v>17</v>
      </c>
      <c r="N2064" s="10">
        <v>2984</v>
      </c>
      <c r="O2064" s="10">
        <v>1333</v>
      </c>
      <c r="P2064" s="10">
        <v>4317</v>
      </c>
    </row>
    <row r="2065" spans="1:16" ht="27" customHeight="1" x14ac:dyDescent="0.2">
      <c r="A2065" s="9" t="s">
        <v>7443</v>
      </c>
      <c r="B2065" s="10" t="s">
        <v>7545</v>
      </c>
      <c r="C2065" s="11" t="s">
        <v>7548</v>
      </c>
      <c r="D2065" s="11" t="s">
        <v>7549</v>
      </c>
      <c r="E2065" s="11" t="s">
        <v>57</v>
      </c>
      <c r="F2065" s="11" t="s">
        <v>7550</v>
      </c>
      <c r="G2065" s="11" t="s">
        <v>28</v>
      </c>
      <c r="H2065" s="11" t="s">
        <v>7550</v>
      </c>
      <c r="I2065" s="11" t="s">
        <v>7551</v>
      </c>
      <c r="J2065" s="12">
        <v>0.53800000000000003</v>
      </c>
      <c r="K2065" s="13">
        <v>1</v>
      </c>
      <c r="L2065" s="14">
        <v>171</v>
      </c>
      <c r="M2065" s="10">
        <v>92</v>
      </c>
      <c r="N2065" s="10">
        <v>18896</v>
      </c>
      <c r="O2065" s="10">
        <v>7215</v>
      </c>
      <c r="P2065" s="10">
        <v>26111</v>
      </c>
    </row>
    <row r="2066" spans="1:16" ht="27" customHeight="1" x14ac:dyDescent="0.2">
      <c r="A2066" s="9" t="s">
        <v>7443</v>
      </c>
      <c r="B2066" s="10" t="s">
        <v>7552</v>
      </c>
      <c r="C2066" s="11" t="s">
        <v>18</v>
      </c>
      <c r="D2066" s="11" t="s">
        <v>19</v>
      </c>
      <c r="E2066" s="11" t="s">
        <v>19</v>
      </c>
      <c r="F2066" s="11" t="s">
        <v>7553</v>
      </c>
      <c r="G2066" s="11" t="s">
        <v>83</v>
      </c>
      <c r="H2066" s="11" t="s">
        <v>7554</v>
      </c>
      <c r="I2066" s="11" t="s">
        <v>7555</v>
      </c>
      <c r="J2066" s="12">
        <v>0.84</v>
      </c>
      <c r="K2066" s="13">
        <v>6</v>
      </c>
      <c r="L2066" s="14">
        <v>2259</v>
      </c>
      <c r="M2066" s="10">
        <v>1648</v>
      </c>
      <c r="N2066" s="10">
        <v>249623</v>
      </c>
      <c r="O2066" s="10">
        <v>129234</v>
      </c>
      <c r="P2066" s="10">
        <v>378857</v>
      </c>
    </row>
    <row r="2067" spans="1:16" ht="27" customHeight="1" x14ac:dyDescent="0.2">
      <c r="A2067" s="9" t="s">
        <v>7443</v>
      </c>
      <c r="B2067" s="10" t="s">
        <v>7552</v>
      </c>
      <c r="C2067" s="11" t="s">
        <v>7556</v>
      </c>
      <c r="D2067" s="11" t="s">
        <v>7557</v>
      </c>
      <c r="E2067" s="11" t="s">
        <v>26</v>
      </c>
      <c r="F2067" s="11" t="s">
        <v>7558</v>
      </c>
      <c r="G2067" s="11" t="s">
        <v>28</v>
      </c>
      <c r="H2067" s="11" t="s">
        <v>7558</v>
      </c>
      <c r="I2067" s="11" t="s">
        <v>7559</v>
      </c>
      <c r="J2067" s="12">
        <v>0.29530000000000001</v>
      </c>
      <c r="K2067" s="13">
        <v>1</v>
      </c>
      <c r="L2067" s="14">
        <v>823</v>
      </c>
      <c r="M2067" s="10">
        <v>243</v>
      </c>
      <c r="N2067" s="10">
        <v>90943</v>
      </c>
      <c r="O2067" s="10">
        <v>19056</v>
      </c>
      <c r="P2067" s="10">
        <v>109999</v>
      </c>
    </row>
    <row r="2068" spans="1:16" ht="27" customHeight="1" x14ac:dyDescent="0.2">
      <c r="A2068" s="9" t="s">
        <v>7443</v>
      </c>
      <c r="B2068" s="10" t="s">
        <v>7560</v>
      </c>
      <c r="C2068" s="11" t="s">
        <v>18</v>
      </c>
      <c r="D2068" s="11" t="s">
        <v>19</v>
      </c>
      <c r="E2068" s="11" t="s">
        <v>19</v>
      </c>
      <c r="F2068" s="11" t="s">
        <v>7561</v>
      </c>
      <c r="G2068" s="11" t="s">
        <v>83</v>
      </c>
      <c r="H2068" s="11" t="s">
        <v>7561</v>
      </c>
      <c r="I2068" s="11" t="s">
        <v>7562</v>
      </c>
      <c r="J2068" s="12">
        <v>0.56669999999999998</v>
      </c>
      <c r="K2068" s="13">
        <v>2</v>
      </c>
      <c r="L2068" s="14">
        <v>30</v>
      </c>
      <c r="M2068" s="10">
        <v>17</v>
      </c>
      <c r="N2068" s="10">
        <v>3315</v>
      </c>
      <c r="O2068" s="10">
        <v>1333</v>
      </c>
      <c r="P2068" s="10">
        <v>4648</v>
      </c>
    </row>
    <row r="2069" spans="1:16" ht="27" customHeight="1" x14ac:dyDescent="0.2">
      <c r="A2069" s="9" t="s">
        <v>7443</v>
      </c>
      <c r="B2069" s="10" t="s">
        <v>7560</v>
      </c>
      <c r="C2069" s="11" t="s">
        <v>7563</v>
      </c>
      <c r="D2069" s="11" t="s">
        <v>7564</v>
      </c>
      <c r="E2069" s="11" t="s">
        <v>57</v>
      </c>
      <c r="F2069" s="11" t="s">
        <v>7565</v>
      </c>
      <c r="G2069" s="11" t="s">
        <v>28</v>
      </c>
      <c r="H2069" s="11" t="s">
        <v>7565</v>
      </c>
      <c r="I2069" s="11" t="s">
        <v>7566</v>
      </c>
      <c r="J2069" s="12">
        <v>0.72860000000000003</v>
      </c>
      <c r="K2069" s="13">
        <v>1</v>
      </c>
      <c r="L2069" s="14">
        <v>140</v>
      </c>
      <c r="M2069" s="10">
        <v>102</v>
      </c>
      <c r="N2069" s="10">
        <v>15470</v>
      </c>
      <c r="O2069" s="10">
        <v>7999</v>
      </c>
      <c r="P2069" s="10">
        <v>23469</v>
      </c>
    </row>
    <row r="2070" spans="1:16" ht="27" customHeight="1" x14ac:dyDescent="0.2">
      <c r="A2070" s="9" t="s">
        <v>7443</v>
      </c>
      <c r="B2070" s="10" t="s">
        <v>7567</v>
      </c>
      <c r="C2070" s="11" t="s">
        <v>18</v>
      </c>
      <c r="D2070" s="11" t="s">
        <v>19</v>
      </c>
      <c r="E2070" s="11" t="s">
        <v>19</v>
      </c>
      <c r="F2070" s="11" t="s">
        <v>7568</v>
      </c>
      <c r="G2070" s="11" t="s">
        <v>83</v>
      </c>
      <c r="H2070" s="11" t="s">
        <v>7569</v>
      </c>
      <c r="I2070" s="11" t="s">
        <v>7570</v>
      </c>
      <c r="J2070" s="12">
        <v>0.89700000000000002</v>
      </c>
      <c r="K2070" s="13">
        <v>7</v>
      </c>
      <c r="L2070" s="14">
        <v>3389</v>
      </c>
      <c r="M2070" s="10">
        <v>2566</v>
      </c>
      <c r="N2070" s="10">
        <v>374491</v>
      </c>
      <c r="O2070" s="10">
        <v>201224</v>
      </c>
      <c r="P2070" s="10">
        <v>575715</v>
      </c>
    </row>
    <row r="2071" spans="1:16" ht="27" customHeight="1" x14ac:dyDescent="0.2">
      <c r="A2071" s="9" t="s">
        <v>7443</v>
      </c>
      <c r="B2071" s="10" t="s">
        <v>7571</v>
      </c>
      <c r="C2071" s="11" t="s">
        <v>18</v>
      </c>
      <c r="D2071" s="11" t="s">
        <v>19</v>
      </c>
      <c r="E2071" s="11" t="s">
        <v>19</v>
      </c>
      <c r="F2071" s="11" t="s">
        <v>7572</v>
      </c>
      <c r="G2071" s="11" t="s">
        <v>83</v>
      </c>
      <c r="H2071" s="11" t="s">
        <v>7573</v>
      </c>
      <c r="I2071" s="11" t="s">
        <v>7574</v>
      </c>
      <c r="J2071" s="12">
        <v>0.82779999999999998</v>
      </c>
      <c r="K2071" s="13">
        <v>14</v>
      </c>
      <c r="L2071" s="14">
        <v>8083</v>
      </c>
      <c r="M2071" s="10">
        <v>4805</v>
      </c>
      <c r="N2071" s="10">
        <v>893186</v>
      </c>
      <c r="O2071" s="10">
        <v>376802</v>
      </c>
      <c r="P2071" s="10">
        <v>1269988</v>
      </c>
    </row>
    <row r="2072" spans="1:16" ht="27" customHeight="1" x14ac:dyDescent="0.2">
      <c r="A2072" s="9" t="s">
        <v>7443</v>
      </c>
      <c r="B2072" s="10" t="s">
        <v>7575</v>
      </c>
      <c r="C2072" s="11" t="s">
        <v>18</v>
      </c>
      <c r="D2072" s="11" t="s">
        <v>19</v>
      </c>
      <c r="E2072" s="11" t="s">
        <v>19</v>
      </c>
      <c r="F2072" s="11" t="s">
        <v>7576</v>
      </c>
      <c r="G2072" s="11" t="s">
        <v>83</v>
      </c>
      <c r="H2072" s="11" t="s">
        <v>7577</v>
      </c>
      <c r="I2072" s="11" t="s">
        <v>7578</v>
      </c>
      <c r="J2072" s="12">
        <v>0.31359999999999999</v>
      </c>
      <c r="K2072" s="13">
        <v>2</v>
      </c>
      <c r="L2072" s="14">
        <v>169</v>
      </c>
      <c r="M2072" s="10">
        <v>53</v>
      </c>
      <c r="N2072" s="10">
        <v>18675</v>
      </c>
      <c r="O2072" s="10">
        <v>4156</v>
      </c>
      <c r="P2072" s="10">
        <v>22831</v>
      </c>
    </row>
    <row r="2073" spans="1:16" ht="27" customHeight="1" x14ac:dyDescent="0.2">
      <c r="A2073" s="9" t="s">
        <v>7443</v>
      </c>
      <c r="B2073" s="10" t="s">
        <v>7579</v>
      </c>
      <c r="C2073" s="11" t="s">
        <v>18</v>
      </c>
      <c r="D2073" s="11" t="s">
        <v>19</v>
      </c>
      <c r="E2073" s="11" t="s">
        <v>19</v>
      </c>
      <c r="F2073" s="11" t="s">
        <v>7580</v>
      </c>
      <c r="G2073" s="11" t="s">
        <v>83</v>
      </c>
      <c r="H2073" s="11" t="s">
        <v>7581</v>
      </c>
      <c r="I2073" s="11" t="s">
        <v>7582</v>
      </c>
      <c r="J2073" s="12">
        <v>0.62929999999999997</v>
      </c>
      <c r="K2073" s="13">
        <v>10</v>
      </c>
      <c r="L2073" s="14">
        <v>3191</v>
      </c>
      <c r="M2073" s="10">
        <v>1837</v>
      </c>
      <c r="N2073" s="10">
        <v>352610</v>
      </c>
      <c r="O2073" s="10">
        <v>144056</v>
      </c>
      <c r="P2073" s="10">
        <v>496666</v>
      </c>
    </row>
    <row r="2074" spans="1:16" ht="27" customHeight="1" x14ac:dyDescent="0.2">
      <c r="A2074" s="9" t="s">
        <v>7443</v>
      </c>
      <c r="B2074" s="10" t="s">
        <v>7583</v>
      </c>
      <c r="C2074" s="11" t="s">
        <v>18</v>
      </c>
      <c r="D2074" s="11" t="s">
        <v>19</v>
      </c>
      <c r="E2074" s="11" t="s">
        <v>19</v>
      </c>
      <c r="F2074" s="11" t="s">
        <v>7584</v>
      </c>
      <c r="G2074" s="11" t="s">
        <v>83</v>
      </c>
      <c r="H2074" s="11" t="s">
        <v>7585</v>
      </c>
      <c r="I2074" s="11" t="s">
        <v>7586</v>
      </c>
      <c r="J2074" s="12">
        <v>0.50370000000000004</v>
      </c>
      <c r="K2074" s="13">
        <v>7</v>
      </c>
      <c r="L2074" s="14">
        <v>2214</v>
      </c>
      <c r="M2074" s="10">
        <v>1084</v>
      </c>
      <c r="N2074" s="10">
        <v>244651</v>
      </c>
      <c r="O2074" s="10">
        <v>85006</v>
      </c>
      <c r="P2074" s="10">
        <v>329657</v>
      </c>
    </row>
    <row r="2075" spans="1:16" ht="27" customHeight="1" x14ac:dyDescent="0.2">
      <c r="A2075" s="9" t="s">
        <v>7443</v>
      </c>
      <c r="B2075" s="10" t="s">
        <v>7587</v>
      </c>
      <c r="C2075" s="11" t="s">
        <v>18</v>
      </c>
      <c r="D2075" s="11" t="s">
        <v>19</v>
      </c>
      <c r="E2075" s="11" t="s">
        <v>19</v>
      </c>
      <c r="F2075" s="11" t="s">
        <v>7588</v>
      </c>
      <c r="G2075" s="11" t="s">
        <v>83</v>
      </c>
      <c r="H2075" s="11" t="s">
        <v>7589</v>
      </c>
      <c r="I2075" s="11" t="s">
        <v>7590</v>
      </c>
      <c r="J2075" s="12">
        <v>0.62260000000000004</v>
      </c>
      <c r="K2075" s="13">
        <v>6</v>
      </c>
      <c r="L2075" s="14">
        <v>2410</v>
      </c>
      <c r="M2075" s="10">
        <v>1419</v>
      </c>
      <c r="N2075" s="10">
        <v>266309</v>
      </c>
      <c r="O2075" s="10">
        <v>111276</v>
      </c>
      <c r="P2075" s="10">
        <v>377585</v>
      </c>
    </row>
    <row r="2076" spans="1:16" ht="27" customHeight="1" x14ac:dyDescent="0.2">
      <c r="A2076" s="9" t="s">
        <v>7443</v>
      </c>
      <c r="B2076" s="10" t="s">
        <v>7587</v>
      </c>
      <c r="C2076" s="11" t="s">
        <v>7591</v>
      </c>
      <c r="D2076" s="11" t="s">
        <v>7592</v>
      </c>
      <c r="E2076" s="11" t="s">
        <v>57</v>
      </c>
      <c r="F2076" s="11" t="s">
        <v>7593</v>
      </c>
      <c r="G2076" s="11" t="s">
        <v>28</v>
      </c>
      <c r="H2076" s="11" t="s">
        <v>7593</v>
      </c>
      <c r="I2076" s="11" t="s">
        <v>7594</v>
      </c>
      <c r="J2076" s="12">
        <v>0.37259999999999999</v>
      </c>
      <c r="K2076" s="13">
        <v>1</v>
      </c>
      <c r="L2076" s="14">
        <v>569</v>
      </c>
      <c r="M2076" s="10">
        <v>212</v>
      </c>
      <c r="N2076" s="10">
        <v>62875</v>
      </c>
      <c r="O2076" s="10">
        <v>16625</v>
      </c>
      <c r="P2076" s="10">
        <v>79500</v>
      </c>
    </row>
    <row r="2077" spans="1:16" ht="27" customHeight="1" x14ac:dyDescent="0.2">
      <c r="A2077" s="9" t="s">
        <v>7443</v>
      </c>
      <c r="B2077" s="10" t="s">
        <v>7595</v>
      </c>
      <c r="C2077" s="11" t="s">
        <v>18</v>
      </c>
      <c r="D2077" s="11" t="s">
        <v>19</v>
      </c>
      <c r="E2077" s="11" t="s">
        <v>19</v>
      </c>
      <c r="F2077" s="11" t="s">
        <v>7596</v>
      </c>
      <c r="G2077" s="11" t="s">
        <v>83</v>
      </c>
      <c r="H2077" s="11" t="s">
        <v>4089</v>
      </c>
      <c r="I2077" s="11" t="s">
        <v>7597</v>
      </c>
      <c r="J2077" s="12">
        <v>0.52359999999999995</v>
      </c>
      <c r="K2077" s="13">
        <v>9</v>
      </c>
      <c r="L2077" s="14">
        <v>5190</v>
      </c>
      <c r="M2077" s="10">
        <v>2147</v>
      </c>
      <c r="N2077" s="10">
        <v>573504</v>
      </c>
      <c r="O2077" s="10">
        <v>168366</v>
      </c>
      <c r="P2077" s="10">
        <v>741870</v>
      </c>
    </row>
    <row r="2078" spans="1:16" ht="27" customHeight="1" x14ac:dyDescent="0.2">
      <c r="A2078" s="9" t="s">
        <v>7443</v>
      </c>
      <c r="B2078" s="10" t="s">
        <v>7595</v>
      </c>
      <c r="C2078" s="11" t="s">
        <v>7598</v>
      </c>
      <c r="D2078" s="11" t="s">
        <v>7599</v>
      </c>
      <c r="E2078" s="11" t="s">
        <v>57</v>
      </c>
      <c r="F2078" s="11" t="s">
        <v>7600</v>
      </c>
      <c r="G2078" s="11" t="s">
        <v>28</v>
      </c>
      <c r="H2078" s="11" t="s">
        <v>7446</v>
      </c>
      <c r="I2078" s="11" t="s">
        <v>7447</v>
      </c>
      <c r="J2078" s="12">
        <v>0.95469999999999999</v>
      </c>
      <c r="K2078" s="13">
        <v>1</v>
      </c>
      <c r="L2078" s="14">
        <v>53</v>
      </c>
      <c r="M2078" s="10">
        <v>19</v>
      </c>
      <c r="N2078" s="10">
        <v>5857</v>
      </c>
      <c r="O2078" s="10">
        <v>1490</v>
      </c>
      <c r="P2078" s="10">
        <v>7347</v>
      </c>
    </row>
    <row r="2079" spans="1:16" ht="27" customHeight="1" x14ac:dyDescent="0.2">
      <c r="A2079" s="9" t="s">
        <v>7443</v>
      </c>
      <c r="B2079" s="10" t="s">
        <v>7601</v>
      </c>
      <c r="C2079" s="11" t="s">
        <v>18</v>
      </c>
      <c r="D2079" s="11" t="s">
        <v>19</v>
      </c>
      <c r="E2079" s="11" t="s">
        <v>19</v>
      </c>
      <c r="F2079" s="11" t="s">
        <v>7602</v>
      </c>
      <c r="G2079" s="11" t="s">
        <v>83</v>
      </c>
      <c r="H2079" s="11" t="s">
        <v>7603</v>
      </c>
      <c r="I2079" s="11" t="s">
        <v>7604</v>
      </c>
      <c r="J2079" s="12">
        <v>0.91710000000000003</v>
      </c>
      <c r="K2079" s="13">
        <v>6</v>
      </c>
      <c r="L2079" s="14">
        <v>1837</v>
      </c>
      <c r="M2079" s="10">
        <v>1608</v>
      </c>
      <c r="N2079" s="10">
        <v>202992</v>
      </c>
      <c r="O2079" s="10">
        <v>126097</v>
      </c>
      <c r="P2079" s="10">
        <v>329089</v>
      </c>
    </row>
    <row r="2080" spans="1:16" ht="27" customHeight="1" x14ac:dyDescent="0.2">
      <c r="A2080" s="9" t="s">
        <v>7443</v>
      </c>
      <c r="B2080" s="10" t="s">
        <v>7601</v>
      </c>
      <c r="C2080" s="11" t="s">
        <v>7605</v>
      </c>
      <c r="D2080" s="11" t="s">
        <v>7606</v>
      </c>
      <c r="E2080" s="11" t="s">
        <v>26</v>
      </c>
      <c r="F2080" s="11" t="s">
        <v>7607</v>
      </c>
      <c r="G2080" s="11" t="s">
        <v>28</v>
      </c>
      <c r="H2080" s="11" t="s">
        <v>7607</v>
      </c>
      <c r="I2080" s="11" t="s">
        <v>7608</v>
      </c>
      <c r="J2080" s="12">
        <v>0.52890000000000004</v>
      </c>
      <c r="K2080" s="13">
        <v>1</v>
      </c>
      <c r="L2080" s="14">
        <v>762</v>
      </c>
      <c r="M2080" s="10">
        <v>403</v>
      </c>
      <c r="N2080" s="10">
        <v>84202</v>
      </c>
      <c r="O2080" s="10">
        <v>31603</v>
      </c>
      <c r="P2080" s="10">
        <v>115805</v>
      </c>
    </row>
    <row r="2081" spans="1:16" ht="27" customHeight="1" x14ac:dyDescent="0.2">
      <c r="A2081" s="9" t="s">
        <v>7443</v>
      </c>
      <c r="B2081" s="10" t="s">
        <v>7609</v>
      </c>
      <c r="C2081" s="11" t="s">
        <v>18</v>
      </c>
      <c r="D2081" s="11" t="s">
        <v>19</v>
      </c>
      <c r="E2081" s="11" t="s">
        <v>19</v>
      </c>
      <c r="F2081" s="11" t="s">
        <v>7610</v>
      </c>
      <c r="G2081" s="11" t="s">
        <v>83</v>
      </c>
      <c r="H2081" s="11" t="s">
        <v>7611</v>
      </c>
      <c r="I2081" s="11" t="s">
        <v>7612</v>
      </c>
      <c r="J2081" s="12">
        <v>0.81399999999999995</v>
      </c>
      <c r="K2081" s="13">
        <v>15</v>
      </c>
      <c r="L2081" s="14">
        <v>13626</v>
      </c>
      <c r="M2081" s="10">
        <v>8063</v>
      </c>
      <c r="N2081" s="10">
        <v>1505696</v>
      </c>
      <c r="O2081" s="10">
        <v>632292</v>
      </c>
      <c r="P2081" s="10">
        <v>2137988</v>
      </c>
    </row>
    <row r="2082" spans="1:16" ht="27" customHeight="1" x14ac:dyDescent="0.2">
      <c r="A2082" s="9" t="s">
        <v>7443</v>
      </c>
      <c r="B2082" s="10" t="s">
        <v>7609</v>
      </c>
      <c r="C2082" s="11" t="s">
        <v>7613</v>
      </c>
      <c r="D2082" s="11" t="s">
        <v>7614</v>
      </c>
      <c r="E2082" s="11" t="s">
        <v>26</v>
      </c>
      <c r="F2082" s="11" t="s">
        <v>7615</v>
      </c>
      <c r="G2082" s="11" t="s">
        <v>28</v>
      </c>
      <c r="H2082" s="11" t="s">
        <v>7615</v>
      </c>
      <c r="I2082" s="11" t="s">
        <v>7616</v>
      </c>
      <c r="J2082" s="12">
        <v>0.68320000000000003</v>
      </c>
      <c r="K2082" s="13">
        <v>1</v>
      </c>
      <c r="L2082" s="14">
        <v>161</v>
      </c>
      <c r="M2082" s="10">
        <v>110</v>
      </c>
      <c r="N2082" s="10">
        <v>17791</v>
      </c>
      <c r="O2082" s="10">
        <v>8626</v>
      </c>
      <c r="P2082" s="10">
        <v>26417</v>
      </c>
    </row>
    <row r="2083" spans="1:16" ht="27" customHeight="1" x14ac:dyDescent="0.2">
      <c r="A2083" s="9" t="s">
        <v>7443</v>
      </c>
      <c r="B2083" s="10" t="s">
        <v>7609</v>
      </c>
      <c r="C2083" s="11" t="s">
        <v>7617</v>
      </c>
      <c r="D2083" s="11" t="s">
        <v>7618</v>
      </c>
      <c r="E2083" s="11" t="s">
        <v>26</v>
      </c>
      <c r="F2083" s="11" t="s">
        <v>7619</v>
      </c>
      <c r="G2083" s="11" t="s">
        <v>28</v>
      </c>
      <c r="H2083" s="11" t="s">
        <v>7446</v>
      </c>
      <c r="I2083" s="11" t="s">
        <v>7447</v>
      </c>
      <c r="J2083" s="12">
        <v>0.95469999999999999</v>
      </c>
      <c r="K2083" s="13">
        <v>1</v>
      </c>
      <c r="L2083" s="14">
        <v>126</v>
      </c>
      <c r="M2083" s="10">
        <v>103</v>
      </c>
      <c r="N2083" s="10">
        <v>13923</v>
      </c>
      <c r="O2083" s="10">
        <v>8077</v>
      </c>
      <c r="P2083" s="10">
        <v>22000</v>
      </c>
    </row>
    <row r="2084" spans="1:16" ht="27" customHeight="1" x14ac:dyDescent="0.2">
      <c r="A2084" s="9" t="s">
        <v>7620</v>
      </c>
      <c r="B2084" s="10" t="s">
        <v>7621</v>
      </c>
      <c r="C2084" s="11" t="s">
        <v>18</v>
      </c>
      <c r="D2084" s="11" t="s">
        <v>19</v>
      </c>
      <c r="E2084" s="11" t="s">
        <v>19</v>
      </c>
      <c r="F2084" s="11" t="s">
        <v>7622</v>
      </c>
      <c r="G2084" s="11" t="s">
        <v>21</v>
      </c>
      <c r="H2084" s="11" t="s">
        <v>7623</v>
      </c>
      <c r="I2084" s="11" t="s">
        <v>7624</v>
      </c>
      <c r="J2084" s="12">
        <v>0.9647</v>
      </c>
      <c r="K2084" s="13">
        <v>3</v>
      </c>
      <c r="L2084" s="14">
        <v>385</v>
      </c>
      <c r="M2084" s="10">
        <v>333</v>
      </c>
      <c r="N2084" s="10">
        <v>42544</v>
      </c>
      <c r="O2084" s="10">
        <v>26114</v>
      </c>
      <c r="P2084" s="10">
        <v>68658</v>
      </c>
    </row>
    <row r="2085" spans="1:16" ht="27" customHeight="1" x14ac:dyDescent="0.2">
      <c r="A2085" s="9" t="s">
        <v>7620</v>
      </c>
      <c r="B2085" s="10" t="s">
        <v>7621</v>
      </c>
      <c r="C2085" s="11" t="s">
        <v>7625</v>
      </c>
      <c r="D2085" s="11" t="s">
        <v>7626</v>
      </c>
      <c r="E2085" s="11" t="s">
        <v>26</v>
      </c>
      <c r="F2085" s="11" t="s">
        <v>7627</v>
      </c>
      <c r="G2085" s="11" t="s">
        <v>28</v>
      </c>
      <c r="H2085" s="11" t="s">
        <v>7627</v>
      </c>
      <c r="I2085" s="11" t="s">
        <v>7628</v>
      </c>
      <c r="J2085" s="12">
        <v>0.72929999999999995</v>
      </c>
      <c r="K2085" s="13">
        <v>1</v>
      </c>
      <c r="L2085" s="14">
        <v>133</v>
      </c>
      <c r="M2085" s="10">
        <v>97</v>
      </c>
      <c r="N2085" s="10">
        <v>14697</v>
      </c>
      <c r="O2085" s="10">
        <v>7607</v>
      </c>
      <c r="P2085" s="10">
        <v>22304</v>
      </c>
    </row>
    <row r="2086" spans="1:16" ht="27" customHeight="1" x14ac:dyDescent="0.2">
      <c r="A2086" s="9" t="s">
        <v>7620</v>
      </c>
      <c r="B2086" s="10" t="s">
        <v>7621</v>
      </c>
      <c r="C2086" s="11" t="s">
        <v>7629</v>
      </c>
      <c r="D2086" s="11" t="s">
        <v>7630</v>
      </c>
      <c r="E2086" s="11" t="s">
        <v>57</v>
      </c>
      <c r="F2086" s="11" t="s">
        <v>7631</v>
      </c>
      <c r="G2086" s="11" t="s">
        <v>28</v>
      </c>
      <c r="H2086" s="11" t="s">
        <v>7623</v>
      </c>
      <c r="I2086" s="11" t="s">
        <v>7624</v>
      </c>
      <c r="J2086" s="12">
        <v>0.9647</v>
      </c>
      <c r="K2086" s="13">
        <v>1</v>
      </c>
      <c r="L2086" s="14">
        <v>22</v>
      </c>
      <c r="M2086" s="10">
        <v>18</v>
      </c>
      <c r="N2086" s="10">
        <v>2431</v>
      </c>
      <c r="O2086" s="10">
        <v>1412</v>
      </c>
      <c r="P2086" s="10">
        <v>3843</v>
      </c>
    </row>
    <row r="2087" spans="1:16" ht="27" customHeight="1" x14ac:dyDescent="0.2">
      <c r="A2087" s="9" t="s">
        <v>7620</v>
      </c>
      <c r="B2087" s="10" t="s">
        <v>7632</v>
      </c>
      <c r="C2087" s="11" t="s">
        <v>18</v>
      </c>
      <c r="D2087" s="11" t="s">
        <v>19</v>
      </c>
      <c r="E2087" s="11" t="s">
        <v>19</v>
      </c>
      <c r="F2087" s="11" t="s">
        <v>7633</v>
      </c>
      <c r="G2087" s="11" t="s">
        <v>83</v>
      </c>
      <c r="H2087" s="11" t="s">
        <v>7633</v>
      </c>
      <c r="I2087" s="11" t="s">
        <v>7634</v>
      </c>
      <c r="J2087" s="12">
        <v>0.53910000000000002</v>
      </c>
      <c r="K2087" s="13">
        <v>2</v>
      </c>
      <c r="L2087" s="14">
        <v>460</v>
      </c>
      <c r="M2087" s="10">
        <v>248</v>
      </c>
      <c r="N2087" s="10">
        <v>50831</v>
      </c>
      <c r="O2087" s="10">
        <v>19448</v>
      </c>
      <c r="P2087" s="10">
        <v>70279</v>
      </c>
    </row>
    <row r="2088" spans="1:16" ht="27" customHeight="1" x14ac:dyDescent="0.2">
      <c r="A2088" s="9" t="s">
        <v>7620</v>
      </c>
      <c r="B2088" s="10" t="s">
        <v>7635</v>
      </c>
      <c r="C2088" s="11" t="s">
        <v>18</v>
      </c>
      <c r="D2088" s="11" t="s">
        <v>19</v>
      </c>
      <c r="E2088" s="11" t="s">
        <v>19</v>
      </c>
      <c r="F2088" s="11" t="s">
        <v>7636</v>
      </c>
      <c r="G2088" s="11" t="s">
        <v>83</v>
      </c>
      <c r="H2088" s="11" t="s">
        <v>7636</v>
      </c>
      <c r="I2088" s="11" t="s">
        <v>7637</v>
      </c>
      <c r="J2088" s="12">
        <v>0.4098</v>
      </c>
      <c r="K2088" s="13">
        <v>2</v>
      </c>
      <c r="L2088" s="14">
        <v>122</v>
      </c>
      <c r="M2088" s="10">
        <v>50</v>
      </c>
      <c r="N2088" s="10">
        <v>13481</v>
      </c>
      <c r="O2088" s="10">
        <v>3921</v>
      </c>
      <c r="P2088" s="10">
        <v>17402</v>
      </c>
    </row>
    <row r="2089" spans="1:16" ht="27" customHeight="1" x14ac:dyDescent="0.2">
      <c r="A2089" s="9" t="s">
        <v>7620</v>
      </c>
      <c r="B2089" s="10" t="s">
        <v>7638</v>
      </c>
      <c r="C2089" s="11" t="s">
        <v>18</v>
      </c>
      <c r="D2089" s="11" t="s">
        <v>19</v>
      </c>
      <c r="E2089" s="11" t="s">
        <v>19</v>
      </c>
      <c r="F2089" s="11" t="s">
        <v>7639</v>
      </c>
      <c r="G2089" s="11" t="s">
        <v>83</v>
      </c>
      <c r="H2089" s="11" t="s">
        <v>7623</v>
      </c>
      <c r="I2089" s="11" t="s">
        <v>7624</v>
      </c>
      <c r="J2089" s="12">
        <v>0.9647</v>
      </c>
      <c r="K2089" s="13">
        <v>2</v>
      </c>
      <c r="L2089" s="14">
        <v>310</v>
      </c>
      <c r="M2089" s="10">
        <v>86</v>
      </c>
      <c r="N2089" s="10">
        <v>34256</v>
      </c>
      <c r="O2089" s="10">
        <v>6744</v>
      </c>
      <c r="P2089" s="10">
        <v>41000</v>
      </c>
    </row>
    <row r="2090" spans="1:16" ht="27" customHeight="1" x14ac:dyDescent="0.2">
      <c r="A2090" s="9" t="s">
        <v>7620</v>
      </c>
      <c r="B2090" s="10" t="s">
        <v>7638</v>
      </c>
      <c r="C2090" s="11" t="s">
        <v>7640</v>
      </c>
      <c r="D2090" s="11" t="s">
        <v>7641</v>
      </c>
      <c r="E2090" s="11" t="s">
        <v>57</v>
      </c>
      <c r="F2090" s="11" t="s">
        <v>7642</v>
      </c>
      <c r="G2090" s="11" t="s">
        <v>28</v>
      </c>
      <c r="H2090" s="11" t="s">
        <v>7623</v>
      </c>
      <c r="I2090" s="11" t="s">
        <v>7624</v>
      </c>
      <c r="J2090" s="12">
        <v>0.9647</v>
      </c>
      <c r="K2090" s="13">
        <v>1</v>
      </c>
      <c r="L2090" s="14">
        <v>0</v>
      </c>
      <c r="M2090" s="10">
        <v>0</v>
      </c>
      <c r="N2090" s="10">
        <v>0</v>
      </c>
      <c r="O2090" s="10">
        <v>0</v>
      </c>
      <c r="P2090" s="10">
        <v>0</v>
      </c>
    </row>
    <row r="2091" spans="1:16" ht="27" customHeight="1" x14ac:dyDescent="0.2">
      <c r="A2091" s="9" t="s">
        <v>7620</v>
      </c>
      <c r="B2091" s="10" t="s">
        <v>7643</v>
      </c>
      <c r="C2091" s="11" t="s">
        <v>18</v>
      </c>
      <c r="D2091" s="11" t="s">
        <v>19</v>
      </c>
      <c r="E2091" s="11" t="s">
        <v>19</v>
      </c>
      <c r="F2091" s="11" t="s">
        <v>7644</v>
      </c>
      <c r="G2091" s="11" t="s">
        <v>83</v>
      </c>
      <c r="H2091" s="11" t="s">
        <v>7644</v>
      </c>
      <c r="I2091" s="11" t="s">
        <v>7645</v>
      </c>
      <c r="J2091" s="12">
        <v>0.3</v>
      </c>
      <c r="K2091" s="13">
        <v>2</v>
      </c>
      <c r="L2091" s="14">
        <v>490</v>
      </c>
      <c r="M2091" s="10">
        <v>147</v>
      </c>
      <c r="N2091" s="10">
        <v>54146</v>
      </c>
      <c r="O2091" s="10">
        <v>11528</v>
      </c>
      <c r="P2091" s="10">
        <v>65674</v>
      </c>
    </row>
    <row r="2092" spans="1:16" ht="27" customHeight="1" x14ac:dyDescent="0.2">
      <c r="A2092" s="9" t="s">
        <v>7620</v>
      </c>
      <c r="B2092" s="10" t="s">
        <v>7646</v>
      </c>
      <c r="C2092" s="11" t="s">
        <v>18</v>
      </c>
      <c r="D2092" s="11" t="s">
        <v>19</v>
      </c>
      <c r="E2092" s="11" t="s">
        <v>19</v>
      </c>
      <c r="F2092" s="11" t="s">
        <v>7647</v>
      </c>
      <c r="G2092" s="11" t="s">
        <v>83</v>
      </c>
      <c r="H2092" s="11" t="s">
        <v>7648</v>
      </c>
      <c r="I2092" s="11" t="s">
        <v>7649</v>
      </c>
      <c r="J2092" s="12">
        <v>0.75890000000000002</v>
      </c>
      <c r="K2092" s="13">
        <v>7</v>
      </c>
      <c r="L2092" s="14">
        <v>1970</v>
      </c>
      <c r="M2092" s="10">
        <v>1415</v>
      </c>
      <c r="N2092" s="10">
        <v>217688</v>
      </c>
      <c r="O2092" s="10">
        <v>110962</v>
      </c>
      <c r="P2092" s="10">
        <v>328650</v>
      </c>
    </row>
    <row r="2093" spans="1:16" ht="27" customHeight="1" x14ac:dyDescent="0.2">
      <c r="A2093" s="9" t="s">
        <v>7620</v>
      </c>
      <c r="B2093" s="10" t="s">
        <v>7650</v>
      </c>
      <c r="C2093" s="11" t="s">
        <v>18</v>
      </c>
      <c r="D2093" s="11" t="s">
        <v>19</v>
      </c>
      <c r="E2093" s="11" t="s">
        <v>19</v>
      </c>
      <c r="F2093" s="11" t="s">
        <v>7651</v>
      </c>
      <c r="G2093" s="11" t="s">
        <v>83</v>
      </c>
      <c r="H2093" s="11" t="s">
        <v>7651</v>
      </c>
      <c r="I2093" s="11" t="s">
        <v>7652</v>
      </c>
      <c r="J2093" s="12">
        <v>0.34200000000000003</v>
      </c>
      <c r="K2093" s="13">
        <v>2</v>
      </c>
      <c r="L2093" s="14">
        <v>205</v>
      </c>
      <c r="M2093" s="10">
        <v>70</v>
      </c>
      <c r="N2093" s="10">
        <v>22653</v>
      </c>
      <c r="O2093" s="10">
        <v>5490</v>
      </c>
      <c r="P2093" s="10">
        <v>28143</v>
      </c>
    </row>
    <row r="2094" spans="1:16" ht="27" customHeight="1" x14ac:dyDescent="0.2">
      <c r="A2094" s="9" t="s">
        <v>7620</v>
      </c>
      <c r="B2094" s="10" t="s">
        <v>7650</v>
      </c>
      <c r="C2094" s="11" t="s">
        <v>7653</v>
      </c>
      <c r="D2094" s="11" t="s">
        <v>7654</v>
      </c>
      <c r="E2094" s="11" t="s">
        <v>26</v>
      </c>
      <c r="F2094" s="11" t="s">
        <v>7655</v>
      </c>
      <c r="G2094" s="11" t="s">
        <v>28</v>
      </c>
      <c r="H2094" s="11" t="s">
        <v>7655</v>
      </c>
      <c r="I2094" s="11" t="s">
        <v>7656</v>
      </c>
      <c r="J2094" s="12">
        <v>0.37780000000000002</v>
      </c>
      <c r="K2094" s="13">
        <v>1</v>
      </c>
      <c r="L2094" s="14">
        <v>2295</v>
      </c>
      <c r="M2094" s="10">
        <v>867</v>
      </c>
      <c r="N2094" s="10">
        <v>253601</v>
      </c>
      <c r="O2094" s="10">
        <v>67989</v>
      </c>
      <c r="P2094" s="10">
        <v>321590</v>
      </c>
    </row>
    <row r="2095" spans="1:16" ht="27" customHeight="1" x14ac:dyDescent="0.2">
      <c r="A2095" s="9" t="s">
        <v>7620</v>
      </c>
      <c r="B2095" s="10" t="s">
        <v>7657</v>
      </c>
      <c r="C2095" s="11" t="s">
        <v>18</v>
      </c>
      <c r="D2095" s="11" t="s">
        <v>19</v>
      </c>
      <c r="E2095" s="11" t="s">
        <v>19</v>
      </c>
      <c r="F2095" s="11" t="s">
        <v>7658</v>
      </c>
      <c r="G2095" s="11" t="s">
        <v>83</v>
      </c>
      <c r="H2095" s="11" t="s">
        <v>7658</v>
      </c>
      <c r="I2095" s="11" t="s">
        <v>7659</v>
      </c>
      <c r="J2095" s="12">
        <v>0.65710000000000002</v>
      </c>
      <c r="K2095" s="13">
        <v>2</v>
      </c>
      <c r="L2095" s="14">
        <v>70</v>
      </c>
      <c r="M2095" s="10">
        <v>46</v>
      </c>
      <c r="N2095" s="10">
        <v>7735</v>
      </c>
      <c r="O2095" s="10">
        <v>3607</v>
      </c>
      <c r="P2095" s="10">
        <v>11342</v>
      </c>
    </row>
    <row r="2096" spans="1:16" ht="27" customHeight="1" x14ac:dyDescent="0.2">
      <c r="A2096" s="9" t="s">
        <v>7620</v>
      </c>
      <c r="B2096" s="10" t="s">
        <v>7657</v>
      </c>
      <c r="C2096" s="11" t="s">
        <v>7660</v>
      </c>
      <c r="D2096" s="11" t="s">
        <v>7661</v>
      </c>
      <c r="E2096" s="11" t="s">
        <v>26</v>
      </c>
      <c r="F2096" s="11" t="s">
        <v>7662</v>
      </c>
      <c r="G2096" s="11" t="s">
        <v>28</v>
      </c>
      <c r="H2096" s="11" t="s">
        <v>7662</v>
      </c>
      <c r="I2096" s="11" t="s">
        <v>7663</v>
      </c>
      <c r="J2096" s="12">
        <v>0.6714</v>
      </c>
      <c r="K2096" s="13">
        <v>1</v>
      </c>
      <c r="L2096" s="14">
        <v>1394</v>
      </c>
      <c r="M2096" s="10">
        <v>936</v>
      </c>
      <c r="N2096" s="10">
        <v>154039</v>
      </c>
      <c r="O2096" s="10">
        <v>73400</v>
      </c>
      <c r="P2096" s="10">
        <v>227439</v>
      </c>
    </row>
    <row r="2097" spans="1:16" ht="27" customHeight="1" x14ac:dyDescent="0.2">
      <c r="A2097" s="9" t="s">
        <v>7620</v>
      </c>
      <c r="B2097" s="10" t="s">
        <v>7664</v>
      </c>
      <c r="C2097" s="11" t="s">
        <v>18</v>
      </c>
      <c r="D2097" s="11" t="s">
        <v>19</v>
      </c>
      <c r="E2097" s="11" t="s">
        <v>19</v>
      </c>
      <c r="F2097" s="11" t="s">
        <v>7665</v>
      </c>
      <c r="G2097" s="11" t="s">
        <v>83</v>
      </c>
      <c r="H2097" s="11" t="s">
        <v>7665</v>
      </c>
      <c r="I2097" s="11" t="s">
        <v>7666</v>
      </c>
      <c r="J2097" s="12">
        <v>0.41849999999999998</v>
      </c>
      <c r="K2097" s="13">
        <v>2</v>
      </c>
      <c r="L2097" s="14">
        <v>184</v>
      </c>
      <c r="M2097" s="10">
        <v>77</v>
      </c>
      <c r="N2097" s="10">
        <v>20332</v>
      </c>
      <c r="O2097" s="10">
        <v>6038</v>
      </c>
      <c r="P2097" s="10">
        <v>26370</v>
      </c>
    </row>
    <row r="2098" spans="1:16" ht="27" customHeight="1" x14ac:dyDescent="0.2">
      <c r="A2098" s="9" t="s">
        <v>7620</v>
      </c>
      <c r="B2098" s="10" t="s">
        <v>7664</v>
      </c>
      <c r="C2098" s="11" t="s">
        <v>7667</v>
      </c>
      <c r="D2098" s="11" t="s">
        <v>7668</v>
      </c>
      <c r="E2098" s="11" t="s">
        <v>26</v>
      </c>
      <c r="F2098" s="11" t="s">
        <v>7669</v>
      </c>
      <c r="G2098" s="11" t="s">
        <v>28</v>
      </c>
      <c r="H2098" s="11" t="s">
        <v>7669</v>
      </c>
      <c r="I2098" s="11" t="s">
        <v>7670</v>
      </c>
      <c r="J2098" s="12">
        <v>0.37359999999999999</v>
      </c>
      <c r="K2098" s="13">
        <v>1</v>
      </c>
      <c r="L2098" s="14">
        <v>613</v>
      </c>
      <c r="M2098" s="10">
        <v>229</v>
      </c>
      <c r="N2098" s="10">
        <v>67738</v>
      </c>
      <c r="O2098" s="10">
        <v>17958</v>
      </c>
      <c r="P2098" s="10">
        <v>85696</v>
      </c>
    </row>
    <row r="2099" spans="1:16" ht="27" customHeight="1" x14ac:dyDescent="0.2">
      <c r="A2099" s="9" t="s">
        <v>7620</v>
      </c>
      <c r="B2099" s="10" t="s">
        <v>7671</v>
      </c>
      <c r="C2099" s="11" t="s">
        <v>18</v>
      </c>
      <c r="D2099" s="11" t="s">
        <v>19</v>
      </c>
      <c r="E2099" s="11" t="s">
        <v>19</v>
      </c>
      <c r="F2099" s="11" t="s">
        <v>7672</v>
      </c>
      <c r="G2099" s="11" t="s">
        <v>83</v>
      </c>
      <c r="H2099" s="11" t="s">
        <v>7673</v>
      </c>
      <c r="I2099" s="11" t="s">
        <v>7674</v>
      </c>
      <c r="J2099" s="12">
        <v>0.29659999999999997</v>
      </c>
      <c r="K2099" s="13">
        <v>2</v>
      </c>
      <c r="L2099" s="14">
        <v>145</v>
      </c>
      <c r="M2099" s="10">
        <v>43</v>
      </c>
      <c r="N2099" s="10">
        <v>16023</v>
      </c>
      <c r="O2099" s="10">
        <v>3372</v>
      </c>
      <c r="P2099" s="10">
        <v>19395</v>
      </c>
    </row>
    <row r="2100" spans="1:16" ht="27" customHeight="1" x14ac:dyDescent="0.2">
      <c r="A2100" s="9" t="s">
        <v>7620</v>
      </c>
      <c r="B2100" s="10" t="s">
        <v>7675</v>
      </c>
      <c r="C2100" s="11" t="s">
        <v>18</v>
      </c>
      <c r="D2100" s="11" t="s">
        <v>19</v>
      </c>
      <c r="E2100" s="11" t="s">
        <v>19</v>
      </c>
      <c r="F2100" s="11" t="s">
        <v>7676</v>
      </c>
      <c r="G2100" s="11" t="s">
        <v>83</v>
      </c>
      <c r="H2100" s="11" t="s">
        <v>7623</v>
      </c>
      <c r="I2100" s="11" t="s">
        <v>7624</v>
      </c>
      <c r="J2100" s="12">
        <v>0.9647</v>
      </c>
      <c r="K2100" s="13">
        <v>3</v>
      </c>
      <c r="L2100" s="14">
        <v>802</v>
      </c>
      <c r="M2100" s="10">
        <v>206</v>
      </c>
      <c r="N2100" s="10">
        <v>88622</v>
      </c>
      <c r="O2100" s="10">
        <v>16154</v>
      </c>
      <c r="P2100" s="10">
        <v>104776</v>
      </c>
    </row>
    <row r="2101" spans="1:16" ht="27" customHeight="1" x14ac:dyDescent="0.2">
      <c r="A2101" s="9" t="s">
        <v>7620</v>
      </c>
      <c r="B2101" s="10" t="s">
        <v>7677</v>
      </c>
      <c r="C2101" s="11" t="s">
        <v>18</v>
      </c>
      <c r="D2101" s="11" t="s">
        <v>19</v>
      </c>
      <c r="E2101" s="11" t="s">
        <v>19</v>
      </c>
      <c r="F2101" s="11" t="s">
        <v>7678</v>
      </c>
      <c r="G2101" s="11" t="s">
        <v>83</v>
      </c>
      <c r="H2101" s="11" t="s">
        <v>7679</v>
      </c>
      <c r="I2101" s="11" t="s">
        <v>7680</v>
      </c>
      <c r="J2101" s="12">
        <v>0.82079999999999997</v>
      </c>
      <c r="K2101" s="13">
        <v>2</v>
      </c>
      <c r="L2101" s="14">
        <v>106</v>
      </c>
      <c r="M2101" s="10">
        <v>87</v>
      </c>
      <c r="N2101" s="10">
        <v>11713</v>
      </c>
      <c r="O2101" s="10">
        <v>6822</v>
      </c>
      <c r="P2101" s="10">
        <v>18535</v>
      </c>
    </row>
    <row r="2102" spans="1:16" ht="27" customHeight="1" x14ac:dyDescent="0.2">
      <c r="A2102" s="9" t="s">
        <v>7620</v>
      </c>
      <c r="B2102" s="10" t="s">
        <v>7677</v>
      </c>
      <c r="C2102" s="11" t="s">
        <v>7681</v>
      </c>
      <c r="D2102" s="11" t="s">
        <v>7682</v>
      </c>
      <c r="E2102" s="11" t="s">
        <v>26</v>
      </c>
      <c r="F2102" s="11" t="s">
        <v>7683</v>
      </c>
      <c r="G2102" s="11" t="s">
        <v>28</v>
      </c>
      <c r="H2102" s="11" t="s">
        <v>7683</v>
      </c>
      <c r="I2102" s="11" t="s">
        <v>7684</v>
      </c>
      <c r="J2102" s="12">
        <v>0.41270000000000001</v>
      </c>
      <c r="K2102" s="13">
        <v>1</v>
      </c>
      <c r="L2102" s="14">
        <v>2365</v>
      </c>
      <c r="M2102" s="10">
        <v>976</v>
      </c>
      <c r="N2102" s="10">
        <v>261336</v>
      </c>
      <c r="O2102" s="10">
        <v>76537</v>
      </c>
      <c r="P2102" s="10">
        <v>337873</v>
      </c>
    </row>
    <row r="2103" spans="1:16" ht="27" customHeight="1" x14ac:dyDescent="0.2">
      <c r="A2103" s="9" t="s">
        <v>7620</v>
      </c>
      <c r="B2103" s="10" t="s">
        <v>7685</v>
      </c>
      <c r="C2103" s="11" t="s">
        <v>18</v>
      </c>
      <c r="D2103" s="11" t="s">
        <v>19</v>
      </c>
      <c r="E2103" s="11" t="s">
        <v>19</v>
      </c>
      <c r="F2103" s="11" t="s">
        <v>7686</v>
      </c>
      <c r="G2103" s="11" t="s">
        <v>83</v>
      </c>
      <c r="H2103" s="11" t="s">
        <v>7623</v>
      </c>
      <c r="I2103" s="11" t="s">
        <v>7624</v>
      </c>
      <c r="J2103" s="12">
        <v>0.9647</v>
      </c>
      <c r="K2103" s="13">
        <v>18</v>
      </c>
      <c r="L2103" s="14">
        <v>12290</v>
      </c>
      <c r="M2103" s="10">
        <v>9132</v>
      </c>
      <c r="N2103" s="10">
        <v>1358063</v>
      </c>
      <c r="O2103" s="10">
        <v>716120</v>
      </c>
      <c r="P2103" s="10">
        <v>2074183</v>
      </c>
    </row>
    <row r="2104" spans="1:16" ht="27" customHeight="1" x14ac:dyDescent="0.2">
      <c r="A2104" s="9" t="s">
        <v>7620</v>
      </c>
      <c r="B2104" s="10" t="s">
        <v>7685</v>
      </c>
      <c r="C2104" s="11" t="s">
        <v>7687</v>
      </c>
      <c r="D2104" s="11" t="s">
        <v>7688</v>
      </c>
      <c r="E2104" s="11" t="s">
        <v>26</v>
      </c>
      <c r="F2104" s="11" t="s">
        <v>7689</v>
      </c>
      <c r="G2104" s="11" t="s">
        <v>28</v>
      </c>
      <c r="H2104" s="11" t="s">
        <v>7689</v>
      </c>
      <c r="I2104" s="11" t="s">
        <v>7690</v>
      </c>
      <c r="J2104" s="12">
        <v>0.36249999999999999</v>
      </c>
      <c r="K2104" s="13">
        <v>1</v>
      </c>
      <c r="L2104" s="14">
        <v>480</v>
      </c>
      <c r="M2104" s="10">
        <v>174</v>
      </c>
      <c r="N2104" s="10">
        <v>53041</v>
      </c>
      <c r="O2104" s="10">
        <v>13645</v>
      </c>
      <c r="P2104" s="10">
        <v>66686</v>
      </c>
    </row>
    <row r="2105" spans="1:16" ht="27" customHeight="1" x14ac:dyDescent="0.2">
      <c r="A2105" s="9" t="s">
        <v>7620</v>
      </c>
      <c r="B2105" s="10" t="s">
        <v>7685</v>
      </c>
      <c r="C2105" s="11" t="s">
        <v>7691</v>
      </c>
      <c r="D2105" s="11" t="s">
        <v>7692</v>
      </c>
      <c r="E2105" s="11" t="s">
        <v>26</v>
      </c>
      <c r="F2105" s="11" t="s">
        <v>7693</v>
      </c>
      <c r="G2105" s="11" t="s">
        <v>28</v>
      </c>
      <c r="H2105" s="11" t="s">
        <v>7693</v>
      </c>
      <c r="I2105" s="11" t="s">
        <v>7694</v>
      </c>
      <c r="J2105" s="12">
        <v>0.81340000000000001</v>
      </c>
      <c r="K2105" s="13">
        <v>1</v>
      </c>
      <c r="L2105" s="14">
        <v>268</v>
      </c>
      <c r="M2105" s="10">
        <v>218</v>
      </c>
      <c r="N2105" s="10">
        <v>29614</v>
      </c>
      <c r="O2105" s="10">
        <v>17095</v>
      </c>
      <c r="P2105" s="10">
        <v>46709</v>
      </c>
    </row>
    <row r="2106" spans="1:16" ht="27" customHeight="1" x14ac:dyDescent="0.2">
      <c r="A2106" s="9" t="s">
        <v>7695</v>
      </c>
      <c r="B2106" s="10" t="s">
        <v>7696</v>
      </c>
      <c r="C2106" s="11" t="s">
        <v>18</v>
      </c>
      <c r="D2106" s="11" t="s">
        <v>19</v>
      </c>
      <c r="E2106" s="11" t="s">
        <v>19</v>
      </c>
      <c r="F2106" s="11" t="s">
        <v>7697</v>
      </c>
      <c r="G2106" s="11" t="s">
        <v>21</v>
      </c>
      <c r="H2106" s="11" t="s">
        <v>7698</v>
      </c>
      <c r="I2106" s="11" t="s">
        <v>7699</v>
      </c>
      <c r="J2106" s="12">
        <v>0.9889</v>
      </c>
      <c r="K2106" s="13">
        <v>3</v>
      </c>
      <c r="L2106" s="14">
        <v>277</v>
      </c>
      <c r="M2106" s="10">
        <v>252</v>
      </c>
      <c r="N2106" s="10">
        <v>30609</v>
      </c>
      <c r="O2106" s="10">
        <v>19762</v>
      </c>
      <c r="P2106" s="10">
        <v>50371</v>
      </c>
    </row>
    <row r="2107" spans="1:16" ht="27" customHeight="1" x14ac:dyDescent="0.2">
      <c r="A2107" s="9" t="s">
        <v>7695</v>
      </c>
      <c r="B2107" s="10" t="s">
        <v>7696</v>
      </c>
      <c r="C2107" s="11" t="s">
        <v>7700</v>
      </c>
      <c r="D2107" s="11" t="s">
        <v>7701</v>
      </c>
      <c r="E2107" s="11" t="s">
        <v>57</v>
      </c>
      <c r="F2107" s="11" t="s">
        <v>7702</v>
      </c>
      <c r="G2107" s="11" t="s">
        <v>28</v>
      </c>
      <c r="H2107" s="11" t="s">
        <v>7702</v>
      </c>
      <c r="I2107" s="11" t="s">
        <v>7703</v>
      </c>
      <c r="J2107" s="12">
        <v>0.77459999999999996</v>
      </c>
      <c r="K2107" s="13">
        <v>1</v>
      </c>
      <c r="L2107" s="14">
        <v>71</v>
      </c>
      <c r="M2107" s="10">
        <v>55</v>
      </c>
      <c r="N2107" s="10">
        <v>7846</v>
      </c>
      <c r="O2107" s="10">
        <v>4313</v>
      </c>
      <c r="P2107" s="10">
        <v>12159</v>
      </c>
    </row>
    <row r="2108" spans="1:16" ht="27" customHeight="1" x14ac:dyDescent="0.2">
      <c r="A2108" s="9" t="s">
        <v>7695</v>
      </c>
      <c r="B2108" s="10" t="s">
        <v>7696</v>
      </c>
      <c r="C2108" s="11" t="s">
        <v>7704</v>
      </c>
      <c r="D2108" s="11" t="s">
        <v>7705</v>
      </c>
      <c r="E2108" s="11" t="s">
        <v>26</v>
      </c>
      <c r="F2108" s="11" t="s">
        <v>7706</v>
      </c>
      <c r="G2108" s="11" t="s">
        <v>28</v>
      </c>
      <c r="H2108" s="11" t="s">
        <v>7698</v>
      </c>
      <c r="I2108" s="11" t="s">
        <v>7699</v>
      </c>
      <c r="J2108" s="12">
        <v>0.9889</v>
      </c>
      <c r="K2108" s="13">
        <v>1</v>
      </c>
      <c r="L2108" s="14">
        <v>116</v>
      </c>
      <c r="M2108" s="10">
        <v>88</v>
      </c>
      <c r="N2108" s="10">
        <v>12818</v>
      </c>
      <c r="O2108" s="10">
        <v>6901</v>
      </c>
      <c r="P2108" s="10">
        <v>19719</v>
      </c>
    </row>
    <row r="2109" spans="1:16" ht="27" customHeight="1" x14ac:dyDescent="0.2">
      <c r="A2109" s="9" t="s">
        <v>7695</v>
      </c>
      <c r="B2109" s="10" t="s">
        <v>7707</v>
      </c>
      <c r="C2109" s="11" t="s">
        <v>18</v>
      </c>
      <c r="D2109" s="11" t="s">
        <v>19</v>
      </c>
      <c r="E2109" s="11" t="s">
        <v>19</v>
      </c>
      <c r="F2109" s="11" t="s">
        <v>1963</v>
      </c>
      <c r="G2109" s="11" t="s">
        <v>83</v>
      </c>
      <c r="H2109" s="11" t="s">
        <v>7708</v>
      </c>
      <c r="I2109" s="11" t="s">
        <v>7709</v>
      </c>
      <c r="J2109" s="12">
        <v>0.94740000000000002</v>
      </c>
      <c r="K2109" s="13">
        <v>4</v>
      </c>
      <c r="L2109" s="14">
        <v>721</v>
      </c>
      <c r="M2109" s="10">
        <v>422</v>
      </c>
      <c r="N2109" s="10">
        <v>79673</v>
      </c>
      <c r="O2109" s="10">
        <v>33093</v>
      </c>
      <c r="P2109" s="10">
        <v>112766</v>
      </c>
    </row>
    <row r="2110" spans="1:16" ht="27" customHeight="1" x14ac:dyDescent="0.2">
      <c r="A2110" s="9" t="s">
        <v>7695</v>
      </c>
      <c r="B2110" s="10" t="s">
        <v>7707</v>
      </c>
      <c r="C2110" s="11" t="s">
        <v>7710</v>
      </c>
      <c r="D2110" s="11" t="s">
        <v>7711</v>
      </c>
      <c r="E2110" s="11" t="s">
        <v>57</v>
      </c>
      <c r="F2110" s="11" t="s">
        <v>7712</v>
      </c>
      <c r="G2110" s="11" t="s">
        <v>28</v>
      </c>
      <c r="H2110" s="11" t="s">
        <v>7698</v>
      </c>
      <c r="I2110" s="11" t="s">
        <v>7699</v>
      </c>
      <c r="J2110" s="12">
        <v>0.9889</v>
      </c>
      <c r="K2110" s="13">
        <v>1</v>
      </c>
      <c r="L2110" s="14">
        <v>94</v>
      </c>
      <c r="M2110" s="10">
        <v>71</v>
      </c>
      <c r="N2110" s="10">
        <v>10387</v>
      </c>
      <c r="O2110" s="10">
        <v>5568</v>
      </c>
      <c r="P2110" s="10">
        <v>15955</v>
      </c>
    </row>
    <row r="2111" spans="1:16" ht="27" customHeight="1" x14ac:dyDescent="0.2">
      <c r="A2111" s="9" t="s">
        <v>7695</v>
      </c>
      <c r="B2111" s="10" t="s">
        <v>7713</v>
      </c>
      <c r="C2111" s="11" t="s">
        <v>18</v>
      </c>
      <c r="D2111" s="11" t="s">
        <v>19</v>
      </c>
      <c r="E2111" s="11" t="s">
        <v>19</v>
      </c>
      <c r="F2111" s="11" t="s">
        <v>7714</v>
      </c>
      <c r="G2111" s="11" t="s">
        <v>83</v>
      </c>
      <c r="H2111" s="11" t="s">
        <v>7698</v>
      </c>
      <c r="I2111" s="11" t="s">
        <v>7699</v>
      </c>
      <c r="J2111" s="12">
        <v>0.9889</v>
      </c>
      <c r="K2111" s="13">
        <v>7</v>
      </c>
      <c r="L2111" s="14">
        <v>2011</v>
      </c>
      <c r="M2111" s="10">
        <v>1783</v>
      </c>
      <c r="N2111" s="10">
        <v>222220</v>
      </c>
      <c r="O2111" s="10">
        <v>139821</v>
      </c>
      <c r="P2111" s="10">
        <v>362041</v>
      </c>
    </row>
    <row r="2112" spans="1:16" ht="27" customHeight="1" x14ac:dyDescent="0.2">
      <c r="A2112" s="9" t="s">
        <v>7695</v>
      </c>
      <c r="B2112" s="10" t="s">
        <v>7715</v>
      </c>
      <c r="C2112" s="11" t="s">
        <v>18</v>
      </c>
      <c r="D2112" s="11" t="s">
        <v>19</v>
      </c>
      <c r="E2112" s="11" t="s">
        <v>19</v>
      </c>
      <c r="F2112" s="11" t="s">
        <v>7716</v>
      </c>
      <c r="G2112" s="11" t="s">
        <v>83</v>
      </c>
      <c r="H2112" s="11" t="s">
        <v>7698</v>
      </c>
      <c r="I2112" s="11" t="s">
        <v>7699</v>
      </c>
      <c r="J2112" s="12">
        <v>0.9889</v>
      </c>
      <c r="K2112" s="13">
        <v>4</v>
      </c>
      <c r="L2112" s="14">
        <v>1138</v>
      </c>
      <c r="M2112" s="10">
        <v>840</v>
      </c>
      <c r="N2112" s="10">
        <v>125751</v>
      </c>
      <c r="O2112" s="10">
        <v>65872</v>
      </c>
      <c r="P2112" s="10">
        <v>191623</v>
      </c>
    </row>
    <row r="2113" spans="1:16" ht="27" customHeight="1" x14ac:dyDescent="0.2">
      <c r="A2113" s="9" t="s">
        <v>7695</v>
      </c>
      <c r="B2113" s="10" t="s">
        <v>7717</v>
      </c>
      <c r="C2113" s="11" t="s">
        <v>18</v>
      </c>
      <c r="D2113" s="11" t="s">
        <v>19</v>
      </c>
      <c r="E2113" s="11" t="s">
        <v>19</v>
      </c>
      <c r="F2113" s="11" t="s">
        <v>7718</v>
      </c>
      <c r="G2113" s="11" t="s">
        <v>83</v>
      </c>
      <c r="H2113" s="11" t="s">
        <v>1883</v>
      </c>
      <c r="I2113" s="11" t="s">
        <v>7719</v>
      </c>
      <c r="J2113" s="12">
        <v>0.59240000000000004</v>
      </c>
      <c r="K2113" s="13">
        <v>6</v>
      </c>
      <c r="L2113" s="14">
        <v>1084</v>
      </c>
      <c r="M2113" s="10">
        <v>626</v>
      </c>
      <c r="N2113" s="10">
        <v>119784</v>
      </c>
      <c r="O2113" s="10">
        <v>49090</v>
      </c>
      <c r="P2113" s="10">
        <v>168874</v>
      </c>
    </row>
    <row r="2114" spans="1:16" ht="27" customHeight="1" x14ac:dyDescent="0.2">
      <c r="A2114" s="9" t="s">
        <v>7695</v>
      </c>
      <c r="B2114" s="10" t="s">
        <v>7717</v>
      </c>
      <c r="C2114" s="11" t="s">
        <v>7720</v>
      </c>
      <c r="D2114" s="11" t="s">
        <v>7721</v>
      </c>
      <c r="E2114" s="11" t="s">
        <v>57</v>
      </c>
      <c r="F2114" s="11" t="s">
        <v>7722</v>
      </c>
      <c r="G2114" s="11" t="s">
        <v>28</v>
      </c>
      <c r="H2114" s="11" t="s">
        <v>7722</v>
      </c>
      <c r="I2114" s="11" t="s">
        <v>7723</v>
      </c>
      <c r="J2114" s="12">
        <v>0.54790000000000005</v>
      </c>
      <c r="K2114" s="13">
        <v>1</v>
      </c>
      <c r="L2114" s="14">
        <v>146</v>
      </c>
      <c r="M2114" s="10">
        <v>80</v>
      </c>
      <c r="N2114" s="10">
        <v>16133</v>
      </c>
      <c r="O2114" s="10">
        <v>6274</v>
      </c>
      <c r="P2114" s="10">
        <v>22407</v>
      </c>
    </row>
    <row r="2115" spans="1:16" ht="27" customHeight="1" x14ac:dyDescent="0.2">
      <c r="A2115" s="9" t="s">
        <v>7695</v>
      </c>
      <c r="B2115" s="10" t="s">
        <v>7724</v>
      </c>
      <c r="C2115" s="11" t="s">
        <v>18</v>
      </c>
      <c r="D2115" s="11" t="s">
        <v>19</v>
      </c>
      <c r="E2115" s="11" t="s">
        <v>19</v>
      </c>
      <c r="F2115" s="11" t="s">
        <v>7725</v>
      </c>
      <c r="G2115" s="11" t="s">
        <v>83</v>
      </c>
      <c r="H2115" s="11" t="s">
        <v>7726</v>
      </c>
      <c r="I2115" s="11" t="s">
        <v>7727</v>
      </c>
      <c r="J2115" s="12">
        <v>0.6</v>
      </c>
      <c r="K2115" s="13">
        <v>2</v>
      </c>
      <c r="L2115" s="14">
        <v>45</v>
      </c>
      <c r="M2115" s="10">
        <v>27</v>
      </c>
      <c r="N2115" s="10">
        <v>4973</v>
      </c>
      <c r="O2115" s="10">
        <v>2117</v>
      </c>
      <c r="P2115" s="10">
        <v>7090</v>
      </c>
    </row>
    <row r="2116" spans="1:16" ht="27" customHeight="1" x14ac:dyDescent="0.2">
      <c r="A2116" s="9" t="s">
        <v>7695</v>
      </c>
      <c r="B2116" s="10" t="s">
        <v>7728</v>
      </c>
      <c r="C2116" s="11" t="s">
        <v>18</v>
      </c>
      <c r="D2116" s="11" t="s">
        <v>19</v>
      </c>
      <c r="E2116" s="11" t="s">
        <v>19</v>
      </c>
      <c r="F2116" s="11" t="s">
        <v>7729</v>
      </c>
      <c r="G2116" s="11" t="s">
        <v>83</v>
      </c>
      <c r="H2116" s="11" t="s">
        <v>7730</v>
      </c>
      <c r="I2116" s="11" t="s">
        <v>7731</v>
      </c>
      <c r="J2116" s="12">
        <v>0.8246</v>
      </c>
      <c r="K2116" s="13">
        <v>2</v>
      </c>
      <c r="L2116" s="14">
        <v>405</v>
      </c>
      <c r="M2116" s="10">
        <v>334</v>
      </c>
      <c r="N2116" s="10">
        <v>44753</v>
      </c>
      <c r="O2116" s="10">
        <v>26192</v>
      </c>
      <c r="P2116" s="10">
        <v>70945</v>
      </c>
    </row>
    <row r="2117" spans="1:16" ht="27" customHeight="1" x14ac:dyDescent="0.2">
      <c r="A2117" s="9" t="s">
        <v>7695</v>
      </c>
      <c r="B2117" s="10" t="s">
        <v>7732</v>
      </c>
      <c r="C2117" s="11" t="s">
        <v>18</v>
      </c>
      <c r="D2117" s="11" t="s">
        <v>19</v>
      </c>
      <c r="E2117" s="11" t="s">
        <v>19</v>
      </c>
      <c r="F2117" s="11" t="s">
        <v>7733</v>
      </c>
      <c r="G2117" s="11" t="s">
        <v>83</v>
      </c>
      <c r="H2117" s="11" t="s">
        <v>7733</v>
      </c>
      <c r="I2117" s="11" t="s">
        <v>7734</v>
      </c>
      <c r="J2117" s="12">
        <v>0.45100000000000001</v>
      </c>
      <c r="K2117" s="13">
        <v>2</v>
      </c>
      <c r="L2117" s="14">
        <v>102</v>
      </c>
      <c r="M2117" s="10">
        <v>46</v>
      </c>
      <c r="N2117" s="10">
        <v>11271</v>
      </c>
      <c r="O2117" s="10">
        <v>3607</v>
      </c>
      <c r="P2117" s="10">
        <v>14878</v>
      </c>
    </row>
    <row r="2118" spans="1:16" ht="27" customHeight="1" x14ac:dyDescent="0.2">
      <c r="A2118" s="9" t="s">
        <v>7695</v>
      </c>
      <c r="B2118" s="10" t="s">
        <v>7735</v>
      </c>
      <c r="C2118" s="11" t="s">
        <v>18</v>
      </c>
      <c r="D2118" s="11" t="s">
        <v>19</v>
      </c>
      <c r="E2118" s="11" t="s">
        <v>19</v>
      </c>
      <c r="F2118" s="11" t="s">
        <v>7736</v>
      </c>
      <c r="G2118" s="11" t="s">
        <v>83</v>
      </c>
      <c r="H2118" s="11" t="s">
        <v>7737</v>
      </c>
      <c r="I2118" s="11" t="s">
        <v>7738</v>
      </c>
      <c r="J2118" s="12">
        <v>0.48039999999999999</v>
      </c>
      <c r="K2118" s="13">
        <v>2</v>
      </c>
      <c r="L2118" s="14">
        <v>360</v>
      </c>
      <c r="M2118" s="10">
        <v>173</v>
      </c>
      <c r="N2118" s="10">
        <v>39781</v>
      </c>
      <c r="O2118" s="10">
        <v>13566</v>
      </c>
      <c r="P2118" s="10">
        <v>53347</v>
      </c>
    </row>
    <row r="2119" spans="1:16" ht="27" customHeight="1" x14ac:dyDescent="0.2">
      <c r="A2119" s="9" t="s">
        <v>7695</v>
      </c>
      <c r="B2119" s="10" t="s">
        <v>7739</v>
      </c>
      <c r="C2119" s="11" t="s">
        <v>18</v>
      </c>
      <c r="D2119" s="11" t="s">
        <v>19</v>
      </c>
      <c r="E2119" s="11" t="s">
        <v>19</v>
      </c>
      <c r="F2119" s="11" t="s">
        <v>7740</v>
      </c>
      <c r="G2119" s="11" t="s">
        <v>83</v>
      </c>
      <c r="H2119" s="11" t="s">
        <v>7741</v>
      </c>
      <c r="I2119" s="11" t="s">
        <v>7742</v>
      </c>
      <c r="J2119" s="12">
        <v>0.81779999999999997</v>
      </c>
      <c r="K2119" s="13">
        <v>4</v>
      </c>
      <c r="L2119" s="14">
        <v>531</v>
      </c>
      <c r="M2119" s="10">
        <v>386</v>
      </c>
      <c r="N2119" s="10">
        <v>58677</v>
      </c>
      <c r="O2119" s="10">
        <v>30270</v>
      </c>
      <c r="P2119" s="10">
        <v>88947</v>
      </c>
    </row>
    <row r="2120" spans="1:16" ht="27" customHeight="1" x14ac:dyDescent="0.2">
      <c r="A2120" s="9" t="s">
        <v>7695</v>
      </c>
      <c r="B2120" s="10" t="s">
        <v>7743</v>
      </c>
      <c r="C2120" s="11" t="s">
        <v>18</v>
      </c>
      <c r="D2120" s="11" t="s">
        <v>19</v>
      </c>
      <c r="E2120" s="11" t="s">
        <v>19</v>
      </c>
      <c r="F2120" s="11" t="s">
        <v>7744</v>
      </c>
      <c r="G2120" s="11" t="s">
        <v>83</v>
      </c>
      <c r="H2120" s="11" t="s">
        <v>7745</v>
      </c>
      <c r="I2120" s="11" t="s">
        <v>7746</v>
      </c>
      <c r="J2120" s="12">
        <v>0.87470000000000003</v>
      </c>
      <c r="K2120" s="13">
        <v>6</v>
      </c>
      <c r="L2120" s="14">
        <v>1866</v>
      </c>
      <c r="M2120" s="10">
        <v>1535</v>
      </c>
      <c r="N2120" s="10">
        <v>206195</v>
      </c>
      <c r="O2120" s="10">
        <v>120373</v>
      </c>
      <c r="P2120" s="10">
        <v>326568</v>
      </c>
    </row>
    <row r="2121" spans="1:16" ht="27" customHeight="1" x14ac:dyDescent="0.2">
      <c r="A2121" s="9" t="s">
        <v>7695</v>
      </c>
      <c r="B2121" s="10" t="s">
        <v>7747</v>
      </c>
      <c r="C2121" s="11" t="s">
        <v>18</v>
      </c>
      <c r="D2121" s="11" t="s">
        <v>19</v>
      </c>
      <c r="E2121" s="11" t="s">
        <v>19</v>
      </c>
      <c r="F2121" s="11" t="s">
        <v>7748</v>
      </c>
      <c r="G2121" s="11" t="s">
        <v>83</v>
      </c>
      <c r="H2121" s="11" t="s">
        <v>7698</v>
      </c>
      <c r="I2121" s="11" t="s">
        <v>7699</v>
      </c>
      <c r="J2121" s="12">
        <v>0.9889</v>
      </c>
      <c r="K2121" s="13">
        <v>3</v>
      </c>
      <c r="L2121" s="14">
        <v>1747</v>
      </c>
      <c r="M2121" s="10">
        <v>1143</v>
      </c>
      <c r="N2121" s="10">
        <v>193047</v>
      </c>
      <c r="O2121" s="10">
        <v>89633</v>
      </c>
      <c r="P2121" s="10">
        <v>282680</v>
      </c>
    </row>
    <row r="2122" spans="1:16" ht="27" customHeight="1" x14ac:dyDescent="0.2">
      <c r="A2122" s="9" t="s">
        <v>7695</v>
      </c>
      <c r="B2122" s="10" t="s">
        <v>7749</v>
      </c>
      <c r="C2122" s="11" t="s">
        <v>18</v>
      </c>
      <c r="D2122" s="11" t="s">
        <v>19</v>
      </c>
      <c r="E2122" s="11" t="s">
        <v>19</v>
      </c>
      <c r="F2122" s="11" t="s">
        <v>7750</v>
      </c>
      <c r="G2122" s="11" t="s">
        <v>83</v>
      </c>
      <c r="H2122" s="11" t="s">
        <v>7750</v>
      </c>
      <c r="I2122" s="11" t="s">
        <v>7751</v>
      </c>
      <c r="J2122" s="12">
        <v>0.58009999999999995</v>
      </c>
      <c r="K2122" s="13">
        <v>2</v>
      </c>
      <c r="L2122" s="14">
        <v>182</v>
      </c>
      <c r="M2122" s="10">
        <v>106</v>
      </c>
      <c r="N2122" s="10">
        <v>20112</v>
      </c>
      <c r="O2122" s="10">
        <v>8312</v>
      </c>
      <c r="P2122" s="10">
        <v>28424</v>
      </c>
    </row>
    <row r="2123" spans="1:16" ht="27" customHeight="1" x14ac:dyDescent="0.2">
      <c r="A2123" s="9" t="s">
        <v>7695</v>
      </c>
      <c r="B2123" s="10" t="s">
        <v>7752</v>
      </c>
      <c r="C2123" s="11" t="s">
        <v>18</v>
      </c>
      <c r="D2123" s="11" t="s">
        <v>19</v>
      </c>
      <c r="E2123" s="11" t="s">
        <v>19</v>
      </c>
      <c r="F2123" s="11" t="s">
        <v>7753</v>
      </c>
      <c r="G2123" s="11" t="s">
        <v>83</v>
      </c>
      <c r="H2123" s="11" t="s">
        <v>7753</v>
      </c>
      <c r="I2123" s="11" t="s">
        <v>7754</v>
      </c>
      <c r="J2123" s="12">
        <v>0.42020000000000002</v>
      </c>
      <c r="K2123" s="13">
        <v>2</v>
      </c>
      <c r="L2123" s="14">
        <v>238</v>
      </c>
      <c r="M2123" s="10">
        <v>100</v>
      </c>
      <c r="N2123" s="10">
        <v>26299</v>
      </c>
      <c r="O2123" s="10">
        <v>7842</v>
      </c>
      <c r="P2123" s="10">
        <v>34141</v>
      </c>
    </row>
    <row r="2124" spans="1:16" ht="27" customHeight="1" x14ac:dyDescent="0.2">
      <c r="A2124" s="9" t="s">
        <v>7755</v>
      </c>
      <c r="B2124" s="10" t="s">
        <v>7756</v>
      </c>
      <c r="C2124" s="11" t="s">
        <v>18</v>
      </c>
      <c r="D2124" s="11" t="s">
        <v>19</v>
      </c>
      <c r="E2124" s="11" t="s">
        <v>19</v>
      </c>
      <c r="F2124" s="11" t="s">
        <v>7757</v>
      </c>
      <c r="G2124" s="11" t="s">
        <v>21</v>
      </c>
      <c r="H2124" s="11" t="s">
        <v>7758</v>
      </c>
      <c r="I2124" s="11" t="s">
        <v>7759</v>
      </c>
      <c r="J2124" s="12">
        <v>0.84619999999999995</v>
      </c>
      <c r="K2124" s="13">
        <v>2</v>
      </c>
      <c r="L2124" s="14">
        <v>37</v>
      </c>
      <c r="M2124" s="10">
        <v>30</v>
      </c>
      <c r="N2124" s="10">
        <v>4089</v>
      </c>
      <c r="O2124" s="10">
        <v>2353</v>
      </c>
      <c r="P2124" s="10">
        <v>6442</v>
      </c>
    </row>
    <row r="2125" spans="1:16" ht="27" customHeight="1" x14ac:dyDescent="0.2">
      <c r="A2125" s="9" t="s">
        <v>7755</v>
      </c>
      <c r="B2125" s="10" t="s">
        <v>7756</v>
      </c>
      <c r="C2125" s="11" t="s">
        <v>7760</v>
      </c>
      <c r="D2125" s="11" t="s">
        <v>7761</v>
      </c>
      <c r="E2125" s="11" t="s">
        <v>26</v>
      </c>
      <c r="F2125" s="11" t="s">
        <v>7762</v>
      </c>
      <c r="G2125" s="11" t="s">
        <v>28</v>
      </c>
      <c r="H2125" s="11" t="s">
        <v>7758</v>
      </c>
      <c r="I2125" s="11" t="s">
        <v>7759</v>
      </c>
      <c r="J2125" s="12">
        <v>0.84619999999999995</v>
      </c>
      <c r="K2125" s="13">
        <v>1</v>
      </c>
      <c r="L2125" s="14">
        <v>98</v>
      </c>
      <c r="M2125" s="10">
        <v>85</v>
      </c>
      <c r="N2125" s="10">
        <v>10829</v>
      </c>
      <c r="O2125" s="10">
        <v>6666</v>
      </c>
      <c r="P2125" s="10">
        <v>17495</v>
      </c>
    </row>
    <row r="2126" spans="1:16" ht="27" customHeight="1" x14ac:dyDescent="0.2">
      <c r="A2126" s="9" t="s">
        <v>7755</v>
      </c>
      <c r="B2126" s="10" t="s">
        <v>7763</v>
      </c>
      <c r="C2126" s="11" t="s">
        <v>18</v>
      </c>
      <c r="D2126" s="11" t="s">
        <v>19</v>
      </c>
      <c r="E2126" s="11" t="s">
        <v>19</v>
      </c>
      <c r="F2126" s="11" t="s">
        <v>7764</v>
      </c>
      <c r="G2126" s="11" t="s">
        <v>83</v>
      </c>
      <c r="H2126" s="11" t="s">
        <v>7764</v>
      </c>
      <c r="I2126" s="11" t="s">
        <v>7765</v>
      </c>
      <c r="J2126" s="12">
        <v>0.57140000000000002</v>
      </c>
      <c r="K2126" s="13">
        <v>2</v>
      </c>
      <c r="L2126" s="14">
        <v>91</v>
      </c>
      <c r="M2126" s="10">
        <v>52</v>
      </c>
      <c r="N2126" s="10">
        <v>10056</v>
      </c>
      <c r="O2126" s="10">
        <v>4078</v>
      </c>
      <c r="P2126" s="10">
        <v>14134</v>
      </c>
    </row>
    <row r="2127" spans="1:16" ht="27" customHeight="1" x14ac:dyDescent="0.2">
      <c r="A2127" s="9" t="s">
        <v>7755</v>
      </c>
      <c r="B2127" s="10" t="s">
        <v>7766</v>
      </c>
      <c r="C2127" s="11" t="s">
        <v>18</v>
      </c>
      <c r="D2127" s="11" t="s">
        <v>19</v>
      </c>
      <c r="E2127" s="11" t="s">
        <v>19</v>
      </c>
      <c r="F2127" s="11" t="s">
        <v>7767</v>
      </c>
      <c r="G2127" s="11" t="s">
        <v>83</v>
      </c>
      <c r="H2127" s="11" t="s">
        <v>7767</v>
      </c>
      <c r="I2127" s="11" t="s">
        <v>7768</v>
      </c>
      <c r="J2127" s="12">
        <v>0.77780000000000005</v>
      </c>
      <c r="K2127" s="13">
        <v>2</v>
      </c>
      <c r="L2127" s="14">
        <v>9</v>
      </c>
      <c r="M2127" s="10">
        <v>7</v>
      </c>
      <c r="N2127" s="10">
        <v>995</v>
      </c>
      <c r="O2127" s="10">
        <v>549</v>
      </c>
      <c r="P2127" s="10">
        <v>1544</v>
      </c>
    </row>
    <row r="2128" spans="1:16" ht="27" customHeight="1" x14ac:dyDescent="0.2">
      <c r="A2128" s="9" t="s">
        <v>7755</v>
      </c>
      <c r="B2128" s="10" t="s">
        <v>7769</v>
      </c>
      <c r="C2128" s="11" t="s">
        <v>18</v>
      </c>
      <c r="D2128" s="11" t="s">
        <v>19</v>
      </c>
      <c r="E2128" s="11" t="s">
        <v>19</v>
      </c>
      <c r="F2128" s="11" t="s">
        <v>7770</v>
      </c>
      <c r="G2128" s="11" t="s">
        <v>83</v>
      </c>
      <c r="H2128" s="11" t="s">
        <v>7770</v>
      </c>
      <c r="I2128" s="11" t="s">
        <v>7771</v>
      </c>
      <c r="J2128" s="12">
        <v>0.48770000000000002</v>
      </c>
      <c r="K2128" s="13">
        <v>2</v>
      </c>
      <c r="L2128" s="14">
        <v>162</v>
      </c>
      <c r="M2128" s="10">
        <v>79</v>
      </c>
      <c r="N2128" s="10">
        <v>17901</v>
      </c>
      <c r="O2128" s="10">
        <v>6195</v>
      </c>
      <c r="P2128" s="10">
        <v>24096</v>
      </c>
    </row>
    <row r="2129" spans="1:16" ht="27" customHeight="1" x14ac:dyDescent="0.2">
      <c r="A2129" s="9" t="s">
        <v>7755</v>
      </c>
      <c r="B2129" s="10" t="s">
        <v>7772</v>
      </c>
      <c r="C2129" s="11" t="s">
        <v>18</v>
      </c>
      <c r="D2129" s="11" t="s">
        <v>19</v>
      </c>
      <c r="E2129" s="11" t="s">
        <v>19</v>
      </c>
      <c r="F2129" s="11" t="s">
        <v>7773</v>
      </c>
      <c r="G2129" s="11" t="s">
        <v>83</v>
      </c>
      <c r="H2129" s="11" t="s">
        <v>7773</v>
      </c>
      <c r="I2129" s="11" t="s">
        <v>7774</v>
      </c>
      <c r="J2129" s="12">
        <v>0.58730000000000004</v>
      </c>
      <c r="K2129" s="13">
        <v>2</v>
      </c>
      <c r="L2129" s="14">
        <v>63</v>
      </c>
      <c r="M2129" s="10">
        <v>37</v>
      </c>
      <c r="N2129" s="10">
        <v>6962</v>
      </c>
      <c r="O2129" s="10">
        <v>2902</v>
      </c>
      <c r="P2129" s="10">
        <v>9864</v>
      </c>
    </row>
    <row r="2130" spans="1:16" ht="27" customHeight="1" x14ac:dyDescent="0.2">
      <c r="A2130" s="9" t="s">
        <v>7755</v>
      </c>
      <c r="B2130" s="10" t="s">
        <v>7775</v>
      </c>
      <c r="C2130" s="11" t="s">
        <v>18</v>
      </c>
      <c r="D2130" s="11" t="s">
        <v>19</v>
      </c>
      <c r="E2130" s="11" t="s">
        <v>19</v>
      </c>
      <c r="F2130" s="11" t="s">
        <v>7776</v>
      </c>
      <c r="G2130" s="11" t="s">
        <v>83</v>
      </c>
      <c r="H2130" s="11" t="s">
        <v>7776</v>
      </c>
      <c r="I2130" s="11" t="s">
        <v>7777</v>
      </c>
      <c r="J2130" s="12">
        <v>0.66669999999999996</v>
      </c>
      <c r="K2130" s="13">
        <v>2</v>
      </c>
      <c r="L2130" s="14">
        <v>75</v>
      </c>
      <c r="M2130" s="10">
        <v>50</v>
      </c>
      <c r="N2130" s="10">
        <v>8288</v>
      </c>
      <c r="O2130" s="10">
        <v>3921</v>
      </c>
      <c r="P2130" s="10">
        <v>12209</v>
      </c>
    </row>
    <row r="2131" spans="1:16" ht="27" customHeight="1" x14ac:dyDescent="0.2">
      <c r="A2131" s="9" t="s">
        <v>7755</v>
      </c>
      <c r="B2131" s="10" t="s">
        <v>7778</v>
      </c>
      <c r="C2131" s="11" t="s">
        <v>18</v>
      </c>
      <c r="D2131" s="11" t="s">
        <v>19</v>
      </c>
      <c r="E2131" s="11" t="s">
        <v>19</v>
      </c>
      <c r="F2131" s="11" t="s">
        <v>7758</v>
      </c>
      <c r="G2131" s="11" t="s">
        <v>83</v>
      </c>
      <c r="H2131" s="11" t="s">
        <v>7758</v>
      </c>
      <c r="I2131" s="11" t="s">
        <v>7759</v>
      </c>
      <c r="J2131" s="12">
        <v>0.84619999999999995</v>
      </c>
      <c r="K2131" s="13">
        <v>2</v>
      </c>
      <c r="L2131" s="14">
        <v>13</v>
      </c>
      <c r="M2131" s="10">
        <v>11</v>
      </c>
      <c r="N2131" s="10">
        <v>1437</v>
      </c>
      <c r="O2131" s="10">
        <v>863</v>
      </c>
      <c r="P2131" s="10">
        <v>2300</v>
      </c>
    </row>
    <row r="2132" spans="1:16" ht="27" customHeight="1" x14ac:dyDescent="0.2">
      <c r="A2132" s="9" t="s">
        <v>7755</v>
      </c>
      <c r="B2132" s="10" t="s">
        <v>7779</v>
      </c>
      <c r="C2132" s="11" t="s">
        <v>18</v>
      </c>
      <c r="D2132" s="11" t="s">
        <v>19</v>
      </c>
      <c r="E2132" s="11" t="s">
        <v>19</v>
      </c>
      <c r="F2132" s="11" t="s">
        <v>7780</v>
      </c>
      <c r="G2132" s="11" t="s">
        <v>83</v>
      </c>
      <c r="H2132" s="11" t="s">
        <v>7781</v>
      </c>
      <c r="I2132" s="11" t="s">
        <v>7782</v>
      </c>
      <c r="J2132" s="12">
        <v>0.60780000000000001</v>
      </c>
      <c r="K2132" s="13">
        <v>5</v>
      </c>
      <c r="L2132" s="14">
        <v>84</v>
      </c>
      <c r="M2132" s="10">
        <v>47</v>
      </c>
      <c r="N2132" s="10">
        <v>9283</v>
      </c>
      <c r="O2132" s="10">
        <v>3686</v>
      </c>
      <c r="P2132" s="10">
        <v>12969</v>
      </c>
    </row>
    <row r="2133" spans="1:16" ht="27" customHeight="1" x14ac:dyDescent="0.2">
      <c r="A2133" s="9" t="s">
        <v>7755</v>
      </c>
      <c r="B2133" s="10" t="s">
        <v>7783</v>
      </c>
      <c r="C2133" s="11" t="s">
        <v>18</v>
      </c>
      <c r="D2133" s="11" t="s">
        <v>19</v>
      </c>
      <c r="E2133" s="11" t="s">
        <v>19</v>
      </c>
      <c r="F2133" s="11" t="s">
        <v>7784</v>
      </c>
      <c r="G2133" s="11" t="s">
        <v>83</v>
      </c>
      <c r="H2133" s="11" t="s">
        <v>7785</v>
      </c>
      <c r="I2133" s="11" t="s">
        <v>7786</v>
      </c>
      <c r="J2133" s="12">
        <v>0.80669999999999997</v>
      </c>
      <c r="K2133" s="13">
        <v>4</v>
      </c>
      <c r="L2133" s="14">
        <v>329</v>
      </c>
      <c r="M2133" s="10">
        <v>272</v>
      </c>
      <c r="N2133" s="10">
        <v>36355</v>
      </c>
      <c r="O2133" s="10">
        <v>21329</v>
      </c>
      <c r="P2133" s="10">
        <v>57684</v>
      </c>
    </row>
    <row r="2134" spans="1:16" ht="27" customHeight="1" x14ac:dyDescent="0.2">
      <c r="A2134" s="9" t="s">
        <v>7755</v>
      </c>
      <c r="B2134" s="10" t="s">
        <v>7787</v>
      </c>
      <c r="C2134" s="11" t="s">
        <v>18</v>
      </c>
      <c r="D2134" s="11" t="s">
        <v>19</v>
      </c>
      <c r="E2134" s="11" t="s">
        <v>19</v>
      </c>
      <c r="F2134" s="11" t="s">
        <v>7788</v>
      </c>
      <c r="G2134" s="11" t="s">
        <v>83</v>
      </c>
      <c r="H2134" s="11" t="s">
        <v>7789</v>
      </c>
      <c r="I2134" s="11" t="s">
        <v>7790</v>
      </c>
      <c r="J2134" s="12">
        <v>0.69369999999999998</v>
      </c>
      <c r="K2134" s="13">
        <v>6</v>
      </c>
      <c r="L2134" s="14">
        <v>672</v>
      </c>
      <c r="M2134" s="10">
        <v>441</v>
      </c>
      <c r="N2134" s="10">
        <v>74258</v>
      </c>
      <c r="O2134" s="10">
        <v>34583</v>
      </c>
      <c r="P2134" s="10">
        <v>108841</v>
      </c>
    </row>
    <row r="2135" spans="1:16" ht="27" customHeight="1" x14ac:dyDescent="0.2">
      <c r="A2135" s="9" t="s">
        <v>7791</v>
      </c>
      <c r="B2135" s="10" t="s">
        <v>7792</v>
      </c>
      <c r="C2135" s="11" t="s">
        <v>18</v>
      </c>
      <c r="D2135" s="11" t="s">
        <v>19</v>
      </c>
      <c r="E2135" s="11" t="s">
        <v>19</v>
      </c>
      <c r="F2135" s="11" t="s">
        <v>7793</v>
      </c>
      <c r="G2135" s="11" t="s">
        <v>21</v>
      </c>
      <c r="H2135" s="11" t="s">
        <v>7794</v>
      </c>
      <c r="I2135" s="11" t="s">
        <v>7795</v>
      </c>
      <c r="J2135" s="12">
        <v>1</v>
      </c>
      <c r="K2135" s="13">
        <v>4</v>
      </c>
      <c r="L2135" s="14">
        <v>1628</v>
      </c>
      <c r="M2135" s="10">
        <v>1345</v>
      </c>
      <c r="N2135" s="10">
        <v>179897</v>
      </c>
      <c r="O2135" s="10">
        <v>105474</v>
      </c>
      <c r="P2135" s="10">
        <v>285371</v>
      </c>
    </row>
    <row r="2136" spans="1:16" ht="27" customHeight="1" x14ac:dyDescent="0.2">
      <c r="A2136" s="9" t="s">
        <v>7791</v>
      </c>
      <c r="B2136" s="10" t="s">
        <v>7792</v>
      </c>
      <c r="C2136" s="11" t="s">
        <v>7796</v>
      </c>
      <c r="D2136" s="11" t="s">
        <v>7797</v>
      </c>
      <c r="E2136" s="11" t="s">
        <v>57</v>
      </c>
      <c r="F2136" s="11" t="s">
        <v>7798</v>
      </c>
      <c r="G2136" s="11" t="s">
        <v>28</v>
      </c>
      <c r="H2136" s="11" t="s">
        <v>7794</v>
      </c>
      <c r="I2136" s="11" t="s">
        <v>7795</v>
      </c>
      <c r="J2136" s="12">
        <v>1</v>
      </c>
      <c r="K2136" s="13">
        <v>1</v>
      </c>
      <c r="L2136" s="14">
        <v>240</v>
      </c>
      <c r="M2136" s="10">
        <v>67</v>
      </c>
      <c r="N2136" s="10">
        <v>26520</v>
      </c>
      <c r="O2136" s="10">
        <v>5254</v>
      </c>
      <c r="P2136" s="10">
        <v>31774</v>
      </c>
    </row>
    <row r="2137" spans="1:16" ht="27" customHeight="1" x14ac:dyDescent="0.2">
      <c r="A2137" s="9" t="s">
        <v>7791</v>
      </c>
      <c r="B2137" s="10" t="s">
        <v>7792</v>
      </c>
      <c r="C2137" s="11" t="s">
        <v>7799</v>
      </c>
      <c r="D2137" s="11" t="s">
        <v>7800</v>
      </c>
      <c r="E2137" s="11" t="s">
        <v>26</v>
      </c>
      <c r="F2137" s="11" t="s">
        <v>7801</v>
      </c>
      <c r="G2137" s="11" t="s">
        <v>28</v>
      </c>
      <c r="H2137" s="11" t="s">
        <v>7801</v>
      </c>
      <c r="I2137" s="11" t="s">
        <v>7802</v>
      </c>
      <c r="J2137" s="12">
        <v>0.30659999999999998</v>
      </c>
      <c r="K2137" s="13">
        <v>1</v>
      </c>
      <c r="L2137" s="14">
        <v>662</v>
      </c>
      <c r="M2137" s="10">
        <v>203</v>
      </c>
      <c r="N2137" s="10">
        <v>73152</v>
      </c>
      <c r="O2137" s="10">
        <v>15919</v>
      </c>
      <c r="P2137" s="10">
        <v>89071</v>
      </c>
    </row>
    <row r="2138" spans="1:16" ht="27" customHeight="1" x14ac:dyDescent="0.2">
      <c r="A2138" s="9" t="s">
        <v>7791</v>
      </c>
      <c r="B2138" s="10" t="s">
        <v>7792</v>
      </c>
      <c r="C2138" s="11" t="s">
        <v>7803</v>
      </c>
      <c r="D2138" s="11" t="s">
        <v>7804</v>
      </c>
      <c r="E2138" s="11" t="s">
        <v>26</v>
      </c>
      <c r="F2138" s="11" t="s">
        <v>7805</v>
      </c>
      <c r="G2138" s="11" t="s">
        <v>28</v>
      </c>
      <c r="H2138" s="11" t="s">
        <v>7805</v>
      </c>
      <c r="I2138" s="11" t="s">
        <v>7806</v>
      </c>
      <c r="J2138" s="12">
        <v>0.37240000000000001</v>
      </c>
      <c r="K2138" s="13">
        <v>1</v>
      </c>
      <c r="L2138" s="14">
        <v>392</v>
      </c>
      <c r="M2138" s="10">
        <v>146</v>
      </c>
      <c r="N2138" s="10">
        <v>43317</v>
      </c>
      <c r="O2138" s="10">
        <v>11449</v>
      </c>
      <c r="P2138" s="10">
        <v>54766</v>
      </c>
    </row>
    <row r="2139" spans="1:16" ht="27" customHeight="1" x14ac:dyDescent="0.2">
      <c r="A2139" s="9" t="s">
        <v>7791</v>
      </c>
      <c r="B2139" s="10" t="s">
        <v>7792</v>
      </c>
      <c r="C2139" s="11" t="s">
        <v>7807</v>
      </c>
      <c r="D2139" s="11" t="s">
        <v>7808</v>
      </c>
      <c r="E2139" s="11" t="s">
        <v>26</v>
      </c>
      <c r="F2139" s="11" t="s">
        <v>7809</v>
      </c>
      <c r="G2139" s="11" t="s">
        <v>28</v>
      </c>
      <c r="H2139" s="11" t="s">
        <v>7809</v>
      </c>
      <c r="I2139" s="11" t="s">
        <v>7810</v>
      </c>
      <c r="J2139" s="12">
        <v>0.45029999999999998</v>
      </c>
      <c r="K2139" s="13">
        <v>1</v>
      </c>
      <c r="L2139" s="14">
        <v>342</v>
      </c>
      <c r="M2139" s="10">
        <v>154</v>
      </c>
      <c r="N2139" s="10">
        <v>37792</v>
      </c>
      <c r="O2139" s="10">
        <v>12077</v>
      </c>
      <c r="P2139" s="10">
        <v>49869</v>
      </c>
    </row>
    <row r="2140" spans="1:16" ht="27" customHeight="1" x14ac:dyDescent="0.2">
      <c r="A2140" s="9" t="s">
        <v>7791</v>
      </c>
      <c r="B2140" s="10" t="s">
        <v>7792</v>
      </c>
      <c r="C2140" s="11" t="s">
        <v>7811</v>
      </c>
      <c r="D2140" s="11" t="s">
        <v>7812</v>
      </c>
      <c r="E2140" s="11" t="s">
        <v>57</v>
      </c>
      <c r="F2140" s="11" t="s">
        <v>7813</v>
      </c>
      <c r="G2140" s="11" t="s">
        <v>28</v>
      </c>
      <c r="H2140" s="11" t="s">
        <v>7794</v>
      </c>
      <c r="I2140" s="11" t="s">
        <v>7795</v>
      </c>
      <c r="J2140" s="12">
        <v>1</v>
      </c>
      <c r="K2140" s="13">
        <v>1</v>
      </c>
      <c r="L2140" s="14">
        <v>254</v>
      </c>
      <c r="M2140" s="10">
        <v>191</v>
      </c>
      <c r="N2140" s="10">
        <v>28067</v>
      </c>
      <c r="O2140" s="10">
        <v>14978</v>
      </c>
      <c r="P2140" s="10">
        <v>43045</v>
      </c>
    </row>
    <row r="2141" spans="1:16" ht="27" customHeight="1" x14ac:dyDescent="0.2">
      <c r="A2141" s="9" t="s">
        <v>7791</v>
      </c>
      <c r="B2141" s="10" t="s">
        <v>7792</v>
      </c>
      <c r="C2141" s="11" t="s">
        <v>7814</v>
      </c>
      <c r="D2141" s="11" t="s">
        <v>7815</v>
      </c>
      <c r="E2141" s="11" t="s">
        <v>26</v>
      </c>
      <c r="F2141" s="11" t="s">
        <v>7816</v>
      </c>
      <c r="G2141" s="11" t="s">
        <v>28</v>
      </c>
      <c r="H2141" s="11" t="s">
        <v>7816</v>
      </c>
      <c r="I2141" s="11" t="s">
        <v>7817</v>
      </c>
      <c r="J2141" s="12">
        <v>0.441</v>
      </c>
      <c r="K2141" s="13">
        <v>1</v>
      </c>
      <c r="L2141" s="14">
        <v>390</v>
      </c>
      <c r="M2141" s="10">
        <v>172</v>
      </c>
      <c r="N2141" s="10">
        <v>43096</v>
      </c>
      <c r="O2141" s="10">
        <v>13488</v>
      </c>
      <c r="P2141" s="10">
        <v>56584</v>
      </c>
    </row>
    <row r="2142" spans="1:16" ht="27" customHeight="1" x14ac:dyDescent="0.2">
      <c r="A2142" s="9" t="s">
        <v>7791</v>
      </c>
      <c r="B2142" s="10" t="s">
        <v>7818</v>
      </c>
      <c r="C2142" s="11" t="s">
        <v>18</v>
      </c>
      <c r="D2142" s="11" t="s">
        <v>19</v>
      </c>
      <c r="E2142" s="11" t="s">
        <v>19</v>
      </c>
      <c r="F2142" s="11" t="s">
        <v>7794</v>
      </c>
      <c r="G2142" s="11" t="s">
        <v>83</v>
      </c>
      <c r="H2142" s="11" t="s">
        <v>7794</v>
      </c>
      <c r="I2142" s="11" t="s">
        <v>7795</v>
      </c>
      <c r="J2142" s="12">
        <v>1</v>
      </c>
      <c r="K2142" s="13">
        <v>2</v>
      </c>
      <c r="L2142" s="14">
        <v>91</v>
      </c>
      <c r="M2142" s="10">
        <v>91</v>
      </c>
      <c r="N2142" s="10">
        <v>10056</v>
      </c>
      <c r="O2142" s="10">
        <v>7136</v>
      </c>
      <c r="P2142" s="10">
        <v>17192</v>
      </c>
    </row>
    <row r="2143" spans="1:16" ht="27" customHeight="1" x14ac:dyDescent="0.2">
      <c r="A2143" s="9" t="s">
        <v>7791</v>
      </c>
      <c r="B2143" s="10" t="s">
        <v>7819</v>
      </c>
      <c r="C2143" s="11" t="s">
        <v>18</v>
      </c>
      <c r="D2143" s="11" t="s">
        <v>19</v>
      </c>
      <c r="E2143" s="11" t="s">
        <v>19</v>
      </c>
      <c r="F2143" s="11" t="s">
        <v>7820</v>
      </c>
      <c r="G2143" s="11" t="s">
        <v>83</v>
      </c>
      <c r="H2143" s="11" t="s">
        <v>7821</v>
      </c>
      <c r="I2143" s="11" t="s">
        <v>7822</v>
      </c>
      <c r="J2143" s="12">
        <v>0.84130000000000005</v>
      </c>
      <c r="K2143" s="13">
        <v>3</v>
      </c>
      <c r="L2143" s="14">
        <v>395</v>
      </c>
      <c r="M2143" s="10">
        <v>332</v>
      </c>
      <c r="N2143" s="10">
        <v>43649</v>
      </c>
      <c r="O2143" s="10">
        <v>26035</v>
      </c>
      <c r="P2143" s="10">
        <v>69684</v>
      </c>
    </row>
    <row r="2144" spans="1:16" ht="27" customHeight="1" x14ac:dyDescent="0.2">
      <c r="A2144" s="9" t="s">
        <v>7791</v>
      </c>
      <c r="B2144" s="10" t="s">
        <v>7819</v>
      </c>
      <c r="C2144" s="11" t="s">
        <v>7823</v>
      </c>
      <c r="D2144" s="11" t="s">
        <v>7824</v>
      </c>
      <c r="E2144" s="11" t="s">
        <v>26</v>
      </c>
      <c r="F2144" s="11" t="s">
        <v>7825</v>
      </c>
      <c r="G2144" s="11" t="s">
        <v>28</v>
      </c>
      <c r="H2144" s="11" t="s">
        <v>7825</v>
      </c>
      <c r="I2144" s="11" t="s">
        <v>7826</v>
      </c>
      <c r="J2144" s="12">
        <v>0.65090000000000003</v>
      </c>
      <c r="K2144" s="13">
        <v>1</v>
      </c>
      <c r="L2144" s="14">
        <v>696</v>
      </c>
      <c r="M2144" s="10">
        <v>453</v>
      </c>
      <c r="N2144" s="10">
        <v>76909</v>
      </c>
      <c r="O2144" s="10">
        <v>35524</v>
      </c>
      <c r="P2144" s="10">
        <v>112433</v>
      </c>
    </row>
    <row r="2145" spans="1:16" ht="27" customHeight="1" x14ac:dyDescent="0.2">
      <c r="A2145" s="9" t="s">
        <v>7791</v>
      </c>
      <c r="B2145" s="10" t="s">
        <v>7827</v>
      </c>
      <c r="C2145" s="11" t="s">
        <v>18</v>
      </c>
      <c r="D2145" s="11" t="s">
        <v>19</v>
      </c>
      <c r="E2145" s="11" t="s">
        <v>19</v>
      </c>
      <c r="F2145" s="11" t="s">
        <v>7828</v>
      </c>
      <c r="G2145" s="11" t="s">
        <v>83</v>
      </c>
      <c r="H2145" s="11" t="s">
        <v>7828</v>
      </c>
      <c r="I2145" s="11" t="s">
        <v>7829</v>
      </c>
      <c r="J2145" s="12">
        <v>0.91310000000000002</v>
      </c>
      <c r="K2145" s="13">
        <v>2</v>
      </c>
      <c r="L2145" s="14">
        <v>514</v>
      </c>
      <c r="M2145" s="10">
        <v>470</v>
      </c>
      <c r="N2145" s="10">
        <v>56798</v>
      </c>
      <c r="O2145" s="10">
        <v>36857</v>
      </c>
      <c r="P2145" s="10">
        <v>93655</v>
      </c>
    </row>
    <row r="2146" spans="1:16" ht="27" customHeight="1" x14ac:dyDescent="0.2">
      <c r="A2146" s="9" t="s">
        <v>7791</v>
      </c>
      <c r="B2146" s="10" t="s">
        <v>7827</v>
      </c>
      <c r="C2146" s="11" t="s">
        <v>7830</v>
      </c>
      <c r="D2146" s="11" t="s">
        <v>7831</v>
      </c>
      <c r="E2146" s="11" t="s">
        <v>26</v>
      </c>
      <c r="F2146" s="11" t="s">
        <v>7832</v>
      </c>
      <c r="G2146" s="11" t="s">
        <v>28</v>
      </c>
      <c r="H2146" s="11" t="s">
        <v>7832</v>
      </c>
      <c r="I2146" s="11" t="s">
        <v>7833</v>
      </c>
      <c r="J2146" s="12">
        <v>0.45329999999999998</v>
      </c>
      <c r="K2146" s="13">
        <v>1</v>
      </c>
      <c r="L2146" s="14">
        <v>1125</v>
      </c>
      <c r="M2146" s="10">
        <v>510</v>
      </c>
      <c r="N2146" s="10">
        <v>124314</v>
      </c>
      <c r="O2146" s="10">
        <v>39994</v>
      </c>
      <c r="P2146" s="10">
        <v>164308</v>
      </c>
    </row>
    <row r="2147" spans="1:16" ht="27" customHeight="1" x14ac:dyDescent="0.2">
      <c r="A2147" s="9" t="s">
        <v>7791</v>
      </c>
      <c r="B2147" s="10" t="s">
        <v>7834</v>
      </c>
      <c r="C2147" s="11" t="s">
        <v>18</v>
      </c>
      <c r="D2147" s="11" t="s">
        <v>19</v>
      </c>
      <c r="E2147" s="11" t="s">
        <v>19</v>
      </c>
      <c r="F2147" s="11" t="s">
        <v>7835</v>
      </c>
      <c r="G2147" s="11" t="s">
        <v>83</v>
      </c>
      <c r="H2147" s="11" t="s">
        <v>7835</v>
      </c>
      <c r="I2147" s="11" t="s">
        <v>7836</v>
      </c>
      <c r="J2147" s="12">
        <v>0.73099999999999998</v>
      </c>
      <c r="K2147" s="13">
        <v>2</v>
      </c>
      <c r="L2147" s="14">
        <v>197</v>
      </c>
      <c r="M2147" s="10">
        <v>144</v>
      </c>
      <c r="N2147" s="10">
        <v>21769</v>
      </c>
      <c r="O2147" s="10">
        <v>11292</v>
      </c>
      <c r="P2147" s="10">
        <v>33061</v>
      </c>
    </row>
    <row r="2148" spans="1:16" ht="27" customHeight="1" x14ac:dyDescent="0.2">
      <c r="A2148" s="9" t="s">
        <v>7791</v>
      </c>
      <c r="B2148" s="10" t="s">
        <v>7837</v>
      </c>
      <c r="C2148" s="11" t="s">
        <v>18</v>
      </c>
      <c r="D2148" s="11" t="s">
        <v>19</v>
      </c>
      <c r="E2148" s="11" t="s">
        <v>19</v>
      </c>
      <c r="F2148" s="11" t="s">
        <v>7838</v>
      </c>
      <c r="G2148" s="11" t="s">
        <v>83</v>
      </c>
      <c r="H2148" s="11" t="s">
        <v>7839</v>
      </c>
      <c r="I2148" s="11" t="s">
        <v>7840</v>
      </c>
      <c r="J2148" s="12">
        <v>0.86280000000000001</v>
      </c>
      <c r="K2148" s="13">
        <v>7</v>
      </c>
      <c r="L2148" s="14">
        <v>2488</v>
      </c>
      <c r="M2148" s="10">
        <v>1964</v>
      </c>
      <c r="N2148" s="10">
        <v>274928</v>
      </c>
      <c r="O2148" s="10">
        <v>154015</v>
      </c>
      <c r="P2148" s="10">
        <v>428943</v>
      </c>
    </row>
    <row r="2149" spans="1:16" ht="27" customHeight="1" x14ac:dyDescent="0.2">
      <c r="A2149" s="9" t="s">
        <v>7791</v>
      </c>
      <c r="B2149" s="10" t="s">
        <v>7837</v>
      </c>
      <c r="C2149" s="11" t="s">
        <v>7841</v>
      </c>
      <c r="D2149" s="11" t="s">
        <v>7842</v>
      </c>
      <c r="E2149" s="11" t="s">
        <v>57</v>
      </c>
      <c r="F2149" s="11" t="s">
        <v>7843</v>
      </c>
      <c r="G2149" s="11" t="s">
        <v>28</v>
      </c>
      <c r="H2149" s="11" t="s">
        <v>7843</v>
      </c>
      <c r="I2149" s="11" t="s">
        <v>7844</v>
      </c>
      <c r="J2149" s="12">
        <v>0.58789999999999998</v>
      </c>
      <c r="K2149" s="13">
        <v>1</v>
      </c>
      <c r="L2149" s="14">
        <v>2378</v>
      </c>
      <c r="M2149" s="10">
        <v>1398</v>
      </c>
      <c r="N2149" s="10">
        <v>262773</v>
      </c>
      <c r="O2149" s="10">
        <v>109630</v>
      </c>
      <c r="P2149" s="10">
        <v>372403</v>
      </c>
    </row>
    <row r="2150" spans="1:16" ht="27" customHeight="1" x14ac:dyDescent="0.2">
      <c r="A2150" s="9" t="s">
        <v>7791</v>
      </c>
      <c r="B2150" s="10" t="s">
        <v>7845</v>
      </c>
      <c r="C2150" s="11" t="s">
        <v>18</v>
      </c>
      <c r="D2150" s="11" t="s">
        <v>19</v>
      </c>
      <c r="E2150" s="11" t="s">
        <v>19</v>
      </c>
      <c r="F2150" s="11" t="s">
        <v>7846</v>
      </c>
      <c r="G2150" s="11" t="s">
        <v>83</v>
      </c>
      <c r="H2150" s="11" t="s">
        <v>7846</v>
      </c>
      <c r="I2150" s="11" t="s">
        <v>7847</v>
      </c>
      <c r="J2150" s="12">
        <v>0.5081</v>
      </c>
      <c r="K2150" s="13">
        <v>2</v>
      </c>
      <c r="L2150" s="14">
        <v>185</v>
      </c>
      <c r="M2150" s="10">
        <v>94</v>
      </c>
      <c r="N2150" s="10">
        <v>20443</v>
      </c>
      <c r="O2150" s="10">
        <v>7371</v>
      </c>
      <c r="P2150" s="10">
        <v>27814</v>
      </c>
    </row>
    <row r="2151" spans="1:16" ht="27" customHeight="1" x14ac:dyDescent="0.2">
      <c r="A2151" s="9" t="s">
        <v>7791</v>
      </c>
      <c r="B2151" s="10" t="s">
        <v>7848</v>
      </c>
      <c r="C2151" s="11" t="s">
        <v>18</v>
      </c>
      <c r="D2151" s="11" t="s">
        <v>19</v>
      </c>
      <c r="E2151" s="11" t="s">
        <v>19</v>
      </c>
      <c r="F2151" s="11" t="s">
        <v>7849</v>
      </c>
      <c r="G2151" s="11" t="s">
        <v>83</v>
      </c>
      <c r="H2151" s="11" t="s">
        <v>7850</v>
      </c>
      <c r="I2151" s="11" t="s">
        <v>7851</v>
      </c>
      <c r="J2151" s="12">
        <v>0.96879999999999999</v>
      </c>
      <c r="K2151" s="13">
        <v>9</v>
      </c>
      <c r="L2151" s="14">
        <v>4073</v>
      </c>
      <c r="M2151" s="10">
        <v>3885</v>
      </c>
      <c r="N2151" s="10">
        <v>450075</v>
      </c>
      <c r="O2151" s="10">
        <v>304658</v>
      </c>
      <c r="P2151" s="10">
        <v>754733</v>
      </c>
    </row>
    <row r="2152" spans="1:16" ht="27" customHeight="1" x14ac:dyDescent="0.2">
      <c r="A2152" s="9" t="s">
        <v>7791</v>
      </c>
      <c r="B2152" s="10" t="s">
        <v>7852</v>
      </c>
      <c r="C2152" s="11" t="s">
        <v>18</v>
      </c>
      <c r="D2152" s="11" t="s">
        <v>19</v>
      </c>
      <c r="E2152" s="11" t="s">
        <v>19</v>
      </c>
      <c r="F2152" s="11" t="s">
        <v>7853</v>
      </c>
      <c r="G2152" s="11" t="s">
        <v>83</v>
      </c>
      <c r="H2152" s="11" t="s">
        <v>7853</v>
      </c>
      <c r="I2152" s="11" t="s">
        <v>7854</v>
      </c>
      <c r="J2152" s="12">
        <v>0.60870000000000002</v>
      </c>
      <c r="K2152" s="13">
        <v>2</v>
      </c>
      <c r="L2152" s="14">
        <v>138</v>
      </c>
      <c r="M2152" s="10">
        <v>84</v>
      </c>
      <c r="N2152" s="10">
        <v>15249</v>
      </c>
      <c r="O2152" s="10">
        <v>6587</v>
      </c>
      <c r="P2152" s="10">
        <v>21836</v>
      </c>
    </row>
    <row r="2153" spans="1:16" ht="27" customHeight="1" x14ac:dyDescent="0.2">
      <c r="A2153" s="9" t="s">
        <v>7791</v>
      </c>
      <c r="B2153" s="10" t="s">
        <v>7855</v>
      </c>
      <c r="C2153" s="11" t="s">
        <v>18</v>
      </c>
      <c r="D2153" s="11" t="s">
        <v>19</v>
      </c>
      <c r="E2153" s="11" t="s">
        <v>19</v>
      </c>
      <c r="F2153" s="11" t="s">
        <v>7856</v>
      </c>
      <c r="G2153" s="11" t="s">
        <v>83</v>
      </c>
      <c r="H2153" s="11" t="s">
        <v>7857</v>
      </c>
      <c r="I2153" s="11" t="s">
        <v>7858</v>
      </c>
      <c r="J2153" s="12">
        <v>0.90859999999999996</v>
      </c>
      <c r="K2153" s="13">
        <v>4</v>
      </c>
      <c r="L2153" s="14">
        <v>1473</v>
      </c>
      <c r="M2153" s="10">
        <v>1361</v>
      </c>
      <c r="N2153" s="10">
        <v>162769</v>
      </c>
      <c r="O2153" s="10">
        <v>106727</v>
      </c>
      <c r="P2153" s="10">
        <v>269496</v>
      </c>
    </row>
    <row r="2154" spans="1:16" ht="27" customHeight="1" x14ac:dyDescent="0.2">
      <c r="A2154" s="16" t="s">
        <v>7791</v>
      </c>
      <c r="B2154" s="10" t="s">
        <v>7859</v>
      </c>
      <c r="C2154" s="11" t="s">
        <v>18</v>
      </c>
      <c r="D2154" s="11" t="s">
        <v>19</v>
      </c>
      <c r="E2154" s="11" t="s">
        <v>19</v>
      </c>
      <c r="F2154" s="17" t="s">
        <v>6290</v>
      </c>
      <c r="G2154" s="17" t="s">
        <v>83</v>
      </c>
      <c r="H2154" s="11" t="s">
        <v>6290</v>
      </c>
      <c r="I2154" s="11" t="s">
        <v>7860</v>
      </c>
      <c r="J2154" s="12">
        <v>0.66810000000000003</v>
      </c>
      <c r="K2154" s="13">
        <v>2</v>
      </c>
      <c r="L2154" s="14">
        <v>229</v>
      </c>
      <c r="M2154" s="10">
        <v>153</v>
      </c>
      <c r="N2154" s="10">
        <v>25305</v>
      </c>
      <c r="O2154" s="10">
        <v>11998</v>
      </c>
      <c r="P2154" s="10">
        <v>37303</v>
      </c>
    </row>
    <row r="2155" spans="1:16" ht="27" customHeight="1" x14ac:dyDescent="0.2">
      <c r="A2155" s="9" t="s">
        <v>7791</v>
      </c>
      <c r="B2155" s="10" t="s">
        <v>7861</v>
      </c>
      <c r="C2155" s="11" t="s">
        <v>18</v>
      </c>
      <c r="D2155" s="11" t="s">
        <v>19</v>
      </c>
      <c r="E2155" s="11" t="s">
        <v>19</v>
      </c>
      <c r="F2155" s="11" t="s">
        <v>7862</v>
      </c>
      <c r="G2155" s="11" t="s">
        <v>83</v>
      </c>
      <c r="H2155" s="11" t="s">
        <v>7862</v>
      </c>
      <c r="I2155" s="11" t="s">
        <v>7863</v>
      </c>
      <c r="J2155" s="12">
        <v>0.92310000000000003</v>
      </c>
      <c r="K2155" s="13">
        <v>2</v>
      </c>
      <c r="L2155" s="14">
        <v>13</v>
      </c>
      <c r="M2155" s="10">
        <v>12</v>
      </c>
      <c r="N2155" s="10">
        <v>1437</v>
      </c>
      <c r="O2155" s="10">
        <v>941</v>
      </c>
      <c r="P2155" s="10">
        <v>2378</v>
      </c>
    </row>
    <row r="2156" spans="1:16" ht="27" customHeight="1" x14ac:dyDescent="0.2">
      <c r="A2156" s="9" t="s">
        <v>7791</v>
      </c>
      <c r="B2156" s="10" t="s">
        <v>7864</v>
      </c>
      <c r="C2156" s="11" t="s">
        <v>18</v>
      </c>
      <c r="D2156" s="11" t="s">
        <v>19</v>
      </c>
      <c r="E2156" s="11" t="s">
        <v>19</v>
      </c>
      <c r="F2156" s="11" t="s">
        <v>7865</v>
      </c>
      <c r="G2156" s="11" t="s">
        <v>83</v>
      </c>
      <c r="H2156" s="11" t="s">
        <v>7866</v>
      </c>
      <c r="I2156" s="11" t="s">
        <v>7867</v>
      </c>
      <c r="J2156" s="12">
        <v>0.88149999999999995</v>
      </c>
      <c r="K2156" s="13">
        <v>2</v>
      </c>
      <c r="L2156" s="14">
        <v>407</v>
      </c>
      <c r="M2156" s="10">
        <v>359</v>
      </c>
      <c r="N2156" s="10">
        <v>44974</v>
      </c>
      <c r="O2156" s="10">
        <v>28152</v>
      </c>
      <c r="P2156" s="10">
        <v>73126</v>
      </c>
    </row>
    <row r="2157" spans="1:16" ht="27" customHeight="1" x14ac:dyDescent="0.2">
      <c r="A2157" s="9" t="s">
        <v>7791</v>
      </c>
      <c r="B2157" s="10" t="s">
        <v>7868</v>
      </c>
      <c r="C2157" s="11" t="s">
        <v>18</v>
      </c>
      <c r="D2157" s="11" t="s">
        <v>19</v>
      </c>
      <c r="E2157" s="11" t="s">
        <v>19</v>
      </c>
      <c r="F2157" s="11" t="s">
        <v>7187</v>
      </c>
      <c r="G2157" s="11" t="s">
        <v>83</v>
      </c>
      <c r="H2157" s="11" t="s">
        <v>7187</v>
      </c>
      <c r="I2157" s="11" t="s">
        <v>7869</v>
      </c>
      <c r="J2157" s="12">
        <v>0.40849999999999997</v>
      </c>
      <c r="K2157" s="13">
        <v>2</v>
      </c>
      <c r="L2157" s="14">
        <v>781</v>
      </c>
      <c r="M2157" s="10">
        <v>319</v>
      </c>
      <c r="N2157" s="10">
        <v>86302</v>
      </c>
      <c r="O2157" s="10">
        <v>25016</v>
      </c>
      <c r="P2157" s="10">
        <v>111318</v>
      </c>
    </row>
    <row r="2158" spans="1:16" ht="27" customHeight="1" x14ac:dyDescent="0.2">
      <c r="A2158" s="9" t="s">
        <v>7791</v>
      </c>
      <c r="B2158" s="10" t="s">
        <v>7870</v>
      </c>
      <c r="C2158" s="11" t="s">
        <v>18</v>
      </c>
      <c r="D2158" s="11" t="s">
        <v>19</v>
      </c>
      <c r="E2158" s="11" t="s">
        <v>19</v>
      </c>
      <c r="F2158" s="11" t="s">
        <v>7871</v>
      </c>
      <c r="G2158" s="11" t="s">
        <v>83</v>
      </c>
      <c r="H2158" s="11" t="s">
        <v>1482</v>
      </c>
      <c r="I2158" s="11" t="s">
        <v>7872</v>
      </c>
      <c r="J2158" s="12">
        <v>0.90359999999999996</v>
      </c>
      <c r="K2158" s="13">
        <v>11</v>
      </c>
      <c r="L2158" s="14">
        <v>4363</v>
      </c>
      <c r="M2158" s="10">
        <v>3783</v>
      </c>
      <c r="N2158" s="10">
        <v>482120</v>
      </c>
      <c r="O2158" s="10">
        <v>296658</v>
      </c>
      <c r="P2158" s="10">
        <v>778778</v>
      </c>
    </row>
    <row r="2159" spans="1:16" ht="27" customHeight="1" x14ac:dyDescent="0.2">
      <c r="A2159" s="9" t="s">
        <v>7791</v>
      </c>
      <c r="B2159" s="10" t="s">
        <v>7870</v>
      </c>
      <c r="C2159" s="11" t="s">
        <v>7873</v>
      </c>
      <c r="D2159" s="11" t="s">
        <v>7874</v>
      </c>
      <c r="E2159" s="11" t="s">
        <v>57</v>
      </c>
      <c r="F2159" s="11" t="s">
        <v>7875</v>
      </c>
      <c r="G2159" s="11" t="s">
        <v>28</v>
      </c>
      <c r="H2159" s="11" t="s">
        <v>7875</v>
      </c>
      <c r="I2159" s="11" t="s">
        <v>7876</v>
      </c>
      <c r="J2159" s="12">
        <v>0.875</v>
      </c>
      <c r="K2159" s="13">
        <v>1</v>
      </c>
      <c r="L2159" s="14">
        <v>32</v>
      </c>
      <c r="M2159" s="10">
        <v>28</v>
      </c>
      <c r="N2159" s="10">
        <v>3536</v>
      </c>
      <c r="O2159" s="10">
        <v>2196</v>
      </c>
      <c r="P2159" s="10">
        <v>5732</v>
      </c>
    </row>
    <row r="2160" spans="1:16" ht="27" customHeight="1" x14ac:dyDescent="0.2">
      <c r="A2160" s="9" t="s">
        <v>7791</v>
      </c>
      <c r="B2160" s="10" t="s">
        <v>7877</v>
      </c>
      <c r="C2160" s="11" t="s">
        <v>18</v>
      </c>
      <c r="D2160" s="11" t="s">
        <v>19</v>
      </c>
      <c r="E2160" s="11" t="s">
        <v>19</v>
      </c>
      <c r="F2160" s="11" t="s">
        <v>7878</v>
      </c>
      <c r="G2160" s="11" t="s">
        <v>83</v>
      </c>
      <c r="H2160" s="11" t="s">
        <v>7879</v>
      </c>
      <c r="I2160" s="11" t="s">
        <v>7880</v>
      </c>
      <c r="J2160" s="12">
        <v>0.84379999999999999</v>
      </c>
      <c r="K2160" s="13">
        <v>2</v>
      </c>
      <c r="L2160" s="14">
        <v>430</v>
      </c>
      <c r="M2160" s="10">
        <v>363</v>
      </c>
      <c r="N2160" s="10">
        <v>47516</v>
      </c>
      <c r="O2160" s="10">
        <v>28466</v>
      </c>
      <c r="P2160" s="10">
        <v>75982</v>
      </c>
    </row>
    <row r="2161" spans="1:16" ht="27" customHeight="1" x14ac:dyDescent="0.2">
      <c r="A2161" s="9" t="s">
        <v>7791</v>
      </c>
      <c r="B2161" s="10" t="s">
        <v>7881</v>
      </c>
      <c r="C2161" s="11" t="s">
        <v>18</v>
      </c>
      <c r="D2161" s="11" t="s">
        <v>19</v>
      </c>
      <c r="E2161" s="11" t="s">
        <v>19</v>
      </c>
      <c r="F2161" s="11" t="s">
        <v>7882</v>
      </c>
      <c r="G2161" s="11" t="s">
        <v>83</v>
      </c>
      <c r="H2161" s="11" t="s">
        <v>6264</v>
      </c>
      <c r="I2161" s="11" t="s">
        <v>7883</v>
      </c>
      <c r="J2161" s="12">
        <v>0.70050000000000001</v>
      </c>
      <c r="K2161" s="13">
        <v>2</v>
      </c>
      <c r="L2161" s="14">
        <v>571</v>
      </c>
      <c r="M2161" s="10">
        <v>400</v>
      </c>
      <c r="N2161" s="10">
        <v>63096</v>
      </c>
      <c r="O2161" s="10">
        <v>31368</v>
      </c>
      <c r="P2161" s="10">
        <v>94464</v>
      </c>
    </row>
    <row r="2162" spans="1:16" ht="27" customHeight="1" x14ac:dyDescent="0.2">
      <c r="A2162" s="9" t="s">
        <v>7791</v>
      </c>
      <c r="B2162" s="10" t="s">
        <v>7884</v>
      </c>
      <c r="C2162" s="11" t="s">
        <v>18</v>
      </c>
      <c r="D2162" s="11" t="s">
        <v>19</v>
      </c>
      <c r="E2162" s="11" t="s">
        <v>19</v>
      </c>
      <c r="F2162" s="11" t="s">
        <v>7885</v>
      </c>
      <c r="G2162" s="11" t="s">
        <v>83</v>
      </c>
      <c r="H2162" s="11" t="s">
        <v>7885</v>
      </c>
      <c r="I2162" s="11" t="s">
        <v>7886</v>
      </c>
      <c r="J2162" s="12">
        <v>0.58460000000000001</v>
      </c>
      <c r="K2162" s="13">
        <v>2</v>
      </c>
      <c r="L2162" s="14">
        <v>132</v>
      </c>
      <c r="M2162" s="10">
        <v>77</v>
      </c>
      <c r="N2162" s="10">
        <v>14586</v>
      </c>
      <c r="O2162" s="10">
        <v>6038</v>
      </c>
      <c r="P2162" s="10">
        <v>20624</v>
      </c>
    </row>
    <row r="2163" spans="1:16" ht="27" customHeight="1" x14ac:dyDescent="0.2">
      <c r="A2163" s="9" t="s">
        <v>7791</v>
      </c>
      <c r="B2163" s="10" t="s">
        <v>7887</v>
      </c>
      <c r="C2163" s="11" t="s">
        <v>18</v>
      </c>
      <c r="D2163" s="11" t="s">
        <v>19</v>
      </c>
      <c r="E2163" s="11" t="s">
        <v>19</v>
      </c>
      <c r="F2163" s="11" t="s">
        <v>7888</v>
      </c>
      <c r="G2163" s="11" t="s">
        <v>83</v>
      </c>
      <c r="H2163" s="11" t="s">
        <v>7889</v>
      </c>
      <c r="I2163" s="11" t="s">
        <v>7890</v>
      </c>
      <c r="J2163" s="12">
        <v>0.53910000000000002</v>
      </c>
      <c r="K2163" s="13">
        <v>2</v>
      </c>
      <c r="L2163" s="14">
        <v>524</v>
      </c>
      <c r="M2163" s="10">
        <v>282</v>
      </c>
      <c r="N2163" s="10">
        <v>57903</v>
      </c>
      <c r="O2163" s="10">
        <v>22114</v>
      </c>
      <c r="P2163" s="10">
        <v>80017</v>
      </c>
    </row>
    <row r="2164" spans="1:16" ht="27" customHeight="1" x14ac:dyDescent="0.2">
      <c r="A2164" s="9" t="s">
        <v>7791</v>
      </c>
      <c r="B2164" s="10" t="s">
        <v>7891</v>
      </c>
      <c r="C2164" s="11" t="s">
        <v>18</v>
      </c>
      <c r="D2164" s="11" t="s">
        <v>19</v>
      </c>
      <c r="E2164" s="11" t="s">
        <v>19</v>
      </c>
      <c r="F2164" s="11" t="s">
        <v>7892</v>
      </c>
      <c r="G2164" s="11" t="s">
        <v>83</v>
      </c>
      <c r="H2164" s="11" t="s">
        <v>7893</v>
      </c>
      <c r="I2164" s="11" t="s">
        <v>7894</v>
      </c>
      <c r="J2164" s="12">
        <v>0.9617</v>
      </c>
      <c r="K2164" s="13">
        <v>3</v>
      </c>
      <c r="L2164" s="14">
        <v>880</v>
      </c>
      <c r="M2164" s="10">
        <v>850</v>
      </c>
      <c r="N2164" s="10">
        <v>97242</v>
      </c>
      <c r="O2164" s="10">
        <v>66656</v>
      </c>
      <c r="P2164" s="10">
        <v>163898</v>
      </c>
    </row>
    <row r="2165" spans="1:16" ht="27" customHeight="1" x14ac:dyDescent="0.2">
      <c r="A2165" s="9" t="s">
        <v>7791</v>
      </c>
      <c r="B2165" s="10" t="s">
        <v>7895</v>
      </c>
      <c r="C2165" s="11" t="s">
        <v>18</v>
      </c>
      <c r="D2165" s="11" t="s">
        <v>19</v>
      </c>
      <c r="E2165" s="11" t="s">
        <v>19</v>
      </c>
      <c r="F2165" s="11" t="s">
        <v>7896</v>
      </c>
      <c r="G2165" s="11" t="s">
        <v>83</v>
      </c>
      <c r="H2165" s="11" t="s">
        <v>7896</v>
      </c>
      <c r="I2165" s="11" t="s">
        <v>7897</v>
      </c>
      <c r="J2165" s="12">
        <v>0.87170000000000003</v>
      </c>
      <c r="K2165" s="13">
        <v>3</v>
      </c>
      <c r="L2165" s="14">
        <v>415</v>
      </c>
      <c r="M2165" s="10">
        <v>362</v>
      </c>
      <c r="N2165" s="10">
        <v>45858</v>
      </c>
      <c r="O2165" s="10">
        <v>28388</v>
      </c>
      <c r="P2165" s="10">
        <v>74246</v>
      </c>
    </row>
    <row r="2166" spans="1:16" ht="27" customHeight="1" x14ac:dyDescent="0.2">
      <c r="A2166" s="9" t="s">
        <v>7791</v>
      </c>
      <c r="B2166" s="10" t="s">
        <v>7898</v>
      </c>
      <c r="C2166" s="11" t="s">
        <v>18</v>
      </c>
      <c r="D2166" s="11" t="s">
        <v>19</v>
      </c>
      <c r="E2166" s="11" t="s">
        <v>19</v>
      </c>
      <c r="F2166" s="11" t="s">
        <v>7899</v>
      </c>
      <c r="G2166" s="11" t="s">
        <v>83</v>
      </c>
      <c r="H2166" s="11" t="s">
        <v>7899</v>
      </c>
      <c r="I2166" s="11" t="s">
        <v>7900</v>
      </c>
      <c r="J2166" s="12">
        <v>0.93500000000000005</v>
      </c>
      <c r="K2166" s="13">
        <v>2</v>
      </c>
      <c r="L2166" s="14">
        <v>552</v>
      </c>
      <c r="M2166" s="10">
        <v>516</v>
      </c>
      <c r="N2166" s="10">
        <v>60997</v>
      </c>
      <c r="O2166" s="10">
        <v>40465</v>
      </c>
      <c r="P2166" s="10">
        <v>101462</v>
      </c>
    </row>
    <row r="2167" spans="1:16" ht="27" customHeight="1" x14ac:dyDescent="0.2">
      <c r="A2167" s="9" t="s">
        <v>7791</v>
      </c>
      <c r="B2167" s="10" t="s">
        <v>7901</v>
      </c>
      <c r="C2167" s="11" t="s">
        <v>18</v>
      </c>
      <c r="D2167" s="11" t="s">
        <v>19</v>
      </c>
      <c r="E2167" s="11" t="s">
        <v>19</v>
      </c>
      <c r="F2167" s="11" t="s">
        <v>7902</v>
      </c>
      <c r="G2167" s="11" t="s">
        <v>83</v>
      </c>
      <c r="H2167" s="11" t="s">
        <v>7902</v>
      </c>
      <c r="I2167" s="11" t="s">
        <v>7903</v>
      </c>
      <c r="J2167" s="12">
        <v>0.62580000000000002</v>
      </c>
      <c r="K2167" s="13">
        <v>2</v>
      </c>
      <c r="L2167" s="14">
        <v>311</v>
      </c>
      <c r="M2167" s="10">
        <v>195</v>
      </c>
      <c r="N2167" s="10">
        <v>34367</v>
      </c>
      <c r="O2167" s="10">
        <v>15291</v>
      </c>
      <c r="P2167" s="10">
        <v>49658</v>
      </c>
    </row>
    <row r="2168" spans="1:16" ht="27" customHeight="1" x14ac:dyDescent="0.2">
      <c r="A2168" s="9" t="s">
        <v>7791</v>
      </c>
      <c r="B2168" s="10" t="s">
        <v>7904</v>
      </c>
      <c r="C2168" s="11" t="s">
        <v>18</v>
      </c>
      <c r="D2168" s="11" t="s">
        <v>19</v>
      </c>
      <c r="E2168" s="11" t="s">
        <v>19</v>
      </c>
      <c r="F2168" s="11" t="s">
        <v>7905</v>
      </c>
      <c r="G2168" s="11" t="s">
        <v>83</v>
      </c>
      <c r="H2168" s="11" t="s">
        <v>7905</v>
      </c>
      <c r="I2168" s="11" t="s">
        <v>7906</v>
      </c>
      <c r="J2168" s="12">
        <v>0.88060000000000005</v>
      </c>
      <c r="K2168" s="13">
        <v>2</v>
      </c>
      <c r="L2168" s="14">
        <v>67</v>
      </c>
      <c r="M2168" s="10">
        <v>59</v>
      </c>
      <c r="N2168" s="10">
        <v>7404</v>
      </c>
      <c r="O2168" s="10">
        <v>4627</v>
      </c>
      <c r="P2168" s="10">
        <v>12031</v>
      </c>
    </row>
    <row r="2169" spans="1:16" ht="27" customHeight="1" x14ac:dyDescent="0.2">
      <c r="A2169" s="9" t="s">
        <v>7791</v>
      </c>
      <c r="B2169" s="10" t="s">
        <v>7907</v>
      </c>
      <c r="C2169" s="11" t="s">
        <v>18</v>
      </c>
      <c r="D2169" s="11" t="s">
        <v>19</v>
      </c>
      <c r="E2169" s="11" t="s">
        <v>19</v>
      </c>
      <c r="F2169" s="11" t="s">
        <v>7908</v>
      </c>
      <c r="G2169" s="11" t="s">
        <v>83</v>
      </c>
      <c r="H2169" s="11" t="s">
        <v>7794</v>
      </c>
      <c r="I2169" s="11" t="s">
        <v>7795</v>
      </c>
      <c r="J2169" s="12">
        <v>1</v>
      </c>
      <c r="K2169" s="13">
        <v>2</v>
      </c>
      <c r="L2169" s="14">
        <v>41</v>
      </c>
      <c r="M2169" s="10">
        <v>15</v>
      </c>
      <c r="N2169" s="10">
        <v>4531</v>
      </c>
      <c r="O2169" s="10">
        <v>1176</v>
      </c>
      <c r="P2169" s="10">
        <v>5707</v>
      </c>
    </row>
    <row r="2170" spans="1:16" ht="27" customHeight="1" x14ac:dyDescent="0.2">
      <c r="A2170" s="9" t="s">
        <v>7791</v>
      </c>
      <c r="B2170" s="10" t="s">
        <v>7907</v>
      </c>
      <c r="C2170" s="11" t="s">
        <v>7909</v>
      </c>
      <c r="D2170" s="11" t="s">
        <v>7910</v>
      </c>
      <c r="E2170" s="11" t="s">
        <v>57</v>
      </c>
      <c r="F2170" s="11" t="s">
        <v>7911</v>
      </c>
      <c r="G2170" s="11" t="s">
        <v>28</v>
      </c>
      <c r="H2170" s="11" t="s">
        <v>7911</v>
      </c>
      <c r="I2170" s="11" t="s">
        <v>7912</v>
      </c>
      <c r="J2170" s="12">
        <v>0.43559999999999999</v>
      </c>
      <c r="K2170" s="13">
        <v>1</v>
      </c>
      <c r="L2170" s="14">
        <v>327</v>
      </c>
      <c r="M2170" s="10">
        <v>142</v>
      </c>
      <c r="N2170" s="10">
        <v>36134</v>
      </c>
      <c r="O2170" s="10">
        <v>11135</v>
      </c>
      <c r="P2170" s="10">
        <v>47269</v>
      </c>
    </row>
    <row r="2171" spans="1:16" ht="27" customHeight="1" x14ac:dyDescent="0.2">
      <c r="A2171" s="9" t="s">
        <v>7791</v>
      </c>
      <c r="B2171" s="10" t="s">
        <v>7913</v>
      </c>
      <c r="C2171" s="11" t="s">
        <v>18</v>
      </c>
      <c r="D2171" s="11" t="s">
        <v>19</v>
      </c>
      <c r="E2171" s="11" t="s">
        <v>19</v>
      </c>
      <c r="F2171" s="11" t="s">
        <v>7914</v>
      </c>
      <c r="G2171" s="11" t="s">
        <v>83</v>
      </c>
      <c r="H2171" s="11" t="s">
        <v>7915</v>
      </c>
      <c r="I2171" s="11" t="s">
        <v>7916</v>
      </c>
      <c r="J2171" s="12">
        <v>0.59570000000000001</v>
      </c>
      <c r="K2171" s="13">
        <v>2</v>
      </c>
      <c r="L2171" s="14">
        <v>329</v>
      </c>
      <c r="M2171" s="10">
        <v>196</v>
      </c>
      <c r="N2171" s="10">
        <v>36355</v>
      </c>
      <c r="O2171" s="10">
        <v>15370</v>
      </c>
      <c r="P2171" s="10">
        <v>51725</v>
      </c>
    </row>
    <row r="2172" spans="1:16" ht="27" customHeight="1" x14ac:dyDescent="0.2">
      <c r="A2172" s="9" t="s">
        <v>7791</v>
      </c>
      <c r="B2172" s="10" t="s">
        <v>7917</v>
      </c>
      <c r="C2172" s="11" t="s">
        <v>18</v>
      </c>
      <c r="D2172" s="11" t="s">
        <v>19</v>
      </c>
      <c r="E2172" s="11" t="s">
        <v>19</v>
      </c>
      <c r="F2172" s="11" t="s">
        <v>7918</v>
      </c>
      <c r="G2172" s="11" t="s">
        <v>83</v>
      </c>
      <c r="H2172" s="11" t="s">
        <v>7918</v>
      </c>
      <c r="I2172" s="11" t="s">
        <v>7919</v>
      </c>
      <c r="J2172" s="12">
        <v>0.98280000000000001</v>
      </c>
      <c r="K2172" s="13">
        <v>2</v>
      </c>
      <c r="L2172" s="14">
        <v>116</v>
      </c>
      <c r="M2172" s="10">
        <v>114</v>
      </c>
      <c r="N2172" s="10">
        <v>12818</v>
      </c>
      <c r="O2172" s="10">
        <v>8940</v>
      </c>
      <c r="P2172" s="10">
        <v>21758</v>
      </c>
    </row>
    <row r="2173" spans="1:16" ht="27" customHeight="1" x14ac:dyDescent="0.2">
      <c r="A2173" s="9" t="s">
        <v>7791</v>
      </c>
      <c r="B2173" s="10" t="s">
        <v>7917</v>
      </c>
      <c r="C2173" s="11" t="s">
        <v>7920</v>
      </c>
      <c r="D2173" s="11" t="s">
        <v>7921</v>
      </c>
      <c r="E2173" s="11" t="s">
        <v>26</v>
      </c>
      <c r="F2173" s="11" t="s">
        <v>7922</v>
      </c>
      <c r="G2173" s="11" t="s">
        <v>28</v>
      </c>
      <c r="H2173" s="11" t="s">
        <v>7922</v>
      </c>
      <c r="I2173" s="11" t="s">
        <v>7923</v>
      </c>
      <c r="J2173" s="12">
        <v>0.87629999999999997</v>
      </c>
      <c r="K2173" s="13">
        <v>1</v>
      </c>
      <c r="L2173" s="14">
        <v>663</v>
      </c>
      <c r="M2173" s="10">
        <v>581</v>
      </c>
      <c r="N2173" s="10">
        <v>73263</v>
      </c>
      <c r="O2173" s="10">
        <v>45561</v>
      </c>
      <c r="P2173" s="10">
        <v>118824</v>
      </c>
    </row>
    <row r="2174" spans="1:16" ht="27" customHeight="1" x14ac:dyDescent="0.2">
      <c r="A2174" s="9" t="s">
        <v>7791</v>
      </c>
      <c r="B2174" s="10" t="s">
        <v>7924</v>
      </c>
      <c r="C2174" s="11" t="s">
        <v>18</v>
      </c>
      <c r="D2174" s="11" t="s">
        <v>19</v>
      </c>
      <c r="E2174" s="11" t="s">
        <v>19</v>
      </c>
      <c r="F2174" s="11" t="s">
        <v>7925</v>
      </c>
      <c r="G2174" s="11" t="s">
        <v>83</v>
      </c>
      <c r="H2174" s="11" t="s">
        <v>7926</v>
      </c>
      <c r="I2174" s="11" t="s">
        <v>7927</v>
      </c>
      <c r="J2174" s="12">
        <v>0.95020000000000004</v>
      </c>
      <c r="K2174" s="13">
        <v>3</v>
      </c>
      <c r="L2174" s="14">
        <v>739</v>
      </c>
      <c r="M2174" s="10">
        <v>702</v>
      </c>
      <c r="N2174" s="10">
        <v>81661</v>
      </c>
      <c r="O2174" s="10">
        <v>55050</v>
      </c>
      <c r="P2174" s="10">
        <v>136711</v>
      </c>
    </row>
    <row r="2175" spans="1:16" ht="27" customHeight="1" x14ac:dyDescent="0.2">
      <c r="A2175" s="9" t="s">
        <v>7791</v>
      </c>
      <c r="B2175" s="10" t="s">
        <v>7928</v>
      </c>
      <c r="C2175" s="11" t="s">
        <v>18</v>
      </c>
      <c r="D2175" s="11" t="s">
        <v>19</v>
      </c>
      <c r="E2175" s="11" t="s">
        <v>19</v>
      </c>
      <c r="F2175" s="11" t="s">
        <v>7929</v>
      </c>
      <c r="G2175" s="11" t="s">
        <v>83</v>
      </c>
      <c r="H2175" s="11" t="s">
        <v>7930</v>
      </c>
      <c r="I2175" s="11" t="s">
        <v>7931</v>
      </c>
      <c r="J2175" s="12">
        <v>0.35070000000000001</v>
      </c>
      <c r="K2175" s="13">
        <v>2</v>
      </c>
      <c r="L2175" s="14">
        <v>831</v>
      </c>
      <c r="M2175" s="10">
        <v>291</v>
      </c>
      <c r="N2175" s="10">
        <v>91827</v>
      </c>
      <c r="O2175" s="10">
        <v>22820</v>
      </c>
      <c r="P2175" s="10">
        <v>114647</v>
      </c>
    </row>
    <row r="2176" spans="1:16" ht="27" customHeight="1" x14ac:dyDescent="0.2">
      <c r="A2176" s="9" t="s">
        <v>7791</v>
      </c>
      <c r="B2176" s="10" t="s">
        <v>7932</v>
      </c>
      <c r="C2176" s="11" t="s">
        <v>18</v>
      </c>
      <c r="D2176" s="11" t="s">
        <v>19</v>
      </c>
      <c r="E2176" s="11" t="s">
        <v>19</v>
      </c>
      <c r="F2176" s="11" t="s">
        <v>7933</v>
      </c>
      <c r="G2176" s="11" t="s">
        <v>83</v>
      </c>
      <c r="H2176" s="11" t="s">
        <v>7934</v>
      </c>
      <c r="I2176" s="11" t="s">
        <v>7935</v>
      </c>
      <c r="J2176" s="12">
        <v>0.82189999999999996</v>
      </c>
      <c r="K2176" s="13">
        <v>2</v>
      </c>
      <c r="L2176" s="14">
        <v>345</v>
      </c>
      <c r="M2176" s="10">
        <v>284</v>
      </c>
      <c r="N2176" s="10">
        <v>38123</v>
      </c>
      <c r="O2176" s="10">
        <v>22271</v>
      </c>
      <c r="P2176" s="10">
        <v>60394</v>
      </c>
    </row>
    <row r="2177" spans="1:16" ht="27" customHeight="1" x14ac:dyDescent="0.2">
      <c r="A2177" s="9" t="s">
        <v>7791</v>
      </c>
      <c r="B2177" s="10" t="s">
        <v>7936</v>
      </c>
      <c r="C2177" s="11" t="s">
        <v>18</v>
      </c>
      <c r="D2177" s="11" t="s">
        <v>19</v>
      </c>
      <c r="E2177" s="11" t="s">
        <v>19</v>
      </c>
      <c r="F2177" s="11" t="s">
        <v>7937</v>
      </c>
      <c r="G2177" s="11" t="s">
        <v>83</v>
      </c>
      <c r="H2177" s="11" t="s">
        <v>7938</v>
      </c>
      <c r="I2177" s="11" t="s">
        <v>7939</v>
      </c>
      <c r="J2177" s="12">
        <v>0.94299999999999995</v>
      </c>
      <c r="K2177" s="13">
        <v>3</v>
      </c>
      <c r="L2177" s="14">
        <v>741</v>
      </c>
      <c r="M2177" s="10">
        <v>697</v>
      </c>
      <c r="N2177" s="10">
        <v>81882</v>
      </c>
      <c r="O2177" s="10">
        <v>54658</v>
      </c>
      <c r="P2177" s="10">
        <v>136540</v>
      </c>
    </row>
    <row r="2178" spans="1:16" ht="27" customHeight="1" x14ac:dyDescent="0.2">
      <c r="A2178" s="9" t="s">
        <v>7791</v>
      </c>
      <c r="B2178" s="10" t="s">
        <v>7940</v>
      </c>
      <c r="C2178" s="11" t="s">
        <v>18</v>
      </c>
      <c r="D2178" s="11" t="s">
        <v>19</v>
      </c>
      <c r="E2178" s="11" t="s">
        <v>19</v>
      </c>
      <c r="F2178" s="11" t="s">
        <v>7941</v>
      </c>
      <c r="G2178" s="11" t="s">
        <v>83</v>
      </c>
      <c r="H2178" s="11" t="s">
        <v>7942</v>
      </c>
      <c r="I2178" s="11" t="s">
        <v>7943</v>
      </c>
      <c r="J2178" s="12">
        <v>0.44209999999999999</v>
      </c>
      <c r="K2178" s="13">
        <v>2</v>
      </c>
      <c r="L2178" s="14">
        <v>95</v>
      </c>
      <c r="M2178" s="10">
        <v>42</v>
      </c>
      <c r="N2178" s="10">
        <v>10498</v>
      </c>
      <c r="O2178" s="10">
        <v>3294</v>
      </c>
      <c r="P2178" s="10">
        <v>13792</v>
      </c>
    </row>
    <row r="2179" spans="1:16" ht="27" customHeight="1" x14ac:dyDescent="0.2">
      <c r="A2179" s="9" t="s">
        <v>7791</v>
      </c>
      <c r="B2179" s="10" t="s">
        <v>7944</v>
      </c>
      <c r="C2179" s="11" t="s">
        <v>18</v>
      </c>
      <c r="D2179" s="11" t="s">
        <v>19</v>
      </c>
      <c r="E2179" s="11" t="s">
        <v>19</v>
      </c>
      <c r="F2179" s="11" t="s">
        <v>7945</v>
      </c>
      <c r="G2179" s="11" t="s">
        <v>83</v>
      </c>
      <c r="H2179" s="11" t="s">
        <v>7945</v>
      </c>
      <c r="I2179" s="11" t="s">
        <v>7946</v>
      </c>
      <c r="J2179" s="12">
        <v>0.88629999999999998</v>
      </c>
      <c r="K2179" s="13">
        <v>2</v>
      </c>
      <c r="L2179" s="14">
        <v>524</v>
      </c>
      <c r="M2179" s="10">
        <v>464</v>
      </c>
      <c r="N2179" s="10">
        <v>57903</v>
      </c>
      <c r="O2179" s="10">
        <v>36386</v>
      </c>
      <c r="P2179" s="10">
        <v>94289</v>
      </c>
    </row>
    <row r="2180" spans="1:16" ht="27" customHeight="1" x14ac:dyDescent="0.2">
      <c r="A2180" s="9" t="s">
        <v>7791</v>
      </c>
      <c r="B2180" s="10" t="s">
        <v>7947</v>
      </c>
      <c r="C2180" s="11" t="s">
        <v>18</v>
      </c>
      <c r="D2180" s="11" t="s">
        <v>19</v>
      </c>
      <c r="E2180" s="11" t="s">
        <v>19</v>
      </c>
      <c r="F2180" s="11" t="s">
        <v>7948</v>
      </c>
      <c r="G2180" s="11" t="s">
        <v>83</v>
      </c>
      <c r="H2180" s="11" t="s">
        <v>7949</v>
      </c>
      <c r="I2180" s="11" t="s">
        <v>7950</v>
      </c>
      <c r="J2180" s="12">
        <v>0.89290000000000003</v>
      </c>
      <c r="K2180" s="13">
        <v>2</v>
      </c>
      <c r="L2180" s="14">
        <v>224</v>
      </c>
      <c r="M2180" s="10">
        <v>200</v>
      </c>
      <c r="N2180" s="10">
        <v>24752</v>
      </c>
      <c r="O2180" s="10">
        <v>15684</v>
      </c>
      <c r="P2180" s="10">
        <v>40436</v>
      </c>
    </row>
    <row r="2181" spans="1:16" ht="27" customHeight="1" x14ac:dyDescent="0.2">
      <c r="A2181" s="9" t="s">
        <v>7791</v>
      </c>
      <c r="B2181" s="10" t="s">
        <v>7951</v>
      </c>
      <c r="C2181" s="11" t="s">
        <v>18</v>
      </c>
      <c r="D2181" s="11" t="s">
        <v>19</v>
      </c>
      <c r="E2181" s="11" t="s">
        <v>19</v>
      </c>
      <c r="F2181" s="11" t="s">
        <v>7952</v>
      </c>
      <c r="G2181" s="11" t="s">
        <v>83</v>
      </c>
      <c r="H2181" s="11" t="s">
        <v>1518</v>
      </c>
      <c r="I2181" s="11" t="s">
        <v>7953</v>
      </c>
      <c r="J2181" s="12">
        <v>0.93440000000000001</v>
      </c>
      <c r="K2181" s="13">
        <v>19</v>
      </c>
      <c r="L2181" s="14">
        <v>9538</v>
      </c>
      <c r="M2181" s="10">
        <v>7596</v>
      </c>
      <c r="N2181" s="10">
        <v>1053965</v>
      </c>
      <c r="O2181" s="10">
        <v>595669</v>
      </c>
      <c r="P2181" s="10">
        <v>1649634</v>
      </c>
    </row>
    <row r="2182" spans="1:16" ht="27" customHeight="1" x14ac:dyDescent="0.2">
      <c r="A2182" s="9" t="s">
        <v>7791</v>
      </c>
      <c r="B2182" s="10" t="s">
        <v>7954</v>
      </c>
      <c r="C2182" s="11" t="s">
        <v>18</v>
      </c>
      <c r="D2182" s="11" t="s">
        <v>19</v>
      </c>
      <c r="E2182" s="11" t="s">
        <v>19</v>
      </c>
      <c r="F2182" s="11" t="s">
        <v>7955</v>
      </c>
      <c r="G2182" s="11" t="s">
        <v>83</v>
      </c>
      <c r="H2182" s="11" t="s">
        <v>7794</v>
      </c>
      <c r="I2182" s="11" t="s">
        <v>7795</v>
      </c>
      <c r="J2182" s="12">
        <v>1</v>
      </c>
      <c r="K2182" s="13">
        <v>6</v>
      </c>
      <c r="L2182" s="14">
        <v>5376</v>
      </c>
      <c r="M2182" s="10">
        <v>4099</v>
      </c>
      <c r="N2182" s="10">
        <v>594057</v>
      </c>
      <c r="O2182" s="10">
        <v>321440</v>
      </c>
      <c r="P2182" s="10">
        <v>915497</v>
      </c>
    </row>
    <row r="2183" spans="1:16" ht="27" customHeight="1" x14ac:dyDescent="0.2">
      <c r="A2183" s="9" t="s">
        <v>7791</v>
      </c>
      <c r="B2183" s="10" t="s">
        <v>7954</v>
      </c>
      <c r="C2183" s="11" t="s">
        <v>7956</v>
      </c>
      <c r="D2183" s="11" t="s">
        <v>7957</v>
      </c>
      <c r="E2183" s="11" t="s">
        <v>57</v>
      </c>
      <c r="F2183" s="11" t="s">
        <v>7958</v>
      </c>
      <c r="G2183" s="11" t="s">
        <v>28</v>
      </c>
      <c r="H2183" s="11" t="s">
        <v>7794</v>
      </c>
      <c r="I2183" s="11" t="s">
        <v>7795</v>
      </c>
      <c r="J2183" s="12">
        <v>1</v>
      </c>
      <c r="K2183" s="13">
        <v>1</v>
      </c>
      <c r="L2183" s="14">
        <v>197</v>
      </c>
      <c r="M2183" s="10">
        <v>170</v>
      </c>
      <c r="N2183" s="10">
        <v>21769</v>
      </c>
      <c r="O2183" s="10">
        <v>13331</v>
      </c>
      <c r="P2183" s="10">
        <v>35100</v>
      </c>
    </row>
    <row r="2184" spans="1:16" ht="27" customHeight="1" x14ac:dyDescent="0.2">
      <c r="A2184" s="9" t="s">
        <v>7791</v>
      </c>
      <c r="B2184" s="10" t="s">
        <v>7954</v>
      </c>
      <c r="C2184" s="11" t="s">
        <v>7959</v>
      </c>
      <c r="D2184" s="11" t="s">
        <v>7960</v>
      </c>
      <c r="E2184" s="11" t="s">
        <v>57</v>
      </c>
      <c r="F2184" s="11" t="s">
        <v>7961</v>
      </c>
      <c r="G2184" s="11" t="s">
        <v>28</v>
      </c>
      <c r="H2184" s="11" t="s">
        <v>7794</v>
      </c>
      <c r="I2184" s="11" t="s">
        <v>7795</v>
      </c>
      <c r="J2184" s="12">
        <v>1</v>
      </c>
      <c r="K2184" s="13">
        <v>1</v>
      </c>
      <c r="L2184" s="14">
        <v>172</v>
      </c>
      <c r="M2184" s="10">
        <v>165</v>
      </c>
      <c r="N2184" s="10">
        <v>19006</v>
      </c>
      <c r="O2184" s="10">
        <v>12939</v>
      </c>
      <c r="P2184" s="10">
        <v>31945</v>
      </c>
    </row>
    <row r="2185" spans="1:16" ht="27" customHeight="1" x14ac:dyDescent="0.2">
      <c r="A2185" s="9" t="s">
        <v>7791</v>
      </c>
      <c r="B2185" s="10" t="s">
        <v>7962</v>
      </c>
      <c r="C2185" s="11" t="s">
        <v>18</v>
      </c>
      <c r="D2185" s="11" t="s">
        <v>19</v>
      </c>
      <c r="E2185" s="11" t="s">
        <v>19</v>
      </c>
      <c r="F2185" s="11" t="s">
        <v>7963</v>
      </c>
      <c r="G2185" s="11" t="s">
        <v>83</v>
      </c>
      <c r="H2185" s="11" t="s">
        <v>7964</v>
      </c>
      <c r="I2185" s="11" t="s">
        <v>7965</v>
      </c>
      <c r="J2185" s="12">
        <v>0.92810000000000004</v>
      </c>
      <c r="K2185" s="13">
        <v>38</v>
      </c>
      <c r="L2185" s="14">
        <v>28367</v>
      </c>
      <c r="M2185" s="10">
        <v>19051</v>
      </c>
      <c r="N2185" s="10">
        <v>3134601</v>
      </c>
      <c r="O2185" s="10">
        <v>1493959</v>
      </c>
      <c r="P2185" s="10">
        <v>4628560</v>
      </c>
    </row>
    <row r="2186" spans="1:16" ht="27" customHeight="1" x14ac:dyDescent="0.2">
      <c r="A2186" s="9" t="s">
        <v>7791</v>
      </c>
      <c r="B2186" s="10" t="s">
        <v>7962</v>
      </c>
      <c r="C2186" s="11" t="s">
        <v>7966</v>
      </c>
      <c r="D2186" s="11" t="s">
        <v>7967</v>
      </c>
      <c r="E2186" s="11" t="s">
        <v>57</v>
      </c>
      <c r="F2186" s="11" t="s">
        <v>7968</v>
      </c>
      <c r="G2186" s="11" t="s">
        <v>28</v>
      </c>
      <c r="H2186" s="11" t="s">
        <v>7794</v>
      </c>
      <c r="I2186" s="11" t="s">
        <v>7795</v>
      </c>
      <c r="J2186" s="12">
        <v>1</v>
      </c>
      <c r="K2186" s="13">
        <v>1</v>
      </c>
      <c r="L2186" s="14">
        <v>597</v>
      </c>
      <c r="M2186" s="10">
        <v>421</v>
      </c>
      <c r="N2186" s="10">
        <v>65969</v>
      </c>
      <c r="O2186" s="10">
        <v>33014</v>
      </c>
      <c r="P2186" s="10">
        <v>98983</v>
      </c>
    </row>
    <row r="2187" spans="1:16" ht="27" customHeight="1" x14ac:dyDescent="0.2">
      <c r="A2187" s="9" t="s">
        <v>7791</v>
      </c>
      <c r="B2187" s="10" t="s">
        <v>7962</v>
      </c>
      <c r="C2187" s="11" t="s">
        <v>7969</v>
      </c>
      <c r="D2187" s="11" t="s">
        <v>7970</v>
      </c>
      <c r="E2187" s="11" t="s">
        <v>57</v>
      </c>
      <c r="F2187" s="11" t="s">
        <v>7971</v>
      </c>
      <c r="G2187" s="11" t="s">
        <v>28</v>
      </c>
      <c r="H2187" s="11" t="s">
        <v>7794</v>
      </c>
      <c r="I2187" s="11" t="s">
        <v>7795</v>
      </c>
      <c r="J2187" s="12">
        <v>1</v>
      </c>
      <c r="K2187" s="13">
        <v>1</v>
      </c>
      <c r="L2187" s="14">
        <v>235</v>
      </c>
      <c r="M2187" s="10">
        <v>131</v>
      </c>
      <c r="N2187" s="10">
        <v>25968</v>
      </c>
      <c r="O2187" s="10">
        <v>10273</v>
      </c>
      <c r="P2187" s="10">
        <v>36241</v>
      </c>
    </row>
    <row r="2188" spans="1:16" ht="27" customHeight="1" x14ac:dyDescent="0.2">
      <c r="A2188" s="9" t="s">
        <v>7791</v>
      </c>
      <c r="B2188" s="10" t="s">
        <v>7962</v>
      </c>
      <c r="C2188" s="11" t="s">
        <v>7972</v>
      </c>
      <c r="D2188" s="11" t="s">
        <v>7973</v>
      </c>
      <c r="E2188" s="11" t="s">
        <v>57</v>
      </c>
      <c r="F2188" s="11" t="s">
        <v>7974</v>
      </c>
      <c r="G2188" s="11" t="s">
        <v>28</v>
      </c>
      <c r="H2188" s="11" t="s">
        <v>7974</v>
      </c>
      <c r="I2188" s="11" t="s">
        <v>7975</v>
      </c>
      <c r="J2188" s="12">
        <v>0.81120000000000003</v>
      </c>
      <c r="K2188" s="13">
        <v>1</v>
      </c>
      <c r="L2188" s="14">
        <v>430</v>
      </c>
      <c r="M2188" s="10">
        <v>349</v>
      </c>
      <c r="N2188" s="10">
        <v>47516</v>
      </c>
      <c r="O2188" s="10">
        <v>27368</v>
      </c>
      <c r="P2188" s="10">
        <v>74884</v>
      </c>
    </row>
    <row r="2189" spans="1:16" ht="27" customHeight="1" x14ac:dyDescent="0.2">
      <c r="A2189" s="9" t="s">
        <v>7791</v>
      </c>
      <c r="B2189" s="10" t="s">
        <v>7962</v>
      </c>
      <c r="C2189" s="11" t="s">
        <v>7976</v>
      </c>
      <c r="D2189" s="11" t="s">
        <v>7977</v>
      </c>
      <c r="E2189" s="11" t="s">
        <v>57</v>
      </c>
      <c r="F2189" s="11" t="s">
        <v>7978</v>
      </c>
      <c r="G2189" s="11" t="s">
        <v>28</v>
      </c>
      <c r="H2189" s="11" t="s">
        <v>7978</v>
      </c>
      <c r="I2189" s="11" t="s">
        <v>7979</v>
      </c>
      <c r="J2189" s="12">
        <v>0.745</v>
      </c>
      <c r="K2189" s="13">
        <v>1</v>
      </c>
      <c r="L2189" s="14">
        <v>149</v>
      </c>
      <c r="M2189" s="10">
        <v>111</v>
      </c>
      <c r="N2189" s="10">
        <v>16465</v>
      </c>
      <c r="O2189" s="10">
        <v>8705</v>
      </c>
      <c r="P2189" s="10">
        <v>25170</v>
      </c>
    </row>
    <row r="2190" spans="1:16" ht="27" customHeight="1" x14ac:dyDescent="0.2">
      <c r="A2190" s="9" t="s">
        <v>7791</v>
      </c>
      <c r="B2190" s="10" t="s">
        <v>7980</v>
      </c>
      <c r="C2190" s="11" t="s">
        <v>18</v>
      </c>
      <c r="D2190" s="11" t="s">
        <v>19</v>
      </c>
      <c r="E2190" s="11" t="s">
        <v>19</v>
      </c>
      <c r="F2190" s="11" t="s">
        <v>7981</v>
      </c>
      <c r="G2190" s="11" t="s">
        <v>83</v>
      </c>
      <c r="H2190" s="11" t="s">
        <v>7981</v>
      </c>
      <c r="I2190" s="11" t="s">
        <v>7982</v>
      </c>
      <c r="J2190" s="12">
        <v>0.77569999999999995</v>
      </c>
      <c r="K2190" s="13">
        <v>2</v>
      </c>
      <c r="L2190" s="14">
        <v>217</v>
      </c>
      <c r="M2190" s="10">
        <v>168</v>
      </c>
      <c r="N2190" s="10">
        <v>23979</v>
      </c>
      <c r="O2190" s="10">
        <v>13174</v>
      </c>
      <c r="P2190" s="10">
        <v>37153</v>
      </c>
    </row>
    <row r="2191" spans="1:16" ht="27" customHeight="1" x14ac:dyDescent="0.2">
      <c r="A2191" s="9" t="s">
        <v>7791</v>
      </c>
      <c r="B2191" s="10" t="s">
        <v>7983</v>
      </c>
      <c r="C2191" s="11" t="s">
        <v>18</v>
      </c>
      <c r="D2191" s="11" t="s">
        <v>19</v>
      </c>
      <c r="E2191" s="11" t="s">
        <v>19</v>
      </c>
      <c r="F2191" s="11" t="s">
        <v>7984</v>
      </c>
      <c r="G2191" s="11" t="s">
        <v>83</v>
      </c>
      <c r="H2191" s="11" t="s">
        <v>7985</v>
      </c>
      <c r="I2191" s="11" t="s">
        <v>7986</v>
      </c>
      <c r="J2191" s="12">
        <v>0.83540000000000003</v>
      </c>
      <c r="K2191" s="13">
        <v>2</v>
      </c>
      <c r="L2191" s="14">
        <v>413</v>
      </c>
      <c r="M2191" s="10">
        <v>345</v>
      </c>
      <c r="N2191" s="10">
        <v>45637</v>
      </c>
      <c r="O2191" s="10">
        <v>27055</v>
      </c>
      <c r="P2191" s="10">
        <v>72692</v>
      </c>
    </row>
    <row r="2192" spans="1:16" ht="27" customHeight="1" x14ac:dyDescent="0.2">
      <c r="A2192" s="9" t="s">
        <v>7791</v>
      </c>
      <c r="B2192" s="10" t="s">
        <v>7987</v>
      </c>
      <c r="C2192" s="11" t="s">
        <v>18</v>
      </c>
      <c r="D2192" s="11" t="s">
        <v>19</v>
      </c>
      <c r="E2192" s="11" t="s">
        <v>19</v>
      </c>
      <c r="F2192" s="11" t="s">
        <v>7988</v>
      </c>
      <c r="G2192" s="11" t="s">
        <v>83</v>
      </c>
      <c r="H2192" s="11" t="s">
        <v>7989</v>
      </c>
      <c r="I2192" s="11" t="s">
        <v>7990</v>
      </c>
      <c r="J2192" s="12">
        <v>0.91149999999999998</v>
      </c>
      <c r="K2192" s="13">
        <v>7</v>
      </c>
      <c r="L2192" s="14">
        <v>2463</v>
      </c>
      <c r="M2192" s="10">
        <v>2092</v>
      </c>
      <c r="N2192" s="10">
        <v>272166</v>
      </c>
      <c r="O2192" s="10">
        <v>164053</v>
      </c>
      <c r="P2192" s="10">
        <v>436219</v>
      </c>
    </row>
    <row r="2193" spans="1:16" ht="27" customHeight="1" x14ac:dyDescent="0.2">
      <c r="A2193" s="9" t="s">
        <v>7791</v>
      </c>
      <c r="B2193" s="10" t="s">
        <v>7991</v>
      </c>
      <c r="C2193" s="11" t="s">
        <v>18</v>
      </c>
      <c r="D2193" s="11" t="s">
        <v>19</v>
      </c>
      <c r="E2193" s="11" t="s">
        <v>19</v>
      </c>
      <c r="F2193" s="11" t="s">
        <v>7992</v>
      </c>
      <c r="G2193" s="11" t="s">
        <v>83</v>
      </c>
      <c r="H2193" s="11" t="s">
        <v>7993</v>
      </c>
      <c r="I2193" s="11" t="s">
        <v>7994</v>
      </c>
      <c r="J2193" s="12">
        <v>0.95120000000000005</v>
      </c>
      <c r="K2193" s="13">
        <v>20</v>
      </c>
      <c r="L2193" s="14">
        <v>13649</v>
      </c>
      <c r="M2193" s="10">
        <v>11655</v>
      </c>
      <c r="N2193" s="10">
        <v>1508236</v>
      </c>
      <c r="O2193" s="10">
        <v>913973</v>
      </c>
      <c r="P2193" s="10">
        <v>2422209</v>
      </c>
    </row>
    <row r="2194" spans="1:16" ht="27" customHeight="1" x14ac:dyDescent="0.2">
      <c r="A2194" s="9" t="s">
        <v>7791</v>
      </c>
      <c r="B2194" s="10" t="s">
        <v>7991</v>
      </c>
      <c r="C2194" s="11" t="s">
        <v>7995</v>
      </c>
      <c r="D2194" s="11" t="s">
        <v>7996</v>
      </c>
      <c r="E2194" s="11" t="s">
        <v>57</v>
      </c>
      <c r="F2194" s="11" t="s">
        <v>7997</v>
      </c>
      <c r="G2194" s="11" t="s">
        <v>28</v>
      </c>
      <c r="H2194" s="11" t="s">
        <v>7997</v>
      </c>
      <c r="I2194" s="11" t="s">
        <v>7998</v>
      </c>
      <c r="J2194" s="12">
        <v>0.86460000000000004</v>
      </c>
      <c r="K2194" s="13">
        <v>1</v>
      </c>
      <c r="L2194" s="14">
        <v>384</v>
      </c>
      <c r="M2194" s="10">
        <v>332</v>
      </c>
      <c r="N2194" s="10">
        <v>42433</v>
      </c>
      <c r="O2194" s="10">
        <v>26035</v>
      </c>
      <c r="P2194" s="10">
        <v>68468</v>
      </c>
    </row>
    <row r="2195" spans="1:16" ht="27" customHeight="1" x14ac:dyDescent="0.2">
      <c r="A2195" s="9" t="s">
        <v>7791</v>
      </c>
      <c r="B2195" s="10" t="s">
        <v>7991</v>
      </c>
      <c r="C2195" s="11" t="s">
        <v>7999</v>
      </c>
      <c r="D2195" s="11" t="s">
        <v>8000</v>
      </c>
      <c r="E2195" s="11" t="s">
        <v>57</v>
      </c>
      <c r="F2195" s="11" t="s">
        <v>8001</v>
      </c>
      <c r="G2195" s="11" t="s">
        <v>28</v>
      </c>
      <c r="H2195" s="11" t="s">
        <v>7794</v>
      </c>
      <c r="I2195" s="11" t="s">
        <v>7795</v>
      </c>
      <c r="J2195" s="12">
        <v>1</v>
      </c>
      <c r="K2195" s="13">
        <v>1</v>
      </c>
      <c r="L2195" s="14">
        <v>510</v>
      </c>
      <c r="M2195" s="10">
        <v>343</v>
      </c>
      <c r="N2195" s="10">
        <v>56356</v>
      </c>
      <c r="O2195" s="10">
        <v>26898</v>
      </c>
      <c r="P2195" s="10">
        <v>83254</v>
      </c>
    </row>
    <row r="2196" spans="1:16" ht="27" customHeight="1" x14ac:dyDescent="0.2">
      <c r="A2196" s="9" t="s">
        <v>7791</v>
      </c>
      <c r="B2196" s="10" t="s">
        <v>7991</v>
      </c>
      <c r="C2196" s="11" t="s">
        <v>8002</v>
      </c>
      <c r="D2196" s="11" t="s">
        <v>8003</v>
      </c>
      <c r="E2196" s="11" t="s">
        <v>57</v>
      </c>
      <c r="F2196" s="11" t="s">
        <v>8004</v>
      </c>
      <c r="G2196" s="11" t="s">
        <v>28</v>
      </c>
      <c r="H2196" s="11" t="s">
        <v>7794</v>
      </c>
      <c r="I2196" s="11" t="s">
        <v>7795</v>
      </c>
      <c r="J2196" s="12">
        <v>1</v>
      </c>
      <c r="K2196" s="13">
        <v>1</v>
      </c>
      <c r="L2196" s="14">
        <v>288</v>
      </c>
      <c r="M2196" s="10">
        <v>245</v>
      </c>
      <c r="N2196" s="10">
        <v>31824</v>
      </c>
      <c r="O2196" s="10">
        <v>19213</v>
      </c>
      <c r="P2196" s="10">
        <v>51037</v>
      </c>
    </row>
    <row r="2197" spans="1:16" ht="27" customHeight="1" x14ac:dyDescent="0.2">
      <c r="A2197" s="9" t="s">
        <v>7791</v>
      </c>
      <c r="B2197" s="10" t="s">
        <v>8005</v>
      </c>
      <c r="C2197" s="11" t="s">
        <v>18</v>
      </c>
      <c r="D2197" s="11" t="s">
        <v>19</v>
      </c>
      <c r="E2197" s="11" t="s">
        <v>19</v>
      </c>
      <c r="F2197" s="11" t="s">
        <v>8006</v>
      </c>
      <c r="G2197" s="11" t="s">
        <v>83</v>
      </c>
      <c r="H2197" s="11" t="s">
        <v>8007</v>
      </c>
      <c r="I2197" s="11" t="s">
        <v>8008</v>
      </c>
      <c r="J2197" s="12">
        <v>0.81979999999999997</v>
      </c>
      <c r="K2197" s="13">
        <v>11</v>
      </c>
      <c r="L2197" s="14">
        <v>6494</v>
      </c>
      <c r="M2197" s="10">
        <v>5128</v>
      </c>
      <c r="N2197" s="10">
        <v>717598</v>
      </c>
      <c r="O2197" s="10">
        <v>402132</v>
      </c>
      <c r="P2197" s="10">
        <v>1119730</v>
      </c>
    </row>
    <row r="2198" spans="1:16" ht="27" customHeight="1" x14ac:dyDescent="0.2">
      <c r="A2198" s="9" t="s">
        <v>7791</v>
      </c>
      <c r="B2198" s="10" t="s">
        <v>8009</v>
      </c>
      <c r="C2198" s="11" t="s">
        <v>18</v>
      </c>
      <c r="D2198" s="11" t="s">
        <v>19</v>
      </c>
      <c r="E2198" s="11" t="s">
        <v>19</v>
      </c>
      <c r="F2198" s="11" t="s">
        <v>8010</v>
      </c>
      <c r="G2198" s="11" t="s">
        <v>83</v>
      </c>
      <c r="H2198" s="11" t="s">
        <v>6826</v>
      </c>
      <c r="I2198" s="11" t="s">
        <v>8011</v>
      </c>
      <c r="J2198" s="12">
        <v>0.9224</v>
      </c>
      <c r="K2198" s="13">
        <v>7</v>
      </c>
      <c r="L2198" s="14">
        <v>2195</v>
      </c>
      <c r="M2198" s="10">
        <v>1967</v>
      </c>
      <c r="N2198" s="10">
        <v>242551</v>
      </c>
      <c r="O2198" s="10">
        <v>154250</v>
      </c>
      <c r="P2198" s="10">
        <v>396801</v>
      </c>
    </row>
    <row r="2199" spans="1:16" ht="27" customHeight="1" x14ac:dyDescent="0.2">
      <c r="A2199" s="9" t="s">
        <v>7791</v>
      </c>
      <c r="B2199" s="10" t="s">
        <v>8012</v>
      </c>
      <c r="C2199" s="11" t="s">
        <v>18</v>
      </c>
      <c r="D2199" s="11" t="s">
        <v>19</v>
      </c>
      <c r="E2199" s="11" t="s">
        <v>19</v>
      </c>
      <c r="F2199" s="11" t="s">
        <v>8013</v>
      </c>
      <c r="G2199" s="11" t="s">
        <v>83</v>
      </c>
      <c r="H2199" s="11" t="s">
        <v>1518</v>
      </c>
      <c r="I2199" s="11" t="s">
        <v>8014</v>
      </c>
      <c r="J2199" s="12">
        <v>0.75819999999999999</v>
      </c>
      <c r="K2199" s="13">
        <v>8</v>
      </c>
      <c r="L2199" s="14">
        <v>2761</v>
      </c>
      <c r="M2199" s="10">
        <v>1880</v>
      </c>
      <c r="N2199" s="10">
        <v>305095</v>
      </c>
      <c r="O2199" s="10">
        <v>147427</v>
      </c>
      <c r="P2199" s="10">
        <v>452522</v>
      </c>
    </row>
    <row r="2200" spans="1:16" ht="27" customHeight="1" x14ac:dyDescent="0.2">
      <c r="A2200" s="9" t="s">
        <v>8015</v>
      </c>
      <c r="B2200" s="10" t="s">
        <v>8016</v>
      </c>
      <c r="C2200" s="11" t="s">
        <v>18</v>
      </c>
      <c r="D2200" s="11" t="s">
        <v>19</v>
      </c>
      <c r="E2200" s="11" t="s">
        <v>19</v>
      </c>
      <c r="F2200" s="11" t="s">
        <v>8017</v>
      </c>
      <c r="G2200" s="11" t="s">
        <v>21</v>
      </c>
      <c r="H2200" s="11" t="s">
        <v>8018</v>
      </c>
      <c r="I2200" s="11" t="s">
        <v>8019</v>
      </c>
      <c r="J2200" s="12">
        <v>0.75429999999999997</v>
      </c>
      <c r="K2200" s="13">
        <v>5</v>
      </c>
      <c r="L2200" s="14">
        <v>91</v>
      </c>
      <c r="M2200" s="10">
        <v>61</v>
      </c>
      <c r="N2200" s="10">
        <v>10057</v>
      </c>
      <c r="O2200" s="10">
        <v>4782</v>
      </c>
      <c r="P2200" s="10">
        <v>14839</v>
      </c>
    </row>
    <row r="2201" spans="1:16" ht="27" customHeight="1" x14ac:dyDescent="0.2">
      <c r="A2201" s="9" t="s">
        <v>8015</v>
      </c>
      <c r="B2201" s="10" t="s">
        <v>8020</v>
      </c>
      <c r="C2201" s="11" t="s">
        <v>18</v>
      </c>
      <c r="D2201" s="11" t="s">
        <v>19</v>
      </c>
      <c r="E2201" s="11" t="s">
        <v>19</v>
      </c>
      <c r="F2201" s="11" t="s">
        <v>8021</v>
      </c>
      <c r="G2201" s="11" t="s">
        <v>83</v>
      </c>
      <c r="H2201" s="11" t="s">
        <v>8021</v>
      </c>
      <c r="I2201" s="11" t="s">
        <v>8022</v>
      </c>
      <c r="J2201" s="12">
        <v>0.47399999999999998</v>
      </c>
      <c r="K2201" s="13">
        <v>3</v>
      </c>
      <c r="L2201" s="14">
        <v>185</v>
      </c>
      <c r="M2201" s="10">
        <v>88</v>
      </c>
      <c r="N2201" s="10">
        <v>20443</v>
      </c>
      <c r="O2201" s="10">
        <v>6901</v>
      </c>
      <c r="P2201" s="10">
        <v>27344</v>
      </c>
    </row>
    <row r="2202" spans="1:16" ht="27" customHeight="1" x14ac:dyDescent="0.2">
      <c r="A2202" s="9" t="s">
        <v>8015</v>
      </c>
      <c r="B2202" s="10" t="s">
        <v>8023</v>
      </c>
      <c r="C2202" s="11" t="s">
        <v>18</v>
      </c>
      <c r="D2202" s="11" t="s">
        <v>19</v>
      </c>
      <c r="E2202" s="11" t="s">
        <v>19</v>
      </c>
      <c r="F2202" s="11" t="s">
        <v>8024</v>
      </c>
      <c r="G2202" s="11" t="s">
        <v>83</v>
      </c>
      <c r="H2202" s="11" t="s">
        <v>1879</v>
      </c>
      <c r="I2202" s="11" t="s">
        <v>8025</v>
      </c>
      <c r="J2202" s="12">
        <v>0.55149999999999999</v>
      </c>
      <c r="K2202" s="13">
        <v>2</v>
      </c>
      <c r="L2202" s="14">
        <v>443</v>
      </c>
      <c r="M2202" s="10">
        <v>245</v>
      </c>
      <c r="N2202" s="10">
        <v>48953</v>
      </c>
      <c r="O2202" s="10">
        <v>19213</v>
      </c>
      <c r="P2202" s="10">
        <v>68166</v>
      </c>
    </row>
    <row r="2203" spans="1:16" ht="27" customHeight="1" x14ac:dyDescent="0.2">
      <c r="A2203" s="9" t="s">
        <v>8015</v>
      </c>
      <c r="B2203" s="10" t="s">
        <v>8026</v>
      </c>
      <c r="C2203" s="11" t="s">
        <v>18</v>
      </c>
      <c r="D2203" s="11" t="s">
        <v>19</v>
      </c>
      <c r="E2203" s="11" t="s">
        <v>19</v>
      </c>
      <c r="F2203" s="11" t="s">
        <v>8027</v>
      </c>
      <c r="G2203" s="11" t="s">
        <v>83</v>
      </c>
      <c r="H2203" s="11" t="s">
        <v>8027</v>
      </c>
      <c r="I2203" s="11" t="s">
        <v>8028</v>
      </c>
      <c r="J2203" s="12">
        <v>0.53639999999999999</v>
      </c>
      <c r="K2203" s="13">
        <v>2</v>
      </c>
      <c r="L2203" s="14">
        <v>440</v>
      </c>
      <c r="M2203" s="10">
        <v>236</v>
      </c>
      <c r="N2203" s="10">
        <v>48621</v>
      </c>
      <c r="O2203" s="10">
        <v>18507</v>
      </c>
      <c r="P2203" s="10">
        <v>67128</v>
      </c>
    </row>
    <row r="2204" spans="1:16" ht="27" customHeight="1" x14ac:dyDescent="0.2">
      <c r="A2204" s="9" t="s">
        <v>8015</v>
      </c>
      <c r="B2204" s="10" t="s">
        <v>8029</v>
      </c>
      <c r="C2204" s="11" t="s">
        <v>18</v>
      </c>
      <c r="D2204" s="11" t="s">
        <v>19</v>
      </c>
      <c r="E2204" s="11" t="s">
        <v>19</v>
      </c>
      <c r="F2204" s="11" t="s">
        <v>8018</v>
      </c>
      <c r="G2204" s="11" t="s">
        <v>83</v>
      </c>
      <c r="H2204" s="11" t="s">
        <v>8018</v>
      </c>
      <c r="I2204" s="11" t="s">
        <v>8019</v>
      </c>
      <c r="J2204" s="12">
        <v>0.75429999999999997</v>
      </c>
      <c r="K2204" s="13">
        <v>3</v>
      </c>
      <c r="L2204" s="14">
        <v>380</v>
      </c>
      <c r="M2204" s="10">
        <v>278</v>
      </c>
      <c r="N2204" s="10">
        <v>41991</v>
      </c>
      <c r="O2204" s="10">
        <v>21801</v>
      </c>
      <c r="P2204" s="10">
        <v>63792</v>
      </c>
    </row>
    <row r="2205" spans="1:16" ht="27" customHeight="1" x14ac:dyDescent="0.2">
      <c r="A2205" s="9" t="s">
        <v>8015</v>
      </c>
      <c r="B2205" s="10" t="s">
        <v>8030</v>
      </c>
      <c r="C2205" s="11" t="s">
        <v>18</v>
      </c>
      <c r="D2205" s="11" t="s">
        <v>19</v>
      </c>
      <c r="E2205" s="11" t="s">
        <v>19</v>
      </c>
      <c r="F2205" s="11" t="s">
        <v>8031</v>
      </c>
      <c r="G2205" s="11" t="s">
        <v>83</v>
      </c>
      <c r="H2205" s="11" t="s">
        <v>8031</v>
      </c>
      <c r="I2205" s="11" t="s">
        <v>8032</v>
      </c>
      <c r="J2205" s="12">
        <v>0.43369999999999997</v>
      </c>
      <c r="K2205" s="13">
        <v>3</v>
      </c>
      <c r="L2205" s="14">
        <v>724</v>
      </c>
      <c r="M2205" s="10">
        <v>314</v>
      </c>
      <c r="N2205" s="10">
        <v>80003</v>
      </c>
      <c r="O2205" s="10">
        <v>24624</v>
      </c>
      <c r="P2205" s="10">
        <v>104627</v>
      </c>
    </row>
    <row r="2206" spans="1:16" ht="27" customHeight="1" x14ac:dyDescent="0.2">
      <c r="A2206" s="9" t="s">
        <v>8015</v>
      </c>
      <c r="B2206" s="10" t="s">
        <v>8033</v>
      </c>
      <c r="C2206" s="11" t="s">
        <v>18</v>
      </c>
      <c r="D2206" s="11" t="s">
        <v>19</v>
      </c>
      <c r="E2206" s="11" t="s">
        <v>19</v>
      </c>
      <c r="F2206" s="11" t="s">
        <v>8034</v>
      </c>
      <c r="G2206" s="11" t="s">
        <v>83</v>
      </c>
      <c r="H2206" s="11" t="s">
        <v>8018</v>
      </c>
      <c r="I2206" s="11" t="s">
        <v>8019</v>
      </c>
      <c r="J2206" s="12">
        <v>0.75429999999999997</v>
      </c>
      <c r="K2206" s="13">
        <v>4</v>
      </c>
      <c r="L2206" s="14">
        <v>1087</v>
      </c>
      <c r="M2206" s="10">
        <v>424</v>
      </c>
      <c r="N2206" s="10">
        <v>120115</v>
      </c>
      <c r="O2206" s="10">
        <v>33250</v>
      </c>
      <c r="P2206" s="10">
        <v>153365</v>
      </c>
    </row>
    <row r="2207" spans="1:16" ht="27" customHeight="1" x14ac:dyDescent="0.2">
      <c r="A2207" s="9" t="s">
        <v>8015</v>
      </c>
      <c r="B2207" s="10" t="s">
        <v>8035</v>
      </c>
      <c r="C2207" s="11" t="s">
        <v>18</v>
      </c>
      <c r="D2207" s="11" t="s">
        <v>19</v>
      </c>
      <c r="E2207" s="11" t="s">
        <v>19</v>
      </c>
      <c r="F2207" s="11" t="s">
        <v>8036</v>
      </c>
      <c r="G2207" s="11" t="s">
        <v>83</v>
      </c>
      <c r="H2207" s="11" t="s">
        <v>8036</v>
      </c>
      <c r="I2207" s="11" t="s">
        <v>8037</v>
      </c>
      <c r="J2207" s="12">
        <v>0.44009999999999999</v>
      </c>
      <c r="K2207" s="13">
        <v>3</v>
      </c>
      <c r="L2207" s="14">
        <v>484</v>
      </c>
      <c r="M2207" s="10">
        <v>213</v>
      </c>
      <c r="N2207" s="10">
        <v>53483</v>
      </c>
      <c r="O2207" s="10">
        <v>16703</v>
      </c>
      <c r="P2207" s="10">
        <v>70186</v>
      </c>
    </row>
    <row r="2208" spans="1:16" ht="27" customHeight="1" x14ac:dyDescent="0.2">
      <c r="A2208" s="9" t="s">
        <v>8015</v>
      </c>
      <c r="B2208" s="10" t="s">
        <v>8038</v>
      </c>
      <c r="C2208" s="11" t="s">
        <v>18</v>
      </c>
      <c r="D2208" s="11" t="s">
        <v>19</v>
      </c>
      <c r="E2208" s="11" t="s">
        <v>19</v>
      </c>
      <c r="F2208" s="11" t="s">
        <v>8039</v>
      </c>
      <c r="G2208" s="11" t="s">
        <v>83</v>
      </c>
      <c r="H2208" s="11" t="s">
        <v>8039</v>
      </c>
      <c r="I2208" s="11" t="s">
        <v>8040</v>
      </c>
      <c r="J2208" s="12">
        <v>0.55769999999999997</v>
      </c>
      <c r="K2208" s="13">
        <v>2</v>
      </c>
      <c r="L2208" s="14">
        <v>416</v>
      </c>
      <c r="M2208" s="10">
        <v>232</v>
      </c>
      <c r="N2208" s="10">
        <v>45969</v>
      </c>
      <c r="O2208" s="10">
        <v>18193</v>
      </c>
      <c r="P2208" s="10">
        <v>64162</v>
      </c>
    </row>
    <row r="2209" spans="1:16" ht="27" customHeight="1" x14ac:dyDescent="0.2">
      <c r="A2209" s="9" t="s">
        <v>8015</v>
      </c>
      <c r="B2209" s="10" t="s">
        <v>8041</v>
      </c>
      <c r="C2209" s="11" t="s">
        <v>18</v>
      </c>
      <c r="D2209" s="11" t="s">
        <v>19</v>
      </c>
      <c r="E2209" s="11" t="s">
        <v>19</v>
      </c>
      <c r="F2209" s="11" t="s">
        <v>8042</v>
      </c>
      <c r="G2209" s="11" t="s">
        <v>83</v>
      </c>
      <c r="H2209" s="11" t="s">
        <v>8018</v>
      </c>
      <c r="I2209" s="11" t="s">
        <v>8019</v>
      </c>
      <c r="J2209" s="12">
        <v>0.75429999999999997</v>
      </c>
      <c r="K2209" s="13">
        <v>6</v>
      </c>
      <c r="L2209" s="14">
        <v>473</v>
      </c>
      <c r="M2209" s="10">
        <v>231</v>
      </c>
      <c r="N2209" s="10">
        <v>52268</v>
      </c>
      <c r="O2209" s="10">
        <v>18115</v>
      </c>
      <c r="P2209" s="10">
        <v>70383</v>
      </c>
    </row>
    <row r="2210" spans="1:16" ht="27" customHeight="1" x14ac:dyDescent="0.2">
      <c r="A2210" s="9" t="s">
        <v>8015</v>
      </c>
      <c r="B2210" s="10" t="s">
        <v>8041</v>
      </c>
      <c r="C2210" s="11" t="s">
        <v>8043</v>
      </c>
      <c r="D2210" s="11" t="s">
        <v>8044</v>
      </c>
      <c r="E2210" s="11" t="s">
        <v>26</v>
      </c>
      <c r="F2210" s="11" t="s">
        <v>8045</v>
      </c>
      <c r="G2210" s="11" t="s">
        <v>28</v>
      </c>
      <c r="H2210" s="11" t="s">
        <v>8045</v>
      </c>
      <c r="I2210" s="11" t="s">
        <v>8046</v>
      </c>
      <c r="J2210" s="12">
        <v>0.42309999999999998</v>
      </c>
      <c r="K2210" s="13">
        <v>1</v>
      </c>
      <c r="L2210" s="14">
        <v>416</v>
      </c>
      <c r="M2210" s="10">
        <v>176</v>
      </c>
      <c r="N2210" s="10">
        <v>45969</v>
      </c>
      <c r="O2210" s="10">
        <v>13802</v>
      </c>
      <c r="P2210" s="10">
        <v>59771</v>
      </c>
    </row>
    <row r="2211" spans="1:16" ht="27" customHeight="1" x14ac:dyDescent="0.2">
      <c r="A2211" s="9" t="s">
        <v>8015</v>
      </c>
      <c r="B2211" s="10" t="s">
        <v>8041</v>
      </c>
      <c r="C2211" s="11" t="s">
        <v>8047</v>
      </c>
      <c r="D2211" s="11" t="s">
        <v>8048</v>
      </c>
      <c r="E2211" s="11" t="s">
        <v>57</v>
      </c>
      <c r="F2211" s="11" t="s">
        <v>8049</v>
      </c>
      <c r="G2211" s="11" t="s">
        <v>28</v>
      </c>
      <c r="H2211" s="11" t="s">
        <v>8018</v>
      </c>
      <c r="I2211" s="11" t="s">
        <v>8019</v>
      </c>
      <c r="J2211" s="12">
        <v>0.75429999999999997</v>
      </c>
      <c r="K2211" s="13">
        <v>1</v>
      </c>
      <c r="L2211" s="14">
        <v>194</v>
      </c>
      <c r="M2211" s="10">
        <v>74</v>
      </c>
      <c r="N2211" s="10">
        <v>21437</v>
      </c>
      <c r="O2211" s="10">
        <v>5803</v>
      </c>
      <c r="P2211" s="10">
        <v>27240</v>
      </c>
    </row>
    <row r="2212" spans="1:16" ht="27" customHeight="1" x14ac:dyDescent="0.2">
      <c r="A2212" s="9" t="s">
        <v>8015</v>
      </c>
      <c r="B2212" s="10" t="s">
        <v>8050</v>
      </c>
      <c r="C2212" s="11" t="s">
        <v>18</v>
      </c>
      <c r="D2212" s="11" t="s">
        <v>19</v>
      </c>
      <c r="E2212" s="11" t="s">
        <v>19</v>
      </c>
      <c r="F2212" s="11" t="s">
        <v>8051</v>
      </c>
      <c r="G2212" s="11" t="s">
        <v>83</v>
      </c>
      <c r="H2212" s="11" t="s">
        <v>8051</v>
      </c>
      <c r="I2212" s="11" t="s">
        <v>8052</v>
      </c>
      <c r="J2212" s="12">
        <v>0.55910000000000004</v>
      </c>
      <c r="K2212" s="13">
        <v>3</v>
      </c>
      <c r="L2212" s="14">
        <v>255</v>
      </c>
      <c r="M2212" s="10">
        <v>143</v>
      </c>
      <c r="N2212" s="10">
        <v>28178</v>
      </c>
      <c r="O2212" s="10">
        <v>11214</v>
      </c>
      <c r="P2212" s="10">
        <v>39392</v>
      </c>
    </row>
    <row r="2213" spans="1:16" ht="27" customHeight="1" x14ac:dyDescent="0.2">
      <c r="A2213" s="9" t="s">
        <v>8015</v>
      </c>
      <c r="B2213" s="10" t="s">
        <v>8053</v>
      </c>
      <c r="C2213" s="11" t="s">
        <v>18</v>
      </c>
      <c r="D2213" s="11" t="s">
        <v>19</v>
      </c>
      <c r="E2213" s="11" t="s">
        <v>19</v>
      </c>
      <c r="F2213" s="11" t="s">
        <v>8054</v>
      </c>
      <c r="G2213" s="11" t="s">
        <v>83</v>
      </c>
      <c r="H2213" s="11" t="s">
        <v>8055</v>
      </c>
      <c r="I2213" s="11" t="s">
        <v>8056</v>
      </c>
      <c r="J2213" s="12">
        <v>0.58099999999999996</v>
      </c>
      <c r="K2213" s="13">
        <v>4</v>
      </c>
      <c r="L2213" s="14">
        <v>276</v>
      </c>
      <c r="M2213" s="10">
        <v>136</v>
      </c>
      <c r="N2213" s="10">
        <v>30499</v>
      </c>
      <c r="O2213" s="10">
        <v>10665</v>
      </c>
      <c r="P2213" s="10">
        <v>41164</v>
      </c>
    </row>
    <row r="2214" spans="1:16" ht="27" customHeight="1" x14ac:dyDescent="0.2">
      <c r="A2214" s="9" t="s">
        <v>8057</v>
      </c>
      <c r="B2214" s="10" t="s">
        <v>8058</v>
      </c>
      <c r="C2214" s="11" t="s">
        <v>18</v>
      </c>
      <c r="D2214" s="11" t="s">
        <v>19</v>
      </c>
      <c r="E2214" s="11" t="s">
        <v>19</v>
      </c>
      <c r="F2214" s="11" t="s">
        <v>8059</v>
      </c>
      <c r="G2214" s="11" t="s">
        <v>21</v>
      </c>
      <c r="H2214" s="11" t="s">
        <v>8060</v>
      </c>
      <c r="I2214" s="11" t="s">
        <v>8061</v>
      </c>
      <c r="J2214" s="12">
        <v>0.96970000000000001</v>
      </c>
      <c r="K2214" s="13">
        <v>6</v>
      </c>
      <c r="L2214" s="14">
        <v>658</v>
      </c>
      <c r="M2214" s="10">
        <v>322</v>
      </c>
      <c r="N2214" s="10">
        <v>72711</v>
      </c>
      <c r="O2214" s="10">
        <v>25251</v>
      </c>
      <c r="P2214" s="10">
        <v>97962</v>
      </c>
    </row>
    <row r="2215" spans="1:16" ht="27" customHeight="1" x14ac:dyDescent="0.2">
      <c r="A2215" s="9" t="s">
        <v>8057</v>
      </c>
      <c r="B2215" s="10" t="s">
        <v>8058</v>
      </c>
      <c r="C2215" s="11" t="s">
        <v>8062</v>
      </c>
      <c r="D2215" s="11" t="s">
        <v>8063</v>
      </c>
      <c r="E2215" s="11" t="s">
        <v>26</v>
      </c>
      <c r="F2215" s="11" t="s">
        <v>8064</v>
      </c>
      <c r="G2215" s="11" t="s">
        <v>28</v>
      </c>
      <c r="H2215" s="11" t="s">
        <v>8060</v>
      </c>
      <c r="I2215" s="11" t="s">
        <v>8061</v>
      </c>
      <c r="J2215" s="12">
        <v>0.96970000000000001</v>
      </c>
      <c r="K2215" s="13">
        <v>1</v>
      </c>
      <c r="L2215" s="14">
        <v>1311</v>
      </c>
      <c r="M2215" s="10">
        <v>1051</v>
      </c>
      <c r="N2215" s="10">
        <v>144868</v>
      </c>
      <c r="O2215" s="10">
        <v>82418</v>
      </c>
      <c r="P2215" s="10">
        <v>227286</v>
      </c>
    </row>
    <row r="2216" spans="1:16" ht="27" customHeight="1" x14ac:dyDescent="0.2">
      <c r="A2216" s="9" t="s">
        <v>8057</v>
      </c>
      <c r="B2216" s="10" t="s">
        <v>8058</v>
      </c>
      <c r="C2216" s="11" t="s">
        <v>8065</v>
      </c>
      <c r="D2216" s="11" t="s">
        <v>8066</v>
      </c>
      <c r="E2216" s="11" t="s">
        <v>26</v>
      </c>
      <c r="F2216" s="11" t="s">
        <v>8067</v>
      </c>
      <c r="G2216" s="11" t="s">
        <v>28</v>
      </c>
      <c r="H2216" s="11" t="s">
        <v>8067</v>
      </c>
      <c r="I2216" s="11" t="s">
        <v>8068</v>
      </c>
      <c r="J2216" s="12">
        <v>0.35270000000000001</v>
      </c>
      <c r="K2216" s="13">
        <v>1</v>
      </c>
      <c r="L2216" s="14">
        <v>431</v>
      </c>
      <c r="M2216" s="10">
        <v>152</v>
      </c>
      <c r="N2216" s="10">
        <v>47626</v>
      </c>
      <c r="O2216" s="10">
        <v>11920</v>
      </c>
      <c r="P2216" s="10">
        <v>59546</v>
      </c>
    </row>
    <row r="2217" spans="1:16" ht="27" customHeight="1" x14ac:dyDescent="0.2">
      <c r="A2217" s="9" t="s">
        <v>8057</v>
      </c>
      <c r="B2217" s="10" t="s">
        <v>8058</v>
      </c>
      <c r="C2217" s="11" t="s">
        <v>8069</v>
      </c>
      <c r="D2217" s="11" t="s">
        <v>8070</v>
      </c>
      <c r="E2217" s="11" t="s">
        <v>26</v>
      </c>
      <c r="F2217" s="11" t="s">
        <v>8071</v>
      </c>
      <c r="G2217" s="11" t="s">
        <v>28</v>
      </c>
      <c r="H2217" s="11" t="s">
        <v>8071</v>
      </c>
      <c r="I2217" s="11" t="s">
        <v>8072</v>
      </c>
      <c r="J2217" s="12">
        <v>0.18229999999999999</v>
      </c>
      <c r="K2217" s="13">
        <v>1</v>
      </c>
      <c r="L2217" s="14">
        <v>351</v>
      </c>
      <c r="M2217" s="10">
        <v>64</v>
      </c>
      <c r="N2217" s="10">
        <v>38786</v>
      </c>
      <c r="O2217" s="10">
        <v>5019</v>
      </c>
      <c r="P2217" s="10">
        <v>43805</v>
      </c>
    </row>
    <row r="2218" spans="1:16" ht="27" customHeight="1" x14ac:dyDescent="0.2">
      <c r="A2218" s="9" t="s">
        <v>8057</v>
      </c>
      <c r="B2218" s="10" t="s">
        <v>8058</v>
      </c>
      <c r="C2218" s="11" t="s">
        <v>8073</v>
      </c>
      <c r="D2218" s="11" t="s">
        <v>8074</v>
      </c>
      <c r="E2218" s="11" t="s">
        <v>26</v>
      </c>
      <c r="F2218" s="11" t="s">
        <v>8075</v>
      </c>
      <c r="G2218" s="11" t="s">
        <v>28</v>
      </c>
      <c r="H2218" s="11" t="s">
        <v>8075</v>
      </c>
      <c r="I2218" s="11" t="s">
        <v>8076</v>
      </c>
      <c r="J2218" s="12">
        <v>0.24479999999999999</v>
      </c>
      <c r="K2218" s="13">
        <v>1</v>
      </c>
      <c r="L2218" s="14">
        <v>339</v>
      </c>
      <c r="M2218" s="10">
        <v>83</v>
      </c>
      <c r="N2218" s="10">
        <v>37460</v>
      </c>
      <c r="O2218" s="10">
        <v>6509</v>
      </c>
      <c r="P2218" s="10">
        <v>43969</v>
      </c>
    </row>
    <row r="2219" spans="1:16" ht="27" customHeight="1" x14ac:dyDescent="0.2">
      <c r="A2219" s="9" t="s">
        <v>8057</v>
      </c>
      <c r="B2219" s="10" t="s">
        <v>8058</v>
      </c>
      <c r="C2219" s="11" t="s">
        <v>8077</v>
      </c>
      <c r="D2219" s="11" t="s">
        <v>8078</v>
      </c>
      <c r="E2219" s="11" t="s">
        <v>26</v>
      </c>
      <c r="F2219" s="11" t="s">
        <v>8079</v>
      </c>
      <c r="G2219" s="11" t="s">
        <v>28</v>
      </c>
      <c r="H2219" s="11" t="s">
        <v>8079</v>
      </c>
      <c r="I2219" s="11" t="s">
        <v>8080</v>
      </c>
      <c r="J2219" s="12">
        <v>5.3699999999999998E-2</v>
      </c>
      <c r="K2219" s="13">
        <v>1</v>
      </c>
      <c r="L2219" s="14">
        <v>410</v>
      </c>
      <c r="M2219" s="10">
        <v>22</v>
      </c>
      <c r="N2219" s="10">
        <v>45306</v>
      </c>
      <c r="O2219" s="10">
        <v>1725</v>
      </c>
      <c r="P2219" s="10">
        <v>47031</v>
      </c>
    </row>
    <row r="2220" spans="1:16" ht="27" customHeight="1" x14ac:dyDescent="0.2">
      <c r="A2220" s="9" t="s">
        <v>8057</v>
      </c>
      <c r="B2220" s="10" t="s">
        <v>8081</v>
      </c>
      <c r="C2220" s="11" t="s">
        <v>18</v>
      </c>
      <c r="D2220" s="11" t="s">
        <v>19</v>
      </c>
      <c r="E2220" s="11" t="s">
        <v>19</v>
      </c>
      <c r="F2220" s="11" t="s">
        <v>8082</v>
      </c>
      <c r="G2220" s="11" t="s">
        <v>83</v>
      </c>
      <c r="H2220" s="11" t="s">
        <v>8083</v>
      </c>
      <c r="I2220" s="11" t="s">
        <v>8084</v>
      </c>
      <c r="J2220" s="12">
        <v>0.67479999999999996</v>
      </c>
      <c r="K2220" s="13">
        <v>3</v>
      </c>
      <c r="L2220" s="14">
        <v>474</v>
      </c>
      <c r="M2220" s="10">
        <v>316</v>
      </c>
      <c r="N2220" s="10">
        <v>52378</v>
      </c>
      <c r="O2220" s="10">
        <v>24780</v>
      </c>
      <c r="P2220" s="10">
        <v>77158</v>
      </c>
    </row>
    <row r="2221" spans="1:16" ht="27" customHeight="1" x14ac:dyDescent="0.2">
      <c r="A2221" s="9" t="s">
        <v>8057</v>
      </c>
      <c r="B2221" s="10" t="s">
        <v>8085</v>
      </c>
      <c r="C2221" s="11" t="s">
        <v>18</v>
      </c>
      <c r="D2221" s="11" t="s">
        <v>19</v>
      </c>
      <c r="E2221" s="11" t="s">
        <v>19</v>
      </c>
      <c r="F2221" s="11" t="s">
        <v>8086</v>
      </c>
      <c r="G2221" s="11" t="s">
        <v>83</v>
      </c>
      <c r="H2221" s="11" t="s">
        <v>8087</v>
      </c>
      <c r="I2221" s="11" t="s">
        <v>8088</v>
      </c>
      <c r="J2221" s="12">
        <v>0.84619999999999995</v>
      </c>
      <c r="K2221" s="13">
        <v>10</v>
      </c>
      <c r="L2221" s="14">
        <v>3974</v>
      </c>
      <c r="M2221" s="10">
        <v>3104</v>
      </c>
      <c r="N2221" s="10">
        <v>439133</v>
      </c>
      <c r="O2221" s="10">
        <v>243412</v>
      </c>
      <c r="P2221" s="10">
        <v>682545</v>
      </c>
    </row>
    <row r="2222" spans="1:16" ht="27" customHeight="1" x14ac:dyDescent="0.2">
      <c r="A2222" s="9" t="s">
        <v>8057</v>
      </c>
      <c r="B2222" s="10" t="s">
        <v>8089</v>
      </c>
      <c r="C2222" s="11" t="s">
        <v>18</v>
      </c>
      <c r="D2222" s="11" t="s">
        <v>19</v>
      </c>
      <c r="E2222" s="11" t="s">
        <v>19</v>
      </c>
      <c r="F2222" s="11" t="s">
        <v>8090</v>
      </c>
      <c r="G2222" s="11" t="s">
        <v>83</v>
      </c>
      <c r="H2222" s="11" t="s">
        <v>8060</v>
      </c>
      <c r="I2222" s="11" t="s">
        <v>8061</v>
      </c>
      <c r="J2222" s="12">
        <v>0.96970000000000001</v>
      </c>
      <c r="K2222" s="13">
        <v>12</v>
      </c>
      <c r="L2222" s="14">
        <v>7254</v>
      </c>
      <c r="M2222" s="10">
        <v>6012</v>
      </c>
      <c r="N2222" s="10">
        <v>801578</v>
      </c>
      <c r="O2222" s="10">
        <v>471457</v>
      </c>
      <c r="P2222" s="10">
        <v>1273035</v>
      </c>
    </row>
    <row r="2223" spans="1:16" ht="27" customHeight="1" x14ac:dyDescent="0.2">
      <c r="A2223" s="9" t="s">
        <v>8057</v>
      </c>
      <c r="B2223" s="10" t="s">
        <v>8091</v>
      </c>
      <c r="C2223" s="11" t="s">
        <v>18</v>
      </c>
      <c r="D2223" s="11" t="s">
        <v>19</v>
      </c>
      <c r="E2223" s="11" t="s">
        <v>19</v>
      </c>
      <c r="F2223" s="11" t="s">
        <v>8092</v>
      </c>
      <c r="G2223" s="11" t="s">
        <v>83</v>
      </c>
      <c r="H2223" s="11" t="s">
        <v>8093</v>
      </c>
      <c r="I2223" s="11" t="s">
        <v>8094</v>
      </c>
      <c r="J2223" s="12">
        <v>0.3599</v>
      </c>
      <c r="K2223" s="13">
        <v>2</v>
      </c>
      <c r="L2223" s="14">
        <v>567</v>
      </c>
      <c r="M2223" s="10">
        <v>204</v>
      </c>
      <c r="N2223" s="10">
        <v>62654</v>
      </c>
      <c r="O2223" s="10">
        <v>15997</v>
      </c>
      <c r="P2223" s="10">
        <v>78651</v>
      </c>
    </row>
    <row r="2224" spans="1:16" ht="27" customHeight="1" x14ac:dyDescent="0.2">
      <c r="A2224" s="9" t="s">
        <v>8057</v>
      </c>
      <c r="B2224" s="10" t="s">
        <v>8091</v>
      </c>
      <c r="C2224" s="11" t="s">
        <v>8095</v>
      </c>
      <c r="D2224" s="11" t="s">
        <v>8096</v>
      </c>
      <c r="E2224" s="11" t="s">
        <v>26</v>
      </c>
      <c r="F2224" s="11" t="s">
        <v>8097</v>
      </c>
      <c r="G2224" s="11" t="s">
        <v>28</v>
      </c>
      <c r="H2224" s="11" t="s">
        <v>8097</v>
      </c>
      <c r="I2224" s="11" t="s">
        <v>8098</v>
      </c>
      <c r="J2224" s="12">
        <v>0.30980000000000002</v>
      </c>
      <c r="K2224" s="13">
        <v>1</v>
      </c>
      <c r="L2224" s="14">
        <v>439</v>
      </c>
      <c r="M2224" s="10">
        <v>136</v>
      </c>
      <c r="N2224" s="10">
        <v>48510</v>
      </c>
      <c r="O2224" s="10">
        <v>10665</v>
      </c>
      <c r="P2224" s="10">
        <v>59175</v>
      </c>
    </row>
    <row r="2225" spans="1:16" ht="27" customHeight="1" x14ac:dyDescent="0.2">
      <c r="A2225" s="9" t="s">
        <v>8057</v>
      </c>
      <c r="B2225" s="10" t="s">
        <v>8099</v>
      </c>
      <c r="C2225" s="11" t="s">
        <v>18</v>
      </c>
      <c r="D2225" s="11" t="s">
        <v>19</v>
      </c>
      <c r="E2225" s="11" t="s">
        <v>19</v>
      </c>
      <c r="F2225" s="11" t="s">
        <v>8100</v>
      </c>
      <c r="G2225" s="11" t="s">
        <v>83</v>
      </c>
      <c r="H2225" s="11" t="s">
        <v>8100</v>
      </c>
      <c r="I2225" s="11" t="s">
        <v>8101</v>
      </c>
      <c r="J2225" s="12">
        <v>0.46960000000000002</v>
      </c>
      <c r="K2225" s="13">
        <v>2</v>
      </c>
      <c r="L2225" s="14">
        <v>182</v>
      </c>
      <c r="M2225" s="10">
        <v>85</v>
      </c>
      <c r="N2225" s="10">
        <v>20111</v>
      </c>
      <c r="O2225" s="10">
        <v>6666</v>
      </c>
      <c r="P2225" s="10">
        <v>26777</v>
      </c>
    </row>
    <row r="2226" spans="1:16" ht="27" customHeight="1" x14ac:dyDescent="0.2">
      <c r="A2226" s="9" t="s">
        <v>8057</v>
      </c>
      <c r="B2226" s="10" t="s">
        <v>8102</v>
      </c>
      <c r="C2226" s="11" t="s">
        <v>18</v>
      </c>
      <c r="D2226" s="11" t="s">
        <v>19</v>
      </c>
      <c r="E2226" s="11" t="s">
        <v>19</v>
      </c>
      <c r="F2226" s="11" t="s">
        <v>4095</v>
      </c>
      <c r="G2226" s="11" t="s">
        <v>83</v>
      </c>
      <c r="H2226" s="11" t="s">
        <v>8103</v>
      </c>
      <c r="I2226" s="11" t="s">
        <v>8104</v>
      </c>
      <c r="J2226" s="12">
        <v>0.79620000000000002</v>
      </c>
      <c r="K2226" s="13">
        <v>6</v>
      </c>
      <c r="L2226" s="14">
        <v>2274</v>
      </c>
      <c r="M2226" s="10">
        <v>1612</v>
      </c>
      <c r="N2226" s="10">
        <v>251281</v>
      </c>
      <c r="O2226" s="10">
        <v>126411</v>
      </c>
      <c r="P2226" s="10">
        <v>377692</v>
      </c>
    </row>
    <row r="2227" spans="1:16" ht="27" customHeight="1" x14ac:dyDescent="0.2">
      <c r="A2227" s="9" t="s">
        <v>8057</v>
      </c>
      <c r="B2227" s="10" t="s">
        <v>8105</v>
      </c>
      <c r="C2227" s="11" t="s">
        <v>18</v>
      </c>
      <c r="D2227" s="11" t="s">
        <v>19</v>
      </c>
      <c r="E2227" s="11" t="s">
        <v>19</v>
      </c>
      <c r="F2227" s="11" t="s">
        <v>8106</v>
      </c>
      <c r="G2227" s="11" t="s">
        <v>83</v>
      </c>
      <c r="H2227" s="11" t="s">
        <v>8107</v>
      </c>
      <c r="I2227" s="11" t="s">
        <v>8108</v>
      </c>
      <c r="J2227" s="12">
        <v>0.48549999999999999</v>
      </c>
      <c r="K2227" s="13">
        <v>9</v>
      </c>
      <c r="L2227" s="14">
        <v>2088</v>
      </c>
      <c r="M2227" s="10">
        <v>868</v>
      </c>
      <c r="N2227" s="10">
        <v>230729</v>
      </c>
      <c r="O2227" s="10">
        <v>68066</v>
      </c>
      <c r="P2227" s="10">
        <v>298795</v>
      </c>
    </row>
    <row r="2228" spans="1:16" ht="27" customHeight="1" x14ac:dyDescent="0.2">
      <c r="A2228" s="9" t="s">
        <v>8057</v>
      </c>
      <c r="B2228" s="10" t="s">
        <v>8105</v>
      </c>
      <c r="C2228" s="11" t="s">
        <v>8109</v>
      </c>
      <c r="D2228" s="11" t="s">
        <v>8110</v>
      </c>
      <c r="E2228" s="11" t="s">
        <v>26</v>
      </c>
      <c r="F2228" s="11" t="s">
        <v>8111</v>
      </c>
      <c r="G2228" s="11" t="s">
        <v>28</v>
      </c>
      <c r="H2228" s="11" t="s">
        <v>8111</v>
      </c>
      <c r="I2228" s="11" t="s">
        <v>8112</v>
      </c>
      <c r="J2228" s="12">
        <v>0.3</v>
      </c>
      <c r="K2228" s="13">
        <v>1</v>
      </c>
      <c r="L2228" s="14">
        <v>50</v>
      </c>
      <c r="M2228" s="10">
        <v>15</v>
      </c>
      <c r="N2228" s="10">
        <v>5525</v>
      </c>
      <c r="O2228" s="10">
        <v>1176</v>
      </c>
      <c r="P2228" s="10">
        <v>6701</v>
      </c>
    </row>
    <row r="2229" spans="1:16" ht="27" customHeight="1" x14ac:dyDescent="0.2">
      <c r="A2229" s="9" t="s">
        <v>8057</v>
      </c>
      <c r="B2229" s="10" t="s">
        <v>8113</v>
      </c>
      <c r="C2229" s="11" t="s">
        <v>18</v>
      </c>
      <c r="D2229" s="11" t="s">
        <v>19</v>
      </c>
      <c r="E2229" s="11" t="s">
        <v>19</v>
      </c>
      <c r="F2229" s="11" t="s">
        <v>8114</v>
      </c>
      <c r="G2229" s="11" t="s">
        <v>83</v>
      </c>
      <c r="H2229" s="11" t="s">
        <v>8115</v>
      </c>
      <c r="I2229" s="11" t="s">
        <v>8116</v>
      </c>
      <c r="J2229" s="12">
        <v>0.96740000000000004</v>
      </c>
      <c r="K2229" s="13">
        <v>22</v>
      </c>
      <c r="L2229" s="14">
        <v>14319</v>
      </c>
      <c r="M2229" s="10">
        <v>12722</v>
      </c>
      <c r="N2229" s="10">
        <v>1582274</v>
      </c>
      <c r="O2229" s="10">
        <v>997649</v>
      </c>
      <c r="P2229" s="10">
        <v>2579923</v>
      </c>
    </row>
    <row r="2230" spans="1:16" ht="27" customHeight="1" x14ac:dyDescent="0.2">
      <c r="A2230" s="9" t="s">
        <v>8057</v>
      </c>
      <c r="B2230" s="10" t="s">
        <v>8117</v>
      </c>
      <c r="C2230" s="11" t="s">
        <v>18</v>
      </c>
      <c r="D2230" s="11" t="s">
        <v>19</v>
      </c>
      <c r="E2230" s="11" t="s">
        <v>19</v>
      </c>
      <c r="F2230" s="11" t="s">
        <v>8118</v>
      </c>
      <c r="G2230" s="11" t="s">
        <v>83</v>
      </c>
      <c r="H2230" s="11" t="s">
        <v>8060</v>
      </c>
      <c r="I2230" s="11" t="s">
        <v>8061</v>
      </c>
      <c r="J2230" s="12">
        <v>0.96970000000000001</v>
      </c>
      <c r="K2230" s="13">
        <v>13</v>
      </c>
      <c r="L2230" s="14">
        <v>16910</v>
      </c>
      <c r="M2230" s="10">
        <v>11063</v>
      </c>
      <c r="N2230" s="10">
        <v>1868583</v>
      </c>
      <c r="O2230" s="10">
        <v>867549</v>
      </c>
      <c r="P2230" s="10">
        <v>2736132</v>
      </c>
    </row>
    <row r="2231" spans="1:16" ht="27" customHeight="1" x14ac:dyDescent="0.2">
      <c r="A2231" s="9" t="s">
        <v>8057</v>
      </c>
      <c r="B2231" s="10" t="s">
        <v>8117</v>
      </c>
      <c r="C2231" s="11" t="s">
        <v>8119</v>
      </c>
      <c r="D2231" s="11" t="s">
        <v>8120</v>
      </c>
      <c r="E2231" s="11" t="s">
        <v>26</v>
      </c>
      <c r="F2231" s="11" t="s">
        <v>8121</v>
      </c>
      <c r="G2231" s="11" t="s">
        <v>28</v>
      </c>
      <c r="H2231" s="11" t="s">
        <v>8121</v>
      </c>
      <c r="I2231" s="11" t="s">
        <v>8122</v>
      </c>
      <c r="J2231" s="12">
        <v>0.21440000000000001</v>
      </c>
      <c r="K2231" s="13">
        <v>1</v>
      </c>
      <c r="L2231" s="14">
        <v>583</v>
      </c>
      <c r="M2231" s="10">
        <v>125</v>
      </c>
      <c r="N2231" s="10">
        <v>64422</v>
      </c>
      <c r="O2231" s="10">
        <v>9802</v>
      </c>
      <c r="P2231" s="10">
        <v>74224</v>
      </c>
    </row>
    <row r="2232" spans="1:16" ht="27" customHeight="1" x14ac:dyDescent="0.2">
      <c r="A2232" s="9" t="s">
        <v>8057</v>
      </c>
      <c r="B2232" s="10" t="s">
        <v>8117</v>
      </c>
      <c r="C2232" s="11" t="s">
        <v>8123</v>
      </c>
      <c r="D2232" s="11" t="s">
        <v>8124</v>
      </c>
      <c r="E2232" s="11" t="s">
        <v>26</v>
      </c>
      <c r="F2232" s="11" t="s">
        <v>8125</v>
      </c>
      <c r="G2232" s="11" t="s">
        <v>28</v>
      </c>
      <c r="H2232" s="11" t="s">
        <v>8060</v>
      </c>
      <c r="I2232" s="11" t="s">
        <v>8061</v>
      </c>
      <c r="J2232" s="12">
        <v>0.96970000000000001</v>
      </c>
      <c r="K2232" s="13">
        <v>1</v>
      </c>
      <c r="L2232" s="14">
        <v>249</v>
      </c>
      <c r="M2232" s="10">
        <v>105</v>
      </c>
      <c r="N2232" s="10">
        <v>27515</v>
      </c>
      <c r="O2232" s="10">
        <v>8234</v>
      </c>
      <c r="P2232" s="10">
        <v>35749</v>
      </c>
    </row>
    <row r="2233" spans="1:16" ht="27" customHeight="1" x14ac:dyDescent="0.2">
      <c r="A2233" s="9" t="s">
        <v>8057</v>
      </c>
      <c r="B2233" s="10" t="s">
        <v>8126</v>
      </c>
      <c r="C2233" s="11" t="s">
        <v>18</v>
      </c>
      <c r="D2233" s="11" t="s">
        <v>19</v>
      </c>
      <c r="E2233" s="11" t="s">
        <v>19</v>
      </c>
      <c r="F2233" s="11" t="s">
        <v>8127</v>
      </c>
      <c r="G2233" s="11" t="s">
        <v>83</v>
      </c>
      <c r="H2233" s="11" t="s">
        <v>8128</v>
      </c>
      <c r="I2233" s="11" t="s">
        <v>8129</v>
      </c>
      <c r="J2233" s="12">
        <v>0.57089999999999996</v>
      </c>
      <c r="K2233" s="13">
        <v>13</v>
      </c>
      <c r="L2233" s="14">
        <v>5939</v>
      </c>
      <c r="M2233" s="10">
        <v>1938</v>
      </c>
      <c r="N2233" s="10">
        <v>656269</v>
      </c>
      <c r="O2233" s="10">
        <v>151976</v>
      </c>
      <c r="P2233" s="10">
        <v>808245</v>
      </c>
    </row>
    <row r="2234" spans="1:16" ht="27" customHeight="1" x14ac:dyDescent="0.2">
      <c r="A2234" s="9" t="s">
        <v>8057</v>
      </c>
      <c r="B2234" s="10" t="s">
        <v>8126</v>
      </c>
      <c r="C2234" s="11" t="s">
        <v>8130</v>
      </c>
      <c r="D2234" s="11" t="s">
        <v>8131</v>
      </c>
      <c r="E2234" s="11" t="s">
        <v>26</v>
      </c>
      <c r="F2234" s="11" t="s">
        <v>8132</v>
      </c>
      <c r="G2234" s="11" t="s">
        <v>28</v>
      </c>
      <c r="H2234" s="11" t="s">
        <v>8132</v>
      </c>
      <c r="I2234" s="11" t="s">
        <v>8133</v>
      </c>
      <c r="J2234" s="12">
        <v>0.76329999999999998</v>
      </c>
      <c r="K2234" s="13">
        <v>1</v>
      </c>
      <c r="L2234" s="14">
        <v>300</v>
      </c>
      <c r="M2234" s="10">
        <v>229</v>
      </c>
      <c r="N2234" s="10">
        <v>33150</v>
      </c>
      <c r="O2234" s="10">
        <v>17958</v>
      </c>
      <c r="P2234" s="10">
        <v>51108</v>
      </c>
    </row>
    <row r="2235" spans="1:16" ht="27" customHeight="1" x14ac:dyDescent="0.2">
      <c r="A2235" s="9" t="s">
        <v>8057</v>
      </c>
      <c r="B2235" s="10" t="s">
        <v>8126</v>
      </c>
      <c r="C2235" s="11" t="s">
        <v>8134</v>
      </c>
      <c r="D2235" s="11" t="s">
        <v>8135</v>
      </c>
      <c r="E2235" s="11" t="s">
        <v>26</v>
      </c>
      <c r="F2235" s="11" t="s">
        <v>8136</v>
      </c>
      <c r="G2235" s="11" t="s">
        <v>28</v>
      </c>
      <c r="H2235" s="11" t="s">
        <v>8136</v>
      </c>
      <c r="I2235" s="11" t="s">
        <v>8137</v>
      </c>
      <c r="J2235" s="12">
        <v>0.42280000000000001</v>
      </c>
      <c r="K2235" s="13">
        <v>1</v>
      </c>
      <c r="L2235" s="14">
        <v>695</v>
      </c>
      <c r="M2235" s="10">
        <v>294</v>
      </c>
      <c r="N2235" s="10">
        <v>76799</v>
      </c>
      <c r="O2235" s="10">
        <v>23055</v>
      </c>
      <c r="P2235" s="10">
        <v>99854</v>
      </c>
    </row>
    <row r="2236" spans="1:16" ht="27" customHeight="1" x14ac:dyDescent="0.2">
      <c r="A2236" s="9" t="s">
        <v>8057</v>
      </c>
      <c r="B2236" s="10" t="s">
        <v>8138</v>
      </c>
      <c r="C2236" s="11" t="s">
        <v>18</v>
      </c>
      <c r="D2236" s="11" t="s">
        <v>19</v>
      </c>
      <c r="E2236" s="11" t="s">
        <v>19</v>
      </c>
      <c r="F2236" s="11" t="s">
        <v>8139</v>
      </c>
      <c r="G2236" s="11" t="s">
        <v>83</v>
      </c>
      <c r="H2236" s="11" t="s">
        <v>8140</v>
      </c>
      <c r="I2236" s="11" t="s">
        <v>8141</v>
      </c>
      <c r="J2236" s="12">
        <v>0.81610000000000005</v>
      </c>
      <c r="K2236" s="13">
        <v>10</v>
      </c>
      <c r="L2236" s="14">
        <v>5258</v>
      </c>
      <c r="M2236" s="10">
        <v>3161</v>
      </c>
      <c r="N2236" s="10">
        <v>581017</v>
      </c>
      <c r="O2236" s="10">
        <v>247882</v>
      </c>
      <c r="P2236" s="10">
        <v>828899</v>
      </c>
    </row>
    <row r="2237" spans="1:16" ht="27" customHeight="1" x14ac:dyDescent="0.2">
      <c r="A2237" s="9" t="s">
        <v>8057</v>
      </c>
      <c r="B2237" s="10" t="s">
        <v>8142</v>
      </c>
      <c r="C2237" s="11" t="s">
        <v>18</v>
      </c>
      <c r="D2237" s="11" t="s">
        <v>19</v>
      </c>
      <c r="E2237" s="11" t="s">
        <v>19</v>
      </c>
      <c r="F2237" s="11" t="s">
        <v>8143</v>
      </c>
      <c r="G2237" s="11" t="s">
        <v>83</v>
      </c>
      <c r="H2237" s="11" t="s">
        <v>8143</v>
      </c>
      <c r="I2237" s="11" t="s">
        <v>8144</v>
      </c>
      <c r="J2237" s="12">
        <v>0.1111</v>
      </c>
      <c r="K2237" s="13">
        <v>2</v>
      </c>
      <c r="L2237" s="14">
        <v>56</v>
      </c>
      <c r="M2237" s="10">
        <v>6</v>
      </c>
      <c r="N2237" s="10">
        <v>6188</v>
      </c>
      <c r="O2237" s="10">
        <v>471</v>
      </c>
      <c r="P2237" s="10">
        <v>6659</v>
      </c>
    </row>
    <row r="2238" spans="1:16" ht="27" customHeight="1" x14ac:dyDescent="0.2">
      <c r="A2238" s="9" t="s">
        <v>8057</v>
      </c>
      <c r="B2238" s="10" t="s">
        <v>8145</v>
      </c>
      <c r="C2238" s="11" t="s">
        <v>18</v>
      </c>
      <c r="D2238" s="11" t="s">
        <v>19</v>
      </c>
      <c r="E2238" s="11" t="s">
        <v>19</v>
      </c>
      <c r="F2238" s="11" t="s">
        <v>8146</v>
      </c>
      <c r="G2238" s="11" t="s">
        <v>83</v>
      </c>
      <c r="H2238" s="11" t="s">
        <v>8147</v>
      </c>
      <c r="I2238" s="11" t="s">
        <v>8148</v>
      </c>
      <c r="J2238" s="12">
        <v>0.83979999999999999</v>
      </c>
      <c r="K2238" s="13">
        <v>28</v>
      </c>
      <c r="L2238" s="14">
        <v>15944</v>
      </c>
      <c r="M2238" s="10">
        <v>6752</v>
      </c>
      <c r="N2238" s="10">
        <v>1761839</v>
      </c>
      <c r="O2238" s="10">
        <v>529483</v>
      </c>
      <c r="P2238" s="10">
        <v>2291322</v>
      </c>
    </row>
    <row r="2239" spans="1:16" ht="27" customHeight="1" x14ac:dyDescent="0.2">
      <c r="A2239" s="9" t="s">
        <v>8057</v>
      </c>
      <c r="B2239" s="10" t="s">
        <v>8149</v>
      </c>
      <c r="C2239" s="11" t="s">
        <v>18</v>
      </c>
      <c r="D2239" s="11" t="s">
        <v>19</v>
      </c>
      <c r="E2239" s="11" t="s">
        <v>19</v>
      </c>
      <c r="F2239" s="11" t="s">
        <v>8150</v>
      </c>
      <c r="G2239" s="11" t="s">
        <v>83</v>
      </c>
      <c r="H2239" s="11" t="s">
        <v>8151</v>
      </c>
      <c r="I2239" s="11" t="s">
        <v>8152</v>
      </c>
      <c r="J2239" s="12">
        <v>0.75829999999999997</v>
      </c>
      <c r="K2239" s="13">
        <v>2</v>
      </c>
      <c r="L2239" s="14">
        <v>241</v>
      </c>
      <c r="M2239" s="10">
        <v>183</v>
      </c>
      <c r="N2239" s="10">
        <v>26631</v>
      </c>
      <c r="O2239" s="10">
        <v>14351</v>
      </c>
      <c r="P2239" s="10">
        <v>40982</v>
      </c>
    </row>
    <row r="2240" spans="1:16" ht="27" customHeight="1" x14ac:dyDescent="0.2">
      <c r="A2240" s="9" t="s">
        <v>8057</v>
      </c>
      <c r="B2240" s="10" t="s">
        <v>8153</v>
      </c>
      <c r="C2240" s="11" t="s">
        <v>18</v>
      </c>
      <c r="D2240" s="11" t="s">
        <v>19</v>
      </c>
      <c r="E2240" s="11" t="s">
        <v>19</v>
      </c>
      <c r="F2240" s="11" t="s">
        <v>8154</v>
      </c>
      <c r="G2240" s="11" t="s">
        <v>83</v>
      </c>
      <c r="H2240" s="11" t="s">
        <v>8155</v>
      </c>
      <c r="I2240" s="11" t="s">
        <v>8156</v>
      </c>
      <c r="J2240" s="12">
        <v>0.93379999999999996</v>
      </c>
      <c r="K2240" s="13">
        <v>28</v>
      </c>
      <c r="L2240" s="14">
        <v>15325</v>
      </c>
      <c r="M2240" s="10">
        <v>8321</v>
      </c>
      <c r="N2240" s="10">
        <v>1693439</v>
      </c>
      <c r="O2240" s="10">
        <v>652521</v>
      </c>
      <c r="P2240" s="10">
        <v>2345960</v>
      </c>
    </row>
    <row r="2241" spans="1:16" ht="27" customHeight="1" x14ac:dyDescent="0.2">
      <c r="A2241" s="9" t="s">
        <v>8057</v>
      </c>
      <c r="B2241" s="10" t="s">
        <v>8157</v>
      </c>
      <c r="C2241" s="11" t="s">
        <v>18</v>
      </c>
      <c r="D2241" s="11" t="s">
        <v>19</v>
      </c>
      <c r="E2241" s="11" t="s">
        <v>19</v>
      </c>
      <c r="F2241" s="11" t="s">
        <v>8158</v>
      </c>
      <c r="G2241" s="11" t="s">
        <v>83</v>
      </c>
      <c r="H2241" s="11" t="s">
        <v>8159</v>
      </c>
      <c r="I2241" s="11" t="s">
        <v>8160</v>
      </c>
      <c r="J2241" s="12">
        <v>0.67510000000000003</v>
      </c>
      <c r="K2241" s="13">
        <v>28</v>
      </c>
      <c r="L2241" s="14">
        <v>16520</v>
      </c>
      <c r="M2241" s="10">
        <v>3909</v>
      </c>
      <c r="N2241" s="10">
        <v>1825485</v>
      </c>
      <c r="O2241" s="10">
        <v>306540</v>
      </c>
      <c r="P2241" s="10">
        <v>2132025</v>
      </c>
    </row>
    <row r="2242" spans="1:16" ht="27" customHeight="1" x14ac:dyDescent="0.2">
      <c r="A2242" s="9" t="s">
        <v>8057</v>
      </c>
      <c r="B2242" s="10" t="s">
        <v>8161</v>
      </c>
      <c r="C2242" s="11" t="s">
        <v>18</v>
      </c>
      <c r="D2242" s="11" t="s">
        <v>19</v>
      </c>
      <c r="E2242" s="11" t="s">
        <v>19</v>
      </c>
      <c r="F2242" s="11" t="s">
        <v>8162</v>
      </c>
      <c r="G2242" s="11" t="s">
        <v>83</v>
      </c>
      <c r="H2242" s="11" t="s">
        <v>8163</v>
      </c>
      <c r="I2242" s="11" t="s">
        <v>8164</v>
      </c>
      <c r="J2242" s="12">
        <v>0.1555</v>
      </c>
      <c r="K2242" s="13">
        <v>9</v>
      </c>
      <c r="L2242" s="14">
        <v>4244</v>
      </c>
      <c r="M2242" s="10">
        <v>612</v>
      </c>
      <c r="N2242" s="10">
        <v>468970</v>
      </c>
      <c r="O2242" s="10">
        <v>47992</v>
      </c>
      <c r="P2242" s="10">
        <v>516962</v>
      </c>
    </row>
    <row r="2243" spans="1:16" ht="27" customHeight="1" x14ac:dyDescent="0.2">
      <c r="A2243" s="9" t="s">
        <v>8057</v>
      </c>
      <c r="B2243" s="10" t="s">
        <v>8165</v>
      </c>
      <c r="C2243" s="11" t="s">
        <v>18</v>
      </c>
      <c r="D2243" s="11" t="s">
        <v>19</v>
      </c>
      <c r="E2243" s="11" t="s">
        <v>19</v>
      </c>
      <c r="F2243" s="11" t="s">
        <v>8166</v>
      </c>
      <c r="G2243" s="11" t="s">
        <v>83</v>
      </c>
      <c r="H2243" s="11" t="s">
        <v>8167</v>
      </c>
      <c r="I2243" s="11" t="s">
        <v>8168</v>
      </c>
      <c r="J2243" s="12">
        <v>0.41049999999999998</v>
      </c>
      <c r="K2243" s="13">
        <v>11</v>
      </c>
      <c r="L2243" s="14">
        <v>5954</v>
      </c>
      <c r="M2243" s="10">
        <v>1856</v>
      </c>
      <c r="N2243" s="10">
        <v>657927</v>
      </c>
      <c r="O2243" s="10">
        <v>145545</v>
      </c>
      <c r="P2243" s="10">
        <v>803472</v>
      </c>
    </row>
    <row r="2244" spans="1:16" ht="27" customHeight="1" x14ac:dyDescent="0.2">
      <c r="A2244" s="9" t="s">
        <v>8057</v>
      </c>
      <c r="B2244" s="10" t="s">
        <v>8165</v>
      </c>
      <c r="C2244" s="11" t="s">
        <v>8169</v>
      </c>
      <c r="D2244" s="11" t="s">
        <v>8170</v>
      </c>
      <c r="E2244" s="11" t="s">
        <v>26</v>
      </c>
      <c r="F2244" s="11" t="s">
        <v>8171</v>
      </c>
      <c r="G2244" s="11" t="s">
        <v>28</v>
      </c>
      <c r="H2244" s="11" t="s">
        <v>8060</v>
      </c>
      <c r="I2244" s="11" t="s">
        <v>8061</v>
      </c>
      <c r="J2244" s="12">
        <v>0.96970000000000001</v>
      </c>
      <c r="K2244" s="13">
        <v>1</v>
      </c>
      <c r="L2244" s="14">
        <v>71</v>
      </c>
      <c r="M2244" s="10">
        <v>18</v>
      </c>
      <c r="N2244" s="10">
        <v>7846</v>
      </c>
      <c r="O2244" s="10">
        <v>1412</v>
      </c>
      <c r="P2244" s="10">
        <v>9258</v>
      </c>
    </row>
    <row r="2245" spans="1:16" ht="27" customHeight="1" x14ac:dyDescent="0.2">
      <c r="A2245" s="9" t="s">
        <v>8057</v>
      </c>
      <c r="B2245" s="10" t="s">
        <v>8172</v>
      </c>
      <c r="C2245" s="11" t="s">
        <v>18</v>
      </c>
      <c r="D2245" s="11" t="s">
        <v>19</v>
      </c>
      <c r="E2245" s="11" t="s">
        <v>19</v>
      </c>
      <c r="F2245" s="11" t="s">
        <v>8173</v>
      </c>
      <c r="G2245" s="11" t="s">
        <v>83</v>
      </c>
      <c r="H2245" s="11" t="s">
        <v>8174</v>
      </c>
      <c r="I2245" s="11" t="s">
        <v>8175</v>
      </c>
      <c r="J2245" s="12">
        <v>0.91969999999999996</v>
      </c>
      <c r="K2245" s="13">
        <v>11</v>
      </c>
      <c r="L2245" s="14">
        <v>4901</v>
      </c>
      <c r="M2245" s="10">
        <v>3595</v>
      </c>
      <c r="N2245" s="10">
        <v>541568</v>
      </c>
      <c r="O2245" s="10">
        <v>281916</v>
      </c>
      <c r="P2245" s="10">
        <v>823484</v>
      </c>
    </row>
    <row r="2246" spans="1:16" ht="27" customHeight="1" x14ac:dyDescent="0.2">
      <c r="A2246" s="9" t="s">
        <v>8176</v>
      </c>
      <c r="B2246" s="10" t="s">
        <v>8177</v>
      </c>
      <c r="C2246" s="11" t="s">
        <v>18</v>
      </c>
      <c r="D2246" s="11" t="s">
        <v>19</v>
      </c>
      <c r="E2246" s="11" t="s">
        <v>19</v>
      </c>
      <c r="F2246" s="11" t="s">
        <v>8178</v>
      </c>
      <c r="G2246" s="11" t="s">
        <v>21</v>
      </c>
      <c r="H2246" s="11" t="s">
        <v>8179</v>
      </c>
      <c r="I2246" s="11" t="s">
        <v>8180</v>
      </c>
      <c r="J2246" s="12">
        <v>0.94889999999999997</v>
      </c>
      <c r="K2246" s="13">
        <v>4</v>
      </c>
      <c r="L2246" s="14">
        <v>437</v>
      </c>
      <c r="M2246" s="10">
        <v>305</v>
      </c>
      <c r="N2246" s="10">
        <v>48290</v>
      </c>
      <c r="O2246" s="10">
        <v>23918</v>
      </c>
      <c r="P2246" s="10">
        <v>72208</v>
      </c>
    </row>
    <row r="2247" spans="1:16" ht="27" customHeight="1" x14ac:dyDescent="0.2">
      <c r="A2247" s="9" t="s">
        <v>8176</v>
      </c>
      <c r="B2247" s="10" t="s">
        <v>8177</v>
      </c>
      <c r="C2247" s="11" t="s">
        <v>8181</v>
      </c>
      <c r="D2247" s="11" t="s">
        <v>8182</v>
      </c>
      <c r="E2247" s="11" t="s">
        <v>26</v>
      </c>
      <c r="F2247" s="11" t="s">
        <v>8183</v>
      </c>
      <c r="G2247" s="11" t="s">
        <v>28</v>
      </c>
      <c r="H2247" s="11" t="s">
        <v>8183</v>
      </c>
      <c r="I2247" s="11" t="s">
        <v>8184</v>
      </c>
      <c r="J2247" s="12">
        <v>0.66039999999999999</v>
      </c>
      <c r="K2247" s="13">
        <v>1</v>
      </c>
      <c r="L2247" s="14">
        <v>374</v>
      </c>
      <c r="M2247" s="10">
        <v>247</v>
      </c>
      <c r="N2247" s="10">
        <v>41328</v>
      </c>
      <c r="O2247" s="10">
        <v>19369</v>
      </c>
      <c r="P2247" s="10">
        <v>60697</v>
      </c>
    </row>
    <row r="2248" spans="1:16" ht="27" customHeight="1" x14ac:dyDescent="0.2">
      <c r="A2248" s="9" t="s">
        <v>8176</v>
      </c>
      <c r="B2248" s="10" t="s">
        <v>8185</v>
      </c>
      <c r="C2248" s="11" t="s">
        <v>18</v>
      </c>
      <c r="D2248" s="11" t="s">
        <v>19</v>
      </c>
      <c r="E2248" s="11" t="s">
        <v>19</v>
      </c>
      <c r="F2248" s="11" t="s">
        <v>8186</v>
      </c>
      <c r="G2248" s="11" t="s">
        <v>83</v>
      </c>
      <c r="H2248" s="11" t="s">
        <v>8187</v>
      </c>
      <c r="I2248" s="11" t="s">
        <v>8188</v>
      </c>
      <c r="J2248" s="12">
        <v>0.3357</v>
      </c>
      <c r="K2248" s="13">
        <v>17</v>
      </c>
      <c r="L2248" s="14">
        <v>7896</v>
      </c>
      <c r="M2248" s="10">
        <v>1573</v>
      </c>
      <c r="N2248" s="10">
        <v>872521</v>
      </c>
      <c r="O2248" s="10">
        <v>123354</v>
      </c>
      <c r="P2248" s="10">
        <v>995875</v>
      </c>
    </row>
    <row r="2249" spans="1:16" ht="27" customHeight="1" x14ac:dyDescent="0.2">
      <c r="A2249" s="9" t="s">
        <v>8176</v>
      </c>
      <c r="B2249" s="10" t="s">
        <v>8185</v>
      </c>
      <c r="C2249" s="11" t="s">
        <v>8189</v>
      </c>
      <c r="D2249" s="11" t="s">
        <v>8190</v>
      </c>
      <c r="E2249" s="11" t="s">
        <v>57</v>
      </c>
      <c r="F2249" s="11" t="s">
        <v>8191</v>
      </c>
      <c r="G2249" s="11" t="s">
        <v>28</v>
      </c>
      <c r="H2249" s="11" t="s">
        <v>8179</v>
      </c>
      <c r="I2249" s="11" t="s">
        <v>8180</v>
      </c>
      <c r="J2249" s="12">
        <v>0.94889999999999997</v>
      </c>
      <c r="K2249" s="13">
        <v>1</v>
      </c>
      <c r="L2249" s="14">
        <v>611</v>
      </c>
      <c r="M2249" s="10">
        <v>97</v>
      </c>
      <c r="N2249" s="10">
        <v>67517</v>
      </c>
      <c r="O2249" s="10">
        <v>7607</v>
      </c>
      <c r="P2249" s="10">
        <v>75124</v>
      </c>
    </row>
    <row r="2250" spans="1:16" ht="27" customHeight="1" x14ac:dyDescent="0.2">
      <c r="A2250" s="9" t="s">
        <v>8176</v>
      </c>
      <c r="B2250" s="10" t="s">
        <v>8192</v>
      </c>
      <c r="C2250" s="11" t="s">
        <v>18</v>
      </c>
      <c r="D2250" s="11" t="s">
        <v>19</v>
      </c>
      <c r="E2250" s="11" t="s">
        <v>19</v>
      </c>
      <c r="F2250" s="11" t="s">
        <v>8193</v>
      </c>
      <c r="G2250" s="11" t="s">
        <v>83</v>
      </c>
      <c r="H2250" s="11" t="s">
        <v>8194</v>
      </c>
      <c r="I2250" s="11" t="s">
        <v>8195</v>
      </c>
      <c r="J2250" s="12">
        <v>0.78539999999999999</v>
      </c>
      <c r="K2250" s="13">
        <v>5</v>
      </c>
      <c r="L2250" s="14">
        <v>978</v>
      </c>
      <c r="M2250" s="10">
        <v>752</v>
      </c>
      <c r="N2250" s="10">
        <v>108071</v>
      </c>
      <c r="O2250" s="10">
        <v>58970</v>
      </c>
      <c r="P2250" s="10">
        <v>167041</v>
      </c>
    </row>
    <row r="2251" spans="1:16" ht="27" customHeight="1" x14ac:dyDescent="0.2">
      <c r="A2251" s="9" t="s">
        <v>8176</v>
      </c>
      <c r="B2251" s="10" t="s">
        <v>8196</v>
      </c>
      <c r="C2251" s="11" t="s">
        <v>18</v>
      </c>
      <c r="D2251" s="11" t="s">
        <v>19</v>
      </c>
      <c r="E2251" s="11" t="s">
        <v>19</v>
      </c>
      <c r="F2251" s="11" t="s">
        <v>965</v>
      </c>
      <c r="G2251" s="11" t="s">
        <v>83</v>
      </c>
      <c r="H2251" s="11" t="s">
        <v>8179</v>
      </c>
      <c r="I2251" s="11" t="s">
        <v>8180</v>
      </c>
      <c r="J2251" s="12">
        <v>0.94889999999999997</v>
      </c>
      <c r="K2251" s="13">
        <v>14</v>
      </c>
      <c r="L2251" s="14">
        <v>7468</v>
      </c>
      <c r="M2251" s="10">
        <v>5042</v>
      </c>
      <c r="N2251" s="10">
        <v>825227</v>
      </c>
      <c r="O2251" s="10">
        <v>395389</v>
      </c>
      <c r="P2251" s="10">
        <v>1220616</v>
      </c>
    </row>
    <row r="2252" spans="1:16" ht="27" customHeight="1" x14ac:dyDescent="0.2">
      <c r="A2252" s="9" t="s">
        <v>8176</v>
      </c>
      <c r="B2252" s="10" t="s">
        <v>8196</v>
      </c>
      <c r="C2252" s="11" t="s">
        <v>8197</v>
      </c>
      <c r="D2252" s="11" t="s">
        <v>8198</v>
      </c>
      <c r="E2252" s="11" t="s">
        <v>26</v>
      </c>
      <c r="F2252" s="11" t="s">
        <v>8199</v>
      </c>
      <c r="G2252" s="11" t="s">
        <v>28</v>
      </c>
      <c r="H2252" s="11" t="s">
        <v>8199</v>
      </c>
      <c r="I2252" s="11" t="s">
        <v>8200</v>
      </c>
      <c r="J2252" s="12">
        <v>0.85289999999999999</v>
      </c>
      <c r="K2252" s="13">
        <v>1</v>
      </c>
      <c r="L2252" s="14">
        <v>306</v>
      </c>
      <c r="M2252" s="10">
        <v>261</v>
      </c>
      <c r="N2252" s="10">
        <v>33814</v>
      </c>
      <c r="O2252" s="10">
        <v>20467</v>
      </c>
      <c r="P2252" s="10">
        <v>54281</v>
      </c>
    </row>
    <row r="2253" spans="1:16" ht="27" customHeight="1" x14ac:dyDescent="0.2">
      <c r="A2253" s="9" t="s">
        <v>8176</v>
      </c>
      <c r="B2253" s="10" t="s">
        <v>8196</v>
      </c>
      <c r="C2253" s="11" t="s">
        <v>8201</v>
      </c>
      <c r="D2253" s="11" t="s">
        <v>8202</v>
      </c>
      <c r="E2253" s="11" t="s">
        <v>26</v>
      </c>
      <c r="F2253" s="11" t="s">
        <v>8203</v>
      </c>
      <c r="G2253" s="11" t="s">
        <v>28</v>
      </c>
      <c r="H2253" s="11" t="s">
        <v>8203</v>
      </c>
      <c r="I2253" s="11" t="s">
        <v>8204</v>
      </c>
      <c r="J2253" s="12">
        <v>0.50139999999999996</v>
      </c>
      <c r="K2253" s="13">
        <v>1</v>
      </c>
      <c r="L2253" s="14">
        <v>369</v>
      </c>
      <c r="M2253" s="10">
        <v>185</v>
      </c>
      <c r="N2253" s="10">
        <v>40775</v>
      </c>
      <c r="O2253" s="10">
        <v>14508</v>
      </c>
      <c r="P2253" s="10">
        <v>55283</v>
      </c>
    </row>
    <row r="2254" spans="1:16" ht="27" customHeight="1" x14ac:dyDescent="0.2">
      <c r="A2254" s="9" t="s">
        <v>8176</v>
      </c>
      <c r="B2254" s="10" t="s">
        <v>8196</v>
      </c>
      <c r="C2254" s="11" t="s">
        <v>8205</v>
      </c>
      <c r="D2254" s="11" t="s">
        <v>8206</v>
      </c>
      <c r="E2254" s="11" t="s">
        <v>57</v>
      </c>
      <c r="F2254" s="11" t="s">
        <v>8207</v>
      </c>
      <c r="G2254" s="11" t="s">
        <v>28</v>
      </c>
      <c r="H2254" s="11" t="s">
        <v>8179</v>
      </c>
      <c r="I2254" s="11" t="s">
        <v>8180</v>
      </c>
      <c r="J2254" s="12">
        <v>0.94889999999999997</v>
      </c>
      <c r="K2254" s="13">
        <v>1</v>
      </c>
      <c r="L2254" s="14">
        <v>151</v>
      </c>
      <c r="M2254" s="10">
        <v>122</v>
      </c>
      <c r="N2254" s="10">
        <v>16686</v>
      </c>
      <c r="O2254" s="10">
        <v>9567</v>
      </c>
      <c r="P2254" s="10">
        <v>26253</v>
      </c>
    </row>
    <row r="2255" spans="1:16" ht="27" customHeight="1" x14ac:dyDescent="0.2">
      <c r="A2255" s="9" t="s">
        <v>8176</v>
      </c>
      <c r="B2255" s="10" t="s">
        <v>8208</v>
      </c>
      <c r="C2255" s="11" t="s">
        <v>18</v>
      </c>
      <c r="D2255" s="11" t="s">
        <v>19</v>
      </c>
      <c r="E2255" s="11" t="s">
        <v>19</v>
      </c>
      <c r="F2255" s="11" t="s">
        <v>8209</v>
      </c>
      <c r="G2255" s="11" t="s">
        <v>83</v>
      </c>
      <c r="H2255" s="11" t="s">
        <v>8210</v>
      </c>
      <c r="I2255" s="11" t="s">
        <v>8211</v>
      </c>
      <c r="J2255" s="12">
        <v>0.62429999999999997</v>
      </c>
      <c r="K2255" s="13">
        <v>6</v>
      </c>
      <c r="L2255" s="14">
        <v>1596</v>
      </c>
      <c r="M2255" s="10">
        <v>989</v>
      </c>
      <c r="N2255" s="10">
        <v>176362</v>
      </c>
      <c r="O2255" s="10">
        <v>77556</v>
      </c>
      <c r="P2255" s="10">
        <v>253918</v>
      </c>
    </row>
    <row r="2256" spans="1:16" ht="27" customHeight="1" x14ac:dyDescent="0.2">
      <c r="A2256" s="9" t="s">
        <v>8176</v>
      </c>
      <c r="B2256" s="10" t="s">
        <v>8208</v>
      </c>
      <c r="C2256" s="11" t="s">
        <v>8212</v>
      </c>
      <c r="D2256" s="11" t="s">
        <v>8213</v>
      </c>
      <c r="E2256" s="11" t="s">
        <v>26</v>
      </c>
      <c r="F2256" s="11" t="s">
        <v>8214</v>
      </c>
      <c r="G2256" s="11" t="s">
        <v>28</v>
      </c>
      <c r="H2256" s="11" t="s">
        <v>8214</v>
      </c>
      <c r="I2256" s="11" t="s">
        <v>8215</v>
      </c>
      <c r="J2256" s="12">
        <v>0.39200000000000002</v>
      </c>
      <c r="K2256" s="13">
        <v>1</v>
      </c>
      <c r="L2256" s="14">
        <v>671</v>
      </c>
      <c r="M2256" s="10">
        <v>263</v>
      </c>
      <c r="N2256" s="10">
        <v>74147</v>
      </c>
      <c r="O2256" s="10">
        <v>20624</v>
      </c>
      <c r="P2256" s="10">
        <v>94771</v>
      </c>
    </row>
    <row r="2257" spans="1:16" ht="27" customHeight="1" x14ac:dyDescent="0.2">
      <c r="A2257" s="9" t="s">
        <v>8176</v>
      </c>
      <c r="B2257" s="10" t="s">
        <v>8216</v>
      </c>
      <c r="C2257" s="11" t="s">
        <v>18</v>
      </c>
      <c r="D2257" s="11" t="s">
        <v>19</v>
      </c>
      <c r="E2257" s="11" t="s">
        <v>19</v>
      </c>
      <c r="F2257" s="11" t="s">
        <v>8217</v>
      </c>
      <c r="G2257" s="11" t="s">
        <v>83</v>
      </c>
      <c r="H2257" s="11" t="s">
        <v>8218</v>
      </c>
      <c r="I2257" s="11" t="s">
        <v>8219</v>
      </c>
      <c r="J2257" s="12">
        <v>0.871</v>
      </c>
      <c r="K2257" s="13">
        <v>17</v>
      </c>
      <c r="L2257" s="14">
        <v>9610</v>
      </c>
      <c r="M2257" s="10">
        <v>7166</v>
      </c>
      <c r="N2257" s="10">
        <v>1061921</v>
      </c>
      <c r="O2257" s="10">
        <v>561950</v>
      </c>
      <c r="P2257" s="10">
        <v>1623871</v>
      </c>
    </row>
    <row r="2258" spans="1:16" ht="27" customHeight="1" x14ac:dyDescent="0.2">
      <c r="A2258" s="9" t="s">
        <v>8176</v>
      </c>
      <c r="B2258" s="10" t="s">
        <v>8216</v>
      </c>
      <c r="C2258" s="11" t="s">
        <v>8220</v>
      </c>
      <c r="D2258" s="11" t="s">
        <v>8221</v>
      </c>
      <c r="E2258" s="11" t="s">
        <v>57</v>
      </c>
      <c r="F2258" s="11" t="s">
        <v>8222</v>
      </c>
      <c r="G2258" s="11" t="s">
        <v>28</v>
      </c>
      <c r="H2258" s="11" t="s">
        <v>8222</v>
      </c>
      <c r="I2258" s="11" t="s">
        <v>8223</v>
      </c>
      <c r="J2258" s="12">
        <v>0.62260000000000004</v>
      </c>
      <c r="K2258" s="13">
        <v>1</v>
      </c>
      <c r="L2258" s="14">
        <v>212</v>
      </c>
      <c r="M2258" s="10">
        <v>132</v>
      </c>
      <c r="N2258" s="10">
        <v>23426</v>
      </c>
      <c r="O2258" s="10">
        <v>10351</v>
      </c>
      <c r="P2258" s="10">
        <v>33777</v>
      </c>
    </row>
    <row r="2259" spans="1:16" ht="27" customHeight="1" x14ac:dyDescent="0.2">
      <c r="A2259" s="9" t="s">
        <v>8224</v>
      </c>
      <c r="B2259" s="10" t="s">
        <v>8225</v>
      </c>
      <c r="C2259" s="11" t="s">
        <v>18</v>
      </c>
      <c r="D2259" s="11" t="s">
        <v>19</v>
      </c>
      <c r="E2259" s="11" t="s">
        <v>19</v>
      </c>
      <c r="F2259" s="11" t="s">
        <v>8226</v>
      </c>
      <c r="G2259" s="11" t="s">
        <v>21</v>
      </c>
      <c r="H2259" s="11" t="s">
        <v>8227</v>
      </c>
      <c r="I2259" s="11" t="s">
        <v>8228</v>
      </c>
      <c r="J2259" s="12">
        <v>0.93869999999999998</v>
      </c>
      <c r="K2259" s="13">
        <v>4</v>
      </c>
      <c r="L2259" s="14">
        <v>339</v>
      </c>
      <c r="M2259" s="10">
        <v>258</v>
      </c>
      <c r="N2259" s="10">
        <v>37460</v>
      </c>
      <c r="O2259" s="10">
        <v>20232</v>
      </c>
      <c r="P2259" s="10">
        <v>57692</v>
      </c>
    </row>
    <row r="2260" spans="1:16" ht="27" customHeight="1" x14ac:dyDescent="0.2">
      <c r="A2260" s="9" t="s">
        <v>8224</v>
      </c>
      <c r="B2260" s="10" t="s">
        <v>8225</v>
      </c>
      <c r="C2260" s="11" t="s">
        <v>8229</v>
      </c>
      <c r="D2260" s="11" t="s">
        <v>8230</v>
      </c>
      <c r="E2260" s="11" t="s">
        <v>26</v>
      </c>
      <c r="F2260" s="11" t="s">
        <v>8227</v>
      </c>
      <c r="G2260" s="11" t="s">
        <v>28</v>
      </c>
      <c r="H2260" s="11" t="s">
        <v>8227</v>
      </c>
      <c r="I2260" s="11" t="s">
        <v>8228</v>
      </c>
      <c r="J2260" s="12">
        <v>0.93869999999999998</v>
      </c>
      <c r="K2260" s="13">
        <v>1</v>
      </c>
      <c r="L2260" s="14">
        <v>163</v>
      </c>
      <c r="M2260" s="10">
        <v>153</v>
      </c>
      <c r="N2260" s="10">
        <v>18012</v>
      </c>
      <c r="O2260" s="10">
        <v>11998</v>
      </c>
      <c r="P2260" s="10">
        <v>30010</v>
      </c>
    </row>
    <row r="2261" spans="1:16" ht="27" customHeight="1" x14ac:dyDescent="0.2">
      <c r="A2261" s="9" t="s">
        <v>8224</v>
      </c>
      <c r="B2261" s="10" t="s">
        <v>8225</v>
      </c>
      <c r="C2261" s="11" t="s">
        <v>8231</v>
      </c>
      <c r="D2261" s="11" t="s">
        <v>8232</v>
      </c>
      <c r="E2261" s="11" t="s">
        <v>57</v>
      </c>
      <c r="F2261" s="11" t="s">
        <v>8233</v>
      </c>
      <c r="G2261" s="11" t="s">
        <v>28</v>
      </c>
      <c r="H2261" s="11" t="s">
        <v>8233</v>
      </c>
      <c r="I2261" s="11" t="s">
        <v>8234</v>
      </c>
      <c r="J2261" s="12">
        <v>0.8821</v>
      </c>
      <c r="K2261" s="13">
        <v>1</v>
      </c>
      <c r="L2261" s="14">
        <v>212</v>
      </c>
      <c r="M2261" s="10">
        <v>187</v>
      </c>
      <c r="N2261" s="10">
        <v>23426</v>
      </c>
      <c r="O2261" s="10">
        <v>14664</v>
      </c>
      <c r="P2261" s="10">
        <v>38090</v>
      </c>
    </row>
    <row r="2262" spans="1:16" ht="27" customHeight="1" x14ac:dyDescent="0.2">
      <c r="A2262" s="9" t="s">
        <v>8224</v>
      </c>
      <c r="B2262" s="10" t="s">
        <v>8235</v>
      </c>
      <c r="C2262" s="11" t="s">
        <v>18</v>
      </c>
      <c r="D2262" s="11" t="s">
        <v>19</v>
      </c>
      <c r="E2262" s="11" t="s">
        <v>19</v>
      </c>
      <c r="F2262" s="11" t="s">
        <v>8236</v>
      </c>
      <c r="G2262" s="11" t="s">
        <v>83</v>
      </c>
      <c r="H2262" s="11" t="s">
        <v>8236</v>
      </c>
      <c r="I2262" s="11" t="s">
        <v>8237</v>
      </c>
      <c r="J2262" s="12">
        <v>0.77780000000000005</v>
      </c>
      <c r="K2262" s="13">
        <v>2</v>
      </c>
      <c r="L2262" s="14">
        <v>54</v>
      </c>
      <c r="M2262" s="10">
        <v>42</v>
      </c>
      <c r="N2262" s="10">
        <v>5967</v>
      </c>
      <c r="O2262" s="10">
        <v>3294</v>
      </c>
      <c r="P2262" s="10">
        <v>9261</v>
      </c>
    </row>
    <row r="2263" spans="1:16" ht="27" customHeight="1" x14ac:dyDescent="0.2">
      <c r="A2263" s="9" t="s">
        <v>8224</v>
      </c>
      <c r="B2263" s="10" t="s">
        <v>8235</v>
      </c>
      <c r="C2263" s="11" t="s">
        <v>8238</v>
      </c>
      <c r="D2263" s="11" t="s">
        <v>8239</v>
      </c>
      <c r="E2263" s="11" t="s">
        <v>26</v>
      </c>
      <c r="F2263" s="11" t="s">
        <v>8240</v>
      </c>
      <c r="G2263" s="11" t="s">
        <v>28</v>
      </c>
      <c r="H2263" s="11" t="s">
        <v>8240</v>
      </c>
      <c r="I2263" s="11" t="s">
        <v>8241</v>
      </c>
      <c r="J2263" s="12">
        <v>0.50109999999999999</v>
      </c>
      <c r="K2263" s="13">
        <v>1</v>
      </c>
      <c r="L2263" s="14">
        <v>463</v>
      </c>
      <c r="M2263" s="10">
        <v>232</v>
      </c>
      <c r="N2263" s="10">
        <v>51162</v>
      </c>
      <c r="O2263" s="10">
        <v>18193</v>
      </c>
      <c r="P2263" s="10">
        <v>69355</v>
      </c>
    </row>
    <row r="2264" spans="1:16" ht="27" customHeight="1" x14ac:dyDescent="0.2">
      <c r="A2264" s="9" t="s">
        <v>8224</v>
      </c>
      <c r="B2264" s="10" t="s">
        <v>8242</v>
      </c>
      <c r="C2264" s="11" t="s">
        <v>18</v>
      </c>
      <c r="D2264" s="11" t="s">
        <v>19</v>
      </c>
      <c r="E2264" s="11" t="s">
        <v>19</v>
      </c>
      <c r="F2264" s="11" t="s">
        <v>8243</v>
      </c>
      <c r="G2264" s="11" t="s">
        <v>83</v>
      </c>
      <c r="H2264" s="11" t="s">
        <v>8244</v>
      </c>
      <c r="I2264" s="11" t="s">
        <v>8245</v>
      </c>
      <c r="J2264" s="12">
        <v>0.89639999999999997</v>
      </c>
      <c r="K2264" s="13">
        <v>23</v>
      </c>
      <c r="L2264" s="14">
        <v>10124</v>
      </c>
      <c r="M2264" s="10">
        <v>7444</v>
      </c>
      <c r="N2264" s="10">
        <v>1118718</v>
      </c>
      <c r="O2264" s="10">
        <v>583750</v>
      </c>
      <c r="P2264" s="10">
        <v>1702468</v>
      </c>
    </row>
    <row r="2265" spans="1:16" ht="27" customHeight="1" x14ac:dyDescent="0.2">
      <c r="A2265" s="9" t="s">
        <v>8224</v>
      </c>
      <c r="B2265" s="10" t="s">
        <v>8242</v>
      </c>
      <c r="C2265" s="11" t="s">
        <v>8246</v>
      </c>
      <c r="D2265" s="11" t="s">
        <v>8247</v>
      </c>
      <c r="E2265" s="11" t="s">
        <v>26</v>
      </c>
      <c r="F2265" s="11" t="s">
        <v>8248</v>
      </c>
      <c r="G2265" s="11" t="s">
        <v>28</v>
      </c>
      <c r="H2265" s="11" t="s">
        <v>8248</v>
      </c>
      <c r="I2265" s="11" t="s">
        <v>8249</v>
      </c>
      <c r="J2265" s="12">
        <v>0.46800000000000003</v>
      </c>
      <c r="K2265" s="13">
        <v>1</v>
      </c>
      <c r="L2265" s="14">
        <v>203</v>
      </c>
      <c r="M2265" s="10">
        <v>95</v>
      </c>
      <c r="N2265" s="10">
        <v>22432</v>
      </c>
      <c r="O2265" s="10">
        <v>7450</v>
      </c>
      <c r="P2265" s="10">
        <v>29882</v>
      </c>
    </row>
    <row r="2266" spans="1:16" ht="27" customHeight="1" x14ac:dyDescent="0.2">
      <c r="A2266" s="9" t="s">
        <v>8224</v>
      </c>
      <c r="B2266" s="10" t="s">
        <v>8242</v>
      </c>
      <c r="C2266" s="11" t="s">
        <v>8250</v>
      </c>
      <c r="D2266" s="11" t="s">
        <v>8251</v>
      </c>
      <c r="E2266" s="11" t="s">
        <v>57</v>
      </c>
      <c r="F2266" s="11" t="s">
        <v>8252</v>
      </c>
      <c r="G2266" s="11" t="s">
        <v>28</v>
      </c>
      <c r="H2266" s="11" t="s">
        <v>8227</v>
      </c>
      <c r="I2266" s="11" t="s">
        <v>8228</v>
      </c>
      <c r="J2266" s="12">
        <v>0.93869999999999998</v>
      </c>
      <c r="K2266" s="13">
        <v>1</v>
      </c>
      <c r="L2266" s="14">
        <v>362</v>
      </c>
      <c r="M2266" s="10">
        <v>194</v>
      </c>
      <c r="N2266" s="10">
        <v>40002</v>
      </c>
      <c r="O2266" s="10">
        <v>15213</v>
      </c>
      <c r="P2266" s="10">
        <v>55215</v>
      </c>
    </row>
    <row r="2267" spans="1:16" ht="27" customHeight="1" x14ac:dyDescent="0.2">
      <c r="A2267" s="9" t="s">
        <v>8224</v>
      </c>
      <c r="B2267" s="10" t="s">
        <v>8253</v>
      </c>
      <c r="C2267" s="11" t="s">
        <v>18</v>
      </c>
      <c r="D2267" s="11" t="s">
        <v>19</v>
      </c>
      <c r="E2267" s="11" t="s">
        <v>19</v>
      </c>
      <c r="F2267" s="11" t="s">
        <v>8254</v>
      </c>
      <c r="G2267" s="11" t="s">
        <v>83</v>
      </c>
      <c r="H2267" s="11" t="s">
        <v>8255</v>
      </c>
      <c r="I2267" s="11" t="s">
        <v>8256</v>
      </c>
      <c r="J2267" s="12">
        <v>0.37180000000000002</v>
      </c>
      <c r="K2267" s="13">
        <v>4</v>
      </c>
      <c r="L2267" s="14">
        <v>1511</v>
      </c>
      <c r="M2267" s="10">
        <v>561</v>
      </c>
      <c r="N2267" s="10">
        <v>166967</v>
      </c>
      <c r="O2267" s="10">
        <v>43994</v>
      </c>
      <c r="P2267" s="10">
        <v>210961</v>
      </c>
    </row>
    <row r="2268" spans="1:16" ht="27" customHeight="1" x14ac:dyDescent="0.2">
      <c r="A2268" s="9" t="s">
        <v>8224</v>
      </c>
      <c r="B2268" s="10" t="s">
        <v>8257</v>
      </c>
      <c r="C2268" s="11" t="s">
        <v>18</v>
      </c>
      <c r="D2268" s="11" t="s">
        <v>19</v>
      </c>
      <c r="E2268" s="11" t="s">
        <v>19</v>
      </c>
      <c r="F2268" s="11" t="s">
        <v>8258</v>
      </c>
      <c r="G2268" s="11" t="s">
        <v>83</v>
      </c>
      <c r="H2268" s="11" t="s">
        <v>8259</v>
      </c>
      <c r="I2268" s="11" t="s">
        <v>8260</v>
      </c>
      <c r="J2268" s="12">
        <v>0.55830000000000002</v>
      </c>
      <c r="K2268" s="13">
        <v>4</v>
      </c>
      <c r="L2268" s="14">
        <v>1393</v>
      </c>
      <c r="M2268" s="10">
        <v>692</v>
      </c>
      <c r="N2268" s="10">
        <v>153929</v>
      </c>
      <c r="O2268" s="10">
        <v>54265</v>
      </c>
      <c r="P2268" s="10">
        <v>208194</v>
      </c>
    </row>
    <row r="2269" spans="1:16" ht="27" customHeight="1" x14ac:dyDescent="0.2">
      <c r="A2269" s="9" t="s">
        <v>8224</v>
      </c>
      <c r="B2269" s="10" t="s">
        <v>8257</v>
      </c>
      <c r="C2269" s="11" t="s">
        <v>8261</v>
      </c>
      <c r="D2269" s="11" t="s">
        <v>8262</v>
      </c>
      <c r="E2269" s="11" t="s">
        <v>57</v>
      </c>
      <c r="F2269" s="11" t="s">
        <v>8263</v>
      </c>
      <c r="G2269" s="11" t="s">
        <v>28</v>
      </c>
      <c r="H2269" s="11" t="s">
        <v>8263</v>
      </c>
      <c r="I2269" s="11" t="s">
        <v>8264</v>
      </c>
      <c r="J2269" s="12">
        <v>0.4138</v>
      </c>
      <c r="K2269" s="13">
        <v>1</v>
      </c>
      <c r="L2269" s="14">
        <v>87</v>
      </c>
      <c r="M2269" s="10">
        <v>36</v>
      </c>
      <c r="N2269" s="10">
        <v>9614</v>
      </c>
      <c r="O2269" s="10">
        <v>2823</v>
      </c>
      <c r="P2269" s="10">
        <v>12437</v>
      </c>
    </row>
    <row r="2270" spans="1:16" ht="27" customHeight="1" x14ac:dyDescent="0.2">
      <c r="A2270" s="9" t="s">
        <v>8224</v>
      </c>
      <c r="B2270" s="18" t="s">
        <v>8265</v>
      </c>
      <c r="C2270" s="11" t="s">
        <v>18</v>
      </c>
      <c r="D2270" s="11" t="s">
        <v>19</v>
      </c>
      <c r="E2270" s="11" t="s">
        <v>19</v>
      </c>
      <c r="F2270" s="11" t="s">
        <v>8266</v>
      </c>
      <c r="G2270" s="11" t="s">
        <v>83</v>
      </c>
      <c r="H2270" s="11" t="s">
        <v>8227</v>
      </c>
      <c r="I2270" s="11" t="s">
        <v>8228</v>
      </c>
      <c r="J2270" s="12">
        <v>0.93869999999999998</v>
      </c>
      <c r="K2270" s="13">
        <v>4</v>
      </c>
      <c r="L2270" s="14">
        <v>1096</v>
      </c>
      <c r="M2270" s="10">
        <v>882</v>
      </c>
      <c r="N2270" s="10">
        <v>121110</v>
      </c>
      <c r="O2270" s="10">
        <v>69166</v>
      </c>
      <c r="P2270" s="10">
        <v>190276</v>
      </c>
    </row>
    <row r="2271" spans="1:16" ht="27" customHeight="1" x14ac:dyDescent="0.2">
      <c r="A2271" s="19" t="s">
        <v>8267</v>
      </c>
      <c r="B2271" s="20"/>
      <c r="C2271" s="20"/>
      <c r="D2271" s="20"/>
      <c r="E2271" s="20"/>
      <c r="F2271" s="20"/>
      <c r="G2271" s="20"/>
      <c r="H2271" s="21"/>
      <c r="I2271" s="21"/>
      <c r="J2271" s="22"/>
      <c r="K2271" s="23">
        <f>SUBTOTAL(109,Table13[Total Number of School Sites in LEA*])</f>
        <v>11272</v>
      </c>
      <c r="L2271" s="23">
        <f>SUBTOTAL(109,Table13[Total LEA Enrollment])</f>
        <v>5942256</v>
      </c>
      <c r="M2271" s="23">
        <f>SUBTOTAL(109,Table13[Total LEA FRPM Eligible Pupil Count])</f>
        <v>3588578</v>
      </c>
      <c r="N2271" s="24">
        <f>SUBTOTAL(109,Table13[AMS Funding Based on Share of Enrollment])</f>
        <v>656629390</v>
      </c>
      <c r="O2271" s="25">
        <f>SUBTOTAL(109,Table13[AMS Funding Based on Share of FRPM Eligible Pupils])</f>
        <v>281412610</v>
      </c>
      <c r="P2271" s="25">
        <f>SUBTOTAL(109,Table13[Preliminary AMS Entitlement])</f>
        <v>938042000</v>
      </c>
    </row>
    <row r="2272" spans="1:16" x14ac:dyDescent="0.2">
      <c r="A2272" s="26" t="s">
        <v>8268</v>
      </c>
    </row>
    <row r="2273" spans="1:1" x14ac:dyDescent="0.2">
      <c r="A2273" s="27" t="s">
        <v>8269</v>
      </c>
    </row>
    <row r="2274" spans="1:1" x14ac:dyDescent="0.2">
      <c r="A2274" s="27" t="s">
        <v>8270</v>
      </c>
    </row>
    <row r="2275" spans="1:1" x14ac:dyDescent="0.2">
      <c r="A2275" s="28" t="s">
        <v>8271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F782-72DE-1344-9618-124170C885D3}">
  <sheetPr codeName="Sheet3"/>
  <dimension ref="A1:P2275"/>
  <sheetViews>
    <sheetView workbookViewId="0">
      <selection activeCell="C19" sqref="C19"/>
    </sheetView>
  </sheetViews>
  <sheetFormatPr baseColWidth="10" defaultRowHeight="16" x14ac:dyDescent="0.2"/>
  <cols>
    <col min="1" max="1" width="9" customWidth="1"/>
    <col min="2" max="2" width="13.1640625" bestFit="1" customWidth="1"/>
    <col min="3" max="3" width="12.6640625" bestFit="1" customWidth="1"/>
    <col min="4" max="4" width="13.83203125" bestFit="1" customWidth="1"/>
    <col min="5" max="5" width="13.5" bestFit="1" customWidth="1"/>
    <col min="6" max="6" width="17.1640625" bestFit="1" customWidth="1"/>
    <col min="7" max="7" width="15.33203125" bestFit="1" customWidth="1"/>
    <col min="8" max="8" width="27" customWidth="1"/>
    <col min="9" max="9" width="15.1640625" bestFit="1" customWidth="1"/>
    <col min="10" max="10" width="22.33203125" customWidth="1"/>
    <col min="11" max="11" width="15" bestFit="1" customWidth="1"/>
    <col min="12" max="12" width="15.83203125" bestFit="1" customWidth="1"/>
    <col min="13" max="13" width="15.33203125" bestFit="1" customWidth="1"/>
    <col min="14" max="14" width="15.83203125" bestFit="1" customWidth="1"/>
    <col min="15" max="16" width="15.1640625" bestFit="1" customWidth="1"/>
  </cols>
  <sheetData>
    <row r="1" spans="1:16" ht="183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2" spans="1:16" ht="27" customHeight="1" x14ac:dyDescent="0.2">
      <c r="A2" s="2" t="s">
        <v>16</v>
      </c>
      <c r="B2" s="3" t="s">
        <v>17</v>
      </c>
      <c r="C2" s="4" t="s">
        <v>18</v>
      </c>
      <c r="D2" s="4" t="s">
        <v>19</v>
      </c>
      <c r="E2" s="4" t="s">
        <v>19</v>
      </c>
      <c r="F2" s="4" t="s">
        <v>20</v>
      </c>
      <c r="G2" s="4" t="s">
        <v>21</v>
      </c>
      <c r="H2" s="4" t="s">
        <v>22</v>
      </c>
      <c r="I2" s="4" t="s">
        <v>23</v>
      </c>
      <c r="J2" s="5">
        <v>0.99760000000000004</v>
      </c>
      <c r="K2" s="6">
        <v>4</v>
      </c>
      <c r="L2" s="7">
        <v>103</v>
      </c>
      <c r="M2" s="3">
        <v>94</v>
      </c>
      <c r="N2" s="8">
        <v>11382</v>
      </c>
      <c r="O2" s="8">
        <v>7371</v>
      </c>
      <c r="P2" s="8">
        <v>18753</v>
      </c>
    </row>
    <row r="3" spans="1:16" ht="27" customHeight="1" x14ac:dyDescent="0.2">
      <c r="A3" s="9" t="s">
        <v>16</v>
      </c>
      <c r="B3" s="10" t="s">
        <v>17</v>
      </c>
      <c r="C3" s="11" t="s">
        <v>24</v>
      </c>
      <c r="D3" s="11" t="s">
        <v>25</v>
      </c>
      <c r="E3" s="11" t="s">
        <v>26</v>
      </c>
      <c r="F3" s="11" t="s">
        <v>27</v>
      </c>
      <c r="G3" s="11" t="s">
        <v>28</v>
      </c>
      <c r="H3" s="11" t="s">
        <v>27</v>
      </c>
      <c r="I3" s="11" t="s">
        <v>29</v>
      </c>
      <c r="J3" s="12">
        <v>0.78680000000000005</v>
      </c>
      <c r="K3" s="13">
        <v>1</v>
      </c>
      <c r="L3" s="14">
        <v>272</v>
      </c>
      <c r="M3" s="10">
        <v>214</v>
      </c>
      <c r="N3" s="10">
        <v>30056</v>
      </c>
      <c r="O3" s="10">
        <v>16782</v>
      </c>
      <c r="P3" s="10">
        <v>46838</v>
      </c>
    </row>
    <row r="4" spans="1:16" ht="27" customHeight="1" x14ac:dyDescent="0.2">
      <c r="A4" s="9" t="s">
        <v>16</v>
      </c>
      <c r="B4" s="10" t="s">
        <v>17</v>
      </c>
      <c r="C4" s="11" t="s">
        <v>30</v>
      </c>
      <c r="D4" s="11" t="s">
        <v>31</v>
      </c>
      <c r="E4" s="11" t="s">
        <v>26</v>
      </c>
      <c r="F4" s="11" t="s">
        <v>32</v>
      </c>
      <c r="G4" s="11" t="s">
        <v>28</v>
      </c>
      <c r="H4" s="11" t="s">
        <v>32</v>
      </c>
      <c r="I4" s="11" t="s">
        <v>33</v>
      </c>
      <c r="J4" s="12">
        <v>0.75960000000000005</v>
      </c>
      <c r="K4" s="13">
        <v>1</v>
      </c>
      <c r="L4" s="14">
        <v>183</v>
      </c>
      <c r="M4" s="10">
        <v>139</v>
      </c>
      <c r="N4" s="10">
        <v>20222</v>
      </c>
      <c r="O4" s="10">
        <v>10900</v>
      </c>
      <c r="P4" s="10">
        <v>31122</v>
      </c>
    </row>
    <row r="5" spans="1:16" ht="27" customHeight="1" x14ac:dyDescent="0.2">
      <c r="A5" s="9" t="s">
        <v>16</v>
      </c>
      <c r="B5" s="10" t="s">
        <v>17</v>
      </c>
      <c r="C5" s="11" t="s">
        <v>34</v>
      </c>
      <c r="D5" s="11" t="s">
        <v>35</v>
      </c>
      <c r="E5" s="11" t="s">
        <v>26</v>
      </c>
      <c r="F5" s="11" t="s">
        <v>36</v>
      </c>
      <c r="G5" s="11" t="s">
        <v>28</v>
      </c>
      <c r="H5" s="11" t="s">
        <v>36</v>
      </c>
      <c r="I5" s="11" t="s">
        <v>37</v>
      </c>
      <c r="J5" s="12">
        <v>0.2676</v>
      </c>
      <c r="K5" s="13">
        <v>1</v>
      </c>
      <c r="L5" s="14">
        <v>766</v>
      </c>
      <c r="M5" s="10">
        <v>205</v>
      </c>
      <c r="N5" s="10">
        <v>84644</v>
      </c>
      <c r="O5" s="10">
        <v>16076</v>
      </c>
      <c r="P5" s="10">
        <v>100720</v>
      </c>
    </row>
    <row r="6" spans="1:16" ht="27" customHeight="1" x14ac:dyDescent="0.2">
      <c r="A6" s="9" t="s">
        <v>16</v>
      </c>
      <c r="B6" s="10" t="s">
        <v>17</v>
      </c>
      <c r="C6" s="11" t="s">
        <v>38</v>
      </c>
      <c r="D6" s="11" t="s">
        <v>39</v>
      </c>
      <c r="E6" s="11" t="s">
        <v>26</v>
      </c>
      <c r="F6" s="11" t="s">
        <v>40</v>
      </c>
      <c r="G6" s="11" t="s">
        <v>28</v>
      </c>
      <c r="H6" s="11" t="s">
        <v>40</v>
      </c>
      <c r="I6" s="11" t="s">
        <v>41</v>
      </c>
      <c r="J6" s="12">
        <v>0.26219999999999999</v>
      </c>
      <c r="K6" s="13">
        <v>1</v>
      </c>
      <c r="L6" s="14">
        <v>328</v>
      </c>
      <c r="M6" s="10">
        <v>86</v>
      </c>
      <c r="N6" s="10">
        <v>36245</v>
      </c>
      <c r="O6" s="10">
        <v>6744</v>
      </c>
      <c r="P6" s="10">
        <v>42989</v>
      </c>
    </row>
    <row r="7" spans="1:16" ht="27" customHeight="1" x14ac:dyDescent="0.2">
      <c r="A7" s="9" t="s">
        <v>16</v>
      </c>
      <c r="B7" s="10" t="s">
        <v>17</v>
      </c>
      <c r="C7" s="11" t="s">
        <v>42</v>
      </c>
      <c r="D7" s="11" t="s">
        <v>43</v>
      </c>
      <c r="E7" s="11" t="s">
        <v>26</v>
      </c>
      <c r="F7" s="11" t="s">
        <v>44</v>
      </c>
      <c r="G7" s="11" t="s">
        <v>28</v>
      </c>
      <c r="H7" s="11" t="s">
        <v>22</v>
      </c>
      <c r="I7" s="11" t="s">
        <v>23</v>
      </c>
      <c r="J7" s="12">
        <v>0.99760000000000004</v>
      </c>
      <c r="K7" s="13">
        <v>1</v>
      </c>
      <c r="L7" s="14">
        <v>0</v>
      </c>
      <c r="M7" s="10">
        <v>0</v>
      </c>
      <c r="N7" s="10">
        <v>0</v>
      </c>
      <c r="O7" s="10">
        <v>0</v>
      </c>
      <c r="P7" s="10">
        <v>0</v>
      </c>
    </row>
    <row r="8" spans="1:16" ht="27" customHeight="1" x14ac:dyDescent="0.2">
      <c r="A8" s="9" t="s">
        <v>16</v>
      </c>
      <c r="B8" s="10" t="s">
        <v>17</v>
      </c>
      <c r="C8" s="11" t="s">
        <v>45</v>
      </c>
      <c r="D8" s="11" t="s">
        <v>46</v>
      </c>
      <c r="E8" s="11" t="s">
        <v>26</v>
      </c>
      <c r="F8" s="11" t="s">
        <v>47</v>
      </c>
      <c r="G8" s="11" t="s">
        <v>28</v>
      </c>
      <c r="H8" s="11" t="s">
        <v>22</v>
      </c>
      <c r="I8" s="11" t="s">
        <v>23</v>
      </c>
      <c r="J8" s="12">
        <v>0.99760000000000004</v>
      </c>
      <c r="K8" s="13">
        <v>1</v>
      </c>
      <c r="L8" s="14">
        <v>143</v>
      </c>
      <c r="M8" s="10">
        <v>128</v>
      </c>
      <c r="N8" s="10">
        <v>15802</v>
      </c>
      <c r="O8" s="10">
        <v>10038</v>
      </c>
      <c r="P8" s="10">
        <v>25840</v>
      </c>
    </row>
    <row r="9" spans="1:16" ht="27" customHeight="1" x14ac:dyDescent="0.2">
      <c r="A9" s="9" t="s">
        <v>16</v>
      </c>
      <c r="B9" s="10" t="s">
        <v>17</v>
      </c>
      <c r="C9" s="11" t="s">
        <v>48</v>
      </c>
      <c r="D9" s="11" t="s">
        <v>49</v>
      </c>
      <c r="E9" s="11" t="s">
        <v>26</v>
      </c>
      <c r="F9" s="11" t="s">
        <v>50</v>
      </c>
      <c r="G9" s="11" t="s">
        <v>28</v>
      </c>
      <c r="H9" s="11" t="s">
        <v>22</v>
      </c>
      <c r="I9" s="11" t="s">
        <v>23</v>
      </c>
      <c r="J9" s="12">
        <v>0.99760000000000004</v>
      </c>
      <c r="K9" s="13">
        <v>1</v>
      </c>
      <c r="L9" s="14">
        <v>59</v>
      </c>
      <c r="M9" s="10">
        <v>26</v>
      </c>
      <c r="N9" s="10">
        <v>6520</v>
      </c>
      <c r="O9" s="10">
        <v>2039</v>
      </c>
      <c r="P9" s="10">
        <v>8559</v>
      </c>
    </row>
    <row r="10" spans="1:16" ht="27" customHeight="1" x14ac:dyDescent="0.2">
      <c r="A10" s="9" t="s">
        <v>16</v>
      </c>
      <c r="B10" s="10" t="s">
        <v>17</v>
      </c>
      <c r="C10" s="11" t="s">
        <v>51</v>
      </c>
      <c r="D10" s="11" t="s">
        <v>52</v>
      </c>
      <c r="E10" s="11" t="s">
        <v>26</v>
      </c>
      <c r="F10" s="11" t="s">
        <v>53</v>
      </c>
      <c r="G10" s="11" t="s">
        <v>28</v>
      </c>
      <c r="H10" s="11" t="s">
        <v>53</v>
      </c>
      <c r="I10" s="11" t="s">
        <v>54</v>
      </c>
      <c r="J10" s="12">
        <v>0.27129999999999999</v>
      </c>
      <c r="K10" s="13">
        <v>1</v>
      </c>
      <c r="L10" s="14">
        <v>494</v>
      </c>
      <c r="M10" s="10">
        <v>134</v>
      </c>
      <c r="N10" s="10">
        <v>54588</v>
      </c>
      <c r="O10" s="10">
        <v>10508</v>
      </c>
      <c r="P10" s="10">
        <v>65096</v>
      </c>
    </row>
    <row r="11" spans="1:16" ht="27" customHeight="1" x14ac:dyDescent="0.2">
      <c r="A11" s="9" t="s">
        <v>16</v>
      </c>
      <c r="B11" s="10" t="s">
        <v>17</v>
      </c>
      <c r="C11" s="11" t="s">
        <v>55</v>
      </c>
      <c r="D11" s="11" t="s">
        <v>56</v>
      </c>
      <c r="E11" s="11" t="s">
        <v>57</v>
      </c>
      <c r="F11" s="11" t="s">
        <v>58</v>
      </c>
      <c r="G11" s="11" t="s">
        <v>28</v>
      </c>
      <c r="H11" s="11" t="s">
        <v>22</v>
      </c>
      <c r="I11" s="11" t="s">
        <v>23</v>
      </c>
      <c r="J11" s="12">
        <v>0.99760000000000004</v>
      </c>
      <c r="K11" s="13">
        <v>1</v>
      </c>
      <c r="L11" s="14">
        <v>166</v>
      </c>
      <c r="M11" s="10">
        <v>92</v>
      </c>
      <c r="N11" s="10">
        <v>18343</v>
      </c>
      <c r="O11" s="10">
        <v>7215</v>
      </c>
      <c r="P11" s="10">
        <v>25558</v>
      </c>
    </row>
    <row r="12" spans="1:16" ht="27" customHeight="1" x14ac:dyDescent="0.2">
      <c r="A12" s="9" t="s">
        <v>16</v>
      </c>
      <c r="B12" s="10" t="s">
        <v>17</v>
      </c>
      <c r="C12" s="11" t="s">
        <v>59</v>
      </c>
      <c r="D12" s="11" t="s">
        <v>60</v>
      </c>
      <c r="E12" s="11" t="s">
        <v>26</v>
      </c>
      <c r="F12" s="11" t="s">
        <v>61</v>
      </c>
      <c r="G12" s="11" t="s">
        <v>28</v>
      </c>
      <c r="H12" s="11" t="s">
        <v>22</v>
      </c>
      <c r="I12" s="11" t="s">
        <v>23</v>
      </c>
      <c r="J12" s="12">
        <v>0.99760000000000004</v>
      </c>
      <c r="K12" s="13">
        <v>1</v>
      </c>
      <c r="L12" s="14">
        <v>146</v>
      </c>
      <c r="M12" s="10">
        <v>125</v>
      </c>
      <c r="N12" s="10">
        <v>16133</v>
      </c>
      <c r="O12" s="10">
        <v>9802</v>
      </c>
      <c r="P12" s="10">
        <v>25935</v>
      </c>
    </row>
    <row r="13" spans="1:16" ht="27" customHeight="1" x14ac:dyDescent="0.2">
      <c r="A13" s="9" t="s">
        <v>16</v>
      </c>
      <c r="B13" s="10" t="s">
        <v>17</v>
      </c>
      <c r="C13" s="11" t="s">
        <v>62</v>
      </c>
      <c r="D13" s="11" t="s">
        <v>63</v>
      </c>
      <c r="E13" s="11" t="s">
        <v>26</v>
      </c>
      <c r="F13" s="11" t="s">
        <v>64</v>
      </c>
      <c r="G13" s="11" t="s">
        <v>28</v>
      </c>
      <c r="H13" s="11" t="s">
        <v>64</v>
      </c>
      <c r="I13" s="11" t="s">
        <v>65</v>
      </c>
      <c r="J13" s="12">
        <v>0.42</v>
      </c>
      <c r="K13" s="13">
        <v>1</v>
      </c>
      <c r="L13" s="14">
        <v>150</v>
      </c>
      <c r="M13" s="10">
        <v>63</v>
      </c>
      <c r="N13" s="10">
        <v>16575</v>
      </c>
      <c r="O13" s="10">
        <v>4940</v>
      </c>
      <c r="P13" s="10">
        <v>21515</v>
      </c>
    </row>
    <row r="14" spans="1:16" ht="27" customHeight="1" x14ac:dyDescent="0.2">
      <c r="A14" s="9" t="s">
        <v>16</v>
      </c>
      <c r="B14" s="10" t="s">
        <v>17</v>
      </c>
      <c r="C14" s="11" t="s">
        <v>66</v>
      </c>
      <c r="D14" s="11" t="s">
        <v>67</v>
      </c>
      <c r="E14" s="11" t="s">
        <v>26</v>
      </c>
      <c r="F14" s="11" t="s">
        <v>68</v>
      </c>
      <c r="G14" s="11" t="s">
        <v>28</v>
      </c>
      <c r="H14" s="11" t="s">
        <v>68</v>
      </c>
      <c r="I14" s="11" t="s">
        <v>69</v>
      </c>
      <c r="J14" s="12">
        <v>0.91100000000000003</v>
      </c>
      <c r="K14" s="13">
        <v>1</v>
      </c>
      <c r="L14" s="14">
        <v>483</v>
      </c>
      <c r="M14" s="10">
        <v>440</v>
      </c>
      <c r="N14" s="10">
        <v>53372</v>
      </c>
      <c r="O14" s="10">
        <v>34504</v>
      </c>
      <c r="P14" s="10">
        <v>87876</v>
      </c>
    </row>
    <row r="15" spans="1:16" ht="27" customHeight="1" x14ac:dyDescent="0.2">
      <c r="A15" s="9" t="s">
        <v>16</v>
      </c>
      <c r="B15" s="10" t="s">
        <v>17</v>
      </c>
      <c r="C15" s="11" t="s">
        <v>70</v>
      </c>
      <c r="D15" s="11" t="s">
        <v>71</v>
      </c>
      <c r="E15" s="11" t="s">
        <v>26</v>
      </c>
      <c r="F15" s="11" t="s">
        <v>72</v>
      </c>
      <c r="G15" s="11" t="s">
        <v>28</v>
      </c>
      <c r="H15" s="11" t="s">
        <v>72</v>
      </c>
      <c r="I15" s="11" t="s">
        <v>73</v>
      </c>
      <c r="J15" s="12">
        <v>0.86609999999999998</v>
      </c>
      <c r="K15" s="13">
        <v>1</v>
      </c>
      <c r="L15" s="14">
        <v>463</v>
      </c>
      <c r="M15" s="10">
        <v>401</v>
      </c>
      <c r="N15" s="10">
        <v>51162</v>
      </c>
      <c r="O15" s="10">
        <v>31446</v>
      </c>
      <c r="P15" s="10">
        <v>82608</v>
      </c>
    </row>
    <row r="16" spans="1:16" ht="27" customHeight="1" x14ac:dyDescent="0.2">
      <c r="A16" s="9" t="s">
        <v>16</v>
      </c>
      <c r="B16" s="10" t="s">
        <v>74</v>
      </c>
      <c r="C16" s="11" t="s">
        <v>75</v>
      </c>
      <c r="D16" s="11" t="s">
        <v>19</v>
      </c>
      <c r="E16" s="11" t="s">
        <v>19</v>
      </c>
      <c r="F16" s="11" t="s">
        <v>76</v>
      </c>
      <c r="G16" s="11" t="s">
        <v>77</v>
      </c>
      <c r="H16" s="11" t="s">
        <v>22</v>
      </c>
      <c r="I16" s="11" t="s">
        <v>23</v>
      </c>
      <c r="J16" s="12">
        <v>0.99760000000000004</v>
      </c>
      <c r="K16" s="13">
        <v>1</v>
      </c>
      <c r="L16" s="14">
        <v>55</v>
      </c>
      <c r="M16" s="10">
        <v>16</v>
      </c>
      <c r="N16" s="10">
        <v>6078</v>
      </c>
      <c r="O16" s="10">
        <v>1255</v>
      </c>
      <c r="P16" s="10">
        <v>7333</v>
      </c>
    </row>
    <row r="17" spans="1:16" ht="27" customHeight="1" x14ac:dyDescent="0.2">
      <c r="A17" s="9" t="s">
        <v>16</v>
      </c>
      <c r="B17" s="10" t="s">
        <v>78</v>
      </c>
      <c r="C17" s="11" t="s">
        <v>79</v>
      </c>
      <c r="D17" s="11" t="s">
        <v>19</v>
      </c>
      <c r="E17" s="11" t="s">
        <v>19</v>
      </c>
      <c r="F17" s="11" t="s">
        <v>80</v>
      </c>
      <c r="G17" s="11" t="s">
        <v>77</v>
      </c>
      <c r="H17" s="11" t="s">
        <v>22</v>
      </c>
      <c r="I17" s="11" t="s">
        <v>23</v>
      </c>
      <c r="J17" s="12">
        <v>0.99760000000000004</v>
      </c>
      <c r="K17" s="13">
        <v>1</v>
      </c>
      <c r="L17" s="14">
        <v>312</v>
      </c>
      <c r="M17" s="10">
        <v>310</v>
      </c>
      <c r="N17" s="10">
        <v>34477</v>
      </c>
      <c r="O17" s="10">
        <v>24310</v>
      </c>
      <c r="P17" s="10">
        <v>58787</v>
      </c>
    </row>
    <row r="18" spans="1:16" ht="27" customHeight="1" x14ac:dyDescent="0.2">
      <c r="A18" s="9" t="s">
        <v>16</v>
      </c>
      <c r="B18" s="10" t="s">
        <v>81</v>
      </c>
      <c r="C18" s="11" t="s">
        <v>18</v>
      </c>
      <c r="D18" s="11" t="s">
        <v>19</v>
      </c>
      <c r="E18" s="11" t="s">
        <v>19</v>
      </c>
      <c r="F18" s="11" t="s">
        <v>82</v>
      </c>
      <c r="G18" s="11" t="s">
        <v>83</v>
      </c>
      <c r="H18" s="11" t="s">
        <v>84</v>
      </c>
      <c r="I18" s="11" t="s">
        <v>85</v>
      </c>
      <c r="J18" s="12">
        <v>0.63759999999999994</v>
      </c>
      <c r="K18" s="13">
        <v>17</v>
      </c>
      <c r="L18" s="14">
        <v>8938</v>
      </c>
      <c r="M18" s="10">
        <v>3144</v>
      </c>
      <c r="N18" s="10">
        <v>987663</v>
      </c>
      <c r="O18" s="10">
        <v>246550</v>
      </c>
      <c r="P18" s="10">
        <v>1234213</v>
      </c>
    </row>
    <row r="19" spans="1:16" ht="27" customHeight="1" x14ac:dyDescent="0.2">
      <c r="A19" s="9" t="s">
        <v>16</v>
      </c>
      <c r="B19" s="10" t="s">
        <v>81</v>
      </c>
      <c r="C19" s="11" t="s">
        <v>86</v>
      </c>
      <c r="D19" s="11" t="s">
        <v>87</v>
      </c>
      <c r="E19" s="11" t="s">
        <v>26</v>
      </c>
      <c r="F19" s="11" t="s">
        <v>88</v>
      </c>
      <c r="G19" s="11" t="s">
        <v>28</v>
      </c>
      <c r="H19" s="11" t="s">
        <v>88</v>
      </c>
      <c r="I19" s="11" t="s">
        <v>89</v>
      </c>
      <c r="J19" s="12">
        <v>0.40460000000000002</v>
      </c>
      <c r="K19" s="13">
        <v>1</v>
      </c>
      <c r="L19" s="14">
        <v>524</v>
      </c>
      <c r="M19" s="10">
        <v>212</v>
      </c>
      <c r="N19" s="10">
        <v>57903</v>
      </c>
      <c r="O19" s="10">
        <v>16625</v>
      </c>
      <c r="P19" s="10">
        <v>74528</v>
      </c>
    </row>
    <row r="20" spans="1:16" ht="27" customHeight="1" x14ac:dyDescent="0.2">
      <c r="A20" s="9" t="s">
        <v>16</v>
      </c>
      <c r="B20" s="10" t="s">
        <v>81</v>
      </c>
      <c r="C20" s="11" t="s">
        <v>90</v>
      </c>
      <c r="D20" s="11" t="s">
        <v>91</v>
      </c>
      <c r="E20" s="11" t="s">
        <v>26</v>
      </c>
      <c r="F20" s="11" t="s">
        <v>92</v>
      </c>
      <c r="G20" s="11" t="s">
        <v>28</v>
      </c>
      <c r="H20" s="11" t="s">
        <v>92</v>
      </c>
      <c r="I20" s="11" t="s">
        <v>93</v>
      </c>
      <c r="J20" s="12">
        <v>0.50580000000000003</v>
      </c>
      <c r="K20" s="13">
        <v>1</v>
      </c>
      <c r="L20" s="14">
        <v>607</v>
      </c>
      <c r="M20" s="10">
        <v>307</v>
      </c>
      <c r="N20" s="10">
        <v>67075</v>
      </c>
      <c r="O20" s="10">
        <v>24075</v>
      </c>
      <c r="P20" s="10">
        <v>91150</v>
      </c>
    </row>
    <row r="21" spans="1:16" ht="27" customHeight="1" x14ac:dyDescent="0.2">
      <c r="A21" s="9" t="s">
        <v>16</v>
      </c>
      <c r="B21" s="10" t="s">
        <v>81</v>
      </c>
      <c r="C21" s="11" t="s">
        <v>94</v>
      </c>
      <c r="D21" s="11" t="s">
        <v>95</v>
      </c>
      <c r="E21" s="11" t="s">
        <v>26</v>
      </c>
      <c r="F21" s="11" t="s">
        <v>96</v>
      </c>
      <c r="G21" s="11" t="s">
        <v>28</v>
      </c>
      <c r="H21" s="11" t="s">
        <v>96</v>
      </c>
      <c r="I21" s="11" t="s">
        <v>97</v>
      </c>
      <c r="J21" s="12">
        <v>0.3392</v>
      </c>
      <c r="K21" s="13">
        <v>1</v>
      </c>
      <c r="L21" s="14">
        <v>398</v>
      </c>
      <c r="M21" s="10">
        <v>135</v>
      </c>
      <c r="N21" s="10">
        <v>43980</v>
      </c>
      <c r="O21" s="10">
        <v>10587</v>
      </c>
      <c r="P21" s="10">
        <v>54567</v>
      </c>
    </row>
    <row r="22" spans="1:16" ht="27" customHeight="1" x14ac:dyDescent="0.2">
      <c r="A22" s="9" t="s">
        <v>16</v>
      </c>
      <c r="B22" s="10" t="s">
        <v>98</v>
      </c>
      <c r="C22" s="11" t="s">
        <v>18</v>
      </c>
      <c r="D22" s="11" t="s">
        <v>19</v>
      </c>
      <c r="E22" s="11" t="s">
        <v>19</v>
      </c>
      <c r="F22" s="11" t="s">
        <v>99</v>
      </c>
      <c r="G22" s="11" t="s">
        <v>83</v>
      </c>
      <c r="H22" s="11" t="s">
        <v>100</v>
      </c>
      <c r="I22" s="11" t="s">
        <v>101</v>
      </c>
      <c r="J22" s="12">
        <v>0.36890000000000001</v>
      </c>
      <c r="K22" s="13">
        <v>7</v>
      </c>
      <c r="L22" s="14">
        <v>3566</v>
      </c>
      <c r="M22" s="10">
        <v>1006</v>
      </c>
      <c r="N22" s="10">
        <v>394048</v>
      </c>
      <c r="O22" s="10">
        <v>78888</v>
      </c>
      <c r="P22" s="10">
        <v>472936</v>
      </c>
    </row>
    <row r="23" spans="1:16" ht="27" customHeight="1" x14ac:dyDescent="0.2">
      <c r="A23" s="9" t="s">
        <v>16</v>
      </c>
      <c r="B23" s="10" t="s">
        <v>102</v>
      </c>
      <c r="C23" s="11" t="s">
        <v>18</v>
      </c>
      <c r="D23" s="11" t="s">
        <v>19</v>
      </c>
      <c r="E23" s="11" t="s">
        <v>19</v>
      </c>
      <c r="F23" s="11" t="s">
        <v>103</v>
      </c>
      <c r="G23" s="11" t="s">
        <v>83</v>
      </c>
      <c r="H23" s="11" t="s">
        <v>104</v>
      </c>
      <c r="I23" s="11" t="s">
        <v>105</v>
      </c>
      <c r="J23" s="12">
        <v>0.30420000000000003</v>
      </c>
      <c r="K23" s="13">
        <v>19</v>
      </c>
      <c r="L23" s="14">
        <v>9287</v>
      </c>
      <c r="M23" s="10">
        <v>2333</v>
      </c>
      <c r="N23" s="10">
        <v>1026229</v>
      </c>
      <c r="O23" s="10">
        <v>182952</v>
      </c>
      <c r="P23" s="10">
        <v>1209181</v>
      </c>
    </row>
    <row r="24" spans="1:16" ht="27" customHeight="1" x14ac:dyDescent="0.2">
      <c r="A24" s="9" t="s">
        <v>16</v>
      </c>
      <c r="B24" s="10" t="s">
        <v>106</v>
      </c>
      <c r="C24" s="11" t="s">
        <v>18</v>
      </c>
      <c r="D24" s="11" t="s">
        <v>19</v>
      </c>
      <c r="E24" s="11" t="s">
        <v>19</v>
      </c>
      <c r="F24" s="11" t="s">
        <v>107</v>
      </c>
      <c r="G24" s="11" t="s">
        <v>83</v>
      </c>
      <c r="H24" s="11" t="s">
        <v>108</v>
      </c>
      <c r="I24" s="11" t="s">
        <v>109</v>
      </c>
      <c r="J24" s="12">
        <v>0.50749999999999995</v>
      </c>
      <c r="K24" s="13">
        <v>17</v>
      </c>
      <c r="L24" s="14">
        <v>9291</v>
      </c>
      <c r="M24" s="10">
        <v>3276</v>
      </c>
      <c r="N24" s="10">
        <v>1026671</v>
      </c>
      <c r="O24" s="10">
        <v>256898</v>
      </c>
      <c r="P24" s="10">
        <v>1283569</v>
      </c>
    </row>
    <row r="25" spans="1:16" ht="27" customHeight="1" x14ac:dyDescent="0.2">
      <c r="A25" s="9" t="s">
        <v>16</v>
      </c>
      <c r="B25" s="10" t="s">
        <v>110</v>
      </c>
      <c r="C25" s="11" t="s">
        <v>18</v>
      </c>
      <c r="D25" s="11" t="s">
        <v>19</v>
      </c>
      <c r="E25" s="11" t="s">
        <v>19</v>
      </c>
      <c r="F25" s="11" t="s">
        <v>111</v>
      </c>
      <c r="G25" s="11" t="s">
        <v>83</v>
      </c>
      <c r="H25" s="11" t="s">
        <v>112</v>
      </c>
      <c r="I25" s="11" t="s">
        <v>113</v>
      </c>
      <c r="J25" s="12">
        <v>0.61729999999999996</v>
      </c>
      <c r="K25" s="13">
        <v>4</v>
      </c>
      <c r="L25" s="14">
        <v>644</v>
      </c>
      <c r="M25" s="10">
        <v>397</v>
      </c>
      <c r="N25" s="10">
        <v>71163</v>
      </c>
      <c r="O25" s="10">
        <v>31133</v>
      </c>
      <c r="P25" s="10">
        <v>102296</v>
      </c>
    </row>
    <row r="26" spans="1:16" ht="27" customHeight="1" x14ac:dyDescent="0.2">
      <c r="A26" s="9" t="s">
        <v>16</v>
      </c>
      <c r="B26" s="10" t="s">
        <v>114</v>
      </c>
      <c r="C26" s="11" t="s">
        <v>18</v>
      </c>
      <c r="D26" s="11" t="s">
        <v>19</v>
      </c>
      <c r="E26" s="11" t="s">
        <v>19</v>
      </c>
      <c r="F26" s="11" t="s">
        <v>115</v>
      </c>
      <c r="G26" s="11" t="s">
        <v>83</v>
      </c>
      <c r="H26" s="11" t="s">
        <v>116</v>
      </c>
      <c r="I26" s="11" t="s">
        <v>117</v>
      </c>
      <c r="J26" s="12">
        <v>0.62919999999999998</v>
      </c>
      <c r="K26" s="13">
        <v>44</v>
      </c>
      <c r="L26" s="14">
        <v>33002</v>
      </c>
      <c r="M26" s="10">
        <v>7332</v>
      </c>
      <c r="N26" s="10">
        <v>3646777</v>
      </c>
      <c r="O26" s="10">
        <v>574966</v>
      </c>
      <c r="P26" s="10">
        <v>4221743</v>
      </c>
    </row>
    <row r="27" spans="1:16" ht="27" customHeight="1" x14ac:dyDescent="0.2">
      <c r="A27" s="9" t="s">
        <v>16</v>
      </c>
      <c r="B27" s="10" t="s">
        <v>114</v>
      </c>
      <c r="C27" s="11" t="s">
        <v>118</v>
      </c>
      <c r="D27" s="11" t="s">
        <v>119</v>
      </c>
      <c r="E27" s="11" t="s">
        <v>57</v>
      </c>
      <c r="F27" s="11" t="s">
        <v>120</v>
      </c>
      <c r="G27" s="11" t="s">
        <v>28</v>
      </c>
      <c r="H27" s="11" t="s">
        <v>120</v>
      </c>
      <c r="I27" s="11" t="s">
        <v>121</v>
      </c>
      <c r="J27" s="12">
        <v>0.3392</v>
      </c>
      <c r="K27" s="13">
        <v>1</v>
      </c>
      <c r="L27" s="14">
        <v>401</v>
      </c>
      <c r="M27" s="10">
        <v>136</v>
      </c>
      <c r="N27" s="10">
        <v>44311</v>
      </c>
      <c r="O27" s="10">
        <v>10665</v>
      </c>
      <c r="P27" s="10">
        <v>54976</v>
      </c>
    </row>
    <row r="28" spans="1:16" ht="27" customHeight="1" x14ac:dyDescent="0.2">
      <c r="A28" s="9" t="s">
        <v>16</v>
      </c>
      <c r="B28" s="10" t="s">
        <v>122</v>
      </c>
      <c r="C28" s="11" t="s">
        <v>18</v>
      </c>
      <c r="D28" s="11" t="s">
        <v>19</v>
      </c>
      <c r="E28" s="11" t="s">
        <v>19</v>
      </c>
      <c r="F28" s="11" t="s">
        <v>123</v>
      </c>
      <c r="G28" s="11" t="s">
        <v>83</v>
      </c>
      <c r="H28" s="11" t="s">
        <v>124</v>
      </c>
      <c r="I28" s="11" t="s">
        <v>125</v>
      </c>
      <c r="J28" s="12">
        <v>0.80359999999999998</v>
      </c>
      <c r="K28" s="13">
        <v>30</v>
      </c>
      <c r="L28" s="14">
        <v>18519</v>
      </c>
      <c r="M28" s="10">
        <v>13061</v>
      </c>
      <c r="N28" s="10">
        <v>2046382</v>
      </c>
      <c r="O28" s="10">
        <v>1024231</v>
      </c>
      <c r="P28" s="10">
        <v>3070613</v>
      </c>
    </row>
    <row r="29" spans="1:16" ht="27" customHeight="1" x14ac:dyDescent="0.2">
      <c r="A29" s="9" t="s">
        <v>16</v>
      </c>
      <c r="B29" s="10" t="s">
        <v>122</v>
      </c>
      <c r="C29" s="11" t="s">
        <v>126</v>
      </c>
      <c r="D29" s="11" t="s">
        <v>127</v>
      </c>
      <c r="E29" s="11" t="s">
        <v>26</v>
      </c>
      <c r="F29" s="11" t="s">
        <v>128</v>
      </c>
      <c r="G29" s="11" t="s">
        <v>28</v>
      </c>
      <c r="H29" s="11" t="s">
        <v>22</v>
      </c>
      <c r="I29" s="11" t="s">
        <v>23</v>
      </c>
      <c r="J29" s="12">
        <v>0.99760000000000004</v>
      </c>
      <c r="K29" s="13">
        <v>1</v>
      </c>
      <c r="L29" s="14">
        <v>582</v>
      </c>
      <c r="M29" s="10">
        <v>270</v>
      </c>
      <c r="N29" s="10">
        <v>64312</v>
      </c>
      <c r="O29" s="10">
        <v>21173</v>
      </c>
      <c r="P29" s="10">
        <v>85485</v>
      </c>
    </row>
    <row r="30" spans="1:16" ht="27" customHeight="1" x14ac:dyDescent="0.2">
      <c r="A30" s="9" t="s">
        <v>16</v>
      </c>
      <c r="B30" s="10" t="s">
        <v>122</v>
      </c>
      <c r="C30" s="11" t="s">
        <v>129</v>
      </c>
      <c r="D30" s="11" t="s">
        <v>130</v>
      </c>
      <c r="E30" s="11" t="s">
        <v>26</v>
      </c>
      <c r="F30" s="11" t="s">
        <v>131</v>
      </c>
      <c r="G30" s="11" t="s">
        <v>28</v>
      </c>
      <c r="H30" s="11" t="s">
        <v>131</v>
      </c>
      <c r="I30" s="11" t="s">
        <v>132</v>
      </c>
      <c r="J30" s="12">
        <v>0.68730000000000002</v>
      </c>
      <c r="K30" s="13">
        <v>1</v>
      </c>
      <c r="L30" s="14">
        <v>614</v>
      </c>
      <c r="M30" s="10">
        <v>422</v>
      </c>
      <c r="N30" s="10">
        <v>67848</v>
      </c>
      <c r="O30" s="10">
        <v>33093</v>
      </c>
      <c r="P30" s="10">
        <v>100941</v>
      </c>
    </row>
    <row r="31" spans="1:16" ht="27" customHeight="1" x14ac:dyDescent="0.2">
      <c r="A31" s="9" t="s">
        <v>16</v>
      </c>
      <c r="B31" s="10" t="s">
        <v>122</v>
      </c>
      <c r="C31" s="11" t="s">
        <v>133</v>
      </c>
      <c r="D31" s="11" t="s">
        <v>134</v>
      </c>
      <c r="E31" s="11" t="s">
        <v>26</v>
      </c>
      <c r="F31" s="11" t="s">
        <v>135</v>
      </c>
      <c r="G31" s="11" t="s">
        <v>28</v>
      </c>
      <c r="H31" s="11" t="s">
        <v>135</v>
      </c>
      <c r="I31" s="11" t="s">
        <v>136</v>
      </c>
      <c r="J31" s="12">
        <v>0.26040000000000002</v>
      </c>
      <c r="K31" s="13">
        <v>1</v>
      </c>
      <c r="L31" s="14">
        <v>553</v>
      </c>
      <c r="M31" s="10">
        <v>144</v>
      </c>
      <c r="N31" s="10">
        <v>61107</v>
      </c>
      <c r="O31" s="10">
        <v>11292</v>
      </c>
      <c r="P31" s="10">
        <v>72399</v>
      </c>
    </row>
    <row r="32" spans="1:16" ht="27" customHeight="1" x14ac:dyDescent="0.2">
      <c r="A32" s="9" t="s">
        <v>16</v>
      </c>
      <c r="B32" s="10" t="s">
        <v>122</v>
      </c>
      <c r="C32" s="11" t="s">
        <v>137</v>
      </c>
      <c r="D32" s="11" t="s">
        <v>138</v>
      </c>
      <c r="E32" s="11" t="s">
        <v>26</v>
      </c>
      <c r="F32" s="11" t="s">
        <v>139</v>
      </c>
      <c r="G32" s="11" t="s">
        <v>28</v>
      </c>
      <c r="H32" s="11" t="s">
        <v>139</v>
      </c>
      <c r="I32" s="11" t="s">
        <v>140</v>
      </c>
      <c r="J32" s="12">
        <v>0.61809999999999998</v>
      </c>
      <c r="K32" s="13">
        <v>1</v>
      </c>
      <c r="L32" s="14">
        <v>775</v>
      </c>
      <c r="M32" s="10">
        <v>479</v>
      </c>
      <c r="N32" s="10">
        <v>85639</v>
      </c>
      <c r="O32" s="10">
        <v>37563</v>
      </c>
      <c r="P32" s="10">
        <v>123202</v>
      </c>
    </row>
    <row r="33" spans="1:16" ht="27" customHeight="1" x14ac:dyDescent="0.2">
      <c r="A33" s="9" t="s">
        <v>16</v>
      </c>
      <c r="B33" s="10" t="s">
        <v>141</v>
      </c>
      <c r="C33" s="11" t="s">
        <v>18</v>
      </c>
      <c r="D33" s="11" t="s">
        <v>19</v>
      </c>
      <c r="E33" s="11" t="s">
        <v>19</v>
      </c>
      <c r="F33" s="11" t="s">
        <v>142</v>
      </c>
      <c r="G33" s="11" t="s">
        <v>83</v>
      </c>
      <c r="H33" s="11" t="s">
        <v>143</v>
      </c>
      <c r="I33" s="11" t="s">
        <v>144</v>
      </c>
      <c r="J33" s="12">
        <v>0.62570000000000003</v>
      </c>
      <c r="K33" s="13">
        <v>19</v>
      </c>
      <c r="L33" s="14">
        <v>13095</v>
      </c>
      <c r="M33" s="10">
        <v>3880</v>
      </c>
      <c r="N33" s="10">
        <v>1447018</v>
      </c>
      <c r="O33" s="10">
        <v>304265</v>
      </c>
      <c r="P33" s="10">
        <v>1751283</v>
      </c>
    </row>
    <row r="34" spans="1:16" ht="27" customHeight="1" x14ac:dyDescent="0.2">
      <c r="A34" s="9" t="s">
        <v>16</v>
      </c>
      <c r="B34" s="10" t="s">
        <v>145</v>
      </c>
      <c r="C34" s="11" t="s">
        <v>18</v>
      </c>
      <c r="D34" s="11" t="s">
        <v>19</v>
      </c>
      <c r="E34" s="11" t="s">
        <v>19</v>
      </c>
      <c r="F34" s="11" t="s">
        <v>146</v>
      </c>
      <c r="G34" s="11" t="s">
        <v>83</v>
      </c>
      <c r="H34" s="11" t="s">
        <v>146</v>
      </c>
      <c r="I34" s="11" t="s">
        <v>147</v>
      </c>
      <c r="J34" s="12">
        <v>0.57140000000000002</v>
      </c>
      <c r="K34" s="13">
        <v>2</v>
      </c>
      <c r="L34" s="14">
        <v>21</v>
      </c>
      <c r="M34" s="10">
        <v>12</v>
      </c>
      <c r="N34" s="10">
        <v>2321</v>
      </c>
      <c r="O34" s="10">
        <v>941</v>
      </c>
      <c r="P34" s="10">
        <v>3262</v>
      </c>
    </row>
    <row r="35" spans="1:16" ht="27" customHeight="1" x14ac:dyDescent="0.2">
      <c r="A35" s="9" t="s">
        <v>16</v>
      </c>
      <c r="B35" s="10" t="s">
        <v>148</v>
      </c>
      <c r="C35" s="11" t="s">
        <v>18</v>
      </c>
      <c r="D35" s="11" t="s">
        <v>19</v>
      </c>
      <c r="E35" s="11" t="s">
        <v>19</v>
      </c>
      <c r="F35" s="11" t="s">
        <v>149</v>
      </c>
      <c r="G35" s="11" t="s">
        <v>83</v>
      </c>
      <c r="H35" s="11" t="s">
        <v>150</v>
      </c>
      <c r="I35" s="11" t="s">
        <v>151</v>
      </c>
      <c r="J35" s="12">
        <v>0.59499999999999997</v>
      </c>
      <c r="K35" s="13">
        <v>11</v>
      </c>
      <c r="L35" s="14">
        <v>4952</v>
      </c>
      <c r="M35" s="10">
        <v>2026</v>
      </c>
      <c r="N35" s="10">
        <v>547204</v>
      </c>
      <c r="O35" s="10">
        <v>158877</v>
      </c>
      <c r="P35" s="10">
        <v>706081</v>
      </c>
    </row>
    <row r="36" spans="1:16" ht="27" customHeight="1" x14ac:dyDescent="0.2">
      <c r="A36" s="9" t="s">
        <v>16</v>
      </c>
      <c r="B36" s="10" t="s">
        <v>152</v>
      </c>
      <c r="C36" s="11" t="s">
        <v>18</v>
      </c>
      <c r="D36" s="11" t="s">
        <v>19</v>
      </c>
      <c r="E36" s="11" t="s">
        <v>19</v>
      </c>
      <c r="F36" s="11" t="s">
        <v>153</v>
      </c>
      <c r="G36" s="11" t="s">
        <v>83</v>
      </c>
      <c r="H36" s="11" t="s">
        <v>154</v>
      </c>
      <c r="I36" s="11" t="s">
        <v>155</v>
      </c>
      <c r="J36" s="12">
        <v>0.50690000000000002</v>
      </c>
      <c r="K36" s="13">
        <v>14</v>
      </c>
      <c r="L36" s="14">
        <v>10505</v>
      </c>
      <c r="M36" s="10">
        <v>4183</v>
      </c>
      <c r="N36" s="10">
        <v>1160822</v>
      </c>
      <c r="O36" s="10">
        <v>328026</v>
      </c>
      <c r="P36" s="10">
        <v>1488848</v>
      </c>
    </row>
    <row r="37" spans="1:16" ht="27" customHeight="1" x14ac:dyDescent="0.2">
      <c r="A37" s="9" t="s">
        <v>16</v>
      </c>
      <c r="B37" s="10" t="s">
        <v>156</v>
      </c>
      <c r="C37" s="11" t="s">
        <v>18</v>
      </c>
      <c r="D37" s="11" t="s">
        <v>19</v>
      </c>
      <c r="E37" s="11" t="s">
        <v>19</v>
      </c>
      <c r="F37" s="11" t="s">
        <v>157</v>
      </c>
      <c r="G37" s="11" t="s">
        <v>83</v>
      </c>
      <c r="H37" s="11" t="s">
        <v>22</v>
      </c>
      <c r="I37" s="11" t="s">
        <v>23</v>
      </c>
      <c r="J37" s="12">
        <v>0.99760000000000004</v>
      </c>
      <c r="K37" s="13">
        <v>83</v>
      </c>
      <c r="L37" s="14">
        <v>35300</v>
      </c>
      <c r="M37" s="10">
        <v>27518</v>
      </c>
      <c r="N37" s="10">
        <v>3900711</v>
      </c>
      <c r="O37" s="10">
        <v>2157931</v>
      </c>
      <c r="P37" s="10">
        <v>6058642</v>
      </c>
    </row>
    <row r="38" spans="1:16" ht="27" customHeight="1" x14ac:dyDescent="0.2">
      <c r="A38" s="9" t="s">
        <v>16</v>
      </c>
      <c r="B38" s="10" t="s">
        <v>156</v>
      </c>
      <c r="C38" s="11" t="s">
        <v>158</v>
      </c>
      <c r="D38" s="11" t="s">
        <v>159</v>
      </c>
      <c r="E38" s="11" t="s">
        <v>26</v>
      </c>
      <c r="F38" s="11" t="s">
        <v>160</v>
      </c>
      <c r="G38" s="11" t="s">
        <v>28</v>
      </c>
      <c r="H38" s="11" t="s">
        <v>22</v>
      </c>
      <c r="I38" s="11" t="s">
        <v>23</v>
      </c>
      <c r="J38" s="12">
        <v>0.99760000000000004</v>
      </c>
      <c r="K38" s="13">
        <v>1</v>
      </c>
      <c r="L38" s="14">
        <v>351</v>
      </c>
      <c r="M38" s="10">
        <v>315</v>
      </c>
      <c r="N38" s="10">
        <v>38786</v>
      </c>
      <c r="O38" s="10">
        <v>24702</v>
      </c>
      <c r="P38" s="10">
        <v>63488</v>
      </c>
    </row>
    <row r="39" spans="1:16" ht="27" customHeight="1" x14ac:dyDescent="0.2">
      <c r="A39" s="9" t="s">
        <v>16</v>
      </c>
      <c r="B39" s="10" t="s">
        <v>156</v>
      </c>
      <c r="C39" s="11" t="s">
        <v>161</v>
      </c>
      <c r="D39" s="11" t="s">
        <v>162</v>
      </c>
      <c r="E39" s="11" t="s">
        <v>26</v>
      </c>
      <c r="F39" s="11" t="s">
        <v>163</v>
      </c>
      <c r="G39" s="11" t="s">
        <v>28</v>
      </c>
      <c r="H39" s="11" t="s">
        <v>163</v>
      </c>
      <c r="I39" s="11" t="s">
        <v>164</v>
      </c>
      <c r="J39" s="12">
        <v>0.80520000000000003</v>
      </c>
      <c r="K39" s="13">
        <v>1</v>
      </c>
      <c r="L39" s="14">
        <v>349</v>
      </c>
      <c r="M39" s="10">
        <v>281</v>
      </c>
      <c r="N39" s="10">
        <v>38565</v>
      </c>
      <c r="O39" s="10">
        <v>22036</v>
      </c>
      <c r="P39" s="10">
        <v>60601</v>
      </c>
    </row>
    <row r="40" spans="1:16" ht="27" customHeight="1" x14ac:dyDescent="0.2">
      <c r="A40" s="9" t="s">
        <v>16</v>
      </c>
      <c r="B40" s="10" t="s">
        <v>156</v>
      </c>
      <c r="C40" s="11" t="s">
        <v>165</v>
      </c>
      <c r="D40" s="11" t="s">
        <v>166</v>
      </c>
      <c r="E40" s="11" t="s">
        <v>26</v>
      </c>
      <c r="F40" s="11" t="s">
        <v>167</v>
      </c>
      <c r="G40" s="11" t="s">
        <v>28</v>
      </c>
      <c r="H40" s="11" t="s">
        <v>22</v>
      </c>
      <c r="I40" s="11" t="s">
        <v>23</v>
      </c>
      <c r="J40" s="12">
        <v>0.99760000000000004</v>
      </c>
      <c r="K40" s="13">
        <v>1</v>
      </c>
      <c r="L40" s="14">
        <v>307</v>
      </c>
      <c r="M40" s="10">
        <v>292</v>
      </c>
      <c r="N40" s="10">
        <v>33924</v>
      </c>
      <c r="O40" s="10">
        <v>22898</v>
      </c>
      <c r="P40" s="10">
        <v>56822</v>
      </c>
    </row>
    <row r="41" spans="1:16" ht="27" customHeight="1" x14ac:dyDescent="0.2">
      <c r="A41" s="9" t="s">
        <v>16</v>
      </c>
      <c r="B41" s="10" t="s">
        <v>156</v>
      </c>
      <c r="C41" s="11" t="s">
        <v>168</v>
      </c>
      <c r="D41" s="11" t="s">
        <v>169</v>
      </c>
      <c r="E41" s="11" t="s">
        <v>26</v>
      </c>
      <c r="F41" s="11" t="s">
        <v>170</v>
      </c>
      <c r="G41" s="11" t="s">
        <v>28</v>
      </c>
      <c r="H41" s="11" t="s">
        <v>170</v>
      </c>
      <c r="I41" s="11" t="s">
        <v>171</v>
      </c>
      <c r="J41" s="12">
        <v>0.71699999999999997</v>
      </c>
      <c r="K41" s="13">
        <v>1</v>
      </c>
      <c r="L41" s="14">
        <v>523</v>
      </c>
      <c r="M41" s="10">
        <v>375</v>
      </c>
      <c r="N41" s="10">
        <v>57792</v>
      </c>
      <c r="O41" s="10">
        <v>29407</v>
      </c>
      <c r="P41" s="10">
        <v>87199</v>
      </c>
    </row>
    <row r="42" spans="1:16" ht="27" customHeight="1" x14ac:dyDescent="0.2">
      <c r="A42" s="9" t="s">
        <v>16</v>
      </c>
      <c r="B42" s="10" t="s">
        <v>156</v>
      </c>
      <c r="C42" s="11" t="s">
        <v>172</v>
      </c>
      <c r="D42" s="11" t="s">
        <v>173</v>
      </c>
      <c r="E42" s="11" t="s">
        <v>26</v>
      </c>
      <c r="F42" s="11" t="s">
        <v>174</v>
      </c>
      <c r="G42" s="11" t="s">
        <v>28</v>
      </c>
      <c r="H42" s="11" t="s">
        <v>174</v>
      </c>
      <c r="I42" s="11" t="s">
        <v>175</v>
      </c>
      <c r="J42" s="12">
        <v>0.88329999999999997</v>
      </c>
      <c r="K42" s="13">
        <v>1</v>
      </c>
      <c r="L42" s="14">
        <v>557</v>
      </c>
      <c r="M42" s="10">
        <v>492</v>
      </c>
      <c r="N42" s="10">
        <v>61549</v>
      </c>
      <c r="O42" s="10">
        <v>38582</v>
      </c>
      <c r="P42" s="10">
        <v>100131</v>
      </c>
    </row>
    <row r="43" spans="1:16" ht="27" customHeight="1" x14ac:dyDescent="0.2">
      <c r="A43" s="9" t="s">
        <v>16</v>
      </c>
      <c r="B43" s="10" t="s">
        <v>156</v>
      </c>
      <c r="C43" s="11" t="s">
        <v>176</v>
      </c>
      <c r="D43" s="11" t="s">
        <v>177</v>
      </c>
      <c r="E43" s="11" t="s">
        <v>26</v>
      </c>
      <c r="F43" s="11" t="s">
        <v>178</v>
      </c>
      <c r="G43" s="11" t="s">
        <v>28</v>
      </c>
      <c r="H43" s="11" t="s">
        <v>22</v>
      </c>
      <c r="I43" s="11" t="s">
        <v>23</v>
      </c>
      <c r="J43" s="12">
        <v>0.99760000000000004</v>
      </c>
      <c r="K43" s="13">
        <v>1</v>
      </c>
      <c r="L43" s="14">
        <v>433</v>
      </c>
      <c r="M43" s="10">
        <v>339</v>
      </c>
      <c r="N43" s="10">
        <v>47847</v>
      </c>
      <c r="O43" s="10">
        <v>26584</v>
      </c>
      <c r="P43" s="10">
        <v>74431</v>
      </c>
    </row>
    <row r="44" spans="1:16" ht="27" customHeight="1" x14ac:dyDescent="0.2">
      <c r="A44" s="9" t="s">
        <v>16</v>
      </c>
      <c r="B44" s="10" t="s">
        <v>156</v>
      </c>
      <c r="C44" s="11" t="s">
        <v>179</v>
      </c>
      <c r="D44" s="11" t="s">
        <v>180</v>
      </c>
      <c r="E44" s="11" t="s">
        <v>26</v>
      </c>
      <c r="F44" s="11" t="s">
        <v>181</v>
      </c>
      <c r="G44" s="11" t="s">
        <v>28</v>
      </c>
      <c r="H44" s="11" t="s">
        <v>181</v>
      </c>
      <c r="I44" s="11" t="s">
        <v>182</v>
      </c>
      <c r="J44" s="12">
        <v>0.67359999999999998</v>
      </c>
      <c r="K44" s="13">
        <v>1</v>
      </c>
      <c r="L44" s="14">
        <v>625</v>
      </c>
      <c r="M44" s="10">
        <v>421</v>
      </c>
      <c r="N44" s="10">
        <v>69064</v>
      </c>
      <c r="O44" s="10">
        <v>33014</v>
      </c>
      <c r="P44" s="10">
        <v>102078</v>
      </c>
    </row>
    <row r="45" spans="1:16" ht="27" customHeight="1" x14ac:dyDescent="0.2">
      <c r="A45" s="9" t="s">
        <v>16</v>
      </c>
      <c r="B45" s="10" t="s">
        <v>156</v>
      </c>
      <c r="C45" s="11" t="s">
        <v>183</v>
      </c>
      <c r="D45" s="11" t="s">
        <v>184</v>
      </c>
      <c r="E45" s="11" t="s">
        <v>26</v>
      </c>
      <c r="F45" s="11" t="s">
        <v>185</v>
      </c>
      <c r="G45" s="11" t="s">
        <v>28</v>
      </c>
      <c r="H45" s="11" t="s">
        <v>22</v>
      </c>
      <c r="I45" s="11" t="s">
        <v>23</v>
      </c>
      <c r="J45" s="12">
        <v>0.99760000000000004</v>
      </c>
      <c r="K45" s="13">
        <v>1</v>
      </c>
      <c r="L45" s="14">
        <v>417</v>
      </c>
      <c r="M45" s="10">
        <v>344</v>
      </c>
      <c r="N45" s="10">
        <v>46079</v>
      </c>
      <c r="O45" s="10">
        <v>26976</v>
      </c>
      <c r="P45" s="10">
        <v>73055</v>
      </c>
    </row>
    <row r="46" spans="1:16" ht="27" customHeight="1" x14ac:dyDescent="0.2">
      <c r="A46" s="9" t="s">
        <v>16</v>
      </c>
      <c r="B46" s="10" t="s">
        <v>156</v>
      </c>
      <c r="C46" s="11" t="s">
        <v>186</v>
      </c>
      <c r="D46" s="11" t="s">
        <v>187</v>
      </c>
      <c r="E46" s="11" t="s">
        <v>26</v>
      </c>
      <c r="F46" s="11" t="s">
        <v>188</v>
      </c>
      <c r="G46" s="11" t="s">
        <v>28</v>
      </c>
      <c r="H46" s="11" t="s">
        <v>188</v>
      </c>
      <c r="I46" s="11" t="s">
        <v>189</v>
      </c>
      <c r="J46" s="12">
        <v>0.90959999999999996</v>
      </c>
      <c r="K46" s="13">
        <v>1</v>
      </c>
      <c r="L46" s="14">
        <v>509</v>
      </c>
      <c r="M46" s="10">
        <v>463</v>
      </c>
      <c r="N46" s="10">
        <v>56245</v>
      </c>
      <c r="O46" s="10">
        <v>36308</v>
      </c>
      <c r="P46" s="10">
        <v>92553</v>
      </c>
    </row>
    <row r="47" spans="1:16" ht="27" customHeight="1" x14ac:dyDescent="0.2">
      <c r="A47" s="9" t="s">
        <v>16</v>
      </c>
      <c r="B47" s="10" t="s">
        <v>156</v>
      </c>
      <c r="C47" s="11" t="s">
        <v>190</v>
      </c>
      <c r="D47" s="11" t="s">
        <v>191</v>
      </c>
      <c r="E47" s="11" t="s">
        <v>26</v>
      </c>
      <c r="F47" s="11" t="s">
        <v>192</v>
      </c>
      <c r="G47" s="11" t="s">
        <v>28</v>
      </c>
      <c r="H47" s="11" t="s">
        <v>22</v>
      </c>
      <c r="I47" s="11" t="s">
        <v>23</v>
      </c>
      <c r="J47" s="12">
        <v>0.99760000000000004</v>
      </c>
      <c r="K47" s="13">
        <v>1</v>
      </c>
      <c r="L47" s="14">
        <v>404</v>
      </c>
      <c r="M47" s="10">
        <v>258</v>
      </c>
      <c r="N47" s="10">
        <v>44643</v>
      </c>
      <c r="O47" s="10">
        <v>20232</v>
      </c>
      <c r="P47" s="10">
        <v>64875</v>
      </c>
    </row>
    <row r="48" spans="1:16" ht="27" customHeight="1" x14ac:dyDescent="0.2">
      <c r="A48" s="9" t="s">
        <v>16</v>
      </c>
      <c r="B48" s="10" t="s">
        <v>156</v>
      </c>
      <c r="C48" s="11" t="s">
        <v>193</v>
      </c>
      <c r="D48" s="11" t="s">
        <v>194</v>
      </c>
      <c r="E48" s="11" t="s">
        <v>26</v>
      </c>
      <c r="F48" s="11" t="s">
        <v>195</v>
      </c>
      <c r="G48" s="11" t="s">
        <v>28</v>
      </c>
      <c r="H48" s="11" t="s">
        <v>195</v>
      </c>
      <c r="I48" s="11" t="s">
        <v>196</v>
      </c>
      <c r="J48" s="12">
        <v>0.80869999999999997</v>
      </c>
      <c r="K48" s="13">
        <v>1</v>
      </c>
      <c r="L48" s="14">
        <v>366</v>
      </c>
      <c r="M48" s="10">
        <v>296</v>
      </c>
      <c r="N48" s="10">
        <v>40444</v>
      </c>
      <c r="O48" s="10">
        <v>23212</v>
      </c>
      <c r="P48" s="10">
        <v>63656</v>
      </c>
    </row>
    <row r="49" spans="1:16" ht="27" customHeight="1" x14ac:dyDescent="0.2">
      <c r="A49" s="9" t="s">
        <v>16</v>
      </c>
      <c r="B49" s="10" t="s">
        <v>156</v>
      </c>
      <c r="C49" s="11" t="s">
        <v>197</v>
      </c>
      <c r="D49" s="11" t="s">
        <v>198</v>
      </c>
      <c r="E49" s="11" t="s">
        <v>26</v>
      </c>
      <c r="F49" s="11" t="s">
        <v>199</v>
      </c>
      <c r="G49" s="11" t="s">
        <v>28</v>
      </c>
      <c r="H49" s="11" t="s">
        <v>199</v>
      </c>
      <c r="I49" s="11" t="s">
        <v>200</v>
      </c>
      <c r="J49" s="12">
        <v>0.80789999999999995</v>
      </c>
      <c r="K49" s="13">
        <v>1</v>
      </c>
      <c r="L49" s="14">
        <v>432</v>
      </c>
      <c r="M49" s="10">
        <v>349</v>
      </c>
      <c r="N49" s="10">
        <v>47737</v>
      </c>
      <c r="O49" s="10">
        <v>27368</v>
      </c>
      <c r="P49" s="10">
        <v>75105</v>
      </c>
    </row>
    <row r="50" spans="1:16" ht="27" customHeight="1" x14ac:dyDescent="0.2">
      <c r="A50" s="9" t="s">
        <v>16</v>
      </c>
      <c r="B50" s="10" t="s">
        <v>156</v>
      </c>
      <c r="C50" s="11" t="s">
        <v>201</v>
      </c>
      <c r="D50" s="11" t="s">
        <v>202</v>
      </c>
      <c r="E50" s="11" t="s">
        <v>26</v>
      </c>
      <c r="F50" s="11" t="s">
        <v>203</v>
      </c>
      <c r="G50" s="11" t="s">
        <v>28</v>
      </c>
      <c r="H50" s="11" t="s">
        <v>22</v>
      </c>
      <c r="I50" s="11" t="s">
        <v>23</v>
      </c>
      <c r="J50" s="12">
        <v>0.99760000000000004</v>
      </c>
      <c r="K50" s="13">
        <v>1</v>
      </c>
      <c r="L50" s="14">
        <v>348</v>
      </c>
      <c r="M50" s="10">
        <v>208</v>
      </c>
      <c r="N50" s="10">
        <v>38455</v>
      </c>
      <c r="O50" s="10">
        <v>16311</v>
      </c>
      <c r="P50" s="10">
        <v>54766</v>
      </c>
    </row>
    <row r="51" spans="1:16" ht="27" customHeight="1" x14ac:dyDescent="0.2">
      <c r="A51" s="9" t="s">
        <v>16</v>
      </c>
      <c r="B51" s="10" t="s">
        <v>156</v>
      </c>
      <c r="C51" s="11" t="s">
        <v>204</v>
      </c>
      <c r="D51" s="11" t="s">
        <v>205</v>
      </c>
      <c r="E51" s="11" t="s">
        <v>26</v>
      </c>
      <c r="F51" s="11" t="s">
        <v>206</v>
      </c>
      <c r="G51" s="11" t="s">
        <v>28</v>
      </c>
      <c r="H51" s="11" t="s">
        <v>206</v>
      </c>
      <c r="I51" s="11" t="s">
        <v>207</v>
      </c>
      <c r="J51" s="12">
        <v>0.90049999999999997</v>
      </c>
      <c r="K51" s="13">
        <v>1</v>
      </c>
      <c r="L51" s="14">
        <v>201</v>
      </c>
      <c r="M51" s="10">
        <v>181</v>
      </c>
      <c r="N51" s="10">
        <v>22211</v>
      </c>
      <c r="O51" s="10">
        <v>14194</v>
      </c>
      <c r="P51" s="10">
        <v>36405</v>
      </c>
    </row>
    <row r="52" spans="1:16" ht="27" customHeight="1" x14ac:dyDescent="0.2">
      <c r="A52" s="9" t="s">
        <v>16</v>
      </c>
      <c r="B52" s="10" t="s">
        <v>156</v>
      </c>
      <c r="C52" s="11" t="s">
        <v>208</v>
      </c>
      <c r="D52" s="11" t="s">
        <v>209</v>
      </c>
      <c r="E52" s="11" t="s">
        <v>26</v>
      </c>
      <c r="F52" s="11" t="s">
        <v>210</v>
      </c>
      <c r="G52" s="11" t="s">
        <v>28</v>
      </c>
      <c r="H52" s="11" t="s">
        <v>22</v>
      </c>
      <c r="I52" s="11" t="s">
        <v>23</v>
      </c>
      <c r="J52" s="12">
        <v>0.99760000000000004</v>
      </c>
      <c r="K52" s="13">
        <v>1</v>
      </c>
      <c r="L52" s="14">
        <v>259</v>
      </c>
      <c r="M52" s="10">
        <v>199</v>
      </c>
      <c r="N52" s="10">
        <v>28620</v>
      </c>
      <c r="O52" s="10">
        <v>15605</v>
      </c>
      <c r="P52" s="10">
        <v>44225</v>
      </c>
    </row>
    <row r="53" spans="1:16" ht="27" customHeight="1" x14ac:dyDescent="0.2">
      <c r="A53" s="9" t="s">
        <v>16</v>
      </c>
      <c r="B53" s="10" t="s">
        <v>156</v>
      </c>
      <c r="C53" s="11" t="s">
        <v>211</v>
      </c>
      <c r="D53" s="11" t="s">
        <v>212</v>
      </c>
      <c r="E53" s="11" t="s">
        <v>26</v>
      </c>
      <c r="F53" s="11" t="s">
        <v>213</v>
      </c>
      <c r="G53" s="11" t="s">
        <v>28</v>
      </c>
      <c r="H53" s="11" t="s">
        <v>213</v>
      </c>
      <c r="I53" s="11" t="s">
        <v>214</v>
      </c>
      <c r="J53" s="12">
        <v>0.2326</v>
      </c>
      <c r="K53" s="13">
        <v>1</v>
      </c>
      <c r="L53" s="14">
        <v>533</v>
      </c>
      <c r="M53" s="10">
        <v>124</v>
      </c>
      <c r="N53" s="10">
        <v>58897</v>
      </c>
      <c r="O53" s="10">
        <v>9724</v>
      </c>
      <c r="P53" s="10">
        <v>68621</v>
      </c>
    </row>
    <row r="54" spans="1:16" ht="27" customHeight="1" x14ac:dyDescent="0.2">
      <c r="A54" s="9" t="s">
        <v>16</v>
      </c>
      <c r="B54" s="10" t="s">
        <v>156</v>
      </c>
      <c r="C54" s="11" t="s">
        <v>215</v>
      </c>
      <c r="D54" s="11" t="s">
        <v>216</v>
      </c>
      <c r="E54" s="11" t="s">
        <v>26</v>
      </c>
      <c r="F54" s="11" t="s">
        <v>217</v>
      </c>
      <c r="G54" s="11" t="s">
        <v>28</v>
      </c>
      <c r="H54" s="11" t="s">
        <v>217</v>
      </c>
      <c r="I54" s="11" t="s">
        <v>218</v>
      </c>
      <c r="J54" s="12">
        <v>0.75439999999999996</v>
      </c>
      <c r="K54" s="13">
        <v>1</v>
      </c>
      <c r="L54" s="14">
        <v>456</v>
      </c>
      <c r="M54" s="10">
        <v>344</v>
      </c>
      <c r="N54" s="10">
        <v>50389</v>
      </c>
      <c r="O54" s="10">
        <v>26976</v>
      </c>
      <c r="P54" s="10">
        <v>77365</v>
      </c>
    </row>
    <row r="55" spans="1:16" ht="27" customHeight="1" x14ac:dyDescent="0.2">
      <c r="A55" s="9" t="s">
        <v>16</v>
      </c>
      <c r="B55" s="10" t="s">
        <v>156</v>
      </c>
      <c r="C55" s="11" t="s">
        <v>219</v>
      </c>
      <c r="D55" s="11" t="s">
        <v>220</v>
      </c>
      <c r="E55" s="11" t="s">
        <v>26</v>
      </c>
      <c r="F55" s="11" t="s">
        <v>221</v>
      </c>
      <c r="G55" s="11" t="s">
        <v>28</v>
      </c>
      <c r="H55" s="11" t="s">
        <v>221</v>
      </c>
      <c r="I55" s="11" t="s">
        <v>222</v>
      </c>
      <c r="J55" s="12">
        <v>0.94669999999999999</v>
      </c>
      <c r="K55" s="13">
        <v>1</v>
      </c>
      <c r="L55" s="14">
        <v>544</v>
      </c>
      <c r="M55" s="10">
        <v>515</v>
      </c>
      <c r="N55" s="10">
        <v>60113</v>
      </c>
      <c r="O55" s="10">
        <v>40386</v>
      </c>
      <c r="P55" s="10">
        <v>100499</v>
      </c>
    </row>
    <row r="56" spans="1:16" ht="27" customHeight="1" x14ac:dyDescent="0.2">
      <c r="A56" s="9" t="s">
        <v>16</v>
      </c>
      <c r="B56" s="10" t="s">
        <v>156</v>
      </c>
      <c r="C56" s="11" t="s">
        <v>223</v>
      </c>
      <c r="D56" s="11" t="s">
        <v>224</v>
      </c>
      <c r="E56" s="11" t="s">
        <v>26</v>
      </c>
      <c r="F56" s="11" t="s">
        <v>225</v>
      </c>
      <c r="G56" s="11" t="s">
        <v>28</v>
      </c>
      <c r="H56" s="11" t="s">
        <v>225</v>
      </c>
      <c r="I56" s="11" t="s">
        <v>226</v>
      </c>
      <c r="J56" s="12">
        <v>0.80269999999999997</v>
      </c>
      <c r="K56" s="13">
        <v>1</v>
      </c>
      <c r="L56" s="14">
        <v>451</v>
      </c>
      <c r="M56" s="10">
        <v>362</v>
      </c>
      <c r="N56" s="10">
        <v>49836</v>
      </c>
      <c r="O56" s="10">
        <v>28388</v>
      </c>
      <c r="P56" s="10">
        <v>78224</v>
      </c>
    </row>
    <row r="57" spans="1:16" ht="27" customHeight="1" x14ac:dyDescent="0.2">
      <c r="A57" s="9" t="s">
        <v>16</v>
      </c>
      <c r="B57" s="10" t="s">
        <v>156</v>
      </c>
      <c r="C57" s="11" t="s">
        <v>227</v>
      </c>
      <c r="D57" s="11" t="s">
        <v>228</v>
      </c>
      <c r="E57" s="11" t="s">
        <v>26</v>
      </c>
      <c r="F57" s="11" t="s">
        <v>229</v>
      </c>
      <c r="G57" s="11" t="s">
        <v>28</v>
      </c>
      <c r="H57" s="11" t="s">
        <v>229</v>
      </c>
      <c r="I57" s="11" t="s">
        <v>230</v>
      </c>
      <c r="J57" s="12">
        <v>0.94650000000000001</v>
      </c>
      <c r="K57" s="13">
        <v>1</v>
      </c>
      <c r="L57" s="14">
        <v>243</v>
      </c>
      <c r="M57" s="10">
        <v>230</v>
      </c>
      <c r="N57" s="10">
        <v>26852</v>
      </c>
      <c r="O57" s="10">
        <v>18036</v>
      </c>
      <c r="P57" s="10">
        <v>44888</v>
      </c>
    </row>
    <row r="58" spans="1:16" ht="27" customHeight="1" x14ac:dyDescent="0.2">
      <c r="A58" s="9" t="s">
        <v>16</v>
      </c>
      <c r="B58" s="10" t="s">
        <v>156</v>
      </c>
      <c r="C58" s="11" t="s">
        <v>231</v>
      </c>
      <c r="D58" s="11" t="s">
        <v>232</v>
      </c>
      <c r="E58" s="11" t="s">
        <v>26</v>
      </c>
      <c r="F58" s="11" t="s">
        <v>233</v>
      </c>
      <c r="G58" s="11" t="s">
        <v>28</v>
      </c>
      <c r="H58" s="11" t="s">
        <v>233</v>
      </c>
      <c r="I58" s="11" t="s">
        <v>234</v>
      </c>
      <c r="J58" s="12">
        <v>0.30969999999999998</v>
      </c>
      <c r="K58" s="13">
        <v>1</v>
      </c>
      <c r="L58" s="14">
        <v>339</v>
      </c>
      <c r="M58" s="10">
        <v>105</v>
      </c>
      <c r="N58" s="10">
        <v>37460</v>
      </c>
      <c r="O58" s="10">
        <v>8234</v>
      </c>
      <c r="P58" s="10">
        <v>45694</v>
      </c>
    </row>
    <row r="59" spans="1:16" ht="27" customHeight="1" x14ac:dyDescent="0.2">
      <c r="A59" s="9" t="s">
        <v>16</v>
      </c>
      <c r="B59" s="10" t="s">
        <v>156</v>
      </c>
      <c r="C59" s="11" t="s">
        <v>235</v>
      </c>
      <c r="D59" s="11" t="s">
        <v>236</v>
      </c>
      <c r="E59" s="11" t="s">
        <v>26</v>
      </c>
      <c r="F59" s="11" t="s">
        <v>237</v>
      </c>
      <c r="G59" s="11" t="s">
        <v>28</v>
      </c>
      <c r="H59" s="11" t="s">
        <v>237</v>
      </c>
      <c r="I59" s="11" t="s">
        <v>238</v>
      </c>
      <c r="J59" s="12">
        <v>0.91290000000000004</v>
      </c>
      <c r="K59" s="13">
        <v>1</v>
      </c>
      <c r="L59" s="14">
        <v>712</v>
      </c>
      <c r="M59" s="10">
        <v>650</v>
      </c>
      <c r="N59" s="10">
        <v>78677</v>
      </c>
      <c r="O59" s="10">
        <v>50972</v>
      </c>
      <c r="P59" s="10">
        <v>129649</v>
      </c>
    </row>
    <row r="60" spans="1:16" ht="27" customHeight="1" x14ac:dyDescent="0.2">
      <c r="A60" s="9" t="s">
        <v>16</v>
      </c>
      <c r="B60" s="10" t="s">
        <v>156</v>
      </c>
      <c r="C60" s="11" t="s">
        <v>239</v>
      </c>
      <c r="D60" s="11" t="s">
        <v>240</v>
      </c>
      <c r="E60" s="11" t="s">
        <v>26</v>
      </c>
      <c r="F60" s="11" t="s">
        <v>241</v>
      </c>
      <c r="G60" s="11" t="s">
        <v>28</v>
      </c>
      <c r="H60" s="11" t="s">
        <v>241</v>
      </c>
      <c r="I60" s="11" t="s">
        <v>242</v>
      </c>
      <c r="J60" s="12">
        <v>0.33250000000000002</v>
      </c>
      <c r="K60" s="13">
        <v>1</v>
      </c>
      <c r="L60" s="14">
        <v>779</v>
      </c>
      <c r="M60" s="10">
        <v>259</v>
      </c>
      <c r="N60" s="10">
        <v>86081</v>
      </c>
      <c r="O60" s="10">
        <v>20311</v>
      </c>
      <c r="P60" s="10">
        <v>106392</v>
      </c>
    </row>
    <row r="61" spans="1:16" ht="27" customHeight="1" x14ac:dyDescent="0.2">
      <c r="A61" s="9" t="s">
        <v>16</v>
      </c>
      <c r="B61" s="10" t="s">
        <v>156</v>
      </c>
      <c r="C61" s="11" t="s">
        <v>243</v>
      </c>
      <c r="D61" s="11" t="s">
        <v>244</v>
      </c>
      <c r="E61" s="11" t="s">
        <v>26</v>
      </c>
      <c r="F61" s="11" t="s">
        <v>245</v>
      </c>
      <c r="G61" s="11" t="s">
        <v>28</v>
      </c>
      <c r="H61" s="11" t="s">
        <v>22</v>
      </c>
      <c r="I61" s="11" t="s">
        <v>23</v>
      </c>
      <c r="J61" s="12">
        <v>0.99760000000000004</v>
      </c>
      <c r="K61" s="13">
        <v>1</v>
      </c>
      <c r="L61" s="14">
        <v>226</v>
      </c>
      <c r="M61" s="10">
        <v>192</v>
      </c>
      <c r="N61" s="10">
        <v>24973</v>
      </c>
      <c r="O61" s="10">
        <v>15056</v>
      </c>
      <c r="P61" s="10">
        <v>40029</v>
      </c>
    </row>
    <row r="62" spans="1:16" ht="27" customHeight="1" x14ac:dyDescent="0.2">
      <c r="A62" s="9" t="s">
        <v>16</v>
      </c>
      <c r="B62" s="10" t="s">
        <v>156</v>
      </c>
      <c r="C62" s="11" t="s">
        <v>246</v>
      </c>
      <c r="D62" s="11" t="s">
        <v>247</v>
      </c>
      <c r="E62" s="11" t="s">
        <v>26</v>
      </c>
      <c r="F62" s="11" t="s">
        <v>248</v>
      </c>
      <c r="G62" s="11" t="s">
        <v>28</v>
      </c>
      <c r="H62" s="11" t="s">
        <v>22</v>
      </c>
      <c r="I62" s="11" t="s">
        <v>23</v>
      </c>
      <c r="J62" s="12">
        <v>0.99760000000000004</v>
      </c>
      <c r="K62" s="13">
        <v>1</v>
      </c>
      <c r="L62" s="14">
        <v>225</v>
      </c>
      <c r="M62" s="10">
        <v>142</v>
      </c>
      <c r="N62" s="10">
        <v>24863</v>
      </c>
      <c r="O62" s="10">
        <v>11135</v>
      </c>
      <c r="P62" s="10">
        <v>35998</v>
      </c>
    </row>
    <row r="63" spans="1:16" ht="27" customHeight="1" x14ac:dyDescent="0.2">
      <c r="A63" s="9" t="s">
        <v>16</v>
      </c>
      <c r="B63" s="10" t="s">
        <v>156</v>
      </c>
      <c r="C63" s="11" t="s">
        <v>249</v>
      </c>
      <c r="D63" s="11" t="s">
        <v>250</v>
      </c>
      <c r="E63" s="11" t="s">
        <v>26</v>
      </c>
      <c r="F63" s="11" t="s">
        <v>251</v>
      </c>
      <c r="G63" s="11" t="s">
        <v>28</v>
      </c>
      <c r="H63" s="11" t="s">
        <v>251</v>
      </c>
      <c r="I63" s="11" t="s">
        <v>252</v>
      </c>
      <c r="J63" s="12">
        <v>0.875</v>
      </c>
      <c r="K63" s="13">
        <v>1</v>
      </c>
      <c r="L63" s="14">
        <v>392</v>
      </c>
      <c r="M63" s="10">
        <v>343</v>
      </c>
      <c r="N63" s="10">
        <v>43317</v>
      </c>
      <c r="O63" s="10">
        <v>26898</v>
      </c>
      <c r="P63" s="10">
        <v>70215</v>
      </c>
    </row>
    <row r="64" spans="1:16" ht="27" customHeight="1" x14ac:dyDescent="0.2">
      <c r="A64" s="9" t="s">
        <v>16</v>
      </c>
      <c r="B64" s="10" t="s">
        <v>156</v>
      </c>
      <c r="C64" s="11" t="s">
        <v>253</v>
      </c>
      <c r="D64" s="11" t="s">
        <v>254</v>
      </c>
      <c r="E64" s="11" t="s">
        <v>26</v>
      </c>
      <c r="F64" s="11" t="s">
        <v>255</v>
      </c>
      <c r="G64" s="11" t="s">
        <v>28</v>
      </c>
      <c r="H64" s="11" t="s">
        <v>255</v>
      </c>
      <c r="I64" s="11" t="s">
        <v>256</v>
      </c>
      <c r="J64" s="12">
        <v>0.59660000000000002</v>
      </c>
      <c r="K64" s="13">
        <v>1</v>
      </c>
      <c r="L64" s="14">
        <v>119</v>
      </c>
      <c r="M64" s="10">
        <v>71</v>
      </c>
      <c r="N64" s="10">
        <v>13150</v>
      </c>
      <c r="O64" s="10">
        <v>5568</v>
      </c>
      <c r="P64" s="10">
        <v>18718</v>
      </c>
    </row>
    <row r="65" spans="1:16" ht="27" customHeight="1" x14ac:dyDescent="0.2">
      <c r="A65" s="9" t="s">
        <v>16</v>
      </c>
      <c r="B65" s="10" t="s">
        <v>156</v>
      </c>
      <c r="C65" s="11" t="s">
        <v>257</v>
      </c>
      <c r="D65" s="11" t="s">
        <v>258</v>
      </c>
      <c r="E65" s="11" t="s">
        <v>26</v>
      </c>
      <c r="F65" s="11" t="s">
        <v>259</v>
      </c>
      <c r="G65" s="11" t="s">
        <v>28</v>
      </c>
      <c r="H65" s="11" t="s">
        <v>259</v>
      </c>
      <c r="I65" s="11" t="s">
        <v>260</v>
      </c>
      <c r="J65" s="12">
        <v>0.85770000000000002</v>
      </c>
      <c r="K65" s="13">
        <v>1</v>
      </c>
      <c r="L65" s="14">
        <v>492</v>
      </c>
      <c r="M65" s="10">
        <v>422</v>
      </c>
      <c r="N65" s="10">
        <v>54367</v>
      </c>
      <c r="O65" s="10">
        <v>33093</v>
      </c>
      <c r="P65" s="10">
        <v>87460</v>
      </c>
    </row>
    <row r="66" spans="1:16" ht="27" customHeight="1" x14ac:dyDescent="0.2">
      <c r="A66" s="9" t="s">
        <v>16</v>
      </c>
      <c r="B66" s="10" t="s">
        <v>261</v>
      </c>
      <c r="C66" s="11" t="s">
        <v>18</v>
      </c>
      <c r="D66" s="11" t="s">
        <v>19</v>
      </c>
      <c r="E66" s="11" t="s">
        <v>19</v>
      </c>
      <c r="F66" s="11" t="s">
        <v>262</v>
      </c>
      <c r="G66" s="11" t="s">
        <v>83</v>
      </c>
      <c r="H66" s="11" t="s">
        <v>263</v>
      </c>
      <c r="I66" s="11" t="s">
        <v>264</v>
      </c>
      <c r="J66" s="12">
        <v>4.1700000000000001E-2</v>
      </c>
      <c r="K66" s="13">
        <v>8</v>
      </c>
      <c r="L66" s="14">
        <v>2337</v>
      </c>
      <c r="M66" s="10">
        <v>72</v>
      </c>
      <c r="N66" s="10">
        <v>258242</v>
      </c>
      <c r="O66" s="10">
        <v>5648</v>
      </c>
      <c r="P66" s="10">
        <v>263890</v>
      </c>
    </row>
    <row r="67" spans="1:16" ht="27" customHeight="1" x14ac:dyDescent="0.2">
      <c r="A67" s="9" t="s">
        <v>16</v>
      </c>
      <c r="B67" s="10" t="s">
        <v>265</v>
      </c>
      <c r="C67" s="11" t="s">
        <v>18</v>
      </c>
      <c r="D67" s="11" t="s">
        <v>19</v>
      </c>
      <c r="E67" s="11" t="s">
        <v>19</v>
      </c>
      <c r="F67" s="11" t="s">
        <v>266</v>
      </c>
      <c r="G67" s="11" t="s">
        <v>83</v>
      </c>
      <c r="H67" s="11" t="s">
        <v>267</v>
      </c>
      <c r="I67" s="11" t="s">
        <v>268</v>
      </c>
      <c r="J67" s="12">
        <v>0.82099999999999995</v>
      </c>
      <c r="K67" s="13">
        <v>14</v>
      </c>
      <c r="L67" s="14">
        <v>8674</v>
      </c>
      <c r="M67" s="10">
        <v>6243</v>
      </c>
      <c r="N67" s="10">
        <v>958492</v>
      </c>
      <c r="O67" s="10">
        <v>489569</v>
      </c>
      <c r="P67" s="10">
        <v>1448061</v>
      </c>
    </row>
    <row r="68" spans="1:16" ht="27" customHeight="1" x14ac:dyDescent="0.2">
      <c r="A68" s="9" t="s">
        <v>16</v>
      </c>
      <c r="B68" s="10" t="s">
        <v>269</v>
      </c>
      <c r="C68" s="11" t="s">
        <v>18</v>
      </c>
      <c r="D68" s="11" t="s">
        <v>19</v>
      </c>
      <c r="E68" s="11" t="s">
        <v>19</v>
      </c>
      <c r="F68" s="11" t="s">
        <v>270</v>
      </c>
      <c r="G68" s="11" t="s">
        <v>83</v>
      </c>
      <c r="H68" s="11" t="s">
        <v>271</v>
      </c>
      <c r="I68" s="11" t="s">
        <v>272</v>
      </c>
      <c r="J68" s="12">
        <v>0.85980000000000001</v>
      </c>
      <c r="K68" s="13">
        <v>18</v>
      </c>
      <c r="L68" s="14">
        <v>8549</v>
      </c>
      <c r="M68" s="10">
        <v>6697</v>
      </c>
      <c r="N68" s="10">
        <v>944681</v>
      </c>
      <c r="O68" s="10">
        <v>525172</v>
      </c>
      <c r="P68" s="10">
        <v>1469853</v>
      </c>
    </row>
    <row r="69" spans="1:16" ht="27" customHeight="1" x14ac:dyDescent="0.2">
      <c r="A69" s="9" t="s">
        <v>16</v>
      </c>
      <c r="B69" s="10" t="s">
        <v>269</v>
      </c>
      <c r="C69" s="11" t="s">
        <v>273</v>
      </c>
      <c r="D69" s="11" t="s">
        <v>274</v>
      </c>
      <c r="E69" s="11" t="s">
        <v>26</v>
      </c>
      <c r="F69" s="11" t="s">
        <v>275</v>
      </c>
      <c r="G69" s="11" t="s">
        <v>28</v>
      </c>
      <c r="H69" s="11" t="s">
        <v>22</v>
      </c>
      <c r="I69" s="11" t="s">
        <v>23</v>
      </c>
      <c r="J69" s="12">
        <v>0.99760000000000004</v>
      </c>
      <c r="K69" s="13">
        <v>1</v>
      </c>
      <c r="L69" s="14">
        <v>421</v>
      </c>
      <c r="M69" s="10">
        <v>304</v>
      </c>
      <c r="N69" s="10">
        <v>46521</v>
      </c>
      <c r="O69" s="10">
        <v>23839</v>
      </c>
      <c r="P69" s="10">
        <v>70360</v>
      </c>
    </row>
    <row r="70" spans="1:16" ht="27" customHeight="1" x14ac:dyDescent="0.2">
      <c r="A70" s="9" t="s">
        <v>16</v>
      </c>
      <c r="B70" s="10" t="s">
        <v>269</v>
      </c>
      <c r="C70" s="11" t="s">
        <v>276</v>
      </c>
      <c r="D70" s="11" t="s">
        <v>277</v>
      </c>
      <c r="E70" s="11" t="s">
        <v>26</v>
      </c>
      <c r="F70" s="11" t="s">
        <v>278</v>
      </c>
      <c r="G70" s="11" t="s">
        <v>28</v>
      </c>
      <c r="H70" s="11" t="s">
        <v>22</v>
      </c>
      <c r="I70" s="11" t="s">
        <v>23</v>
      </c>
      <c r="J70" s="12">
        <v>0.99760000000000004</v>
      </c>
      <c r="K70" s="13">
        <v>1</v>
      </c>
      <c r="L70" s="14">
        <v>658</v>
      </c>
      <c r="M70" s="10">
        <v>462</v>
      </c>
      <c r="N70" s="10">
        <v>72710</v>
      </c>
      <c r="O70" s="10">
        <v>36230</v>
      </c>
      <c r="P70" s="10">
        <v>108940</v>
      </c>
    </row>
    <row r="71" spans="1:16" ht="27" customHeight="1" x14ac:dyDescent="0.2">
      <c r="A71" s="9" t="s">
        <v>16</v>
      </c>
      <c r="B71" s="10" t="s">
        <v>279</v>
      </c>
      <c r="C71" s="11" t="s">
        <v>18</v>
      </c>
      <c r="D71" s="11" t="s">
        <v>19</v>
      </c>
      <c r="E71" s="11" t="s">
        <v>19</v>
      </c>
      <c r="F71" s="11" t="s">
        <v>280</v>
      </c>
      <c r="G71" s="11" t="s">
        <v>83</v>
      </c>
      <c r="H71" s="11" t="s">
        <v>281</v>
      </c>
      <c r="I71" s="11" t="s">
        <v>282</v>
      </c>
      <c r="J71" s="12">
        <v>0.17469999999999999</v>
      </c>
      <c r="K71" s="13">
        <v>17</v>
      </c>
      <c r="L71" s="14">
        <v>12618</v>
      </c>
      <c r="M71" s="10">
        <v>1006</v>
      </c>
      <c r="N71" s="10">
        <v>1394312</v>
      </c>
      <c r="O71" s="10">
        <v>78889</v>
      </c>
      <c r="P71" s="10">
        <v>1473201</v>
      </c>
    </row>
    <row r="72" spans="1:16" ht="27" customHeight="1" x14ac:dyDescent="0.2">
      <c r="A72" s="9" t="s">
        <v>16</v>
      </c>
      <c r="B72" s="10" t="s">
        <v>283</v>
      </c>
      <c r="C72" s="11" t="s">
        <v>18</v>
      </c>
      <c r="D72" s="11" t="s">
        <v>19</v>
      </c>
      <c r="E72" s="11" t="s">
        <v>19</v>
      </c>
      <c r="F72" s="11" t="s">
        <v>284</v>
      </c>
      <c r="G72" s="11" t="s">
        <v>83</v>
      </c>
      <c r="H72" s="11" t="s">
        <v>285</v>
      </c>
      <c r="I72" s="11" t="s">
        <v>286</v>
      </c>
      <c r="J72" s="12">
        <v>0.1825</v>
      </c>
      <c r="K72" s="13">
        <v>18</v>
      </c>
      <c r="L72" s="14">
        <v>13902</v>
      </c>
      <c r="M72" s="10">
        <v>1091</v>
      </c>
      <c r="N72" s="10">
        <v>1536195</v>
      </c>
      <c r="O72" s="10">
        <v>85557</v>
      </c>
      <c r="P72" s="10">
        <v>1621752</v>
      </c>
    </row>
    <row r="73" spans="1:16" ht="27" customHeight="1" x14ac:dyDescent="0.2">
      <c r="A73" s="9" t="s">
        <v>16</v>
      </c>
      <c r="B73" s="10" t="s">
        <v>287</v>
      </c>
      <c r="C73" s="11" t="s">
        <v>18</v>
      </c>
      <c r="D73" s="11" t="s">
        <v>19</v>
      </c>
      <c r="E73" s="11" t="s">
        <v>19</v>
      </c>
      <c r="F73" s="11" t="s">
        <v>288</v>
      </c>
      <c r="G73" s="11" t="s">
        <v>83</v>
      </c>
      <c r="H73" s="11" t="s">
        <v>289</v>
      </c>
      <c r="I73" s="11" t="s">
        <v>290</v>
      </c>
      <c r="J73" s="12">
        <v>0.1045</v>
      </c>
      <c r="K73" s="13">
        <v>2</v>
      </c>
      <c r="L73" s="14">
        <v>268</v>
      </c>
      <c r="M73" s="10">
        <v>28</v>
      </c>
      <c r="N73" s="10">
        <v>29614</v>
      </c>
      <c r="O73" s="10">
        <v>2196</v>
      </c>
      <c r="P73" s="10">
        <v>31810</v>
      </c>
    </row>
    <row r="74" spans="1:16" ht="27" customHeight="1" x14ac:dyDescent="0.2">
      <c r="A74" s="9" t="s">
        <v>16</v>
      </c>
      <c r="B74" s="10" t="s">
        <v>291</v>
      </c>
      <c r="C74" s="11" t="s">
        <v>292</v>
      </c>
      <c r="D74" s="11" t="s">
        <v>293</v>
      </c>
      <c r="E74" s="11" t="s">
        <v>26</v>
      </c>
      <c r="F74" s="11" t="s">
        <v>294</v>
      </c>
      <c r="G74" s="11" t="s">
        <v>28</v>
      </c>
      <c r="H74" s="11" t="s">
        <v>22</v>
      </c>
      <c r="I74" s="11" t="s">
        <v>23</v>
      </c>
      <c r="J74" s="12">
        <v>0.99760000000000004</v>
      </c>
      <c r="K74" s="13">
        <v>1</v>
      </c>
      <c r="L74" s="14">
        <v>282</v>
      </c>
      <c r="M74" s="10">
        <v>180</v>
      </c>
      <c r="N74" s="10">
        <v>31161</v>
      </c>
      <c r="O74" s="10">
        <v>14115</v>
      </c>
      <c r="P74" s="10">
        <v>45276</v>
      </c>
    </row>
    <row r="75" spans="1:16" ht="27" customHeight="1" x14ac:dyDescent="0.2">
      <c r="A75" s="9" t="s">
        <v>295</v>
      </c>
      <c r="B75" s="10" t="s">
        <v>296</v>
      </c>
      <c r="C75" s="11" t="s">
        <v>18</v>
      </c>
      <c r="D75" s="11" t="s">
        <v>19</v>
      </c>
      <c r="E75" s="11" t="s">
        <v>19</v>
      </c>
      <c r="F75" s="11" t="s">
        <v>297</v>
      </c>
      <c r="G75" s="11" t="s">
        <v>21</v>
      </c>
      <c r="H75" s="11" t="s">
        <v>298</v>
      </c>
      <c r="I75" s="11" t="s">
        <v>299</v>
      </c>
      <c r="J75" s="12">
        <v>0.6885</v>
      </c>
      <c r="K75" s="13">
        <v>2</v>
      </c>
      <c r="L75" s="14">
        <v>0</v>
      </c>
      <c r="M75" s="10">
        <v>0</v>
      </c>
      <c r="N75" s="10">
        <v>0</v>
      </c>
      <c r="O75" s="10">
        <v>0</v>
      </c>
      <c r="P75" s="10">
        <v>0</v>
      </c>
    </row>
    <row r="76" spans="1:16" ht="27" customHeight="1" x14ac:dyDescent="0.2">
      <c r="A76" s="9" t="s">
        <v>295</v>
      </c>
      <c r="B76" s="10" t="s">
        <v>300</v>
      </c>
      <c r="C76" s="11" t="s">
        <v>18</v>
      </c>
      <c r="D76" s="11" t="s">
        <v>19</v>
      </c>
      <c r="E76" s="11" t="s">
        <v>19</v>
      </c>
      <c r="F76" s="11" t="s">
        <v>301</v>
      </c>
      <c r="G76" s="11" t="s">
        <v>83</v>
      </c>
      <c r="H76" s="11" t="s">
        <v>298</v>
      </c>
      <c r="I76" s="11" t="s">
        <v>299</v>
      </c>
      <c r="J76" s="12">
        <v>0.6885</v>
      </c>
      <c r="K76" s="13">
        <v>4</v>
      </c>
      <c r="L76" s="14">
        <v>72</v>
      </c>
      <c r="M76" s="10">
        <v>46</v>
      </c>
      <c r="N76" s="10">
        <v>7957</v>
      </c>
      <c r="O76" s="10">
        <v>3607</v>
      </c>
      <c r="P76" s="10">
        <v>11564</v>
      </c>
    </row>
    <row r="77" spans="1:16" ht="27" customHeight="1" x14ac:dyDescent="0.2">
      <c r="A77" s="9" t="s">
        <v>302</v>
      </c>
      <c r="B77" s="10" t="s">
        <v>303</v>
      </c>
      <c r="C77" s="11" t="s">
        <v>18</v>
      </c>
      <c r="D77" s="11" t="s">
        <v>19</v>
      </c>
      <c r="E77" s="11" t="s">
        <v>19</v>
      </c>
      <c r="F77" s="11" t="s">
        <v>304</v>
      </c>
      <c r="G77" s="11" t="s">
        <v>21</v>
      </c>
      <c r="H77" s="11" t="s">
        <v>305</v>
      </c>
      <c r="I77" s="11" t="s">
        <v>306</v>
      </c>
      <c r="J77" s="12">
        <v>0.55559999999999998</v>
      </c>
      <c r="K77" s="13">
        <v>3</v>
      </c>
      <c r="L77" s="14">
        <v>146</v>
      </c>
      <c r="M77" s="10">
        <v>77</v>
      </c>
      <c r="N77" s="10">
        <v>16134</v>
      </c>
      <c r="O77" s="10">
        <v>6038</v>
      </c>
      <c r="P77" s="10">
        <v>22172</v>
      </c>
    </row>
    <row r="78" spans="1:16" ht="27" customHeight="1" x14ac:dyDescent="0.2">
      <c r="A78" s="9" t="s">
        <v>302</v>
      </c>
      <c r="B78" s="10" t="s">
        <v>307</v>
      </c>
      <c r="C78" s="11" t="s">
        <v>18</v>
      </c>
      <c r="D78" s="11" t="s">
        <v>19</v>
      </c>
      <c r="E78" s="11" t="s">
        <v>19</v>
      </c>
      <c r="F78" s="11" t="s">
        <v>308</v>
      </c>
      <c r="G78" s="11" t="s">
        <v>83</v>
      </c>
      <c r="H78" s="11" t="s">
        <v>305</v>
      </c>
      <c r="I78" s="11" t="s">
        <v>306</v>
      </c>
      <c r="J78" s="12">
        <v>0.55559999999999998</v>
      </c>
      <c r="K78" s="13">
        <v>13</v>
      </c>
      <c r="L78" s="14">
        <v>4100</v>
      </c>
      <c r="M78" s="10">
        <v>1758</v>
      </c>
      <c r="N78" s="10">
        <v>453058</v>
      </c>
      <c r="O78" s="10">
        <v>137861</v>
      </c>
      <c r="P78" s="10">
        <v>590919</v>
      </c>
    </row>
    <row r="79" spans="1:16" ht="27" customHeight="1" x14ac:dyDescent="0.2">
      <c r="A79" s="9" t="s">
        <v>309</v>
      </c>
      <c r="B79" s="10" t="s">
        <v>310</v>
      </c>
      <c r="C79" s="11" t="s">
        <v>18</v>
      </c>
      <c r="D79" s="11" t="s">
        <v>19</v>
      </c>
      <c r="E79" s="11" t="s">
        <v>19</v>
      </c>
      <c r="F79" s="11" t="s">
        <v>311</v>
      </c>
      <c r="G79" s="11" t="s">
        <v>21</v>
      </c>
      <c r="H79" s="11" t="s">
        <v>312</v>
      </c>
      <c r="I79" s="11" t="s">
        <v>313</v>
      </c>
      <c r="J79" s="12">
        <v>1</v>
      </c>
      <c r="K79" s="13">
        <v>5</v>
      </c>
      <c r="L79" s="14">
        <v>363</v>
      </c>
      <c r="M79" s="10">
        <v>333</v>
      </c>
      <c r="N79" s="10">
        <v>40113</v>
      </c>
      <c r="O79" s="10">
        <v>26114</v>
      </c>
      <c r="P79" s="10">
        <v>66227</v>
      </c>
    </row>
    <row r="80" spans="1:16" ht="27" customHeight="1" x14ac:dyDescent="0.2">
      <c r="A80" s="9" t="s">
        <v>309</v>
      </c>
      <c r="B80" s="10" t="s">
        <v>310</v>
      </c>
      <c r="C80" s="11" t="s">
        <v>314</v>
      </c>
      <c r="D80" s="11" t="s">
        <v>315</v>
      </c>
      <c r="E80" s="11" t="s">
        <v>26</v>
      </c>
      <c r="F80" s="11" t="s">
        <v>316</v>
      </c>
      <c r="G80" s="11" t="s">
        <v>28</v>
      </c>
      <c r="H80" s="11" t="s">
        <v>316</v>
      </c>
      <c r="I80" s="11" t="s">
        <v>317</v>
      </c>
      <c r="J80" s="12">
        <v>0.45639999999999997</v>
      </c>
      <c r="K80" s="13">
        <v>1</v>
      </c>
      <c r="L80" s="14">
        <v>849</v>
      </c>
      <c r="M80" s="10">
        <v>387</v>
      </c>
      <c r="N80" s="10">
        <v>93816</v>
      </c>
      <c r="O80" s="10">
        <v>30348</v>
      </c>
      <c r="P80" s="10">
        <v>124164</v>
      </c>
    </row>
    <row r="81" spans="1:16" ht="27" customHeight="1" x14ac:dyDescent="0.2">
      <c r="A81" s="9" t="s">
        <v>309</v>
      </c>
      <c r="B81" s="10" t="s">
        <v>310</v>
      </c>
      <c r="C81" s="11" t="s">
        <v>318</v>
      </c>
      <c r="D81" s="11" t="s">
        <v>319</v>
      </c>
      <c r="E81" s="11" t="s">
        <v>57</v>
      </c>
      <c r="F81" s="11" t="s">
        <v>320</v>
      </c>
      <c r="G81" s="11" t="s">
        <v>28</v>
      </c>
      <c r="H81" s="11" t="s">
        <v>312</v>
      </c>
      <c r="I81" s="11" t="s">
        <v>313</v>
      </c>
      <c r="J81" s="12">
        <v>1</v>
      </c>
      <c r="K81" s="13">
        <v>1</v>
      </c>
      <c r="L81" s="14">
        <v>71</v>
      </c>
      <c r="M81" s="10">
        <v>67</v>
      </c>
      <c r="N81" s="10">
        <v>7846</v>
      </c>
      <c r="O81" s="10">
        <v>5254</v>
      </c>
      <c r="P81" s="10">
        <v>13100</v>
      </c>
    </row>
    <row r="82" spans="1:16" ht="27" customHeight="1" x14ac:dyDescent="0.2">
      <c r="A82" s="9" t="s">
        <v>309</v>
      </c>
      <c r="B82" s="10" t="s">
        <v>310</v>
      </c>
      <c r="C82" s="11" t="s">
        <v>321</v>
      </c>
      <c r="D82" s="11" t="s">
        <v>322</v>
      </c>
      <c r="E82" s="11" t="s">
        <v>26</v>
      </c>
      <c r="F82" s="11" t="s">
        <v>323</v>
      </c>
      <c r="G82" s="11" t="s">
        <v>28</v>
      </c>
      <c r="H82" s="11" t="s">
        <v>312</v>
      </c>
      <c r="I82" s="11" t="s">
        <v>313</v>
      </c>
      <c r="J82" s="12">
        <v>1</v>
      </c>
      <c r="K82" s="13">
        <v>1</v>
      </c>
      <c r="L82" s="14">
        <v>0</v>
      </c>
      <c r="M82" s="10">
        <v>0</v>
      </c>
      <c r="N82" s="10">
        <v>0</v>
      </c>
      <c r="O82" s="10">
        <v>0</v>
      </c>
      <c r="P82" s="10">
        <v>0</v>
      </c>
    </row>
    <row r="83" spans="1:16" ht="27" customHeight="1" x14ac:dyDescent="0.2">
      <c r="A83" s="9" t="s">
        <v>309</v>
      </c>
      <c r="B83" s="10" t="s">
        <v>310</v>
      </c>
      <c r="C83" s="11" t="s">
        <v>324</v>
      </c>
      <c r="D83" s="11" t="s">
        <v>325</v>
      </c>
      <c r="E83" s="11" t="s">
        <v>57</v>
      </c>
      <c r="F83" s="11" t="s">
        <v>326</v>
      </c>
      <c r="G83" s="11" t="s">
        <v>28</v>
      </c>
      <c r="H83" s="11" t="s">
        <v>326</v>
      </c>
      <c r="I83" s="11" t="s">
        <v>327</v>
      </c>
      <c r="J83" s="12">
        <v>0.84660000000000002</v>
      </c>
      <c r="K83" s="13">
        <v>1</v>
      </c>
      <c r="L83" s="14">
        <v>163</v>
      </c>
      <c r="M83" s="10">
        <v>138</v>
      </c>
      <c r="N83" s="10">
        <v>18012</v>
      </c>
      <c r="O83" s="10">
        <v>10822</v>
      </c>
      <c r="P83" s="10">
        <v>28834</v>
      </c>
    </row>
    <row r="84" spans="1:16" ht="27" customHeight="1" x14ac:dyDescent="0.2">
      <c r="A84" s="9" t="s">
        <v>309</v>
      </c>
      <c r="B84" s="10" t="s">
        <v>328</v>
      </c>
      <c r="C84" s="11" t="s">
        <v>18</v>
      </c>
      <c r="D84" s="11" t="s">
        <v>19</v>
      </c>
      <c r="E84" s="11" t="s">
        <v>19</v>
      </c>
      <c r="F84" s="11" t="s">
        <v>329</v>
      </c>
      <c r="G84" s="11" t="s">
        <v>83</v>
      </c>
      <c r="H84" s="11" t="s">
        <v>329</v>
      </c>
      <c r="I84" s="11" t="s">
        <v>330</v>
      </c>
      <c r="J84" s="12">
        <v>0.72460000000000002</v>
      </c>
      <c r="K84" s="13">
        <v>2</v>
      </c>
      <c r="L84" s="14">
        <v>69</v>
      </c>
      <c r="M84" s="10">
        <v>50</v>
      </c>
      <c r="N84" s="10">
        <v>7625</v>
      </c>
      <c r="O84" s="10">
        <v>3921</v>
      </c>
      <c r="P84" s="10">
        <v>11546</v>
      </c>
    </row>
    <row r="85" spans="1:16" ht="27" customHeight="1" x14ac:dyDescent="0.2">
      <c r="A85" s="9" t="s">
        <v>309</v>
      </c>
      <c r="B85" s="10" t="s">
        <v>331</v>
      </c>
      <c r="C85" s="11" t="s">
        <v>18</v>
      </c>
      <c r="D85" s="11" t="s">
        <v>19</v>
      </c>
      <c r="E85" s="11" t="s">
        <v>19</v>
      </c>
      <c r="F85" s="11" t="s">
        <v>332</v>
      </c>
      <c r="G85" s="11" t="s">
        <v>83</v>
      </c>
      <c r="H85" s="11" t="s">
        <v>333</v>
      </c>
      <c r="I85" s="11" t="s">
        <v>334</v>
      </c>
      <c r="J85" s="12">
        <v>0.62160000000000004</v>
      </c>
      <c r="K85" s="13">
        <v>4</v>
      </c>
      <c r="L85" s="14">
        <v>532</v>
      </c>
      <c r="M85" s="10">
        <v>292</v>
      </c>
      <c r="N85" s="10">
        <v>58787</v>
      </c>
      <c r="O85" s="10">
        <v>22898</v>
      </c>
      <c r="P85" s="10">
        <v>81685</v>
      </c>
    </row>
    <row r="86" spans="1:16" ht="27" customHeight="1" x14ac:dyDescent="0.2">
      <c r="A86" s="9" t="s">
        <v>309</v>
      </c>
      <c r="B86" s="10" t="s">
        <v>335</v>
      </c>
      <c r="C86" s="11" t="s">
        <v>18</v>
      </c>
      <c r="D86" s="11" t="s">
        <v>19</v>
      </c>
      <c r="E86" s="11" t="s">
        <v>19</v>
      </c>
      <c r="F86" s="11" t="s">
        <v>336</v>
      </c>
      <c r="G86" s="11" t="s">
        <v>83</v>
      </c>
      <c r="H86" s="11" t="s">
        <v>337</v>
      </c>
      <c r="I86" s="11" t="s">
        <v>338</v>
      </c>
      <c r="J86" s="12">
        <v>0.89329999999999998</v>
      </c>
      <c r="K86" s="13">
        <v>23</v>
      </c>
      <c r="L86" s="14">
        <v>12245</v>
      </c>
      <c r="M86" s="10">
        <v>6957</v>
      </c>
      <c r="N86" s="10">
        <v>1353093</v>
      </c>
      <c r="O86" s="10">
        <v>545558</v>
      </c>
      <c r="P86" s="10">
        <v>1898651</v>
      </c>
    </row>
    <row r="87" spans="1:16" ht="27" customHeight="1" x14ac:dyDescent="0.2">
      <c r="A87" s="9" t="s">
        <v>309</v>
      </c>
      <c r="B87" s="10" t="s">
        <v>335</v>
      </c>
      <c r="C87" s="11" t="s">
        <v>339</v>
      </c>
      <c r="D87" s="11" t="s">
        <v>340</v>
      </c>
      <c r="E87" s="11" t="s">
        <v>26</v>
      </c>
      <c r="F87" s="11" t="s">
        <v>341</v>
      </c>
      <c r="G87" s="11" t="s">
        <v>28</v>
      </c>
      <c r="H87" s="11" t="s">
        <v>341</v>
      </c>
      <c r="I87" s="11" t="s">
        <v>342</v>
      </c>
      <c r="J87" s="12">
        <v>0.22270000000000001</v>
      </c>
      <c r="K87" s="13">
        <v>1</v>
      </c>
      <c r="L87" s="14">
        <v>211</v>
      </c>
      <c r="M87" s="10">
        <v>47</v>
      </c>
      <c r="N87" s="10">
        <v>23316</v>
      </c>
      <c r="O87" s="10">
        <v>3686</v>
      </c>
      <c r="P87" s="10">
        <v>27002</v>
      </c>
    </row>
    <row r="88" spans="1:16" ht="27" customHeight="1" x14ac:dyDescent="0.2">
      <c r="A88" s="9" t="s">
        <v>309</v>
      </c>
      <c r="B88" s="10" t="s">
        <v>335</v>
      </c>
      <c r="C88" s="11" t="s">
        <v>343</v>
      </c>
      <c r="D88" s="11" t="s">
        <v>344</v>
      </c>
      <c r="E88" s="11" t="s">
        <v>26</v>
      </c>
      <c r="F88" s="11" t="s">
        <v>345</v>
      </c>
      <c r="G88" s="11" t="s">
        <v>28</v>
      </c>
      <c r="H88" s="11" t="s">
        <v>345</v>
      </c>
      <c r="I88" s="11" t="s">
        <v>346</v>
      </c>
      <c r="J88" s="12">
        <v>0.5514</v>
      </c>
      <c r="K88" s="13">
        <v>1</v>
      </c>
      <c r="L88" s="14">
        <v>107</v>
      </c>
      <c r="M88" s="10">
        <v>59</v>
      </c>
      <c r="N88" s="10">
        <v>11824</v>
      </c>
      <c r="O88" s="10">
        <v>4627</v>
      </c>
      <c r="P88" s="10">
        <v>16451</v>
      </c>
    </row>
    <row r="89" spans="1:16" ht="27" customHeight="1" x14ac:dyDescent="0.2">
      <c r="A89" s="9" t="s">
        <v>309</v>
      </c>
      <c r="B89" s="10" t="s">
        <v>335</v>
      </c>
      <c r="C89" s="11" t="s">
        <v>347</v>
      </c>
      <c r="D89" s="11" t="s">
        <v>348</v>
      </c>
      <c r="E89" s="11" t="s">
        <v>26</v>
      </c>
      <c r="F89" s="11" t="s">
        <v>349</v>
      </c>
      <c r="G89" s="11" t="s">
        <v>28</v>
      </c>
      <c r="H89" s="11" t="s">
        <v>312</v>
      </c>
      <c r="I89" s="11" t="s">
        <v>313</v>
      </c>
      <c r="J89" s="12">
        <v>1</v>
      </c>
      <c r="K89" s="13">
        <v>1</v>
      </c>
      <c r="L89" s="14">
        <v>366</v>
      </c>
      <c r="M89" s="10">
        <v>157</v>
      </c>
      <c r="N89" s="10">
        <v>40444</v>
      </c>
      <c r="O89" s="10">
        <v>12312</v>
      </c>
      <c r="P89" s="10">
        <v>52756</v>
      </c>
    </row>
    <row r="90" spans="1:16" ht="27" customHeight="1" x14ac:dyDescent="0.2">
      <c r="A90" s="9" t="s">
        <v>309</v>
      </c>
      <c r="B90" s="10" t="s">
        <v>335</v>
      </c>
      <c r="C90" s="11" t="s">
        <v>350</v>
      </c>
      <c r="D90" s="11" t="s">
        <v>351</v>
      </c>
      <c r="E90" s="11" t="s">
        <v>26</v>
      </c>
      <c r="F90" s="11" t="s">
        <v>352</v>
      </c>
      <c r="G90" s="11" t="s">
        <v>28</v>
      </c>
      <c r="H90" s="11" t="s">
        <v>352</v>
      </c>
      <c r="I90" s="11" t="s">
        <v>353</v>
      </c>
      <c r="J90" s="12">
        <v>0.43880000000000002</v>
      </c>
      <c r="K90" s="13">
        <v>1</v>
      </c>
      <c r="L90" s="14">
        <v>98</v>
      </c>
      <c r="M90" s="10">
        <v>43</v>
      </c>
      <c r="N90" s="10">
        <v>10829</v>
      </c>
      <c r="O90" s="10">
        <v>3372</v>
      </c>
      <c r="P90" s="10">
        <v>14201</v>
      </c>
    </row>
    <row r="91" spans="1:16" ht="27" customHeight="1" x14ac:dyDescent="0.2">
      <c r="A91" s="9" t="s">
        <v>309</v>
      </c>
      <c r="B91" s="10" t="s">
        <v>335</v>
      </c>
      <c r="C91" s="11" t="s">
        <v>354</v>
      </c>
      <c r="D91" s="11" t="s">
        <v>355</v>
      </c>
      <c r="E91" s="11" t="s">
        <v>26</v>
      </c>
      <c r="F91" s="11" t="s">
        <v>356</v>
      </c>
      <c r="G91" s="11" t="s">
        <v>28</v>
      </c>
      <c r="H91" s="11" t="s">
        <v>356</v>
      </c>
      <c r="I91" s="11" t="s">
        <v>357</v>
      </c>
      <c r="J91" s="12">
        <v>0.26029999999999998</v>
      </c>
      <c r="K91" s="13">
        <v>1</v>
      </c>
      <c r="L91" s="14">
        <v>146</v>
      </c>
      <c r="M91" s="10">
        <v>38</v>
      </c>
      <c r="N91" s="10">
        <v>16133</v>
      </c>
      <c r="O91" s="10">
        <v>2980</v>
      </c>
      <c r="P91" s="10">
        <v>19113</v>
      </c>
    </row>
    <row r="92" spans="1:16" ht="27" customHeight="1" x14ac:dyDescent="0.2">
      <c r="A92" s="9" t="s">
        <v>309</v>
      </c>
      <c r="B92" s="10" t="s">
        <v>335</v>
      </c>
      <c r="C92" s="11" t="s">
        <v>358</v>
      </c>
      <c r="D92" s="11" t="s">
        <v>359</v>
      </c>
      <c r="E92" s="11" t="s">
        <v>26</v>
      </c>
      <c r="F92" s="11" t="s">
        <v>360</v>
      </c>
      <c r="G92" s="11" t="s">
        <v>28</v>
      </c>
      <c r="H92" s="11" t="s">
        <v>360</v>
      </c>
      <c r="I92" s="11" t="s">
        <v>361</v>
      </c>
      <c r="J92" s="12">
        <v>0.6552</v>
      </c>
      <c r="K92" s="13">
        <v>1</v>
      </c>
      <c r="L92" s="14">
        <v>87</v>
      </c>
      <c r="M92" s="10">
        <v>57</v>
      </c>
      <c r="N92" s="10">
        <v>9614</v>
      </c>
      <c r="O92" s="10">
        <v>4470</v>
      </c>
      <c r="P92" s="10">
        <v>14084</v>
      </c>
    </row>
    <row r="93" spans="1:16" ht="27" customHeight="1" x14ac:dyDescent="0.2">
      <c r="A93" s="9" t="s">
        <v>309</v>
      </c>
      <c r="B93" s="10" t="s">
        <v>335</v>
      </c>
      <c r="C93" s="11" t="s">
        <v>362</v>
      </c>
      <c r="D93" s="11" t="s">
        <v>363</v>
      </c>
      <c r="E93" s="11" t="s">
        <v>26</v>
      </c>
      <c r="F93" s="11" t="s">
        <v>364</v>
      </c>
      <c r="G93" s="11" t="s">
        <v>28</v>
      </c>
      <c r="H93" s="11" t="s">
        <v>364</v>
      </c>
      <c r="I93" s="11" t="s">
        <v>365</v>
      </c>
      <c r="J93" s="12">
        <v>0.44890000000000002</v>
      </c>
      <c r="K93" s="13">
        <v>1</v>
      </c>
      <c r="L93" s="14">
        <v>225</v>
      </c>
      <c r="M93" s="10">
        <v>101</v>
      </c>
      <c r="N93" s="10">
        <v>24863</v>
      </c>
      <c r="O93" s="10">
        <v>7920</v>
      </c>
      <c r="P93" s="10">
        <v>32783</v>
      </c>
    </row>
    <row r="94" spans="1:16" ht="27" customHeight="1" x14ac:dyDescent="0.2">
      <c r="A94" s="9" t="s">
        <v>309</v>
      </c>
      <c r="B94" s="10" t="s">
        <v>335</v>
      </c>
      <c r="C94" s="11" t="s">
        <v>366</v>
      </c>
      <c r="D94" s="11" t="s">
        <v>367</v>
      </c>
      <c r="E94" s="11" t="s">
        <v>26</v>
      </c>
      <c r="F94" s="11" t="s">
        <v>368</v>
      </c>
      <c r="G94" s="11" t="s">
        <v>28</v>
      </c>
      <c r="H94" s="11" t="s">
        <v>368</v>
      </c>
      <c r="I94" s="11" t="s">
        <v>369</v>
      </c>
      <c r="J94" s="12">
        <v>0.25269999999999998</v>
      </c>
      <c r="K94" s="13">
        <v>1</v>
      </c>
      <c r="L94" s="14">
        <v>566</v>
      </c>
      <c r="M94" s="10">
        <v>143</v>
      </c>
      <c r="N94" s="10">
        <v>62544</v>
      </c>
      <c r="O94" s="10">
        <v>11214</v>
      </c>
      <c r="P94" s="10">
        <v>73758</v>
      </c>
    </row>
    <row r="95" spans="1:16" ht="27" customHeight="1" x14ac:dyDescent="0.2">
      <c r="A95" s="9" t="s">
        <v>309</v>
      </c>
      <c r="B95" s="10" t="s">
        <v>335</v>
      </c>
      <c r="C95" s="11" t="s">
        <v>370</v>
      </c>
      <c r="D95" s="11" t="s">
        <v>371</v>
      </c>
      <c r="E95" s="11" t="s">
        <v>26</v>
      </c>
      <c r="F95" s="11" t="s">
        <v>372</v>
      </c>
      <c r="G95" s="11" t="s">
        <v>28</v>
      </c>
      <c r="H95" s="11" t="s">
        <v>372</v>
      </c>
      <c r="I95" s="11" t="s">
        <v>373</v>
      </c>
      <c r="J95" s="12">
        <v>0.57410000000000005</v>
      </c>
      <c r="K95" s="13">
        <v>1</v>
      </c>
      <c r="L95" s="14">
        <v>263</v>
      </c>
      <c r="M95" s="10">
        <v>151</v>
      </c>
      <c r="N95" s="10">
        <v>29062</v>
      </c>
      <c r="O95" s="10">
        <v>11841</v>
      </c>
      <c r="P95" s="10">
        <v>40903</v>
      </c>
    </row>
    <row r="96" spans="1:16" ht="27" customHeight="1" x14ac:dyDescent="0.2">
      <c r="A96" s="9" t="s">
        <v>309</v>
      </c>
      <c r="B96" s="10" t="s">
        <v>374</v>
      </c>
      <c r="C96" s="11" t="s">
        <v>18</v>
      </c>
      <c r="D96" s="11" t="s">
        <v>19</v>
      </c>
      <c r="E96" s="11" t="s">
        <v>19</v>
      </c>
      <c r="F96" s="11" t="s">
        <v>375</v>
      </c>
      <c r="G96" s="11" t="s">
        <v>83</v>
      </c>
      <c r="H96" s="11" t="s">
        <v>376</v>
      </c>
      <c r="I96" s="11" t="s">
        <v>377</v>
      </c>
      <c r="J96" s="12">
        <v>0.36880000000000002</v>
      </c>
      <c r="K96" s="13">
        <v>4</v>
      </c>
      <c r="L96" s="14">
        <v>1003</v>
      </c>
      <c r="M96" s="10">
        <v>386</v>
      </c>
      <c r="N96" s="10">
        <v>110834</v>
      </c>
      <c r="O96" s="10">
        <v>30269</v>
      </c>
      <c r="P96" s="10">
        <v>141103</v>
      </c>
    </row>
    <row r="97" spans="1:16" ht="27" customHeight="1" x14ac:dyDescent="0.2">
      <c r="A97" s="9" t="s">
        <v>309</v>
      </c>
      <c r="B97" s="10" t="s">
        <v>378</v>
      </c>
      <c r="C97" s="11" t="s">
        <v>18</v>
      </c>
      <c r="D97" s="11" t="s">
        <v>19</v>
      </c>
      <c r="E97" s="11" t="s">
        <v>19</v>
      </c>
      <c r="F97" s="11" t="s">
        <v>379</v>
      </c>
      <c r="G97" s="11" t="s">
        <v>83</v>
      </c>
      <c r="H97" s="11" t="s">
        <v>380</v>
      </c>
      <c r="I97" s="11" t="s">
        <v>381</v>
      </c>
      <c r="J97" s="12">
        <v>0.95650000000000002</v>
      </c>
      <c r="K97" s="13">
        <v>2</v>
      </c>
      <c r="L97" s="14">
        <v>70</v>
      </c>
      <c r="M97" s="10">
        <v>67</v>
      </c>
      <c r="N97" s="10">
        <v>7735</v>
      </c>
      <c r="O97" s="10">
        <v>5254</v>
      </c>
      <c r="P97" s="10">
        <v>12989</v>
      </c>
    </row>
    <row r="98" spans="1:16" ht="27" customHeight="1" x14ac:dyDescent="0.2">
      <c r="A98" s="9" t="s">
        <v>309</v>
      </c>
      <c r="B98" s="10" t="s">
        <v>382</v>
      </c>
      <c r="C98" s="11" t="s">
        <v>18</v>
      </c>
      <c r="D98" s="11" t="s">
        <v>19</v>
      </c>
      <c r="E98" s="11" t="s">
        <v>19</v>
      </c>
      <c r="F98" s="11" t="s">
        <v>383</v>
      </c>
      <c r="G98" s="11" t="s">
        <v>83</v>
      </c>
      <c r="H98" s="11" t="s">
        <v>383</v>
      </c>
      <c r="I98" s="11" t="s">
        <v>384</v>
      </c>
      <c r="J98" s="12">
        <v>0.48449999999999999</v>
      </c>
      <c r="K98" s="13">
        <v>2</v>
      </c>
      <c r="L98" s="14">
        <v>322</v>
      </c>
      <c r="M98" s="10">
        <v>156</v>
      </c>
      <c r="N98" s="10">
        <v>35582</v>
      </c>
      <c r="O98" s="10">
        <v>12233</v>
      </c>
      <c r="P98" s="10">
        <v>47815</v>
      </c>
    </row>
    <row r="99" spans="1:16" ht="27" customHeight="1" x14ac:dyDescent="0.2">
      <c r="A99" s="9" t="s">
        <v>309</v>
      </c>
      <c r="B99" s="10" t="s">
        <v>385</v>
      </c>
      <c r="C99" s="11" t="s">
        <v>18</v>
      </c>
      <c r="D99" s="11" t="s">
        <v>19</v>
      </c>
      <c r="E99" s="11" t="s">
        <v>19</v>
      </c>
      <c r="F99" s="11" t="s">
        <v>386</v>
      </c>
      <c r="G99" s="11" t="s">
        <v>83</v>
      </c>
      <c r="H99" s="11" t="s">
        <v>387</v>
      </c>
      <c r="I99" s="11" t="s">
        <v>388</v>
      </c>
      <c r="J99" s="12">
        <v>0.88100000000000001</v>
      </c>
      <c r="K99" s="13">
        <v>8</v>
      </c>
      <c r="L99" s="14">
        <v>2179</v>
      </c>
      <c r="M99" s="10">
        <v>1652</v>
      </c>
      <c r="N99" s="10">
        <v>240783</v>
      </c>
      <c r="O99" s="10">
        <v>129548</v>
      </c>
      <c r="P99" s="10">
        <v>370331</v>
      </c>
    </row>
    <row r="100" spans="1:16" ht="27" customHeight="1" x14ac:dyDescent="0.2">
      <c r="A100" s="9" t="s">
        <v>309</v>
      </c>
      <c r="B100" s="10" t="s">
        <v>385</v>
      </c>
      <c r="C100" s="11" t="s">
        <v>389</v>
      </c>
      <c r="D100" s="11" t="s">
        <v>390</v>
      </c>
      <c r="E100" s="11" t="s">
        <v>26</v>
      </c>
      <c r="F100" s="11" t="s">
        <v>391</v>
      </c>
      <c r="G100" s="11" t="s">
        <v>28</v>
      </c>
      <c r="H100" s="11" t="s">
        <v>391</v>
      </c>
      <c r="I100" s="11" t="s">
        <v>392</v>
      </c>
      <c r="J100" s="12">
        <v>0.69840000000000002</v>
      </c>
      <c r="K100" s="13">
        <v>1</v>
      </c>
      <c r="L100" s="14">
        <v>63</v>
      </c>
      <c r="M100" s="10">
        <v>44</v>
      </c>
      <c r="N100" s="10">
        <v>6962</v>
      </c>
      <c r="O100" s="10">
        <v>3450</v>
      </c>
      <c r="P100" s="10">
        <v>10412</v>
      </c>
    </row>
    <row r="101" spans="1:16" ht="27" customHeight="1" x14ac:dyDescent="0.2">
      <c r="A101" s="9" t="s">
        <v>309</v>
      </c>
      <c r="B101" s="10" t="s">
        <v>385</v>
      </c>
      <c r="C101" s="11" t="s">
        <v>393</v>
      </c>
      <c r="D101" s="11" t="s">
        <v>394</v>
      </c>
      <c r="E101" s="11" t="s">
        <v>26</v>
      </c>
      <c r="F101" s="11" t="s">
        <v>395</v>
      </c>
      <c r="G101" s="11" t="s">
        <v>28</v>
      </c>
      <c r="H101" s="11" t="s">
        <v>395</v>
      </c>
      <c r="I101" s="11" t="s">
        <v>396</v>
      </c>
      <c r="J101" s="12">
        <v>0.48830000000000001</v>
      </c>
      <c r="K101" s="13">
        <v>1</v>
      </c>
      <c r="L101" s="14">
        <v>428</v>
      </c>
      <c r="M101" s="10">
        <v>209</v>
      </c>
      <c r="N101" s="10">
        <v>47295</v>
      </c>
      <c r="O101" s="10">
        <v>16390</v>
      </c>
      <c r="P101" s="10">
        <v>63685</v>
      </c>
    </row>
    <row r="102" spans="1:16" ht="27" customHeight="1" x14ac:dyDescent="0.2">
      <c r="A102" s="9" t="s">
        <v>309</v>
      </c>
      <c r="B102" s="10" t="s">
        <v>397</v>
      </c>
      <c r="C102" s="11" t="s">
        <v>18</v>
      </c>
      <c r="D102" s="11" t="s">
        <v>19</v>
      </c>
      <c r="E102" s="11" t="s">
        <v>19</v>
      </c>
      <c r="F102" s="11" t="s">
        <v>398</v>
      </c>
      <c r="G102" s="11" t="s">
        <v>83</v>
      </c>
      <c r="H102" s="11" t="s">
        <v>312</v>
      </c>
      <c r="I102" s="11" t="s">
        <v>313</v>
      </c>
      <c r="J102" s="12">
        <v>1</v>
      </c>
      <c r="K102" s="13">
        <v>5</v>
      </c>
      <c r="L102" s="14">
        <v>2346</v>
      </c>
      <c r="M102" s="10">
        <v>1909</v>
      </c>
      <c r="N102" s="10">
        <v>259238</v>
      </c>
      <c r="O102" s="10">
        <v>149701</v>
      </c>
      <c r="P102" s="10">
        <v>408939</v>
      </c>
    </row>
    <row r="103" spans="1:16" ht="27" customHeight="1" x14ac:dyDescent="0.2">
      <c r="A103" s="9" t="s">
        <v>309</v>
      </c>
      <c r="B103" s="10" t="s">
        <v>399</v>
      </c>
      <c r="C103" s="11" t="s">
        <v>18</v>
      </c>
      <c r="D103" s="11" t="s">
        <v>19</v>
      </c>
      <c r="E103" s="11" t="s">
        <v>19</v>
      </c>
      <c r="F103" s="11" t="s">
        <v>400</v>
      </c>
      <c r="G103" s="11" t="s">
        <v>83</v>
      </c>
      <c r="H103" s="11" t="s">
        <v>401</v>
      </c>
      <c r="I103" s="11" t="s">
        <v>402</v>
      </c>
      <c r="J103" s="12">
        <v>0.94120000000000004</v>
      </c>
      <c r="K103" s="13">
        <v>7</v>
      </c>
      <c r="L103" s="14">
        <v>1316</v>
      </c>
      <c r="M103" s="10">
        <v>1077</v>
      </c>
      <c r="N103" s="10">
        <v>145421</v>
      </c>
      <c r="O103" s="10">
        <v>84457</v>
      </c>
      <c r="P103" s="10">
        <v>229878</v>
      </c>
    </row>
    <row r="104" spans="1:16" ht="27" customHeight="1" x14ac:dyDescent="0.2">
      <c r="A104" s="9" t="s">
        <v>309</v>
      </c>
      <c r="B104" s="10" t="s">
        <v>403</v>
      </c>
      <c r="C104" s="11" t="s">
        <v>18</v>
      </c>
      <c r="D104" s="11" t="s">
        <v>19</v>
      </c>
      <c r="E104" s="11" t="s">
        <v>19</v>
      </c>
      <c r="F104" s="11" t="s">
        <v>404</v>
      </c>
      <c r="G104" s="11" t="s">
        <v>83</v>
      </c>
      <c r="H104" s="11" t="s">
        <v>405</v>
      </c>
      <c r="I104" s="11" t="s">
        <v>406</v>
      </c>
      <c r="J104" s="12">
        <v>0.76439999999999997</v>
      </c>
      <c r="K104" s="13">
        <v>12</v>
      </c>
      <c r="L104" s="14">
        <v>1590</v>
      </c>
      <c r="M104" s="10">
        <v>997</v>
      </c>
      <c r="N104" s="10">
        <v>175698</v>
      </c>
      <c r="O104" s="10">
        <v>78184</v>
      </c>
      <c r="P104" s="10">
        <v>253882</v>
      </c>
    </row>
    <row r="105" spans="1:16" ht="27" customHeight="1" x14ac:dyDescent="0.2">
      <c r="A105" s="9" t="s">
        <v>309</v>
      </c>
      <c r="B105" s="10" t="s">
        <v>403</v>
      </c>
      <c r="C105" s="11" t="s">
        <v>407</v>
      </c>
      <c r="D105" s="11" t="s">
        <v>408</v>
      </c>
      <c r="E105" s="11" t="s">
        <v>26</v>
      </c>
      <c r="F105" s="11" t="s">
        <v>409</v>
      </c>
      <c r="G105" s="11" t="s">
        <v>28</v>
      </c>
      <c r="H105" s="11" t="s">
        <v>409</v>
      </c>
      <c r="I105" s="11" t="s">
        <v>410</v>
      </c>
      <c r="J105" s="12">
        <v>0.39839999999999998</v>
      </c>
      <c r="K105" s="13">
        <v>1</v>
      </c>
      <c r="L105" s="14">
        <v>123</v>
      </c>
      <c r="M105" s="10">
        <v>49</v>
      </c>
      <c r="N105" s="10">
        <v>13592</v>
      </c>
      <c r="O105" s="10">
        <v>3843</v>
      </c>
      <c r="P105" s="10">
        <v>17435</v>
      </c>
    </row>
    <row r="106" spans="1:16" ht="27" customHeight="1" x14ac:dyDescent="0.2">
      <c r="A106" s="9" t="s">
        <v>309</v>
      </c>
      <c r="B106" s="10" t="s">
        <v>403</v>
      </c>
      <c r="C106" s="11" t="s">
        <v>411</v>
      </c>
      <c r="D106" s="11" t="s">
        <v>412</v>
      </c>
      <c r="E106" s="11" t="s">
        <v>26</v>
      </c>
      <c r="F106" s="11" t="s">
        <v>413</v>
      </c>
      <c r="G106" s="11" t="s">
        <v>28</v>
      </c>
      <c r="H106" s="11" t="s">
        <v>413</v>
      </c>
      <c r="I106" s="11" t="s">
        <v>414</v>
      </c>
      <c r="J106" s="12">
        <v>0.77110000000000001</v>
      </c>
      <c r="K106" s="13">
        <v>1</v>
      </c>
      <c r="L106" s="14">
        <v>83</v>
      </c>
      <c r="M106" s="10">
        <v>64</v>
      </c>
      <c r="N106" s="10">
        <v>9172</v>
      </c>
      <c r="O106" s="10">
        <v>5019</v>
      </c>
      <c r="P106" s="10">
        <v>14191</v>
      </c>
    </row>
    <row r="107" spans="1:16" ht="27" customHeight="1" x14ac:dyDescent="0.2">
      <c r="A107" s="9" t="s">
        <v>309</v>
      </c>
      <c r="B107" s="10" t="s">
        <v>403</v>
      </c>
      <c r="C107" s="11" t="s">
        <v>415</v>
      </c>
      <c r="D107" s="11" t="s">
        <v>416</v>
      </c>
      <c r="E107" s="11" t="s">
        <v>26</v>
      </c>
      <c r="F107" s="11" t="s">
        <v>417</v>
      </c>
      <c r="G107" s="11" t="s">
        <v>28</v>
      </c>
      <c r="H107" s="11" t="s">
        <v>312</v>
      </c>
      <c r="I107" s="11" t="s">
        <v>313</v>
      </c>
      <c r="J107" s="12">
        <v>1</v>
      </c>
      <c r="K107" s="13">
        <v>1</v>
      </c>
      <c r="L107" s="14">
        <v>143</v>
      </c>
      <c r="M107" s="10">
        <v>45</v>
      </c>
      <c r="N107" s="10">
        <v>15802</v>
      </c>
      <c r="O107" s="10">
        <v>3529</v>
      </c>
      <c r="P107" s="10">
        <v>19331</v>
      </c>
    </row>
    <row r="108" spans="1:16" ht="27" customHeight="1" x14ac:dyDescent="0.2">
      <c r="A108" s="9" t="s">
        <v>309</v>
      </c>
      <c r="B108" s="10" t="s">
        <v>403</v>
      </c>
      <c r="C108" s="11" t="s">
        <v>418</v>
      </c>
      <c r="D108" s="11" t="s">
        <v>419</v>
      </c>
      <c r="E108" s="11" t="s">
        <v>26</v>
      </c>
      <c r="F108" s="11" t="s">
        <v>420</v>
      </c>
      <c r="G108" s="11" t="s">
        <v>28</v>
      </c>
      <c r="H108" s="11" t="s">
        <v>420</v>
      </c>
      <c r="I108" s="11" t="s">
        <v>421</v>
      </c>
      <c r="J108" s="12">
        <v>0.5978</v>
      </c>
      <c r="K108" s="13">
        <v>1</v>
      </c>
      <c r="L108" s="14">
        <v>179</v>
      </c>
      <c r="M108" s="10">
        <v>107</v>
      </c>
      <c r="N108" s="10">
        <v>19780</v>
      </c>
      <c r="O108" s="10">
        <v>8391</v>
      </c>
      <c r="P108" s="10">
        <v>28171</v>
      </c>
    </row>
    <row r="109" spans="1:16" ht="27" customHeight="1" x14ac:dyDescent="0.2">
      <c r="A109" s="9" t="s">
        <v>309</v>
      </c>
      <c r="B109" s="10" t="s">
        <v>422</v>
      </c>
      <c r="C109" s="11" t="s">
        <v>18</v>
      </c>
      <c r="D109" s="11" t="s">
        <v>19</v>
      </c>
      <c r="E109" s="11" t="s">
        <v>19</v>
      </c>
      <c r="F109" s="11" t="s">
        <v>423</v>
      </c>
      <c r="G109" s="11" t="s">
        <v>83</v>
      </c>
      <c r="H109" s="11" t="s">
        <v>424</v>
      </c>
      <c r="I109" s="11" t="s">
        <v>425</v>
      </c>
      <c r="J109" s="12">
        <v>0.87339999999999995</v>
      </c>
      <c r="K109" s="13">
        <v>7</v>
      </c>
      <c r="L109" s="14">
        <v>1671</v>
      </c>
      <c r="M109" s="10">
        <v>1419</v>
      </c>
      <c r="N109" s="10">
        <v>184648</v>
      </c>
      <c r="O109" s="10">
        <v>111275</v>
      </c>
      <c r="P109" s="10">
        <v>295923</v>
      </c>
    </row>
    <row r="110" spans="1:16" ht="27" customHeight="1" x14ac:dyDescent="0.2">
      <c r="A110" s="9" t="s">
        <v>309</v>
      </c>
      <c r="B110" s="10" t="s">
        <v>426</v>
      </c>
      <c r="C110" s="11" t="s">
        <v>18</v>
      </c>
      <c r="D110" s="11" t="s">
        <v>19</v>
      </c>
      <c r="E110" s="11" t="s">
        <v>19</v>
      </c>
      <c r="F110" s="11" t="s">
        <v>427</v>
      </c>
      <c r="G110" s="11" t="s">
        <v>83</v>
      </c>
      <c r="H110" s="11" t="s">
        <v>312</v>
      </c>
      <c r="I110" s="11" t="s">
        <v>313</v>
      </c>
      <c r="J110" s="12">
        <v>1</v>
      </c>
      <c r="K110" s="13">
        <v>2</v>
      </c>
      <c r="L110" s="14">
        <v>30</v>
      </c>
      <c r="M110" s="10">
        <v>30</v>
      </c>
      <c r="N110" s="10">
        <v>3315</v>
      </c>
      <c r="O110" s="10">
        <v>2353</v>
      </c>
      <c r="P110" s="10">
        <v>5668</v>
      </c>
    </row>
    <row r="111" spans="1:16" ht="27" customHeight="1" x14ac:dyDescent="0.2">
      <c r="A111" s="9" t="s">
        <v>309</v>
      </c>
      <c r="B111" s="10" t="s">
        <v>428</v>
      </c>
      <c r="C111" s="11" t="s">
        <v>18</v>
      </c>
      <c r="D111" s="11" t="s">
        <v>19</v>
      </c>
      <c r="E111" s="11" t="s">
        <v>19</v>
      </c>
      <c r="F111" s="11" t="s">
        <v>429</v>
      </c>
      <c r="G111" s="11" t="s">
        <v>83</v>
      </c>
      <c r="H111" s="11" t="s">
        <v>430</v>
      </c>
      <c r="I111" s="11" t="s">
        <v>431</v>
      </c>
      <c r="J111" s="12">
        <v>0.75149999999999995</v>
      </c>
      <c r="K111" s="13">
        <v>6</v>
      </c>
      <c r="L111" s="14">
        <v>2046</v>
      </c>
      <c r="M111" s="10">
        <v>1380</v>
      </c>
      <c r="N111" s="10">
        <v>226086</v>
      </c>
      <c r="O111" s="10">
        <v>108218</v>
      </c>
      <c r="P111" s="10">
        <v>334304</v>
      </c>
    </row>
    <row r="112" spans="1:16" ht="27" customHeight="1" x14ac:dyDescent="0.2">
      <c r="A112" s="9" t="s">
        <v>432</v>
      </c>
      <c r="B112" s="10" t="s">
        <v>433</v>
      </c>
      <c r="C112" s="11" t="s">
        <v>18</v>
      </c>
      <c r="D112" s="11" t="s">
        <v>19</v>
      </c>
      <c r="E112" s="11" t="s">
        <v>19</v>
      </c>
      <c r="F112" s="11" t="s">
        <v>434</v>
      </c>
      <c r="G112" s="11" t="s">
        <v>21</v>
      </c>
      <c r="H112" s="11" t="s">
        <v>435</v>
      </c>
      <c r="I112" s="11" t="s">
        <v>436</v>
      </c>
      <c r="J112" s="12">
        <v>0.69379999999999997</v>
      </c>
      <c r="K112" s="13">
        <v>4</v>
      </c>
      <c r="L112" s="14">
        <v>106</v>
      </c>
      <c r="M112" s="10">
        <v>75</v>
      </c>
      <c r="N112" s="10">
        <v>11714</v>
      </c>
      <c r="O112" s="10">
        <v>5881</v>
      </c>
      <c r="P112" s="10">
        <v>17595</v>
      </c>
    </row>
    <row r="113" spans="1:16" ht="27" customHeight="1" x14ac:dyDescent="0.2">
      <c r="A113" s="9" t="s">
        <v>432</v>
      </c>
      <c r="B113" s="10" t="s">
        <v>433</v>
      </c>
      <c r="C113" s="11" t="s">
        <v>437</v>
      </c>
      <c r="D113" s="11" t="s">
        <v>438</v>
      </c>
      <c r="E113" s="11" t="s">
        <v>57</v>
      </c>
      <c r="F113" s="11" t="s">
        <v>439</v>
      </c>
      <c r="G113" s="11" t="s">
        <v>28</v>
      </c>
      <c r="H113" s="11" t="s">
        <v>439</v>
      </c>
      <c r="I113" s="11" t="s">
        <v>440</v>
      </c>
      <c r="J113" s="12">
        <v>0.50749999999999995</v>
      </c>
      <c r="K113" s="13">
        <v>1</v>
      </c>
      <c r="L113" s="14">
        <v>402</v>
      </c>
      <c r="M113" s="10">
        <v>204</v>
      </c>
      <c r="N113" s="10">
        <v>44422</v>
      </c>
      <c r="O113" s="10">
        <v>15997</v>
      </c>
      <c r="P113" s="10">
        <v>60419</v>
      </c>
    </row>
    <row r="114" spans="1:16" ht="27" customHeight="1" x14ac:dyDescent="0.2">
      <c r="A114" s="9" t="s">
        <v>432</v>
      </c>
      <c r="B114" s="10" t="s">
        <v>441</v>
      </c>
      <c r="C114" s="11" t="s">
        <v>18</v>
      </c>
      <c r="D114" s="11" t="s">
        <v>19</v>
      </c>
      <c r="E114" s="11" t="s">
        <v>19</v>
      </c>
      <c r="F114" s="11" t="s">
        <v>442</v>
      </c>
      <c r="G114" s="11" t="s">
        <v>83</v>
      </c>
      <c r="H114" s="11" t="s">
        <v>435</v>
      </c>
      <c r="I114" s="11" t="s">
        <v>436</v>
      </c>
      <c r="J114" s="12">
        <v>0.69379999999999997</v>
      </c>
      <c r="K114" s="13">
        <v>3</v>
      </c>
      <c r="L114" s="14">
        <v>633</v>
      </c>
      <c r="M114" s="10">
        <v>281</v>
      </c>
      <c r="N114" s="10">
        <v>69947</v>
      </c>
      <c r="O114" s="10">
        <v>22036</v>
      </c>
      <c r="P114" s="10">
        <v>91983</v>
      </c>
    </row>
    <row r="115" spans="1:16" ht="27" customHeight="1" x14ac:dyDescent="0.2">
      <c r="A115" s="9" t="s">
        <v>432</v>
      </c>
      <c r="B115" s="10" t="s">
        <v>443</v>
      </c>
      <c r="C115" s="11" t="s">
        <v>18</v>
      </c>
      <c r="D115" s="11" t="s">
        <v>19</v>
      </c>
      <c r="E115" s="11" t="s">
        <v>19</v>
      </c>
      <c r="F115" s="11" t="s">
        <v>444</v>
      </c>
      <c r="G115" s="11" t="s">
        <v>83</v>
      </c>
      <c r="H115" s="11" t="s">
        <v>435</v>
      </c>
      <c r="I115" s="11" t="s">
        <v>436</v>
      </c>
      <c r="J115" s="12">
        <v>0.69379999999999997</v>
      </c>
      <c r="K115" s="13">
        <v>10</v>
      </c>
      <c r="L115" s="14">
        <v>2949</v>
      </c>
      <c r="M115" s="10">
        <v>1406</v>
      </c>
      <c r="N115" s="10">
        <v>325870</v>
      </c>
      <c r="O115" s="10">
        <v>110258</v>
      </c>
      <c r="P115" s="10">
        <v>436128</v>
      </c>
    </row>
    <row r="116" spans="1:16" ht="27" customHeight="1" x14ac:dyDescent="0.2">
      <c r="A116" s="9" t="s">
        <v>432</v>
      </c>
      <c r="B116" s="10" t="s">
        <v>445</v>
      </c>
      <c r="C116" s="11" t="s">
        <v>18</v>
      </c>
      <c r="D116" s="11" t="s">
        <v>19</v>
      </c>
      <c r="E116" s="11" t="s">
        <v>19</v>
      </c>
      <c r="F116" s="11" t="s">
        <v>446</v>
      </c>
      <c r="G116" s="11" t="s">
        <v>83</v>
      </c>
      <c r="H116" s="11" t="s">
        <v>447</v>
      </c>
      <c r="I116" s="11" t="s">
        <v>448</v>
      </c>
      <c r="J116" s="12">
        <v>0.56810000000000005</v>
      </c>
      <c r="K116" s="13">
        <v>4</v>
      </c>
      <c r="L116" s="14">
        <v>764</v>
      </c>
      <c r="M116" s="10">
        <v>407</v>
      </c>
      <c r="N116" s="10">
        <v>84424</v>
      </c>
      <c r="O116" s="10">
        <v>31916</v>
      </c>
      <c r="P116" s="10">
        <v>116340</v>
      </c>
    </row>
    <row r="117" spans="1:16" ht="27" customHeight="1" x14ac:dyDescent="0.2">
      <c r="A117" s="9" t="s">
        <v>432</v>
      </c>
      <c r="B117" s="10" t="s">
        <v>449</v>
      </c>
      <c r="C117" s="11" t="s">
        <v>18</v>
      </c>
      <c r="D117" s="11" t="s">
        <v>19</v>
      </c>
      <c r="E117" s="11" t="s">
        <v>19</v>
      </c>
      <c r="F117" s="11" t="s">
        <v>450</v>
      </c>
      <c r="G117" s="11" t="s">
        <v>83</v>
      </c>
      <c r="H117" s="11" t="s">
        <v>451</v>
      </c>
      <c r="I117" s="11" t="s">
        <v>452</v>
      </c>
      <c r="J117" s="12">
        <v>0.5</v>
      </c>
      <c r="K117" s="13">
        <v>5</v>
      </c>
      <c r="L117" s="14">
        <v>590</v>
      </c>
      <c r="M117" s="10">
        <v>283</v>
      </c>
      <c r="N117" s="10">
        <v>65196</v>
      </c>
      <c r="O117" s="10">
        <v>22193</v>
      </c>
      <c r="P117" s="10">
        <v>87389</v>
      </c>
    </row>
    <row r="118" spans="1:16" ht="27" customHeight="1" x14ac:dyDescent="0.2">
      <c r="A118" s="9" t="s">
        <v>453</v>
      </c>
      <c r="B118" s="10" t="s">
        <v>454</v>
      </c>
      <c r="C118" s="11" t="s">
        <v>18</v>
      </c>
      <c r="D118" s="11" t="s">
        <v>19</v>
      </c>
      <c r="E118" s="11" t="s">
        <v>19</v>
      </c>
      <c r="F118" s="11" t="s">
        <v>455</v>
      </c>
      <c r="G118" s="11" t="s">
        <v>21</v>
      </c>
      <c r="H118" s="11" t="s">
        <v>456</v>
      </c>
      <c r="I118" s="11" t="s">
        <v>457</v>
      </c>
      <c r="J118" s="12">
        <v>0.94010000000000005</v>
      </c>
      <c r="K118" s="13">
        <v>3</v>
      </c>
      <c r="L118" s="14">
        <v>128</v>
      </c>
      <c r="M118" s="10">
        <v>119</v>
      </c>
      <c r="N118" s="10">
        <v>14145</v>
      </c>
      <c r="O118" s="10">
        <v>9331</v>
      </c>
      <c r="P118" s="10">
        <v>23476</v>
      </c>
    </row>
    <row r="119" spans="1:16" ht="27" customHeight="1" x14ac:dyDescent="0.2">
      <c r="A119" s="9" t="s">
        <v>453</v>
      </c>
      <c r="B119" s="10" t="s">
        <v>458</v>
      </c>
      <c r="C119" s="11" t="s">
        <v>18</v>
      </c>
      <c r="D119" s="11" t="s">
        <v>19</v>
      </c>
      <c r="E119" s="11" t="s">
        <v>19</v>
      </c>
      <c r="F119" s="11" t="s">
        <v>459</v>
      </c>
      <c r="G119" s="11" t="s">
        <v>83</v>
      </c>
      <c r="H119" s="11" t="s">
        <v>460</v>
      </c>
      <c r="I119" s="11" t="s">
        <v>461</v>
      </c>
      <c r="J119" s="12">
        <v>0.67400000000000004</v>
      </c>
      <c r="K119" s="13">
        <v>6</v>
      </c>
      <c r="L119" s="14">
        <v>1545</v>
      </c>
      <c r="M119" s="10">
        <v>985</v>
      </c>
      <c r="N119" s="10">
        <v>170725</v>
      </c>
      <c r="O119" s="10">
        <v>77242</v>
      </c>
      <c r="P119" s="10">
        <v>247967</v>
      </c>
    </row>
    <row r="120" spans="1:16" ht="27" customHeight="1" x14ac:dyDescent="0.2">
      <c r="A120" s="9" t="s">
        <v>453</v>
      </c>
      <c r="B120" s="10" t="s">
        <v>462</v>
      </c>
      <c r="C120" s="11" t="s">
        <v>18</v>
      </c>
      <c r="D120" s="11" t="s">
        <v>19</v>
      </c>
      <c r="E120" s="11" t="s">
        <v>19</v>
      </c>
      <c r="F120" s="11" t="s">
        <v>463</v>
      </c>
      <c r="G120" s="11" t="s">
        <v>83</v>
      </c>
      <c r="H120" s="11" t="s">
        <v>464</v>
      </c>
      <c r="I120" s="11" t="s">
        <v>465</v>
      </c>
      <c r="J120" s="12">
        <v>0.62939999999999996</v>
      </c>
      <c r="K120" s="13">
        <v>4</v>
      </c>
      <c r="L120" s="14">
        <v>344</v>
      </c>
      <c r="M120" s="10">
        <v>215</v>
      </c>
      <c r="N120" s="10">
        <v>38013</v>
      </c>
      <c r="O120" s="10">
        <v>16860</v>
      </c>
      <c r="P120" s="10">
        <v>54873</v>
      </c>
    </row>
    <row r="121" spans="1:16" ht="27" customHeight="1" x14ac:dyDescent="0.2">
      <c r="A121" s="9" t="s">
        <v>453</v>
      </c>
      <c r="B121" s="10" t="s">
        <v>466</v>
      </c>
      <c r="C121" s="11" t="s">
        <v>18</v>
      </c>
      <c r="D121" s="11" t="s">
        <v>19</v>
      </c>
      <c r="E121" s="11" t="s">
        <v>19</v>
      </c>
      <c r="F121" s="11" t="s">
        <v>467</v>
      </c>
      <c r="G121" s="11" t="s">
        <v>83</v>
      </c>
      <c r="H121" s="11" t="s">
        <v>468</v>
      </c>
      <c r="I121" s="11" t="s">
        <v>469</v>
      </c>
      <c r="J121" s="12">
        <v>0.74509999999999998</v>
      </c>
      <c r="K121" s="13">
        <v>6</v>
      </c>
      <c r="L121" s="14">
        <v>1505</v>
      </c>
      <c r="M121" s="10">
        <v>1042</v>
      </c>
      <c r="N121" s="10">
        <v>166306</v>
      </c>
      <c r="O121" s="10">
        <v>81713</v>
      </c>
      <c r="P121" s="10">
        <v>248019</v>
      </c>
    </row>
    <row r="122" spans="1:16" ht="27" customHeight="1" x14ac:dyDescent="0.2">
      <c r="A122" s="9" t="s">
        <v>453</v>
      </c>
      <c r="B122" s="10" t="s">
        <v>470</v>
      </c>
      <c r="C122" s="11" t="s">
        <v>18</v>
      </c>
      <c r="D122" s="11" t="s">
        <v>19</v>
      </c>
      <c r="E122" s="11" t="s">
        <v>19</v>
      </c>
      <c r="F122" s="11" t="s">
        <v>471</v>
      </c>
      <c r="G122" s="11" t="s">
        <v>83</v>
      </c>
      <c r="H122" s="11" t="s">
        <v>456</v>
      </c>
      <c r="I122" s="11" t="s">
        <v>457</v>
      </c>
      <c r="J122" s="12">
        <v>0.94010000000000005</v>
      </c>
      <c r="K122" s="13">
        <v>5</v>
      </c>
      <c r="L122" s="14">
        <v>1371</v>
      </c>
      <c r="M122" s="10">
        <v>1252</v>
      </c>
      <c r="N122" s="10">
        <v>151498</v>
      </c>
      <c r="O122" s="10">
        <v>98181</v>
      </c>
      <c r="P122" s="10">
        <v>249679</v>
      </c>
    </row>
    <row r="123" spans="1:16" ht="27" customHeight="1" x14ac:dyDescent="0.2">
      <c r="A123" s="9" t="s">
        <v>472</v>
      </c>
      <c r="B123" s="10" t="s">
        <v>473</v>
      </c>
      <c r="C123" s="11" t="s">
        <v>18</v>
      </c>
      <c r="D123" s="11" t="s">
        <v>19</v>
      </c>
      <c r="E123" s="11" t="s">
        <v>19</v>
      </c>
      <c r="F123" s="11" t="s">
        <v>474</v>
      </c>
      <c r="G123" s="11" t="s">
        <v>21</v>
      </c>
      <c r="H123" s="11" t="s">
        <v>475</v>
      </c>
      <c r="I123" s="11" t="s">
        <v>476</v>
      </c>
      <c r="J123" s="12">
        <v>0.96099999999999997</v>
      </c>
      <c r="K123" s="13">
        <v>5</v>
      </c>
      <c r="L123" s="14">
        <v>247</v>
      </c>
      <c r="M123" s="10">
        <v>111</v>
      </c>
      <c r="N123" s="10">
        <v>27294</v>
      </c>
      <c r="O123" s="10">
        <v>8704</v>
      </c>
      <c r="P123" s="10">
        <v>35998</v>
      </c>
    </row>
    <row r="124" spans="1:16" ht="27" customHeight="1" x14ac:dyDescent="0.2">
      <c r="A124" s="9" t="s">
        <v>472</v>
      </c>
      <c r="B124" s="10" t="s">
        <v>473</v>
      </c>
      <c r="C124" s="11" t="s">
        <v>477</v>
      </c>
      <c r="D124" s="11" t="s">
        <v>478</v>
      </c>
      <c r="E124" s="11" t="s">
        <v>26</v>
      </c>
      <c r="F124" s="11" t="s">
        <v>479</v>
      </c>
      <c r="G124" s="11" t="s">
        <v>28</v>
      </c>
      <c r="H124" s="11" t="s">
        <v>479</v>
      </c>
      <c r="I124" s="11" t="s">
        <v>480</v>
      </c>
      <c r="J124" s="12">
        <v>0.83540000000000003</v>
      </c>
      <c r="K124" s="13">
        <v>1</v>
      </c>
      <c r="L124" s="14">
        <v>1124</v>
      </c>
      <c r="M124" s="10">
        <v>939</v>
      </c>
      <c r="N124" s="10">
        <v>124204</v>
      </c>
      <c r="O124" s="10">
        <v>73635</v>
      </c>
      <c r="P124" s="10">
        <v>197839</v>
      </c>
    </row>
    <row r="125" spans="1:16" ht="27" customHeight="1" x14ac:dyDescent="0.2">
      <c r="A125" s="9" t="s">
        <v>472</v>
      </c>
      <c r="B125" s="10" t="s">
        <v>473</v>
      </c>
      <c r="C125" s="11" t="s">
        <v>481</v>
      </c>
      <c r="D125" s="11" t="s">
        <v>482</v>
      </c>
      <c r="E125" s="11" t="s">
        <v>26</v>
      </c>
      <c r="F125" s="11" t="s">
        <v>483</v>
      </c>
      <c r="G125" s="11" t="s">
        <v>28</v>
      </c>
      <c r="H125" s="11" t="s">
        <v>483</v>
      </c>
      <c r="I125" s="11" t="s">
        <v>484</v>
      </c>
      <c r="J125" s="12">
        <v>0.73270000000000002</v>
      </c>
      <c r="K125" s="13">
        <v>1</v>
      </c>
      <c r="L125" s="14">
        <v>913</v>
      </c>
      <c r="M125" s="10">
        <v>669</v>
      </c>
      <c r="N125" s="10">
        <v>100888</v>
      </c>
      <c r="O125" s="10">
        <v>52462</v>
      </c>
      <c r="P125" s="10">
        <v>153350</v>
      </c>
    </row>
    <row r="126" spans="1:16" ht="27" customHeight="1" x14ac:dyDescent="0.2">
      <c r="A126" s="9" t="s">
        <v>472</v>
      </c>
      <c r="B126" s="10" t="s">
        <v>473</v>
      </c>
      <c r="C126" s="11" t="s">
        <v>485</v>
      </c>
      <c r="D126" s="11" t="s">
        <v>486</v>
      </c>
      <c r="E126" s="11" t="s">
        <v>26</v>
      </c>
      <c r="F126" s="11" t="s">
        <v>487</v>
      </c>
      <c r="G126" s="11" t="s">
        <v>28</v>
      </c>
      <c r="H126" s="11" t="s">
        <v>475</v>
      </c>
      <c r="I126" s="11" t="s">
        <v>476</v>
      </c>
      <c r="J126" s="12">
        <v>0.96099999999999997</v>
      </c>
      <c r="K126" s="13">
        <v>1</v>
      </c>
      <c r="L126" s="14">
        <v>506</v>
      </c>
      <c r="M126" s="10">
        <v>365</v>
      </c>
      <c r="N126" s="10">
        <v>55914</v>
      </c>
      <c r="O126" s="10">
        <v>28623</v>
      </c>
      <c r="P126" s="10">
        <v>84537</v>
      </c>
    </row>
    <row r="127" spans="1:16" ht="27" customHeight="1" x14ac:dyDescent="0.2">
      <c r="A127" s="9" t="s">
        <v>472</v>
      </c>
      <c r="B127" s="10" t="s">
        <v>473</v>
      </c>
      <c r="C127" s="11" t="s">
        <v>488</v>
      </c>
      <c r="D127" s="11" t="s">
        <v>489</v>
      </c>
      <c r="E127" s="11" t="s">
        <v>26</v>
      </c>
      <c r="F127" s="11" t="s">
        <v>490</v>
      </c>
      <c r="G127" s="11" t="s">
        <v>28</v>
      </c>
      <c r="H127" s="11" t="s">
        <v>490</v>
      </c>
      <c r="I127" s="11" t="s">
        <v>491</v>
      </c>
      <c r="J127" s="12">
        <v>0.3695</v>
      </c>
      <c r="K127" s="13">
        <v>1</v>
      </c>
      <c r="L127" s="14">
        <v>341</v>
      </c>
      <c r="M127" s="10">
        <v>126</v>
      </c>
      <c r="N127" s="10">
        <v>37681</v>
      </c>
      <c r="O127" s="10">
        <v>9881</v>
      </c>
      <c r="P127" s="10">
        <v>47562</v>
      </c>
    </row>
    <row r="128" spans="1:16" ht="27" customHeight="1" x14ac:dyDescent="0.2">
      <c r="A128" s="9" t="s">
        <v>472</v>
      </c>
      <c r="B128" s="10" t="s">
        <v>473</v>
      </c>
      <c r="C128" s="11" t="s">
        <v>492</v>
      </c>
      <c r="D128" s="11" t="s">
        <v>493</v>
      </c>
      <c r="E128" s="11" t="s">
        <v>26</v>
      </c>
      <c r="F128" s="11" t="s">
        <v>494</v>
      </c>
      <c r="G128" s="11" t="s">
        <v>28</v>
      </c>
      <c r="H128" s="11" t="s">
        <v>475</v>
      </c>
      <c r="I128" s="11" t="s">
        <v>476</v>
      </c>
      <c r="J128" s="12">
        <v>0.96099999999999997</v>
      </c>
      <c r="K128" s="13">
        <v>1</v>
      </c>
      <c r="L128" s="14">
        <v>330</v>
      </c>
      <c r="M128" s="10">
        <v>234</v>
      </c>
      <c r="N128" s="10">
        <v>36466</v>
      </c>
      <c r="O128" s="10">
        <v>18350</v>
      </c>
      <c r="P128" s="10">
        <v>54816</v>
      </c>
    </row>
    <row r="129" spans="1:16" ht="27" customHeight="1" x14ac:dyDescent="0.2">
      <c r="A129" s="9" t="s">
        <v>472</v>
      </c>
      <c r="B129" s="10" t="s">
        <v>473</v>
      </c>
      <c r="C129" s="11" t="s">
        <v>495</v>
      </c>
      <c r="D129" s="11" t="s">
        <v>496</v>
      </c>
      <c r="E129" s="11" t="s">
        <v>57</v>
      </c>
      <c r="F129" s="11" t="s">
        <v>497</v>
      </c>
      <c r="G129" s="11" t="s">
        <v>28</v>
      </c>
      <c r="H129" s="11" t="s">
        <v>475</v>
      </c>
      <c r="I129" s="11" t="s">
        <v>476</v>
      </c>
      <c r="J129" s="12">
        <v>0.96099999999999997</v>
      </c>
      <c r="K129" s="13">
        <v>1</v>
      </c>
      <c r="L129" s="14">
        <v>90</v>
      </c>
      <c r="M129" s="10">
        <v>71</v>
      </c>
      <c r="N129" s="10">
        <v>9945</v>
      </c>
      <c r="O129" s="10">
        <v>5568</v>
      </c>
      <c r="P129" s="10">
        <v>15513</v>
      </c>
    </row>
    <row r="130" spans="1:16" ht="27" customHeight="1" x14ac:dyDescent="0.2">
      <c r="A130" s="9" t="s">
        <v>472</v>
      </c>
      <c r="B130" s="10" t="s">
        <v>473</v>
      </c>
      <c r="C130" s="11" t="s">
        <v>498</v>
      </c>
      <c r="D130" s="11" t="s">
        <v>499</v>
      </c>
      <c r="E130" s="11" t="s">
        <v>26</v>
      </c>
      <c r="F130" s="11" t="s">
        <v>500</v>
      </c>
      <c r="G130" s="11" t="s">
        <v>28</v>
      </c>
      <c r="H130" s="11" t="s">
        <v>475</v>
      </c>
      <c r="I130" s="11" t="s">
        <v>476</v>
      </c>
      <c r="J130" s="12">
        <v>0.96099999999999997</v>
      </c>
      <c r="K130" s="13">
        <v>1</v>
      </c>
      <c r="L130" s="14">
        <v>2381</v>
      </c>
      <c r="M130" s="10">
        <v>509</v>
      </c>
      <c r="N130" s="10">
        <v>263104</v>
      </c>
      <c r="O130" s="10">
        <v>39915</v>
      </c>
      <c r="P130" s="10">
        <v>303019</v>
      </c>
    </row>
    <row r="131" spans="1:16" ht="27" customHeight="1" x14ac:dyDescent="0.2">
      <c r="A131" s="9" t="s">
        <v>472</v>
      </c>
      <c r="B131" s="10" t="s">
        <v>473</v>
      </c>
      <c r="C131" s="11" t="s">
        <v>501</v>
      </c>
      <c r="D131" s="11" t="s">
        <v>502</v>
      </c>
      <c r="E131" s="11" t="s">
        <v>26</v>
      </c>
      <c r="F131" s="11" t="s">
        <v>503</v>
      </c>
      <c r="G131" s="11" t="s">
        <v>28</v>
      </c>
      <c r="H131" s="11" t="s">
        <v>475</v>
      </c>
      <c r="I131" s="11" t="s">
        <v>476</v>
      </c>
      <c r="J131" s="12">
        <v>0.96099999999999997</v>
      </c>
      <c r="K131" s="13">
        <v>1</v>
      </c>
      <c r="L131" s="14">
        <v>82</v>
      </c>
      <c r="M131" s="10">
        <v>52</v>
      </c>
      <c r="N131" s="10">
        <v>9061</v>
      </c>
      <c r="O131" s="10">
        <v>4078</v>
      </c>
      <c r="P131" s="10">
        <v>13139</v>
      </c>
    </row>
    <row r="132" spans="1:16" ht="27" customHeight="1" x14ac:dyDescent="0.2">
      <c r="A132" s="9" t="s">
        <v>472</v>
      </c>
      <c r="B132" s="10" t="s">
        <v>504</v>
      </c>
      <c r="C132" s="11" t="s">
        <v>18</v>
      </c>
      <c r="D132" s="11" t="s">
        <v>19</v>
      </c>
      <c r="E132" s="11" t="s">
        <v>19</v>
      </c>
      <c r="F132" s="11" t="s">
        <v>505</v>
      </c>
      <c r="G132" s="11" t="s">
        <v>83</v>
      </c>
      <c r="H132" s="11" t="s">
        <v>475</v>
      </c>
      <c r="I132" s="11" t="s">
        <v>476</v>
      </c>
      <c r="J132" s="12">
        <v>0.96099999999999997</v>
      </c>
      <c r="K132" s="13">
        <v>6</v>
      </c>
      <c r="L132" s="14">
        <v>5389</v>
      </c>
      <c r="M132" s="10">
        <v>418</v>
      </c>
      <c r="N132" s="10">
        <v>595494</v>
      </c>
      <c r="O132" s="10">
        <v>32779</v>
      </c>
      <c r="P132" s="10">
        <v>628273</v>
      </c>
    </row>
    <row r="133" spans="1:16" ht="27" customHeight="1" x14ac:dyDescent="0.2">
      <c r="A133" s="9" t="s">
        <v>472</v>
      </c>
      <c r="B133" s="10" t="s">
        <v>506</v>
      </c>
      <c r="C133" s="11" t="s">
        <v>18</v>
      </c>
      <c r="D133" s="11" t="s">
        <v>19</v>
      </c>
      <c r="E133" s="11" t="s">
        <v>19</v>
      </c>
      <c r="F133" s="11" t="s">
        <v>507</v>
      </c>
      <c r="G133" s="11" t="s">
        <v>83</v>
      </c>
      <c r="H133" s="11" t="s">
        <v>508</v>
      </c>
      <c r="I133" s="11" t="s">
        <v>509</v>
      </c>
      <c r="J133" s="12">
        <v>0.81840000000000002</v>
      </c>
      <c r="K133" s="13">
        <v>26</v>
      </c>
      <c r="L133" s="14">
        <v>15143</v>
      </c>
      <c r="M133" s="10">
        <v>11187</v>
      </c>
      <c r="N133" s="10">
        <v>1673326</v>
      </c>
      <c r="O133" s="10">
        <v>877273</v>
      </c>
      <c r="P133" s="10">
        <v>2550599</v>
      </c>
    </row>
    <row r="134" spans="1:16" ht="27" customHeight="1" x14ac:dyDescent="0.2">
      <c r="A134" s="9" t="s">
        <v>472</v>
      </c>
      <c r="B134" s="10" t="s">
        <v>506</v>
      </c>
      <c r="C134" s="11" t="s">
        <v>510</v>
      </c>
      <c r="D134" s="11" t="s">
        <v>511</v>
      </c>
      <c r="E134" s="11" t="s">
        <v>26</v>
      </c>
      <c r="F134" s="11" t="s">
        <v>512</v>
      </c>
      <c r="G134" s="11" t="s">
        <v>28</v>
      </c>
      <c r="H134" s="11" t="s">
        <v>512</v>
      </c>
      <c r="I134" s="11" t="s">
        <v>513</v>
      </c>
      <c r="J134" s="12">
        <v>0.43070000000000003</v>
      </c>
      <c r="K134" s="13">
        <v>1</v>
      </c>
      <c r="L134" s="14">
        <v>202</v>
      </c>
      <c r="M134" s="10">
        <v>87</v>
      </c>
      <c r="N134" s="10">
        <v>22321</v>
      </c>
      <c r="O134" s="10">
        <v>6822</v>
      </c>
      <c r="P134" s="10">
        <v>29143</v>
      </c>
    </row>
    <row r="135" spans="1:16" ht="27" customHeight="1" x14ac:dyDescent="0.2">
      <c r="A135" s="9" t="s">
        <v>472</v>
      </c>
      <c r="B135" s="10" t="s">
        <v>506</v>
      </c>
      <c r="C135" s="11" t="s">
        <v>514</v>
      </c>
      <c r="D135" s="11" t="s">
        <v>515</v>
      </c>
      <c r="E135" s="11" t="s">
        <v>26</v>
      </c>
      <c r="F135" s="11" t="s">
        <v>516</v>
      </c>
      <c r="G135" s="11" t="s">
        <v>28</v>
      </c>
      <c r="H135" s="11" t="s">
        <v>516</v>
      </c>
      <c r="I135" s="11" t="s">
        <v>517</v>
      </c>
      <c r="J135" s="12">
        <v>0.71030000000000004</v>
      </c>
      <c r="K135" s="13">
        <v>1</v>
      </c>
      <c r="L135" s="14">
        <v>573</v>
      </c>
      <c r="M135" s="10">
        <v>407</v>
      </c>
      <c r="N135" s="10">
        <v>63317</v>
      </c>
      <c r="O135" s="10">
        <v>31917</v>
      </c>
      <c r="P135" s="10">
        <v>95234</v>
      </c>
    </row>
    <row r="136" spans="1:16" ht="27" customHeight="1" x14ac:dyDescent="0.2">
      <c r="A136" s="9" t="s">
        <v>472</v>
      </c>
      <c r="B136" s="10" t="s">
        <v>506</v>
      </c>
      <c r="C136" s="11" t="s">
        <v>518</v>
      </c>
      <c r="D136" s="11" t="s">
        <v>519</v>
      </c>
      <c r="E136" s="11" t="s">
        <v>26</v>
      </c>
      <c r="F136" s="11" t="s">
        <v>520</v>
      </c>
      <c r="G136" s="11" t="s">
        <v>28</v>
      </c>
      <c r="H136" s="11" t="s">
        <v>520</v>
      </c>
      <c r="I136" s="11" t="s">
        <v>521</v>
      </c>
      <c r="J136" s="12">
        <v>0.31369999999999998</v>
      </c>
      <c r="K136" s="13">
        <v>1</v>
      </c>
      <c r="L136" s="14">
        <v>204</v>
      </c>
      <c r="M136" s="10">
        <v>64</v>
      </c>
      <c r="N136" s="10">
        <v>22542</v>
      </c>
      <c r="O136" s="10">
        <v>5019</v>
      </c>
      <c r="P136" s="10">
        <v>27561</v>
      </c>
    </row>
    <row r="137" spans="1:16" ht="27" customHeight="1" x14ac:dyDescent="0.2">
      <c r="A137" s="9" t="s">
        <v>472</v>
      </c>
      <c r="B137" s="10" t="s">
        <v>522</v>
      </c>
      <c r="C137" s="11" t="s">
        <v>18</v>
      </c>
      <c r="D137" s="11" t="s">
        <v>19</v>
      </c>
      <c r="E137" s="11" t="s">
        <v>19</v>
      </c>
      <c r="F137" s="11" t="s">
        <v>523</v>
      </c>
      <c r="G137" s="11" t="s">
        <v>83</v>
      </c>
      <c r="H137" s="11" t="s">
        <v>524</v>
      </c>
      <c r="I137" s="11" t="s">
        <v>525</v>
      </c>
      <c r="J137" s="12">
        <v>0.32379999999999998</v>
      </c>
      <c r="K137" s="13">
        <v>12</v>
      </c>
      <c r="L137" s="14">
        <v>9523</v>
      </c>
      <c r="M137" s="10">
        <v>2137</v>
      </c>
      <c r="N137" s="10">
        <v>1052307</v>
      </c>
      <c r="O137" s="10">
        <v>167581</v>
      </c>
      <c r="P137" s="10">
        <v>1219888</v>
      </c>
    </row>
    <row r="138" spans="1:16" ht="27" customHeight="1" x14ac:dyDescent="0.2">
      <c r="A138" s="9" t="s">
        <v>472</v>
      </c>
      <c r="B138" s="10" t="s">
        <v>526</v>
      </c>
      <c r="C138" s="11" t="s">
        <v>18</v>
      </c>
      <c r="D138" s="11" t="s">
        <v>19</v>
      </c>
      <c r="E138" s="11" t="s">
        <v>19</v>
      </c>
      <c r="F138" s="11" t="s">
        <v>527</v>
      </c>
      <c r="G138" s="11" t="s">
        <v>83</v>
      </c>
      <c r="H138" s="11" t="s">
        <v>528</v>
      </c>
      <c r="I138" s="11" t="s">
        <v>529</v>
      </c>
      <c r="J138" s="12">
        <v>0.35139999999999999</v>
      </c>
      <c r="K138" s="13">
        <v>5</v>
      </c>
      <c r="L138" s="14">
        <v>1230</v>
      </c>
      <c r="M138" s="10">
        <v>387</v>
      </c>
      <c r="N138" s="10">
        <v>135918</v>
      </c>
      <c r="O138" s="10">
        <v>30349</v>
      </c>
      <c r="P138" s="10">
        <v>166267</v>
      </c>
    </row>
    <row r="139" spans="1:16" ht="27" customHeight="1" x14ac:dyDescent="0.2">
      <c r="A139" s="9" t="s">
        <v>472</v>
      </c>
      <c r="B139" s="10" t="s">
        <v>526</v>
      </c>
      <c r="C139" s="11" t="s">
        <v>530</v>
      </c>
      <c r="D139" s="11" t="s">
        <v>531</v>
      </c>
      <c r="E139" s="11" t="s">
        <v>26</v>
      </c>
      <c r="F139" s="11" t="s">
        <v>532</v>
      </c>
      <c r="G139" s="11" t="s">
        <v>28</v>
      </c>
      <c r="H139" s="11" t="s">
        <v>532</v>
      </c>
      <c r="I139" s="11" t="s">
        <v>533</v>
      </c>
      <c r="J139" s="12">
        <v>0.3387</v>
      </c>
      <c r="K139" s="13">
        <v>1</v>
      </c>
      <c r="L139" s="14">
        <v>936</v>
      </c>
      <c r="M139" s="10">
        <v>317</v>
      </c>
      <c r="N139" s="10">
        <v>103430</v>
      </c>
      <c r="O139" s="10">
        <v>24859</v>
      </c>
      <c r="P139" s="10">
        <v>128289</v>
      </c>
    </row>
    <row r="140" spans="1:16" ht="27" customHeight="1" x14ac:dyDescent="0.2">
      <c r="A140" s="9" t="s">
        <v>472</v>
      </c>
      <c r="B140" s="10" t="s">
        <v>534</v>
      </c>
      <c r="C140" s="11" t="s">
        <v>18</v>
      </c>
      <c r="D140" s="11" t="s">
        <v>19</v>
      </c>
      <c r="E140" s="11" t="s">
        <v>19</v>
      </c>
      <c r="F140" s="11" t="s">
        <v>535</v>
      </c>
      <c r="G140" s="11" t="s">
        <v>83</v>
      </c>
      <c r="H140" s="11" t="s">
        <v>535</v>
      </c>
      <c r="I140" s="11" t="s">
        <v>536</v>
      </c>
      <c r="J140" s="12">
        <v>0.1077</v>
      </c>
      <c r="K140" s="13">
        <v>2</v>
      </c>
      <c r="L140" s="14">
        <v>65</v>
      </c>
      <c r="M140" s="10">
        <v>7</v>
      </c>
      <c r="N140" s="10">
        <v>7183</v>
      </c>
      <c r="O140" s="10">
        <v>549</v>
      </c>
      <c r="P140" s="10">
        <v>7732</v>
      </c>
    </row>
    <row r="141" spans="1:16" ht="27" customHeight="1" x14ac:dyDescent="0.2">
      <c r="A141" s="9" t="s">
        <v>472</v>
      </c>
      <c r="B141" s="10" t="s">
        <v>537</v>
      </c>
      <c r="C141" s="11" t="s">
        <v>18</v>
      </c>
      <c r="D141" s="11" t="s">
        <v>19</v>
      </c>
      <c r="E141" s="11" t="s">
        <v>19</v>
      </c>
      <c r="F141" s="11" t="s">
        <v>538</v>
      </c>
      <c r="G141" s="11" t="s">
        <v>83</v>
      </c>
      <c r="H141" s="11" t="s">
        <v>539</v>
      </c>
      <c r="I141" s="11" t="s">
        <v>540</v>
      </c>
      <c r="J141" s="12">
        <v>0.78459999999999996</v>
      </c>
      <c r="K141" s="13">
        <v>5</v>
      </c>
      <c r="L141" s="14">
        <v>1236</v>
      </c>
      <c r="M141" s="10">
        <v>906</v>
      </c>
      <c r="N141" s="10">
        <v>136580</v>
      </c>
      <c r="O141" s="10">
        <v>71048</v>
      </c>
      <c r="P141" s="10">
        <v>207628</v>
      </c>
    </row>
    <row r="142" spans="1:16" ht="27" customHeight="1" x14ac:dyDescent="0.2">
      <c r="A142" s="9" t="s">
        <v>472</v>
      </c>
      <c r="B142" s="10" t="s">
        <v>541</v>
      </c>
      <c r="C142" s="11" t="s">
        <v>18</v>
      </c>
      <c r="D142" s="11" t="s">
        <v>19</v>
      </c>
      <c r="E142" s="11" t="s">
        <v>19</v>
      </c>
      <c r="F142" s="11" t="s">
        <v>542</v>
      </c>
      <c r="G142" s="11" t="s">
        <v>83</v>
      </c>
      <c r="H142" s="11" t="s">
        <v>542</v>
      </c>
      <c r="I142" s="11" t="s">
        <v>543</v>
      </c>
      <c r="J142" s="12">
        <v>0.30149999999999999</v>
      </c>
      <c r="K142" s="13">
        <v>3</v>
      </c>
      <c r="L142" s="14">
        <v>581</v>
      </c>
      <c r="M142" s="10">
        <v>131</v>
      </c>
      <c r="N142" s="10">
        <v>64202</v>
      </c>
      <c r="O142" s="10">
        <v>10273</v>
      </c>
      <c r="P142" s="10">
        <v>74475</v>
      </c>
    </row>
    <row r="143" spans="1:16" ht="27" customHeight="1" x14ac:dyDescent="0.2">
      <c r="A143" s="9" t="s">
        <v>472</v>
      </c>
      <c r="B143" s="10" t="s">
        <v>544</v>
      </c>
      <c r="C143" s="11" t="s">
        <v>18</v>
      </c>
      <c r="D143" s="11" t="s">
        <v>19</v>
      </c>
      <c r="E143" s="11" t="s">
        <v>19</v>
      </c>
      <c r="F143" s="11" t="s">
        <v>545</v>
      </c>
      <c r="G143" s="11" t="s">
        <v>83</v>
      </c>
      <c r="H143" s="11" t="s">
        <v>545</v>
      </c>
      <c r="I143" s="11" t="s">
        <v>546</v>
      </c>
      <c r="J143" s="12">
        <v>8.2500000000000004E-2</v>
      </c>
      <c r="K143" s="13">
        <v>6</v>
      </c>
      <c r="L143" s="14">
        <v>3204</v>
      </c>
      <c r="M143" s="10">
        <v>127</v>
      </c>
      <c r="N143" s="10">
        <v>354047</v>
      </c>
      <c r="O143" s="10">
        <v>9960</v>
      </c>
      <c r="P143" s="10">
        <v>364007</v>
      </c>
    </row>
    <row r="144" spans="1:16" ht="27" customHeight="1" x14ac:dyDescent="0.2">
      <c r="A144" s="9" t="s">
        <v>472</v>
      </c>
      <c r="B144" s="10" t="s">
        <v>547</v>
      </c>
      <c r="C144" s="11" t="s">
        <v>18</v>
      </c>
      <c r="D144" s="11" t="s">
        <v>19</v>
      </c>
      <c r="E144" s="11" t="s">
        <v>19</v>
      </c>
      <c r="F144" s="11" t="s">
        <v>548</v>
      </c>
      <c r="G144" s="11" t="s">
        <v>83</v>
      </c>
      <c r="H144" s="11" t="s">
        <v>475</v>
      </c>
      <c r="I144" s="11" t="s">
        <v>476</v>
      </c>
      <c r="J144" s="12">
        <v>0.96099999999999997</v>
      </c>
      <c r="K144" s="13">
        <v>6</v>
      </c>
      <c r="L144" s="14">
        <v>8203</v>
      </c>
      <c r="M144" s="10">
        <v>2062</v>
      </c>
      <c r="N144" s="10">
        <v>906446</v>
      </c>
      <c r="O144" s="10">
        <v>161700</v>
      </c>
      <c r="P144" s="10">
        <v>1068146</v>
      </c>
    </row>
    <row r="145" spans="1:16" ht="27" customHeight="1" x14ac:dyDescent="0.2">
      <c r="A145" s="9" t="s">
        <v>472</v>
      </c>
      <c r="B145" s="10" t="s">
        <v>549</v>
      </c>
      <c r="C145" s="11" t="s">
        <v>18</v>
      </c>
      <c r="D145" s="11" t="s">
        <v>19</v>
      </c>
      <c r="E145" s="11" t="s">
        <v>19</v>
      </c>
      <c r="F145" s="11" t="s">
        <v>550</v>
      </c>
      <c r="G145" s="11" t="s">
        <v>83</v>
      </c>
      <c r="H145" s="11" t="s">
        <v>551</v>
      </c>
      <c r="I145" s="11" t="s">
        <v>552</v>
      </c>
      <c r="J145" s="12">
        <v>0.56889999999999996</v>
      </c>
      <c r="K145" s="13">
        <v>10</v>
      </c>
      <c r="L145" s="14">
        <v>3794</v>
      </c>
      <c r="M145" s="10">
        <v>1553</v>
      </c>
      <c r="N145" s="10">
        <v>419244</v>
      </c>
      <c r="O145" s="10">
        <v>121785</v>
      </c>
      <c r="P145" s="10">
        <v>541029</v>
      </c>
    </row>
    <row r="146" spans="1:16" ht="27" customHeight="1" x14ac:dyDescent="0.2">
      <c r="A146" s="9" t="s">
        <v>472</v>
      </c>
      <c r="B146" s="10" t="s">
        <v>553</v>
      </c>
      <c r="C146" s="11" t="s">
        <v>18</v>
      </c>
      <c r="D146" s="11" t="s">
        <v>19</v>
      </c>
      <c r="E146" s="11" t="s">
        <v>19</v>
      </c>
      <c r="F146" s="11" t="s">
        <v>554</v>
      </c>
      <c r="G146" s="11" t="s">
        <v>83</v>
      </c>
      <c r="H146" s="11" t="s">
        <v>555</v>
      </c>
      <c r="I146" s="11" t="s">
        <v>556</v>
      </c>
      <c r="J146" s="12">
        <v>4.3799999999999999E-2</v>
      </c>
      <c r="K146" s="13">
        <v>5</v>
      </c>
      <c r="L146" s="14">
        <v>1751</v>
      </c>
      <c r="M146" s="10">
        <v>72</v>
      </c>
      <c r="N146" s="10">
        <v>193489</v>
      </c>
      <c r="O146" s="10">
        <v>5647</v>
      </c>
      <c r="P146" s="10">
        <v>199136</v>
      </c>
    </row>
    <row r="147" spans="1:16" ht="27" customHeight="1" x14ac:dyDescent="0.2">
      <c r="A147" s="9" t="s">
        <v>472</v>
      </c>
      <c r="B147" s="10" t="s">
        <v>557</v>
      </c>
      <c r="C147" s="11" t="s">
        <v>18</v>
      </c>
      <c r="D147" s="11" t="s">
        <v>19</v>
      </c>
      <c r="E147" s="11" t="s">
        <v>19</v>
      </c>
      <c r="F147" s="11" t="s">
        <v>558</v>
      </c>
      <c r="G147" s="11" t="s">
        <v>83</v>
      </c>
      <c r="H147" s="11" t="s">
        <v>559</v>
      </c>
      <c r="I147" s="11" t="s">
        <v>560</v>
      </c>
      <c r="J147" s="12">
        <v>0.83179999999999998</v>
      </c>
      <c r="K147" s="13">
        <v>52</v>
      </c>
      <c r="L147" s="14">
        <v>29015</v>
      </c>
      <c r="M147" s="10">
        <v>11049</v>
      </c>
      <c r="N147" s="10">
        <v>3206201</v>
      </c>
      <c r="O147" s="10">
        <v>866447</v>
      </c>
      <c r="P147" s="10">
        <v>4072648</v>
      </c>
    </row>
    <row r="148" spans="1:16" ht="27" customHeight="1" x14ac:dyDescent="0.2">
      <c r="A148" s="9" t="s">
        <v>472</v>
      </c>
      <c r="B148" s="10" t="s">
        <v>557</v>
      </c>
      <c r="C148" s="11" t="s">
        <v>561</v>
      </c>
      <c r="D148" s="11" t="s">
        <v>562</v>
      </c>
      <c r="E148" s="11" t="s">
        <v>26</v>
      </c>
      <c r="F148" s="11" t="s">
        <v>563</v>
      </c>
      <c r="G148" s="11" t="s">
        <v>28</v>
      </c>
      <c r="H148" s="11" t="s">
        <v>563</v>
      </c>
      <c r="I148" s="11" t="s">
        <v>564</v>
      </c>
      <c r="J148" s="12">
        <v>0.73660000000000003</v>
      </c>
      <c r="K148" s="13">
        <v>1</v>
      </c>
      <c r="L148" s="14">
        <v>672</v>
      </c>
      <c r="M148" s="10">
        <v>495</v>
      </c>
      <c r="N148" s="10">
        <v>74257</v>
      </c>
      <c r="O148" s="10">
        <v>38817</v>
      </c>
      <c r="P148" s="10">
        <v>113074</v>
      </c>
    </row>
    <row r="149" spans="1:16" ht="27" customHeight="1" x14ac:dyDescent="0.2">
      <c r="A149" s="9" t="s">
        <v>472</v>
      </c>
      <c r="B149" s="10" t="s">
        <v>557</v>
      </c>
      <c r="C149" s="11" t="s">
        <v>565</v>
      </c>
      <c r="D149" s="11" t="s">
        <v>566</v>
      </c>
      <c r="E149" s="11" t="s">
        <v>57</v>
      </c>
      <c r="F149" s="11" t="s">
        <v>567</v>
      </c>
      <c r="G149" s="11" t="s">
        <v>28</v>
      </c>
      <c r="H149" s="11" t="s">
        <v>567</v>
      </c>
      <c r="I149" s="11" t="s">
        <v>568</v>
      </c>
      <c r="J149" s="12">
        <v>9.9000000000000005E-2</v>
      </c>
      <c r="K149" s="13">
        <v>1</v>
      </c>
      <c r="L149" s="14">
        <v>293</v>
      </c>
      <c r="M149" s="10">
        <v>29</v>
      </c>
      <c r="N149" s="10">
        <v>32377</v>
      </c>
      <c r="O149" s="10">
        <v>2274</v>
      </c>
      <c r="P149" s="10">
        <v>34651</v>
      </c>
    </row>
    <row r="150" spans="1:16" ht="27" customHeight="1" x14ac:dyDescent="0.2">
      <c r="A150" s="9" t="s">
        <v>472</v>
      </c>
      <c r="B150" s="10" t="s">
        <v>569</v>
      </c>
      <c r="C150" s="11" t="s">
        <v>18</v>
      </c>
      <c r="D150" s="11" t="s">
        <v>19</v>
      </c>
      <c r="E150" s="11" t="s">
        <v>19</v>
      </c>
      <c r="F150" s="11" t="s">
        <v>570</v>
      </c>
      <c r="G150" s="11" t="s">
        <v>83</v>
      </c>
      <c r="H150" s="11" t="s">
        <v>571</v>
      </c>
      <c r="I150" s="11" t="s">
        <v>572</v>
      </c>
      <c r="J150" s="12">
        <v>0.53639999999999999</v>
      </c>
      <c r="K150" s="13">
        <v>10</v>
      </c>
      <c r="L150" s="14">
        <v>5195</v>
      </c>
      <c r="M150" s="10">
        <v>2129</v>
      </c>
      <c r="N150" s="10">
        <v>574056</v>
      </c>
      <c r="O150" s="10">
        <v>166954</v>
      </c>
      <c r="P150" s="10">
        <v>741010</v>
      </c>
    </row>
    <row r="151" spans="1:16" ht="27" customHeight="1" x14ac:dyDescent="0.2">
      <c r="A151" s="9" t="s">
        <v>472</v>
      </c>
      <c r="B151" s="10" t="s">
        <v>573</v>
      </c>
      <c r="C151" s="11" t="s">
        <v>18</v>
      </c>
      <c r="D151" s="11" t="s">
        <v>19</v>
      </c>
      <c r="E151" s="11" t="s">
        <v>19</v>
      </c>
      <c r="F151" s="11" t="s">
        <v>574</v>
      </c>
      <c r="G151" s="11" t="s">
        <v>83</v>
      </c>
      <c r="H151" s="11" t="s">
        <v>575</v>
      </c>
      <c r="I151" s="11" t="s">
        <v>576</v>
      </c>
      <c r="J151" s="12">
        <v>2.5700000000000001E-2</v>
      </c>
      <c r="K151" s="13">
        <v>6</v>
      </c>
      <c r="L151" s="14">
        <v>2511</v>
      </c>
      <c r="M151" s="10">
        <v>62</v>
      </c>
      <c r="N151" s="10">
        <v>277470</v>
      </c>
      <c r="O151" s="10">
        <v>4863</v>
      </c>
      <c r="P151" s="10">
        <v>282333</v>
      </c>
    </row>
    <row r="152" spans="1:16" ht="27" customHeight="1" x14ac:dyDescent="0.2">
      <c r="A152" s="9" t="s">
        <v>472</v>
      </c>
      <c r="B152" s="10" t="s">
        <v>577</v>
      </c>
      <c r="C152" s="11" t="s">
        <v>18</v>
      </c>
      <c r="D152" s="11" t="s">
        <v>19</v>
      </c>
      <c r="E152" s="11" t="s">
        <v>19</v>
      </c>
      <c r="F152" s="11" t="s">
        <v>578</v>
      </c>
      <c r="G152" s="11" t="s">
        <v>83</v>
      </c>
      <c r="H152" s="11" t="s">
        <v>579</v>
      </c>
      <c r="I152" s="11" t="s">
        <v>580</v>
      </c>
      <c r="J152" s="12">
        <v>0.85329999999999995</v>
      </c>
      <c r="K152" s="13">
        <v>14</v>
      </c>
      <c r="L152" s="14">
        <v>10926</v>
      </c>
      <c r="M152" s="10">
        <v>8481</v>
      </c>
      <c r="N152" s="10">
        <v>1207341</v>
      </c>
      <c r="O152" s="10">
        <v>665070</v>
      </c>
      <c r="P152" s="10">
        <v>1872411</v>
      </c>
    </row>
    <row r="153" spans="1:16" ht="27" customHeight="1" x14ac:dyDescent="0.2">
      <c r="A153" s="9" t="s">
        <v>472</v>
      </c>
      <c r="B153" s="10" t="s">
        <v>581</v>
      </c>
      <c r="C153" s="11" t="s">
        <v>18</v>
      </c>
      <c r="D153" s="11" t="s">
        <v>19</v>
      </c>
      <c r="E153" s="11" t="s">
        <v>19</v>
      </c>
      <c r="F153" s="11" t="s">
        <v>582</v>
      </c>
      <c r="G153" s="11" t="s">
        <v>83</v>
      </c>
      <c r="H153" s="11" t="s">
        <v>475</v>
      </c>
      <c r="I153" s="11" t="s">
        <v>476</v>
      </c>
      <c r="J153" s="12">
        <v>0.96099999999999997</v>
      </c>
      <c r="K153" s="13">
        <v>55</v>
      </c>
      <c r="L153" s="14">
        <v>26417</v>
      </c>
      <c r="M153" s="10">
        <v>14339</v>
      </c>
      <c r="N153" s="10">
        <v>2919124</v>
      </c>
      <c r="O153" s="10">
        <v>1124449</v>
      </c>
      <c r="P153" s="10">
        <v>4043573</v>
      </c>
    </row>
    <row r="154" spans="1:16" ht="27" customHeight="1" x14ac:dyDescent="0.2">
      <c r="A154" s="9" t="s">
        <v>472</v>
      </c>
      <c r="B154" s="10" t="s">
        <v>581</v>
      </c>
      <c r="C154" s="11" t="s">
        <v>583</v>
      </c>
      <c r="D154" s="11" t="s">
        <v>584</v>
      </c>
      <c r="E154" s="11" t="s">
        <v>26</v>
      </c>
      <c r="F154" s="11" t="s">
        <v>585</v>
      </c>
      <c r="G154" s="11" t="s">
        <v>28</v>
      </c>
      <c r="H154" s="11" t="s">
        <v>475</v>
      </c>
      <c r="I154" s="11" t="s">
        <v>476</v>
      </c>
      <c r="J154" s="12">
        <v>0.96099999999999997</v>
      </c>
      <c r="K154" s="13">
        <v>1</v>
      </c>
      <c r="L154" s="14">
        <v>556</v>
      </c>
      <c r="M154" s="10">
        <v>354</v>
      </c>
      <c r="N154" s="10">
        <v>61439</v>
      </c>
      <c r="O154" s="10">
        <v>27760</v>
      </c>
      <c r="P154" s="10">
        <v>89199</v>
      </c>
    </row>
    <row r="155" spans="1:16" ht="27" customHeight="1" x14ac:dyDescent="0.2">
      <c r="A155" s="9" t="s">
        <v>472</v>
      </c>
      <c r="B155" s="10" t="s">
        <v>581</v>
      </c>
      <c r="C155" s="11" t="s">
        <v>586</v>
      </c>
      <c r="D155" s="11" t="s">
        <v>587</v>
      </c>
      <c r="E155" s="11" t="s">
        <v>26</v>
      </c>
      <c r="F155" s="11" t="s">
        <v>588</v>
      </c>
      <c r="G155" s="11" t="s">
        <v>28</v>
      </c>
      <c r="H155" s="11" t="s">
        <v>588</v>
      </c>
      <c r="I155" s="11" t="s">
        <v>589</v>
      </c>
      <c r="J155" s="12">
        <v>0.7278</v>
      </c>
      <c r="K155" s="13">
        <v>1</v>
      </c>
      <c r="L155" s="14">
        <v>562</v>
      </c>
      <c r="M155" s="10">
        <v>409</v>
      </c>
      <c r="N155" s="10">
        <v>62102</v>
      </c>
      <c r="O155" s="10">
        <v>32073</v>
      </c>
      <c r="P155" s="10">
        <v>94175</v>
      </c>
    </row>
    <row r="156" spans="1:16" ht="27" customHeight="1" x14ac:dyDescent="0.2">
      <c r="A156" s="9" t="s">
        <v>472</v>
      </c>
      <c r="B156" s="10" t="s">
        <v>581</v>
      </c>
      <c r="C156" s="11" t="s">
        <v>590</v>
      </c>
      <c r="D156" s="11" t="s">
        <v>591</v>
      </c>
      <c r="E156" s="11" t="s">
        <v>26</v>
      </c>
      <c r="F156" s="11" t="s">
        <v>592</v>
      </c>
      <c r="G156" s="11" t="s">
        <v>28</v>
      </c>
      <c r="H156" s="11" t="s">
        <v>475</v>
      </c>
      <c r="I156" s="11" t="s">
        <v>476</v>
      </c>
      <c r="J156" s="12">
        <v>0.96099999999999997</v>
      </c>
      <c r="K156" s="13">
        <v>1</v>
      </c>
      <c r="L156" s="14">
        <v>324</v>
      </c>
      <c r="M156" s="10">
        <v>255</v>
      </c>
      <c r="N156" s="10">
        <v>35803</v>
      </c>
      <c r="O156" s="10">
        <v>19997</v>
      </c>
      <c r="P156" s="10">
        <v>55800</v>
      </c>
    </row>
    <row r="157" spans="1:16" ht="27" customHeight="1" x14ac:dyDescent="0.2">
      <c r="A157" s="9" t="s">
        <v>472</v>
      </c>
      <c r="B157" s="10" t="s">
        <v>581</v>
      </c>
      <c r="C157" s="11" t="s">
        <v>593</v>
      </c>
      <c r="D157" s="11" t="s">
        <v>594</v>
      </c>
      <c r="E157" s="11" t="s">
        <v>26</v>
      </c>
      <c r="F157" s="11" t="s">
        <v>595</v>
      </c>
      <c r="G157" s="11" t="s">
        <v>28</v>
      </c>
      <c r="H157" s="11" t="s">
        <v>595</v>
      </c>
      <c r="I157" s="11" t="s">
        <v>596</v>
      </c>
      <c r="J157" s="12">
        <v>0.81269999999999998</v>
      </c>
      <c r="K157" s="13">
        <v>1</v>
      </c>
      <c r="L157" s="14">
        <v>502</v>
      </c>
      <c r="M157" s="10">
        <v>408</v>
      </c>
      <c r="N157" s="10">
        <v>55472</v>
      </c>
      <c r="O157" s="10">
        <v>31995</v>
      </c>
      <c r="P157" s="10">
        <v>87467</v>
      </c>
    </row>
    <row r="158" spans="1:16" ht="27" customHeight="1" x14ac:dyDescent="0.2">
      <c r="A158" s="9" t="s">
        <v>472</v>
      </c>
      <c r="B158" s="10" t="s">
        <v>581</v>
      </c>
      <c r="C158" s="11" t="s">
        <v>597</v>
      </c>
      <c r="D158" s="11" t="s">
        <v>598</v>
      </c>
      <c r="E158" s="11" t="s">
        <v>26</v>
      </c>
      <c r="F158" s="11" t="s">
        <v>599</v>
      </c>
      <c r="G158" s="11" t="s">
        <v>28</v>
      </c>
      <c r="H158" s="11" t="s">
        <v>599</v>
      </c>
      <c r="I158" s="11" t="s">
        <v>600</v>
      </c>
      <c r="J158" s="12">
        <v>0.69199999999999995</v>
      </c>
      <c r="K158" s="13">
        <v>1</v>
      </c>
      <c r="L158" s="14">
        <v>591</v>
      </c>
      <c r="M158" s="10">
        <v>409</v>
      </c>
      <c r="N158" s="10">
        <v>65306</v>
      </c>
      <c r="O158" s="10">
        <v>32073</v>
      </c>
      <c r="P158" s="10">
        <v>97379</v>
      </c>
    </row>
    <row r="159" spans="1:16" ht="27" customHeight="1" x14ac:dyDescent="0.2">
      <c r="A159" s="9" t="s">
        <v>472</v>
      </c>
      <c r="B159" s="10" t="s">
        <v>581</v>
      </c>
      <c r="C159" s="11" t="s">
        <v>601</v>
      </c>
      <c r="D159" s="11" t="s">
        <v>602</v>
      </c>
      <c r="E159" s="11" t="s">
        <v>26</v>
      </c>
      <c r="F159" s="11" t="s">
        <v>603</v>
      </c>
      <c r="G159" s="11" t="s">
        <v>28</v>
      </c>
      <c r="H159" s="11" t="s">
        <v>603</v>
      </c>
      <c r="I159" s="11" t="s">
        <v>604</v>
      </c>
      <c r="J159" s="12">
        <v>0.76749999999999996</v>
      </c>
      <c r="K159" s="13">
        <v>1</v>
      </c>
      <c r="L159" s="14">
        <v>542</v>
      </c>
      <c r="M159" s="10">
        <v>416</v>
      </c>
      <c r="N159" s="10">
        <v>59892</v>
      </c>
      <c r="O159" s="10">
        <v>32622</v>
      </c>
      <c r="P159" s="10">
        <v>92514</v>
      </c>
    </row>
    <row r="160" spans="1:16" ht="27" customHeight="1" x14ac:dyDescent="0.2">
      <c r="A160" s="9" t="s">
        <v>472</v>
      </c>
      <c r="B160" s="10" t="s">
        <v>581</v>
      </c>
      <c r="C160" s="11" t="s">
        <v>605</v>
      </c>
      <c r="D160" s="11" t="s">
        <v>606</v>
      </c>
      <c r="E160" s="11" t="s">
        <v>26</v>
      </c>
      <c r="F160" s="11" t="s">
        <v>607</v>
      </c>
      <c r="G160" s="11" t="s">
        <v>28</v>
      </c>
      <c r="H160" s="11" t="s">
        <v>475</v>
      </c>
      <c r="I160" s="11" t="s">
        <v>476</v>
      </c>
      <c r="J160" s="12">
        <v>0.96099999999999997</v>
      </c>
      <c r="K160" s="13">
        <v>1</v>
      </c>
      <c r="L160" s="14">
        <v>613</v>
      </c>
      <c r="M160" s="10">
        <v>395</v>
      </c>
      <c r="N160" s="10">
        <v>67738</v>
      </c>
      <c r="O160" s="10">
        <v>30975</v>
      </c>
      <c r="P160" s="10">
        <v>98713</v>
      </c>
    </row>
    <row r="161" spans="1:16" ht="27" customHeight="1" x14ac:dyDescent="0.2">
      <c r="A161" s="9" t="s">
        <v>472</v>
      </c>
      <c r="B161" s="10" t="s">
        <v>581</v>
      </c>
      <c r="C161" s="11" t="s">
        <v>608</v>
      </c>
      <c r="D161" s="11" t="s">
        <v>609</v>
      </c>
      <c r="E161" s="11" t="s">
        <v>26</v>
      </c>
      <c r="F161" s="11" t="s">
        <v>610</v>
      </c>
      <c r="G161" s="11" t="s">
        <v>28</v>
      </c>
      <c r="H161" s="11" t="s">
        <v>610</v>
      </c>
      <c r="I161" s="11" t="s">
        <v>611</v>
      </c>
      <c r="J161" s="12">
        <v>0.54690000000000005</v>
      </c>
      <c r="K161" s="13">
        <v>1</v>
      </c>
      <c r="L161" s="14">
        <v>245</v>
      </c>
      <c r="M161" s="10">
        <v>134</v>
      </c>
      <c r="N161" s="10">
        <v>27073</v>
      </c>
      <c r="O161" s="10">
        <v>10508</v>
      </c>
      <c r="P161" s="10">
        <v>37581</v>
      </c>
    </row>
    <row r="162" spans="1:16" ht="27" customHeight="1" x14ac:dyDescent="0.2">
      <c r="A162" s="9" t="s">
        <v>472</v>
      </c>
      <c r="B162" s="10" t="s">
        <v>612</v>
      </c>
      <c r="C162" s="11" t="s">
        <v>18</v>
      </c>
      <c r="D162" s="11" t="s">
        <v>19</v>
      </c>
      <c r="E162" s="11" t="s">
        <v>19</v>
      </c>
      <c r="F162" s="11" t="s">
        <v>613</v>
      </c>
      <c r="G162" s="11" t="s">
        <v>83</v>
      </c>
      <c r="H162" s="11" t="s">
        <v>614</v>
      </c>
      <c r="I162" s="11" t="s">
        <v>615</v>
      </c>
      <c r="J162" s="12">
        <v>0.14399999999999999</v>
      </c>
      <c r="K162" s="13">
        <v>38</v>
      </c>
      <c r="L162" s="14">
        <v>29796</v>
      </c>
      <c r="M162" s="10">
        <v>2096</v>
      </c>
      <c r="N162" s="10">
        <v>3292506</v>
      </c>
      <c r="O162" s="10">
        <v>164367</v>
      </c>
      <c r="P162" s="10">
        <v>3456873</v>
      </c>
    </row>
    <row r="163" spans="1:16" ht="27" customHeight="1" x14ac:dyDescent="0.2">
      <c r="A163" s="9" t="s">
        <v>472</v>
      </c>
      <c r="B163" s="10" t="s">
        <v>616</v>
      </c>
      <c r="C163" s="11" t="s">
        <v>18</v>
      </c>
      <c r="D163" s="11" t="s">
        <v>19</v>
      </c>
      <c r="E163" s="11" t="s">
        <v>19</v>
      </c>
      <c r="F163" s="11" t="s">
        <v>617</v>
      </c>
      <c r="G163" s="11" t="s">
        <v>83</v>
      </c>
      <c r="H163" s="11" t="s">
        <v>618</v>
      </c>
      <c r="I163" s="11" t="s">
        <v>619</v>
      </c>
      <c r="J163" s="12">
        <v>0.1777</v>
      </c>
      <c r="K163" s="13">
        <v>8</v>
      </c>
      <c r="L163" s="14">
        <v>3456</v>
      </c>
      <c r="M163" s="10">
        <v>443</v>
      </c>
      <c r="N163" s="10">
        <v>381894</v>
      </c>
      <c r="O163" s="10">
        <v>34739</v>
      </c>
      <c r="P163" s="10">
        <v>416633</v>
      </c>
    </row>
    <row r="164" spans="1:16" ht="27" customHeight="1" x14ac:dyDescent="0.2">
      <c r="A164" s="9" t="s">
        <v>472</v>
      </c>
      <c r="B164" s="10" t="s">
        <v>620</v>
      </c>
      <c r="C164" s="11" t="s">
        <v>621</v>
      </c>
      <c r="D164" s="11" t="s">
        <v>622</v>
      </c>
      <c r="E164" s="11" t="s">
        <v>26</v>
      </c>
      <c r="F164" s="11" t="s">
        <v>623</v>
      </c>
      <c r="G164" s="11" t="s">
        <v>28</v>
      </c>
      <c r="H164" s="11" t="s">
        <v>475</v>
      </c>
      <c r="I164" s="11" t="s">
        <v>476</v>
      </c>
      <c r="J164" s="12">
        <v>0.96099999999999997</v>
      </c>
      <c r="K164" s="13">
        <v>1</v>
      </c>
      <c r="L164" s="14">
        <v>331</v>
      </c>
      <c r="M164" s="10">
        <v>258</v>
      </c>
      <c r="N164" s="10">
        <v>36576</v>
      </c>
      <c r="O164" s="10">
        <v>20232</v>
      </c>
      <c r="P164" s="10">
        <v>56808</v>
      </c>
    </row>
    <row r="165" spans="1:16" ht="27" customHeight="1" x14ac:dyDescent="0.2">
      <c r="A165" s="9" t="s">
        <v>624</v>
      </c>
      <c r="B165" s="10" t="s">
        <v>625</v>
      </c>
      <c r="C165" s="11" t="s">
        <v>18</v>
      </c>
      <c r="D165" s="11" t="s">
        <v>19</v>
      </c>
      <c r="E165" s="11" t="s">
        <v>19</v>
      </c>
      <c r="F165" s="11" t="s">
        <v>626</v>
      </c>
      <c r="G165" s="11" t="s">
        <v>21</v>
      </c>
      <c r="H165" s="11" t="s">
        <v>627</v>
      </c>
      <c r="I165" s="11" t="s">
        <v>628</v>
      </c>
      <c r="J165" s="12">
        <v>0.81699999999999995</v>
      </c>
      <c r="K165" s="13">
        <v>3</v>
      </c>
      <c r="L165" s="14">
        <v>29</v>
      </c>
      <c r="M165" s="10">
        <v>27</v>
      </c>
      <c r="N165" s="10">
        <v>3205</v>
      </c>
      <c r="O165" s="10">
        <v>2117</v>
      </c>
      <c r="P165" s="10">
        <v>5322</v>
      </c>
    </row>
    <row r="166" spans="1:16" ht="27" customHeight="1" x14ac:dyDescent="0.2">
      <c r="A166" s="9" t="s">
        <v>624</v>
      </c>
      <c r="B166" s="10" t="s">
        <v>625</v>
      </c>
      <c r="C166" s="11" t="s">
        <v>629</v>
      </c>
      <c r="D166" s="11" t="s">
        <v>630</v>
      </c>
      <c r="E166" s="11" t="s">
        <v>57</v>
      </c>
      <c r="F166" s="11" t="s">
        <v>631</v>
      </c>
      <c r="G166" s="11" t="s">
        <v>28</v>
      </c>
      <c r="H166" s="11" t="s">
        <v>631</v>
      </c>
      <c r="I166" s="11" t="s">
        <v>632</v>
      </c>
      <c r="J166" s="12">
        <v>0.6895</v>
      </c>
      <c r="K166" s="13">
        <v>1</v>
      </c>
      <c r="L166" s="14">
        <v>351</v>
      </c>
      <c r="M166" s="10">
        <v>242</v>
      </c>
      <c r="N166" s="10">
        <v>38786</v>
      </c>
      <c r="O166" s="10">
        <v>18977</v>
      </c>
      <c r="P166" s="10">
        <v>57763</v>
      </c>
    </row>
    <row r="167" spans="1:16" ht="27" customHeight="1" x14ac:dyDescent="0.2">
      <c r="A167" s="9" t="s">
        <v>624</v>
      </c>
      <c r="B167" s="10" t="s">
        <v>633</v>
      </c>
      <c r="C167" s="11" t="s">
        <v>18</v>
      </c>
      <c r="D167" s="11" t="s">
        <v>19</v>
      </c>
      <c r="E167" s="11" t="s">
        <v>19</v>
      </c>
      <c r="F167" s="11" t="s">
        <v>634</v>
      </c>
      <c r="G167" s="11" t="s">
        <v>83</v>
      </c>
      <c r="H167" s="11" t="s">
        <v>627</v>
      </c>
      <c r="I167" s="11" t="s">
        <v>628</v>
      </c>
      <c r="J167" s="12">
        <v>0.81699999999999995</v>
      </c>
      <c r="K167" s="13">
        <v>12</v>
      </c>
      <c r="L167" s="14">
        <v>3693</v>
      </c>
      <c r="M167" s="10">
        <v>2485</v>
      </c>
      <c r="N167" s="10">
        <v>408084</v>
      </c>
      <c r="O167" s="10">
        <v>194871</v>
      </c>
      <c r="P167" s="10">
        <v>602955</v>
      </c>
    </row>
    <row r="168" spans="1:16" ht="27" customHeight="1" x14ac:dyDescent="0.2">
      <c r="A168" s="9" t="s">
        <v>624</v>
      </c>
      <c r="B168" s="10" t="s">
        <v>633</v>
      </c>
      <c r="C168" s="11" t="s">
        <v>635</v>
      </c>
      <c r="D168" s="11" t="s">
        <v>636</v>
      </c>
      <c r="E168" s="11" t="s">
        <v>26</v>
      </c>
      <c r="F168" s="11" t="s">
        <v>637</v>
      </c>
      <c r="G168" s="11" t="s">
        <v>28</v>
      </c>
      <c r="H168" s="11" t="s">
        <v>637</v>
      </c>
      <c r="I168" s="11" t="s">
        <v>638</v>
      </c>
      <c r="J168" s="12">
        <v>0.51449999999999996</v>
      </c>
      <c r="K168" s="13">
        <v>1</v>
      </c>
      <c r="L168" s="14">
        <v>276</v>
      </c>
      <c r="M168" s="10">
        <v>142</v>
      </c>
      <c r="N168" s="10">
        <v>30498</v>
      </c>
      <c r="O168" s="10">
        <v>11135</v>
      </c>
      <c r="P168" s="10">
        <v>41633</v>
      </c>
    </row>
    <row r="169" spans="1:16" ht="27" customHeight="1" x14ac:dyDescent="0.2">
      <c r="A169" s="9" t="s">
        <v>639</v>
      </c>
      <c r="B169" s="10" t="s">
        <v>640</v>
      </c>
      <c r="C169" s="11" t="s">
        <v>18</v>
      </c>
      <c r="D169" s="11" t="s">
        <v>19</v>
      </c>
      <c r="E169" s="11" t="s">
        <v>19</v>
      </c>
      <c r="F169" s="11" t="s">
        <v>641</v>
      </c>
      <c r="G169" s="11" t="s">
        <v>21</v>
      </c>
      <c r="H169" s="11" t="s">
        <v>642</v>
      </c>
      <c r="I169" s="11" t="s">
        <v>643</v>
      </c>
      <c r="J169" s="12">
        <v>0.66669999999999996</v>
      </c>
      <c r="K169" s="13">
        <v>4</v>
      </c>
      <c r="L169" s="14">
        <v>588</v>
      </c>
      <c r="M169" s="10">
        <v>315</v>
      </c>
      <c r="N169" s="10">
        <v>64975</v>
      </c>
      <c r="O169" s="10">
        <v>24702</v>
      </c>
      <c r="P169" s="10">
        <v>89677</v>
      </c>
    </row>
    <row r="170" spans="1:16" ht="27" customHeight="1" x14ac:dyDescent="0.2">
      <c r="A170" s="9" t="s">
        <v>639</v>
      </c>
      <c r="B170" s="10" t="s">
        <v>640</v>
      </c>
      <c r="C170" s="11" t="s">
        <v>644</v>
      </c>
      <c r="D170" s="11" t="s">
        <v>645</v>
      </c>
      <c r="E170" s="11" t="s">
        <v>57</v>
      </c>
      <c r="F170" s="11" t="s">
        <v>646</v>
      </c>
      <c r="G170" s="11" t="s">
        <v>28</v>
      </c>
      <c r="H170" s="11" t="s">
        <v>642</v>
      </c>
      <c r="I170" s="11" t="s">
        <v>643</v>
      </c>
      <c r="J170" s="12">
        <v>0.66669999999999996</v>
      </c>
      <c r="K170" s="13">
        <v>1</v>
      </c>
      <c r="L170" s="14">
        <v>223</v>
      </c>
      <c r="M170" s="10">
        <v>67</v>
      </c>
      <c r="N170" s="10">
        <v>24642</v>
      </c>
      <c r="O170" s="10">
        <v>5254</v>
      </c>
      <c r="P170" s="10">
        <v>29896</v>
      </c>
    </row>
    <row r="171" spans="1:16" ht="27" customHeight="1" x14ac:dyDescent="0.2">
      <c r="A171" s="9" t="s">
        <v>639</v>
      </c>
      <c r="B171" s="10" t="s">
        <v>640</v>
      </c>
      <c r="C171" s="11" t="s">
        <v>647</v>
      </c>
      <c r="D171" s="11" t="s">
        <v>648</v>
      </c>
      <c r="E171" s="11" t="s">
        <v>26</v>
      </c>
      <c r="F171" s="11" t="s">
        <v>649</v>
      </c>
      <c r="G171" s="11" t="s">
        <v>28</v>
      </c>
      <c r="H171" s="11" t="s">
        <v>649</v>
      </c>
      <c r="I171" s="11" t="s">
        <v>650</v>
      </c>
      <c r="J171" s="12">
        <v>0.14460000000000001</v>
      </c>
      <c r="K171" s="13">
        <v>1</v>
      </c>
      <c r="L171" s="14">
        <v>1217</v>
      </c>
      <c r="M171" s="10">
        <v>176</v>
      </c>
      <c r="N171" s="10">
        <v>134481</v>
      </c>
      <c r="O171" s="10">
        <v>13802</v>
      </c>
      <c r="P171" s="10">
        <v>148283</v>
      </c>
    </row>
    <row r="172" spans="1:16" ht="27" customHeight="1" x14ac:dyDescent="0.2">
      <c r="A172" s="9" t="s">
        <v>639</v>
      </c>
      <c r="B172" s="10" t="s">
        <v>640</v>
      </c>
      <c r="C172" s="11" t="s">
        <v>651</v>
      </c>
      <c r="D172" s="11" t="s">
        <v>652</v>
      </c>
      <c r="E172" s="11" t="s">
        <v>57</v>
      </c>
      <c r="F172" s="11" t="s">
        <v>653</v>
      </c>
      <c r="G172" s="11" t="s">
        <v>28</v>
      </c>
      <c r="H172" s="11" t="s">
        <v>642</v>
      </c>
      <c r="I172" s="11" t="s">
        <v>643</v>
      </c>
      <c r="J172" s="12">
        <v>0.66669999999999996</v>
      </c>
      <c r="K172" s="13">
        <v>1</v>
      </c>
      <c r="L172" s="14">
        <v>347</v>
      </c>
      <c r="M172" s="10">
        <v>125</v>
      </c>
      <c r="N172" s="10">
        <v>38344</v>
      </c>
      <c r="O172" s="10">
        <v>9802</v>
      </c>
      <c r="P172" s="10">
        <v>48146</v>
      </c>
    </row>
    <row r="173" spans="1:16" ht="27" customHeight="1" x14ac:dyDescent="0.2">
      <c r="A173" s="9" t="s">
        <v>639</v>
      </c>
      <c r="B173" s="10" t="s">
        <v>640</v>
      </c>
      <c r="C173" s="11" t="s">
        <v>654</v>
      </c>
      <c r="D173" s="11" t="s">
        <v>655</v>
      </c>
      <c r="E173" s="11" t="s">
        <v>57</v>
      </c>
      <c r="F173" s="11" t="s">
        <v>656</v>
      </c>
      <c r="G173" s="11" t="s">
        <v>28</v>
      </c>
      <c r="H173" s="11" t="s">
        <v>642</v>
      </c>
      <c r="I173" s="11" t="s">
        <v>643</v>
      </c>
      <c r="J173" s="12">
        <v>0.66669999999999996</v>
      </c>
      <c r="K173" s="13">
        <v>1</v>
      </c>
      <c r="L173" s="14">
        <v>27</v>
      </c>
      <c r="M173" s="10">
        <v>27</v>
      </c>
      <c r="N173" s="10">
        <v>2984</v>
      </c>
      <c r="O173" s="10">
        <v>2117</v>
      </c>
      <c r="P173" s="10">
        <v>5101</v>
      </c>
    </row>
    <row r="174" spans="1:16" ht="27" customHeight="1" x14ac:dyDescent="0.2">
      <c r="A174" s="9" t="s">
        <v>639</v>
      </c>
      <c r="B174" s="10" t="s">
        <v>657</v>
      </c>
      <c r="C174" s="11" t="s">
        <v>18</v>
      </c>
      <c r="D174" s="11" t="s">
        <v>19</v>
      </c>
      <c r="E174" s="11" t="s">
        <v>19</v>
      </c>
      <c r="F174" s="11" t="s">
        <v>658</v>
      </c>
      <c r="G174" s="11" t="s">
        <v>83</v>
      </c>
      <c r="H174" s="11" t="s">
        <v>659</v>
      </c>
      <c r="I174" s="11" t="s">
        <v>660</v>
      </c>
      <c r="J174" s="12">
        <v>0.42309999999999998</v>
      </c>
      <c r="K174" s="13">
        <v>8</v>
      </c>
      <c r="L174" s="14">
        <v>3453</v>
      </c>
      <c r="M174" s="10">
        <v>656</v>
      </c>
      <c r="N174" s="10">
        <v>381562</v>
      </c>
      <c r="O174" s="10">
        <v>51444</v>
      </c>
      <c r="P174" s="10">
        <v>433006</v>
      </c>
    </row>
    <row r="175" spans="1:16" ht="27" customHeight="1" x14ac:dyDescent="0.2">
      <c r="A175" s="9" t="s">
        <v>639</v>
      </c>
      <c r="B175" s="10" t="s">
        <v>657</v>
      </c>
      <c r="C175" s="11" t="s">
        <v>661</v>
      </c>
      <c r="D175" s="11" t="s">
        <v>662</v>
      </c>
      <c r="E175" s="11" t="s">
        <v>57</v>
      </c>
      <c r="F175" s="11" t="s">
        <v>663</v>
      </c>
      <c r="G175" s="11" t="s">
        <v>28</v>
      </c>
      <c r="H175" s="11" t="s">
        <v>663</v>
      </c>
      <c r="I175" s="11" t="s">
        <v>664</v>
      </c>
      <c r="J175" s="12">
        <v>0.16139999999999999</v>
      </c>
      <c r="K175" s="13">
        <v>1</v>
      </c>
      <c r="L175" s="14">
        <v>694</v>
      </c>
      <c r="M175" s="10">
        <v>112</v>
      </c>
      <c r="N175" s="10">
        <v>76688</v>
      </c>
      <c r="O175" s="10">
        <v>8783</v>
      </c>
      <c r="P175" s="10">
        <v>85471</v>
      </c>
    </row>
    <row r="176" spans="1:16" ht="27" customHeight="1" x14ac:dyDescent="0.2">
      <c r="A176" s="9" t="s">
        <v>639</v>
      </c>
      <c r="B176" s="10" t="s">
        <v>657</v>
      </c>
      <c r="C176" s="11" t="s">
        <v>665</v>
      </c>
      <c r="D176" s="11" t="s">
        <v>666</v>
      </c>
      <c r="E176" s="11" t="s">
        <v>26</v>
      </c>
      <c r="F176" s="11" t="s">
        <v>667</v>
      </c>
      <c r="G176" s="11" t="s">
        <v>28</v>
      </c>
      <c r="H176" s="11" t="s">
        <v>667</v>
      </c>
      <c r="I176" s="11" t="s">
        <v>668</v>
      </c>
      <c r="J176" s="12">
        <v>0.11459999999999999</v>
      </c>
      <c r="K176" s="13">
        <v>1</v>
      </c>
      <c r="L176" s="14">
        <v>515</v>
      </c>
      <c r="M176" s="10">
        <v>59</v>
      </c>
      <c r="N176" s="10">
        <v>56908</v>
      </c>
      <c r="O176" s="10">
        <v>4627</v>
      </c>
      <c r="P176" s="10">
        <v>61535</v>
      </c>
    </row>
    <row r="177" spans="1:16" ht="27" customHeight="1" x14ac:dyDescent="0.2">
      <c r="A177" s="9" t="s">
        <v>639</v>
      </c>
      <c r="B177" s="10" t="s">
        <v>657</v>
      </c>
      <c r="C177" s="11" t="s">
        <v>669</v>
      </c>
      <c r="D177" s="11" t="s">
        <v>670</v>
      </c>
      <c r="E177" s="11" t="s">
        <v>26</v>
      </c>
      <c r="F177" s="11" t="s">
        <v>671</v>
      </c>
      <c r="G177" s="11" t="s">
        <v>28</v>
      </c>
      <c r="H177" s="11" t="s">
        <v>671</v>
      </c>
      <c r="I177" s="11" t="s">
        <v>672</v>
      </c>
      <c r="J177" s="12">
        <v>0.31109999999999999</v>
      </c>
      <c r="K177" s="13">
        <v>1</v>
      </c>
      <c r="L177" s="14">
        <v>135</v>
      </c>
      <c r="M177" s="10">
        <v>42</v>
      </c>
      <c r="N177" s="10">
        <v>14918</v>
      </c>
      <c r="O177" s="10">
        <v>3294</v>
      </c>
      <c r="P177" s="10">
        <v>18212</v>
      </c>
    </row>
    <row r="178" spans="1:16" ht="27" customHeight="1" x14ac:dyDescent="0.2">
      <c r="A178" s="9" t="s">
        <v>639</v>
      </c>
      <c r="B178" s="10" t="s">
        <v>657</v>
      </c>
      <c r="C178" s="11" t="s">
        <v>673</v>
      </c>
      <c r="D178" s="11" t="s">
        <v>674</v>
      </c>
      <c r="E178" s="11" t="s">
        <v>26</v>
      </c>
      <c r="F178" s="11" t="s">
        <v>675</v>
      </c>
      <c r="G178" s="11" t="s">
        <v>28</v>
      </c>
      <c r="H178" s="11" t="s">
        <v>675</v>
      </c>
      <c r="I178" s="11" t="s">
        <v>676</v>
      </c>
      <c r="J178" s="12">
        <v>0.35</v>
      </c>
      <c r="K178" s="13">
        <v>1</v>
      </c>
      <c r="L178" s="14">
        <v>1937</v>
      </c>
      <c r="M178" s="10">
        <v>678</v>
      </c>
      <c r="N178" s="10">
        <v>214042</v>
      </c>
      <c r="O178" s="10">
        <v>53168</v>
      </c>
      <c r="P178" s="10">
        <v>267210</v>
      </c>
    </row>
    <row r="179" spans="1:16" ht="27" customHeight="1" x14ac:dyDescent="0.2">
      <c r="A179" s="9" t="s">
        <v>639</v>
      </c>
      <c r="B179" s="10" t="s">
        <v>657</v>
      </c>
      <c r="C179" s="11" t="s">
        <v>677</v>
      </c>
      <c r="D179" s="11" t="s">
        <v>678</v>
      </c>
      <c r="E179" s="11" t="s">
        <v>57</v>
      </c>
      <c r="F179" s="11" t="s">
        <v>679</v>
      </c>
      <c r="G179" s="11" t="s">
        <v>28</v>
      </c>
      <c r="H179" s="11" t="s">
        <v>679</v>
      </c>
      <c r="I179" s="11" t="s">
        <v>680</v>
      </c>
      <c r="J179" s="12">
        <v>0.1371</v>
      </c>
      <c r="K179" s="13">
        <v>1</v>
      </c>
      <c r="L179" s="14">
        <v>124</v>
      </c>
      <c r="M179" s="10">
        <v>17</v>
      </c>
      <c r="N179" s="10">
        <v>13702</v>
      </c>
      <c r="O179" s="10">
        <v>1333</v>
      </c>
      <c r="P179" s="10">
        <v>15035</v>
      </c>
    </row>
    <row r="180" spans="1:16" ht="27" customHeight="1" x14ac:dyDescent="0.2">
      <c r="A180" s="9" t="s">
        <v>639</v>
      </c>
      <c r="B180" s="10" t="s">
        <v>657</v>
      </c>
      <c r="C180" s="11" t="s">
        <v>681</v>
      </c>
      <c r="D180" s="11" t="s">
        <v>682</v>
      </c>
      <c r="E180" s="11" t="s">
        <v>26</v>
      </c>
      <c r="F180" s="11" t="s">
        <v>683</v>
      </c>
      <c r="G180" s="11" t="s">
        <v>28</v>
      </c>
      <c r="H180" s="11" t="s">
        <v>683</v>
      </c>
      <c r="I180" s="11" t="s">
        <v>684</v>
      </c>
      <c r="J180" s="12">
        <v>0.49390000000000001</v>
      </c>
      <c r="K180" s="13">
        <v>1</v>
      </c>
      <c r="L180" s="14">
        <v>2798</v>
      </c>
      <c r="M180" s="10">
        <v>1382</v>
      </c>
      <c r="N180" s="10">
        <v>309184</v>
      </c>
      <c r="O180" s="10">
        <v>108375</v>
      </c>
      <c r="P180" s="10">
        <v>417559</v>
      </c>
    </row>
    <row r="181" spans="1:16" ht="27" customHeight="1" x14ac:dyDescent="0.2">
      <c r="A181" s="9" t="s">
        <v>639</v>
      </c>
      <c r="B181" s="10" t="s">
        <v>685</v>
      </c>
      <c r="C181" s="11" t="s">
        <v>18</v>
      </c>
      <c r="D181" s="11" t="s">
        <v>19</v>
      </c>
      <c r="E181" s="11" t="s">
        <v>19</v>
      </c>
      <c r="F181" s="11" t="s">
        <v>686</v>
      </c>
      <c r="G181" s="11" t="s">
        <v>83</v>
      </c>
      <c r="H181" s="11" t="s">
        <v>687</v>
      </c>
      <c r="I181" s="11" t="s">
        <v>688</v>
      </c>
      <c r="J181" s="12">
        <v>0.46839999999999998</v>
      </c>
      <c r="K181" s="13">
        <v>2</v>
      </c>
      <c r="L181" s="14">
        <v>412</v>
      </c>
      <c r="M181" s="10">
        <v>193</v>
      </c>
      <c r="N181" s="10">
        <v>45527</v>
      </c>
      <c r="O181" s="10">
        <v>15135</v>
      </c>
      <c r="P181" s="10">
        <v>60662</v>
      </c>
    </row>
    <row r="182" spans="1:16" ht="27" customHeight="1" x14ac:dyDescent="0.2">
      <c r="A182" s="9" t="s">
        <v>639</v>
      </c>
      <c r="B182" s="10" t="s">
        <v>685</v>
      </c>
      <c r="C182" s="11" t="s">
        <v>689</v>
      </c>
      <c r="D182" s="11" t="s">
        <v>690</v>
      </c>
      <c r="E182" s="11" t="s">
        <v>26</v>
      </c>
      <c r="F182" s="11" t="s">
        <v>691</v>
      </c>
      <c r="G182" s="11" t="s">
        <v>28</v>
      </c>
      <c r="H182" s="11" t="s">
        <v>691</v>
      </c>
      <c r="I182" s="11" t="s">
        <v>692</v>
      </c>
      <c r="J182" s="12">
        <v>0.375</v>
      </c>
      <c r="K182" s="13">
        <v>1</v>
      </c>
      <c r="L182" s="14">
        <v>16</v>
      </c>
      <c r="M182" s="10">
        <v>6</v>
      </c>
      <c r="N182" s="10">
        <v>1768</v>
      </c>
      <c r="O182" s="10">
        <v>471</v>
      </c>
      <c r="P182" s="10">
        <v>2239</v>
      </c>
    </row>
    <row r="183" spans="1:16" ht="27" customHeight="1" x14ac:dyDescent="0.2">
      <c r="A183" s="9" t="s">
        <v>639</v>
      </c>
      <c r="B183" s="10" t="s">
        <v>693</v>
      </c>
      <c r="C183" s="11" t="s">
        <v>18</v>
      </c>
      <c r="D183" s="11" t="s">
        <v>19</v>
      </c>
      <c r="E183" s="11" t="s">
        <v>19</v>
      </c>
      <c r="F183" s="11" t="s">
        <v>694</v>
      </c>
      <c r="G183" s="11" t="s">
        <v>83</v>
      </c>
      <c r="H183" s="11" t="s">
        <v>642</v>
      </c>
      <c r="I183" s="11" t="s">
        <v>643</v>
      </c>
      <c r="J183" s="12">
        <v>0.66669999999999996</v>
      </c>
      <c r="K183" s="13">
        <v>6</v>
      </c>
      <c r="L183" s="14">
        <v>6580</v>
      </c>
      <c r="M183" s="10">
        <v>1303</v>
      </c>
      <c r="N183" s="10">
        <v>727101</v>
      </c>
      <c r="O183" s="10">
        <v>102179</v>
      </c>
      <c r="P183" s="10">
        <v>829280</v>
      </c>
    </row>
    <row r="184" spans="1:16" ht="27" customHeight="1" x14ac:dyDescent="0.2">
      <c r="A184" s="9" t="s">
        <v>639</v>
      </c>
      <c r="B184" s="10" t="s">
        <v>693</v>
      </c>
      <c r="C184" s="11" t="s">
        <v>695</v>
      </c>
      <c r="D184" s="11" t="s">
        <v>696</v>
      </c>
      <c r="E184" s="11" t="s">
        <v>57</v>
      </c>
      <c r="F184" s="11" t="s">
        <v>697</v>
      </c>
      <c r="G184" s="11" t="s">
        <v>28</v>
      </c>
      <c r="H184" s="11" t="s">
        <v>642</v>
      </c>
      <c r="I184" s="11" t="s">
        <v>643</v>
      </c>
      <c r="J184" s="12">
        <v>0.66669999999999996</v>
      </c>
      <c r="K184" s="13">
        <v>1</v>
      </c>
      <c r="L184" s="14">
        <v>100</v>
      </c>
      <c r="M184" s="10">
        <v>17</v>
      </c>
      <c r="N184" s="10">
        <v>11050</v>
      </c>
      <c r="O184" s="10">
        <v>1333</v>
      </c>
      <c r="P184" s="10">
        <v>12383</v>
      </c>
    </row>
    <row r="185" spans="1:16" ht="27" customHeight="1" x14ac:dyDescent="0.2">
      <c r="A185" s="9" t="s">
        <v>639</v>
      </c>
      <c r="B185" s="10" t="s">
        <v>698</v>
      </c>
      <c r="C185" s="11" t="s">
        <v>18</v>
      </c>
      <c r="D185" s="11" t="s">
        <v>19</v>
      </c>
      <c r="E185" s="11" t="s">
        <v>19</v>
      </c>
      <c r="F185" s="11" t="s">
        <v>699</v>
      </c>
      <c r="G185" s="11" t="s">
        <v>83</v>
      </c>
      <c r="H185" s="11" t="s">
        <v>700</v>
      </c>
      <c r="I185" s="11" t="s">
        <v>701</v>
      </c>
      <c r="J185" s="12">
        <v>0.39229999999999998</v>
      </c>
      <c r="K185" s="13">
        <v>3</v>
      </c>
      <c r="L185" s="14">
        <v>466</v>
      </c>
      <c r="M185" s="10">
        <v>183</v>
      </c>
      <c r="N185" s="10">
        <v>51494</v>
      </c>
      <c r="O185" s="10">
        <v>14351</v>
      </c>
      <c r="P185" s="10">
        <v>65845</v>
      </c>
    </row>
    <row r="186" spans="1:16" ht="27" customHeight="1" x14ac:dyDescent="0.2">
      <c r="A186" s="9" t="s">
        <v>639</v>
      </c>
      <c r="B186" s="10" t="s">
        <v>702</v>
      </c>
      <c r="C186" s="11" t="s">
        <v>18</v>
      </c>
      <c r="D186" s="11" t="s">
        <v>19</v>
      </c>
      <c r="E186" s="11" t="s">
        <v>19</v>
      </c>
      <c r="F186" s="11" t="s">
        <v>703</v>
      </c>
      <c r="G186" s="11" t="s">
        <v>83</v>
      </c>
      <c r="H186" s="11" t="s">
        <v>704</v>
      </c>
      <c r="I186" s="11" t="s">
        <v>705</v>
      </c>
      <c r="J186" s="12">
        <v>0.29499999999999998</v>
      </c>
      <c r="K186" s="13">
        <v>3</v>
      </c>
      <c r="L186" s="14">
        <v>520</v>
      </c>
      <c r="M186" s="10">
        <v>150</v>
      </c>
      <c r="N186" s="10">
        <v>57460</v>
      </c>
      <c r="O186" s="10">
        <v>11762</v>
      </c>
      <c r="P186" s="10">
        <v>69222</v>
      </c>
    </row>
    <row r="187" spans="1:16" ht="27" customHeight="1" x14ac:dyDescent="0.2">
      <c r="A187" s="9" t="s">
        <v>639</v>
      </c>
      <c r="B187" s="10" t="s">
        <v>706</v>
      </c>
      <c r="C187" s="11" t="s">
        <v>18</v>
      </c>
      <c r="D187" s="11" t="s">
        <v>19</v>
      </c>
      <c r="E187" s="11" t="s">
        <v>19</v>
      </c>
      <c r="F187" s="11" t="s">
        <v>707</v>
      </c>
      <c r="G187" s="11" t="s">
        <v>83</v>
      </c>
      <c r="H187" s="11" t="s">
        <v>707</v>
      </c>
      <c r="I187" s="11" t="s">
        <v>708</v>
      </c>
      <c r="J187" s="12">
        <v>0.3</v>
      </c>
      <c r="K187" s="13">
        <v>2</v>
      </c>
      <c r="L187" s="14">
        <v>10</v>
      </c>
      <c r="M187" s="10">
        <v>3</v>
      </c>
      <c r="N187" s="10">
        <v>1105</v>
      </c>
      <c r="O187" s="10">
        <v>235</v>
      </c>
      <c r="P187" s="10">
        <v>1340</v>
      </c>
    </row>
    <row r="188" spans="1:16" ht="27" customHeight="1" x14ac:dyDescent="0.2">
      <c r="A188" s="9" t="s">
        <v>639</v>
      </c>
      <c r="B188" s="10" t="s">
        <v>709</v>
      </c>
      <c r="C188" s="11" t="s">
        <v>18</v>
      </c>
      <c r="D188" s="11" t="s">
        <v>19</v>
      </c>
      <c r="E188" s="11" t="s">
        <v>19</v>
      </c>
      <c r="F188" s="11" t="s">
        <v>710</v>
      </c>
      <c r="G188" s="11" t="s">
        <v>83</v>
      </c>
      <c r="H188" s="11" t="s">
        <v>711</v>
      </c>
      <c r="I188" s="11" t="s">
        <v>712</v>
      </c>
      <c r="J188" s="12">
        <v>0.56759999999999999</v>
      </c>
      <c r="K188" s="13">
        <v>9</v>
      </c>
      <c r="L188" s="14">
        <v>3678</v>
      </c>
      <c r="M188" s="10">
        <v>1729</v>
      </c>
      <c r="N188" s="10">
        <v>406426</v>
      </c>
      <c r="O188" s="10">
        <v>135587</v>
      </c>
      <c r="P188" s="10">
        <v>542013</v>
      </c>
    </row>
    <row r="189" spans="1:16" ht="27" customHeight="1" x14ac:dyDescent="0.2">
      <c r="A189" s="9" t="s">
        <v>639</v>
      </c>
      <c r="B189" s="10" t="s">
        <v>713</v>
      </c>
      <c r="C189" s="11" t="s">
        <v>18</v>
      </c>
      <c r="D189" s="11" t="s">
        <v>19</v>
      </c>
      <c r="E189" s="11" t="s">
        <v>19</v>
      </c>
      <c r="F189" s="11" t="s">
        <v>714</v>
      </c>
      <c r="G189" s="11" t="s">
        <v>83</v>
      </c>
      <c r="H189" s="11" t="s">
        <v>715</v>
      </c>
      <c r="I189" s="11" t="s">
        <v>716</v>
      </c>
      <c r="J189" s="12">
        <v>0.16919999999999999</v>
      </c>
      <c r="K189" s="13">
        <v>3</v>
      </c>
      <c r="L189" s="14">
        <v>161</v>
      </c>
      <c r="M189" s="10">
        <v>22</v>
      </c>
      <c r="N189" s="10">
        <v>17791</v>
      </c>
      <c r="O189" s="10">
        <v>1726</v>
      </c>
      <c r="P189" s="10">
        <v>19517</v>
      </c>
    </row>
    <row r="190" spans="1:16" ht="27" customHeight="1" x14ac:dyDescent="0.2">
      <c r="A190" s="9" t="s">
        <v>639</v>
      </c>
      <c r="B190" s="10" t="s">
        <v>717</v>
      </c>
      <c r="C190" s="11" t="s">
        <v>18</v>
      </c>
      <c r="D190" s="11" t="s">
        <v>19</v>
      </c>
      <c r="E190" s="11" t="s">
        <v>19</v>
      </c>
      <c r="F190" s="11" t="s">
        <v>718</v>
      </c>
      <c r="G190" s="11" t="s">
        <v>83</v>
      </c>
      <c r="H190" s="11" t="s">
        <v>719</v>
      </c>
      <c r="I190" s="11" t="s">
        <v>720</v>
      </c>
      <c r="J190" s="12">
        <v>0.50429999999999997</v>
      </c>
      <c r="K190" s="13">
        <v>4</v>
      </c>
      <c r="L190" s="14">
        <v>840</v>
      </c>
      <c r="M190" s="10">
        <v>418</v>
      </c>
      <c r="N190" s="10">
        <v>92822</v>
      </c>
      <c r="O190" s="10">
        <v>32779</v>
      </c>
      <c r="P190" s="10">
        <v>125601</v>
      </c>
    </row>
    <row r="191" spans="1:16" ht="27" customHeight="1" x14ac:dyDescent="0.2">
      <c r="A191" s="9" t="s">
        <v>639</v>
      </c>
      <c r="B191" s="10" t="s">
        <v>721</v>
      </c>
      <c r="C191" s="11" t="s">
        <v>18</v>
      </c>
      <c r="D191" s="11" t="s">
        <v>19</v>
      </c>
      <c r="E191" s="11" t="s">
        <v>19</v>
      </c>
      <c r="F191" s="11" t="s">
        <v>427</v>
      </c>
      <c r="G191" s="11" t="s">
        <v>83</v>
      </c>
      <c r="H191" s="11" t="s">
        <v>642</v>
      </c>
      <c r="I191" s="11" t="s">
        <v>643</v>
      </c>
      <c r="J191" s="12">
        <v>0.66669999999999996</v>
      </c>
      <c r="K191" s="13">
        <v>4</v>
      </c>
      <c r="L191" s="14">
        <v>289</v>
      </c>
      <c r="M191" s="10">
        <v>144</v>
      </c>
      <c r="N191" s="10">
        <v>31935</v>
      </c>
      <c r="O191" s="10">
        <v>11293</v>
      </c>
      <c r="P191" s="10">
        <v>43228</v>
      </c>
    </row>
    <row r="192" spans="1:16" ht="27" customHeight="1" x14ac:dyDescent="0.2">
      <c r="A192" s="9" t="s">
        <v>639</v>
      </c>
      <c r="B192" s="10" t="s">
        <v>722</v>
      </c>
      <c r="C192" s="11" t="s">
        <v>18</v>
      </c>
      <c r="D192" s="11" t="s">
        <v>19</v>
      </c>
      <c r="E192" s="11" t="s">
        <v>19</v>
      </c>
      <c r="F192" s="11" t="s">
        <v>723</v>
      </c>
      <c r="G192" s="11" t="s">
        <v>83</v>
      </c>
      <c r="H192" s="11" t="s">
        <v>724</v>
      </c>
      <c r="I192" s="11" t="s">
        <v>725</v>
      </c>
      <c r="J192" s="12">
        <v>0.6613</v>
      </c>
      <c r="K192" s="13">
        <v>4</v>
      </c>
      <c r="L192" s="14">
        <v>1168</v>
      </c>
      <c r="M192" s="10">
        <v>662</v>
      </c>
      <c r="N192" s="10">
        <v>129066</v>
      </c>
      <c r="O192" s="10">
        <v>51913</v>
      </c>
      <c r="P192" s="10">
        <v>180979</v>
      </c>
    </row>
    <row r="193" spans="1:16" ht="27" customHeight="1" x14ac:dyDescent="0.2">
      <c r="A193" s="9" t="s">
        <v>639</v>
      </c>
      <c r="B193" s="10" t="s">
        <v>726</v>
      </c>
      <c r="C193" s="11" t="s">
        <v>18</v>
      </c>
      <c r="D193" s="11" t="s">
        <v>19</v>
      </c>
      <c r="E193" s="11" t="s">
        <v>19</v>
      </c>
      <c r="F193" s="11" t="s">
        <v>727</v>
      </c>
      <c r="G193" s="11" t="s">
        <v>83</v>
      </c>
      <c r="H193" s="11" t="s">
        <v>728</v>
      </c>
      <c r="I193" s="11" t="s">
        <v>729</v>
      </c>
      <c r="J193" s="12">
        <v>0.48010000000000003</v>
      </c>
      <c r="K193" s="13">
        <v>3</v>
      </c>
      <c r="L193" s="14">
        <v>590</v>
      </c>
      <c r="M193" s="10">
        <v>289</v>
      </c>
      <c r="N193" s="10">
        <v>65196</v>
      </c>
      <c r="O193" s="10">
        <v>22663</v>
      </c>
      <c r="P193" s="10">
        <v>87859</v>
      </c>
    </row>
    <row r="194" spans="1:16" ht="27" customHeight="1" x14ac:dyDescent="0.2">
      <c r="A194" s="9" t="s">
        <v>639</v>
      </c>
      <c r="B194" s="10" t="s">
        <v>730</v>
      </c>
      <c r="C194" s="11" t="s">
        <v>18</v>
      </c>
      <c r="D194" s="11" t="s">
        <v>19</v>
      </c>
      <c r="E194" s="11" t="s">
        <v>19</v>
      </c>
      <c r="F194" s="11" t="s">
        <v>731</v>
      </c>
      <c r="G194" s="11" t="s">
        <v>83</v>
      </c>
      <c r="H194" s="11" t="s">
        <v>732</v>
      </c>
      <c r="I194" s="11" t="s">
        <v>733</v>
      </c>
      <c r="J194" s="12">
        <v>0.40350000000000003</v>
      </c>
      <c r="K194" s="13">
        <v>8</v>
      </c>
      <c r="L194" s="14">
        <v>3515</v>
      </c>
      <c r="M194" s="10">
        <v>554</v>
      </c>
      <c r="N194" s="10">
        <v>388412</v>
      </c>
      <c r="O194" s="10">
        <v>43446</v>
      </c>
      <c r="P194" s="10">
        <v>431858</v>
      </c>
    </row>
    <row r="195" spans="1:16" ht="27" customHeight="1" x14ac:dyDescent="0.2">
      <c r="A195" s="9" t="s">
        <v>639</v>
      </c>
      <c r="B195" s="10" t="s">
        <v>734</v>
      </c>
      <c r="C195" s="11" t="s">
        <v>18</v>
      </c>
      <c r="D195" s="11" t="s">
        <v>19</v>
      </c>
      <c r="E195" s="11" t="s">
        <v>19</v>
      </c>
      <c r="F195" s="11" t="s">
        <v>735</v>
      </c>
      <c r="G195" s="11" t="s">
        <v>83</v>
      </c>
      <c r="H195" s="11" t="s">
        <v>735</v>
      </c>
      <c r="I195" s="11" t="s">
        <v>736</v>
      </c>
      <c r="J195" s="12">
        <v>0.61539999999999995</v>
      </c>
      <c r="K195" s="13">
        <v>2</v>
      </c>
      <c r="L195" s="14">
        <v>13</v>
      </c>
      <c r="M195" s="10">
        <v>8</v>
      </c>
      <c r="N195" s="10">
        <v>1437</v>
      </c>
      <c r="O195" s="10">
        <v>627</v>
      </c>
      <c r="P195" s="10">
        <v>2064</v>
      </c>
    </row>
    <row r="196" spans="1:16" ht="27" customHeight="1" x14ac:dyDescent="0.2">
      <c r="A196" s="9" t="s">
        <v>639</v>
      </c>
      <c r="B196" s="10" t="s">
        <v>737</v>
      </c>
      <c r="C196" s="11" t="s">
        <v>18</v>
      </c>
      <c r="D196" s="11" t="s">
        <v>19</v>
      </c>
      <c r="E196" s="11" t="s">
        <v>19</v>
      </c>
      <c r="F196" s="11" t="s">
        <v>738</v>
      </c>
      <c r="G196" s="11" t="s">
        <v>83</v>
      </c>
      <c r="H196" s="11" t="s">
        <v>739</v>
      </c>
      <c r="I196" s="11" t="s">
        <v>740</v>
      </c>
      <c r="J196" s="12">
        <v>0.4622</v>
      </c>
      <c r="K196" s="13">
        <v>6</v>
      </c>
      <c r="L196" s="14">
        <v>1021</v>
      </c>
      <c r="M196" s="10">
        <v>396</v>
      </c>
      <c r="N196" s="10">
        <v>112823</v>
      </c>
      <c r="O196" s="10">
        <v>31055</v>
      </c>
      <c r="P196" s="10">
        <v>143878</v>
      </c>
    </row>
    <row r="197" spans="1:16" ht="27" customHeight="1" x14ac:dyDescent="0.2">
      <c r="A197" s="9" t="s">
        <v>639</v>
      </c>
      <c r="B197" s="10" t="s">
        <v>737</v>
      </c>
      <c r="C197" s="11" t="s">
        <v>741</v>
      </c>
      <c r="D197" s="11" t="s">
        <v>742</v>
      </c>
      <c r="E197" s="11" t="s">
        <v>57</v>
      </c>
      <c r="F197" s="11" t="s">
        <v>743</v>
      </c>
      <c r="G197" s="11" t="s">
        <v>28</v>
      </c>
      <c r="H197" s="11" t="s">
        <v>743</v>
      </c>
      <c r="I197" s="11" t="s">
        <v>744</v>
      </c>
      <c r="J197" s="12">
        <v>0.4123</v>
      </c>
      <c r="K197" s="13">
        <v>1</v>
      </c>
      <c r="L197" s="14">
        <v>228</v>
      </c>
      <c r="M197" s="10">
        <v>94</v>
      </c>
      <c r="N197" s="10">
        <v>25194</v>
      </c>
      <c r="O197" s="10">
        <v>7371</v>
      </c>
      <c r="P197" s="10">
        <v>32565</v>
      </c>
    </row>
    <row r="198" spans="1:16" ht="27" customHeight="1" x14ac:dyDescent="0.2">
      <c r="A198" s="9" t="s">
        <v>745</v>
      </c>
      <c r="B198" s="10" t="s">
        <v>746</v>
      </c>
      <c r="C198" s="11" t="s">
        <v>18</v>
      </c>
      <c r="D198" s="11" t="s">
        <v>19</v>
      </c>
      <c r="E198" s="11" t="s">
        <v>19</v>
      </c>
      <c r="F198" s="11" t="s">
        <v>747</v>
      </c>
      <c r="G198" s="11" t="s">
        <v>21</v>
      </c>
      <c r="H198" s="11" t="s">
        <v>748</v>
      </c>
      <c r="I198" s="11" t="s">
        <v>749</v>
      </c>
      <c r="J198" s="12">
        <v>1</v>
      </c>
      <c r="K198" s="13">
        <v>5</v>
      </c>
      <c r="L198" s="14">
        <v>814</v>
      </c>
      <c r="M198" s="10">
        <v>604</v>
      </c>
      <c r="N198" s="10">
        <v>89949</v>
      </c>
      <c r="O198" s="10">
        <v>47365</v>
      </c>
      <c r="P198" s="10">
        <v>137314</v>
      </c>
    </row>
    <row r="199" spans="1:16" ht="27" customHeight="1" x14ac:dyDescent="0.2">
      <c r="A199" s="9" t="s">
        <v>745</v>
      </c>
      <c r="B199" s="10" t="s">
        <v>746</v>
      </c>
      <c r="C199" s="11" t="s">
        <v>750</v>
      </c>
      <c r="D199" s="11" t="s">
        <v>751</v>
      </c>
      <c r="E199" s="11" t="s">
        <v>26</v>
      </c>
      <c r="F199" s="11" t="s">
        <v>752</v>
      </c>
      <c r="G199" s="11" t="s">
        <v>28</v>
      </c>
      <c r="H199" s="11" t="s">
        <v>752</v>
      </c>
      <c r="I199" s="11" t="s">
        <v>753</v>
      </c>
      <c r="J199" s="12">
        <v>0.91069999999999995</v>
      </c>
      <c r="K199" s="13">
        <v>1</v>
      </c>
      <c r="L199" s="14">
        <v>1567</v>
      </c>
      <c r="M199" s="10">
        <v>1427</v>
      </c>
      <c r="N199" s="10">
        <v>173156</v>
      </c>
      <c r="O199" s="10">
        <v>111904</v>
      </c>
      <c r="P199" s="10">
        <v>285060</v>
      </c>
    </row>
    <row r="200" spans="1:16" ht="27" customHeight="1" x14ac:dyDescent="0.2">
      <c r="A200" s="9" t="s">
        <v>745</v>
      </c>
      <c r="B200" s="10" t="s">
        <v>746</v>
      </c>
      <c r="C200" s="11" t="s">
        <v>754</v>
      </c>
      <c r="D200" s="11" t="s">
        <v>755</v>
      </c>
      <c r="E200" s="11" t="s">
        <v>26</v>
      </c>
      <c r="F200" s="11" t="s">
        <v>756</v>
      </c>
      <c r="G200" s="11" t="s">
        <v>28</v>
      </c>
      <c r="H200" s="11" t="s">
        <v>756</v>
      </c>
      <c r="I200" s="11" t="s">
        <v>757</v>
      </c>
      <c r="J200" s="12">
        <v>0.46429999999999999</v>
      </c>
      <c r="K200" s="13">
        <v>1</v>
      </c>
      <c r="L200" s="14">
        <v>56</v>
      </c>
      <c r="M200" s="10">
        <v>26</v>
      </c>
      <c r="N200" s="10">
        <v>6188</v>
      </c>
      <c r="O200" s="10">
        <v>2039</v>
      </c>
      <c r="P200" s="10">
        <v>8227</v>
      </c>
    </row>
    <row r="201" spans="1:16" ht="27" customHeight="1" x14ac:dyDescent="0.2">
      <c r="A201" s="9" t="s">
        <v>745</v>
      </c>
      <c r="B201" s="10" t="s">
        <v>746</v>
      </c>
      <c r="C201" s="11" t="s">
        <v>758</v>
      </c>
      <c r="D201" s="11" t="s">
        <v>759</v>
      </c>
      <c r="E201" s="11" t="s">
        <v>26</v>
      </c>
      <c r="F201" s="11" t="s">
        <v>760</v>
      </c>
      <c r="G201" s="11" t="s">
        <v>28</v>
      </c>
      <c r="H201" s="11" t="s">
        <v>760</v>
      </c>
      <c r="I201" s="11" t="s">
        <v>761</v>
      </c>
      <c r="J201" s="12">
        <v>0.59309999999999996</v>
      </c>
      <c r="K201" s="13">
        <v>1</v>
      </c>
      <c r="L201" s="14">
        <v>494</v>
      </c>
      <c r="M201" s="10">
        <v>293</v>
      </c>
      <c r="N201" s="10">
        <v>54588</v>
      </c>
      <c r="O201" s="10">
        <v>22977</v>
      </c>
      <c r="P201" s="10">
        <v>77565</v>
      </c>
    </row>
    <row r="202" spans="1:16" ht="27" customHeight="1" x14ac:dyDescent="0.2">
      <c r="A202" s="9" t="s">
        <v>745</v>
      </c>
      <c r="B202" s="10" t="s">
        <v>746</v>
      </c>
      <c r="C202" s="11" t="s">
        <v>762</v>
      </c>
      <c r="D202" s="11" t="s">
        <v>763</v>
      </c>
      <c r="E202" s="11" t="s">
        <v>26</v>
      </c>
      <c r="F202" s="11" t="s">
        <v>764</v>
      </c>
      <c r="G202" s="11" t="s">
        <v>28</v>
      </c>
      <c r="H202" s="11" t="s">
        <v>764</v>
      </c>
      <c r="I202" s="11" t="s">
        <v>765</v>
      </c>
      <c r="J202" s="12">
        <v>0.78859999999999997</v>
      </c>
      <c r="K202" s="13">
        <v>1</v>
      </c>
      <c r="L202" s="14">
        <v>369</v>
      </c>
      <c r="M202" s="10">
        <v>291</v>
      </c>
      <c r="N202" s="10">
        <v>40775</v>
      </c>
      <c r="O202" s="10">
        <v>22820</v>
      </c>
      <c r="P202" s="10">
        <v>63595</v>
      </c>
    </row>
    <row r="203" spans="1:16" ht="27" customHeight="1" x14ac:dyDescent="0.2">
      <c r="A203" s="9" t="s">
        <v>745</v>
      </c>
      <c r="B203" s="10" t="s">
        <v>746</v>
      </c>
      <c r="C203" s="11" t="s">
        <v>766</v>
      </c>
      <c r="D203" s="11" t="s">
        <v>767</v>
      </c>
      <c r="E203" s="11" t="s">
        <v>26</v>
      </c>
      <c r="F203" s="11" t="s">
        <v>768</v>
      </c>
      <c r="G203" s="11" t="s">
        <v>28</v>
      </c>
      <c r="H203" s="11" t="s">
        <v>748</v>
      </c>
      <c r="I203" s="11" t="s">
        <v>749</v>
      </c>
      <c r="J203" s="12">
        <v>1</v>
      </c>
      <c r="K203" s="13">
        <v>1</v>
      </c>
      <c r="L203" s="14">
        <v>238</v>
      </c>
      <c r="M203" s="10">
        <v>118</v>
      </c>
      <c r="N203" s="10">
        <v>26299</v>
      </c>
      <c r="O203" s="10">
        <v>9253</v>
      </c>
      <c r="P203" s="10">
        <v>35552</v>
      </c>
    </row>
    <row r="204" spans="1:16" ht="27" customHeight="1" x14ac:dyDescent="0.2">
      <c r="A204" s="9" t="s">
        <v>745</v>
      </c>
      <c r="B204" s="10" t="s">
        <v>746</v>
      </c>
      <c r="C204" s="11" t="s">
        <v>769</v>
      </c>
      <c r="D204" s="11" t="s">
        <v>770</v>
      </c>
      <c r="E204" s="11" t="s">
        <v>26</v>
      </c>
      <c r="F204" s="11" t="s">
        <v>771</v>
      </c>
      <c r="G204" s="11" t="s">
        <v>28</v>
      </c>
      <c r="H204" s="11" t="s">
        <v>771</v>
      </c>
      <c r="I204" s="11" t="s">
        <v>772</v>
      </c>
      <c r="J204" s="12">
        <v>0.62739999999999996</v>
      </c>
      <c r="K204" s="13">
        <v>1</v>
      </c>
      <c r="L204" s="14">
        <v>212</v>
      </c>
      <c r="M204" s="10">
        <v>133</v>
      </c>
      <c r="N204" s="10">
        <v>23426</v>
      </c>
      <c r="O204" s="10">
        <v>10430</v>
      </c>
      <c r="P204" s="10">
        <v>33856</v>
      </c>
    </row>
    <row r="205" spans="1:16" ht="27" customHeight="1" x14ac:dyDescent="0.2">
      <c r="A205" s="9" t="s">
        <v>745</v>
      </c>
      <c r="B205" s="10" t="s">
        <v>746</v>
      </c>
      <c r="C205" s="11" t="s">
        <v>773</v>
      </c>
      <c r="D205" s="11" t="s">
        <v>774</v>
      </c>
      <c r="E205" s="11" t="s">
        <v>26</v>
      </c>
      <c r="F205" s="11" t="s">
        <v>775</v>
      </c>
      <c r="G205" s="11" t="s">
        <v>28</v>
      </c>
      <c r="H205" s="11" t="s">
        <v>775</v>
      </c>
      <c r="I205" s="11" t="s">
        <v>776</v>
      </c>
      <c r="J205" s="12">
        <v>0.94710000000000005</v>
      </c>
      <c r="K205" s="13">
        <v>1</v>
      </c>
      <c r="L205" s="14">
        <v>416</v>
      </c>
      <c r="M205" s="10">
        <v>394</v>
      </c>
      <c r="N205" s="10">
        <v>45969</v>
      </c>
      <c r="O205" s="10">
        <v>30897</v>
      </c>
      <c r="P205" s="10">
        <v>76866</v>
      </c>
    </row>
    <row r="206" spans="1:16" ht="27" customHeight="1" x14ac:dyDescent="0.2">
      <c r="A206" s="9" t="s">
        <v>745</v>
      </c>
      <c r="B206" s="10" t="s">
        <v>777</v>
      </c>
      <c r="C206" s="11" t="s">
        <v>18</v>
      </c>
      <c r="D206" s="11" t="s">
        <v>19</v>
      </c>
      <c r="E206" s="11" t="s">
        <v>19</v>
      </c>
      <c r="F206" s="11" t="s">
        <v>778</v>
      </c>
      <c r="G206" s="11" t="s">
        <v>83</v>
      </c>
      <c r="H206" s="11" t="s">
        <v>779</v>
      </c>
      <c r="I206" s="11" t="s">
        <v>780</v>
      </c>
      <c r="J206" s="12">
        <v>0.76800000000000002</v>
      </c>
      <c r="K206" s="13">
        <v>2</v>
      </c>
      <c r="L206" s="14">
        <v>181</v>
      </c>
      <c r="M206" s="10">
        <v>139</v>
      </c>
      <c r="N206" s="10">
        <v>20001</v>
      </c>
      <c r="O206" s="10">
        <v>10900</v>
      </c>
      <c r="P206" s="10">
        <v>30901</v>
      </c>
    </row>
    <row r="207" spans="1:16" ht="27" customHeight="1" x14ac:dyDescent="0.2">
      <c r="A207" s="9" t="s">
        <v>745</v>
      </c>
      <c r="B207" s="10" t="s">
        <v>781</v>
      </c>
      <c r="C207" s="11" t="s">
        <v>18</v>
      </c>
      <c r="D207" s="11" t="s">
        <v>19</v>
      </c>
      <c r="E207" s="11" t="s">
        <v>19</v>
      </c>
      <c r="F207" s="11" t="s">
        <v>782</v>
      </c>
      <c r="G207" s="11" t="s">
        <v>83</v>
      </c>
      <c r="H207" s="11" t="s">
        <v>782</v>
      </c>
      <c r="I207" s="11" t="s">
        <v>783</v>
      </c>
      <c r="J207" s="12">
        <v>0.46429999999999999</v>
      </c>
      <c r="K207" s="13">
        <v>2</v>
      </c>
      <c r="L207" s="14">
        <v>28</v>
      </c>
      <c r="M207" s="10">
        <v>13</v>
      </c>
      <c r="N207" s="10">
        <v>3094</v>
      </c>
      <c r="O207" s="10">
        <v>1019</v>
      </c>
      <c r="P207" s="10">
        <v>4113</v>
      </c>
    </row>
    <row r="208" spans="1:16" ht="27" customHeight="1" x14ac:dyDescent="0.2">
      <c r="A208" s="9" t="s">
        <v>745</v>
      </c>
      <c r="B208" s="10" t="s">
        <v>784</v>
      </c>
      <c r="C208" s="11" t="s">
        <v>18</v>
      </c>
      <c r="D208" s="11" t="s">
        <v>19</v>
      </c>
      <c r="E208" s="11" t="s">
        <v>19</v>
      </c>
      <c r="F208" s="11" t="s">
        <v>785</v>
      </c>
      <c r="G208" s="11" t="s">
        <v>83</v>
      </c>
      <c r="H208" s="11" t="s">
        <v>786</v>
      </c>
      <c r="I208" s="11" t="s">
        <v>787</v>
      </c>
      <c r="J208" s="12">
        <v>0.85599999999999998</v>
      </c>
      <c r="K208" s="13">
        <v>2</v>
      </c>
      <c r="L208" s="14">
        <v>126</v>
      </c>
      <c r="M208" s="10">
        <v>108</v>
      </c>
      <c r="N208" s="10">
        <v>13923</v>
      </c>
      <c r="O208" s="10">
        <v>8469</v>
      </c>
      <c r="P208" s="10">
        <v>22392</v>
      </c>
    </row>
    <row r="209" spans="1:16" ht="27" customHeight="1" x14ac:dyDescent="0.2">
      <c r="A209" s="9" t="s">
        <v>745</v>
      </c>
      <c r="B209" s="10" t="s">
        <v>788</v>
      </c>
      <c r="C209" s="11" t="s">
        <v>18</v>
      </c>
      <c r="D209" s="11" t="s">
        <v>19</v>
      </c>
      <c r="E209" s="11" t="s">
        <v>19</v>
      </c>
      <c r="F209" s="11" t="s">
        <v>789</v>
      </c>
      <c r="G209" s="11" t="s">
        <v>83</v>
      </c>
      <c r="H209" s="11" t="s">
        <v>790</v>
      </c>
      <c r="I209" s="11" t="s">
        <v>791</v>
      </c>
      <c r="J209" s="12">
        <v>0.19919999999999999</v>
      </c>
      <c r="K209" s="13">
        <v>2</v>
      </c>
      <c r="L209" s="14">
        <v>241</v>
      </c>
      <c r="M209" s="10">
        <v>48</v>
      </c>
      <c r="N209" s="10">
        <v>26631</v>
      </c>
      <c r="O209" s="10">
        <v>3764</v>
      </c>
      <c r="P209" s="10">
        <v>30395</v>
      </c>
    </row>
    <row r="210" spans="1:16" ht="27" customHeight="1" x14ac:dyDescent="0.2">
      <c r="A210" s="9" t="s">
        <v>745</v>
      </c>
      <c r="B210" s="10" t="s">
        <v>792</v>
      </c>
      <c r="C210" s="11" t="s">
        <v>18</v>
      </c>
      <c r="D210" s="11" t="s">
        <v>19</v>
      </c>
      <c r="E210" s="11" t="s">
        <v>19</v>
      </c>
      <c r="F210" s="11" t="s">
        <v>793</v>
      </c>
      <c r="G210" s="11" t="s">
        <v>83</v>
      </c>
      <c r="H210" s="11" t="s">
        <v>794</v>
      </c>
      <c r="I210" s="11" t="s">
        <v>795</v>
      </c>
      <c r="J210" s="12">
        <v>0.87080000000000002</v>
      </c>
      <c r="K210" s="13">
        <v>50</v>
      </c>
      <c r="L210" s="14">
        <v>43168</v>
      </c>
      <c r="M210" s="10">
        <v>20764</v>
      </c>
      <c r="N210" s="10">
        <v>4770135</v>
      </c>
      <c r="O210" s="10">
        <v>1628289</v>
      </c>
      <c r="P210" s="10">
        <v>6398424</v>
      </c>
    </row>
    <row r="211" spans="1:16" ht="27" customHeight="1" x14ac:dyDescent="0.2">
      <c r="A211" s="9" t="s">
        <v>745</v>
      </c>
      <c r="B211" s="10" t="s">
        <v>792</v>
      </c>
      <c r="C211" s="11" t="s">
        <v>796</v>
      </c>
      <c r="D211" s="11" t="s">
        <v>797</v>
      </c>
      <c r="E211" s="11" t="s">
        <v>57</v>
      </c>
      <c r="F211" s="11" t="s">
        <v>798</v>
      </c>
      <c r="G211" s="11" t="s">
        <v>28</v>
      </c>
      <c r="H211" s="11" t="s">
        <v>798</v>
      </c>
      <c r="I211" s="11" t="s">
        <v>799</v>
      </c>
      <c r="J211" s="12">
        <v>0.5474</v>
      </c>
      <c r="K211" s="13">
        <v>1</v>
      </c>
      <c r="L211" s="14">
        <v>813</v>
      </c>
      <c r="M211" s="10">
        <v>445</v>
      </c>
      <c r="N211" s="10">
        <v>89838</v>
      </c>
      <c r="O211" s="10">
        <v>34896</v>
      </c>
      <c r="P211" s="10">
        <v>124734</v>
      </c>
    </row>
    <row r="212" spans="1:16" ht="27" customHeight="1" x14ac:dyDescent="0.2">
      <c r="A212" s="9" t="s">
        <v>745</v>
      </c>
      <c r="B212" s="10" t="s">
        <v>800</v>
      </c>
      <c r="C212" s="11" t="s">
        <v>18</v>
      </c>
      <c r="D212" s="11" t="s">
        <v>19</v>
      </c>
      <c r="E212" s="11" t="s">
        <v>19</v>
      </c>
      <c r="F212" s="11" t="s">
        <v>801</v>
      </c>
      <c r="G212" s="11" t="s">
        <v>83</v>
      </c>
      <c r="H212" s="11" t="s">
        <v>802</v>
      </c>
      <c r="I212" s="11" t="s">
        <v>803</v>
      </c>
      <c r="J212" s="12">
        <v>0.93820000000000003</v>
      </c>
      <c r="K212" s="13">
        <v>12</v>
      </c>
      <c r="L212" s="14">
        <v>4514</v>
      </c>
      <c r="M212" s="10">
        <v>3985</v>
      </c>
      <c r="N212" s="10">
        <v>498804</v>
      </c>
      <c r="O212" s="10">
        <v>312501</v>
      </c>
      <c r="P212" s="10">
        <v>811305</v>
      </c>
    </row>
    <row r="213" spans="1:16" ht="27" customHeight="1" x14ac:dyDescent="0.2">
      <c r="A213" s="9" t="s">
        <v>745</v>
      </c>
      <c r="B213" s="10" t="s">
        <v>804</v>
      </c>
      <c r="C213" s="11" t="s">
        <v>18</v>
      </c>
      <c r="D213" s="11" t="s">
        <v>19</v>
      </c>
      <c r="E213" s="11" t="s">
        <v>19</v>
      </c>
      <c r="F213" s="11" t="s">
        <v>805</v>
      </c>
      <c r="G213" s="11" t="s">
        <v>83</v>
      </c>
      <c r="H213" s="11" t="s">
        <v>806</v>
      </c>
      <c r="I213" s="11" t="s">
        <v>807</v>
      </c>
      <c r="J213" s="12">
        <v>0.95140000000000002</v>
      </c>
      <c r="K213" s="13">
        <v>10</v>
      </c>
      <c r="L213" s="14">
        <v>2581</v>
      </c>
      <c r="M213" s="10">
        <v>2188</v>
      </c>
      <c r="N213" s="10">
        <v>285207</v>
      </c>
      <c r="O213" s="10">
        <v>171582</v>
      </c>
      <c r="P213" s="10">
        <v>456789</v>
      </c>
    </row>
    <row r="214" spans="1:16" ht="27" customHeight="1" x14ac:dyDescent="0.2">
      <c r="A214" s="9" t="s">
        <v>745</v>
      </c>
      <c r="B214" s="10" t="s">
        <v>808</v>
      </c>
      <c r="C214" s="11" t="s">
        <v>18</v>
      </c>
      <c r="D214" s="11" t="s">
        <v>19</v>
      </c>
      <c r="E214" s="11" t="s">
        <v>19</v>
      </c>
      <c r="F214" s="11" t="s">
        <v>809</v>
      </c>
      <c r="G214" s="11" t="s">
        <v>83</v>
      </c>
      <c r="H214" s="11" t="s">
        <v>810</v>
      </c>
      <c r="I214" s="11" t="s">
        <v>811</v>
      </c>
      <c r="J214" s="12">
        <v>0.99160000000000004</v>
      </c>
      <c r="K214" s="13">
        <v>101</v>
      </c>
      <c r="L214" s="14">
        <v>71852</v>
      </c>
      <c r="M214" s="10">
        <v>63137</v>
      </c>
      <c r="N214" s="10">
        <v>7939766</v>
      </c>
      <c r="O214" s="10">
        <v>4951139</v>
      </c>
      <c r="P214" s="10">
        <v>12890905</v>
      </c>
    </row>
    <row r="215" spans="1:16" ht="27" customHeight="1" x14ac:dyDescent="0.2">
      <c r="A215" s="9" t="s">
        <v>745</v>
      </c>
      <c r="B215" s="10" t="s">
        <v>808</v>
      </c>
      <c r="C215" s="11" t="s">
        <v>812</v>
      </c>
      <c r="D215" s="11" t="s">
        <v>813</v>
      </c>
      <c r="E215" s="11" t="s">
        <v>26</v>
      </c>
      <c r="F215" s="11" t="s">
        <v>814</v>
      </c>
      <c r="G215" s="11" t="s">
        <v>28</v>
      </c>
      <c r="H215" s="11" t="s">
        <v>814</v>
      </c>
      <c r="I215" s="11" t="s">
        <v>815</v>
      </c>
      <c r="J215" s="12">
        <v>0.76849999999999996</v>
      </c>
      <c r="K215" s="13">
        <v>1</v>
      </c>
      <c r="L215" s="14">
        <v>324</v>
      </c>
      <c r="M215" s="10">
        <v>249</v>
      </c>
      <c r="N215" s="10">
        <v>35803</v>
      </c>
      <c r="O215" s="10">
        <v>19526</v>
      </c>
      <c r="P215" s="10">
        <v>55329</v>
      </c>
    </row>
    <row r="216" spans="1:16" ht="27" customHeight="1" x14ac:dyDescent="0.2">
      <c r="A216" s="9" t="s">
        <v>745</v>
      </c>
      <c r="B216" s="10" t="s">
        <v>808</v>
      </c>
      <c r="C216" s="11" t="s">
        <v>816</v>
      </c>
      <c r="D216" s="11" t="s">
        <v>817</v>
      </c>
      <c r="E216" s="11" t="s">
        <v>26</v>
      </c>
      <c r="F216" s="11" t="s">
        <v>818</v>
      </c>
      <c r="G216" s="11" t="s">
        <v>28</v>
      </c>
      <c r="H216" s="11" t="s">
        <v>818</v>
      </c>
      <c r="I216" s="11" t="s">
        <v>819</v>
      </c>
      <c r="J216" s="12">
        <v>0.7601</v>
      </c>
      <c r="K216" s="13">
        <v>1</v>
      </c>
      <c r="L216" s="14">
        <v>321</v>
      </c>
      <c r="M216" s="10">
        <v>244</v>
      </c>
      <c r="N216" s="10">
        <v>35471</v>
      </c>
      <c r="O216" s="10">
        <v>19134</v>
      </c>
      <c r="P216" s="10">
        <v>54605</v>
      </c>
    </row>
    <row r="217" spans="1:16" ht="27" customHeight="1" x14ac:dyDescent="0.2">
      <c r="A217" s="9" t="s">
        <v>745</v>
      </c>
      <c r="B217" s="10" t="s">
        <v>808</v>
      </c>
      <c r="C217" s="11" t="s">
        <v>820</v>
      </c>
      <c r="D217" s="11" t="s">
        <v>821</v>
      </c>
      <c r="E217" s="11" t="s">
        <v>26</v>
      </c>
      <c r="F217" s="11" t="s">
        <v>822</v>
      </c>
      <c r="G217" s="11" t="s">
        <v>28</v>
      </c>
      <c r="H217" s="11" t="s">
        <v>748</v>
      </c>
      <c r="I217" s="11" t="s">
        <v>749</v>
      </c>
      <c r="J217" s="12">
        <v>1</v>
      </c>
      <c r="K217" s="13">
        <v>1</v>
      </c>
      <c r="L217" s="14">
        <v>491</v>
      </c>
      <c r="M217" s="10">
        <v>101</v>
      </c>
      <c r="N217" s="10">
        <v>54256</v>
      </c>
      <c r="O217" s="10">
        <v>7920</v>
      </c>
      <c r="P217" s="10">
        <v>62176</v>
      </c>
    </row>
    <row r="218" spans="1:16" ht="27" customHeight="1" x14ac:dyDescent="0.2">
      <c r="A218" s="9" t="s">
        <v>745</v>
      </c>
      <c r="B218" s="10" t="s">
        <v>808</v>
      </c>
      <c r="C218" s="11" t="s">
        <v>823</v>
      </c>
      <c r="D218" s="11" t="s">
        <v>824</v>
      </c>
      <c r="E218" s="11" t="s">
        <v>57</v>
      </c>
      <c r="F218" s="11" t="s">
        <v>825</v>
      </c>
      <c r="G218" s="11" t="s">
        <v>28</v>
      </c>
      <c r="H218" s="11" t="s">
        <v>825</v>
      </c>
      <c r="I218" s="11" t="s">
        <v>826</v>
      </c>
      <c r="J218" s="12">
        <v>0.44280000000000003</v>
      </c>
      <c r="K218" s="13">
        <v>1</v>
      </c>
      <c r="L218" s="14">
        <v>341</v>
      </c>
      <c r="M218" s="10">
        <v>151</v>
      </c>
      <c r="N218" s="10">
        <v>37681</v>
      </c>
      <c r="O218" s="10">
        <v>11841</v>
      </c>
      <c r="P218" s="10">
        <v>49522</v>
      </c>
    </row>
    <row r="219" spans="1:16" ht="27" customHeight="1" x14ac:dyDescent="0.2">
      <c r="A219" s="9" t="s">
        <v>745</v>
      </c>
      <c r="B219" s="10" t="s">
        <v>808</v>
      </c>
      <c r="C219" s="11" t="s">
        <v>827</v>
      </c>
      <c r="D219" s="11" t="s">
        <v>828</v>
      </c>
      <c r="E219" s="11" t="s">
        <v>26</v>
      </c>
      <c r="F219" s="11" t="s">
        <v>829</v>
      </c>
      <c r="G219" s="11" t="s">
        <v>28</v>
      </c>
      <c r="H219" s="11" t="s">
        <v>829</v>
      </c>
      <c r="I219" s="11" t="s">
        <v>830</v>
      </c>
      <c r="J219" s="12">
        <v>0.76790000000000003</v>
      </c>
      <c r="K219" s="13">
        <v>1</v>
      </c>
      <c r="L219" s="14">
        <v>293</v>
      </c>
      <c r="M219" s="10">
        <v>225</v>
      </c>
      <c r="N219" s="10">
        <v>32377</v>
      </c>
      <c r="O219" s="10">
        <v>17644</v>
      </c>
      <c r="P219" s="10">
        <v>50021</v>
      </c>
    </row>
    <row r="220" spans="1:16" ht="27" customHeight="1" x14ac:dyDescent="0.2">
      <c r="A220" s="9" t="s">
        <v>745</v>
      </c>
      <c r="B220" s="10" t="s">
        <v>808</v>
      </c>
      <c r="C220" s="11" t="s">
        <v>831</v>
      </c>
      <c r="D220" s="11" t="s">
        <v>832</v>
      </c>
      <c r="E220" s="11" t="s">
        <v>26</v>
      </c>
      <c r="F220" s="11" t="s">
        <v>833</v>
      </c>
      <c r="G220" s="11" t="s">
        <v>28</v>
      </c>
      <c r="H220" s="11" t="s">
        <v>833</v>
      </c>
      <c r="I220" s="11" t="s">
        <v>834</v>
      </c>
      <c r="J220" s="12">
        <v>0.27760000000000001</v>
      </c>
      <c r="K220" s="13">
        <v>1</v>
      </c>
      <c r="L220" s="14">
        <v>335</v>
      </c>
      <c r="M220" s="10">
        <v>93</v>
      </c>
      <c r="N220" s="10">
        <v>37018</v>
      </c>
      <c r="O220" s="10">
        <v>7293</v>
      </c>
      <c r="P220" s="10">
        <v>44311</v>
      </c>
    </row>
    <row r="221" spans="1:16" ht="27" customHeight="1" x14ac:dyDescent="0.2">
      <c r="A221" s="9" t="s">
        <v>745</v>
      </c>
      <c r="B221" s="10" t="s">
        <v>808</v>
      </c>
      <c r="C221" s="11" t="s">
        <v>835</v>
      </c>
      <c r="D221" s="11" t="s">
        <v>836</v>
      </c>
      <c r="E221" s="11" t="s">
        <v>26</v>
      </c>
      <c r="F221" s="11" t="s">
        <v>837</v>
      </c>
      <c r="G221" s="11" t="s">
        <v>28</v>
      </c>
      <c r="H221" s="11" t="s">
        <v>837</v>
      </c>
      <c r="I221" s="11" t="s">
        <v>838</v>
      </c>
      <c r="J221" s="12">
        <v>0.87790000000000001</v>
      </c>
      <c r="K221" s="13">
        <v>1</v>
      </c>
      <c r="L221" s="14">
        <v>262</v>
      </c>
      <c r="M221" s="10">
        <v>230</v>
      </c>
      <c r="N221" s="10">
        <v>28951</v>
      </c>
      <c r="O221" s="10">
        <v>18036</v>
      </c>
      <c r="P221" s="10">
        <v>46987</v>
      </c>
    </row>
    <row r="222" spans="1:16" ht="27" customHeight="1" x14ac:dyDescent="0.2">
      <c r="A222" s="9" t="s">
        <v>745</v>
      </c>
      <c r="B222" s="10" t="s">
        <v>808</v>
      </c>
      <c r="C222" s="11" t="s">
        <v>839</v>
      </c>
      <c r="D222" s="11" t="s">
        <v>840</v>
      </c>
      <c r="E222" s="11" t="s">
        <v>26</v>
      </c>
      <c r="F222" s="11" t="s">
        <v>841</v>
      </c>
      <c r="G222" s="11" t="s">
        <v>28</v>
      </c>
      <c r="H222" s="11" t="s">
        <v>748</v>
      </c>
      <c r="I222" s="11" t="s">
        <v>749</v>
      </c>
      <c r="J222" s="12">
        <v>1</v>
      </c>
      <c r="K222" s="13">
        <v>1</v>
      </c>
      <c r="L222" s="14">
        <v>175</v>
      </c>
      <c r="M222" s="10">
        <v>134</v>
      </c>
      <c r="N222" s="10">
        <v>19338</v>
      </c>
      <c r="O222" s="10">
        <v>10508</v>
      </c>
      <c r="P222" s="10">
        <v>29846</v>
      </c>
    </row>
    <row r="223" spans="1:16" ht="27" customHeight="1" x14ac:dyDescent="0.2">
      <c r="A223" s="9" t="s">
        <v>745</v>
      </c>
      <c r="B223" s="10" t="s">
        <v>808</v>
      </c>
      <c r="C223" s="11" t="s">
        <v>842</v>
      </c>
      <c r="D223" s="11" t="s">
        <v>843</v>
      </c>
      <c r="E223" s="11" t="s">
        <v>26</v>
      </c>
      <c r="F223" s="11" t="s">
        <v>844</v>
      </c>
      <c r="G223" s="11" t="s">
        <v>28</v>
      </c>
      <c r="H223" s="11" t="s">
        <v>748</v>
      </c>
      <c r="I223" s="11" t="s">
        <v>749</v>
      </c>
      <c r="J223" s="12">
        <v>1</v>
      </c>
      <c r="K223" s="13">
        <v>1</v>
      </c>
      <c r="L223" s="14">
        <v>188</v>
      </c>
      <c r="M223" s="10">
        <v>158</v>
      </c>
      <c r="N223" s="10">
        <v>20774</v>
      </c>
      <c r="O223" s="10">
        <v>12390</v>
      </c>
      <c r="P223" s="10">
        <v>33164</v>
      </c>
    </row>
    <row r="224" spans="1:16" ht="27" customHeight="1" x14ac:dyDescent="0.2">
      <c r="A224" s="9" t="s">
        <v>745</v>
      </c>
      <c r="B224" s="10" t="s">
        <v>808</v>
      </c>
      <c r="C224" s="11" t="s">
        <v>845</v>
      </c>
      <c r="D224" s="11" t="s">
        <v>846</v>
      </c>
      <c r="E224" s="11" t="s">
        <v>26</v>
      </c>
      <c r="F224" s="11" t="s">
        <v>847</v>
      </c>
      <c r="G224" s="11" t="s">
        <v>28</v>
      </c>
      <c r="H224" s="11" t="s">
        <v>748</v>
      </c>
      <c r="I224" s="11" t="s">
        <v>749</v>
      </c>
      <c r="J224" s="12">
        <v>1</v>
      </c>
      <c r="K224" s="13">
        <v>1</v>
      </c>
      <c r="L224" s="14">
        <v>322</v>
      </c>
      <c r="M224" s="10">
        <v>300</v>
      </c>
      <c r="N224" s="10">
        <v>35582</v>
      </c>
      <c r="O224" s="10">
        <v>23526</v>
      </c>
      <c r="P224" s="10">
        <v>59108</v>
      </c>
    </row>
    <row r="225" spans="1:16" ht="27" customHeight="1" x14ac:dyDescent="0.2">
      <c r="A225" s="9" t="s">
        <v>745</v>
      </c>
      <c r="B225" s="10" t="s">
        <v>848</v>
      </c>
      <c r="C225" s="11" t="s">
        <v>18</v>
      </c>
      <c r="D225" s="11" t="s">
        <v>19</v>
      </c>
      <c r="E225" s="11" t="s">
        <v>19</v>
      </c>
      <c r="F225" s="11" t="s">
        <v>849</v>
      </c>
      <c r="G225" s="11" t="s">
        <v>83</v>
      </c>
      <c r="H225" s="11" t="s">
        <v>850</v>
      </c>
      <c r="I225" s="11" t="s">
        <v>851</v>
      </c>
      <c r="J225" s="12">
        <v>0.85599999999999998</v>
      </c>
      <c r="K225" s="13">
        <v>8</v>
      </c>
      <c r="L225" s="14">
        <v>2188</v>
      </c>
      <c r="M225" s="10">
        <v>1589</v>
      </c>
      <c r="N225" s="10">
        <v>241779</v>
      </c>
      <c r="O225" s="10">
        <v>124608</v>
      </c>
      <c r="P225" s="10">
        <v>366387</v>
      </c>
    </row>
    <row r="226" spans="1:16" ht="27" customHeight="1" x14ac:dyDescent="0.2">
      <c r="A226" s="9" t="s">
        <v>745</v>
      </c>
      <c r="B226" s="10" t="s">
        <v>852</v>
      </c>
      <c r="C226" s="11" t="s">
        <v>18</v>
      </c>
      <c r="D226" s="11" t="s">
        <v>19</v>
      </c>
      <c r="E226" s="11" t="s">
        <v>19</v>
      </c>
      <c r="F226" s="11" t="s">
        <v>853</v>
      </c>
      <c r="G226" s="11" t="s">
        <v>83</v>
      </c>
      <c r="H226" s="11" t="s">
        <v>748</v>
      </c>
      <c r="I226" s="11" t="s">
        <v>749</v>
      </c>
      <c r="J226" s="12">
        <v>1</v>
      </c>
      <c r="K226" s="13">
        <v>4</v>
      </c>
      <c r="L226" s="14">
        <v>1231</v>
      </c>
      <c r="M226" s="10">
        <v>794</v>
      </c>
      <c r="N226" s="10">
        <v>136028</v>
      </c>
      <c r="O226" s="10">
        <v>62264</v>
      </c>
      <c r="P226" s="10">
        <v>198292</v>
      </c>
    </row>
    <row r="227" spans="1:16" ht="27" customHeight="1" x14ac:dyDescent="0.2">
      <c r="A227" s="9" t="s">
        <v>745</v>
      </c>
      <c r="B227" s="10" t="s">
        <v>854</v>
      </c>
      <c r="C227" s="11" t="s">
        <v>18</v>
      </c>
      <c r="D227" s="11" t="s">
        <v>19</v>
      </c>
      <c r="E227" s="11" t="s">
        <v>19</v>
      </c>
      <c r="F227" s="11" t="s">
        <v>855</v>
      </c>
      <c r="G227" s="11" t="s">
        <v>83</v>
      </c>
      <c r="H227" s="11" t="s">
        <v>856</v>
      </c>
      <c r="I227" s="11" t="s">
        <v>857</v>
      </c>
      <c r="J227" s="12">
        <v>0.98570000000000002</v>
      </c>
      <c r="K227" s="13">
        <v>22</v>
      </c>
      <c r="L227" s="14">
        <v>9632</v>
      </c>
      <c r="M227" s="10">
        <v>8491</v>
      </c>
      <c r="N227" s="10">
        <v>1064351</v>
      </c>
      <c r="O227" s="10">
        <v>665856</v>
      </c>
      <c r="P227" s="10">
        <v>1730207</v>
      </c>
    </row>
    <row r="228" spans="1:16" ht="27" customHeight="1" x14ac:dyDescent="0.2">
      <c r="A228" s="9" t="s">
        <v>745</v>
      </c>
      <c r="B228" s="10" t="s">
        <v>854</v>
      </c>
      <c r="C228" s="11" t="s">
        <v>858</v>
      </c>
      <c r="D228" s="11" t="s">
        <v>859</v>
      </c>
      <c r="E228" s="11" t="s">
        <v>57</v>
      </c>
      <c r="F228" s="11" t="s">
        <v>860</v>
      </c>
      <c r="G228" s="11" t="s">
        <v>28</v>
      </c>
      <c r="H228" s="11" t="s">
        <v>860</v>
      </c>
      <c r="I228" s="11" t="s">
        <v>861</v>
      </c>
      <c r="J228" s="12">
        <v>0.86760000000000004</v>
      </c>
      <c r="K228" s="13">
        <v>1</v>
      </c>
      <c r="L228" s="14">
        <v>136</v>
      </c>
      <c r="M228" s="10">
        <v>118</v>
      </c>
      <c r="N228" s="10">
        <v>15028</v>
      </c>
      <c r="O228" s="10">
        <v>9253</v>
      </c>
      <c r="P228" s="10">
        <v>24281</v>
      </c>
    </row>
    <row r="229" spans="1:16" ht="27" customHeight="1" x14ac:dyDescent="0.2">
      <c r="A229" s="9" t="s">
        <v>745</v>
      </c>
      <c r="B229" s="10" t="s">
        <v>854</v>
      </c>
      <c r="C229" s="11" t="s">
        <v>862</v>
      </c>
      <c r="D229" s="11" t="s">
        <v>863</v>
      </c>
      <c r="E229" s="11" t="s">
        <v>57</v>
      </c>
      <c r="F229" s="11" t="s">
        <v>864</v>
      </c>
      <c r="G229" s="11" t="s">
        <v>28</v>
      </c>
      <c r="H229" s="11" t="s">
        <v>748</v>
      </c>
      <c r="I229" s="11" t="s">
        <v>749</v>
      </c>
      <c r="J229" s="12">
        <v>1</v>
      </c>
      <c r="K229" s="13">
        <v>1</v>
      </c>
      <c r="L229" s="14">
        <v>233</v>
      </c>
      <c r="M229" s="10">
        <v>168</v>
      </c>
      <c r="N229" s="10">
        <v>25747</v>
      </c>
      <c r="O229" s="10">
        <v>13174</v>
      </c>
      <c r="P229" s="10">
        <v>38921</v>
      </c>
    </row>
    <row r="230" spans="1:16" ht="27" customHeight="1" x14ac:dyDescent="0.2">
      <c r="A230" s="9" t="s">
        <v>745</v>
      </c>
      <c r="B230" s="10" t="s">
        <v>865</v>
      </c>
      <c r="C230" s="11" t="s">
        <v>18</v>
      </c>
      <c r="D230" s="11" t="s">
        <v>19</v>
      </c>
      <c r="E230" s="11" t="s">
        <v>19</v>
      </c>
      <c r="F230" s="11" t="s">
        <v>866</v>
      </c>
      <c r="G230" s="11" t="s">
        <v>83</v>
      </c>
      <c r="H230" s="11" t="s">
        <v>867</v>
      </c>
      <c r="I230" s="11" t="s">
        <v>868</v>
      </c>
      <c r="J230" s="12">
        <v>0.82930000000000004</v>
      </c>
      <c r="K230" s="13">
        <v>5</v>
      </c>
      <c r="L230" s="14">
        <v>673</v>
      </c>
      <c r="M230" s="10">
        <v>558</v>
      </c>
      <c r="N230" s="10">
        <v>74368</v>
      </c>
      <c r="O230" s="10">
        <v>43759</v>
      </c>
      <c r="P230" s="10">
        <v>118127</v>
      </c>
    </row>
    <row r="231" spans="1:16" ht="27" customHeight="1" x14ac:dyDescent="0.2">
      <c r="A231" s="9" t="s">
        <v>745</v>
      </c>
      <c r="B231" s="10" t="s">
        <v>869</v>
      </c>
      <c r="C231" s="11" t="s">
        <v>18</v>
      </c>
      <c r="D231" s="11" t="s">
        <v>19</v>
      </c>
      <c r="E231" s="11" t="s">
        <v>19</v>
      </c>
      <c r="F231" s="11" t="s">
        <v>870</v>
      </c>
      <c r="G231" s="11" t="s">
        <v>83</v>
      </c>
      <c r="H231" s="11" t="s">
        <v>870</v>
      </c>
      <c r="I231" s="11" t="s">
        <v>871</v>
      </c>
      <c r="J231" s="12">
        <v>0.95269999999999999</v>
      </c>
      <c r="K231" s="13">
        <v>2</v>
      </c>
      <c r="L231" s="14">
        <v>170</v>
      </c>
      <c r="M231" s="10">
        <v>162</v>
      </c>
      <c r="N231" s="10">
        <v>18785</v>
      </c>
      <c r="O231" s="10">
        <v>12704</v>
      </c>
      <c r="P231" s="10">
        <v>31489</v>
      </c>
    </row>
    <row r="232" spans="1:16" ht="27" customHeight="1" x14ac:dyDescent="0.2">
      <c r="A232" s="9" t="s">
        <v>745</v>
      </c>
      <c r="B232" s="10" t="s">
        <v>872</v>
      </c>
      <c r="C232" s="11" t="s">
        <v>18</v>
      </c>
      <c r="D232" s="11" t="s">
        <v>19</v>
      </c>
      <c r="E232" s="11" t="s">
        <v>19</v>
      </c>
      <c r="F232" s="11" t="s">
        <v>873</v>
      </c>
      <c r="G232" s="11" t="s">
        <v>83</v>
      </c>
      <c r="H232" s="11" t="s">
        <v>874</v>
      </c>
      <c r="I232" s="11" t="s">
        <v>875</v>
      </c>
      <c r="J232" s="12">
        <v>0.85040000000000004</v>
      </c>
      <c r="K232" s="13">
        <v>2</v>
      </c>
      <c r="L232" s="14">
        <v>265</v>
      </c>
      <c r="M232" s="10">
        <v>225</v>
      </c>
      <c r="N232" s="10">
        <v>29283</v>
      </c>
      <c r="O232" s="10">
        <v>17644</v>
      </c>
      <c r="P232" s="10">
        <v>46927</v>
      </c>
    </row>
    <row r="233" spans="1:16" ht="27" customHeight="1" x14ac:dyDescent="0.2">
      <c r="A233" s="9" t="s">
        <v>745</v>
      </c>
      <c r="B233" s="10" t="s">
        <v>872</v>
      </c>
      <c r="C233" s="11" t="s">
        <v>876</v>
      </c>
      <c r="D233" s="11" t="s">
        <v>877</v>
      </c>
      <c r="E233" s="11" t="s">
        <v>26</v>
      </c>
      <c r="F233" s="11" t="s">
        <v>878</v>
      </c>
      <c r="G233" s="11" t="s">
        <v>28</v>
      </c>
      <c r="H233" s="11" t="s">
        <v>878</v>
      </c>
      <c r="I233" s="11" t="s">
        <v>879</v>
      </c>
      <c r="J233" s="12">
        <v>0.74490000000000001</v>
      </c>
      <c r="K233" s="13">
        <v>1</v>
      </c>
      <c r="L233" s="14">
        <v>1184</v>
      </c>
      <c r="M233" s="10">
        <v>882</v>
      </c>
      <c r="N233" s="10">
        <v>130834</v>
      </c>
      <c r="O233" s="10">
        <v>69166</v>
      </c>
      <c r="P233" s="10">
        <v>200000</v>
      </c>
    </row>
    <row r="234" spans="1:16" ht="27" customHeight="1" x14ac:dyDescent="0.2">
      <c r="A234" s="9" t="s">
        <v>745</v>
      </c>
      <c r="B234" s="10" t="s">
        <v>880</v>
      </c>
      <c r="C234" s="11" t="s">
        <v>18</v>
      </c>
      <c r="D234" s="11" t="s">
        <v>19</v>
      </c>
      <c r="E234" s="11" t="s">
        <v>19</v>
      </c>
      <c r="F234" s="11" t="s">
        <v>881</v>
      </c>
      <c r="G234" s="11" t="s">
        <v>83</v>
      </c>
      <c r="H234" s="11" t="s">
        <v>881</v>
      </c>
      <c r="I234" s="11" t="s">
        <v>882</v>
      </c>
      <c r="J234" s="12">
        <v>0.90700000000000003</v>
      </c>
      <c r="K234" s="13">
        <v>2</v>
      </c>
      <c r="L234" s="14">
        <v>344</v>
      </c>
      <c r="M234" s="10">
        <v>312</v>
      </c>
      <c r="N234" s="10">
        <v>38013</v>
      </c>
      <c r="O234" s="10">
        <v>24467</v>
      </c>
      <c r="P234" s="10">
        <v>62480</v>
      </c>
    </row>
    <row r="235" spans="1:16" ht="27" customHeight="1" x14ac:dyDescent="0.2">
      <c r="A235" s="9" t="s">
        <v>745</v>
      </c>
      <c r="B235" s="10" t="s">
        <v>883</v>
      </c>
      <c r="C235" s="11" t="s">
        <v>18</v>
      </c>
      <c r="D235" s="11" t="s">
        <v>19</v>
      </c>
      <c r="E235" s="11" t="s">
        <v>19</v>
      </c>
      <c r="F235" s="11" t="s">
        <v>884</v>
      </c>
      <c r="G235" s="11" t="s">
        <v>83</v>
      </c>
      <c r="H235" s="11" t="s">
        <v>885</v>
      </c>
      <c r="I235" s="11" t="s">
        <v>886</v>
      </c>
      <c r="J235" s="12">
        <v>0.98450000000000004</v>
      </c>
      <c r="K235" s="13">
        <v>8</v>
      </c>
      <c r="L235" s="14">
        <v>3384</v>
      </c>
      <c r="M235" s="10">
        <v>3245</v>
      </c>
      <c r="N235" s="10">
        <v>373939</v>
      </c>
      <c r="O235" s="10">
        <v>254470</v>
      </c>
      <c r="P235" s="10">
        <v>628409</v>
      </c>
    </row>
    <row r="236" spans="1:16" ht="27" customHeight="1" x14ac:dyDescent="0.2">
      <c r="A236" s="9" t="s">
        <v>745</v>
      </c>
      <c r="B236" s="10" t="s">
        <v>887</v>
      </c>
      <c r="C236" s="11" t="s">
        <v>18</v>
      </c>
      <c r="D236" s="11" t="s">
        <v>19</v>
      </c>
      <c r="E236" s="11" t="s">
        <v>19</v>
      </c>
      <c r="F236" s="11" t="s">
        <v>888</v>
      </c>
      <c r="G236" s="11" t="s">
        <v>83</v>
      </c>
      <c r="H236" s="11" t="s">
        <v>888</v>
      </c>
      <c r="I236" s="11" t="s">
        <v>889</v>
      </c>
      <c r="J236" s="12">
        <v>0.27539999999999998</v>
      </c>
      <c r="K236" s="13">
        <v>2</v>
      </c>
      <c r="L236" s="14">
        <v>69</v>
      </c>
      <c r="M236" s="10">
        <v>19</v>
      </c>
      <c r="N236" s="10">
        <v>7625</v>
      </c>
      <c r="O236" s="10">
        <v>1490</v>
      </c>
      <c r="P236" s="10">
        <v>9115</v>
      </c>
    </row>
    <row r="237" spans="1:16" ht="27" customHeight="1" x14ac:dyDescent="0.2">
      <c r="A237" s="9" t="s">
        <v>745</v>
      </c>
      <c r="B237" s="10" t="s">
        <v>890</v>
      </c>
      <c r="C237" s="11" t="s">
        <v>18</v>
      </c>
      <c r="D237" s="11" t="s">
        <v>19</v>
      </c>
      <c r="E237" s="11" t="s">
        <v>19</v>
      </c>
      <c r="F237" s="11" t="s">
        <v>891</v>
      </c>
      <c r="G237" s="11" t="s">
        <v>83</v>
      </c>
      <c r="H237" s="11" t="s">
        <v>891</v>
      </c>
      <c r="I237" s="11" t="s">
        <v>892</v>
      </c>
      <c r="J237" s="12">
        <v>0.76470000000000005</v>
      </c>
      <c r="K237" s="13">
        <v>2</v>
      </c>
      <c r="L237" s="14">
        <v>284</v>
      </c>
      <c r="M237" s="10">
        <v>217</v>
      </c>
      <c r="N237" s="10">
        <v>31383</v>
      </c>
      <c r="O237" s="10">
        <v>17017</v>
      </c>
      <c r="P237" s="10">
        <v>48400</v>
      </c>
    </row>
    <row r="238" spans="1:16" ht="27" customHeight="1" x14ac:dyDescent="0.2">
      <c r="A238" s="9" t="s">
        <v>745</v>
      </c>
      <c r="B238" s="10" t="s">
        <v>890</v>
      </c>
      <c r="C238" s="11" t="s">
        <v>893</v>
      </c>
      <c r="D238" s="11" t="s">
        <v>894</v>
      </c>
      <c r="E238" s="11" t="s">
        <v>26</v>
      </c>
      <c r="F238" s="11" t="s">
        <v>895</v>
      </c>
      <c r="G238" s="11" t="s">
        <v>28</v>
      </c>
      <c r="H238" s="11" t="s">
        <v>895</v>
      </c>
      <c r="I238" s="11" t="s">
        <v>896</v>
      </c>
      <c r="J238" s="12">
        <v>0.97899999999999998</v>
      </c>
      <c r="K238" s="13">
        <v>1</v>
      </c>
      <c r="L238" s="14">
        <v>238</v>
      </c>
      <c r="M238" s="10">
        <v>233</v>
      </c>
      <c r="N238" s="10">
        <v>26299</v>
      </c>
      <c r="O238" s="10">
        <v>18272</v>
      </c>
      <c r="P238" s="10">
        <v>44571</v>
      </c>
    </row>
    <row r="239" spans="1:16" ht="27" customHeight="1" x14ac:dyDescent="0.2">
      <c r="A239" s="9" t="s">
        <v>745</v>
      </c>
      <c r="B239" s="10" t="s">
        <v>897</v>
      </c>
      <c r="C239" s="11" t="s">
        <v>18</v>
      </c>
      <c r="D239" s="11" t="s">
        <v>19</v>
      </c>
      <c r="E239" s="11" t="s">
        <v>19</v>
      </c>
      <c r="F239" s="11" t="s">
        <v>898</v>
      </c>
      <c r="G239" s="11" t="s">
        <v>83</v>
      </c>
      <c r="H239" s="11" t="s">
        <v>899</v>
      </c>
      <c r="I239" s="11" t="s">
        <v>900</v>
      </c>
      <c r="J239" s="12">
        <v>0.93389999999999995</v>
      </c>
      <c r="K239" s="13">
        <v>19</v>
      </c>
      <c r="L239" s="14">
        <v>12165</v>
      </c>
      <c r="M239" s="10">
        <v>8672</v>
      </c>
      <c r="N239" s="10">
        <v>1344254</v>
      </c>
      <c r="O239" s="10">
        <v>680050</v>
      </c>
      <c r="P239" s="10">
        <v>2024304</v>
      </c>
    </row>
    <row r="240" spans="1:16" ht="27" customHeight="1" x14ac:dyDescent="0.2">
      <c r="A240" s="9" t="s">
        <v>745</v>
      </c>
      <c r="B240" s="10" t="s">
        <v>897</v>
      </c>
      <c r="C240" s="11" t="s">
        <v>901</v>
      </c>
      <c r="D240" s="11" t="s">
        <v>902</v>
      </c>
      <c r="E240" s="11" t="s">
        <v>57</v>
      </c>
      <c r="F240" s="11" t="s">
        <v>903</v>
      </c>
      <c r="G240" s="11" t="s">
        <v>28</v>
      </c>
      <c r="H240" s="11" t="s">
        <v>903</v>
      </c>
      <c r="I240" s="11" t="s">
        <v>904</v>
      </c>
      <c r="J240" s="12">
        <v>0.31209999999999999</v>
      </c>
      <c r="K240" s="13">
        <v>1</v>
      </c>
      <c r="L240" s="14">
        <v>596</v>
      </c>
      <c r="M240" s="10">
        <v>186</v>
      </c>
      <c r="N240" s="10">
        <v>65859</v>
      </c>
      <c r="O240" s="10">
        <v>14586</v>
      </c>
      <c r="P240" s="10">
        <v>80445</v>
      </c>
    </row>
    <row r="241" spans="1:16" ht="27" customHeight="1" x14ac:dyDescent="0.2">
      <c r="A241" s="9" t="s">
        <v>745</v>
      </c>
      <c r="B241" s="10" t="s">
        <v>897</v>
      </c>
      <c r="C241" s="11" t="s">
        <v>905</v>
      </c>
      <c r="D241" s="11" t="s">
        <v>906</v>
      </c>
      <c r="E241" s="11" t="s">
        <v>57</v>
      </c>
      <c r="F241" s="11" t="s">
        <v>907</v>
      </c>
      <c r="G241" s="11" t="s">
        <v>28</v>
      </c>
      <c r="H241" s="11" t="s">
        <v>907</v>
      </c>
      <c r="I241" s="11" t="s">
        <v>908</v>
      </c>
      <c r="J241" s="12">
        <v>0.65380000000000005</v>
      </c>
      <c r="K241" s="13">
        <v>1</v>
      </c>
      <c r="L241" s="14">
        <v>624</v>
      </c>
      <c r="M241" s="10">
        <v>408</v>
      </c>
      <c r="N241" s="10">
        <v>68953</v>
      </c>
      <c r="O241" s="10">
        <v>31995</v>
      </c>
      <c r="P241" s="10">
        <v>100948</v>
      </c>
    </row>
    <row r="242" spans="1:16" ht="27" customHeight="1" x14ac:dyDescent="0.2">
      <c r="A242" s="9" t="s">
        <v>745</v>
      </c>
      <c r="B242" s="10" t="s">
        <v>909</v>
      </c>
      <c r="C242" s="11" t="s">
        <v>18</v>
      </c>
      <c r="D242" s="11" t="s">
        <v>19</v>
      </c>
      <c r="E242" s="11" t="s">
        <v>19</v>
      </c>
      <c r="F242" s="11" t="s">
        <v>910</v>
      </c>
      <c r="G242" s="11" t="s">
        <v>83</v>
      </c>
      <c r="H242" s="11" t="s">
        <v>911</v>
      </c>
      <c r="I242" s="11" t="s">
        <v>912</v>
      </c>
      <c r="J242" s="12">
        <v>0.96919999999999995</v>
      </c>
      <c r="K242" s="13">
        <v>13</v>
      </c>
      <c r="L242" s="14">
        <v>5970</v>
      </c>
      <c r="M242" s="10">
        <v>5377</v>
      </c>
      <c r="N242" s="10">
        <v>659695</v>
      </c>
      <c r="O242" s="10">
        <v>421659</v>
      </c>
      <c r="P242" s="10">
        <v>1081354</v>
      </c>
    </row>
    <row r="243" spans="1:16" ht="27" customHeight="1" x14ac:dyDescent="0.2">
      <c r="A243" s="9" t="s">
        <v>745</v>
      </c>
      <c r="B243" s="10" t="s">
        <v>913</v>
      </c>
      <c r="C243" s="11" t="s">
        <v>18</v>
      </c>
      <c r="D243" s="11" t="s">
        <v>19</v>
      </c>
      <c r="E243" s="11" t="s">
        <v>19</v>
      </c>
      <c r="F243" s="11" t="s">
        <v>914</v>
      </c>
      <c r="G243" s="11" t="s">
        <v>83</v>
      </c>
      <c r="H243" s="11" t="s">
        <v>914</v>
      </c>
      <c r="I243" s="11" t="s">
        <v>915</v>
      </c>
      <c r="J243" s="12">
        <v>0.8196</v>
      </c>
      <c r="K243" s="13">
        <v>2</v>
      </c>
      <c r="L243" s="14">
        <v>476</v>
      </c>
      <c r="M243" s="10">
        <v>390</v>
      </c>
      <c r="N243" s="10">
        <v>52599</v>
      </c>
      <c r="O243" s="10">
        <v>30583</v>
      </c>
      <c r="P243" s="10">
        <v>83182</v>
      </c>
    </row>
    <row r="244" spans="1:16" ht="27" customHeight="1" x14ac:dyDescent="0.2">
      <c r="A244" s="9" t="s">
        <v>745</v>
      </c>
      <c r="B244" s="10" t="s">
        <v>916</v>
      </c>
      <c r="C244" s="11" t="s">
        <v>18</v>
      </c>
      <c r="D244" s="11" t="s">
        <v>19</v>
      </c>
      <c r="E244" s="11" t="s">
        <v>19</v>
      </c>
      <c r="F244" s="11" t="s">
        <v>917</v>
      </c>
      <c r="G244" s="11" t="s">
        <v>83</v>
      </c>
      <c r="H244" s="11" t="s">
        <v>917</v>
      </c>
      <c r="I244" s="11" t="s">
        <v>918</v>
      </c>
      <c r="J244" s="12">
        <v>0.71009999999999995</v>
      </c>
      <c r="K244" s="13">
        <v>2</v>
      </c>
      <c r="L244" s="14">
        <v>331</v>
      </c>
      <c r="M244" s="10">
        <v>235</v>
      </c>
      <c r="N244" s="10">
        <v>36577</v>
      </c>
      <c r="O244" s="10">
        <v>18429</v>
      </c>
      <c r="P244" s="10">
        <v>55006</v>
      </c>
    </row>
    <row r="245" spans="1:16" ht="27" customHeight="1" x14ac:dyDescent="0.2">
      <c r="A245" s="9" t="s">
        <v>745</v>
      </c>
      <c r="B245" s="10" t="s">
        <v>916</v>
      </c>
      <c r="C245" s="11" t="s">
        <v>919</v>
      </c>
      <c r="D245" s="11" t="s">
        <v>920</v>
      </c>
      <c r="E245" s="11" t="s">
        <v>57</v>
      </c>
      <c r="F245" s="11" t="s">
        <v>921</v>
      </c>
      <c r="G245" s="11" t="s">
        <v>28</v>
      </c>
      <c r="H245" s="11" t="s">
        <v>921</v>
      </c>
      <c r="I245" s="11" t="s">
        <v>922</v>
      </c>
      <c r="J245" s="12">
        <v>0.73040000000000005</v>
      </c>
      <c r="K245" s="13">
        <v>1</v>
      </c>
      <c r="L245" s="14">
        <v>204</v>
      </c>
      <c r="M245" s="10">
        <v>149</v>
      </c>
      <c r="N245" s="10">
        <v>22542</v>
      </c>
      <c r="O245" s="10">
        <v>11684</v>
      </c>
      <c r="P245" s="10">
        <v>34226</v>
      </c>
    </row>
    <row r="246" spans="1:16" ht="27" customHeight="1" x14ac:dyDescent="0.2">
      <c r="A246" s="9" t="s">
        <v>745</v>
      </c>
      <c r="B246" s="10" t="s">
        <v>923</v>
      </c>
      <c r="C246" s="11" t="s">
        <v>18</v>
      </c>
      <c r="D246" s="11" t="s">
        <v>19</v>
      </c>
      <c r="E246" s="11" t="s">
        <v>19</v>
      </c>
      <c r="F246" s="11" t="s">
        <v>924</v>
      </c>
      <c r="G246" s="11" t="s">
        <v>83</v>
      </c>
      <c r="H246" s="11" t="s">
        <v>924</v>
      </c>
      <c r="I246" s="11" t="s">
        <v>925</v>
      </c>
      <c r="J246" s="12">
        <v>0.98529999999999995</v>
      </c>
      <c r="K246" s="13">
        <v>2</v>
      </c>
      <c r="L246" s="14">
        <v>153</v>
      </c>
      <c r="M246" s="10">
        <v>151</v>
      </c>
      <c r="N246" s="10">
        <v>16907</v>
      </c>
      <c r="O246" s="10">
        <v>11841</v>
      </c>
      <c r="P246" s="10">
        <v>28748</v>
      </c>
    </row>
    <row r="247" spans="1:16" ht="27" customHeight="1" x14ac:dyDescent="0.2">
      <c r="A247" s="9" t="s">
        <v>745</v>
      </c>
      <c r="B247" s="10" t="s">
        <v>923</v>
      </c>
      <c r="C247" s="11" t="s">
        <v>926</v>
      </c>
      <c r="D247" s="11" t="s">
        <v>927</v>
      </c>
      <c r="E247" s="11" t="s">
        <v>26</v>
      </c>
      <c r="F247" s="11" t="s">
        <v>928</v>
      </c>
      <c r="G247" s="11" t="s">
        <v>28</v>
      </c>
      <c r="H247" s="11" t="s">
        <v>928</v>
      </c>
      <c r="I247" s="11" t="s">
        <v>929</v>
      </c>
      <c r="J247" s="12">
        <v>0.47789999999999999</v>
      </c>
      <c r="K247" s="13">
        <v>1</v>
      </c>
      <c r="L247" s="14">
        <v>2551</v>
      </c>
      <c r="M247" s="10">
        <v>1219</v>
      </c>
      <c r="N247" s="10">
        <v>281890</v>
      </c>
      <c r="O247" s="10">
        <v>95593</v>
      </c>
      <c r="P247" s="10">
        <v>377483</v>
      </c>
    </row>
    <row r="248" spans="1:16" ht="27" customHeight="1" x14ac:dyDescent="0.2">
      <c r="A248" s="9" t="s">
        <v>745</v>
      </c>
      <c r="B248" s="10" t="s">
        <v>923</v>
      </c>
      <c r="C248" s="11" t="s">
        <v>930</v>
      </c>
      <c r="D248" s="11" t="s">
        <v>931</v>
      </c>
      <c r="E248" s="11" t="s">
        <v>26</v>
      </c>
      <c r="F248" s="11" t="s">
        <v>932</v>
      </c>
      <c r="G248" s="11" t="s">
        <v>28</v>
      </c>
      <c r="H248" s="11" t="s">
        <v>932</v>
      </c>
      <c r="I248" s="11" t="s">
        <v>933</v>
      </c>
      <c r="J248" s="12">
        <v>0.87280000000000002</v>
      </c>
      <c r="K248" s="13">
        <v>1</v>
      </c>
      <c r="L248" s="14">
        <v>1203</v>
      </c>
      <c r="M248" s="10">
        <v>1050</v>
      </c>
      <c r="N248" s="10">
        <v>132933</v>
      </c>
      <c r="O248" s="10">
        <v>82340</v>
      </c>
      <c r="P248" s="10">
        <v>215273</v>
      </c>
    </row>
    <row r="249" spans="1:16" ht="27" customHeight="1" x14ac:dyDescent="0.2">
      <c r="A249" s="9" t="s">
        <v>745</v>
      </c>
      <c r="B249" s="10" t="s">
        <v>934</v>
      </c>
      <c r="C249" s="11" t="s">
        <v>18</v>
      </c>
      <c r="D249" s="11" t="s">
        <v>19</v>
      </c>
      <c r="E249" s="11" t="s">
        <v>19</v>
      </c>
      <c r="F249" s="11" t="s">
        <v>935</v>
      </c>
      <c r="G249" s="11" t="s">
        <v>83</v>
      </c>
      <c r="H249" s="11" t="s">
        <v>936</v>
      </c>
      <c r="I249" s="11" t="s">
        <v>937</v>
      </c>
      <c r="J249" s="12">
        <v>0.94120000000000004</v>
      </c>
      <c r="K249" s="13">
        <v>7</v>
      </c>
      <c r="L249" s="14">
        <v>2297</v>
      </c>
      <c r="M249" s="10">
        <v>2059</v>
      </c>
      <c r="N249" s="10">
        <v>253823</v>
      </c>
      <c r="O249" s="10">
        <v>161464</v>
      </c>
      <c r="P249" s="10">
        <v>415287</v>
      </c>
    </row>
    <row r="250" spans="1:16" ht="27" customHeight="1" x14ac:dyDescent="0.2">
      <c r="A250" s="9" t="s">
        <v>745</v>
      </c>
      <c r="B250" s="10" t="s">
        <v>938</v>
      </c>
      <c r="C250" s="11" t="s">
        <v>18</v>
      </c>
      <c r="D250" s="11" t="s">
        <v>19</v>
      </c>
      <c r="E250" s="11" t="s">
        <v>19</v>
      </c>
      <c r="F250" s="11" t="s">
        <v>939</v>
      </c>
      <c r="G250" s="11" t="s">
        <v>83</v>
      </c>
      <c r="H250" s="11" t="s">
        <v>940</v>
      </c>
      <c r="I250" s="11" t="s">
        <v>941</v>
      </c>
      <c r="J250" s="12">
        <v>0.94199999999999995</v>
      </c>
      <c r="K250" s="13">
        <v>26</v>
      </c>
      <c r="L250" s="14">
        <v>15996</v>
      </c>
      <c r="M250" s="10">
        <v>12756</v>
      </c>
      <c r="N250" s="10">
        <v>1767586</v>
      </c>
      <c r="O250" s="10">
        <v>1000311</v>
      </c>
      <c r="P250" s="10">
        <v>2767897</v>
      </c>
    </row>
    <row r="251" spans="1:16" ht="27" customHeight="1" x14ac:dyDescent="0.2">
      <c r="A251" s="9" t="s">
        <v>745</v>
      </c>
      <c r="B251" s="10" t="s">
        <v>942</v>
      </c>
      <c r="C251" s="11" t="s">
        <v>18</v>
      </c>
      <c r="D251" s="11" t="s">
        <v>19</v>
      </c>
      <c r="E251" s="11" t="s">
        <v>19</v>
      </c>
      <c r="F251" s="11" t="s">
        <v>943</v>
      </c>
      <c r="G251" s="11" t="s">
        <v>83</v>
      </c>
      <c r="H251" s="11" t="s">
        <v>944</v>
      </c>
      <c r="I251" s="11" t="s">
        <v>945</v>
      </c>
      <c r="J251" s="12">
        <v>0.86240000000000006</v>
      </c>
      <c r="K251" s="13">
        <v>9</v>
      </c>
      <c r="L251" s="14">
        <v>5478</v>
      </c>
      <c r="M251" s="10">
        <v>4519</v>
      </c>
      <c r="N251" s="10">
        <v>605327</v>
      </c>
      <c r="O251" s="10">
        <v>354375</v>
      </c>
      <c r="P251" s="10">
        <v>959702</v>
      </c>
    </row>
    <row r="252" spans="1:16" ht="27" customHeight="1" x14ac:dyDescent="0.2">
      <c r="A252" s="9" t="s">
        <v>745</v>
      </c>
      <c r="B252" s="10" t="s">
        <v>946</v>
      </c>
      <c r="C252" s="11" t="s">
        <v>18</v>
      </c>
      <c r="D252" s="11" t="s">
        <v>19</v>
      </c>
      <c r="E252" s="11" t="s">
        <v>19</v>
      </c>
      <c r="F252" s="11" t="s">
        <v>947</v>
      </c>
      <c r="G252" s="11" t="s">
        <v>83</v>
      </c>
      <c r="H252" s="11" t="s">
        <v>948</v>
      </c>
      <c r="I252" s="11" t="s">
        <v>949</v>
      </c>
      <c r="J252" s="12">
        <v>0.97850000000000004</v>
      </c>
      <c r="K252" s="13">
        <v>8</v>
      </c>
      <c r="L252" s="14">
        <v>4023</v>
      </c>
      <c r="M252" s="10">
        <v>3937</v>
      </c>
      <c r="N252" s="10">
        <v>444549</v>
      </c>
      <c r="O252" s="10">
        <v>308734</v>
      </c>
      <c r="P252" s="10">
        <v>753283</v>
      </c>
    </row>
    <row r="253" spans="1:16" ht="27" customHeight="1" x14ac:dyDescent="0.2">
      <c r="A253" s="9" t="s">
        <v>745</v>
      </c>
      <c r="B253" s="10" t="s">
        <v>950</v>
      </c>
      <c r="C253" s="11" t="s">
        <v>18</v>
      </c>
      <c r="D253" s="11" t="s">
        <v>19</v>
      </c>
      <c r="E253" s="11" t="s">
        <v>19</v>
      </c>
      <c r="F253" s="11" t="s">
        <v>951</v>
      </c>
      <c r="G253" s="11" t="s">
        <v>83</v>
      </c>
      <c r="H253" s="11" t="s">
        <v>748</v>
      </c>
      <c r="I253" s="11" t="s">
        <v>749</v>
      </c>
      <c r="J253" s="12">
        <v>1</v>
      </c>
      <c r="K253" s="13">
        <v>7</v>
      </c>
      <c r="L253" s="14">
        <v>1391</v>
      </c>
      <c r="M253" s="10">
        <v>1270</v>
      </c>
      <c r="N253" s="10">
        <v>153708</v>
      </c>
      <c r="O253" s="10">
        <v>99593</v>
      </c>
      <c r="P253" s="10">
        <v>253301</v>
      </c>
    </row>
    <row r="254" spans="1:16" ht="27" customHeight="1" x14ac:dyDescent="0.2">
      <c r="A254" s="9" t="s">
        <v>745</v>
      </c>
      <c r="B254" s="10" t="s">
        <v>952</v>
      </c>
      <c r="C254" s="11" t="s">
        <v>18</v>
      </c>
      <c r="D254" s="11" t="s">
        <v>19</v>
      </c>
      <c r="E254" s="11" t="s">
        <v>19</v>
      </c>
      <c r="F254" s="11" t="s">
        <v>953</v>
      </c>
      <c r="G254" s="11" t="s">
        <v>83</v>
      </c>
      <c r="H254" s="11" t="s">
        <v>954</v>
      </c>
      <c r="I254" s="11" t="s">
        <v>955</v>
      </c>
      <c r="J254" s="12">
        <v>0.46970000000000001</v>
      </c>
      <c r="K254" s="13">
        <v>7</v>
      </c>
      <c r="L254" s="14">
        <v>1325</v>
      </c>
      <c r="M254" s="10">
        <v>557</v>
      </c>
      <c r="N254" s="10">
        <v>146415</v>
      </c>
      <c r="O254" s="10">
        <v>43679</v>
      </c>
      <c r="P254" s="10">
        <v>190094</v>
      </c>
    </row>
    <row r="255" spans="1:16" ht="27" customHeight="1" x14ac:dyDescent="0.2">
      <c r="A255" s="9" t="s">
        <v>745</v>
      </c>
      <c r="B255" s="10" t="s">
        <v>956</v>
      </c>
      <c r="C255" s="11" t="s">
        <v>18</v>
      </c>
      <c r="D255" s="11" t="s">
        <v>19</v>
      </c>
      <c r="E255" s="11" t="s">
        <v>19</v>
      </c>
      <c r="F255" s="11" t="s">
        <v>957</v>
      </c>
      <c r="G255" s="11" t="s">
        <v>83</v>
      </c>
      <c r="H255" s="11" t="s">
        <v>958</v>
      </c>
      <c r="I255" s="11" t="s">
        <v>959</v>
      </c>
      <c r="J255" s="12">
        <v>0.89410000000000001</v>
      </c>
      <c r="K255" s="13">
        <v>6</v>
      </c>
      <c r="L255" s="14">
        <v>1547</v>
      </c>
      <c r="M255" s="10">
        <v>1342</v>
      </c>
      <c r="N255" s="10">
        <v>170946</v>
      </c>
      <c r="O255" s="10">
        <v>105237</v>
      </c>
      <c r="P255" s="10">
        <v>276183</v>
      </c>
    </row>
    <row r="256" spans="1:16" ht="27" customHeight="1" x14ac:dyDescent="0.2">
      <c r="A256" s="9" t="s">
        <v>745</v>
      </c>
      <c r="B256" s="10" t="s">
        <v>960</v>
      </c>
      <c r="C256" s="11" t="s">
        <v>18</v>
      </c>
      <c r="D256" s="11" t="s">
        <v>19</v>
      </c>
      <c r="E256" s="11" t="s">
        <v>19</v>
      </c>
      <c r="F256" s="11" t="s">
        <v>961</v>
      </c>
      <c r="G256" s="11" t="s">
        <v>83</v>
      </c>
      <c r="H256" s="11" t="s">
        <v>962</v>
      </c>
      <c r="I256" s="11" t="s">
        <v>963</v>
      </c>
      <c r="J256" s="12">
        <v>0.87309999999999999</v>
      </c>
      <c r="K256" s="13">
        <v>4</v>
      </c>
      <c r="L256" s="14">
        <v>1616</v>
      </c>
      <c r="M256" s="10">
        <v>1429</v>
      </c>
      <c r="N256" s="10">
        <v>178572</v>
      </c>
      <c r="O256" s="10">
        <v>112061</v>
      </c>
      <c r="P256" s="10">
        <v>290633</v>
      </c>
    </row>
    <row r="257" spans="1:16" ht="27" customHeight="1" x14ac:dyDescent="0.2">
      <c r="A257" s="9" t="s">
        <v>745</v>
      </c>
      <c r="B257" s="10" t="s">
        <v>964</v>
      </c>
      <c r="C257" s="11" t="s">
        <v>18</v>
      </c>
      <c r="D257" s="11" t="s">
        <v>19</v>
      </c>
      <c r="E257" s="11" t="s">
        <v>19</v>
      </c>
      <c r="F257" s="11" t="s">
        <v>965</v>
      </c>
      <c r="G257" s="11" t="s">
        <v>83</v>
      </c>
      <c r="H257" s="11" t="s">
        <v>966</v>
      </c>
      <c r="I257" s="11" t="s">
        <v>967</v>
      </c>
      <c r="J257" s="12">
        <v>0.96409999999999996</v>
      </c>
      <c r="K257" s="13">
        <v>8</v>
      </c>
      <c r="L257" s="14">
        <v>2617</v>
      </c>
      <c r="M257" s="10">
        <v>2241</v>
      </c>
      <c r="N257" s="10">
        <v>289183</v>
      </c>
      <c r="O257" s="10">
        <v>175736</v>
      </c>
      <c r="P257" s="10">
        <v>464919</v>
      </c>
    </row>
    <row r="258" spans="1:16" ht="27" customHeight="1" x14ac:dyDescent="0.2">
      <c r="A258" s="9" t="s">
        <v>745</v>
      </c>
      <c r="B258" s="10" t="s">
        <v>964</v>
      </c>
      <c r="C258" s="11" t="s">
        <v>968</v>
      </c>
      <c r="D258" s="11" t="s">
        <v>969</v>
      </c>
      <c r="E258" s="11" t="s">
        <v>26</v>
      </c>
      <c r="F258" s="11" t="s">
        <v>970</v>
      </c>
      <c r="G258" s="11" t="s">
        <v>28</v>
      </c>
      <c r="H258" s="11" t="s">
        <v>970</v>
      </c>
      <c r="I258" s="11" t="s">
        <v>971</v>
      </c>
      <c r="J258" s="12">
        <v>0.98750000000000004</v>
      </c>
      <c r="K258" s="13">
        <v>1</v>
      </c>
      <c r="L258" s="14">
        <v>319</v>
      </c>
      <c r="M258" s="10">
        <v>315</v>
      </c>
      <c r="N258" s="10">
        <v>35250</v>
      </c>
      <c r="O258" s="10">
        <v>24702</v>
      </c>
      <c r="P258" s="10">
        <v>59952</v>
      </c>
    </row>
    <row r="259" spans="1:16" ht="27" customHeight="1" x14ac:dyDescent="0.2">
      <c r="A259" s="9" t="s">
        <v>972</v>
      </c>
      <c r="B259" s="10" t="s">
        <v>973</v>
      </c>
      <c r="C259" s="11" t="s">
        <v>18</v>
      </c>
      <c r="D259" s="11" t="s">
        <v>19</v>
      </c>
      <c r="E259" s="11" t="s">
        <v>19</v>
      </c>
      <c r="F259" s="11" t="s">
        <v>974</v>
      </c>
      <c r="G259" s="11" t="s">
        <v>21</v>
      </c>
      <c r="H259" s="11" t="s">
        <v>975</v>
      </c>
      <c r="I259" s="11" t="s">
        <v>976</v>
      </c>
      <c r="J259" s="12">
        <v>0.92169999999999996</v>
      </c>
      <c r="K259" s="13">
        <v>2</v>
      </c>
      <c r="L259" s="14">
        <v>209</v>
      </c>
      <c r="M259" s="10">
        <v>179</v>
      </c>
      <c r="N259" s="10">
        <v>23095</v>
      </c>
      <c r="O259" s="10">
        <v>14037</v>
      </c>
      <c r="P259" s="10">
        <v>37132</v>
      </c>
    </row>
    <row r="260" spans="1:16" ht="27" customHeight="1" x14ac:dyDescent="0.2">
      <c r="A260" s="9" t="s">
        <v>972</v>
      </c>
      <c r="B260" s="10" t="s">
        <v>973</v>
      </c>
      <c r="C260" s="11" t="s">
        <v>977</v>
      </c>
      <c r="D260" s="11" t="s">
        <v>978</v>
      </c>
      <c r="E260" s="11" t="s">
        <v>26</v>
      </c>
      <c r="F260" s="11" t="s">
        <v>979</v>
      </c>
      <c r="G260" s="11" t="s">
        <v>28</v>
      </c>
      <c r="H260" s="11" t="s">
        <v>979</v>
      </c>
      <c r="I260" s="11" t="s">
        <v>980</v>
      </c>
      <c r="J260" s="12">
        <v>0.55730000000000002</v>
      </c>
      <c r="K260" s="13">
        <v>1</v>
      </c>
      <c r="L260" s="14">
        <v>192</v>
      </c>
      <c r="M260" s="10">
        <v>107</v>
      </c>
      <c r="N260" s="10">
        <v>21216</v>
      </c>
      <c r="O260" s="10">
        <v>8391</v>
      </c>
      <c r="P260" s="10">
        <v>29607</v>
      </c>
    </row>
    <row r="261" spans="1:16" ht="27" customHeight="1" x14ac:dyDescent="0.2">
      <c r="A261" s="9" t="s">
        <v>972</v>
      </c>
      <c r="B261" s="10" t="s">
        <v>973</v>
      </c>
      <c r="C261" s="11" t="s">
        <v>981</v>
      </c>
      <c r="D261" s="11" t="s">
        <v>982</v>
      </c>
      <c r="E261" s="11" t="s">
        <v>57</v>
      </c>
      <c r="F261" s="11" t="s">
        <v>983</v>
      </c>
      <c r="G261" s="11" t="s">
        <v>28</v>
      </c>
      <c r="H261" s="11" t="s">
        <v>975</v>
      </c>
      <c r="I261" s="11" t="s">
        <v>976</v>
      </c>
      <c r="J261" s="12">
        <v>0.92169999999999996</v>
      </c>
      <c r="K261" s="13">
        <v>1</v>
      </c>
      <c r="L261" s="14">
        <v>91</v>
      </c>
      <c r="M261" s="10">
        <v>24</v>
      </c>
      <c r="N261" s="10">
        <v>10056</v>
      </c>
      <c r="O261" s="10">
        <v>1882</v>
      </c>
      <c r="P261" s="10">
        <v>11938</v>
      </c>
    </row>
    <row r="262" spans="1:16" ht="27" customHeight="1" x14ac:dyDescent="0.2">
      <c r="A262" s="9" t="s">
        <v>972</v>
      </c>
      <c r="B262" s="10" t="s">
        <v>973</v>
      </c>
      <c r="C262" s="11" t="s">
        <v>984</v>
      </c>
      <c r="D262" s="11" t="s">
        <v>985</v>
      </c>
      <c r="E262" s="11" t="s">
        <v>57</v>
      </c>
      <c r="F262" s="11" t="s">
        <v>986</v>
      </c>
      <c r="G262" s="11" t="s">
        <v>28</v>
      </c>
      <c r="H262" s="11" t="s">
        <v>975</v>
      </c>
      <c r="I262" s="11" t="s">
        <v>976</v>
      </c>
      <c r="J262" s="12">
        <v>0.92169999999999996</v>
      </c>
      <c r="K262" s="13">
        <v>1</v>
      </c>
      <c r="L262" s="14">
        <v>153</v>
      </c>
      <c r="M262" s="10">
        <v>107</v>
      </c>
      <c r="N262" s="10">
        <v>16907</v>
      </c>
      <c r="O262" s="10">
        <v>8391</v>
      </c>
      <c r="P262" s="10">
        <v>25298</v>
      </c>
    </row>
    <row r="263" spans="1:16" ht="27" customHeight="1" x14ac:dyDescent="0.2">
      <c r="A263" s="9" t="s">
        <v>972</v>
      </c>
      <c r="B263" s="10" t="s">
        <v>987</v>
      </c>
      <c r="C263" s="11" t="s">
        <v>18</v>
      </c>
      <c r="D263" s="11" t="s">
        <v>19</v>
      </c>
      <c r="E263" s="11" t="s">
        <v>19</v>
      </c>
      <c r="F263" s="11" t="s">
        <v>988</v>
      </c>
      <c r="G263" s="11" t="s">
        <v>83</v>
      </c>
      <c r="H263" s="11" t="s">
        <v>988</v>
      </c>
      <c r="I263" s="11" t="s">
        <v>989</v>
      </c>
      <c r="J263" s="12">
        <v>0.45950000000000002</v>
      </c>
      <c r="K263" s="13">
        <v>2</v>
      </c>
      <c r="L263" s="14">
        <v>185</v>
      </c>
      <c r="M263" s="10">
        <v>85</v>
      </c>
      <c r="N263" s="10">
        <v>20443</v>
      </c>
      <c r="O263" s="10">
        <v>6666</v>
      </c>
      <c r="P263" s="10">
        <v>27109</v>
      </c>
    </row>
    <row r="264" spans="1:16" ht="27" customHeight="1" x14ac:dyDescent="0.2">
      <c r="A264" s="9" t="s">
        <v>972</v>
      </c>
      <c r="B264" s="10" t="s">
        <v>990</v>
      </c>
      <c r="C264" s="11" t="s">
        <v>18</v>
      </c>
      <c r="D264" s="11" t="s">
        <v>19</v>
      </c>
      <c r="E264" s="11" t="s">
        <v>19</v>
      </c>
      <c r="F264" s="11" t="s">
        <v>991</v>
      </c>
      <c r="G264" s="11" t="s">
        <v>83</v>
      </c>
      <c r="H264" s="11" t="s">
        <v>991</v>
      </c>
      <c r="I264" s="11" t="s">
        <v>992</v>
      </c>
      <c r="J264" s="12">
        <v>0.43240000000000001</v>
      </c>
      <c r="K264" s="13">
        <v>2</v>
      </c>
      <c r="L264" s="14">
        <v>185</v>
      </c>
      <c r="M264" s="10">
        <v>80</v>
      </c>
      <c r="N264" s="10">
        <v>20443</v>
      </c>
      <c r="O264" s="10">
        <v>6274</v>
      </c>
      <c r="P264" s="10">
        <v>26717</v>
      </c>
    </row>
    <row r="265" spans="1:16" ht="27" customHeight="1" x14ac:dyDescent="0.2">
      <c r="A265" s="9" t="s">
        <v>972</v>
      </c>
      <c r="B265" s="10" t="s">
        <v>990</v>
      </c>
      <c r="C265" s="11" t="s">
        <v>993</v>
      </c>
      <c r="D265" s="11" t="s">
        <v>994</v>
      </c>
      <c r="E265" s="11" t="s">
        <v>26</v>
      </c>
      <c r="F265" s="11" t="s">
        <v>995</v>
      </c>
      <c r="G265" s="11" t="s">
        <v>28</v>
      </c>
      <c r="H265" s="11" t="s">
        <v>995</v>
      </c>
      <c r="I265" s="11" t="s">
        <v>996</v>
      </c>
      <c r="J265" s="12">
        <v>0.55740000000000001</v>
      </c>
      <c r="K265" s="13">
        <v>1</v>
      </c>
      <c r="L265" s="14">
        <v>723</v>
      </c>
      <c r="M265" s="10">
        <v>403</v>
      </c>
      <c r="N265" s="10">
        <v>79893</v>
      </c>
      <c r="O265" s="10">
        <v>31603</v>
      </c>
      <c r="P265" s="10">
        <v>111496</v>
      </c>
    </row>
    <row r="266" spans="1:16" ht="27" customHeight="1" x14ac:dyDescent="0.2">
      <c r="A266" s="9" t="s">
        <v>972</v>
      </c>
      <c r="B266" s="10" t="s">
        <v>997</v>
      </c>
      <c r="C266" s="11" t="s">
        <v>18</v>
      </c>
      <c r="D266" s="11" t="s">
        <v>19</v>
      </c>
      <c r="E266" s="11" t="s">
        <v>19</v>
      </c>
      <c r="F266" s="11" t="s">
        <v>998</v>
      </c>
      <c r="G266" s="11" t="s">
        <v>83</v>
      </c>
      <c r="H266" s="11" t="s">
        <v>998</v>
      </c>
      <c r="I266" s="11" t="s">
        <v>999</v>
      </c>
      <c r="J266" s="12">
        <v>0.46729999999999999</v>
      </c>
      <c r="K266" s="13">
        <v>2</v>
      </c>
      <c r="L266" s="14">
        <v>199</v>
      </c>
      <c r="M266" s="10">
        <v>93</v>
      </c>
      <c r="N266" s="10">
        <v>21990</v>
      </c>
      <c r="O266" s="10">
        <v>7293</v>
      </c>
      <c r="P266" s="10">
        <v>29283</v>
      </c>
    </row>
    <row r="267" spans="1:16" ht="27" customHeight="1" x14ac:dyDescent="0.2">
      <c r="A267" s="9" t="s">
        <v>972</v>
      </c>
      <c r="B267" s="10" t="s">
        <v>1000</v>
      </c>
      <c r="C267" s="11" t="s">
        <v>18</v>
      </c>
      <c r="D267" s="11" t="s">
        <v>19</v>
      </c>
      <c r="E267" s="11" t="s">
        <v>19</v>
      </c>
      <c r="F267" s="11" t="s">
        <v>1001</v>
      </c>
      <c r="G267" s="11" t="s">
        <v>83</v>
      </c>
      <c r="H267" s="11" t="s">
        <v>1002</v>
      </c>
      <c r="I267" s="11" t="s">
        <v>1003</v>
      </c>
      <c r="J267" s="12">
        <v>0.68120000000000003</v>
      </c>
      <c r="K267" s="13">
        <v>4</v>
      </c>
      <c r="L267" s="14">
        <v>133</v>
      </c>
      <c r="M267" s="10">
        <v>90</v>
      </c>
      <c r="N267" s="10">
        <v>14697</v>
      </c>
      <c r="O267" s="10">
        <v>7058</v>
      </c>
      <c r="P267" s="10">
        <v>21755</v>
      </c>
    </row>
    <row r="268" spans="1:16" ht="27" customHeight="1" x14ac:dyDescent="0.2">
      <c r="A268" s="9" t="s">
        <v>972</v>
      </c>
      <c r="B268" s="10" t="s">
        <v>1004</v>
      </c>
      <c r="C268" s="11" t="s">
        <v>18</v>
      </c>
      <c r="D268" s="11" t="s">
        <v>19</v>
      </c>
      <c r="E268" s="11" t="s">
        <v>19</v>
      </c>
      <c r="F268" s="11" t="s">
        <v>1005</v>
      </c>
      <c r="G268" s="11" t="s">
        <v>83</v>
      </c>
      <c r="H268" s="11" t="s">
        <v>1006</v>
      </c>
      <c r="I268" s="11" t="s">
        <v>1007</v>
      </c>
      <c r="J268" s="12">
        <v>0.64100000000000001</v>
      </c>
      <c r="K268" s="13">
        <v>5</v>
      </c>
      <c r="L268" s="14">
        <v>88</v>
      </c>
      <c r="M268" s="10">
        <v>56</v>
      </c>
      <c r="N268" s="10">
        <v>9725</v>
      </c>
      <c r="O268" s="10">
        <v>4391</v>
      </c>
      <c r="P268" s="10">
        <v>14116</v>
      </c>
    </row>
    <row r="269" spans="1:16" ht="27" customHeight="1" x14ac:dyDescent="0.2">
      <c r="A269" s="9" t="s">
        <v>972</v>
      </c>
      <c r="B269" s="10" t="s">
        <v>1008</v>
      </c>
      <c r="C269" s="11" t="s">
        <v>18</v>
      </c>
      <c r="D269" s="11" t="s">
        <v>19</v>
      </c>
      <c r="E269" s="11" t="s">
        <v>19</v>
      </c>
      <c r="F269" s="11" t="s">
        <v>1009</v>
      </c>
      <c r="G269" s="11" t="s">
        <v>83</v>
      </c>
      <c r="H269" s="11" t="s">
        <v>1010</v>
      </c>
      <c r="I269" s="11" t="s">
        <v>1011</v>
      </c>
      <c r="J269" s="12">
        <v>0.81059999999999999</v>
      </c>
      <c r="K269" s="13">
        <v>5</v>
      </c>
      <c r="L269" s="14">
        <v>1391</v>
      </c>
      <c r="M269" s="10">
        <v>1102</v>
      </c>
      <c r="N269" s="10">
        <v>153708</v>
      </c>
      <c r="O269" s="10">
        <v>86417</v>
      </c>
      <c r="P269" s="10">
        <v>240125</v>
      </c>
    </row>
    <row r="270" spans="1:16" ht="27" customHeight="1" x14ac:dyDescent="0.2">
      <c r="A270" s="9" t="s">
        <v>972</v>
      </c>
      <c r="B270" s="10" t="s">
        <v>1012</v>
      </c>
      <c r="C270" s="11" t="s">
        <v>18</v>
      </c>
      <c r="D270" s="11" t="s">
        <v>19</v>
      </c>
      <c r="E270" s="11" t="s">
        <v>19</v>
      </c>
      <c r="F270" s="11" t="s">
        <v>1013</v>
      </c>
      <c r="G270" s="11" t="s">
        <v>83</v>
      </c>
      <c r="H270" s="11" t="s">
        <v>1014</v>
      </c>
      <c r="I270" s="11" t="s">
        <v>1015</v>
      </c>
      <c r="J270" s="12">
        <v>0.85250000000000004</v>
      </c>
      <c r="K270" s="13">
        <v>7</v>
      </c>
      <c r="L270" s="14">
        <v>2262</v>
      </c>
      <c r="M270" s="10">
        <v>1796</v>
      </c>
      <c r="N270" s="10">
        <v>249955</v>
      </c>
      <c r="O270" s="10">
        <v>140840</v>
      </c>
      <c r="P270" s="10">
        <v>390795</v>
      </c>
    </row>
    <row r="271" spans="1:16" ht="27" customHeight="1" x14ac:dyDescent="0.2">
      <c r="A271" s="9" t="s">
        <v>972</v>
      </c>
      <c r="B271" s="10" t="s">
        <v>1016</v>
      </c>
      <c r="C271" s="11" t="s">
        <v>18</v>
      </c>
      <c r="D271" s="11" t="s">
        <v>19</v>
      </c>
      <c r="E271" s="11" t="s">
        <v>19</v>
      </c>
      <c r="F271" s="11" t="s">
        <v>1017</v>
      </c>
      <c r="G271" s="11" t="s">
        <v>83</v>
      </c>
      <c r="H271" s="11" t="s">
        <v>975</v>
      </c>
      <c r="I271" s="11" t="s">
        <v>976</v>
      </c>
      <c r="J271" s="12">
        <v>0.92169999999999996</v>
      </c>
      <c r="K271" s="13">
        <v>5</v>
      </c>
      <c r="L271" s="14">
        <v>735</v>
      </c>
      <c r="M271" s="10">
        <v>567</v>
      </c>
      <c r="N271" s="10">
        <v>81219</v>
      </c>
      <c r="O271" s="10">
        <v>44463</v>
      </c>
      <c r="P271" s="10">
        <v>125682</v>
      </c>
    </row>
    <row r="272" spans="1:16" ht="27" customHeight="1" x14ac:dyDescent="0.2">
      <c r="A272" s="9" t="s">
        <v>1018</v>
      </c>
      <c r="B272" s="10" t="s">
        <v>1019</v>
      </c>
      <c r="C272" s="11" t="s">
        <v>18</v>
      </c>
      <c r="D272" s="11" t="s">
        <v>19</v>
      </c>
      <c r="E272" s="11" t="s">
        <v>19</v>
      </c>
      <c r="F272" s="11" t="s">
        <v>1020</v>
      </c>
      <c r="G272" s="11" t="s">
        <v>21</v>
      </c>
      <c r="H272" s="11" t="s">
        <v>1021</v>
      </c>
      <c r="I272" s="11" t="s">
        <v>1022</v>
      </c>
      <c r="J272" s="12">
        <v>1</v>
      </c>
      <c r="K272" s="13">
        <v>6</v>
      </c>
      <c r="L272" s="14">
        <v>310</v>
      </c>
      <c r="M272" s="10">
        <v>299</v>
      </c>
      <c r="N272" s="10">
        <v>34257</v>
      </c>
      <c r="O272" s="10">
        <v>23448</v>
      </c>
      <c r="P272" s="10">
        <v>57705</v>
      </c>
    </row>
    <row r="273" spans="1:16" ht="27" customHeight="1" x14ac:dyDescent="0.2">
      <c r="A273" s="9" t="s">
        <v>1018</v>
      </c>
      <c r="B273" s="10" t="s">
        <v>1019</v>
      </c>
      <c r="C273" s="11" t="s">
        <v>1023</v>
      </c>
      <c r="D273" s="11" t="s">
        <v>1024</v>
      </c>
      <c r="E273" s="11" t="s">
        <v>26</v>
      </c>
      <c r="F273" s="11" t="s">
        <v>1025</v>
      </c>
      <c r="G273" s="11" t="s">
        <v>28</v>
      </c>
      <c r="H273" s="11" t="s">
        <v>1025</v>
      </c>
      <c r="I273" s="11" t="s">
        <v>1026</v>
      </c>
      <c r="J273" s="12">
        <v>0.18179999999999999</v>
      </c>
      <c r="K273" s="13">
        <v>1</v>
      </c>
      <c r="L273" s="14">
        <v>154</v>
      </c>
      <c r="M273" s="10">
        <v>28</v>
      </c>
      <c r="N273" s="10">
        <v>17017</v>
      </c>
      <c r="O273" s="10">
        <v>2196</v>
      </c>
      <c r="P273" s="10">
        <v>19213</v>
      </c>
    </row>
    <row r="274" spans="1:16" ht="27" customHeight="1" x14ac:dyDescent="0.2">
      <c r="A274" s="9" t="s">
        <v>1018</v>
      </c>
      <c r="B274" s="10" t="s">
        <v>1019</v>
      </c>
      <c r="C274" s="11" t="s">
        <v>1027</v>
      </c>
      <c r="D274" s="11" t="s">
        <v>1028</v>
      </c>
      <c r="E274" s="11" t="s">
        <v>26</v>
      </c>
      <c r="F274" s="11" t="s">
        <v>1029</v>
      </c>
      <c r="G274" s="11" t="s">
        <v>28</v>
      </c>
      <c r="H274" s="11" t="s">
        <v>1029</v>
      </c>
      <c r="I274" s="11" t="s">
        <v>1030</v>
      </c>
      <c r="J274" s="12">
        <v>0.76380000000000003</v>
      </c>
      <c r="K274" s="13">
        <v>1</v>
      </c>
      <c r="L274" s="14">
        <v>309</v>
      </c>
      <c r="M274" s="10">
        <v>236</v>
      </c>
      <c r="N274" s="10">
        <v>34145</v>
      </c>
      <c r="O274" s="10">
        <v>18507</v>
      </c>
      <c r="P274" s="10">
        <v>52652</v>
      </c>
    </row>
    <row r="275" spans="1:16" ht="27" customHeight="1" x14ac:dyDescent="0.2">
      <c r="A275" s="9" t="s">
        <v>1018</v>
      </c>
      <c r="B275" s="10" t="s">
        <v>1019</v>
      </c>
      <c r="C275" s="11" t="s">
        <v>1031</v>
      </c>
      <c r="D275" s="11" t="s">
        <v>1032</v>
      </c>
      <c r="E275" s="11" t="s">
        <v>26</v>
      </c>
      <c r="F275" s="11" t="s">
        <v>1033</v>
      </c>
      <c r="G275" s="11" t="s">
        <v>28</v>
      </c>
      <c r="H275" s="11" t="s">
        <v>1033</v>
      </c>
      <c r="I275" s="11" t="s">
        <v>1034</v>
      </c>
      <c r="J275" s="12">
        <v>0.59760000000000002</v>
      </c>
      <c r="K275" s="13">
        <v>1</v>
      </c>
      <c r="L275" s="14">
        <v>82</v>
      </c>
      <c r="M275" s="10">
        <v>49</v>
      </c>
      <c r="N275" s="10">
        <v>9061</v>
      </c>
      <c r="O275" s="10">
        <v>3843</v>
      </c>
      <c r="P275" s="10">
        <v>12904</v>
      </c>
    </row>
    <row r="276" spans="1:16" ht="27" customHeight="1" x14ac:dyDescent="0.2">
      <c r="A276" s="9" t="s">
        <v>1018</v>
      </c>
      <c r="B276" s="10" t="s">
        <v>1035</v>
      </c>
      <c r="C276" s="11" t="s">
        <v>18</v>
      </c>
      <c r="D276" s="11" t="s">
        <v>19</v>
      </c>
      <c r="E276" s="11" t="s">
        <v>19</v>
      </c>
      <c r="F276" s="11" t="s">
        <v>1036</v>
      </c>
      <c r="G276" s="11" t="s">
        <v>83</v>
      </c>
      <c r="H276" s="11" t="s">
        <v>1036</v>
      </c>
      <c r="I276" s="11" t="s">
        <v>1037</v>
      </c>
      <c r="J276" s="12">
        <v>0.76339999999999997</v>
      </c>
      <c r="K276" s="13">
        <v>3</v>
      </c>
      <c r="L276" s="14">
        <v>489</v>
      </c>
      <c r="M276" s="10">
        <v>339</v>
      </c>
      <c r="N276" s="10">
        <v>54035</v>
      </c>
      <c r="O276" s="10">
        <v>26584</v>
      </c>
      <c r="P276" s="10">
        <v>80619</v>
      </c>
    </row>
    <row r="277" spans="1:16" ht="27" customHeight="1" x14ac:dyDescent="0.2">
      <c r="A277" s="9" t="s">
        <v>1018</v>
      </c>
      <c r="B277" s="10" t="s">
        <v>1035</v>
      </c>
      <c r="C277" s="11" t="s">
        <v>1038</v>
      </c>
      <c r="D277" s="11" t="s">
        <v>1039</v>
      </c>
      <c r="E277" s="11" t="s">
        <v>26</v>
      </c>
      <c r="F277" s="11" t="s">
        <v>1040</v>
      </c>
      <c r="G277" s="11" t="s">
        <v>28</v>
      </c>
      <c r="H277" s="11" t="s">
        <v>1040</v>
      </c>
      <c r="I277" s="11" t="s">
        <v>1041</v>
      </c>
      <c r="J277" s="12">
        <v>0.4088</v>
      </c>
      <c r="K277" s="13">
        <v>1</v>
      </c>
      <c r="L277" s="14">
        <v>137</v>
      </c>
      <c r="M277" s="10">
        <v>56</v>
      </c>
      <c r="N277" s="10">
        <v>15139</v>
      </c>
      <c r="O277" s="10">
        <v>4391</v>
      </c>
      <c r="P277" s="10">
        <v>19530</v>
      </c>
    </row>
    <row r="278" spans="1:16" ht="27" customHeight="1" x14ac:dyDescent="0.2">
      <c r="A278" s="9" t="s">
        <v>1018</v>
      </c>
      <c r="B278" s="10" t="s">
        <v>1035</v>
      </c>
      <c r="C278" s="11" t="s">
        <v>1042</v>
      </c>
      <c r="D278" s="11" t="s">
        <v>1043</v>
      </c>
      <c r="E278" s="11" t="s">
        <v>26</v>
      </c>
      <c r="F278" s="11" t="s">
        <v>1044</v>
      </c>
      <c r="G278" s="11" t="s">
        <v>28</v>
      </c>
      <c r="H278" s="11" t="s">
        <v>1044</v>
      </c>
      <c r="I278" s="11" t="s">
        <v>1045</v>
      </c>
      <c r="J278" s="12">
        <v>0.41239999999999999</v>
      </c>
      <c r="K278" s="13">
        <v>1</v>
      </c>
      <c r="L278" s="14">
        <v>97</v>
      </c>
      <c r="M278" s="10">
        <v>40</v>
      </c>
      <c r="N278" s="10">
        <v>10719</v>
      </c>
      <c r="O278" s="10">
        <v>3137</v>
      </c>
      <c r="P278" s="10">
        <v>13856</v>
      </c>
    </row>
    <row r="279" spans="1:16" ht="27" customHeight="1" x14ac:dyDescent="0.2">
      <c r="A279" s="9" t="s">
        <v>1018</v>
      </c>
      <c r="B279" s="10" t="s">
        <v>1035</v>
      </c>
      <c r="C279" s="11" t="s">
        <v>1046</v>
      </c>
      <c r="D279" s="11" t="s">
        <v>1047</v>
      </c>
      <c r="E279" s="11" t="s">
        <v>26</v>
      </c>
      <c r="F279" s="11" t="s">
        <v>1048</v>
      </c>
      <c r="G279" s="11" t="s">
        <v>28</v>
      </c>
      <c r="H279" s="11" t="s">
        <v>1048</v>
      </c>
      <c r="I279" s="11" t="s">
        <v>1049</v>
      </c>
      <c r="J279" s="12">
        <v>0.39779999999999999</v>
      </c>
      <c r="K279" s="13">
        <v>1</v>
      </c>
      <c r="L279" s="14">
        <v>181</v>
      </c>
      <c r="M279" s="10">
        <v>72</v>
      </c>
      <c r="N279" s="10">
        <v>20001</v>
      </c>
      <c r="O279" s="10">
        <v>5646</v>
      </c>
      <c r="P279" s="10">
        <v>25647</v>
      </c>
    </row>
    <row r="280" spans="1:16" ht="27" customHeight="1" x14ac:dyDescent="0.2">
      <c r="A280" s="9" t="s">
        <v>1018</v>
      </c>
      <c r="B280" s="10" t="s">
        <v>1035</v>
      </c>
      <c r="C280" s="11" t="s">
        <v>1050</v>
      </c>
      <c r="D280" s="11" t="s">
        <v>1051</v>
      </c>
      <c r="E280" s="11" t="s">
        <v>26</v>
      </c>
      <c r="F280" s="11" t="s">
        <v>1052</v>
      </c>
      <c r="G280" s="11" t="s">
        <v>28</v>
      </c>
      <c r="H280" s="11" t="s">
        <v>1052</v>
      </c>
      <c r="I280" s="11" t="s">
        <v>1053</v>
      </c>
      <c r="J280" s="12">
        <v>0.63439999999999996</v>
      </c>
      <c r="K280" s="13">
        <v>1</v>
      </c>
      <c r="L280" s="14">
        <v>227</v>
      </c>
      <c r="M280" s="10">
        <v>144</v>
      </c>
      <c r="N280" s="10">
        <v>25084</v>
      </c>
      <c r="O280" s="10">
        <v>11292</v>
      </c>
      <c r="P280" s="10">
        <v>36376</v>
      </c>
    </row>
    <row r="281" spans="1:16" ht="27" customHeight="1" x14ac:dyDescent="0.2">
      <c r="A281" s="9" t="s">
        <v>1018</v>
      </c>
      <c r="B281" s="10" t="s">
        <v>1054</v>
      </c>
      <c r="C281" s="11" t="s">
        <v>18</v>
      </c>
      <c r="D281" s="11" t="s">
        <v>19</v>
      </c>
      <c r="E281" s="11" t="s">
        <v>19</v>
      </c>
      <c r="F281" s="11" t="s">
        <v>1055</v>
      </c>
      <c r="G281" s="11" t="s">
        <v>83</v>
      </c>
      <c r="H281" s="11" t="s">
        <v>1021</v>
      </c>
      <c r="I281" s="11" t="s">
        <v>1022</v>
      </c>
      <c r="J281" s="12">
        <v>1</v>
      </c>
      <c r="K281" s="13">
        <v>5</v>
      </c>
      <c r="L281" s="14">
        <v>1676</v>
      </c>
      <c r="M281" s="10">
        <v>746</v>
      </c>
      <c r="N281" s="10">
        <v>185202</v>
      </c>
      <c r="O281" s="10">
        <v>58501</v>
      </c>
      <c r="P281" s="10">
        <v>243703</v>
      </c>
    </row>
    <row r="282" spans="1:16" ht="27" customHeight="1" x14ac:dyDescent="0.2">
      <c r="A282" s="9" t="s">
        <v>1018</v>
      </c>
      <c r="B282" s="10" t="s">
        <v>1054</v>
      </c>
      <c r="C282" s="11" t="s">
        <v>1056</v>
      </c>
      <c r="D282" s="11" t="s">
        <v>1057</v>
      </c>
      <c r="E282" s="11" t="s">
        <v>57</v>
      </c>
      <c r="F282" s="11" t="s">
        <v>1058</v>
      </c>
      <c r="G282" s="11" t="s">
        <v>28</v>
      </c>
      <c r="H282" s="11" t="s">
        <v>1021</v>
      </c>
      <c r="I282" s="11" t="s">
        <v>1022</v>
      </c>
      <c r="J282" s="12">
        <v>1</v>
      </c>
      <c r="K282" s="13">
        <v>1</v>
      </c>
      <c r="L282" s="14">
        <v>109</v>
      </c>
      <c r="M282" s="10">
        <v>39</v>
      </c>
      <c r="N282" s="10">
        <v>12045</v>
      </c>
      <c r="O282" s="10">
        <v>3058</v>
      </c>
      <c r="P282" s="10">
        <v>15103</v>
      </c>
    </row>
    <row r="283" spans="1:16" ht="27" customHeight="1" x14ac:dyDescent="0.2">
      <c r="A283" s="9" t="s">
        <v>1018</v>
      </c>
      <c r="B283" s="10" t="s">
        <v>1054</v>
      </c>
      <c r="C283" s="11" t="s">
        <v>1059</v>
      </c>
      <c r="D283" s="11" t="s">
        <v>1060</v>
      </c>
      <c r="E283" s="11" t="s">
        <v>26</v>
      </c>
      <c r="F283" s="11" t="s">
        <v>1061</v>
      </c>
      <c r="G283" s="11" t="s">
        <v>28</v>
      </c>
      <c r="H283" s="11" t="s">
        <v>1061</v>
      </c>
      <c r="I283" s="11" t="s">
        <v>1062</v>
      </c>
      <c r="J283" s="12">
        <v>0.4294</v>
      </c>
      <c r="K283" s="13">
        <v>1</v>
      </c>
      <c r="L283" s="14">
        <v>177</v>
      </c>
      <c r="M283" s="10">
        <v>76</v>
      </c>
      <c r="N283" s="10">
        <v>19559</v>
      </c>
      <c r="O283" s="10">
        <v>5960</v>
      </c>
      <c r="P283" s="10">
        <v>25519</v>
      </c>
    </row>
    <row r="284" spans="1:16" ht="27" customHeight="1" x14ac:dyDescent="0.2">
      <c r="A284" s="9" t="s">
        <v>1018</v>
      </c>
      <c r="B284" s="10" t="s">
        <v>1063</v>
      </c>
      <c r="C284" s="11" t="s">
        <v>18</v>
      </c>
      <c r="D284" s="11" t="s">
        <v>19</v>
      </c>
      <c r="E284" s="11" t="s">
        <v>19</v>
      </c>
      <c r="F284" s="11" t="s">
        <v>1064</v>
      </c>
      <c r="G284" s="11" t="s">
        <v>83</v>
      </c>
      <c r="H284" s="11" t="s">
        <v>1065</v>
      </c>
      <c r="I284" s="11" t="s">
        <v>1066</v>
      </c>
      <c r="J284" s="12">
        <v>0.4667</v>
      </c>
      <c r="K284" s="13">
        <v>2</v>
      </c>
      <c r="L284" s="14">
        <v>16</v>
      </c>
      <c r="M284" s="10">
        <v>7</v>
      </c>
      <c r="N284" s="10">
        <v>1769</v>
      </c>
      <c r="O284" s="10">
        <v>549</v>
      </c>
      <c r="P284" s="10">
        <v>2318</v>
      </c>
    </row>
    <row r="285" spans="1:16" ht="27" customHeight="1" x14ac:dyDescent="0.2">
      <c r="A285" s="9" t="s">
        <v>1018</v>
      </c>
      <c r="B285" s="10" t="s">
        <v>1067</v>
      </c>
      <c r="C285" s="11" t="s">
        <v>18</v>
      </c>
      <c r="D285" s="11" t="s">
        <v>19</v>
      </c>
      <c r="E285" s="11" t="s">
        <v>19</v>
      </c>
      <c r="F285" s="11" t="s">
        <v>1068</v>
      </c>
      <c r="G285" s="11" t="s">
        <v>83</v>
      </c>
      <c r="H285" s="11" t="s">
        <v>1068</v>
      </c>
      <c r="I285" s="11" t="s">
        <v>1069</v>
      </c>
      <c r="J285" s="12">
        <v>0.6512</v>
      </c>
      <c r="K285" s="13">
        <v>2</v>
      </c>
      <c r="L285" s="14">
        <v>174</v>
      </c>
      <c r="M285" s="10">
        <v>113</v>
      </c>
      <c r="N285" s="10">
        <v>19227</v>
      </c>
      <c r="O285" s="10">
        <v>8861</v>
      </c>
      <c r="P285" s="10">
        <v>28088</v>
      </c>
    </row>
    <row r="286" spans="1:16" ht="27" customHeight="1" x14ac:dyDescent="0.2">
      <c r="A286" s="9" t="s">
        <v>1018</v>
      </c>
      <c r="B286" s="10" t="s">
        <v>1070</v>
      </c>
      <c r="C286" s="11" t="s">
        <v>18</v>
      </c>
      <c r="D286" s="11" t="s">
        <v>19</v>
      </c>
      <c r="E286" s="11" t="s">
        <v>19</v>
      </c>
      <c r="F286" s="11" t="s">
        <v>1071</v>
      </c>
      <c r="G286" s="11" t="s">
        <v>83</v>
      </c>
      <c r="H286" s="11" t="s">
        <v>1071</v>
      </c>
      <c r="I286" s="11" t="s">
        <v>1072</v>
      </c>
      <c r="J286" s="12">
        <v>0.78380000000000005</v>
      </c>
      <c r="K286" s="13">
        <v>2</v>
      </c>
      <c r="L286" s="14">
        <v>37</v>
      </c>
      <c r="M286" s="10">
        <v>29</v>
      </c>
      <c r="N286" s="10">
        <v>4089</v>
      </c>
      <c r="O286" s="10">
        <v>2274</v>
      </c>
      <c r="P286" s="10">
        <v>6363</v>
      </c>
    </row>
    <row r="287" spans="1:16" ht="27" customHeight="1" x14ac:dyDescent="0.2">
      <c r="A287" s="9" t="s">
        <v>1018</v>
      </c>
      <c r="B287" s="10" t="s">
        <v>1073</v>
      </c>
      <c r="C287" s="11" t="s">
        <v>18</v>
      </c>
      <c r="D287" s="11" t="s">
        <v>19</v>
      </c>
      <c r="E287" s="11" t="s">
        <v>19</v>
      </c>
      <c r="F287" s="11" t="s">
        <v>1074</v>
      </c>
      <c r="G287" s="11" t="s">
        <v>83</v>
      </c>
      <c r="H287" s="11" t="s">
        <v>1075</v>
      </c>
      <c r="I287" s="11" t="s">
        <v>1076</v>
      </c>
      <c r="J287" s="12">
        <v>0.59209999999999996</v>
      </c>
      <c r="K287" s="13">
        <v>2</v>
      </c>
      <c r="L287" s="14">
        <v>153</v>
      </c>
      <c r="M287" s="10">
        <v>91</v>
      </c>
      <c r="N287" s="10">
        <v>16907</v>
      </c>
      <c r="O287" s="10">
        <v>7136</v>
      </c>
      <c r="P287" s="10">
        <v>24043</v>
      </c>
    </row>
    <row r="288" spans="1:16" ht="27" customHeight="1" x14ac:dyDescent="0.2">
      <c r="A288" s="9" t="s">
        <v>1018</v>
      </c>
      <c r="B288" s="10" t="s">
        <v>1077</v>
      </c>
      <c r="C288" s="11" t="s">
        <v>18</v>
      </c>
      <c r="D288" s="11" t="s">
        <v>19</v>
      </c>
      <c r="E288" s="11" t="s">
        <v>19</v>
      </c>
      <c r="F288" s="11" t="s">
        <v>1078</v>
      </c>
      <c r="G288" s="11" t="s">
        <v>83</v>
      </c>
      <c r="H288" s="11" t="s">
        <v>1078</v>
      </c>
      <c r="I288" s="11" t="s">
        <v>1079</v>
      </c>
      <c r="J288" s="12">
        <v>0.45960000000000001</v>
      </c>
      <c r="K288" s="13">
        <v>3</v>
      </c>
      <c r="L288" s="14">
        <v>569</v>
      </c>
      <c r="M288" s="10">
        <v>257</v>
      </c>
      <c r="N288" s="10">
        <v>62876</v>
      </c>
      <c r="O288" s="10">
        <v>20153</v>
      </c>
      <c r="P288" s="10">
        <v>83029</v>
      </c>
    </row>
    <row r="289" spans="1:16" ht="27" customHeight="1" x14ac:dyDescent="0.2">
      <c r="A289" s="9" t="s">
        <v>1018</v>
      </c>
      <c r="B289" s="10" t="s">
        <v>1080</v>
      </c>
      <c r="C289" s="11" t="s">
        <v>18</v>
      </c>
      <c r="D289" s="11" t="s">
        <v>19</v>
      </c>
      <c r="E289" s="11" t="s">
        <v>19</v>
      </c>
      <c r="F289" s="11" t="s">
        <v>1081</v>
      </c>
      <c r="G289" s="11" t="s">
        <v>83</v>
      </c>
      <c r="H289" s="11" t="s">
        <v>1081</v>
      </c>
      <c r="I289" s="11" t="s">
        <v>1082</v>
      </c>
      <c r="J289" s="12">
        <v>0.34260000000000002</v>
      </c>
      <c r="K289" s="13">
        <v>2</v>
      </c>
      <c r="L289" s="14">
        <v>108</v>
      </c>
      <c r="M289" s="10">
        <v>37</v>
      </c>
      <c r="N289" s="10">
        <v>11934</v>
      </c>
      <c r="O289" s="10">
        <v>2902</v>
      </c>
      <c r="P289" s="10">
        <v>14836</v>
      </c>
    </row>
    <row r="290" spans="1:16" ht="27" customHeight="1" x14ac:dyDescent="0.2">
      <c r="A290" s="9" t="s">
        <v>1018</v>
      </c>
      <c r="B290" s="10" t="s">
        <v>1083</v>
      </c>
      <c r="C290" s="11" t="s">
        <v>18</v>
      </c>
      <c r="D290" s="11" t="s">
        <v>19</v>
      </c>
      <c r="E290" s="11" t="s">
        <v>19</v>
      </c>
      <c r="F290" s="11" t="s">
        <v>1084</v>
      </c>
      <c r="G290" s="11" t="s">
        <v>83</v>
      </c>
      <c r="H290" s="11" t="s">
        <v>1021</v>
      </c>
      <c r="I290" s="11" t="s">
        <v>1022</v>
      </c>
      <c r="J290" s="12">
        <v>1</v>
      </c>
      <c r="K290" s="13">
        <v>4</v>
      </c>
      <c r="L290" s="14">
        <v>1066</v>
      </c>
      <c r="M290" s="10">
        <v>481</v>
      </c>
      <c r="N290" s="10">
        <v>117794</v>
      </c>
      <c r="O290" s="10">
        <v>37720</v>
      </c>
      <c r="P290" s="10">
        <v>155514</v>
      </c>
    </row>
    <row r="291" spans="1:16" ht="27" customHeight="1" x14ac:dyDescent="0.2">
      <c r="A291" s="9" t="s">
        <v>1018</v>
      </c>
      <c r="B291" s="10" t="s">
        <v>1085</v>
      </c>
      <c r="C291" s="11" t="s">
        <v>18</v>
      </c>
      <c r="D291" s="11" t="s">
        <v>19</v>
      </c>
      <c r="E291" s="11" t="s">
        <v>19</v>
      </c>
      <c r="F291" s="11" t="s">
        <v>1086</v>
      </c>
      <c r="G291" s="11" t="s">
        <v>83</v>
      </c>
      <c r="H291" s="11" t="s">
        <v>1086</v>
      </c>
      <c r="I291" s="11" t="s">
        <v>1087</v>
      </c>
      <c r="J291" s="12">
        <v>0.40529999999999999</v>
      </c>
      <c r="K291" s="13">
        <v>2</v>
      </c>
      <c r="L291" s="14">
        <v>266</v>
      </c>
      <c r="M291" s="10">
        <v>108</v>
      </c>
      <c r="N291" s="10">
        <v>29393</v>
      </c>
      <c r="O291" s="10">
        <v>8469</v>
      </c>
      <c r="P291" s="10">
        <v>37862</v>
      </c>
    </row>
    <row r="292" spans="1:16" ht="27" customHeight="1" x14ac:dyDescent="0.2">
      <c r="A292" s="9" t="s">
        <v>1018</v>
      </c>
      <c r="B292" s="10" t="s">
        <v>1085</v>
      </c>
      <c r="C292" s="11" t="s">
        <v>1088</v>
      </c>
      <c r="D292" s="11" t="s">
        <v>1089</v>
      </c>
      <c r="E292" s="11" t="s">
        <v>57</v>
      </c>
      <c r="F292" s="11" t="s">
        <v>1090</v>
      </c>
      <c r="G292" s="11" t="s">
        <v>28</v>
      </c>
      <c r="H292" s="11" t="s">
        <v>1021</v>
      </c>
      <c r="I292" s="11" t="s">
        <v>1022</v>
      </c>
      <c r="J292" s="12">
        <v>1</v>
      </c>
      <c r="K292" s="13">
        <v>1</v>
      </c>
      <c r="L292" s="14">
        <v>43</v>
      </c>
      <c r="M292" s="10">
        <v>20</v>
      </c>
      <c r="N292" s="10">
        <v>4752</v>
      </c>
      <c r="O292" s="10">
        <v>1568</v>
      </c>
      <c r="P292" s="10">
        <v>6320</v>
      </c>
    </row>
    <row r="293" spans="1:16" ht="27" customHeight="1" x14ac:dyDescent="0.2">
      <c r="A293" s="9" t="s">
        <v>1018</v>
      </c>
      <c r="B293" s="10" t="s">
        <v>1091</v>
      </c>
      <c r="C293" s="11" t="s">
        <v>18</v>
      </c>
      <c r="D293" s="11" t="s">
        <v>19</v>
      </c>
      <c r="E293" s="11" t="s">
        <v>19</v>
      </c>
      <c r="F293" s="11" t="s">
        <v>1092</v>
      </c>
      <c r="G293" s="11" t="s">
        <v>83</v>
      </c>
      <c r="H293" s="11" t="s">
        <v>1092</v>
      </c>
      <c r="I293" s="11" t="s">
        <v>1093</v>
      </c>
      <c r="J293" s="12">
        <v>0.27539999999999998</v>
      </c>
      <c r="K293" s="13">
        <v>2</v>
      </c>
      <c r="L293" s="14">
        <v>69</v>
      </c>
      <c r="M293" s="10">
        <v>19</v>
      </c>
      <c r="N293" s="10">
        <v>7625</v>
      </c>
      <c r="O293" s="10">
        <v>1490</v>
      </c>
      <c r="P293" s="10">
        <v>9115</v>
      </c>
    </row>
    <row r="294" spans="1:16" ht="27" customHeight="1" x14ac:dyDescent="0.2">
      <c r="A294" s="9" t="s">
        <v>1018</v>
      </c>
      <c r="B294" s="10" t="s">
        <v>1094</v>
      </c>
      <c r="C294" s="11" t="s">
        <v>18</v>
      </c>
      <c r="D294" s="11" t="s">
        <v>19</v>
      </c>
      <c r="E294" s="11" t="s">
        <v>19</v>
      </c>
      <c r="F294" s="11" t="s">
        <v>1095</v>
      </c>
      <c r="G294" s="11" t="s">
        <v>83</v>
      </c>
      <c r="H294" s="11" t="s">
        <v>1095</v>
      </c>
      <c r="I294" s="11" t="s">
        <v>1096</v>
      </c>
      <c r="J294" s="12">
        <v>0.71430000000000005</v>
      </c>
      <c r="K294" s="13">
        <v>2</v>
      </c>
      <c r="L294" s="14">
        <v>14</v>
      </c>
      <c r="M294" s="10">
        <v>10</v>
      </c>
      <c r="N294" s="10">
        <v>1547</v>
      </c>
      <c r="O294" s="10">
        <v>784</v>
      </c>
      <c r="P294" s="10">
        <v>2331</v>
      </c>
    </row>
    <row r="295" spans="1:16" ht="27" customHeight="1" x14ac:dyDescent="0.2">
      <c r="A295" s="9" t="s">
        <v>1018</v>
      </c>
      <c r="B295" s="10" t="s">
        <v>1097</v>
      </c>
      <c r="C295" s="11" t="s">
        <v>18</v>
      </c>
      <c r="D295" s="11" t="s">
        <v>19</v>
      </c>
      <c r="E295" s="11" t="s">
        <v>19</v>
      </c>
      <c r="F295" s="11" t="s">
        <v>1098</v>
      </c>
      <c r="G295" s="11" t="s">
        <v>83</v>
      </c>
      <c r="H295" s="11" t="s">
        <v>1098</v>
      </c>
      <c r="I295" s="11" t="s">
        <v>1099</v>
      </c>
      <c r="J295" s="12">
        <v>0.4194</v>
      </c>
      <c r="K295" s="13">
        <v>2</v>
      </c>
      <c r="L295" s="14">
        <v>218</v>
      </c>
      <c r="M295" s="10">
        <v>91</v>
      </c>
      <c r="N295" s="10">
        <v>24090</v>
      </c>
      <c r="O295" s="10">
        <v>7136</v>
      </c>
      <c r="P295" s="10">
        <v>31226</v>
      </c>
    </row>
    <row r="296" spans="1:16" ht="27" customHeight="1" x14ac:dyDescent="0.2">
      <c r="A296" s="9" t="s">
        <v>1018</v>
      </c>
      <c r="B296" s="10" t="s">
        <v>1100</v>
      </c>
      <c r="C296" s="11" t="s">
        <v>18</v>
      </c>
      <c r="D296" s="11" t="s">
        <v>19</v>
      </c>
      <c r="E296" s="11" t="s">
        <v>19</v>
      </c>
      <c r="F296" s="11" t="s">
        <v>1101</v>
      </c>
      <c r="G296" s="11" t="s">
        <v>83</v>
      </c>
      <c r="H296" s="11" t="s">
        <v>1102</v>
      </c>
      <c r="I296" s="11" t="s">
        <v>1103</v>
      </c>
      <c r="J296" s="12">
        <v>0.30070000000000002</v>
      </c>
      <c r="K296" s="13">
        <v>2</v>
      </c>
      <c r="L296" s="14">
        <v>461</v>
      </c>
      <c r="M296" s="10">
        <v>139</v>
      </c>
      <c r="N296" s="10">
        <v>50941</v>
      </c>
      <c r="O296" s="10">
        <v>10900</v>
      </c>
      <c r="P296" s="10">
        <v>61841</v>
      </c>
    </row>
    <row r="297" spans="1:16" ht="27" customHeight="1" x14ac:dyDescent="0.2">
      <c r="A297" s="9" t="s">
        <v>1018</v>
      </c>
      <c r="B297" s="10" t="s">
        <v>1104</v>
      </c>
      <c r="C297" s="11" t="s">
        <v>18</v>
      </c>
      <c r="D297" s="11" t="s">
        <v>19</v>
      </c>
      <c r="E297" s="11" t="s">
        <v>19</v>
      </c>
      <c r="F297" s="11" t="s">
        <v>1105</v>
      </c>
      <c r="G297" s="11" t="s">
        <v>83</v>
      </c>
      <c r="H297" s="11" t="s">
        <v>1106</v>
      </c>
      <c r="I297" s="11" t="s">
        <v>1107</v>
      </c>
      <c r="J297" s="12">
        <v>0.88890000000000002</v>
      </c>
      <c r="K297" s="13">
        <v>8</v>
      </c>
      <c r="L297" s="14">
        <v>968</v>
      </c>
      <c r="M297" s="10">
        <v>726</v>
      </c>
      <c r="N297" s="10">
        <v>106967</v>
      </c>
      <c r="O297" s="10">
        <v>56932</v>
      </c>
      <c r="P297" s="10">
        <v>163899</v>
      </c>
    </row>
    <row r="298" spans="1:16" ht="27" customHeight="1" x14ac:dyDescent="0.2">
      <c r="A298" s="9" t="s">
        <v>1018</v>
      </c>
      <c r="B298" s="10" t="s">
        <v>1108</v>
      </c>
      <c r="C298" s="11" t="s">
        <v>18</v>
      </c>
      <c r="D298" s="11" t="s">
        <v>19</v>
      </c>
      <c r="E298" s="11" t="s">
        <v>19</v>
      </c>
      <c r="F298" s="11" t="s">
        <v>1109</v>
      </c>
      <c r="G298" s="11" t="s">
        <v>83</v>
      </c>
      <c r="H298" s="11" t="s">
        <v>1109</v>
      </c>
      <c r="I298" s="11" t="s">
        <v>1110</v>
      </c>
      <c r="J298" s="12">
        <v>0.5625</v>
      </c>
      <c r="K298" s="13">
        <v>2</v>
      </c>
      <c r="L298" s="14">
        <v>32</v>
      </c>
      <c r="M298" s="10">
        <v>18</v>
      </c>
      <c r="N298" s="10">
        <v>3536</v>
      </c>
      <c r="O298" s="10">
        <v>1412</v>
      </c>
      <c r="P298" s="10">
        <v>4948</v>
      </c>
    </row>
    <row r="299" spans="1:16" ht="27" customHeight="1" x14ac:dyDescent="0.2">
      <c r="A299" s="9" t="s">
        <v>1018</v>
      </c>
      <c r="B299" s="10" t="s">
        <v>1111</v>
      </c>
      <c r="C299" s="11" t="s">
        <v>18</v>
      </c>
      <c r="D299" s="11" t="s">
        <v>19</v>
      </c>
      <c r="E299" s="11" t="s">
        <v>19</v>
      </c>
      <c r="F299" s="11" t="s">
        <v>1112</v>
      </c>
      <c r="G299" s="11" t="s">
        <v>83</v>
      </c>
      <c r="H299" s="11" t="s">
        <v>1113</v>
      </c>
      <c r="I299" s="11" t="s">
        <v>1114</v>
      </c>
      <c r="J299" s="12">
        <v>0.93200000000000005</v>
      </c>
      <c r="K299" s="13">
        <v>2</v>
      </c>
      <c r="L299" s="14">
        <v>106</v>
      </c>
      <c r="M299" s="10">
        <v>99</v>
      </c>
      <c r="N299" s="10">
        <v>11714</v>
      </c>
      <c r="O299" s="10">
        <v>7763</v>
      </c>
      <c r="P299" s="10">
        <v>19477</v>
      </c>
    </row>
    <row r="300" spans="1:16" ht="27" customHeight="1" x14ac:dyDescent="0.2">
      <c r="A300" s="9" t="s">
        <v>1018</v>
      </c>
      <c r="B300" s="10" t="s">
        <v>1115</v>
      </c>
      <c r="C300" s="11" t="s">
        <v>18</v>
      </c>
      <c r="D300" s="11" t="s">
        <v>19</v>
      </c>
      <c r="E300" s="11" t="s">
        <v>19</v>
      </c>
      <c r="F300" s="11" t="s">
        <v>1116</v>
      </c>
      <c r="G300" s="11" t="s">
        <v>83</v>
      </c>
      <c r="H300" s="11" t="s">
        <v>1116</v>
      </c>
      <c r="I300" s="11" t="s">
        <v>1117</v>
      </c>
      <c r="J300" s="12">
        <v>0.66669999999999996</v>
      </c>
      <c r="K300" s="13">
        <v>2</v>
      </c>
      <c r="L300" s="14">
        <v>6</v>
      </c>
      <c r="M300" s="10">
        <v>4</v>
      </c>
      <c r="N300" s="10">
        <v>663</v>
      </c>
      <c r="O300" s="10">
        <v>314</v>
      </c>
      <c r="P300" s="10">
        <v>977</v>
      </c>
    </row>
    <row r="301" spans="1:16" ht="27" customHeight="1" x14ac:dyDescent="0.2">
      <c r="A301" s="9" t="s">
        <v>1018</v>
      </c>
      <c r="B301" s="10" t="s">
        <v>1118</v>
      </c>
      <c r="C301" s="11" t="s">
        <v>18</v>
      </c>
      <c r="D301" s="11" t="s">
        <v>19</v>
      </c>
      <c r="E301" s="11" t="s">
        <v>19</v>
      </c>
      <c r="F301" s="11" t="s">
        <v>1119</v>
      </c>
      <c r="G301" s="11" t="s">
        <v>83</v>
      </c>
      <c r="H301" s="11" t="s">
        <v>1120</v>
      </c>
      <c r="I301" s="11" t="s">
        <v>1121</v>
      </c>
      <c r="J301" s="12">
        <v>0.67749999999999999</v>
      </c>
      <c r="K301" s="13">
        <v>4</v>
      </c>
      <c r="L301" s="14">
        <v>942</v>
      </c>
      <c r="M301" s="10">
        <v>562</v>
      </c>
      <c r="N301" s="10">
        <v>104092</v>
      </c>
      <c r="O301" s="10">
        <v>44071</v>
      </c>
      <c r="P301" s="10">
        <v>148163</v>
      </c>
    </row>
    <row r="302" spans="1:16" ht="27" customHeight="1" x14ac:dyDescent="0.2">
      <c r="A302" s="9" t="s">
        <v>1018</v>
      </c>
      <c r="B302" s="10" t="s">
        <v>1122</v>
      </c>
      <c r="C302" s="11" t="s">
        <v>18</v>
      </c>
      <c r="D302" s="11" t="s">
        <v>19</v>
      </c>
      <c r="E302" s="11" t="s">
        <v>19</v>
      </c>
      <c r="F302" s="11" t="s">
        <v>1021</v>
      </c>
      <c r="G302" s="11" t="s">
        <v>83</v>
      </c>
      <c r="H302" s="11" t="s">
        <v>1021</v>
      </c>
      <c r="I302" s="11" t="s">
        <v>1022</v>
      </c>
      <c r="J302" s="12">
        <v>1</v>
      </c>
      <c r="K302" s="13">
        <v>2</v>
      </c>
      <c r="L302" s="14">
        <v>10</v>
      </c>
      <c r="M302" s="10">
        <v>10</v>
      </c>
      <c r="N302" s="10">
        <v>1105</v>
      </c>
      <c r="O302" s="10">
        <v>784</v>
      </c>
      <c r="P302" s="10">
        <v>1889</v>
      </c>
    </row>
    <row r="303" spans="1:16" ht="27" customHeight="1" x14ac:dyDescent="0.2">
      <c r="A303" s="9" t="s">
        <v>1018</v>
      </c>
      <c r="B303" s="10" t="s">
        <v>1123</v>
      </c>
      <c r="C303" s="11" t="s">
        <v>18</v>
      </c>
      <c r="D303" s="11" t="s">
        <v>19</v>
      </c>
      <c r="E303" s="11" t="s">
        <v>19</v>
      </c>
      <c r="F303" s="11" t="s">
        <v>881</v>
      </c>
      <c r="G303" s="11" t="s">
        <v>83</v>
      </c>
      <c r="H303" s="11" t="s">
        <v>881</v>
      </c>
      <c r="I303" s="11" t="s">
        <v>1124</v>
      </c>
      <c r="J303" s="12">
        <v>0.51770000000000005</v>
      </c>
      <c r="K303" s="13">
        <v>2</v>
      </c>
      <c r="L303" s="14">
        <v>545</v>
      </c>
      <c r="M303" s="10">
        <v>282</v>
      </c>
      <c r="N303" s="10">
        <v>60223</v>
      </c>
      <c r="O303" s="10">
        <v>22114</v>
      </c>
      <c r="P303" s="10">
        <v>82337</v>
      </c>
    </row>
    <row r="304" spans="1:16" ht="27" customHeight="1" x14ac:dyDescent="0.2">
      <c r="A304" s="9" t="s">
        <v>1018</v>
      </c>
      <c r="B304" s="10" t="s">
        <v>1123</v>
      </c>
      <c r="C304" s="11" t="s">
        <v>1125</v>
      </c>
      <c r="D304" s="11" t="s">
        <v>1126</v>
      </c>
      <c r="E304" s="11" t="s">
        <v>26</v>
      </c>
      <c r="F304" s="11" t="s">
        <v>1127</v>
      </c>
      <c r="G304" s="11" t="s">
        <v>28</v>
      </c>
      <c r="H304" s="11" t="s">
        <v>1127</v>
      </c>
      <c r="I304" s="11" t="s">
        <v>1128</v>
      </c>
      <c r="J304" s="12">
        <v>0.76470000000000005</v>
      </c>
      <c r="K304" s="13">
        <v>1</v>
      </c>
      <c r="L304" s="14">
        <v>34</v>
      </c>
      <c r="M304" s="10">
        <v>26</v>
      </c>
      <c r="N304" s="10">
        <v>3757</v>
      </c>
      <c r="O304" s="10">
        <v>2039</v>
      </c>
      <c r="P304" s="10">
        <v>5796</v>
      </c>
    </row>
    <row r="305" spans="1:16" ht="27" customHeight="1" x14ac:dyDescent="0.2">
      <c r="A305" s="9" t="s">
        <v>1018</v>
      </c>
      <c r="B305" s="10" t="s">
        <v>1129</v>
      </c>
      <c r="C305" s="11" t="s">
        <v>18</v>
      </c>
      <c r="D305" s="11" t="s">
        <v>19</v>
      </c>
      <c r="E305" s="11" t="s">
        <v>19</v>
      </c>
      <c r="F305" s="11" t="s">
        <v>1130</v>
      </c>
      <c r="G305" s="11" t="s">
        <v>83</v>
      </c>
      <c r="H305" s="11" t="s">
        <v>1130</v>
      </c>
      <c r="I305" s="11" t="s">
        <v>1131</v>
      </c>
      <c r="J305" s="12">
        <v>0.82050000000000001</v>
      </c>
      <c r="K305" s="13">
        <v>2</v>
      </c>
      <c r="L305" s="14">
        <v>79</v>
      </c>
      <c r="M305" s="10">
        <v>65</v>
      </c>
      <c r="N305" s="10">
        <v>8730</v>
      </c>
      <c r="O305" s="10">
        <v>5097</v>
      </c>
      <c r="P305" s="10">
        <v>13827</v>
      </c>
    </row>
    <row r="306" spans="1:16" ht="27" customHeight="1" x14ac:dyDescent="0.2">
      <c r="A306" s="9" t="s">
        <v>1018</v>
      </c>
      <c r="B306" s="10" t="s">
        <v>1132</v>
      </c>
      <c r="C306" s="11" t="s">
        <v>18</v>
      </c>
      <c r="D306" s="11" t="s">
        <v>19</v>
      </c>
      <c r="E306" s="11" t="s">
        <v>19</v>
      </c>
      <c r="F306" s="11" t="s">
        <v>1133</v>
      </c>
      <c r="G306" s="11" t="s">
        <v>83</v>
      </c>
      <c r="H306" s="11" t="s">
        <v>1134</v>
      </c>
      <c r="I306" s="11" t="s">
        <v>1135</v>
      </c>
      <c r="J306" s="12">
        <v>0.76690000000000003</v>
      </c>
      <c r="K306" s="13">
        <v>3</v>
      </c>
      <c r="L306" s="14">
        <v>343</v>
      </c>
      <c r="M306" s="10">
        <v>263</v>
      </c>
      <c r="N306" s="10">
        <v>37902</v>
      </c>
      <c r="O306" s="10">
        <v>20624</v>
      </c>
      <c r="P306" s="10">
        <v>58526</v>
      </c>
    </row>
    <row r="307" spans="1:16" ht="27" customHeight="1" x14ac:dyDescent="0.2">
      <c r="A307" s="9" t="s">
        <v>1018</v>
      </c>
      <c r="B307" s="10" t="s">
        <v>1136</v>
      </c>
      <c r="C307" s="11" t="s">
        <v>18</v>
      </c>
      <c r="D307" s="11" t="s">
        <v>19</v>
      </c>
      <c r="E307" s="11" t="s">
        <v>19</v>
      </c>
      <c r="F307" s="11" t="s">
        <v>1137</v>
      </c>
      <c r="G307" s="11" t="s">
        <v>83</v>
      </c>
      <c r="H307" s="11" t="s">
        <v>1138</v>
      </c>
      <c r="I307" s="11" t="s">
        <v>1139</v>
      </c>
      <c r="J307" s="12">
        <v>0.72529999999999994</v>
      </c>
      <c r="K307" s="13">
        <v>2</v>
      </c>
      <c r="L307" s="14">
        <v>182</v>
      </c>
      <c r="M307" s="10">
        <v>132</v>
      </c>
      <c r="N307" s="10">
        <v>20111</v>
      </c>
      <c r="O307" s="10">
        <v>10351</v>
      </c>
      <c r="P307" s="10">
        <v>30462</v>
      </c>
    </row>
    <row r="308" spans="1:16" ht="27" customHeight="1" x14ac:dyDescent="0.2">
      <c r="A308" s="9" t="s">
        <v>1018</v>
      </c>
      <c r="B308" s="10" t="s">
        <v>1140</v>
      </c>
      <c r="C308" s="11" t="s">
        <v>18</v>
      </c>
      <c r="D308" s="11" t="s">
        <v>19</v>
      </c>
      <c r="E308" s="11" t="s">
        <v>19</v>
      </c>
      <c r="F308" s="11" t="s">
        <v>1141</v>
      </c>
      <c r="G308" s="11" t="s">
        <v>83</v>
      </c>
      <c r="H308" s="11" t="s">
        <v>1142</v>
      </c>
      <c r="I308" s="11" t="s">
        <v>1143</v>
      </c>
      <c r="J308" s="12">
        <v>0.75590000000000002</v>
      </c>
      <c r="K308" s="13">
        <v>3</v>
      </c>
      <c r="L308" s="14">
        <v>353</v>
      </c>
      <c r="M308" s="10">
        <v>261</v>
      </c>
      <c r="N308" s="10">
        <v>39008</v>
      </c>
      <c r="O308" s="10">
        <v>20467</v>
      </c>
      <c r="P308" s="10">
        <v>59475</v>
      </c>
    </row>
    <row r="309" spans="1:16" ht="27" customHeight="1" x14ac:dyDescent="0.2">
      <c r="A309" s="9" t="s">
        <v>1018</v>
      </c>
      <c r="B309" s="10" t="s">
        <v>1140</v>
      </c>
      <c r="C309" s="11" t="s">
        <v>1144</v>
      </c>
      <c r="D309" s="11" t="s">
        <v>1145</v>
      </c>
      <c r="E309" s="11" t="s">
        <v>26</v>
      </c>
      <c r="F309" s="11" t="s">
        <v>1146</v>
      </c>
      <c r="G309" s="11" t="s">
        <v>28</v>
      </c>
      <c r="H309" s="11" t="s">
        <v>1146</v>
      </c>
      <c r="I309" s="11" t="s">
        <v>1147</v>
      </c>
      <c r="J309" s="12">
        <v>0.70630000000000004</v>
      </c>
      <c r="K309" s="13">
        <v>1</v>
      </c>
      <c r="L309" s="14">
        <v>429</v>
      </c>
      <c r="M309" s="10">
        <v>303</v>
      </c>
      <c r="N309" s="10">
        <v>47405</v>
      </c>
      <c r="O309" s="10">
        <v>23761</v>
      </c>
      <c r="P309" s="10">
        <v>71166</v>
      </c>
    </row>
    <row r="310" spans="1:16" ht="27" customHeight="1" x14ac:dyDescent="0.2">
      <c r="A310" s="9" t="s">
        <v>1018</v>
      </c>
      <c r="B310" s="10" t="s">
        <v>1140</v>
      </c>
      <c r="C310" s="11" t="s">
        <v>1148</v>
      </c>
      <c r="D310" s="11" t="s">
        <v>1149</v>
      </c>
      <c r="E310" s="11" t="s">
        <v>57</v>
      </c>
      <c r="F310" s="11" t="s">
        <v>1150</v>
      </c>
      <c r="G310" s="11" t="s">
        <v>28</v>
      </c>
      <c r="H310" s="11" t="s">
        <v>1150</v>
      </c>
      <c r="I310" s="11" t="s">
        <v>1151</v>
      </c>
      <c r="J310" s="12">
        <v>0.72599999999999998</v>
      </c>
      <c r="K310" s="13">
        <v>1</v>
      </c>
      <c r="L310" s="14">
        <v>73</v>
      </c>
      <c r="M310" s="10">
        <v>53</v>
      </c>
      <c r="N310" s="10">
        <v>8067</v>
      </c>
      <c r="O310" s="10">
        <v>4156</v>
      </c>
      <c r="P310" s="10">
        <v>12223</v>
      </c>
    </row>
    <row r="311" spans="1:16" ht="27" customHeight="1" x14ac:dyDescent="0.2">
      <c r="A311" s="9" t="s">
        <v>1018</v>
      </c>
      <c r="B311" s="10" t="s">
        <v>1152</v>
      </c>
      <c r="C311" s="11" t="s">
        <v>18</v>
      </c>
      <c r="D311" s="11" t="s">
        <v>19</v>
      </c>
      <c r="E311" s="11" t="s">
        <v>19</v>
      </c>
      <c r="F311" s="11" t="s">
        <v>1153</v>
      </c>
      <c r="G311" s="11" t="s">
        <v>83</v>
      </c>
      <c r="H311" s="11" t="s">
        <v>1154</v>
      </c>
      <c r="I311" s="11" t="s">
        <v>1155</v>
      </c>
      <c r="J311" s="12">
        <v>1</v>
      </c>
      <c r="K311" s="13">
        <v>9</v>
      </c>
      <c r="L311" s="14">
        <v>711</v>
      </c>
      <c r="M311" s="10">
        <v>459</v>
      </c>
      <c r="N311" s="10">
        <v>78568</v>
      </c>
      <c r="O311" s="10">
        <v>35994</v>
      </c>
      <c r="P311" s="10">
        <v>114562</v>
      </c>
    </row>
    <row r="312" spans="1:16" ht="27" customHeight="1" x14ac:dyDescent="0.2">
      <c r="A312" s="9" t="s">
        <v>1018</v>
      </c>
      <c r="B312" s="10" t="s">
        <v>1156</v>
      </c>
      <c r="C312" s="11" t="s">
        <v>18</v>
      </c>
      <c r="D312" s="11" t="s">
        <v>19</v>
      </c>
      <c r="E312" s="11" t="s">
        <v>19</v>
      </c>
      <c r="F312" s="11" t="s">
        <v>1157</v>
      </c>
      <c r="G312" s="11" t="s">
        <v>83</v>
      </c>
      <c r="H312" s="11" t="s">
        <v>1158</v>
      </c>
      <c r="I312" s="11" t="s">
        <v>1159</v>
      </c>
      <c r="J312" s="12">
        <v>0.62719999999999998</v>
      </c>
      <c r="K312" s="13">
        <v>2</v>
      </c>
      <c r="L312" s="14">
        <v>170</v>
      </c>
      <c r="M312" s="10">
        <v>107</v>
      </c>
      <c r="N312" s="10">
        <v>18785</v>
      </c>
      <c r="O312" s="10">
        <v>8391</v>
      </c>
      <c r="P312" s="10">
        <v>27176</v>
      </c>
    </row>
    <row r="313" spans="1:16" ht="27" customHeight="1" x14ac:dyDescent="0.2">
      <c r="A313" s="9" t="s">
        <v>1018</v>
      </c>
      <c r="B313" s="10" t="s">
        <v>1160</v>
      </c>
      <c r="C313" s="11" t="s">
        <v>18</v>
      </c>
      <c r="D313" s="11" t="s">
        <v>19</v>
      </c>
      <c r="E313" s="11" t="s">
        <v>19</v>
      </c>
      <c r="F313" s="11" t="s">
        <v>1161</v>
      </c>
      <c r="G313" s="11" t="s">
        <v>83</v>
      </c>
      <c r="H313" s="11" t="s">
        <v>1162</v>
      </c>
      <c r="I313" s="11" t="s">
        <v>1163</v>
      </c>
      <c r="J313" s="12">
        <v>0.48549999999999999</v>
      </c>
      <c r="K313" s="13">
        <v>3</v>
      </c>
      <c r="L313" s="14">
        <v>469</v>
      </c>
      <c r="M313" s="10">
        <v>230</v>
      </c>
      <c r="N313" s="10">
        <v>51826</v>
      </c>
      <c r="O313" s="10">
        <v>18036</v>
      </c>
      <c r="P313" s="10">
        <v>69862</v>
      </c>
    </row>
    <row r="314" spans="1:16" ht="27" customHeight="1" x14ac:dyDescent="0.2">
      <c r="A314" s="9" t="s">
        <v>1018</v>
      </c>
      <c r="B314" s="10" t="s">
        <v>1164</v>
      </c>
      <c r="C314" s="11" t="s">
        <v>18</v>
      </c>
      <c r="D314" s="11" t="s">
        <v>19</v>
      </c>
      <c r="E314" s="11" t="s">
        <v>19</v>
      </c>
      <c r="F314" s="11" t="s">
        <v>1165</v>
      </c>
      <c r="G314" s="11" t="s">
        <v>83</v>
      </c>
      <c r="H314" s="11" t="s">
        <v>1166</v>
      </c>
      <c r="I314" s="11" t="s">
        <v>1167</v>
      </c>
      <c r="J314" s="12">
        <v>0.2</v>
      </c>
      <c r="K314" s="13">
        <v>4</v>
      </c>
      <c r="L314" s="14">
        <v>34</v>
      </c>
      <c r="M314" s="10">
        <v>8</v>
      </c>
      <c r="N314" s="10">
        <v>3758</v>
      </c>
      <c r="O314" s="10">
        <v>627</v>
      </c>
      <c r="P314" s="10">
        <v>4385</v>
      </c>
    </row>
    <row r="315" spans="1:16" ht="27" customHeight="1" x14ac:dyDescent="0.2">
      <c r="A315" s="9" t="s">
        <v>1018</v>
      </c>
      <c r="B315" s="10" t="s">
        <v>1168</v>
      </c>
      <c r="C315" s="11" t="s">
        <v>18</v>
      </c>
      <c r="D315" s="11" t="s">
        <v>19</v>
      </c>
      <c r="E315" s="11" t="s">
        <v>19</v>
      </c>
      <c r="F315" s="11" t="s">
        <v>1169</v>
      </c>
      <c r="G315" s="11" t="s">
        <v>83</v>
      </c>
      <c r="H315" s="11" t="s">
        <v>1170</v>
      </c>
      <c r="I315" s="11" t="s">
        <v>1171</v>
      </c>
      <c r="J315" s="12">
        <v>0.90310000000000001</v>
      </c>
      <c r="K315" s="13">
        <v>9</v>
      </c>
      <c r="L315" s="14">
        <v>3681</v>
      </c>
      <c r="M315" s="10">
        <v>2656</v>
      </c>
      <c r="N315" s="10">
        <v>406758</v>
      </c>
      <c r="O315" s="10">
        <v>208280</v>
      </c>
      <c r="P315" s="10">
        <v>615038</v>
      </c>
    </row>
    <row r="316" spans="1:16" ht="27" customHeight="1" x14ac:dyDescent="0.2">
      <c r="A316" s="9" t="s">
        <v>1018</v>
      </c>
      <c r="B316" s="10" t="s">
        <v>1168</v>
      </c>
      <c r="C316" s="11" t="s">
        <v>1172</v>
      </c>
      <c r="D316" s="11" t="s">
        <v>1173</v>
      </c>
      <c r="E316" s="11" t="s">
        <v>26</v>
      </c>
      <c r="F316" s="11" t="s">
        <v>1174</v>
      </c>
      <c r="G316" s="11" t="s">
        <v>28</v>
      </c>
      <c r="H316" s="11" t="s">
        <v>1174</v>
      </c>
      <c r="I316" s="11" t="s">
        <v>1175</v>
      </c>
      <c r="J316" s="12">
        <v>0.79139999999999999</v>
      </c>
      <c r="K316" s="13">
        <v>1</v>
      </c>
      <c r="L316" s="14">
        <v>139</v>
      </c>
      <c r="M316" s="10">
        <v>110</v>
      </c>
      <c r="N316" s="10">
        <v>15360</v>
      </c>
      <c r="O316" s="10">
        <v>8626</v>
      </c>
      <c r="P316" s="10">
        <v>23986</v>
      </c>
    </row>
    <row r="317" spans="1:16" ht="27" customHeight="1" x14ac:dyDescent="0.2">
      <c r="A317" s="9" t="s">
        <v>1018</v>
      </c>
      <c r="B317" s="10" t="s">
        <v>1176</v>
      </c>
      <c r="C317" s="11" t="s">
        <v>18</v>
      </c>
      <c r="D317" s="11" t="s">
        <v>19</v>
      </c>
      <c r="E317" s="11" t="s">
        <v>19</v>
      </c>
      <c r="F317" s="11" t="s">
        <v>1177</v>
      </c>
      <c r="G317" s="11" t="s">
        <v>83</v>
      </c>
      <c r="H317" s="11" t="s">
        <v>1178</v>
      </c>
      <c r="I317" s="11" t="s">
        <v>1179</v>
      </c>
      <c r="J317" s="12">
        <v>0.82310000000000005</v>
      </c>
      <c r="K317" s="13">
        <v>5</v>
      </c>
      <c r="L317" s="14">
        <v>1118</v>
      </c>
      <c r="M317" s="10">
        <v>899</v>
      </c>
      <c r="N317" s="10">
        <v>123541</v>
      </c>
      <c r="O317" s="10">
        <v>70499</v>
      </c>
      <c r="P317" s="10">
        <v>194040</v>
      </c>
    </row>
    <row r="318" spans="1:16" ht="27" customHeight="1" x14ac:dyDescent="0.2">
      <c r="A318" s="9" t="s">
        <v>1018</v>
      </c>
      <c r="B318" s="10" t="s">
        <v>1176</v>
      </c>
      <c r="C318" s="11" t="s">
        <v>1180</v>
      </c>
      <c r="D318" s="11" t="s">
        <v>1181</v>
      </c>
      <c r="E318" s="11" t="s">
        <v>26</v>
      </c>
      <c r="F318" s="11" t="s">
        <v>1182</v>
      </c>
      <c r="G318" s="11" t="s">
        <v>28</v>
      </c>
      <c r="H318" s="11" t="s">
        <v>1182</v>
      </c>
      <c r="I318" s="11" t="s">
        <v>1183</v>
      </c>
      <c r="J318" s="12">
        <v>0.39729999999999999</v>
      </c>
      <c r="K318" s="13">
        <v>1</v>
      </c>
      <c r="L318" s="14">
        <v>219</v>
      </c>
      <c r="M318" s="10">
        <v>87</v>
      </c>
      <c r="N318" s="10">
        <v>24200</v>
      </c>
      <c r="O318" s="10">
        <v>6822</v>
      </c>
      <c r="P318" s="10">
        <v>31022</v>
      </c>
    </row>
    <row r="319" spans="1:16" ht="27" customHeight="1" x14ac:dyDescent="0.2">
      <c r="A319" s="9" t="s">
        <v>1184</v>
      </c>
      <c r="B319" s="10" t="s">
        <v>1185</v>
      </c>
      <c r="C319" s="11" t="s">
        <v>18</v>
      </c>
      <c r="D319" s="11" t="s">
        <v>19</v>
      </c>
      <c r="E319" s="11" t="s">
        <v>19</v>
      </c>
      <c r="F319" s="11" t="s">
        <v>1186</v>
      </c>
      <c r="G319" s="11" t="s">
        <v>21</v>
      </c>
      <c r="H319" s="11" t="s">
        <v>1187</v>
      </c>
      <c r="I319" s="11" t="s">
        <v>1188</v>
      </c>
      <c r="J319" s="12">
        <v>0.96</v>
      </c>
      <c r="K319" s="13">
        <v>4</v>
      </c>
      <c r="L319" s="14">
        <v>1128</v>
      </c>
      <c r="M319" s="10">
        <v>894</v>
      </c>
      <c r="N319" s="10">
        <v>124646</v>
      </c>
      <c r="O319" s="10">
        <v>70107</v>
      </c>
      <c r="P319" s="10">
        <v>194753</v>
      </c>
    </row>
    <row r="320" spans="1:16" ht="27" customHeight="1" x14ac:dyDescent="0.2">
      <c r="A320" s="9" t="s">
        <v>1184</v>
      </c>
      <c r="B320" s="10" t="s">
        <v>1185</v>
      </c>
      <c r="C320" s="11" t="s">
        <v>1189</v>
      </c>
      <c r="D320" s="11" t="s">
        <v>1190</v>
      </c>
      <c r="E320" s="11" t="s">
        <v>57</v>
      </c>
      <c r="F320" s="11" t="s">
        <v>1191</v>
      </c>
      <c r="G320" s="11" t="s">
        <v>28</v>
      </c>
      <c r="H320" s="11" t="s">
        <v>1187</v>
      </c>
      <c r="I320" s="11" t="s">
        <v>1188</v>
      </c>
      <c r="J320" s="12">
        <v>0.96</v>
      </c>
      <c r="K320" s="13">
        <v>1</v>
      </c>
      <c r="L320" s="14">
        <v>206</v>
      </c>
      <c r="M320" s="10">
        <v>196</v>
      </c>
      <c r="N320" s="10">
        <v>22763</v>
      </c>
      <c r="O320" s="10">
        <v>15370</v>
      </c>
      <c r="P320" s="10">
        <v>38133</v>
      </c>
    </row>
    <row r="321" spans="1:16" ht="27" customHeight="1" x14ac:dyDescent="0.2">
      <c r="A321" s="9" t="s">
        <v>1184</v>
      </c>
      <c r="B321" s="10" t="s">
        <v>1192</v>
      </c>
      <c r="C321" s="11" t="s">
        <v>18</v>
      </c>
      <c r="D321" s="11" t="s">
        <v>19</v>
      </c>
      <c r="E321" s="11" t="s">
        <v>19</v>
      </c>
      <c r="F321" s="11" t="s">
        <v>1193</v>
      </c>
      <c r="G321" s="11" t="s">
        <v>83</v>
      </c>
      <c r="H321" s="11" t="s">
        <v>1194</v>
      </c>
      <c r="I321" s="11" t="s">
        <v>1195</v>
      </c>
      <c r="J321" s="12">
        <v>0.92569999999999997</v>
      </c>
      <c r="K321" s="13">
        <v>6</v>
      </c>
      <c r="L321" s="14">
        <v>3911</v>
      </c>
      <c r="M321" s="10">
        <v>3307</v>
      </c>
      <c r="N321" s="10">
        <v>432171</v>
      </c>
      <c r="O321" s="10">
        <v>259331</v>
      </c>
      <c r="P321" s="10">
        <v>691502</v>
      </c>
    </row>
    <row r="322" spans="1:16" ht="27" customHeight="1" x14ac:dyDescent="0.2">
      <c r="A322" s="9" t="s">
        <v>1184</v>
      </c>
      <c r="B322" s="10" t="s">
        <v>1196</v>
      </c>
      <c r="C322" s="11" t="s">
        <v>18</v>
      </c>
      <c r="D322" s="11" t="s">
        <v>19</v>
      </c>
      <c r="E322" s="11" t="s">
        <v>19</v>
      </c>
      <c r="F322" s="11" t="s">
        <v>1197</v>
      </c>
      <c r="G322" s="11" t="s">
        <v>83</v>
      </c>
      <c r="H322" s="11" t="s">
        <v>1187</v>
      </c>
      <c r="I322" s="11" t="s">
        <v>1188</v>
      </c>
      <c r="J322" s="12">
        <v>0.96</v>
      </c>
      <c r="K322" s="13">
        <v>4</v>
      </c>
      <c r="L322" s="14">
        <v>2055</v>
      </c>
      <c r="M322" s="10">
        <v>1483</v>
      </c>
      <c r="N322" s="10">
        <v>227081</v>
      </c>
      <c r="O322" s="10">
        <v>116295</v>
      </c>
      <c r="P322" s="10">
        <v>343376</v>
      </c>
    </row>
    <row r="323" spans="1:16" ht="27" customHeight="1" x14ac:dyDescent="0.2">
      <c r="A323" s="9" t="s">
        <v>1184</v>
      </c>
      <c r="B323" s="10" t="s">
        <v>1198</v>
      </c>
      <c r="C323" s="11" t="s">
        <v>18</v>
      </c>
      <c r="D323" s="11" t="s">
        <v>19</v>
      </c>
      <c r="E323" s="11" t="s">
        <v>19</v>
      </c>
      <c r="F323" s="11" t="s">
        <v>1199</v>
      </c>
      <c r="G323" s="11" t="s">
        <v>83</v>
      </c>
      <c r="H323" s="11" t="s">
        <v>1200</v>
      </c>
      <c r="I323" s="11" t="s">
        <v>1201</v>
      </c>
      <c r="J323" s="12">
        <v>0.95340000000000003</v>
      </c>
      <c r="K323" s="13">
        <v>13</v>
      </c>
      <c r="L323" s="14">
        <v>8455</v>
      </c>
      <c r="M323" s="10">
        <v>7255</v>
      </c>
      <c r="N323" s="10">
        <v>934294</v>
      </c>
      <c r="O323" s="10">
        <v>568932</v>
      </c>
      <c r="P323" s="10">
        <v>1503226</v>
      </c>
    </row>
    <row r="324" spans="1:16" ht="27" customHeight="1" x14ac:dyDescent="0.2">
      <c r="A324" s="9" t="s">
        <v>1184</v>
      </c>
      <c r="B324" s="10" t="s">
        <v>1202</v>
      </c>
      <c r="C324" s="11" t="s">
        <v>18</v>
      </c>
      <c r="D324" s="11" t="s">
        <v>19</v>
      </c>
      <c r="E324" s="11" t="s">
        <v>19</v>
      </c>
      <c r="F324" s="11" t="s">
        <v>1203</v>
      </c>
      <c r="G324" s="11" t="s">
        <v>83</v>
      </c>
      <c r="H324" s="11" t="s">
        <v>1187</v>
      </c>
      <c r="I324" s="11" t="s">
        <v>1188</v>
      </c>
      <c r="J324" s="12">
        <v>0.96</v>
      </c>
      <c r="K324" s="13">
        <v>5</v>
      </c>
      <c r="L324" s="14">
        <v>1175</v>
      </c>
      <c r="M324" s="10">
        <v>1027</v>
      </c>
      <c r="N324" s="10">
        <v>129840</v>
      </c>
      <c r="O324" s="10">
        <v>80535</v>
      </c>
      <c r="P324" s="10">
        <v>210375</v>
      </c>
    </row>
    <row r="325" spans="1:16" ht="27" customHeight="1" x14ac:dyDescent="0.2">
      <c r="A325" s="9" t="s">
        <v>1184</v>
      </c>
      <c r="B325" s="10" t="s">
        <v>1204</v>
      </c>
      <c r="C325" s="11" t="s">
        <v>18</v>
      </c>
      <c r="D325" s="11" t="s">
        <v>19</v>
      </c>
      <c r="E325" s="11" t="s">
        <v>19</v>
      </c>
      <c r="F325" s="11" t="s">
        <v>1205</v>
      </c>
      <c r="G325" s="11" t="s">
        <v>83</v>
      </c>
      <c r="H325" s="11" t="s">
        <v>1187</v>
      </c>
      <c r="I325" s="11" t="s">
        <v>1188</v>
      </c>
      <c r="J325" s="12">
        <v>0.96</v>
      </c>
      <c r="K325" s="13">
        <v>6</v>
      </c>
      <c r="L325" s="14">
        <v>4093</v>
      </c>
      <c r="M325" s="10">
        <v>3137</v>
      </c>
      <c r="N325" s="10">
        <v>452284</v>
      </c>
      <c r="O325" s="10">
        <v>246000</v>
      </c>
      <c r="P325" s="10">
        <v>698284</v>
      </c>
    </row>
    <row r="326" spans="1:16" ht="27" customHeight="1" x14ac:dyDescent="0.2">
      <c r="A326" s="9" t="s">
        <v>1184</v>
      </c>
      <c r="B326" s="10" t="s">
        <v>1206</v>
      </c>
      <c r="C326" s="11" t="s">
        <v>18</v>
      </c>
      <c r="D326" s="11" t="s">
        <v>19</v>
      </c>
      <c r="E326" s="11" t="s">
        <v>19</v>
      </c>
      <c r="F326" s="11" t="s">
        <v>1207</v>
      </c>
      <c r="G326" s="11" t="s">
        <v>83</v>
      </c>
      <c r="H326" s="11" t="s">
        <v>1208</v>
      </c>
      <c r="I326" s="11" t="s">
        <v>1209</v>
      </c>
      <c r="J326" s="12">
        <v>0.89080000000000004</v>
      </c>
      <c r="K326" s="13">
        <v>13</v>
      </c>
      <c r="L326" s="14">
        <v>5184</v>
      </c>
      <c r="M326" s="10">
        <v>4139</v>
      </c>
      <c r="N326" s="10">
        <v>572840</v>
      </c>
      <c r="O326" s="10">
        <v>324575</v>
      </c>
      <c r="P326" s="10">
        <v>897415</v>
      </c>
    </row>
    <row r="327" spans="1:16" ht="27" customHeight="1" x14ac:dyDescent="0.2">
      <c r="A327" s="9" t="s">
        <v>1184</v>
      </c>
      <c r="B327" s="10" t="s">
        <v>1206</v>
      </c>
      <c r="C327" s="11" t="s">
        <v>1210</v>
      </c>
      <c r="D327" s="11" t="s">
        <v>1211</v>
      </c>
      <c r="E327" s="11" t="s">
        <v>26</v>
      </c>
      <c r="F327" s="11" t="s">
        <v>1212</v>
      </c>
      <c r="G327" s="11" t="s">
        <v>28</v>
      </c>
      <c r="H327" s="11" t="s">
        <v>1212</v>
      </c>
      <c r="I327" s="11" t="s">
        <v>1213</v>
      </c>
      <c r="J327" s="12">
        <v>0.74790000000000001</v>
      </c>
      <c r="K327" s="13">
        <v>1</v>
      </c>
      <c r="L327" s="14">
        <v>238</v>
      </c>
      <c r="M327" s="10">
        <v>178</v>
      </c>
      <c r="N327" s="10">
        <v>26299</v>
      </c>
      <c r="O327" s="10">
        <v>13959</v>
      </c>
      <c r="P327" s="10">
        <v>40258</v>
      </c>
    </row>
    <row r="328" spans="1:16" ht="27" customHeight="1" x14ac:dyDescent="0.2">
      <c r="A328" s="9" t="s">
        <v>1184</v>
      </c>
      <c r="B328" s="10" t="s">
        <v>1206</v>
      </c>
      <c r="C328" s="11" t="s">
        <v>1214</v>
      </c>
      <c r="D328" s="11" t="s">
        <v>1215</v>
      </c>
      <c r="E328" s="11" t="s">
        <v>57</v>
      </c>
      <c r="F328" s="11" t="s">
        <v>1216</v>
      </c>
      <c r="G328" s="11" t="s">
        <v>28</v>
      </c>
      <c r="H328" s="11" t="s">
        <v>1216</v>
      </c>
      <c r="I328" s="11" t="s">
        <v>1217</v>
      </c>
      <c r="J328" s="12">
        <v>0.51849999999999996</v>
      </c>
      <c r="K328" s="13">
        <v>1</v>
      </c>
      <c r="L328" s="14">
        <v>135</v>
      </c>
      <c r="M328" s="10">
        <v>70</v>
      </c>
      <c r="N328" s="10">
        <v>14918</v>
      </c>
      <c r="O328" s="10">
        <v>5489</v>
      </c>
      <c r="P328" s="10">
        <v>20407</v>
      </c>
    </row>
    <row r="329" spans="1:16" ht="27" customHeight="1" x14ac:dyDescent="0.2">
      <c r="A329" s="9" t="s">
        <v>1184</v>
      </c>
      <c r="B329" s="10" t="s">
        <v>1218</v>
      </c>
      <c r="C329" s="11" t="s">
        <v>18</v>
      </c>
      <c r="D329" s="11" t="s">
        <v>19</v>
      </c>
      <c r="E329" s="11" t="s">
        <v>19</v>
      </c>
      <c r="F329" s="11" t="s">
        <v>1219</v>
      </c>
      <c r="G329" s="11" t="s">
        <v>83</v>
      </c>
      <c r="H329" s="11" t="s">
        <v>1220</v>
      </c>
      <c r="I329" s="11" t="s">
        <v>1221</v>
      </c>
      <c r="J329" s="12">
        <v>0.70430000000000004</v>
      </c>
      <c r="K329" s="13">
        <v>3</v>
      </c>
      <c r="L329" s="14">
        <v>1191</v>
      </c>
      <c r="M329" s="10">
        <v>835</v>
      </c>
      <c r="N329" s="10">
        <v>131607</v>
      </c>
      <c r="O329" s="10">
        <v>65480</v>
      </c>
      <c r="P329" s="10">
        <v>197087</v>
      </c>
    </row>
    <row r="330" spans="1:16" ht="27" customHeight="1" x14ac:dyDescent="0.2">
      <c r="A330" s="9" t="s">
        <v>1184</v>
      </c>
      <c r="B330" s="10" t="s">
        <v>1222</v>
      </c>
      <c r="C330" s="11" t="s">
        <v>18</v>
      </c>
      <c r="D330" s="11" t="s">
        <v>19</v>
      </c>
      <c r="E330" s="11" t="s">
        <v>19</v>
      </c>
      <c r="F330" s="11" t="s">
        <v>1223</v>
      </c>
      <c r="G330" s="11" t="s">
        <v>83</v>
      </c>
      <c r="H330" s="11" t="s">
        <v>1224</v>
      </c>
      <c r="I330" s="11" t="s">
        <v>1225</v>
      </c>
      <c r="J330" s="12">
        <v>0.84250000000000003</v>
      </c>
      <c r="K330" s="13">
        <v>7</v>
      </c>
      <c r="L330" s="14">
        <v>1578</v>
      </c>
      <c r="M330" s="10">
        <v>1247</v>
      </c>
      <c r="N330" s="10">
        <v>174371</v>
      </c>
      <c r="O330" s="10">
        <v>97787</v>
      </c>
      <c r="P330" s="10">
        <v>272158</v>
      </c>
    </row>
    <row r="331" spans="1:16" ht="27" customHeight="1" x14ac:dyDescent="0.2">
      <c r="A331" s="9" t="s">
        <v>1184</v>
      </c>
      <c r="B331" s="10" t="s">
        <v>1226</v>
      </c>
      <c r="C331" s="11" t="s">
        <v>18</v>
      </c>
      <c r="D331" s="11" t="s">
        <v>19</v>
      </c>
      <c r="E331" s="11" t="s">
        <v>19</v>
      </c>
      <c r="F331" s="11" t="s">
        <v>1227</v>
      </c>
      <c r="G331" s="11" t="s">
        <v>83</v>
      </c>
      <c r="H331" s="11" t="s">
        <v>1228</v>
      </c>
      <c r="I331" s="11" t="s">
        <v>1229</v>
      </c>
      <c r="J331" s="12">
        <v>0.60140000000000005</v>
      </c>
      <c r="K331" s="13">
        <v>7</v>
      </c>
      <c r="L331" s="14">
        <v>4573</v>
      </c>
      <c r="M331" s="10">
        <v>2597</v>
      </c>
      <c r="N331" s="10">
        <v>505324</v>
      </c>
      <c r="O331" s="10">
        <v>203655</v>
      </c>
      <c r="P331" s="10">
        <v>708979</v>
      </c>
    </row>
    <row r="332" spans="1:16" ht="27" customHeight="1" x14ac:dyDescent="0.2">
      <c r="A332" s="9" t="s">
        <v>1184</v>
      </c>
      <c r="B332" s="10" t="s">
        <v>1230</v>
      </c>
      <c r="C332" s="11" t="s">
        <v>18</v>
      </c>
      <c r="D332" s="11" t="s">
        <v>19</v>
      </c>
      <c r="E332" s="11" t="s">
        <v>19</v>
      </c>
      <c r="F332" s="11" t="s">
        <v>1231</v>
      </c>
      <c r="G332" s="11" t="s">
        <v>83</v>
      </c>
      <c r="H332" s="11" t="s">
        <v>1231</v>
      </c>
      <c r="I332" s="11" t="s">
        <v>1232</v>
      </c>
      <c r="J332" s="12">
        <v>0.128</v>
      </c>
      <c r="K332" s="13">
        <v>2</v>
      </c>
      <c r="L332" s="14">
        <v>125</v>
      </c>
      <c r="M332" s="10">
        <v>16</v>
      </c>
      <c r="N332" s="10">
        <v>13813</v>
      </c>
      <c r="O332" s="10">
        <v>1255</v>
      </c>
      <c r="P332" s="10">
        <v>15068</v>
      </c>
    </row>
    <row r="333" spans="1:16" ht="27" customHeight="1" x14ac:dyDescent="0.2">
      <c r="A333" s="9" t="s">
        <v>1184</v>
      </c>
      <c r="B333" s="10" t="s">
        <v>1233</v>
      </c>
      <c r="C333" s="11" t="s">
        <v>18</v>
      </c>
      <c r="D333" s="11" t="s">
        <v>19</v>
      </c>
      <c r="E333" s="11" t="s">
        <v>19</v>
      </c>
      <c r="F333" s="11" t="s">
        <v>1234</v>
      </c>
      <c r="G333" s="11" t="s">
        <v>83</v>
      </c>
      <c r="H333" s="11" t="s">
        <v>1235</v>
      </c>
      <c r="I333" s="11" t="s">
        <v>1236</v>
      </c>
      <c r="J333" s="12">
        <v>0.38629999999999998</v>
      </c>
      <c r="K333" s="13">
        <v>2</v>
      </c>
      <c r="L333" s="14">
        <v>1211</v>
      </c>
      <c r="M333" s="10">
        <v>468</v>
      </c>
      <c r="N333" s="10">
        <v>133818</v>
      </c>
      <c r="O333" s="10">
        <v>36700</v>
      </c>
      <c r="P333" s="10">
        <v>170518</v>
      </c>
    </row>
    <row r="334" spans="1:16" ht="27" customHeight="1" x14ac:dyDescent="0.2">
      <c r="A334" s="9" t="s">
        <v>1184</v>
      </c>
      <c r="B334" s="10" t="s">
        <v>1237</v>
      </c>
      <c r="C334" s="11" t="s">
        <v>18</v>
      </c>
      <c r="D334" s="11" t="s">
        <v>19</v>
      </c>
      <c r="E334" s="11" t="s">
        <v>19</v>
      </c>
      <c r="F334" s="11" t="s">
        <v>1238</v>
      </c>
      <c r="G334" s="11" t="s">
        <v>83</v>
      </c>
      <c r="H334" s="11" t="s">
        <v>1239</v>
      </c>
      <c r="I334" s="11" t="s">
        <v>1240</v>
      </c>
      <c r="J334" s="12">
        <v>0.84109999999999996</v>
      </c>
      <c r="K334" s="13">
        <v>2</v>
      </c>
      <c r="L334" s="14">
        <v>386</v>
      </c>
      <c r="M334" s="10">
        <v>325</v>
      </c>
      <c r="N334" s="10">
        <v>42654</v>
      </c>
      <c r="O334" s="10">
        <v>25486</v>
      </c>
      <c r="P334" s="10">
        <v>68140</v>
      </c>
    </row>
    <row r="335" spans="1:16" ht="27" customHeight="1" x14ac:dyDescent="0.2">
      <c r="A335" s="9" t="s">
        <v>1184</v>
      </c>
      <c r="B335" s="10" t="s">
        <v>1241</v>
      </c>
      <c r="C335" s="11" t="s">
        <v>18</v>
      </c>
      <c r="D335" s="11" t="s">
        <v>19</v>
      </c>
      <c r="E335" s="11" t="s">
        <v>19</v>
      </c>
      <c r="F335" s="11" t="s">
        <v>1242</v>
      </c>
      <c r="G335" s="11" t="s">
        <v>83</v>
      </c>
      <c r="H335" s="11" t="s">
        <v>1242</v>
      </c>
      <c r="I335" s="11" t="s">
        <v>1243</v>
      </c>
      <c r="J335" s="12">
        <v>0.4</v>
      </c>
      <c r="K335" s="13">
        <v>2</v>
      </c>
      <c r="L335" s="14">
        <v>65</v>
      </c>
      <c r="M335" s="10">
        <v>26</v>
      </c>
      <c r="N335" s="10">
        <v>7183</v>
      </c>
      <c r="O335" s="10">
        <v>2039</v>
      </c>
      <c r="P335" s="10">
        <v>9222</v>
      </c>
    </row>
    <row r="336" spans="1:16" ht="27" customHeight="1" x14ac:dyDescent="0.2">
      <c r="A336" s="9" t="s">
        <v>1184</v>
      </c>
      <c r="B336" s="10" t="s">
        <v>1244</v>
      </c>
      <c r="C336" s="11" t="s">
        <v>18</v>
      </c>
      <c r="D336" s="11" t="s">
        <v>19</v>
      </c>
      <c r="E336" s="11" t="s">
        <v>19</v>
      </c>
      <c r="F336" s="11" t="s">
        <v>1245</v>
      </c>
      <c r="G336" s="11" t="s">
        <v>83</v>
      </c>
      <c r="H336" s="11" t="s">
        <v>1246</v>
      </c>
      <c r="I336" s="11" t="s">
        <v>1247</v>
      </c>
      <c r="J336" s="12">
        <v>0.6522</v>
      </c>
      <c r="K336" s="13">
        <v>6</v>
      </c>
      <c r="L336" s="14">
        <v>606</v>
      </c>
      <c r="M336" s="10">
        <v>412</v>
      </c>
      <c r="N336" s="10">
        <v>66964</v>
      </c>
      <c r="O336" s="10">
        <v>32308</v>
      </c>
      <c r="P336" s="10">
        <v>99272</v>
      </c>
    </row>
    <row r="337" spans="1:16" ht="27" customHeight="1" x14ac:dyDescent="0.2">
      <c r="A337" s="9" t="s">
        <v>1184</v>
      </c>
      <c r="B337" s="10" t="s">
        <v>1248</v>
      </c>
      <c r="C337" s="11" t="s">
        <v>18</v>
      </c>
      <c r="D337" s="11" t="s">
        <v>19</v>
      </c>
      <c r="E337" s="11" t="s">
        <v>19</v>
      </c>
      <c r="F337" s="11" t="s">
        <v>1249</v>
      </c>
      <c r="G337" s="11" t="s">
        <v>83</v>
      </c>
      <c r="H337" s="11" t="s">
        <v>1250</v>
      </c>
      <c r="I337" s="11" t="s">
        <v>1251</v>
      </c>
      <c r="J337" s="12">
        <v>0.94799999999999995</v>
      </c>
      <c r="K337" s="13">
        <v>2</v>
      </c>
      <c r="L337" s="14">
        <v>348</v>
      </c>
      <c r="M337" s="10">
        <v>330</v>
      </c>
      <c r="N337" s="10">
        <v>38455</v>
      </c>
      <c r="O337" s="10">
        <v>25878</v>
      </c>
      <c r="P337" s="10">
        <v>64333</v>
      </c>
    </row>
    <row r="338" spans="1:16" ht="27" customHeight="1" x14ac:dyDescent="0.2">
      <c r="A338" s="9" t="s">
        <v>1184</v>
      </c>
      <c r="B338" s="10" t="s">
        <v>1252</v>
      </c>
      <c r="C338" s="11" t="s">
        <v>18</v>
      </c>
      <c r="D338" s="11" t="s">
        <v>19</v>
      </c>
      <c r="E338" s="11" t="s">
        <v>19</v>
      </c>
      <c r="F338" s="11" t="s">
        <v>1253</v>
      </c>
      <c r="G338" s="11" t="s">
        <v>83</v>
      </c>
      <c r="H338" s="11" t="s">
        <v>1254</v>
      </c>
      <c r="I338" s="11" t="s">
        <v>1255</v>
      </c>
      <c r="J338" s="12">
        <v>0.93730000000000002</v>
      </c>
      <c r="K338" s="13">
        <v>2</v>
      </c>
      <c r="L338" s="14">
        <v>341</v>
      </c>
      <c r="M338" s="10">
        <v>320</v>
      </c>
      <c r="N338" s="10">
        <v>37681</v>
      </c>
      <c r="O338" s="10">
        <v>25094</v>
      </c>
      <c r="P338" s="10">
        <v>62775</v>
      </c>
    </row>
    <row r="339" spans="1:16" ht="27" customHeight="1" x14ac:dyDescent="0.2">
      <c r="A339" s="9" t="s">
        <v>1256</v>
      </c>
      <c r="B339" s="10" t="s">
        <v>1257</v>
      </c>
      <c r="C339" s="11" t="s">
        <v>18</v>
      </c>
      <c r="D339" s="11" t="s">
        <v>19</v>
      </c>
      <c r="E339" s="11" t="s">
        <v>19</v>
      </c>
      <c r="F339" s="11" t="s">
        <v>1258</v>
      </c>
      <c r="G339" s="11" t="s">
        <v>21</v>
      </c>
      <c r="H339" s="11" t="s">
        <v>1259</v>
      </c>
      <c r="I339" s="11" t="s">
        <v>1260</v>
      </c>
      <c r="J339" s="12">
        <v>0.63029999999999997</v>
      </c>
      <c r="K339" s="13">
        <v>3</v>
      </c>
      <c r="L339" s="14">
        <v>131</v>
      </c>
      <c r="M339" s="10">
        <v>84</v>
      </c>
      <c r="N339" s="10">
        <v>14476</v>
      </c>
      <c r="O339" s="10">
        <v>6587</v>
      </c>
      <c r="P339" s="10">
        <v>21063</v>
      </c>
    </row>
    <row r="340" spans="1:16" ht="27" customHeight="1" x14ac:dyDescent="0.2">
      <c r="A340" s="9" t="s">
        <v>1256</v>
      </c>
      <c r="B340" s="10" t="s">
        <v>1257</v>
      </c>
      <c r="C340" s="11" t="s">
        <v>1261</v>
      </c>
      <c r="D340" s="11" t="s">
        <v>1262</v>
      </c>
      <c r="E340" s="11" t="s">
        <v>26</v>
      </c>
      <c r="F340" s="11" t="s">
        <v>1263</v>
      </c>
      <c r="G340" s="11" t="s">
        <v>28</v>
      </c>
      <c r="H340" s="11" t="s">
        <v>1259</v>
      </c>
      <c r="I340" s="11" t="s">
        <v>1260</v>
      </c>
      <c r="J340" s="12">
        <v>0.63029999999999997</v>
      </c>
      <c r="K340" s="13">
        <v>1</v>
      </c>
      <c r="L340" s="14">
        <v>667</v>
      </c>
      <c r="M340" s="10">
        <v>619</v>
      </c>
      <c r="N340" s="10">
        <v>73705</v>
      </c>
      <c r="O340" s="10">
        <v>48541</v>
      </c>
      <c r="P340" s="10">
        <v>122246</v>
      </c>
    </row>
    <row r="341" spans="1:16" ht="27" customHeight="1" x14ac:dyDescent="0.2">
      <c r="A341" s="9" t="s">
        <v>1256</v>
      </c>
      <c r="B341" s="10" t="s">
        <v>1257</v>
      </c>
      <c r="C341" s="11" t="s">
        <v>1264</v>
      </c>
      <c r="D341" s="11" t="s">
        <v>1265</v>
      </c>
      <c r="E341" s="11" t="s">
        <v>26</v>
      </c>
      <c r="F341" s="11" t="s">
        <v>1266</v>
      </c>
      <c r="G341" s="11" t="s">
        <v>28</v>
      </c>
      <c r="H341" s="11" t="s">
        <v>1259</v>
      </c>
      <c r="I341" s="11" t="s">
        <v>1260</v>
      </c>
      <c r="J341" s="12">
        <v>0.63029999999999997</v>
      </c>
      <c r="K341" s="13">
        <v>1</v>
      </c>
      <c r="L341" s="14">
        <v>202</v>
      </c>
      <c r="M341" s="10">
        <v>163</v>
      </c>
      <c r="N341" s="10">
        <v>22321</v>
      </c>
      <c r="O341" s="10">
        <v>12782</v>
      </c>
      <c r="P341" s="10">
        <v>35103</v>
      </c>
    </row>
    <row r="342" spans="1:16" ht="27" customHeight="1" x14ac:dyDescent="0.2">
      <c r="A342" s="9" t="s">
        <v>1256</v>
      </c>
      <c r="B342" s="10" t="s">
        <v>1257</v>
      </c>
      <c r="C342" s="11" t="s">
        <v>1267</v>
      </c>
      <c r="D342" s="11" t="s">
        <v>1268</v>
      </c>
      <c r="E342" s="11" t="s">
        <v>26</v>
      </c>
      <c r="F342" s="11" t="s">
        <v>1269</v>
      </c>
      <c r="G342" s="11" t="s">
        <v>28</v>
      </c>
      <c r="H342" s="11" t="s">
        <v>1259</v>
      </c>
      <c r="I342" s="11" t="s">
        <v>1260</v>
      </c>
      <c r="J342" s="12">
        <v>0.63029999999999997</v>
      </c>
      <c r="K342" s="13">
        <v>1</v>
      </c>
      <c r="L342" s="14">
        <v>230</v>
      </c>
      <c r="M342" s="10">
        <v>218</v>
      </c>
      <c r="N342" s="10">
        <v>25415</v>
      </c>
      <c r="O342" s="10">
        <v>17095</v>
      </c>
      <c r="P342" s="10">
        <v>42510</v>
      </c>
    </row>
    <row r="343" spans="1:16" ht="27" customHeight="1" x14ac:dyDescent="0.2">
      <c r="A343" s="9" t="s">
        <v>1256</v>
      </c>
      <c r="B343" s="10" t="s">
        <v>1270</v>
      </c>
      <c r="C343" s="11" t="s">
        <v>18</v>
      </c>
      <c r="D343" s="11" t="s">
        <v>19</v>
      </c>
      <c r="E343" s="11" t="s">
        <v>19</v>
      </c>
      <c r="F343" s="11" t="s">
        <v>1271</v>
      </c>
      <c r="G343" s="11" t="s">
        <v>83</v>
      </c>
      <c r="H343" s="11" t="s">
        <v>1272</v>
      </c>
      <c r="I343" s="11" t="s">
        <v>1273</v>
      </c>
      <c r="J343" s="12">
        <v>0.59199999999999997</v>
      </c>
      <c r="K343" s="13">
        <v>3</v>
      </c>
      <c r="L343" s="14">
        <v>159</v>
      </c>
      <c r="M343" s="10">
        <v>94</v>
      </c>
      <c r="N343" s="10">
        <v>17570</v>
      </c>
      <c r="O343" s="10">
        <v>7371</v>
      </c>
      <c r="P343" s="10">
        <v>24941</v>
      </c>
    </row>
    <row r="344" spans="1:16" ht="27" customHeight="1" x14ac:dyDescent="0.2">
      <c r="A344" s="9" t="s">
        <v>1256</v>
      </c>
      <c r="B344" s="10" t="s">
        <v>1274</v>
      </c>
      <c r="C344" s="11" t="s">
        <v>18</v>
      </c>
      <c r="D344" s="11" t="s">
        <v>19</v>
      </c>
      <c r="E344" s="11" t="s">
        <v>19</v>
      </c>
      <c r="F344" s="11" t="s">
        <v>1275</v>
      </c>
      <c r="G344" s="11" t="s">
        <v>83</v>
      </c>
      <c r="H344" s="11" t="s">
        <v>1276</v>
      </c>
      <c r="I344" s="11" t="s">
        <v>1277</v>
      </c>
      <c r="J344" s="12">
        <v>0.4118</v>
      </c>
      <c r="K344" s="13">
        <v>5</v>
      </c>
      <c r="L344" s="14">
        <v>24</v>
      </c>
      <c r="M344" s="10">
        <v>10</v>
      </c>
      <c r="N344" s="10">
        <v>2653</v>
      </c>
      <c r="O344" s="10">
        <v>784</v>
      </c>
      <c r="P344" s="10">
        <v>3437</v>
      </c>
    </row>
    <row r="345" spans="1:16" ht="27" customHeight="1" x14ac:dyDescent="0.2">
      <c r="A345" s="9" t="s">
        <v>1256</v>
      </c>
      <c r="B345" s="10" t="s">
        <v>1278</v>
      </c>
      <c r="C345" s="11" t="s">
        <v>18</v>
      </c>
      <c r="D345" s="11" t="s">
        <v>19</v>
      </c>
      <c r="E345" s="11" t="s">
        <v>19</v>
      </c>
      <c r="F345" s="11" t="s">
        <v>1279</v>
      </c>
      <c r="G345" s="11" t="s">
        <v>83</v>
      </c>
      <c r="H345" s="11" t="s">
        <v>1259</v>
      </c>
      <c r="I345" s="11" t="s">
        <v>1260</v>
      </c>
      <c r="J345" s="12">
        <v>0.63029999999999997</v>
      </c>
      <c r="K345" s="13">
        <v>4</v>
      </c>
      <c r="L345" s="14">
        <v>326</v>
      </c>
      <c r="M345" s="10">
        <v>191</v>
      </c>
      <c r="N345" s="10">
        <v>36025</v>
      </c>
      <c r="O345" s="10">
        <v>14978</v>
      </c>
      <c r="P345" s="10">
        <v>51003</v>
      </c>
    </row>
    <row r="346" spans="1:16" ht="27" customHeight="1" x14ac:dyDescent="0.2">
      <c r="A346" s="9" t="s">
        <v>1256</v>
      </c>
      <c r="B346" s="10" t="s">
        <v>1280</v>
      </c>
      <c r="C346" s="11" t="s">
        <v>18</v>
      </c>
      <c r="D346" s="11" t="s">
        <v>19</v>
      </c>
      <c r="E346" s="11" t="s">
        <v>19</v>
      </c>
      <c r="F346" s="11" t="s">
        <v>1281</v>
      </c>
      <c r="G346" s="11" t="s">
        <v>83</v>
      </c>
      <c r="H346" s="11" t="s">
        <v>1282</v>
      </c>
      <c r="I346" s="11" t="s">
        <v>1283</v>
      </c>
      <c r="J346" s="12">
        <v>0.55069999999999997</v>
      </c>
      <c r="K346" s="13">
        <v>3</v>
      </c>
      <c r="L346" s="14">
        <v>89</v>
      </c>
      <c r="M346" s="10">
        <v>48</v>
      </c>
      <c r="N346" s="10">
        <v>9836</v>
      </c>
      <c r="O346" s="10">
        <v>3764</v>
      </c>
      <c r="P346" s="10">
        <v>13600</v>
      </c>
    </row>
    <row r="347" spans="1:16" ht="27" customHeight="1" x14ac:dyDescent="0.2">
      <c r="A347" s="9" t="s">
        <v>1256</v>
      </c>
      <c r="B347" s="10" t="s">
        <v>1284</v>
      </c>
      <c r="C347" s="11" t="s">
        <v>18</v>
      </c>
      <c r="D347" s="11" t="s">
        <v>19</v>
      </c>
      <c r="E347" s="11" t="s">
        <v>19</v>
      </c>
      <c r="F347" s="11" t="s">
        <v>1285</v>
      </c>
      <c r="G347" s="11" t="s">
        <v>83</v>
      </c>
      <c r="H347" s="11" t="s">
        <v>1286</v>
      </c>
      <c r="I347" s="11" t="s">
        <v>1287</v>
      </c>
      <c r="J347" s="12">
        <v>0.34920000000000001</v>
      </c>
      <c r="K347" s="13">
        <v>2</v>
      </c>
      <c r="L347" s="14">
        <v>65</v>
      </c>
      <c r="M347" s="10">
        <v>23</v>
      </c>
      <c r="N347" s="10">
        <v>7183</v>
      </c>
      <c r="O347" s="10">
        <v>1803</v>
      </c>
      <c r="P347" s="10">
        <v>8986</v>
      </c>
    </row>
    <row r="348" spans="1:16" ht="27" customHeight="1" x14ac:dyDescent="0.2">
      <c r="A348" s="9" t="s">
        <v>1256</v>
      </c>
      <c r="B348" s="10" t="s">
        <v>1288</v>
      </c>
      <c r="C348" s="11" t="s">
        <v>18</v>
      </c>
      <c r="D348" s="11" t="s">
        <v>19</v>
      </c>
      <c r="E348" s="11" t="s">
        <v>19</v>
      </c>
      <c r="F348" s="11" t="s">
        <v>1289</v>
      </c>
      <c r="G348" s="11" t="s">
        <v>83</v>
      </c>
      <c r="H348" s="11" t="s">
        <v>1290</v>
      </c>
      <c r="I348" s="11" t="s">
        <v>1291</v>
      </c>
      <c r="J348" s="12">
        <v>0.55059999999999998</v>
      </c>
      <c r="K348" s="13">
        <v>7</v>
      </c>
      <c r="L348" s="14">
        <v>1943</v>
      </c>
      <c r="M348" s="10">
        <v>953</v>
      </c>
      <c r="N348" s="10">
        <v>214706</v>
      </c>
      <c r="O348" s="10">
        <v>74733</v>
      </c>
      <c r="P348" s="10">
        <v>289439</v>
      </c>
    </row>
    <row r="349" spans="1:16" ht="27" customHeight="1" x14ac:dyDescent="0.2">
      <c r="A349" s="9" t="s">
        <v>1292</v>
      </c>
      <c r="B349" s="10" t="s">
        <v>1293</v>
      </c>
      <c r="C349" s="11" t="s">
        <v>18</v>
      </c>
      <c r="D349" s="11" t="s">
        <v>19</v>
      </c>
      <c r="E349" s="11" t="s">
        <v>19</v>
      </c>
      <c r="F349" s="11" t="s">
        <v>1294</v>
      </c>
      <c r="G349" s="11" t="s">
        <v>21</v>
      </c>
      <c r="H349" s="11" t="s">
        <v>1295</v>
      </c>
      <c r="I349" s="11" t="s">
        <v>1296</v>
      </c>
      <c r="J349" s="12">
        <v>1</v>
      </c>
      <c r="K349" s="13">
        <v>4</v>
      </c>
      <c r="L349" s="14">
        <v>1676</v>
      </c>
      <c r="M349" s="10">
        <v>1522</v>
      </c>
      <c r="N349" s="10">
        <v>185200</v>
      </c>
      <c r="O349" s="10">
        <v>119354</v>
      </c>
      <c r="P349" s="10">
        <v>304554</v>
      </c>
    </row>
    <row r="350" spans="1:16" ht="27" customHeight="1" x14ac:dyDescent="0.2">
      <c r="A350" s="9" t="s">
        <v>1292</v>
      </c>
      <c r="B350" s="10" t="s">
        <v>1293</v>
      </c>
      <c r="C350" s="11" t="s">
        <v>1297</v>
      </c>
      <c r="D350" s="11" t="s">
        <v>1298</v>
      </c>
      <c r="E350" s="11" t="s">
        <v>26</v>
      </c>
      <c r="F350" s="11" t="s">
        <v>1299</v>
      </c>
      <c r="G350" s="11" t="s">
        <v>28</v>
      </c>
      <c r="H350" s="11" t="s">
        <v>1299</v>
      </c>
      <c r="I350" s="11" t="s">
        <v>1300</v>
      </c>
      <c r="J350" s="12">
        <v>0.78469999999999995</v>
      </c>
      <c r="K350" s="13">
        <v>1</v>
      </c>
      <c r="L350" s="14">
        <v>1900</v>
      </c>
      <c r="M350" s="10">
        <v>1491</v>
      </c>
      <c r="N350" s="10">
        <v>209953</v>
      </c>
      <c r="O350" s="10">
        <v>116923</v>
      </c>
      <c r="P350" s="10">
        <v>326876</v>
      </c>
    </row>
    <row r="351" spans="1:16" ht="27" customHeight="1" x14ac:dyDescent="0.2">
      <c r="A351" s="9" t="s">
        <v>1292</v>
      </c>
      <c r="B351" s="10" t="s">
        <v>1293</v>
      </c>
      <c r="C351" s="11" t="s">
        <v>1301</v>
      </c>
      <c r="D351" s="11" t="s">
        <v>1302</v>
      </c>
      <c r="E351" s="11" t="s">
        <v>26</v>
      </c>
      <c r="F351" s="11" t="s">
        <v>1303</v>
      </c>
      <c r="G351" s="11" t="s">
        <v>28</v>
      </c>
      <c r="H351" s="11" t="s">
        <v>1303</v>
      </c>
      <c r="I351" s="11" t="s">
        <v>1304</v>
      </c>
      <c r="J351" s="12">
        <v>0.91749999999999998</v>
      </c>
      <c r="K351" s="13">
        <v>1</v>
      </c>
      <c r="L351" s="14">
        <v>824</v>
      </c>
      <c r="M351" s="10">
        <v>756</v>
      </c>
      <c r="N351" s="10">
        <v>91053</v>
      </c>
      <c r="O351" s="10">
        <v>59285</v>
      </c>
      <c r="P351" s="10">
        <v>150338</v>
      </c>
    </row>
    <row r="352" spans="1:16" ht="27" customHeight="1" x14ac:dyDescent="0.2">
      <c r="A352" s="9" t="s">
        <v>1292</v>
      </c>
      <c r="B352" s="10" t="s">
        <v>1293</v>
      </c>
      <c r="C352" s="11" t="s">
        <v>1305</v>
      </c>
      <c r="D352" s="11" t="s">
        <v>1306</v>
      </c>
      <c r="E352" s="11" t="s">
        <v>26</v>
      </c>
      <c r="F352" s="11" t="s">
        <v>1307</v>
      </c>
      <c r="G352" s="11" t="s">
        <v>28</v>
      </c>
      <c r="H352" s="11" t="s">
        <v>1307</v>
      </c>
      <c r="I352" s="11" t="s">
        <v>1308</v>
      </c>
      <c r="J352" s="12">
        <v>0.67459999999999998</v>
      </c>
      <c r="K352" s="13">
        <v>1</v>
      </c>
      <c r="L352" s="14">
        <v>504</v>
      </c>
      <c r="M352" s="10">
        <v>340</v>
      </c>
      <c r="N352" s="10">
        <v>55693</v>
      </c>
      <c r="O352" s="10">
        <v>26662</v>
      </c>
      <c r="P352" s="10">
        <v>82355</v>
      </c>
    </row>
    <row r="353" spans="1:16" ht="27" customHeight="1" x14ac:dyDescent="0.2">
      <c r="A353" s="9" t="s">
        <v>1292</v>
      </c>
      <c r="B353" s="10" t="s">
        <v>1293</v>
      </c>
      <c r="C353" s="11" t="s">
        <v>1309</v>
      </c>
      <c r="D353" s="11" t="s">
        <v>1310</v>
      </c>
      <c r="E353" s="11" t="s">
        <v>57</v>
      </c>
      <c r="F353" s="11" t="s">
        <v>1311</v>
      </c>
      <c r="G353" s="11" t="s">
        <v>28</v>
      </c>
      <c r="H353" s="11" t="s">
        <v>1311</v>
      </c>
      <c r="I353" s="11" t="s">
        <v>1312</v>
      </c>
      <c r="J353" s="12">
        <v>0.38629999999999998</v>
      </c>
      <c r="K353" s="13">
        <v>1</v>
      </c>
      <c r="L353" s="14">
        <v>1108</v>
      </c>
      <c r="M353" s="10">
        <v>428</v>
      </c>
      <c r="N353" s="10">
        <v>122436</v>
      </c>
      <c r="O353" s="10">
        <v>33563</v>
      </c>
      <c r="P353" s="10">
        <v>155999</v>
      </c>
    </row>
    <row r="354" spans="1:16" ht="27" customHeight="1" x14ac:dyDescent="0.2">
      <c r="A354" s="9" t="s">
        <v>1292</v>
      </c>
      <c r="B354" s="10" t="s">
        <v>1293</v>
      </c>
      <c r="C354" s="11" t="s">
        <v>1313</v>
      </c>
      <c r="D354" s="11" t="s">
        <v>1314</v>
      </c>
      <c r="E354" s="11" t="s">
        <v>26</v>
      </c>
      <c r="F354" s="11" t="s">
        <v>1315</v>
      </c>
      <c r="G354" s="11" t="s">
        <v>28</v>
      </c>
      <c r="H354" s="11" t="s">
        <v>1315</v>
      </c>
      <c r="I354" s="11" t="s">
        <v>1316</v>
      </c>
      <c r="J354" s="12">
        <v>0.44259999999999999</v>
      </c>
      <c r="K354" s="13">
        <v>1</v>
      </c>
      <c r="L354" s="14">
        <v>183</v>
      </c>
      <c r="M354" s="10">
        <v>81</v>
      </c>
      <c r="N354" s="10">
        <v>20222</v>
      </c>
      <c r="O354" s="10">
        <v>6352</v>
      </c>
      <c r="P354" s="10">
        <v>26574</v>
      </c>
    </row>
    <row r="355" spans="1:16" ht="27" customHeight="1" x14ac:dyDescent="0.2">
      <c r="A355" s="9" t="s">
        <v>1292</v>
      </c>
      <c r="B355" s="10" t="s">
        <v>1317</v>
      </c>
      <c r="C355" s="11" t="s">
        <v>18</v>
      </c>
      <c r="D355" s="11" t="s">
        <v>19</v>
      </c>
      <c r="E355" s="11" t="s">
        <v>19</v>
      </c>
      <c r="F355" s="11" t="s">
        <v>1318</v>
      </c>
      <c r="G355" s="11" t="s">
        <v>83</v>
      </c>
      <c r="H355" s="11" t="s">
        <v>794</v>
      </c>
      <c r="I355" s="11" t="s">
        <v>1319</v>
      </c>
      <c r="J355" s="12">
        <v>0.95199999999999996</v>
      </c>
      <c r="K355" s="13">
        <v>5</v>
      </c>
      <c r="L355" s="14">
        <v>3049</v>
      </c>
      <c r="M355" s="10">
        <v>2864</v>
      </c>
      <c r="N355" s="10">
        <v>336920</v>
      </c>
      <c r="O355" s="10">
        <v>224593</v>
      </c>
      <c r="P355" s="10">
        <v>561513</v>
      </c>
    </row>
    <row r="356" spans="1:16" ht="27" customHeight="1" x14ac:dyDescent="0.2">
      <c r="A356" s="9" t="s">
        <v>1292</v>
      </c>
      <c r="B356" s="10" t="s">
        <v>1320</v>
      </c>
      <c r="C356" s="11" t="s">
        <v>18</v>
      </c>
      <c r="D356" s="11" t="s">
        <v>19</v>
      </c>
      <c r="E356" s="11" t="s">
        <v>19</v>
      </c>
      <c r="F356" s="11" t="s">
        <v>1321</v>
      </c>
      <c r="G356" s="11" t="s">
        <v>83</v>
      </c>
      <c r="H356" s="11" t="s">
        <v>1322</v>
      </c>
      <c r="I356" s="11" t="s">
        <v>1323</v>
      </c>
      <c r="J356" s="12">
        <v>0.96940000000000004</v>
      </c>
      <c r="K356" s="13">
        <v>46</v>
      </c>
      <c r="L356" s="14">
        <v>29559</v>
      </c>
      <c r="M356" s="10">
        <v>25762</v>
      </c>
      <c r="N356" s="10">
        <v>3266317</v>
      </c>
      <c r="O356" s="10">
        <v>2020228</v>
      </c>
      <c r="P356" s="10">
        <v>5286545</v>
      </c>
    </row>
    <row r="357" spans="1:16" ht="27" customHeight="1" x14ac:dyDescent="0.2">
      <c r="A357" s="9" t="s">
        <v>1292</v>
      </c>
      <c r="B357" s="10" t="s">
        <v>1324</v>
      </c>
      <c r="C357" s="11" t="s">
        <v>18</v>
      </c>
      <c r="D357" s="11" t="s">
        <v>19</v>
      </c>
      <c r="E357" s="11" t="s">
        <v>19</v>
      </c>
      <c r="F357" s="11" t="s">
        <v>1325</v>
      </c>
      <c r="G357" s="11" t="s">
        <v>83</v>
      </c>
      <c r="H357" s="11" t="s">
        <v>1325</v>
      </c>
      <c r="I357" s="11" t="s">
        <v>1326</v>
      </c>
      <c r="J357" s="12">
        <v>0.98099999999999998</v>
      </c>
      <c r="K357" s="13">
        <v>5</v>
      </c>
      <c r="L357" s="14">
        <v>1957</v>
      </c>
      <c r="M357" s="10">
        <v>1865</v>
      </c>
      <c r="N357" s="10">
        <v>216252</v>
      </c>
      <c r="O357" s="10">
        <v>146252</v>
      </c>
      <c r="P357" s="10">
        <v>362504</v>
      </c>
    </row>
    <row r="358" spans="1:16" ht="27" customHeight="1" x14ac:dyDescent="0.2">
      <c r="A358" s="9" t="s">
        <v>1292</v>
      </c>
      <c r="B358" s="10" t="s">
        <v>1327</v>
      </c>
      <c r="C358" s="11" t="s">
        <v>18</v>
      </c>
      <c r="D358" s="11" t="s">
        <v>19</v>
      </c>
      <c r="E358" s="11" t="s">
        <v>19</v>
      </c>
      <c r="F358" s="11" t="s">
        <v>1328</v>
      </c>
      <c r="G358" s="11" t="s">
        <v>83</v>
      </c>
      <c r="H358" s="11" t="s">
        <v>1328</v>
      </c>
      <c r="I358" s="11" t="s">
        <v>1329</v>
      </c>
      <c r="J358" s="12">
        <v>0.6875</v>
      </c>
      <c r="K358" s="13">
        <v>2</v>
      </c>
      <c r="L358" s="14">
        <v>17</v>
      </c>
      <c r="M358" s="10">
        <v>11</v>
      </c>
      <c r="N358" s="10">
        <v>1879</v>
      </c>
      <c r="O358" s="10">
        <v>863</v>
      </c>
      <c r="P358" s="10">
        <v>2742</v>
      </c>
    </row>
    <row r="359" spans="1:16" ht="27" customHeight="1" x14ac:dyDescent="0.2">
      <c r="A359" s="9" t="s">
        <v>1292</v>
      </c>
      <c r="B359" s="10" t="s">
        <v>1330</v>
      </c>
      <c r="C359" s="11" t="s">
        <v>18</v>
      </c>
      <c r="D359" s="11" t="s">
        <v>19</v>
      </c>
      <c r="E359" s="11" t="s">
        <v>19</v>
      </c>
      <c r="F359" s="11" t="s">
        <v>1331</v>
      </c>
      <c r="G359" s="11" t="s">
        <v>83</v>
      </c>
      <c r="H359" s="11" t="s">
        <v>1332</v>
      </c>
      <c r="I359" s="11" t="s">
        <v>1333</v>
      </c>
      <c r="J359" s="12">
        <v>0.93920000000000003</v>
      </c>
      <c r="K359" s="13">
        <v>26</v>
      </c>
      <c r="L359" s="14">
        <v>19494</v>
      </c>
      <c r="M359" s="10">
        <v>14705</v>
      </c>
      <c r="N359" s="10">
        <v>2154119</v>
      </c>
      <c r="O359" s="10">
        <v>1153151</v>
      </c>
      <c r="P359" s="10">
        <v>3307270</v>
      </c>
    </row>
    <row r="360" spans="1:16" ht="27" customHeight="1" x14ac:dyDescent="0.2">
      <c r="A360" s="9" t="s">
        <v>1292</v>
      </c>
      <c r="B360" s="10" t="s">
        <v>1334</v>
      </c>
      <c r="C360" s="11" t="s">
        <v>18</v>
      </c>
      <c r="D360" s="11" t="s">
        <v>19</v>
      </c>
      <c r="E360" s="11" t="s">
        <v>19</v>
      </c>
      <c r="F360" s="11" t="s">
        <v>1335</v>
      </c>
      <c r="G360" s="11" t="s">
        <v>83</v>
      </c>
      <c r="H360" s="11" t="s">
        <v>1336</v>
      </c>
      <c r="I360" s="11" t="s">
        <v>1337</v>
      </c>
      <c r="J360" s="12">
        <v>0.91369999999999996</v>
      </c>
      <c r="K360" s="13">
        <v>2</v>
      </c>
      <c r="L360" s="14">
        <v>334</v>
      </c>
      <c r="M360" s="10">
        <v>305</v>
      </c>
      <c r="N360" s="10">
        <v>36908</v>
      </c>
      <c r="O360" s="10">
        <v>23918</v>
      </c>
      <c r="P360" s="10">
        <v>60826</v>
      </c>
    </row>
    <row r="361" spans="1:16" ht="27" customHeight="1" x14ac:dyDescent="0.2">
      <c r="A361" s="9" t="s">
        <v>1292</v>
      </c>
      <c r="B361" s="10" t="s">
        <v>1338</v>
      </c>
      <c r="C361" s="11" t="s">
        <v>18</v>
      </c>
      <c r="D361" s="11" t="s">
        <v>19</v>
      </c>
      <c r="E361" s="11" t="s">
        <v>19</v>
      </c>
      <c r="F361" s="11" t="s">
        <v>1339</v>
      </c>
      <c r="G361" s="11" t="s">
        <v>83</v>
      </c>
      <c r="H361" s="11" t="s">
        <v>1340</v>
      </c>
      <c r="I361" s="11" t="s">
        <v>1341</v>
      </c>
      <c r="J361" s="12">
        <v>0.70269999999999999</v>
      </c>
      <c r="K361" s="13">
        <v>2</v>
      </c>
      <c r="L361" s="14">
        <v>74</v>
      </c>
      <c r="M361" s="10">
        <v>52</v>
      </c>
      <c r="N361" s="10">
        <v>8177</v>
      </c>
      <c r="O361" s="10">
        <v>4078</v>
      </c>
      <c r="P361" s="10">
        <v>12255</v>
      </c>
    </row>
    <row r="362" spans="1:16" ht="27" customHeight="1" x14ac:dyDescent="0.2">
      <c r="A362" s="9" t="s">
        <v>1292</v>
      </c>
      <c r="B362" s="10" t="s">
        <v>1342</v>
      </c>
      <c r="C362" s="11" t="s">
        <v>18</v>
      </c>
      <c r="D362" s="11" t="s">
        <v>19</v>
      </c>
      <c r="E362" s="11" t="s">
        <v>19</v>
      </c>
      <c r="F362" s="11" t="s">
        <v>1343</v>
      </c>
      <c r="G362" s="11" t="s">
        <v>83</v>
      </c>
      <c r="H362" s="11" t="s">
        <v>1344</v>
      </c>
      <c r="I362" s="11" t="s">
        <v>1345</v>
      </c>
      <c r="J362" s="12">
        <v>0.94120000000000004</v>
      </c>
      <c r="K362" s="13">
        <v>10</v>
      </c>
      <c r="L362" s="14">
        <v>4740</v>
      </c>
      <c r="M362" s="10">
        <v>4093</v>
      </c>
      <c r="N362" s="10">
        <v>523778</v>
      </c>
      <c r="O362" s="10">
        <v>320970</v>
      </c>
      <c r="P362" s="10">
        <v>844748</v>
      </c>
    </row>
    <row r="363" spans="1:16" ht="27" customHeight="1" x14ac:dyDescent="0.2">
      <c r="A363" s="9" t="s">
        <v>1292</v>
      </c>
      <c r="B363" s="10" t="s">
        <v>1342</v>
      </c>
      <c r="C363" s="11" t="s">
        <v>1346</v>
      </c>
      <c r="D363" s="11" t="s">
        <v>1347</v>
      </c>
      <c r="E363" s="11" t="s">
        <v>57</v>
      </c>
      <c r="F363" s="11" t="s">
        <v>1348</v>
      </c>
      <c r="G363" s="11" t="s">
        <v>28</v>
      </c>
      <c r="H363" s="11" t="s">
        <v>1348</v>
      </c>
      <c r="I363" s="11" t="s">
        <v>1349</v>
      </c>
      <c r="J363" s="12">
        <v>0.87519999999999998</v>
      </c>
      <c r="K363" s="13">
        <v>1</v>
      </c>
      <c r="L363" s="14">
        <v>622</v>
      </c>
      <c r="M363" s="10">
        <v>544</v>
      </c>
      <c r="N363" s="10">
        <v>68732</v>
      </c>
      <c r="O363" s="10">
        <v>42660</v>
      </c>
      <c r="P363" s="10">
        <v>111392</v>
      </c>
    </row>
    <row r="364" spans="1:16" ht="27" customHeight="1" x14ac:dyDescent="0.2">
      <c r="A364" s="9" t="s">
        <v>1292</v>
      </c>
      <c r="B364" s="10" t="s">
        <v>1342</v>
      </c>
      <c r="C364" s="11" t="s">
        <v>1350</v>
      </c>
      <c r="D364" s="11" t="s">
        <v>1351</v>
      </c>
      <c r="E364" s="11" t="s">
        <v>57</v>
      </c>
      <c r="F364" s="11" t="s">
        <v>1352</v>
      </c>
      <c r="G364" s="11" t="s">
        <v>28</v>
      </c>
      <c r="H364" s="11" t="s">
        <v>1295</v>
      </c>
      <c r="I364" s="11" t="s">
        <v>1296</v>
      </c>
      <c r="J364" s="12">
        <v>1</v>
      </c>
      <c r="K364" s="13">
        <v>1</v>
      </c>
      <c r="L364" s="14">
        <v>604</v>
      </c>
      <c r="M364" s="10">
        <v>529</v>
      </c>
      <c r="N364" s="10">
        <v>66743</v>
      </c>
      <c r="O364" s="10">
        <v>41484</v>
      </c>
      <c r="P364" s="10">
        <v>108227</v>
      </c>
    </row>
    <row r="365" spans="1:16" ht="27" customHeight="1" x14ac:dyDescent="0.2">
      <c r="A365" s="9" t="s">
        <v>1292</v>
      </c>
      <c r="B365" s="10" t="s">
        <v>1342</v>
      </c>
      <c r="C365" s="11" t="s">
        <v>1353</v>
      </c>
      <c r="D365" s="11" t="s">
        <v>1354</v>
      </c>
      <c r="E365" s="11" t="s">
        <v>57</v>
      </c>
      <c r="F365" s="11" t="s">
        <v>1355</v>
      </c>
      <c r="G365" s="11" t="s">
        <v>28</v>
      </c>
      <c r="H365" s="11" t="s">
        <v>1355</v>
      </c>
      <c r="I365" s="11" t="s">
        <v>1356</v>
      </c>
      <c r="J365" s="12">
        <v>0.89539999999999997</v>
      </c>
      <c r="K365" s="13">
        <v>1</v>
      </c>
      <c r="L365" s="14">
        <v>507</v>
      </c>
      <c r="M365" s="10">
        <v>454</v>
      </c>
      <c r="N365" s="10">
        <v>56024</v>
      </c>
      <c r="O365" s="10">
        <v>35602</v>
      </c>
      <c r="P365" s="10">
        <v>91626</v>
      </c>
    </row>
    <row r="366" spans="1:16" ht="27" customHeight="1" x14ac:dyDescent="0.2">
      <c r="A366" s="9" t="s">
        <v>1292</v>
      </c>
      <c r="B366" s="10" t="s">
        <v>1357</v>
      </c>
      <c r="C366" s="11" t="s">
        <v>18</v>
      </c>
      <c r="D366" s="11" t="s">
        <v>19</v>
      </c>
      <c r="E366" s="11" t="s">
        <v>19</v>
      </c>
      <c r="F366" s="11" t="s">
        <v>1358</v>
      </c>
      <c r="G366" s="11" t="s">
        <v>83</v>
      </c>
      <c r="H366" s="11" t="s">
        <v>1295</v>
      </c>
      <c r="I366" s="11" t="s">
        <v>1296</v>
      </c>
      <c r="J366" s="12">
        <v>1</v>
      </c>
      <c r="K366" s="13">
        <v>5</v>
      </c>
      <c r="L366" s="14">
        <v>4142</v>
      </c>
      <c r="M366" s="10">
        <v>3727</v>
      </c>
      <c r="N366" s="10">
        <v>457698</v>
      </c>
      <c r="O366" s="10">
        <v>292268</v>
      </c>
      <c r="P366" s="10">
        <v>749966</v>
      </c>
    </row>
    <row r="367" spans="1:16" ht="27" customHeight="1" x14ac:dyDescent="0.2">
      <c r="A367" s="9" t="s">
        <v>1292</v>
      </c>
      <c r="B367" s="10" t="s">
        <v>1359</v>
      </c>
      <c r="C367" s="11" t="s">
        <v>18</v>
      </c>
      <c r="D367" s="11" t="s">
        <v>19</v>
      </c>
      <c r="E367" s="11" t="s">
        <v>19</v>
      </c>
      <c r="F367" s="11" t="s">
        <v>1295</v>
      </c>
      <c r="G367" s="11" t="s">
        <v>83</v>
      </c>
      <c r="H367" s="11" t="s">
        <v>1295</v>
      </c>
      <c r="I367" s="11" t="s">
        <v>1296</v>
      </c>
      <c r="J367" s="12">
        <v>1</v>
      </c>
      <c r="K367" s="13">
        <v>2</v>
      </c>
      <c r="L367" s="14">
        <v>229</v>
      </c>
      <c r="M367" s="10">
        <v>229</v>
      </c>
      <c r="N367" s="10">
        <v>25305</v>
      </c>
      <c r="O367" s="10">
        <v>17958</v>
      </c>
      <c r="P367" s="10">
        <v>43263</v>
      </c>
    </row>
    <row r="368" spans="1:16" ht="27" customHeight="1" x14ac:dyDescent="0.2">
      <c r="A368" s="9" t="s">
        <v>1292</v>
      </c>
      <c r="B368" s="10" t="s">
        <v>1360</v>
      </c>
      <c r="C368" s="11" t="s">
        <v>18</v>
      </c>
      <c r="D368" s="11" t="s">
        <v>19</v>
      </c>
      <c r="E368" s="11" t="s">
        <v>19</v>
      </c>
      <c r="F368" s="11" t="s">
        <v>1361</v>
      </c>
      <c r="G368" s="11" t="s">
        <v>83</v>
      </c>
      <c r="H368" s="11" t="s">
        <v>1362</v>
      </c>
      <c r="I368" s="11" t="s">
        <v>1363</v>
      </c>
      <c r="J368" s="12">
        <v>0.86909999999999998</v>
      </c>
      <c r="K368" s="13">
        <v>3</v>
      </c>
      <c r="L368" s="14">
        <v>1171</v>
      </c>
      <c r="M368" s="10">
        <v>1011</v>
      </c>
      <c r="N368" s="10">
        <v>129398</v>
      </c>
      <c r="O368" s="10">
        <v>79281</v>
      </c>
      <c r="P368" s="10">
        <v>208679</v>
      </c>
    </row>
    <row r="369" spans="1:16" ht="27" customHeight="1" x14ac:dyDescent="0.2">
      <c r="A369" s="9" t="s">
        <v>1292</v>
      </c>
      <c r="B369" s="10" t="s">
        <v>1364</v>
      </c>
      <c r="C369" s="11" t="s">
        <v>18</v>
      </c>
      <c r="D369" s="11" t="s">
        <v>19</v>
      </c>
      <c r="E369" s="11" t="s">
        <v>19</v>
      </c>
      <c r="F369" s="11" t="s">
        <v>1365</v>
      </c>
      <c r="G369" s="11" t="s">
        <v>83</v>
      </c>
      <c r="H369" s="11" t="s">
        <v>1365</v>
      </c>
      <c r="I369" s="11" t="s">
        <v>1366</v>
      </c>
      <c r="J369" s="12">
        <v>0.77910000000000001</v>
      </c>
      <c r="K369" s="13">
        <v>2</v>
      </c>
      <c r="L369" s="14">
        <v>163</v>
      </c>
      <c r="M369" s="10">
        <v>127</v>
      </c>
      <c r="N369" s="10">
        <v>18012</v>
      </c>
      <c r="O369" s="10">
        <v>9959</v>
      </c>
      <c r="P369" s="10">
        <v>27971</v>
      </c>
    </row>
    <row r="370" spans="1:16" ht="27" customHeight="1" x14ac:dyDescent="0.2">
      <c r="A370" s="9" t="s">
        <v>1292</v>
      </c>
      <c r="B370" s="10" t="s">
        <v>1367</v>
      </c>
      <c r="C370" s="11" t="s">
        <v>18</v>
      </c>
      <c r="D370" s="11" t="s">
        <v>19</v>
      </c>
      <c r="E370" s="11" t="s">
        <v>19</v>
      </c>
      <c r="F370" s="11" t="s">
        <v>1368</v>
      </c>
      <c r="G370" s="11" t="s">
        <v>83</v>
      </c>
      <c r="H370" s="11" t="s">
        <v>1369</v>
      </c>
      <c r="I370" s="11" t="s">
        <v>1370</v>
      </c>
      <c r="J370" s="12">
        <v>0.95179999999999998</v>
      </c>
      <c r="K370" s="13">
        <v>5</v>
      </c>
      <c r="L370" s="14">
        <v>2684</v>
      </c>
      <c r="M370" s="10">
        <v>2446</v>
      </c>
      <c r="N370" s="10">
        <v>296587</v>
      </c>
      <c r="O370" s="10">
        <v>191812</v>
      </c>
      <c r="P370" s="10">
        <v>488399</v>
      </c>
    </row>
    <row r="371" spans="1:16" ht="27" customHeight="1" x14ac:dyDescent="0.2">
      <c r="A371" s="9" t="s">
        <v>1292</v>
      </c>
      <c r="B371" s="10" t="s">
        <v>1371</v>
      </c>
      <c r="C371" s="11" t="s">
        <v>18</v>
      </c>
      <c r="D371" s="11" t="s">
        <v>19</v>
      </c>
      <c r="E371" s="11" t="s">
        <v>19</v>
      </c>
      <c r="F371" s="11" t="s">
        <v>1372</v>
      </c>
      <c r="G371" s="11" t="s">
        <v>83</v>
      </c>
      <c r="H371" s="11" t="s">
        <v>1373</v>
      </c>
      <c r="I371" s="11" t="s">
        <v>1374</v>
      </c>
      <c r="J371" s="12">
        <v>0.59160000000000001</v>
      </c>
      <c r="K371" s="13">
        <v>6</v>
      </c>
      <c r="L371" s="14">
        <v>3055</v>
      </c>
      <c r="M371" s="10">
        <v>1690</v>
      </c>
      <c r="N371" s="10">
        <v>337583</v>
      </c>
      <c r="O371" s="10">
        <v>132528</v>
      </c>
      <c r="P371" s="10">
        <v>470111</v>
      </c>
    </row>
    <row r="372" spans="1:16" ht="27" customHeight="1" x14ac:dyDescent="0.2">
      <c r="A372" s="9" t="s">
        <v>1292</v>
      </c>
      <c r="B372" s="10" t="s">
        <v>1375</v>
      </c>
      <c r="C372" s="11" t="s">
        <v>18</v>
      </c>
      <c r="D372" s="11" t="s">
        <v>19</v>
      </c>
      <c r="E372" s="11" t="s">
        <v>19</v>
      </c>
      <c r="F372" s="11" t="s">
        <v>1376</v>
      </c>
      <c r="G372" s="11" t="s">
        <v>83</v>
      </c>
      <c r="H372" s="11" t="s">
        <v>1376</v>
      </c>
      <c r="I372" s="11" t="s">
        <v>1377</v>
      </c>
      <c r="J372" s="12">
        <v>0.62570000000000003</v>
      </c>
      <c r="K372" s="13">
        <v>2</v>
      </c>
      <c r="L372" s="14">
        <v>180</v>
      </c>
      <c r="M372" s="10">
        <v>113</v>
      </c>
      <c r="N372" s="10">
        <v>19890</v>
      </c>
      <c r="O372" s="10">
        <v>8861</v>
      </c>
      <c r="P372" s="10">
        <v>28751</v>
      </c>
    </row>
    <row r="373" spans="1:16" ht="27" customHeight="1" x14ac:dyDescent="0.2">
      <c r="A373" s="9" t="s">
        <v>1292</v>
      </c>
      <c r="B373" s="10" t="s">
        <v>1378</v>
      </c>
      <c r="C373" s="11" t="s">
        <v>18</v>
      </c>
      <c r="D373" s="11" t="s">
        <v>19</v>
      </c>
      <c r="E373" s="11" t="s">
        <v>19</v>
      </c>
      <c r="F373" s="11" t="s">
        <v>1379</v>
      </c>
      <c r="G373" s="11" t="s">
        <v>83</v>
      </c>
      <c r="H373" s="11" t="s">
        <v>1014</v>
      </c>
      <c r="I373" s="11" t="s">
        <v>1380</v>
      </c>
      <c r="J373" s="12">
        <v>0.9476</v>
      </c>
      <c r="K373" s="13">
        <v>14</v>
      </c>
      <c r="L373" s="14">
        <v>9319</v>
      </c>
      <c r="M373" s="10">
        <v>8544</v>
      </c>
      <c r="N373" s="10">
        <v>1029765</v>
      </c>
      <c r="O373" s="10">
        <v>670013</v>
      </c>
      <c r="P373" s="10">
        <v>1699778</v>
      </c>
    </row>
    <row r="374" spans="1:16" ht="27" customHeight="1" x14ac:dyDescent="0.2">
      <c r="A374" s="9" t="s">
        <v>1292</v>
      </c>
      <c r="B374" s="10" t="s">
        <v>1381</v>
      </c>
      <c r="C374" s="11" t="s">
        <v>18</v>
      </c>
      <c r="D374" s="11" t="s">
        <v>19</v>
      </c>
      <c r="E374" s="11" t="s">
        <v>19</v>
      </c>
      <c r="F374" s="11" t="s">
        <v>1382</v>
      </c>
      <c r="G374" s="11" t="s">
        <v>83</v>
      </c>
      <c r="H374" s="11" t="s">
        <v>1295</v>
      </c>
      <c r="I374" s="11" t="s">
        <v>1296</v>
      </c>
      <c r="J374" s="12">
        <v>1</v>
      </c>
      <c r="K374" s="13">
        <v>25</v>
      </c>
      <c r="L374" s="14">
        <v>42462</v>
      </c>
      <c r="M374" s="10">
        <v>31800</v>
      </c>
      <c r="N374" s="10">
        <v>4692124</v>
      </c>
      <c r="O374" s="10">
        <v>2493723</v>
      </c>
      <c r="P374" s="10">
        <v>7185847</v>
      </c>
    </row>
    <row r="375" spans="1:16" ht="27" customHeight="1" x14ac:dyDescent="0.2">
      <c r="A375" s="9" t="s">
        <v>1292</v>
      </c>
      <c r="B375" s="10" t="s">
        <v>1381</v>
      </c>
      <c r="C375" s="11" t="s">
        <v>1383</v>
      </c>
      <c r="D375" s="11" t="s">
        <v>1384</v>
      </c>
      <c r="E375" s="11" t="s">
        <v>57</v>
      </c>
      <c r="F375" s="11" t="s">
        <v>1385</v>
      </c>
      <c r="G375" s="11" t="s">
        <v>28</v>
      </c>
      <c r="H375" s="11" t="s">
        <v>1295</v>
      </c>
      <c r="I375" s="11" t="s">
        <v>1296</v>
      </c>
      <c r="J375" s="12">
        <v>1</v>
      </c>
      <c r="K375" s="13">
        <v>1</v>
      </c>
      <c r="L375" s="14">
        <v>571</v>
      </c>
      <c r="M375" s="10">
        <v>542</v>
      </c>
      <c r="N375" s="10">
        <v>63096</v>
      </c>
      <c r="O375" s="10">
        <v>42503</v>
      </c>
      <c r="P375" s="10">
        <v>105599</v>
      </c>
    </row>
    <row r="376" spans="1:16" ht="27" customHeight="1" x14ac:dyDescent="0.2">
      <c r="A376" s="9" t="s">
        <v>1292</v>
      </c>
      <c r="B376" s="10" t="s">
        <v>1386</v>
      </c>
      <c r="C376" s="11" t="s">
        <v>18</v>
      </c>
      <c r="D376" s="11" t="s">
        <v>19</v>
      </c>
      <c r="E376" s="11" t="s">
        <v>19</v>
      </c>
      <c r="F376" s="11" t="s">
        <v>1387</v>
      </c>
      <c r="G376" s="11" t="s">
        <v>83</v>
      </c>
      <c r="H376" s="11" t="s">
        <v>1388</v>
      </c>
      <c r="I376" s="11" t="s">
        <v>1389</v>
      </c>
      <c r="J376" s="12">
        <v>0.86119999999999997</v>
      </c>
      <c r="K376" s="13">
        <v>4</v>
      </c>
      <c r="L376" s="14">
        <v>871</v>
      </c>
      <c r="M376" s="10">
        <v>713</v>
      </c>
      <c r="N376" s="10">
        <v>96247</v>
      </c>
      <c r="O376" s="10">
        <v>55912</v>
      </c>
      <c r="P376" s="10">
        <v>152159</v>
      </c>
    </row>
    <row r="377" spans="1:16" ht="27" customHeight="1" x14ac:dyDescent="0.2">
      <c r="A377" s="9" t="s">
        <v>1292</v>
      </c>
      <c r="B377" s="10" t="s">
        <v>1390</v>
      </c>
      <c r="C377" s="11" t="s">
        <v>18</v>
      </c>
      <c r="D377" s="11" t="s">
        <v>19</v>
      </c>
      <c r="E377" s="11" t="s">
        <v>19</v>
      </c>
      <c r="F377" s="11" t="s">
        <v>1391</v>
      </c>
      <c r="G377" s="11" t="s">
        <v>83</v>
      </c>
      <c r="H377" s="11" t="s">
        <v>1392</v>
      </c>
      <c r="I377" s="11" t="s">
        <v>1393</v>
      </c>
      <c r="J377" s="12">
        <v>0.7077</v>
      </c>
      <c r="K377" s="13">
        <v>3</v>
      </c>
      <c r="L377" s="14">
        <v>1577</v>
      </c>
      <c r="M377" s="10">
        <v>1039</v>
      </c>
      <c r="N377" s="10">
        <v>174261</v>
      </c>
      <c r="O377" s="10">
        <v>81478</v>
      </c>
      <c r="P377" s="10">
        <v>255739</v>
      </c>
    </row>
    <row r="378" spans="1:16" ht="27" customHeight="1" x14ac:dyDescent="0.2">
      <c r="A378" s="9" t="s">
        <v>1292</v>
      </c>
      <c r="B378" s="10" t="s">
        <v>1394</v>
      </c>
      <c r="C378" s="11" t="s">
        <v>18</v>
      </c>
      <c r="D378" s="11" t="s">
        <v>19</v>
      </c>
      <c r="E378" s="11" t="s">
        <v>19</v>
      </c>
      <c r="F378" s="11" t="s">
        <v>1395</v>
      </c>
      <c r="G378" s="11" t="s">
        <v>83</v>
      </c>
      <c r="H378" s="11" t="s">
        <v>1396</v>
      </c>
      <c r="I378" s="11" t="s">
        <v>1397</v>
      </c>
      <c r="J378" s="12">
        <v>0.874</v>
      </c>
      <c r="K378" s="13">
        <v>5</v>
      </c>
      <c r="L378" s="14">
        <v>2783</v>
      </c>
      <c r="M378" s="10">
        <v>2361</v>
      </c>
      <c r="N378" s="10">
        <v>307528</v>
      </c>
      <c r="O378" s="10">
        <v>185146</v>
      </c>
      <c r="P378" s="10">
        <v>492674</v>
      </c>
    </row>
    <row r="379" spans="1:16" ht="27" customHeight="1" x14ac:dyDescent="0.2">
      <c r="A379" s="9" t="s">
        <v>1292</v>
      </c>
      <c r="B379" s="10" t="s">
        <v>1398</v>
      </c>
      <c r="C379" s="11" t="s">
        <v>18</v>
      </c>
      <c r="D379" s="11" t="s">
        <v>19</v>
      </c>
      <c r="E379" s="11" t="s">
        <v>19</v>
      </c>
      <c r="F379" s="11" t="s">
        <v>1399</v>
      </c>
      <c r="G379" s="11" t="s">
        <v>83</v>
      </c>
      <c r="H379" s="11" t="s">
        <v>1400</v>
      </c>
      <c r="I379" s="11" t="s">
        <v>1401</v>
      </c>
      <c r="J379" s="12">
        <v>0.91220000000000001</v>
      </c>
      <c r="K379" s="13">
        <v>5</v>
      </c>
      <c r="L379" s="14">
        <v>2590</v>
      </c>
      <c r="M379" s="10">
        <v>2219</v>
      </c>
      <c r="N379" s="10">
        <v>286198</v>
      </c>
      <c r="O379" s="10">
        <v>174012</v>
      </c>
      <c r="P379" s="10">
        <v>460210</v>
      </c>
    </row>
    <row r="380" spans="1:16" ht="27" customHeight="1" x14ac:dyDescent="0.2">
      <c r="A380" s="9" t="s">
        <v>1292</v>
      </c>
      <c r="B380" s="10" t="s">
        <v>1398</v>
      </c>
      <c r="C380" s="11" t="s">
        <v>1402</v>
      </c>
      <c r="D380" s="11" t="s">
        <v>1403</v>
      </c>
      <c r="E380" s="11" t="s">
        <v>26</v>
      </c>
      <c r="F380" s="11" t="s">
        <v>1404</v>
      </c>
      <c r="G380" s="11" t="s">
        <v>28</v>
      </c>
      <c r="H380" s="11" t="s">
        <v>1404</v>
      </c>
      <c r="I380" s="11" t="s">
        <v>1405</v>
      </c>
      <c r="J380" s="12">
        <v>0.74660000000000004</v>
      </c>
      <c r="K380" s="13">
        <v>1</v>
      </c>
      <c r="L380" s="14">
        <v>801</v>
      </c>
      <c r="M380" s="10">
        <v>598</v>
      </c>
      <c r="N380" s="10">
        <v>88512</v>
      </c>
      <c r="O380" s="10">
        <v>46895</v>
      </c>
      <c r="P380" s="10">
        <v>135407</v>
      </c>
    </row>
    <row r="381" spans="1:16" ht="27" customHeight="1" x14ac:dyDescent="0.2">
      <c r="A381" s="9" t="s">
        <v>1292</v>
      </c>
      <c r="B381" s="10" t="s">
        <v>1406</v>
      </c>
      <c r="C381" s="11" t="s">
        <v>18</v>
      </c>
      <c r="D381" s="11" t="s">
        <v>19</v>
      </c>
      <c r="E381" s="11" t="s">
        <v>19</v>
      </c>
      <c r="F381" s="11" t="s">
        <v>1407</v>
      </c>
      <c r="G381" s="11" t="s">
        <v>83</v>
      </c>
      <c r="H381" s="11" t="s">
        <v>1408</v>
      </c>
      <c r="I381" s="11" t="s">
        <v>1409</v>
      </c>
      <c r="J381" s="12">
        <v>0.66669999999999996</v>
      </c>
      <c r="K381" s="13">
        <v>2</v>
      </c>
      <c r="L381" s="14">
        <v>18</v>
      </c>
      <c r="M381" s="10">
        <v>12</v>
      </c>
      <c r="N381" s="10">
        <v>1989</v>
      </c>
      <c r="O381" s="10">
        <v>941</v>
      </c>
      <c r="P381" s="10">
        <v>2930</v>
      </c>
    </row>
    <row r="382" spans="1:16" ht="27" customHeight="1" x14ac:dyDescent="0.2">
      <c r="A382" s="9" t="s">
        <v>1292</v>
      </c>
      <c r="B382" s="10" t="s">
        <v>1410</v>
      </c>
      <c r="C382" s="11" t="s">
        <v>18</v>
      </c>
      <c r="D382" s="11" t="s">
        <v>19</v>
      </c>
      <c r="E382" s="11" t="s">
        <v>19</v>
      </c>
      <c r="F382" s="11" t="s">
        <v>1411</v>
      </c>
      <c r="G382" s="11" t="s">
        <v>83</v>
      </c>
      <c r="H382" s="11" t="s">
        <v>1412</v>
      </c>
      <c r="I382" s="11" t="s">
        <v>1413</v>
      </c>
      <c r="J382" s="12">
        <v>0.75560000000000005</v>
      </c>
      <c r="K382" s="13">
        <v>3</v>
      </c>
      <c r="L382" s="14">
        <v>299</v>
      </c>
      <c r="M382" s="10">
        <v>225</v>
      </c>
      <c r="N382" s="10">
        <v>33040</v>
      </c>
      <c r="O382" s="10">
        <v>17644</v>
      </c>
      <c r="P382" s="10">
        <v>50684</v>
      </c>
    </row>
    <row r="383" spans="1:16" ht="27" customHeight="1" x14ac:dyDescent="0.2">
      <c r="A383" s="9" t="s">
        <v>1292</v>
      </c>
      <c r="B383" s="10" t="s">
        <v>1414</v>
      </c>
      <c r="C383" s="11" t="s">
        <v>18</v>
      </c>
      <c r="D383" s="11" t="s">
        <v>19</v>
      </c>
      <c r="E383" s="11" t="s">
        <v>19</v>
      </c>
      <c r="F383" s="11" t="s">
        <v>1415</v>
      </c>
      <c r="G383" s="11" t="s">
        <v>83</v>
      </c>
      <c r="H383" s="11" t="s">
        <v>1415</v>
      </c>
      <c r="I383" s="11" t="s">
        <v>1416</v>
      </c>
      <c r="J383" s="12">
        <v>0.53400000000000003</v>
      </c>
      <c r="K383" s="13">
        <v>2</v>
      </c>
      <c r="L383" s="14">
        <v>294</v>
      </c>
      <c r="M383" s="10">
        <v>157</v>
      </c>
      <c r="N383" s="10">
        <v>32487</v>
      </c>
      <c r="O383" s="10">
        <v>12312</v>
      </c>
      <c r="P383" s="10">
        <v>44799</v>
      </c>
    </row>
    <row r="384" spans="1:16" ht="27" customHeight="1" x14ac:dyDescent="0.2">
      <c r="A384" s="9" t="s">
        <v>1292</v>
      </c>
      <c r="B384" s="10" t="s">
        <v>1417</v>
      </c>
      <c r="C384" s="11" t="s">
        <v>18</v>
      </c>
      <c r="D384" s="11" t="s">
        <v>19</v>
      </c>
      <c r="E384" s="11" t="s">
        <v>19</v>
      </c>
      <c r="F384" s="11" t="s">
        <v>1418</v>
      </c>
      <c r="G384" s="11" t="s">
        <v>83</v>
      </c>
      <c r="H384" s="11" t="s">
        <v>1419</v>
      </c>
      <c r="I384" s="11" t="s">
        <v>1420</v>
      </c>
      <c r="J384" s="12">
        <v>1</v>
      </c>
      <c r="K384" s="13">
        <v>4</v>
      </c>
      <c r="L384" s="14">
        <v>318</v>
      </c>
      <c r="M384" s="10">
        <v>316</v>
      </c>
      <c r="N384" s="10">
        <v>35140</v>
      </c>
      <c r="O384" s="10">
        <v>24780</v>
      </c>
      <c r="P384" s="10">
        <v>59920</v>
      </c>
    </row>
    <row r="385" spans="1:16" ht="27" customHeight="1" x14ac:dyDescent="0.2">
      <c r="A385" s="9" t="s">
        <v>1292</v>
      </c>
      <c r="B385" s="10" t="s">
        <v>1417</v>
      </c>
      <c r="C385" s="11" t="s">
        <v>1421</v>
      </c>
      <c r="D385" s="11" t="s">
        <v>1422</v>
      </c>
      <c r="E385" s="11" t="s">
        <v>26</v>
      </c>
      <c r="F385" s="11" t="s">
        <v>1423</v>
      </c>
      <c r="G385" s="11" t="s">
        <v>28</v>
      </c>
      <c r="H385" s="11" t="s">
        <v>1295</v>
      </c>
      <c r="I385" s="11" t="s">
        <v>1296</v>
      </c>
      <c r="J385" s="12">
        <v>1</v>
      </c>
      <c r="K385" s="13">
        <v>1</v>
      </c>
      <c r="L385" s="14">
        <v>306</v>
      </c>
      <c r="M385" s="10">
        <v>221</v>
      </c>
      <c r="N385" s="10">
        <v>33814</v>
      </c>
      <c r="O385" s="10">
        <v>17331</v>
      </c>
      <c r="P385" s="10">
        <v>51145</v>
      </c>
    </row>
    <row r="386" spans="1:16" ht="27" customHeight="1" x14ac:dyDescent="0.2">
      <c r="A386" s="9" t="s">
        <v>1292</v>
      </c>
      <c r="B386" s="10" t="s">
        <v>1417</v>
      </c>
      <c r="C386" s="11" t="s">
        <v>1424</v>
      </c>
      <c r="D386" s="11" t="s">
        <v>1425</v>
      </c>
      <c r="E386" s="11" t="s">
        <v>26</v>
      </c>
      <c r="F386" s="11" t="s">
        <v>1426</v>
      </c>
      <c r="G386" s="11" t="s">
        <v>28</v>
      </c>
      <c r="H386" s="11" t="s">
        <v>1426</v>
      </c>
      <c r="I386" s="11" t="s">
        <v>1427</v>
      </c>
      <c r="J386" s="12">
        <v>0.19639999999999999</v>
      </c>
      <c r="K386" s="13">
        <v>1</v>
      </c>
      <c r="L386" s="14">
        <v>56</v>
      </c>
      <c r="M386" s="10">
        <v>11</v>
      </c>
      <c r="N386" s="10">
        <v>6188</v>
      </c>
      <c r="O386" s="10">
        <v>863</v>
      </c>
      <c r="P386" s="10">
        <v>7051</v>
      </c>
    </row>
    <row r="387" spans="1:16" ht="27" customHeight="1" x14ac:dyDescent="0.2">
      <c r="A387" s="9" t="s">
        <v>1292</v>
      </c>
      <c r="B387" s="10" t="s">
        <v>1417</v>
      </c>
      <c r="C387" s="11" t="s">
        <v>1428</v>
      </c>
      <c r="D387" s="11" t="s">
        <v>1429</v>
      </c>
      <c r="E387" s="11" t="s">
        <v>26</v>
      </c>
      <c r="F387" s="11" t="s">
        <v>1430</v>
      </c>
      <c r="G387" s="11" t="s">
        <v>28</v>
      </c>
      <c r="H387" s="11" t="s">
        <v>1430</v>
      </c>
      <c r="I387" s="11" t="s">
        <v>1431</v>
      </c>
      <c r="J387" s="12">
        <v>0.42359999999999998</v>
      </c>
      <c r="K387" s="13">
        <v>1</v>
      </c>
      <c r="L387" s="14">
        <v>6751</v>
      </c>
      <c r="M387" s="10">
        <v>2860</v>
      </c>
      <c r="N387" s="10">
        <v>745997</v>
      </c>
      <c r="O387" s="10">
        <v>224278</v>
      </c>
      <c r="P387" s="10">
        <v>970275</v>
      </c>
    </row>
    <row r="388" spans="1:16" ht="27" customHeight="1" x14ac:dyDescent="0.2">
      <c r="A388" s="9" t="s">
        <v>1292</v>
      </c>
      <c r="B388" s="10" t="s">
        <v>1417</v>
      </c>
      <c r="C388" s="11" t="s">
        <v>1432</v>
      </c>
      <c r="D388" s="11" t="s">
        <v>1433</v>
      </c>
      <c r="E388" s="11" t="s">
        <v>26</v>
      </c>
      <c r="F388" s="11" t="s">
        <v>1434</v>
      </c>
      <c r="G388" s="11" t="s">
        <v>28</v>
      </c>
      <c r="H388" s="11" t="s">
        <v>1434</v>
      </c>
      <c r="I388" s="11" t="s">
        <v>1435</v>
      </c>
      <c r="J388" s="12">
        <v>0.74960000000000004</v>
      </c>
      <c r="K388" s="13">
        <v>1</v>
      </c>
      <c r="L388" s="14">
        <v>1130</v>
      </c>
      <c r="M388" s="10">
        <v>847</v>
      </c>
      <c r="N388" s="10">
        <v>124867</v>
      </c>
      <c r="O388" s="10">
        <v>66421</v>
      </c>
      <c r="P388" s="10">
        <v>191288</v>
      </c>
    </row>
    <row r="389" spans="1:16" ht="27" customHeight="1" x14ac:dyDescent="0.2">
      <c r="A389" s="9" t="s">
        <v>1292</v>
      </c>
      <c r="B389" s="10" t="s">
        <v>1417</v>
      </c>
      <c r="C389" s="11" t="s">
        <v>1436</v>
      </c>
      <c r="D389" s="11" t="s">
        <v>1437</v>
      </c>
      <c r="E389" s="11" t="s">
        <v>26</v>
      </c>
      <c r="F389" s="11" t="s">
        <v>1438</v>
      </c>
      <c r="G389" s="11" t="s">
        <v>28</v>
      </c>
      <c r="H389" s="11" t="s">
        <v>1438</v>
      </c>
      <c r="I389" s="11" t="s">
        <v>1439</v>
      </c>
      <c r="J389" s="12">
        <v>0.43020000000000003</v>
      </c>
      <c r="K389" s="13">
        <v>1</v>
      </c>
      <c r="L389" s="14">
        <v>4700</v>
      </c>
      <c r="M389" s="10">
        <v>2022</v>
      </c>
      <c r="N389" s="10">
        <v>519358</v>
      </c>
      <c r="O389" s="10">
        <v>158563</v>
      </c>
      <c r="P389" s="10">
        <v>677921</v>
      </c>
    </row>
    <row r="390" spans="1:16" ht="27" customHeight="1" x14ac:dyDescent="0.2">
      <c r="A390" s="9" t="s">
        <v>1292</v>
      </c>
      <c r="B390" s="10" t="s">
        <v>1440</v>
      </c>
      <c r="C390" s="11" t="s">
        <v>18</v>
      </c>
      <c r="D390" s="11" t="s">
        <v>19</v>
      </c>
      <c r="E390" s="11" t="s">
        <v>19</v>
      </c>
      <c r="F390" s="11" t="s">
        <v>1441</v>
      </c>
      <c r="G390" s="11" t="s">
        <v>83</v>
      </c>
      <c r="H390" s="11" t="s">
        <v>1441</v>
      </c>
      <c r="I390" s="11" t="s">
        <v>1442</v>
      </c>
      <c r="J390" s="12">
        <v>0.54430000000000001</v>
      </c>
      <c r="K390" s="13">
        <v>2</v>
      </c>
      <c r="L390" s="14">
        <v>80</v>
      </c>
      <c r="M390" s="10">
        <v>44</v>
      </c>
      <c r="N390" s="10">
        <v>8840</v>
      </c>
      <c r="O390" s="10">
        <v>3450</v>
      </c>
      <c r="P390" s="10">
        <v>12290</v>
      </c>
    </row>
    <row r="391" spans="1:16" ht="27" customHeight="1" x14ac:dyDescent="0.2">
      <c r="A391" s="9" t="s">
        <v>1292</v>
      </c>
      <c r="B391" s="10" t="s">
        <v>1443</v>
      </c>
      <c r="C391" s="11" t="s">
        <v>18</v>
      </c>
      <c r="D391" s="11" t="s">
        <v>19</v>
      </c>
      <c r="E391" s="11" t="s">
        <v>19</v>
      </c>
      <c r="F391" s="11" t="s">
        <v>1444</v>
      </c>
      <c r="G391" s="11" t="s">
        <v>83</v>
      </c>
      <c r="H391" s="11" t="s">
        <v>1444</v>
      </c>
      <c r="I391" s="11" t="s">
        <v>1445</v>
      </c>
      <c r="J391" s="12">
        <v>0.55289999999999995</v>
      </c>
      <c r="K391" s="13">
        <v>2</v>
      </c>
      <c r="L391" s="14">
        <v>85</v>
      </c>
      <c r="M391" s="10">
        <v>47</v>
      </c>
      <c r="N391" s="10">
        <v>9393</v>
      </c>
      <c r="O391" s="10">
        <v>3686</v>
      </c>
      <c r="P391" s="10">
        <v>13079</v>
      </c>
    </row>
    <row r="392" spans="1:16" ht="27" customHeight="1" x14ac:dyDescent="0.2">
      <c r="A392" s="9" t="s">
        <v>1292</v>
      </c>
      <c r="B392" s="10" t="s">
        <v>1446</v>
      </c>
      <c r="C392" s="11" t="s">
        <v>18</v>
      </c>
      <c r="D392" s="11" t="s">
        <v>19</v>
      </c>
      <c r="E392" s="11" t="s">
        <v>19</v>
      </c>
      <c r="F392" s="11" t="s">
        <v>1447</v>
      </c>
      <c r="G392" s="11" t="s">
        <v>83</v>
      </c>
      <c r="H392" s="11" t="s">
        <v>1448</v>
      </c>
      <c r="I392" s="11" t="s">
        <v>1449</v>
      </c>
      <c r="J392" s="12">
        <v>0.93479999999999996</v>
      </c>
      <c r="K392" s="13">
        <v>7</v>
      </c>
      <c r="L392" s="14">
        <v>3015</v>
      </c>
      <c r="M392" s="10">
        <v>2685</v>
      </c>
      <c r="N392" s="10">
        <v>333163</v>
      </c>
      <c r="O392" s="10">
        <v>210556</v>
      </c>
      <c r="P392" s="10">
        <v>543719</v>
      </c>
    </row>
    <row r="393" spans="1:16" ht="27" customHeight="1" x14ac:dyDescent="0.2">
      <c r="A393" s="9" t="s">
        <v>1292</v>
      </c>
      <c r="B393" s="10" t="s">
        <v>1450</v>
      </c>
      <c r="C393" s="11" t="s">
        <v>18</v>
      </c>
      <c r="D393" s="11" t="s">
        <v>19</v>
      </c>
      <c r="E393" s="11" t="s">
        <v>19</v>
      </c>
      <c r="F393" s="11" t="s">
        <v>1451</v>
      </c>
      <c r="G393" s="11" t="s">
        <v>83</v>
      </c>
      <c r="H393" s="11" t="s">
        <v>1452</v>
      </c>
      <c r="I393" s="11" t="s">
        <v>1453</v>
      </c>
      <c r="J393" s="12">
        <v>0.68620000000000003</v>
      </c>
      <c r="K393" s="13">
        <v>7</v>
      </c>
      <c r="L393" s="14">
        <v>1743</v>
      </c>
      <c r="M393" s="10">
        <v>488</v>
      </c>
      <c r="N393" s="10">
        <v>192604</v>
      </c>
      <c r="O393" s="10">
        <v>38268</v>
      </c>
      <c r="P393" s="10">
        <v>230872</v>
      </c>
    </row>
    <row r="394" spans="1:16" ht="27" customHeight="1" x14ac:dyDescent="0.2">
      <c r="A394" s="9" t="s">
        <v>1292</v>
      </c>
      <c r="B394" s="10" t="s">
        <v>1454</v>
      </c>
      <c r="C394" s="11" t="s">
        <v>18</v>
      </c>
      <c r="D394" s="11" t="s">
        <v>19</v>
      </c>
      <c r="E394" s="11" t="s">
        <v>19</v>
      </c>
      <c r="F394" s="11" t="s">
        <v>1455</v>
      </c>
      <c r="G394" s="11" t="s">
        <v>83</v>
      </c>
      <c r="H394" s="11" t="s">
        <v>1456</v>
      </c>
      <c r="I394" s="11" t="s">
        <v>1457</v>
      </c>
      <c r="J394" s="12">
        <v>0.34760000000000002</v>
      </c>
      <c r="K394" s="13">
        <v>6</v>
      </c>
      <c r="L394" s="14">
        <v>3892</v>
      </c>
      <c r="M394" s="10">
        <v>1258</v>
      </c>
      <c r="N394" s="10">
        <v>430072</v>
      </c>
      <c r="O394" s="10">
        <v>98651</v>
      </c>
      <c r="P394" s="10">
        <v>528723</v>
      </c>
    </row>
    <row r="395" spans="1:16" ht="27" customHeight="1" x14ac:dyDescent="0.2">
      <c r="A395" s="9" t="s">
        <v>1292</v>
      </c>
      <c r="B395" s="10" t="s">
        <v>1458</v>
      </c>
      <c r="C395" s="11" t="s">
        <v>18</v>
      </c>
      <c r="D395" s="11" t="s">
        <v>19</v>
      </c>
      <c r="E395" s="11" t="s">
        <v>19</v>
      </c>
      <c r="F395" s="11" t="s">
        <v>1459</v>
      </c>
      <c r="G395" s="11" t="s">
        <v>83</v>
      </c>
      <c r="H395" s="11" t="s">
        <v>1460</v>
      </c>
      <c r="I395" s="11" t="s">
        <v>1461</v>
      </c>
      <c r="J395" s="12">
        <v>0.9022</v>
      </c>
      <c r="K395" s="13">
        <v>2</v>
      </c>
      <c r="L395" s="14">
        <v>184</v>
      </c>
      <c r="M395" s="10">
        <v>166</v>
      </c>
      <c r="N395" s="10">
        <v>20332</v>
      </c>
      <c r="O395" s="10">
        <v>13018</v>
      </c>
      <c r="P395" s="10">
        <v>33350</v>
      </c>
    </row>
    <row r="396" spans="1:16" ht="27" customHeight="1" x14ac:dyDescent="0.2">
      <c r="A396" s="9" t="s">
        <v>1292</v>
      </c>
      <c r="B396" s="10" t="s">
        <v>1462</v>
      </c>
      <c r="C396" s="11" t="s">
        <v>18</v>
      </c>
      <c r="D396" s="11" t="s">
        <v>19</v>
      </c>
      <c r="E396" s="11" t="s">
        <v>19</v>
      </c>
      <c r="F396" s="11" t="s">
        <v>1463</v>
      </c>
      <c r="G396" s="11" t="s">
        <v>83</v>
      </c>
      <c r="H396" s="11" t="s">
        <v>1464</v>
      </c>
      <c r="I396" s="11" t="s">
        <v>1465</v>
      </c>
      <c r="J396" s="12">
        <v>0.52749999999999997</v>
      </c>
      <c r="K396" s="13">
        <v>10</v>
      </c>
      <c r="L396" s="14">
        <v>6121</v>
      </c>
      <c r="M396" s="10">
        <v>2016</v>
      </c>
      <c r="N396" s="10">
        <v>676381</v>
      </c>
      <c r="O396" s="10">
        <v>158091</v>
      </c>
      <c r="P396" s="10">
        <v>834472</v>
      </c>
    </row>
    <row r="397" spans="1:16" ht="27" customHeight="1" x14ac:dyDescent="0.2">
      <c r="A397" s="9" t="s">
        <v>1292</v>
      </c>
      <c r="B397" s="10" t="s">
        <v>1466</v>
      </c>
      <c r="C397" s="11" t="s">
        <v>18</v>
      </c>
      <c r="D397" s="11" t="s">
        <v>19</v>
      </c>
      <c r="E397" s="11" t="s">
        <v>19</v>
      </c>
      <c r="F397" s="11" t="s">
        <v>1467</v>
      </c>
      <c r="G397" s="11" t="s">
        <v>83</v>
      </c>
      <c r="H397" s="11" t="s">
        <v>1467</v>
      </c>
      <c r="I397" s="11" t="s">
        <v>1468</v>
      </c>
      <c r="J397" s="12">
        <v>0.62909999999999999</v>
      </c>
      <c r="K397" s="13">
        <v>2</v>
      </c>
      <c r="L397" s="14">
        <v>151</v>
      </c>
      <c r="M397" s="10">
        <v>95</v>
      </c>
      <c r="N397" s="10">
        <v>16686</v>
      </c>
      <c r="O397" s="10">
        <v>7450</v>
      </c>
      <c r="P397" s="10">
        <v>24136</v>
      </c>
    </row>
    <row r="398" spans="1:16" ht="27" customHeight="1" x14ac:dyDescent="0.2">
      <c r="A398" s="9" t="s">
        <v>1292</v>
      </c>
      <c r="B398" s="10" t="s">
        <v>1469</v>
      </c>
      <c r="C398" s="11" t="s">
        <v>18</v>
      </c>
      <c r="D398" s="11" t="s">
        <v>19</v>
      </c>
      <c r="E398" s="11" t="s">
        <v>19</v>
      </c>
      <c r="F398" s="11" t="s">
        <v>1470</v>
      </c>
      <c r="G398" s="11" t="s">
        <v>83</v>
      </c>
      <c r="H398" s="11" t="s">
        <v>1471</v>
      </c>
      <c r="I398" s="11" t="s">
        <v>1472</v>
      </c>
      <c r="J398" s="12">
        <v>0.94189999999999996</v>
      </c>
      <c r="K398" s="13">
        <v>7</v>
      </c>
      <c r="L398" s="14">
        <v>3687</v>
      </c>
      <c r="M398" s="10">
        <v>3096</v>
      </c>
      <c r="N398" s="10">
        <v>407419</v>
      </c>
      <c r="O398" s="10">
        <v>242784</v>
      </c>
      <c r="P398" s="10">
        <v>650203</v>
      </c>
    </row>
    <row r="399" spans="1:16" ht="27" customHeight="1" x14ac:dyDescent="0.2">
      <c r="A399" s="9" t="s">
        <v>1292</v>
      </c>
      <c r="B399" s="10" t="s">
        <v>1473</v>
      </c>
      <c r="C399" s="11" t="s">
        <v>18</v>
      </c>
      <c r="D399" s="11" t="s">
        <v>19</v>
      </c>
      <c r="E399" s="11" t="s">
        <v>19</v>
      </c>
      <c r="F399" s="11" t="s">
        <v>1474</v>
      </c>
      <c r="G399" s="11" t="s">
        <v>83</v>
      </c>
      <c r="H399" s="11" t="s">
        <v>1475</v>
      </c>
      <c r="I399" s="11" t="s">
        <v>1476</v>
      </c>
      <c r="J399" s="12">
        <v>0.70930000000000004</v>
      </c>
      <c r="K399" s="13">
        <v>2</v>
      </c>
      <c r="L399" s="14">
        <v>346</v>
      </c>
      <c r="M399" s="10">
        <v>245</v>
      </c>
      <c r="N399" s="10">
        <v>38234</v>
      </c>
      <c r="O399" s="10">
        <v>19213</v>
      </c>
      <c r="P399" s="10">
        <v>57447</v>
      </c>
    </row>
    <row r="400" spans="1:16" ht="27" customHeight="1" x14ac:dyDescent="0.2">
      <c r="A400" s="9" t="s">
        <v>1292</v>
      </c>
      <c r="B400" s="10" t="s">
        <v>1477</v>
      </c>
      <c r="C400" s="11" t="s">
        <v>18</v>
      </c>
      <c r="D400" s="11" t="s">
        <v>19</v>
      </c>
      <c r="E400" s="11" t="s">
        <v>19</v>
      </c>
      <c r="F400" s="11" t="s">
        <v>1478</v>
      </c>
      <c r="G400" s="11" t="s">
        <v>83</v>
      </c>
      <c r="H400" s="11" t="s">
        <v>1478</v>
      </c>
      <c r="I400" s="11" t="s">
        <v>1479</v>
      </c>
      <c r="J400" s="12">
        <v>0.95650000000000002</v>
      </c>
      <c r="K400" s="13">
        <v>5</v>
      </c>
      <c r="L400" s="14">
        <v>3074</v>
      </c>
      <c r="M400" s="10">
        <v>2733</v>
      </c>
      <c r="N400" s="10">
        <v>339682</v>
      </c>
      <c r="O400" s="10">
        <v>214319</v>
      </c>
      <c r="P400" s="10">
        <v>554001</v>
      </c>
    </row>
    <row r="401" spans="1:16" ht="27" customHeight="1" x14ac:dyDescent="0.2">
      <c r="A401" s="9" t="s">
        <v>1292</v>
      </c>
      <c r="B401" s="10" t="s">
        <v>1480</v>
      </c>
      <c r="C401" s="11" t="s">
        <v>18</v>
      </c>
      <c r="D401" s="11" t="s">
        <v>19</v>
      </c>
      <c r="E401" s="11" t="s">
        <v>19</v>
      </c>
      <c r="F401" s="11" t="s">
        <v>1481</v>
      </c>
      <c r="G401" s="11" t="s">
        <v>83</v>
      </c>
      <c r="H401" s="11" t="s">
        <v>1482</v>
      </c>
      <c r="I401" s="11" t="s">
        <v>1483</v>
      </c>
      <c r="J401" s="12">
        <v>0.98350000000000004</v>
      </c>
      <c r="K401" s="13">
        <v>7</v>
      </c>
      <c r="L401" s="14">
        <v>2424</v>
      </c>
      <c r="M401" s="10">
        <v>2162</v>
      </c>
      <c r="N401" s="10">
        <v>267857</v>
      </c>
      <c r="O401" s="10">
        <v>169542</v>
      </c>
      <c r="P401" s="10">
        <v>437399</v>
      </c>
    </row>
    <row r="402" spans="1:16" ht="27" customHeight="1" x14ac:dyDescent="0.2">
      <c r="A402" s="9" t="s">
        <v>1292</v>
      </c>
      <c r="B402" s="10" t="s">
        <v>1484</v>
      </c>
      <c r="C402" s="11" t="s">
        <v>18</v>
      </c>
      <c r="D402" s="11" t="s">
        <v>19</v>
      </c>
      <c r="E402" s="11" t="s">
        <v>19</v>
      </c>
      <c r="F402" s="11" t="s">
        <v>1485</v>
      </c>
      <c r="G402" s="11" t="s">
        <v>83</v>
      </c>
      <c r="H402" s="11" t="s">
        <v>1295</v>
      </c>
      <c r="I402" s="11" t="s">
        <v>1296</v>
      </c>
      <c r="J402" s="12">
        <v>1</v>
      </c>
      <c r="K402" s="13">
        <v>3</v>
      </c>
      <c r="L402" s="14">
        <v>1186</v>
      </c>
      <c r="M402" s="10">
        <v>727</v>
      </c>
      <c r="N402" s="10">
        <v>131055</v>
      </c>
      <c r="O402" s="10">
        <v>57010</v>
      </c>
      <c r="P402" s="10">
        <v>188065</v>
      </c>
    </row>
    <row r="403" spans="1:16" ht="27" customHeight="1" x14ac:dyDescent="0.2">
      <c r="A403" s="9" t="s">
        <v>1292</v>
      </c>
      <c r="B403" s="10" t="s">
        <v>1486</v>
      </c>
      <c r="C403" s="11" t="s">
        <v>18</v>
      </c>
      <c r="D403" s="11" t="s">
        <v>19</v>
      </c>
      <c r="E403" s="11" t="s">
        <v>19</v>
      </c>
      <c r="F403" s="11" t="s">
        <v>1487</v>
      </c>
      <c r="G403" s="11" t="s">
        <v>83</v>
      </c>
      <c r="H403" s="11" t="s">
        <v>1488</v>
      </c>
      <c r="I403" s="11" t="s">
        <v>1489</v>
      </c>
      <c r="J403" s="12">
        <v>0.43459999999999999</v>
      </c>
      <c r="K403" s="13">
        <v>8</v>
      </c>
      <c r="L403" s="14">
        <v>4187</v>
      </c>
      <c r="M403" s="10">
        <v>1445</v>
      </c>
      <c r="N403" s="10">
        <v>462671</v>
      </c>
      <c r="O403" s="10">
        <v>113316</v>
      </c>
      <c r="P403" s="10">
        <v>575987</v>
      </c>
    </row>
    <row r="404" spans="1:16" ht="27" customHeight="1" x14ac:dyDescent="0.2">
      <c r="A404" s="9" t="s">
        <v>1292</v>
      </c>
      <c r="B404" s="10" t="s">
        <v>1490</v>
      </c>
      <c r="C404" s="11" t="s">
        <v>18</v>
      </c>
      <c r="D404" s="11" t="s">
        <v>19</v>
      </c>
      <c r="E404" s="11" t="s">
        <v>19</v>
      </c>
      <c r="F404" s="11" t="s">
        <v>1491</v>
      </c>
      <c r="G404" s="11" t="s">
        <v>83</v>
      </c>
      <c r="H404" s="11" t="s">
        <v>1491</v>
      </c>
      <c r="I404" s="11" t="s">
        <v>1492</v>
      </c>
      <c r="J404" s="12">
        <v>1</v>
      </c>
      <c r="K404" s="13">
        <v>3</v>
      </c>
      <c r="L404" s="14">
        <v>678</v>
      </c>
      <c r="M404" s="10">
        <v>678</v>
      </c>
      <c r="N404" s="10">
        <v>74920</v>
      </c>
      <c r="O404" s="10">
        <v>53168</v>
      </c>
      <c r="P404" s="10">
        <v>128088</v>
      </c>
    </row>
    <row r="405" spans="1:16" ht="27" customHeight="1" x14ac:dyDescent="0.2">
      <c r="A405" s="9" t="s">
        <v>1292</v>
      </c>
      <c r="B405" s="10" t="s">
        <v>1493</v>
      </c>
      <c r="C405" s="11" t="s">
        <v>18</v>
      </c>
      <c r="D405" s="11" t="s">
        <v>19</v>
      </c>
      <c r="E405" s="11" t="s">
        <v>19</v>
      </c>
      <c r="F405" s="11" t="s">
        <v>1494</v>
      </c>
      <c r="G405" s="11" t="s">
        <v>83</v>
      </c>
      <c r="H405" s="11" t="s">
        <v>1495</v>
      </c>
      <c r="I405" s="11" t="s">
        <v>1496</v>
      </c>
      <c r="J405" s="12">
        <v>0.95420000000000005</v>
      </c>
      <c r="K405" s="13">
        <v>7</v>
      </c>
      <c r="L405" s="14">
        <v>3445</v>
      </c>
      <c r="M405" s="10">
        <v>3188</v>
      </c>
      <c r="N405" s="10">
        <v>380678</v>
      </c>
      <c r="O405" s="10">
        <v>250000</v>
      </c>
      <c r="P405" s="10">
        <v>630678</v>
      </c>
    </row>
    <row r="406" spans="1:16" ht="27" customHeight="1" x14ac:dyDescent="0.2">
      <c r="A406" s="9" t="s">
        <v>1292</v>
      </c>
      <c r="B406" s="10" t="s">
        <v>1497</v>
      </c>
      <c r="C406" s="11" t="s">
        <v>18</v>
      </c>
      <c r="D406" s="11" t="s">
        <v>19</v>
      </c>
      <c r="E406" s="11" t="s">
        <v>19</v>
      </c>
      <c r="F406" s="11" t="s">
        <v>1498</v>
      </c>
      <c r="G406" s="11" t="s">
        <v>83</v>
      </c>
      <c r="H406" s="11" t="s">
        <v>1295</v>
      </c>
      <c r="I406" s="11" t="s">
        <v>1296</v>
      </c>
      <c r="J406" s="12">
        <v>1</v>
      </c>
      <c r="K406" s="13">
        <v>3</v>
      </c>
      <c r="L406" s="14">
        <v>1853</v>
      </c>
      <c r="M406" s="10">
        <v>1612</v>
      </c>
      <c r="N406" s="10">
        <v>204759</v>
      </c>
      <c r="O406" s="10">
        <v>126411</v>
      </c>
      <c r="P406" s="10">
        <v>331170</v>
      </c>
    </row>
    <row r="407" spans="1:16" ht="27" customHeight="1" x14ac:dyDescent="0.2">
      <c r="A407" s="9" t="s">
        <v>1292</v>
      </c>
      <c r="B407" s="10" t="s">
        <v>1499</v>
      </c>
      <c r="C407" s="11" t="s">
        <v>18</v>
      </c>
      <c r="D407" s="11" t="s">
        <v>19</v>
      </c>
      <c r="E407" s="11" t="s">
        <v>19</v>
      </c>
      <c r="F407" s="11" t="s">
        <v>1500</v>
      </c>
      <c r="G407" s="11" t="s">
        <v>83</v>
      </c>
      <c r="H407" s="11" t="s">
        <v>1501</v>
      </c>
      <c r="I407" s="11" t="s">
        <v>1502</v>
      </c>
      <c r="J407" s="12">
        <v>0.47649999999999998</v>
      </c>
      <c r="K407" s="13">
        <v>3</v>
      </c>
      <c r="L407" s="14">
        <v>1018</v>
      </c>
      <c r="M407" s="10">
        <v>505</v>
      </c>
      <c r="N407" s="10">
        <v>112491</v>
      </c>
      <c r="O407" s="10">
        <v>39602</v>
      </c>
      <c r="P407" s="10">
        <v>152093</v>
      </c>
    </row>
    <row r="408" spans="1:16" ht="27" customHeight="1" x14ac:dyDescent="0.2">
      <c r="A408" s="9" t="s">
        <v>1292</v>
      </c>
      <c r="B408" s="10" t="s">
        <v>1503</v>
      </c>
      <c r="C408" s="11" t="s">
        <v>18</v>
      </c>
      <c r="D408" s="11" t="s">
        <v>19</v>
      </c>
      <c r="E408" s="11" t="s">
        <v>19</v>
      </c>
      <c r="F408" s="11" t="s">
        <v>1504</v>
      </c>
      <c r="G408" s="11" t="s">
        <v>83</v>
      </c>
      <c r="H408" s="11" t="s">
        <v>1505</v>
      </c>
      <c r="I408" s="11" t="s">
        <v>1506</v>
      </c>
      <c r="J408" s="12">
        <v>0.70479999999999998</v>
      </c>
      <c r="K408" s="13">
        <v>12</v>
      </c>
      <c r="L408" s="14">
        <v>5190</v>
      </c>
      <c r="M408" s="10">
        <v>2433</v>
      </c>
      <c r="N408" s="10">
        <v>573504</v>
      </c>
      <c r="O408" s="10">
        <v>190792</v>
      </c>
      <c r="P408" s="10">
        <v>764296</v>
      </c>
    </row>
    <row r="409" spans="1:16" ht="27" customHeight="1" x14ac:dyDescent="0.2">
      <c r="A409" s="9" t="s">
        <v>1292</v>
      </c>
      <c r="B409" s="10" t="s">
        <v>1507</v>
      </c>
      <c r="C409" s="11" t="s">
        <v>18</v>
      </c>
      <c r="D409" s="11" t="s">
        <v>19</v>
      </c>
      <c r="E409" s="11" t="s">
        <v>19</v>
      </c>
      <c r="F409" s="11" t="s">
        <v>1508</v>
      </c>
      <c r="G409" s="11" t="s">
        <v>83</v>
      </c>
      <c r="H409" s="11" t="s">
        <v>1509</v>
      </c>
      <c r="I409" s="11" t="s">
        <v>1510</v>
      </c>
      <c r="J409" s="12">
        <v>0.9395</v>
      </c>
      <c r="K409" s="13">
        <v>8</v>
      </c>
      <c r="L409" s="14">
        <v>3417</v>
      </c>
      <c r="M409" s="10">
        <v>3011</v>
      </c>
      <c r="N409" s="10">
        <v>377584</v>
      </c>
      <c r="O409" s="10">
        <v>236119</v>
      </c>
      <c r="P409" s="10">
        <v>613703</v>
      </c>
    </row>
    <row r="410" spans="1:16" ht="27" customHeight="1" x14ac:dyDescent="0.2">
      <c r="A410" s="9" t="s">
        <v>1292</v>
      </c>
      <c r="B410" s="10" t="s">
        <v>1511</v>
      </c>
      <c r="C410" s="11" t="s">
        <v>18</v>
      </c>
      <c r="D410" s="11" t="s">
        <v>19</v>
      </c>
      <c r="E410" s="11" t="s">
        <v>19</v>
      </c>
      <c r="F410" s="11" t="s">
        <v>1512</v>
      </c>
      <c r="G410" s="11" t="s">
        <v>83</v>
      </c>
      <c r="H410" s="11" t="s">
        <v>1513</v>
      </c>
      <c r="I410" s="11" t="s">
        <v>1514</v>
      </c>
      <c r="J410" s="12">
        <v>0.75819999999999999</v>
      </c>
      <c r="K410" s="13">
        <v>4</v>
      </c>
      <c r="L410" s="14">
        <v>686</v>
      </c>
      <c r="M410" s="10">
        <v>526</v>
      </c>
      <c r="N410" s="10">
        <v>75804</v>
      </c>
      <c r="O410" s="10">
        <v>41249</v>
      </c>
      <c r="P410" s="10">
        <v>117053</v>
      </c>
    </row>
    <row r="411" spans="1:16" ht="27" customHeight="1" x14ac:dyDescent="0.2">
      <c r="A411" s="9" t="s">
        <v>1515</v>
      </c>
      <c r="B411" s="10" t="s">
        <v>1516</v>
      </c>
      <c r="C411" s="11" t="s">
        <v>18</v>
      </c>
      <c r="D411" s="11" t="s">
        <v>19</v>
      </c>
      <c r="E411" s="11" t="s">
        <v>19</v>
      </c>
      <c r="F411" s="11" t="s">
        <v>1517</v>
      </c>
      <c r="G411" s="11" t="s">
        <v>21</v>
      </c>
      <c r="H411" s="11" t="s">
        <v>1518</v>
      </c>
      <c r="I411" s="11" t="s">
        <v>1519</v>
      </c>
      <c r="J411" s="12">
        <v>0.96230000000000004</v>
      </c>
      <c r="K411" s="13">
        <v>4</v>
      </c>
      <c r="L411" s="14">
        <v>573</v>
      </c>
      <c r="M411" s="10">
        <v>440</v>
      </c>
      <c r="N411" s="10">
        <v>63318</v>
      </c>
      <c r="O411" s="10">
        <v>34504</v>
      </c>
      <c r="P411" s="10">
        <v>97822</v>
      </c>
    </row>
    <row r="412" spans="1:16" ht="27" customHeight="1" x14ac:dyDescent="0.2">
      <c r="A412" s="9" t="s">
        <v>1515</v>
      </c>
      <c r="B412" s="10" t="s">
        <v>1520</v>
      </c>
      <c r="C412" s="11" t="s">
        <v>18</v>
      </c>
      <c r="D412" s="11" t="s">
        <v>19</v>
      </c>
      <c r="E412" s="11" t="s">
        <v>19</v>
      </c>
      <c r="F412" s="11" t="s">
        <v>1521</v>
      </c>
      <c r="G412" s="11" t="s">
        <v>83</v>
      </c>
      <c r="H412" s="11" t="s">
        <v>1522</v>
      </c>
      <c r="I412" s="11" t="s">
        <v>1523</v>
      </c>
      <c r="J412" s="12">
        <v>0.877</v>
      </c>
      <c r="K412" s="13">
        <v>3</v>
      </c>
      <c r="L412" s="14">
        <v>982</v>
      </c>
      <c r="M412" s="10">
        <v>864</v>
      </c>
      <c r="N412" s="10">
        <v>108512</v>
      </c>
      <c r="O412" s="10">
        <v>67754</v>
      </c>
      <c r="P412" s="10">
        <v>176266</v>
      </c>
    </row>
    <row r="413" spans="1:16" ht="27" customHeight="1" x14ac:dyDescent="0.2">
      <c r="A413" s="9" t="s">
        <v>1515</v>
      </c>
      <c r="B413" s="10" t="s">
        <v>1520</v>
      </c>
      <c r="C413" s="11" t="s">
        <v>1524</v>
      </c>
      <c r="D413" s="11" t="s">
        <v>1525</v>
      </c>
      <c r="E413" s="11" t="s">
        <v>57</v>
      </c>
      <c r="F413" s="11" t="s">
        <v>1526</v>
      </c>
      <c r="G413" s="11" t="s">
        <v>28</v>
      </c>
      <c r="H413" s="11" t="s">
        <v>1526</v>
      </c>
      <c r="I413" s="11" t="s">
        <v>1527</v>
      </c>
      <c r="J413" s="12">
        <v>0.78849999999999998</v>
      </c>
      <c r="K413" s="13">
        <v>1</v>
      </c>
      <c r="L413" s="14">
        <v>156</v>
      </c>
      <c r="M413" s="10">
        <v>123</v>
      </c>
      <c r="N413" s="10">
        <v>17238</v>
      </c>
      <c r="O413" s="10">
        <v>9646</v>
      </c>
      <c r="P413" s="10">
        <v>26884</v>
      </c>
    </row>
    <row r="414" spans="1:16" ht="27" customHeight="1" x14ac:dyDescent="0.2">
      <c r="A414" s="9" t="s">
        <v>1515</v>
      </c>
      <c r="B414" s="10" t="s">
        <v>1520</v>
      </c>
      <c r="C414" s="11" t="s">
        <v>1528</v>
      </c>
      <c r="D414" s="11" t="s">
        <v>1529</v>
      </c>
      <c r="E414" s="11" t="s">
        <v>26</v>
      </c>
      <c r="F414" s="11" t="s">
        <v>1530</v>
      </c>
      <c r="G414" s="11" t="s">
        <v>28</v>
      </c>
      <c r="H414" s="11" t="s">
        <v>1530</v>
      </c>
      <c r="I414" s="11" t="s">
        <v>1531</v>
      </c>
      <c r="J414" s="12">
        <v>0.71120000000000005</v>
      </c>
      <c r="K414" s="13">
        <v>1</v>
      </c>
      <c r="L414" s="14">
        <v>547</v>
      </c>
      <c r="M414" s="10">
        <v>389</v>
      </c>
      <c r="N414" s="10">
        <v>60444</v>
      </c>
      <c r="O414" s="10">
        <v>30505</v>
      </c>
      <c r="P414" s="10">
        <v>90949</v>
      </c>
    </row>
    <row r="415" spans="1:16" ht="27" customHeight="1" x14ac:dyDescent="0.2">
      <c r="A415" s="9" t="s">
        <v>1515</v>
      </c>
      <c r="B415" s="10" t="s">
        <v>1532</v>
      </c>
      <c r="C415" s="11" t="s">
        <v>18</v>
      </c>
      <c r="D415" s="11" t="s">
        <v>19</v>
      </c>
      <c r="E415" s="11" t="s">
        <v>19</v>
      </c>
      <c r="F415" s="11" t="s">
        <v>1533</v>
      </c>
      <c r="G415" s="11" t="s">
        <v>83</v>
      </c>
      <c r="H415" s="11" t="s">
        <v>1534</v>
      </c>
      <c r="I415" s="11" t="s">
        <v>1535</v>
      </c>
      <c r="J415" s="12">
        <v>0.84750000000000003</v>
      </c>
      <c r="K415" s="13">
        <v>5</v>
      </c>
      <c r="L415" s="14">
        <v>1674</v>
      </c>
      <c r="M415" s="10">
        <v>746</v>
      </c>
      <c r="N415" s="10">
        <v>184980</v>
      </c>
      <c r="O415" s="10">
        <v>58501</v>
      </c>
      <c r="P415" s="10">
        <v>243481</v>
      </c>
    </row>
    <row r="416" spans="1:16" ht="27" customHeight="1" x14ac:dyDescent="0.2">
      <c r="A416" s="9" t="s">
        <v>1515</v>
      </c>
      <c r="B416" s="10" t="s">
        <v>1536</v>
      </c>
      <c r="C416" s="11" t="s">
        <v>18</v>
      </c>
      <c r="D416" s="11" t="s">
        <v>19</v>
      </c>
      <c r="E416" s="11" t="s">
        <v>19</v>
      </c>
      <c r="F416" s="11" t="s">
        <v>1537</v>
      </c>
      <c r="G416" s="11" t="s">
        <v>83</v>
      </c>
      <c r="H416" s="11" t="s">
        <v>1538</v>
      </c>
      <c r="I416" s="11" t="s">
        <v>1539</v>
      </c>
      <c r="J416" s="12">
        <v>0.9284</v>
      </c>
      <c r="K416" s="13">
        <v>9</v>
      </c>
      <c r="L416" s="14">
        <v>3344</v>
      </c>
      <c r="M416" s="10">
        <v>2939</v>
      </c>
      <c r="N416" s="10">
        <v>369518</v>
      </c>
      <c r="O416" s="10">
        <v>230473</v>
      </c>
      <c r="P416" s="10">
        <v>599991</v>
      </c>
    </row>
    <row r="417" spans="1:16" ht="27" customHeight="1" x14ac:dyDescent="0.2">
      <c r="A417" s="9" t="s">
        <v>1515</v>
      </c>
      <c r="B417" s="10" t="s">
        <v>1540</v>
      </c>
      <c r="C417" s="11" t="s">
        <v>18</v>
      </c>
      <c r="D417" s="11" t="s">
        <v>19</v>
      </c>
      <c r="E417" s="11" t="s">
        <v>19</v>
      </c>
      <c r="F417" s="11" t="s">
        <v>1541</v>
      </c>
      <c r="G417" s="11" t="s">
        <v>83</v>
      </c>
      <c r="H417" s="11" t="s">
        <v>1518</v>
      </c>
      <c r="I417" s="11" t="s">
        <v>1519</v>
      </c>
      <c r="J417" s="12">
        <v>0.96230000000000004</v>
      </c>
      <c r="K417" s="13">
        <v>13</v>
      </c>
      <c r="L417" s="14">
        <v>5526</v>
      </c>
      <c r="M417" s="10">
        <v>4324</v>
      </c>
      <c r="N417" s="10">
        <v>610632</v>
      </c>
      <c r="O417" s="10">
        <v>339083</v>
      </c>
      <c r="P417" s="10">
        <v>949715</v>
      </c>
    </row>
    <row r="418" spans="1:16" ht="27" customHeight="1" x14ac:dyDescent="0.2">
      <c r="A418" s="9" t="s">
        <v>1515</v>
      </c>
      <c r="B418" s="10" t="s">
        <v>1542</v>
      </c>
      <c r="C418" s="11" t="s">
        <v>18</v>
      </c>
      <c r="D418" s="11" t="s">
        <v>19</v>
      </c>
      <c r="E418" s="11" t="s">
        <v>19</v>
      </c>
      <c r="F418" s="11" t="s">
        <v>1543</v>
      </c>
      <c r="G418" s="11" t="s">
        <v>83</v>
      </c>
      <c r="H418" s="11" t="s">
        <v>1518</v>
      </c>
      <c r="I418" s="11" t="s">
        <v>1519</v>
      </c>
      <c r="J418" s="12">
        <v>0.96230000000000004</v>
      </c>
      <c r="K418" s="13">
        <v>6</v>
      </c>
      <c r="L418" s="14">
        <v>4071</v>
      </c>
      <c r="M418" s="10">
        <v>2999</v>
      </c>
      <c r="N418" s="10">
        <v>449853</v>
      </c>
      <c r="O418" s="10">
        <v>235178</v>
      </c>
      <c r="P418" s="10">
        <v>685031</v>
      </c>
    </row>
    <row r="419" spans="1:16" ht="27" customHeight="1" x14ac:dyDescent="0.2">
      <c r="A419" s="9" t="s">
        <v>1515</v>
      </c>
      <c r="B419" s="10" t="s">
        <v>1542</v>
      </c>
      <c r="C419" s="11" t="s">
        <v>1544</v>
      </c>
      <c r="D419" s="11" t="s">
        <v>1545</v>
      </c>
      <c r="E419" s="11" t="s">
        <v>57</v>
      </c>
      <c r="F419" s="11" t="s">
        <v>1546</v>
      </c>
      <c r="G419" s="11" t="s">
        <v>28</v>
      </c>
      <c r="H419" s="11" t="s">
        <v>1518</v>
      </c>
      <c r="I419" s="11" t="s">
        <v>1519</v>
      </c>
      <c r="J419" s="12">
        <v>0.96230000000000004</v>
      </c>
      <c r="K419" s="13">
        <v>1</v>
      </c>
      <c r="L419" s="14">
        <v>166</v>
      </c>
      <c r="M419" s="10">
        <v>113</v>
      </c>
      <c r="N419" s="10">
        <v>18343</v>
      </c>
      <c r="O419" s="10">
        <v>8861</v>
      </c>
      <c r="P419" s="10">
        <v>27204</v>
      </c>
    </row>
    <row r="420" spans="1:16" ht="27" customHeight="1" x14ac:dyDescent="0.2">
      <c r="A420" s="9" t="s">
        <v>1515</v>
      </c>
      <c r="B420" s="10" t="s">
        <v>1547</v>
      </c>
      <c r="C420" s="11" t="s">
        <v>18</v>
      </c>
      <c r="D420" s="11" t="s">
        <v>19</v>
      </c>
      <c r="E420" s="11" t="s">
        <v>19</v>
      </c>
      <c r="F420" s="11" t="s">
        <v>1548</v>
      </c>
      <c r="G420" s="11" t="s">
        <v>83</v>
      </c>
      <c r="H420" s="11" t="s">
        <v>1549</v>
      </c>
      <c r="I420" s="11" t="s">
        <v>1550</v>
      </c>
      <c r="J420" s="12">
        <v>0.42859999999999998</v>
      </c>
      <c r="K420" s="13">
        <v>2</v>
      </c>
      <c r="L420" s="14">
        <v>392</v>
      </c>
      <c r="M420" s="10">
        <v>168</v>
      </c>
      <c r="N420" s="10">
        <v>43317</v>
      </c>
      <c r="O420" s="10">
        <v>13174</v>
      </c>
      <c r="P420" s="10">
        <v>56491</v>
      </c>
    </row>
    <row r="421" spans="1:16" ht="27" customHeight="1" x14ac:dyDescent="0.2">
      <c r="A421" s="9" t="s">
        <v>1515</v>
      </c>
      <c r="B421" s="10" t="s">
        <v>1551</v>
      </c>
      <c r="C421" s="11" t="s">
        <v>18</v>
      </c>
      <c r="D421" s="11" t="s">
        <v>19</v>
      </c>
      <c r="E421" s="11" t="s">
        <v>19</v>
      </c>
      <c r="F421" s="11" t="s">
        <v>1552</v>
      </c>
      <c r="G421" s="11" t="s">
        <v>83</v>
      </c>
      <c r="H421" s="11" t="s">
        <v>1553</v>
      </c>
      <c r="I421" s="11" t="s">
        <v>1554</v>
      </c>
      <c r="J421" s="12">
        <v>0.30009999999999998</v>
      </c>
      <c r="K421" s="13">
        <v>2</v>
      </c>
      <c r="L421" s="14">
        <v>823</v>
      </c>
      <c r="M421" s="10">
        <v>247</v>
      </c>
      <c r="N421" s="10">
        <v>90943</v>
      </c>
      <c r="O421" s="10">
        <v>19369</v>
      </c>
      <c r="P421" s="10">
        <v>110312</v>
      </c>
    </row>
    <row r="422" spans="1:16" ht="27" customHeight="1" x14ac:dyDescent="0.2">
      <c r="A422" s="9" t="s">
        <v>1515</v>
      </c>
      <c r="B422" s="10" t="s">
        <v>1555</v>
      </c>
      <c r="C422" s="11" t="s">
        <v>18</v>
      </c>
      <c r="D422" s="11" t="s">
        <v>19</v>
      </c>
      <c r="E422" s="11" t="s">
        <v>19</v>
      </c>
      <c r="F422" s="11" t="s">
        <v>1556</v>
      </c>
      <c r="G422" s="11" t="s">
        <v>83</v>
      </c>
      <c r="H422" s="11" t="s">
        <v>1557</v>
      </c>
      <c r="I422" s="11" t="s">
        <v>1558</v>
      </c>
      <c r="J422" s="12">
        <v>0.746</v>
      </c>
      <c r="K422" s="13">
        <v>2</v>
      </c>
      <c r="L422" s="14">
        <v>378</v>
      </c>
      <c r="M422" s="10">
        <v>282</v>
      </c>
      <c r="N422" s="10">
        <v>41770</v>
      </c>
      <c r="O422" s="10">
        <v>22114</v>
      </c>
      <c r="P422" s="10">
        <v>63884</v>
      </c>
    </row>
    <row r="423" spans="1:16" ht="27" customHeight="1" x14ac:dyDescent="0.2">
      <c r="A423" s="9" t="s">
        <v>1515</v>
      </c>
      <c r="B423" s="10" t="s">
        <v>1555</v>
      </c>
      <c r="C423" s="11" t="s">
        <v>1559</v>
      </c>
      <c r="D423" s="11" t="s">
        <v>1560</v>
      </c>
      <c r="E423" s="11" t="s">
        <v>26</v>
      </c>
      <c r="F423" s="11" t="s">
        <v>1561</v>
      </c>
      <c r="G423" s="11" t="s">
        <v>28</v>
      </c>
      <c r="H423" s="11" t="s">
        <v>1561</v>
      </c>
      <c r="I423" s="11" t="s">
        <v>1562</v>
      </c>
      <c r="J423" s="12">
        <v>0.89080000000000004</v>
      </c>
      <c r="K423" s="13">
        <v>1</v>
      </c>
      <c r="L423" s="14">
        <v>1044</v>
      </c>
      <c r="M423" s="10">
        <v>930</v>
      </c>
      <c r="N423" s="10">
        <v>115364</v>
      </c>
      <c r="O423" s="10">
        <v>72930</v>
      </c>
      <c r="P423" s="10">
        <v>188294</v>
      </c>
    </row>
    <row r="424" spans="1:16" ht="27" customHeight="1" x14ac:dyDescent="0.2">
      <c r="A424" s="9" t="s">
        <v>1515</v>
      </c>
      <c r="B424" s="10" t="s">
        <v>1555</v>
      </c>
      <c r="C424" s="11" t="s">
        <v>1563</v>
      </c>
      <c r="D424" s="11" t="s">
        <v>1564</v>
      </c>
      <c r="E424" s="11" t="s">
        <v>57</v>
      </c>
      <c r="F424" s="11" t="s">
        <v>1565</v>
      </c>
      <c r="G424" s="11" t="s">
        <v>28</v>
      </c>
      <c r="H424" s="11" t="s">
        <v>1565</v>
      </c>
      <c r="I424" s="11" t="s">
        <v>1566</v>
      </c>
      <c r="J424" s="12">
        <v>0.75</v>
      </c>
      <c r="K424" s="13">
        <v>1</v>
      </c>
      <c r="L424" s="14">
        <v>56</v>
      </c>
      <c r="M424" s="10">
        <v>42</v>
      </c>
      <c r="N424" s="10">
        <v>6188</v>
      </c>
      <c r="O424" s="10">
        <v>3294</v>
      </c>
      <c r="P424" s="10">
        <v>9482</v>
      </c>
    </row>
    <row r="425" spans="1:16" ht="27" customHeight="1" x14ac:dyDescent="0.2">
      <c r="A425" s="9" t="s">
        <v>1515</v>
      </c>
      <c r="B425" s="10" t="s">
        <v>1567</v>
      </c>
      <c r="C425" s="11" t="s">
        <v>18</v>
      </c>
      <c r="D425" s="11" t="s">
        <v>19</v>
      </c>
      <c r="E425" s="11" t="s">
        <v>19</v>
      </c>
      <c r="F425" s="11" t="s">
        <v>1568</v>
      </c>
      <c r="G425" s="11" t="s">
        <v>83</v>
      </c>
      <c r="H425" s="11" t="s">
        <v>1569</v>
      </c>
      <c r="I425" s="11" t="s">
        <v>1570</v>
      </c>
      <c r="J425" s="12">
        <v>0.92859999999999998</v>
      </c>
      <c r="K425" s="13">
        <v>2</v>
      </c>
      <c r="L425" s="14">
        <v>238</v>
      </c>
      <c r="M425" s="10">
        <v>221</v>
      </c>
      <c r="N425" s="10">
        <v>26299</v>
      </c>
      <c r="O425" s="10">
        <v>17331</v>
      </c>
      <c r="P425" s="10">
        <v>43630</v>
      </c>
    </row>
    <row r="426" spans="1:16" ht="27" customHeight="1" x14ac:dyDescent="0.2">
      <c r="A426" s="9" t="s">
        <v>1515</v>
      </c>
      <c r="B426" s="10" t="s">
        <v>1571</v>
      </c>
      <c r="C426" s="11" t="s">
        <v>18</v>
      </c>
      <c r="D426" s="11" t="s">
        <v>19</v>
      </c>
      <c r="E426" s="11" t="s">
        <v>19</v>
      </c>
      <c r="F426" s="11" t="s">
        <v>1572</v>
      </c>
      <c r="G426" s="11" t="s">
        <v>83</v>
      </c>
      <c r="H426" s="11" t="s">
        <v>1573</v>
      </c>
      <c r="I426" s="11" t="s">
        <v>1574</v>
      </c>
      <c r="J426" s="12">
        <v>0.80379999999999996</v>
      </c>
      <c r="K426" s="13">
        <v>8</v>
      </c>
      <c r="L426" s="14">
        <v>3093</v>
      </c>
      <c r="M426" s="10">
        <v>2403</v>
      </c>
      <c r="N426" s="10">
        <v>341781</v>
      </c>
      <c r="O426" s="10">
        <v>188439</v>
      </c>
      <c r="P426" s="10">
        <v>530220</v>
      </c>
    </row>
    <row r="427" spans="1:16" ht="27" customHeight="1" x14ac:dyDescent="0.2">
      <c r="A427" s="9" t="s">
        <v>1515</v>
      </c>
      <c r="B427" s="10" t="s">
        <v>1571</v>
      </c>
      <c r="C427" s="11" t="s">
        <v>1575</v>
      </c>
      <c r="D427" s="11" t="s">
        <v>1576</v>
      </c>
      <c r="E427" s="11" t="s">
        <v>57</v>
      </c>
      <c r="F427" s="11" t="s">
        <v>1577</v>
      </c>
      <c r="G427" s="11" t="s">
        <v>28</v>
      </c>
      <c r="H427" s="11" t="s">
        <v>1518</v>
      </c>
      <c r="I427" s="11" t="s">
        <v>1519</v>
      </c>
      <c r="J427" s="12">
        <v>0.96230000000000004</v>
      </c>
      <c r="K427" s="13">
        <v>1</v>
      </c>
      <c r="L427" s="14">
        <v>136</v>
      </c>
      <c r="M427" s="10">
        <v>86</v>
      </c>
      <c r="N427" s="10">
        <v>15028</v>
      </c>
      <c r="O427" s="10">
        <v>6744</v>
      </c>
      <c r="P427" s="10">
        <v>21772</v>
      </c>
    </row>
    <row r="428" spans="1:16" ht="27" customHeight="1" x14ac:dyDescent="0.2">
      <c r="A428" s="9" t="s">
        <v>1515</v>
      </c>
      <c r="B428" s="10" t="s">
        <v>1578</v>
      </c>
      <c r="C428" s="11" t="s">
        <v>18</v>
      </c>
      <c r="D428" s="11" t="s">
        <v>19</v>
      </c>
      <c r="E428" s="11" t="s">
        <v>19</v>
      </c>
      <c r="F428" s="11" t="s">
        <v>1579</v>
      </c>
      <c r="G428" s="11" t="s">
        <v>83</v>
      </c>
      <c r="H428" s="11" t="s">
        <v>1518</v>
      </c>
      <c r="I428" s="11" t="s">
        <v>1519</v>
      </c>
      <c r="J428" s="12">
        <v>0.96230000000000004</v>
      </c>
      <c r="K428" s="13">
        <v>3</v>
      </c>
      <c r="L428" s="14">
        <v>1946</v>
      </c>
      <c r="M428" s="10">
        <v>1023</v>
      </c>
      <c r="N428" s="10">
        <v>215037</v>
      </c>
      <c r="O428" s="10">
        <v>80223</v>
      </c>
      <c r="P428" s="10">
        <v>295260</v>
      </c>
    </row>
    <row r="429" spans="1:16" ht="27" customHeight="1" x14ac:dyDescent="0.2">
      <c r="A429" s="9" t="s">
        <v>1515</v>
      </c>
      <c r="B429" s="10" t="s">
        <v>1578</v>
      </c>
      <c r="C429" s="11" t="s">
        <v>1580</v>
      </c>
      <c r="D429" s="11" t="s">
        <v>1581</v>
      </c>
      <c r="E429" s="11" t="s">
        <v>26</v>
      </c>
      <c r="F429" s="11" t="s">
        <v>1582</v>
      </c>
      <c r="G429" s="11" t="s">
        <v>28</v>
      </c>
      <c r="H429" s="11" t="s">
        <v>1518</v>
      </c>
      <c r="I429" s="11" t="s">
        <v>1519</v>
      </c>
      <c r="J429" s="12">
        <v>0.96230000000000004</v>
      </c>
      <c r="K429" s="13">
        <v>1</v>
      </c>
      <c r="L429" s="14">
        <v>237</v>
      </c>
      <c r="M429" s="10">
        <v>70</v>
      </c>
      <c r="N429" s="10">
        <v>26189</v>
      </c>
      <c r="O429" s="10">
        <v>5489</v>
      </c>
      <c r="P429" s="10">
        <v>31678</v>
      </c>
    </row>
    <row r="430" spans="1:16" ht="27" customHeight="1" x14ac:dyDescent="0.2">
      <c r="A430" s="9" t="s">
        <v>1515</v>
      </c>
      <c r="B430" s="10" t="s">
        <v>1578</v>
      </c>
      <c r="C430" s="11" t="s">
        <v>1583</v>
      </c>
      <c r="D430" s="11" t="s">
        <v>1584</v>
      </c>
      <c r="E430" s="11" t="s">
        <v>26</v>
      </c>
      <c r="F430" s="11" t="s">
        <v>1585</v>
      </c>
      <c r="G430" s="11" t="s">
        <v>28</v>
      </c>
      <c r="H430" s="11" t="s">
        <v>1518</v>
      </c>
      <c r="I430" s="11" t="s">
        <v>1519</v>
      </c>
      <c r="J430" s="12">
        <v>0.96230000000000004</v>
      </c>
      <c r="K430" s="13">
        <v>1</v>
      </c>
      <c r="L430" s="14">
        <v>162</v>
      </c>
      <c r="M430" s="10">
        <v>78</v>
      </c>
      <c r="N430" s="10">
        <v>17901</v>
      </c>
      <c r="O430" s="10">
        <v>6117</v>
      </c>
      <c r="P430" s="10">
        <v>24018</v>
      </c>
    </row>
    <row r="431" spans="1:16" ht="27" customHeight="1" x14ac:dyDescent="0.2">
      <c r="A431" s="9" t="s">
        <v>1515</v>
      </c>
      <c r="B431" s="10" t="s">
        <v>1586</v>
      </c>
      <c r="C431" s="11" t="s">
        <v>18</v>
      </c>
      <c r="D431" s="11" t="s">
        <v>19</v>
      </c>
      <c r="E431" s="11" t="s">
        <v>19</v>
      </c>
      <c r="F431" s="11" t="s">
        <v>427</v>
      </c>
      <c r="G431" s="11" t="s">
        <v>83</v>
      </c>
      <c r="H431" s="11" t="s">
        <v>1587</v>
      </c>
      <c r="I431" s="11" t="s">
        <v>1588</v>
      </c>
      <c r="J431" s="12">
        <v>0.49</v>
      </c>
      <c r="K431" s="13">
        <v>4</v>
      </c>
      <c r="L431" s="14">
        <v>1573</v>
      </c>
      <c r="M431" s="10">
        <v>717</v>
      </c>
      <c r="N431" s="10">
        <v>173819</v>
      </c>
      <c r="O431" s="10">
        <v>56227</v>
      </c>
      <c r="P431" s="10">
        <v>230046</v>
      </c>
    </row>
    <row r="432" spans="1:16" ht="27" customHeight="1" x14ac:dyDescent="0.2">
      <c r="A432" s="9" t="s">
        <v>1515</v>
      </c>
      <c r="B432" s="10" t="s">
        <v>1589</v>
      </c>
      <c r="C432" s="11" t="s">
        <v>18</v>
      </c>
      <c r="D432" s="11" t="s">
        <v>19</v>
      </c>
      <c r="E432" s="11" t="s">
        <v>19</v>
      </c>
      <c r="F432" s="11" t="s">
        <v>1590</v>
      </c>
      <c r="G432" s="11" t="s">
        <v>83</v>
      </c>
      <c r="H432" s="11" t="s">
        <v>1591</v>
      </c>
      <c r="I432" s="11" t="s">
        <v>1592</v>
      </c>
      <c r="J432" s="12">
        <v>0.95250000000000001</v>
      </c>
      <c r="K432" s="13">
        <v>10</v>
      </c>
      <c r="L432" s="14">
        <v>2763</v>
      </c>
      <c r="M432" s="10">
        <v>2518</v>
      </c>
      <c r="N432" s="10">
        <v>305317</v>
      </c>
      <c r="O432" s="10">
        <v>197457</v>
      </c>
      <c r="P432" s="10">
        <v>502774</v>
      </c>
    </row>
    <row r="433" spans="1:16" ht="27" customHeight="1" x14ac:dyDescent="0.2">
      <c r="A433" s="9" t="s">
        <v>1593</v>
      </c>
      <c r="B433" s="10" t="s">
        <v>1594</v>
      </c>
      <c r="C433" s="11" t="s">
        <v>18</v>
      </c>
      <c r="D433" s="11" t="s">
        <v>19</v>
      </c>
      <c r="E433" s="11" t="s">
        <v>19</v>
      </c>
      <c r="F433" s="11" t="s">
        <v>1595</v>
      </c>
      <c r="G433" s="11" t="s">
        <v>21</v>
      </c>
      <c r="H433" s="11" t="s">
        <v>1596</v>
      </c>
      <c r="I433" s="11" t="s">
        <v>1597</v>
      </c>
      <c r="J433" s="12">
        <v>0.89339999999999997</v>
      </c>
      <c r="K433" s="13">
        <v>4</v>
      </c>
      <c r="L433" s="14">
        <v>287</v>
      </c>
      <c r="M433" s="10">
        <v>255</v>
      </c>
      <c r="N433" s="10">
        <v>31714</v>
      </c>
      <c r="O433" s="10">
        <v>19997</v>
      </c>
      <c r="P433" s="10">
        <v>51711</v>
      </c>
    </row>
    <row r="434" spans="1:16" ht="27" customHeight="1" x14ac:dyDescent="0.2">
      <c r="A434" s="9" t="s">
        <v>1593</v>
      </c>
      <c r="B434" s="10" t="s">
        <v>1598</v>
      </c>
      <c r="C434" s="11" t="s">
        <v>18</v>
      </c>
      <c r="D434" s="11" t="s">
        <v>19</v>
      </c>
      <c r="E434" s="11" t="s">
        <v>19</v>
      </c>
      <c r="F434" s="11" t="s">
        <v>1599</v>
      </c>
      <c r="G434" s="11" t="s">
        <v>83</v>
      </c>
      <c r="H434" s="11" t="s">
        <v>1600</v>
      </c>
      <c r="I434" s="11" t="s">
        <v>1601</v>
      </c>
      <c r="J434" s="12">
        <v>0.79290000000000005</v>
      </c>
      <c r="K434" s="13">
        <v>8</v>
      </c>
      <c r="L434" s="14">
        <v>1845</v>
      </c>
      <c r="M434" s="10">
        <v>1293</v>
      </c>
      <c r="N434" s="10">
        <v>203876</v>
      </c>
      <c r="O434" s="10">
        <v>101396</v>
      </c>
      <c r="P434" s="10">
        <v>305272</v>
      </c>
    </row>
    <row r="435" spans="1:16" ht="27" customHeight="1" x14ac:dyDescent="0.2">
      <c r="A435" s="9" t="s">
        <v>1593</v>
      </c>
      <c r="B435" s="10" t="s">
        <v>1598</v>
      </c>
      <c r="C435" s="11" t="s">
        <v>1602</v>
      </c>
      <c r="D435" s="11" t="s">
        <v>1603</v>
      </c>
      <c r="E435" s="11" t="s">
        <v>26</v>
      </c>
      <c r="F435" s="11" t="s">
        <v>1604</v>
      </c>
      <c r="G435" s="11" t="s">
        <v>28</v>
      </c>
      <c r="H435" s="11" t="s">
        <v>1604</v>
      </c>
      <c r="I435" s="11" t="s">
        <v>1605</v>
      </c>
      <c r="J435" s="12">
        <v>0</v>
      </c>
      <c r="K435" s="13">
        <v>1</v>
      </c>
      <c r="L435" s="14">
        <v>0</v>
      </c>
      <c r="M435" s="10">
        <v>0</v>
      </c>
      <c r="N435" s="10">
        <v>0</v>
      </c>
      <c r="O435" s="10">
        <v>0</v>
      </c>
      <c r="P435" s="10">
        <v>0</v>
      </c>
    </row>
    <row r="436" spans="1:16" ht="27" customHeight="1" x14ac:dyDescent="0.2">
      <c r="A436" s="9" t="s">
        <v>1593</v>
      </c>
      <c r="B436" s="10" t="s">
        <v>1606</v>
      </c>
      <c r="C436" s="11" t="s">
        <v>18</v>
      </c>
      <c r="D436" s="11" t="s">
        <v>19</v>
      </c>
      <c r="E436" s="11" t="s">
        <v>19</v>
      </c>
      <c r="F436" s="11" t="s">
        <v>1607</v>
      </c>
      <c r="G436" s="11" t="s">
        <v>83</v>
      </c>
      <c r="H436" s="11" t="s">
        <v>1596</v>
      </c>
      <c r="I436" s="11" t="s">
        <v>1597</v>
      </c>
      <c r="J436" s="12">
        <v>0.89339999999999997</v>
      </c>
      <c r="K436" s="13">
        <v>12</v>
      </c>
      <c r="L436" s="14">
        <v>3527</v>
      </c>
      <c r="M436" s="10">
        <v>2926</v>
      </c>
      <c r="N436" s="10">
        <v>389739</v>
      </c>
      <c r="O436" s="10">
        <v>229456</v>
      </c>
      <c r="P436" s="10">
        <v>619195</v>
      </c>
    </row>
    <row r="437" spans="1:16" ht="27" customHeight="1" x14ac:dyDescent="0.2">
      <c r="A437" s="9" t="s">
        <v>1593</v>
      </c>
      <c r="B437" s="10" t="s">
        <v>1608</v>
      </c>
      <c r="C437" s="11" t="s">
        <v>18</v>
      </c>
      <c r="D437" s="11" t="s">
        <v>19</v>
      </c>
      <c r="E437" s="11" t="s">
        <v>19</v>
      </c>
      <c r="F437" s="11" t="s">
        <v>1609</v>
      </c>
      <c r="G437" s="11" t="s">
        <v>83</v>
      </c>
      <c r="H437" s="11" t="s">
        <v>1610</v>
      </c>
      <c r="I437" s="11" t="s">
        <v>1611</v>
      </c>
      <c r="J437" s="12">
        <v>0.65739999999999998</v>
      </c>
      <c r="K437" s="13">
        <v>7</v>
      </c>
      <c r="L437" s="14">
        <v>1349</v>
      </c>
      <c r="M437" s="10">
        <v>873</v>
      </c>
      <c r="N437" s="10">
        <v>149068</v>
      </c>
      <c r="O437" s="10">
        <v>68460</v>
      </c>
      <c r="P437" s="10">
        <v>217528</v>
      </c>
    </row>
    <row r="438" spans="1:16" ht="27" customHeight="1" x14ac:dyDescent="0.2">
      <c r="A438" s="9" t="s">
        <v>1593</v>
      </c>
      <c r="B438" s="10" t="s">
        <v>1612</v>
      </c>
      <c r="C438" s="11" t="s">
        <v>18</v>
      </c>
      <c r="D438" s="11" t="s">
        <v>19</v>
      </c>
      <c r="E438" s="11" t="s">
        <v>19</v>
      </c>
      <c r="F438" s="11" t="s">
        <v>1613</v>
      </c>
      <c r="G438" s="11" t="s">
        <v>83</v>
      </c>
      <c r="H438" s="11" t="s">
        <v>1613</v>
      </c>
      <c r="I438" s="11" t="s">
        <v>1614</v>
      </c>
      <c r="J438" s="12">
        <v>0.78600000000000003</v>
      </c>
      <c r="K438" s="13">
        <v>2</v>
      </c>
      <c r="L438" s="14">
        <v>299</v>
      </c>
      <c r="M438" s="10">
        <v>235</v>
      </c>
      <c r="N438" s="10">
        <v>33040</v>
      </c>
      <c r="O438" s="10">
        <v>18428</v>
      </c>
      <c r="P438" s="10">
        <v>51468</v>
      </c>
    </row>
    <row r="439" spans="1:16" ht="27" customHeight="1" x14ac:dyDescent="0.2">
      <c r="A439" s="9" t="s">
        <v>1593</v>
      </c>
      <c r="B439" s="10" t="s">
        <v>1615</v>
      </c>
      <c r="C439" s="11" t="s">
        <v>18</v>
      </c>
      <c r="D439" s="11" t="s">
        <v>19</v>
      </c>
      <c r="E439" s="11" t="s">
        <v>19</v>
      </c>
      <c r="F439" s="11" t="s">
        <v>1616</v>
      </c>
      <c r="G439" s="11" t="s">
        <v>83</v>
      </c>
      <c r="H439" s="11" t="s">
        <v>1617</v>
      </c>
      <c r="I439" s="11" t="s">
        <v>1618</v>
      </c>
      <c r="J439" s="12">
        <v>0.66479999999999995</v>
      </c>
      <c r="K439" s="13">
        <v>7</v>
      </c>
      <c r="L439" s="14">
        <v>1448</v>
      </c>
      <c r="M439" s="10">
        <v>684</v>
      </c>
      <c r="N439" s="10">
        <v>160007</v>
      </c>
      <c r="O439" s="10">
        <v>53638</v>
      </c>
      <c r="P439" s="10">
        <v>213645</v>
      </c>
    </row>
    <row r="440" spans="1:16" ht="27" customHeight="1" x14ac:dyDescent="0.2">
      <c r="A440" s="9" t="s">
        <v>1593</v>
      </c>
      <c r="B440" s="10" t="s">
        <v>1615</v>
      </c>
      <c r="C440" s="11" t="s">
        <v>1619</v>
      </c>
      <c r="D440" s="11" t="s">
        <v>1620</v>
      </c>
      <c r="E440" s="11" t="s">
        <v>26</v>
      </c>
      <c r="F440" s="11" t="s">
        <v>1621</v>
      </c>
      <c r="G440" s="11" t="s">
        <v>28</v>
      </c>
      <c r="H440" s="11" t="s">
        <v>1621</v>
      </c>
      <c r="I440" s="11" t="s">
        <v>1622</v>
      </c>
      <c r="J440" s="12">
        <v>0.70669999999999999</v>
      </c>
      <c r="K440" s="13">
        <v>1</v>
      </c>
      <c r="L440" s="14">
        <v>75</v>
      </c>
      <c r="M440" s="10">
        <v>53</v>
      </c>
      <c r="N440" s="10">
        <v>8288</v>
      </c>
      <c r="O440" s="10">
        <v>4156</v>
      </c>
      <c r="P440" s="10">
        <v>12444</v>
      </c>
    </row>
    <row r="441" spans="1:16" ht="27" customHeight="1" x14ac:dyDescent="0.2">
      <c r="A441" s="9" t="s">
        <v>1593</v>
      </c>
      <c r="B441" s="10" t="s">
        <v>1615</v>
      </c>
      <c r="C441" s="11" t="s">
        <v>1623</v>
      </c>
      <c r="D441" s="11" t="s">
        <v>1624</v>
      </c>
      <c r="E441" s="11" t="s">
        <v>26</v>
      </c>
      <c r="F441" s="11" t="s">
        <v>1625</v>
      </c>
      <c r="G441" s="11" t="s">
        <v>28</v>
      </c>
      <c r="H441" s="11" t="s">
        <v>1625</v>
      </c>
      <c r="I441" s="11" t="s">
        <v>1626</v>
      </c>
      <c r="J441" s="12">
        <v>0.59740000000000004</v>
      </c>
      <c r="K441" s="13">
        <v>1</v>
      </c>
      <c r="L441" s="14">
        <v>154</v>
      </c>
      <c r="M441" s="10">
        <v>92</v>
      </c>
      <c r="N441" s="10">
        <v>17017</v>
      </c>
      <c r="O441" s="10">
        <v>7215</v>
      </c>
      <c r="P441" s="10">
        <v>24232</v>
      </c>
    </row>
    <row r="442" spans="1:16" ht="27" customHeight="1" x14ac:dyDescent="0.2">
      <c r="A442" s="9" t="s">
        <v>1593</v>
      </c>
      <c r="B442" s="10" t="s">
        <v>1627</v>
      </c>
      <c r="C442" s="11" t="s">
        <v>18</v>
      </c>
      <c r="D442" s="11" t="s">
        <v>19</v>
      </c>
      <c r="E442" s="11" t="s">
        <v>19</v>
      </c>
      <c r="F442" s="11" t="s">
        <v>1628</v>
      </c>
      <c r="G442" s="11" t="s">
        <v>83</v>
      </c>
      <c r="H442" s="11" t="s">
        <v>1629</v>
      </c>
      <c r="I442" s="11" t="s">
        <v>1630</v>
      </c>
      <c r="J442" s="12">
        <v>0.84660000000000002</v>
      </c>
      <c r="K442" s="13">
        <v>6</v>
      </c>
      <c r="L442" s="14">
        <v>893</v>
      </c>
      <c r="M442" s="10">
        <v>754</v>
      </c>
      <c r="N442" s="10">
        <v>98678</v>
      </c>
      <c r="O442" s="10">
        <v>59127</v>
      </c>
      <c r="P442" s="10">
        <v>157805</v>
      </c>
    </row>
    <row r="443" spans="1:16" ht="27" customHeight="1" x14ac:dyDescent="0.2">
      <c r="A443" s="9" t="s">
        <v>1631</v>
      </c>
      <c r="B443" s="10" t="s">
        <v>1632</v>
      </c>
      <c r="C443" s="11" t="s">
        <v>18</v>
      </c>
      <c r="D443" s="11" t="s">
        <v>19</v>
      </c>
      <c r="E443" s="11" t="s">
        <v>19</v>
      </c>
      <c r="F443" s="11" t="s">
        <v>1633</v>
      </c>
      <c r="G443" s="11" t="s">
        <v>21</v>
      </c>
      <c r="H443" s="11" t="s">
        <v>1634</v>
      </c>
      <c r="I443" s="11" t="s">
        <v>1635</v>
      </c>
      <c r="J443" s="12">
        <v>1</v>
      </c>
      <c r="K443" s="13">
        <v>4</v>
      </c>
      <c r="L443" s="14">
        <v>59</v>
      </c>
      <c r="M443" s="10">
        <v>49</v>
      </c>
      <c r="N443" s="10">
        <v>6520</v>
      </c>
      <c r="O443" s="10">
        <v>3843</v>
      </c>
      <c r="P443" s="10">
        <v>10363</v>
      </c>
    </row>
    <row r="444" spans="1:16" ht="27" customHeight="1" x14ac:dyDescent="0.2">
      <c r="A444" s="9" t="s">
        <v>1631</v>
      </c>
      <c r="B444" s="10" t="s">
        <v>1636</v>
      </c>
      <c r="C444" s="11" t="s">
        <v>18</v>
      </c>
      <c r="D444" s="11" t="s">
        <v>19</v>
      </c>
      <c r="E444" s="11" t="s">
        <v>19</v>
      </c>
      <c r="F444" s="11" t="s">
        <v>1637</v>
      </c>
      <c r="G444" s="11" t="s">
        <v>83</v>
      </c>
      <c r="H444" s="11" t="s">
        <v>1638</v>
      </c>
      <c r="I444" s="11" t="s">
        <v>1639</v>
      </c>
      <c r="J444" s="12">
        <v>0.70830000000000004</v>
      </c>
      <c r="K444" s="13">
        <v>3</v>
      </c>
      <c r="L444" s="14">
        <v>132</v>
      </c>
      <c r="M444" s="10">
        <v>87</v>
      </c>
      <c r="N444" s="10">
        <v>14586</v>
      </c>
      <c r="O444" s="10">
        <v>6822</v>
      </c>
      <c r="P444" s="10">
        <v>21408</v>
      </c>
    </row>
    <row r="445" spans="1:16" ht="27" customHeight="1" x14ac:dyDescent="0.2">
      <c r="A445" s="9" t="s">
        <v>1631</v>
      </c>
      <c r="B445" s="10" t="s">
        <v>1640</v>
      </c>
      <c r="C445" s="11" t="s">
        <v>18</v>
      </c>
      <c r="D445" s="11" t="s">
        <v>19</v>
      </c>
      <c r="E445" s="11" t="s">
        <v>19</v>
      </c>
      <c r="F445" s="11" t="s">
        <v>1641</v>
      </c>
      <c r="G445" s="11" t="s">
        <v>83</v>
      </c>
      <c r="H445" s="11" t="s">
        <v>1642</v>
      </c>
      <c r="I445" s="11" t="s">
        <v>1643</v>
      </c>
      <c r="J445" s="12">
        <v>0.41589999999999999</v>
      </c>
      <c r="K445" s="13">
        <v>2</v>
      </c>
      <c r="L445" s="14">
        <v>315</v>
      </c>
      <c r="M445" s="10">
        <v>131</v>
      </c>
      <c r="N445" s="10">
        <v>34808</v>
      </c>
      <c r="O445" s="10">
        <v>10273</v>
      </c>
      <c r="P445" s="10">
        <v>45081</v>
      </c>
    </row>
    <row r="446" spans="1:16" ht="27" customHeight="1" x14ac:dyDescent="0.2">
      <c r="A446" s="9" t="s">
        <v>1631</v>
      </c>
      <c r="B446" s="10" t="s">
        <v>1644</v>
      </c>
      <c r="C446" s="11" t="s">
        <v>18</v>
      </c>
      <c r="D446" s="11" t="s">
        <v>19</v>
      </c>
      <c r="E446" s="11" t="s">
        <v>19</v>
      </c>
      <c r="F446" s="11" t="s">
        <v>1645</v>
      </c>
      <c r="G446" s="11" t="s">
        <v>83</v>
      </c>
      <c r="H446" s="11" t="s">
        <v>1645</v>
      </c>
      <c r="I446" s="11" t="s">
        <v>1646</v>
      </c>
      <c r="J446" s="12">
        <v>0.57069999999999999</v>
      </c>
      <c r="K446" s="13">
        <v>2</v>
      </c>
      <c r="L446" s="14">
        <v>198</v>
      </c>
      <c r="M446" s="10">
        <v>113</v>
      </c>
      <c r="N446" s="10">
        <v>21879</v>
      </c>
      <c r="O446" s="10">
        <v>8861</v>
      </c>
      <c r="P446" s="10">
        <v>30740</v>
      </c>
    </row>
    <row r="447" spans="1:16" ht="27" customHeight="1" x14ac:dyDescent="0.2">
      <c r="A447" s="9" t="s">
        <v>1631</v>
      </c>
      <c r="B447" s="10" t="s">
        <v>1647</v>
      </c>
      <c r="C447" s="11" t="s">
        <v>18</v>
      </c>
      <c r="D447" s="11" t="s">
        <v>19</v>
      </c>
      <c r="E447" s="11" t="s">
        <v>19</v>
      </c>
      <c r="F447" s="11" t="s">
        <v>1648</v>
      </c>
      <c r="G447" s="11" t="s">
        <v>83</v>
      </c>
      <c r="H447" s="11" t="s">
        <v>1634</v>
      </c>
      <c r="I447" s="11" t="s">
        <v>1635</v>
      </c>
      <c r="J447" s="12">
        <v>1</v>
      </c>
      <c r="K447" s="13">
        <v>4</v>
      </c>
      <c r="L447" s="14">
        <v>864</v>
      </c>
      <c r="M447" s="10">
        <v>304</v>
      </c>
      <c r="N447" s="10">
        <v>95473</v>
      </c>
      <c r="O447" s="10">
        <v>23839</v>
      </c>
      <c r="P447" s="10">
        <v>119312</v>
      </c>
    </row>
    <row r="448" spans="1:16" ht="27" customHeight="1" x14ac:dyDescent="0.2">
      <c r="A448" s="9" t="s">
        <v>1631</v>
      </c>
      <c r="B448" s="10" t="s">
        <v>1649</v>
      </c>
      <c r="C448" s="11" t="s">
        <v>18</v>
      </c>
      <c r="D448" s="11" t="s">
        <v>19</v>
      </c>
      <c r="E448" s="11" t="s">
        <v>19</v>
      </c>
      <c r="F448" s="11" t="s">
        <v>1650</v>
      </c>
      <c r="G448" s="11" t="s">
        <v>83</v>
      </c>
      <c r="H448" s="11" t="s">
        <v>1634</v>
      </c>
      <c r="I448" s="11" t="s">
        <v>1635</v>
      </c>
      <c r="J448" s="12">
        <v>1</v>
      </c>
      <c r="K448" s="13">
        <v>2</v>
      </c>
      <c r="L448" s="14">
        <v>9</v>
      </c>
      <c r="M448" s="10">
        <v>9</v>
      </c>
      <c r="N448" s="10">
        <v>995</v>
      </c>
      <c r="O448" s="10">
        <v>706</v>
      </c>
      <c r="P448" s="10">
        <v>1701</v>
      </c>
    </row>
    <row r="449" spans="1:16" ht="27" customHeight="1" x14ac:dyDescent="0.2">
      <c r="A449" s="9" t="s">
        <v>1631</v>
      </c>
      <c r="B449" s="10" t="s">
        <v>1651</v>
      </c>
      <c r="C449" s="11" t="s">
        <v>18</v>
      </c>
      <c r="D449" s="11" t="s">
        <v>19</v>
      </c>
      <c r="E449" s="11" t="s">
        <v>19</v>
      </c>
      <c r="F449" s="11" t="s">
        <v>1652</v>
      </c>
      <c r="G449" s="11" t="s">
        <v>83</v>
      </c>
      <c r="H449" s="11" t="s">
        <v>1652</v>
      </c>
      <c r="I449" s="11" t="s">
        <v>1653</v>
      </c>
      <c r="J449" s="12">
        <v>0.1832</v>
      </c>
      <c r="K449" s="13">
        <v>2</v>
      </c>
      <c r="L449" s="14">
        <v>191</v>
      </c>
      <c r="M449" s="10">
        <v>35</v>
      </c>
      <c r="N449" s="10">
        <v>21106</v>
      </c>
      <c r="O449" s="10">
        <v>2745</v>
      </c>
      <c r="P449" s="10">
        <v>23851</v>
      </c>
    </row>
    <row r="450" spans="1:16" ht="27" customHeight="1" x14ac:dyDescent="0.2">
      <c r="A450" s="9" t="s">
        <v>1631</v>
      </c>
      <c r="B450" s="10" t="s">
        <v>1654</v>
      </c>
      <c r="C450" s="11" t="s">
        <v>18</v>
      </c>
      <c r="D450" s="11" t="s">
        <v>19</v>
      </c>
      <c r="E450" s="11" t="s">
        <v>19</v>
      </c>
      <c r="F450" s="11" t="s">
        <v>1655</v>
      </c>
      <c r="G450" s="11" t="s">
        <v>83</v>
      </c>
      <c r="H450" s="11" t="s">
        <v>1656</v>
      </c>
      <c r="I450" s="11" t="s">
        <v>1657</v>
      </c>
      <c r="J450" s="12">
        <v>0.56520000000000004</v>
      </c>
      <c r="K450" s="13">
        <v>2</v>
      </c>
      <c r="L450" s="14">
        <v>207</v>
      </c>
      <c r="M450" s="10">
        <v>117</v>
      </c>
      <c r="N450" s="10">
        <v>22874</v>
      </c>
      <c r="O450" s="10">
        <v>9175</v>
      </c>
      <c r="P450" s="10">
        <v>32049</v>
      </c>
    </row>
    <row r="451" spans="1:16" ht="27" customHeight="1" x14ac:dyDescent="0.2">
      <c r="A451" s="9" t="s">
        <v>1631</v>
      </c>
      <c r="B451" s="10" t="s">
        <v>1658</v>
      </c>
      <c r="C451" s="11" t="s">
        <v>18</v>
      </c>
      <c r="D451" s="11" t="s">
        <v>19</v>
      </c>
      <c r="E451" s="11" t="s">
        <v>19</v>
      </c>
      <c r="F451" s="11" t="s">
        <v>1659</v>
      </c>
      <c r="G451" s="11" t="s">
        <v>83</v>
      </c>
      <c r="H451" s="11" t="s">
        <v>1660</v>
      </c>
      <c r="I451" s="11" t="s">
        <v>1661</v>
      </c>
      <c r="J451" s="12">
        <v>0.65239999999999998</v>
      </c>
      <c r="K451" s="13">
        <v>4</v>
      </c>
      <c r="L451" s="14">
        <v>1044</v>
      </c>
      <c r="M451" s="10">
        <v>672</v>
      </c>
      <c r="N451" s="10">
        <v>115364</v>
      </c>
      <c r="O451" s="10">
        <v>52698</v>
      </c>
      <c r="P451" s="10">
        <v>168062</v>
      </c>
    </row>
    <row r="452" spans="1:16" ht="27" customHeight="1" x14ac:dyDescent="0.2">
      <c r="A452" s="9" t="s">
        <v>1631</v>
      </c>
      <c r="B452" s="10" t="s">
        <v>1658</v>
      </c>
      <c r="C452" s="11" t="s">
        <v>1662</v>
      </c>
      <c r="D452" s="11" t="s">
        <v>1663</v>
      </c>
      <c r="E452" s="11" t="s">
        <v>26</v>
      </c>
      <c r="F452" s="11" t="s">
        <v>1664</v>
      </c>
      <c r="G452" s="11" t="s">
        <v>28</v>
      </c>
      <c r="H452" s="11" t="s">
        <v>1664</v>
      </c>
      <c r="I452" s="11" t="s">
        <v>1665</v>
      </c>
      <c r="J452" s="12">
        <v>0.60840000000000005</v>
      </c>
      <c r="K452" s="13">
        <v>1</v>
      </c>
      <c r="L452" s="14">
        <v>143</v>
      </c>
      <c r="M452" s="10">
        <v>87</v>
      </c>
      <c r="N452" s="10">
        <v>15802</v>
      </c>
      <c r="O452" s="10">
        <v>6822</v>
      </c>
      <c r="P452" s="10">
        <v>22624</v>
      </c>
    </row>
    <row r="453" spans="1:16" ht="27" customHeight="1" x14ac:dyDescent="0.2">
      <c r="A453" s="9" t="s">
        <v>1631</v>
      </c>
      <c r="B453" s="10" t="s">
        <v>1666</v>
      </c>
      <c r="C453" s="11" t="s">
        <v>18</v>
      </c>
      <c r="D453" s="11" t="s">
        <v>19</v>
      </c>
      <c r="E453" s="11" t="s">
        <v>19</v>
      </c>
      <c r="F453" s="11" t="s">
        <v>1667</v>
      </c>
      <c r="G453" s="11" t="s">
        <v>83</v>
      </c>
      <c r="H453" s="11" t="s">
        <v>1668</v>
      </c>
      <c r="I453" s="11" t="s">
        <v>1669</v>
      </c>
      <c r="J453" s="12">
        <v>0.79779999999999995</v>
      </c>
      <c r="K453" s="13">
        <v>3</v>
      </c>
      <c r="L453" s="14">
        <v>174</v>
      </c>
      <c r="M453" s="10">
        <v>130</v>
      </c>
      <c r="N453" s="10">
        <v>19228</v>
      </c>
      <c r="O453" s="10">
        <v>10195</v>
      </c>
      <c r="P453" s="10">
        <v>29423</v>
      </c>
    </row>
    <row r="454" spans="1:16" ht="27" customHeight="1" x14ac:dyDescent="0.2">
      <c r="A454" s="9" t="s">
        <v>1631</v>
      </c>
      <c r="B454" s="10" t="s">
        <v>1670</v>
      </c>
      <c r="C454" s="11" t="s">
        <v>18</v>
      </c>
      <c r="D454" s="11" t="s">
        <v>19</v>
      </c>
      <c r="E454" s="11" t="s">
        <v>19</v>
      </c>
      <c r="F454" s="11" t="s">
        <v>1671</v>
      </c>
      <c r="G454" s="11" t="s">
        <v>83</v>
      </c>
      <c r="H454" s="11" t="s">
        <v>1672</v>
      </c>
      <c r="I454" s="11" t="s">
        <v>1673</v>
      </c>
      <c r="J454" s="12">
        <v>0.8478</v>
      </c>
      <c r="K454" s="13">
        <v>4</v>
      </c>
      <c r="L454" s="14">
        <v>101</v>
      </c>
      <c r="M454" s="10">
        <v>85</v>
      </c>
      <c r="N454" s="10">
        <v>11161</v>
      </c>
      <c r="O454" s="10">
        <v>6666</v>
      </c>
      <c r="P454" s="10">
        <v>17827</v>
      </c>
    </row>
    <row r="455" spans="1:16" ht="27" customHeight="1" x14ac:dyDescent="0.2">
      <c r="A455" s="9" t="s">
        <v>1631</v>
      </c>
      <c r="B455" s="10" t="s">
        <v>1670</v>
      </c>
      <c r="C455" s="11" t="s">
        <v>1674</v>
      </c>
      <c r="D455" s="11" t="s">
        <v>1675</v>
      </c>
      <c r="E455" s="11" t="s">
        <v>57</v>
      </c>
      <c r="F455" s="11" t="s">
        <v>1676</v>
      </c>
      <c r="G455" s="11" t="s">
        <v>28</v>
      </c>
      <c r="H455" s="11" t="s">
        <v>1676</v>
      </c>
      <c r="I455" s="11" t="s">
        <v>1677</v>
      </c>
      <c r="J455" s="12">
        <v>0.63270000000000004</v>
      </c>
      <c r="K455" s="13">
        <v>1</v>
      </c>
      <c r="L455" s="14">
        <v>147</v>
      </c>
      <c r="M455" s="10">
        <v>93</v>
      </c>
      <c r="N455" s="10">
        <v>16244</v>
      </c>
      <c r="O455" s="10">
        <v>7293</v>
      </c>
      <c r="P455" s="10">
        <v>23537</v>
      </c>
    </row>
    <row r="456" spans="1:16" ht="27" customHeight="1" x14ac:dyDescent="0.2">
      <c r="A456" s="9" t="s">
        <v>1631</v>
      </c>
      <c r="B456" s="10" t="s">
        <v>1670</v>
      </c>
      <c r="C456" s="11" t="s">
        <v>1678</v>
      </c>
      <c r="D456" s="11" t="s">
        <v>1679</v>
      </c>
      <c r="E456" s="11" t="s">
        <v>26</v>
      </c>
      <c r="F456" s="11" t="s">
        <v>1680</v>
      </c>
      <c r="G456" s="11" t="s">
        <v>28</v>
      </c>
      <c r="H456" s="11" t="s">
        <v>1680</v>
      </c>
      <c r="I456" s="11" t="s">
        <v>1681</v>
      </c>
      <c r="J456" s="12">
        <v>0.62929999999999997</v>
      </c>
      <c r="K456" s="13">
        <v>1</v>
      </c>
      <c r="L456" s="14">
        <v>232</v>
      </c>
      <c r="M456" s="10">
        <v>146</v>
      </c>
      <c r="N456" s="10">
        <v>25636</v>
      </c>
      <c r="O456" s="10">
        <v>11449</v>
      </c>
      <c r="P456" s="10">
        <v>37085</v>
      </c>
    </row>
    <row r="457" spans="1:16" ht="27" customHeight="1" x14ac:dyDescent="0.2">
      <c r="A457" s="9" t="s">
        <v>1682</v>
      </c>
      <c r="B457" s="10" t="s">
        <v>1683</v>
      </c>
      <c r="C457" s="11" t="s">
        <v>18</v>
      </c>
      <c r="D457" s="11" t="s">
        <v>19</v>
      </c>
      <c r="E457" s="11" t="s">
        <v>19</v>
      </c>
      <c r="F457" s="11" t="s">
        <v>1684</v>
      </c>
      <c r="G457" s="11" t="s">
        <v>21</v>
      </c>
      <c r="H457" s="11" t="s">
        <v>1685</v>
      </c>
      <c r="I457" s="11" t="s">
        <v>1686</v>
      </c>
      <c r="J457" s="12">
        <v>1</v>
      </c>
      <c r="K457" s="13">
        <v>11</v>
      </c>
      <c r="L457" s="14">
        <v>2602</v>
      </c>
      <c r="M457" s="10">
        <v>1761</v>
      </c>
      <c r="N457" s="10">
        <v>287524</v>
      </c>
      <c r="O457" s="10">
        <v>138095</v>
      </c>
      <c r="P457" s="10">
        <v>425619</v>
      </c>
    </row>
    <row r="458" spans="1:16" ht="27" customHeight="1" x14ac:dyDescent="0.2">
      <c r="A458" s="9" t="s">
        <v>1682</v>
      </c>
      <c r="B458" s="10" t="s">
        <v>1683</v>
      </c>
      <c r="C458" s="11" t="s">
        <v>1687</v>
      </c>
      <c r="D458" s="11" t="s">
        <v>1688</v>
      </c>
      <c r="E458" s="11" t="s">
        <v>26</v>
      </c>
      <c r="F458" s="11" t="s">
        <v>1689</v>
      </c>
      <c r="G458" s="11" t="s">
        <v>28</v>
      </c>
      <c r="H458" s="11" t="s">
        <v>1689</v>
      </c>
      <c r="I458" s="11" t="s">
        <v>1690</v>
      </c>
      <c r="J458" s="12">
        <v>0</v>
      </c>
      <c r="K458" s="13">
        <v>1</v>
      </c>
      <c r="L458" s="14">
        <v>0</v>
      </c>
      <c r="M458" s="10">
        <v>0</v>
      </c>
      <c r="N458" s="10">
        <v>0</v>
      </c>
      <c r="O458" s="10">
        <v>0</v>
      </c>
      <c r="P458" s="10">
        <v>0</v>
      </c>
    </row>
    <row r="459" spans="1:16" ht="27" customHeight="1" x14ac:dyDescent="0.2">
      <c r="A459" s="9" t="s">
        <v>1682</v>
      </c>
      <c r="B459" s="10" t="s">
        <v>1683</v>
      </c>
      <c r="C459" s="11" t="s">
        <v>1691</v>
      </c>
      <c r="D459" s="11" t="s">
        <v>1692</v>
      </c>
      <c r="E459" s="11" t="s">
        <v>26</v>
      </c>
      <c r="F459" s="11" t="s">
        <v>1693</v>
      </c>
      <c r="G459" s="11" t="s">
        <v>28</v>
      </c>
      <c r="H459" s="11" t="s">
        <v>1693</v>
      </c>
      <c r="I459" s="11" t="s">
        <v>1694</v>
      </c>
      <c r="J459" s="12">
        <v>1</v>
      </c>
      <c r="K459" s="13">
        <v>1</v>
      </c>
      <c r="L459" s="14">
        <v>14</v>
      </c>
      <c r="M459" s="10">
        <v>14</v>
      </c>
      <c r="N459" s="10">
        <v>1547</v>
      </c>
      <c r="O459" s="10">
        <v>1098</v>
      </c>
      <c r="P459" s="10">
        <v>2645</v>
      </c>
    </row>
    <row r="460" spans="1:16" ht="27" customHeight="1" x14ac:dyDescent="0.2">
      <c r="A460" s="9" t="s">
        <v>1682</v>
      </c>
      <c r="B460" s="10" t="s">
        <v>1683</v>
      </c>
      <c r="C460" s="11" t="s">
        <v>1695</v>
      </c>
      <c r="D460" s="11" t="s">
        <v>1696</v>
      </c>
      <c r="E460" s="11" t="s">
        <v>26</v>
      </c>
      <c r="F460" s="11" t="s">
        <v>1697</v>
      </c>
      <c r="G460" s="11" t="s">
        <v>28</v>
      </c>
      <c r="H460" s="11" t="s">
        <v>1697</v>
      </c>
      <c r="I460" s="11" t="s">
        <v>1698</v>
      </c>
      <c r="J460" s="12">
        <v>0.80289999999999995</v>
      </c>
      <c r="K460" s="13">
        <v>1</v>
      </c>
      <c r="L460" s="14">
        <v>421</v>
      </c>
      <c r="M460" s="10">
        <v>338</v>
      </c>
      <c r="N460" s="10">
        <v>46521</v>
      </c>
      <c r="O460" s="10">
        <v>26506</v>
      </c>
      <c r="P460" s="10">
        <v>73027</v>
      </c>
    </row>
    <row r="461" spans="1:16" ht="27" customHeight="1" x14ac:dyDescent="0.2">
      <c r="A461" s="9" t="s">
        <v>1682</v>
      </c>
      <c r="B461" s="10" t="s">
        <v>1683</v>
      </c>
      <c r="C461" s="11" t="s">
        <v>1699</v>
      </c>
      <c r="D461" s="11" t="s">
        <v>1700</v>
      </c>
      <c r="E461" s="11" t="s">
        <v>26</v>
      </c>
      <c r="F461" s="11" t="s">
        <v>1701</v>
      </c>
      <c r="G461" s="11" t="s">
        <v>28</v>
      </c>
      <c r="H461" s="11" t="s">
        <v>1701</v>
      </c>
      <c r="I461" s="11" t="s">
        <v>1702</v>
      </c>
      <c r="J461" s="12">
        <v>0.89049999999999996</v>
      </c>
      <c r="K461" s="13">
        <v>1</v>
      </c>
      <c r="L461" s="14">
        <v>557</v>
      </c>
      <c r="M461" s="10">
        <v>496</v>
      </c>
      <c r="N461" s="10">
        <v>61549</v>
      </c>
      <c r="O461" s="10">
        <v>38896</v>
      </c>
      <c r="P461" s="10">
        <v>100445</v>
      </c>
    </row>
    <row r="462" spans="1:16" ht="27" customHeight="1" x14ac:dyDescent="0.2">
      <c r="A462" s="9" t="s">
        <v>1682</v>
      </c>
      <c r="B462" s="10" t="s">
        <v>1683</v>
      </c>
      <c r="C462" s="11" t="s">
        <v>1703</v>
      </c>
      <c r="D462" s="11" t="s">
        <v>1704</v>
      </c>
      <c r="E462" s="11" t="s">
        <v>26</v>
      </c>
      <c r="F462" s="11" t="s">
        <v>1705</v>
      </c>
      <c r="G462" s="11" t="s">
        <v>28</v>
      </c>
      <c r="H462" s="11" t="s">
        <v>1705</v>
      </c>
      <c r="I462" s="11" t="s">
        <v>1706</v>
      </c>
      <c r="J462" s="12">
        <v>0.6623</v>
      </c>
      <c r="K462" s="13">
        <v>1</v>
      </c>
      <c r="L462" s="14">
        <v>379</v>
      </c>
      <c r="M462" s="10">
        <v>251</v>
      </c>
      <c r="N462" s="10">
        <v>41880</v>
      </c>
      <c r="O462" s="10">
        <v>19683</v>
      </c>
      <c r="P462" s="10">
        <v>61563</v>
      </c>
    </row>
    <row r="463" spans="1:16" ht="27" customHeight="1" x14ac:dyDescent="0.2">
      <c r="A463" s="9" t="s">
        <v>1682</v>
      </c>
      <c r="B463" s="10" t="s">
        <v>1683</v>
      </c>
      <c r="C463" s="11" t="s">
        <v>1707</v>
      </c>
      <c r="D463" s="11" t="s">
        <v>1708</v>
      </c>
      <c r="E463" s="11" t="s">
        <v>26</v>
      </c>
      <c r="F463" s="11" t="s">
        <v>1709</v>
      </c>
      <c r="G463" s="11" t="s">
        <v>28</v>
      </c>
      <c r="H463" s="11" t="s">
        <v>1709</v>
      </c>
      <c r="I463" s="11" t="s">
        <v>1710</v>
      </c>
      <c r="J463" s="12">
        <v>0.84540000000000004</v>
      </c>
      <c r="K463" s="13">
        <v>1</v>
      </c>
      <c r="L463" s="14">
        <v>511</v>
      </c>
      <c r="M463" s="10">
        <v>432</v>
      </c>
      <c r="N463" s="10">
        <v>56466</v>
      </c>
      <c r="O463" s="10">
        <v>33877</v>
      </c>
      <c r="P463" s="10">
        <v>90343</v>
      </c>
    </row>
    <row r="464" spans="1:16" ht="27" customHeight="1" x14ac:dyDescent="0.2">
      <c r="A464" s="9" t="s">
        <v>1682</v>
      </c>
      <c r="B464" s="10" t="s">
        <v>1683</v>
      </c>
      <c r="C464" s="11" t="s">
        <v>1711</v>
      </c>
      <c r="D464" s="11" t="s">
        <v>1712</v>
      </c>
      <c r="E464" s="11" t="s">
        <v>26</v>
      </c>
      <c r="F464" s="11" t="s">
        <v>1713</v>
      </c>
      <c r="G464" s="11" t="s">
        <v>28</v>
      </c>
      <c r="H464" s="11" t="s">
        <v>1685</v>
      </c>
      <c r="I464" s="11" t="s">
        <v>1686</v>
      </c>
      <c r="J464" s="12">
        <v>1</v>
      </c>
      <c r="K464" s="13">
        <v>1</v>
      </c>
      <c r="L464" s="14">
        <v>349</v>
      </c>
      <c r="M464" s="10">
        <v>324</v>
      </c>
      <c r="N464" s="10">
        <v>38565</v>
      </c>
      <c r="O464" s="10">
        <v>25408</v>
      </c>
      <c r="P464" s="10">
        <v>63973</v>
      </c>
    </row>
    <row r="465" spans="1:16" ht="27" customHeight="1" x14ac:dyDescent="0.2">
      <c r="A465" s="9" t="s">
        <v>1682</v>
      </c>
      <c r="B465" s="10" t="s">
        <v>1683</v>
      </c>
      <c r="C465" s="11" t="s">
        <v>1714</v>
      </c>
      <c r="D465" s="11" t="s">
        <v>1715</v>
      </c>
      <c r="E465" s="11" t="s">
        <v>26</v>
      </c>
      <c r="F465" s="11" t="s">
        <v>1716</v>
      </c>
      <c r="G465" s="11" t="s">
        <v>28</v>
      </c>
      <c r="H465" s="11" t="s">
        <v>1685</v>
      </c>
      <c r="I465" s="11" t="s">
        <v>1686</v>
      </c>
      <c r="J465" s="12">
        <v>1</v>
      </c>
      <c r="K465" s="13">
        <v>1</v>
      </c>
      <c r="L465" s="14">
        <v>358</v>
      </c>
      <c r="M465" s="10">
        <v>325</v>
      </c>
      <c r="N465" s="10">
        <v>39560</v>
      </c>
      <c r="O465" s="10">
        <v>25486</v>
      </c>
      <c r="P465" s="10">
        <v>65046</v>
      </c>
    </row>
    <row r="466" spans="1:16" ht="27" customHeight="1" x14ac:dyDescent="0.2">
      <c r="A466" s="9" t="s">
        <v>1682</v>
      </c>
      <c r="B466" s="10" t="s">
        <v>1683</v>
      </c>
      <c r="C466" s="11" t="s">
        <v>1717</v>
      </c>
      <c r="D466" s="11" t="s">
        <v>1718</v>
      </c>
      <c r="E466" s="11" t="s">
        <v>26</v>
      </c>
      <c r="F466" s="11" t="s">
        <v>1719</v>
      </c>
      <c r="G466" s="11" t="s">
        <v>28</v>
      </c>
      <c r="H466" s="11" t="s">
        <v>1719</v>
      </c>
      <c r="I466" s="11" t="s">
        <v>1720</v>
      </c>
      <c r="J466" s="12">
        <v>0.48480000000000001</v>
      </c>
      <c r="K466" s="13">
        <v>1</v>
      </c>
      <c r="L466" s="14">
        <v>526</v>
      </c>
      <c r="M466" s="10">
        <v>255</v>
      </c>
      <c r="N466" s="10">
        <v>58124</v>
      </c>
      <c r="O466" s="10">
        <v>19997</v>
      </c>
      <c r="P466" s="10">
        <v>78121</v>
      </c>
    </row>
    <row r="467" spans="1:16" ht="27" customHeight="1" x14ac:dyDescent="0.2">
      <c r="A467" s="9" t="s">
        <v>1682</v>
      </c>
      <c r="B467" s="10" t="s">
        <v>1683</v>
      </c>
      <c r="C467" s="11" t="s">
        <v>1721</v>
      </c>
      <c r="D467" s="11" t="s">
        <v>1722</v>
      </c>
      <c r="E467" s="11" t="s">
        <v>26</v>
      </c>
      <c r="F467" s="11" t="s">
        <v>1723</v>
      </c>
      <c r="G467" s="11" t="s">
        <v>28</v>
      </c>
      <c r="H467" s="11" t="s">
        <v>1685</v>
      </c>
      <c r="I467" s="11" t="s">
        <v>1686</v>
      </c>
      <c r="J467" s="12">
        <v>1</v>
      </c>
      <c r="K467" s="13">
        <v>1</v>
      </c>
      <c r="L467" s="14">
        <v>116</v>
      </c>
      <c r="M467" s="10">
        <v>114</v>
      </c>
      <c r="N467" s="10">
        <v>12818</v>
      </c>
      <c r="O467" s="10">
        <v>8940</v>
      </c>
      <c r="P467" s="10">
        <v>21758</v>
      </c>
    </row>
    <row r="468" spans="1:16" ht="27" customHeight="1" x14ac:dyDescent="0.2">
      <c r="A468" s="9" t="s">
        <v>1682</v>
      </c>
      <c r="B468" s="10" t="s">
        <v>1683</v>
      </c>
      <c r="C468" s="11" t="s">
        <v>1724</v>
      </c>
      <c r="D468" s="11" t="s">
        <v>1725</v>
      </c>
      <c r="E468" s="11" t="s">
        <v>26</v>
      </c>
      <c r="F468" s="11" t="s">
        <v>1726</v>
      </c>
      <c r="G468" s="11" t="s">
        <v>28</v>
      </c>
      <c r="H468" s="11" t="s">
        <v>1685</v>
      </c>
      <c r="I468" s="11" t="s">
        <v>1686</v>
      </c>
      <c r="J468" s="12">
        <v>1</v>
      </c>
      <c r="K468" s="13">
        <v>1</v>
      </c>
      <c r="L468" s="14">
        <v>95</v>
      </c>
      <c r="M468" s="10">
        <v>55</v>
      </c>
      <c r="N468" s="10">
        <v>10498</v>
      </c>
      <c r="O468" s="10">
        <v>4313</v>
      </c>
      <c r="P468" s="10">
        <v>14811</v>
      </c>
    </row>
    <row r="469" spans="1:16" ht="27" customHeight="1" x14ac:dyDescent="0.2">
      <c r="A469" s="9" t="s">
        <v>1682</v>
      </c>
      <c r="B469" s="10" t="s">
        <v>1683</v>
      </c>
      <c r="C469" s="11" t="s">
        <v>1727</v>
      </c>
      <c r="D469" s="11" t="s">
        <v>1728</v>
      </c>
      <c r="E469" s="11" t="s">
        <v>26</v>
      </c>
      <c r="F469" s="11" t="s">
        <v>1729</v>
      </c>
      <c r="G469" s="11" t="s">
        <v>28</v>
      </c>
      <c r="H469" s="11" t="s">
        <v>1685</v>
      </c>
      <c r="I469" s="11" t="s">
        <v>1686</v>
      </c>
      <c r="J469" s="12">
        <v>1</v>
      </c>
      <c r="K469" s="13">
        <v>1</v>
      </c>
      <c r="L469" s="14">
        <v>133</v>
      </c>
      <c r="M469" s="10">
        <v>133</v>
      </c>
      <c r="N469" s="10">
        <v>14697</v>
      </c>
      <c r="O469" s="10">
        <v>10430</v>
      </c>
      <c r="P469" s="10">
        <v>25127</v>
      </c>
    </row>
    <row r="470" spans="1:16" ht="27" customHeight="1" x14ac:dyDescent="0.2">
      <c r="A470" s="9" t="s">
        <v>1682</v>
      </c>
      <c r="B470" s="10" t="s">
        <v>1683</v>
      </c>
      <c r="C470" s="11" t="s">
        <v>1730</v>
      </c>
      <c r="D470" s="11" t="s">
        <v>1731</v>
      </c>
      <c r="E470" s="11" t="s">
        <v>26</v>
      </c>
      <c r="F470" s="11" t="s">
        <v>1732</v>
      </c>
      <c r="G470" s="11" t="s">
        <v>28</v>
      </c>
      <c r="H470" s="11" t="s">
        <v>1732</v>
      </c>
      <c r="I470" s="11" t="s">
        <v>1733</v>
      </c>
      <c r="J470" s="12">
        <v>0.68279999999999996</v>
      </c>
      <c r="K470" s="13">
        <v>1</v>
      </c>
      <c r="L470" s="14">
        <v>145</v>
      </c>
      <c r="M470" s="10">
        <v>99</v>
      </c>
      <c r="N470" s="10">
        <v>16023</v>
      </c>
      <c r="O470" s="10">
        <v>7763</v>
      </c>
      <c r="P470" s="10">
        <v>23786</v>
      </c>
    </row>
    <row r="471" spans="1:16" ht="27" customHeight="1" x14ac:dyDescent="0.2">
      <c r="A471" s="9" t="s">
        <v>1682</v>
      </c>
      <c r="B471" s="10" t="s">
        <v>1683</v>
      </c>
      <c r="C471" s="11" t="s">
        <v>1734</v>
      </c>
      <c r="D471" s="11" t="s">
        <v>1735</v>
      </c>
      <c r="E471" s="11" t="s">
        <v>26</v>
      </c>
      <c r="F471" s="11" t="s">
        <v>1736</v>
      </c>
      <c r="G471" s="11" t="s">
        <v>28</v>
      </c>
      <c r="H471" s="11" t="s">
        <v>1685</v>
      </c>
      <c r="I471" s="11" t="s">
        <v>1686</v>
      </c>
      <c r="J471" s="12">
        <v>1</v>
      </c>
      <c r="K471" s="13">
        <v>1</v>
      </c>
      <c r="L471" s="14">
        <v>224</v>
      </c>
      <c r="M471" s="10">
        <v>193</v>
      </c>
      <c r="N471" s="10">
        <v>24752</v>
      </c>
      <c r="O471" s="10">
        <v>15135</v>
      </c>
      <c r="P471" s="10">
        <v>39887</v>
      </c>
    </row>
    <row r="472" spans="1:16" ht="27" customHeight="1" x14ac:dyDescent="0.2">
      <c r="A472" s="9" t="s">
        <v>1682</v>
      </c>
      <c r="B472" s="10" t="s">
        <v>1683</v>
      </c>
      <c r="C472" s="11" t="s">
        <v>1737</v>
      </c>
      <c r="D472" s="11" t="s">
        <v>1738</v>
      </c>
      <c r="E472" s="11" t="s">
        <v>26</v>
      </c>
      <c r="F472" s="11" t="s">
        <v>1739</v>
      </c>
      <c r="G472" s="11" t="s">
        <v>28</v>
      </c>
      <c r="H472" s="11" t="s">
        <v>1685</v>
      </c>
      <c r="I472" s="11" t="s">
        <v>1686</v>
      </c>
      <c r="J472" s="12">
        <v>1</v>
      </c>
      <c r="K472" s="13">
        <v>1</v>
      </c>
      <c r="L472" s="14">
        <v>315</v>
      </c>
      <c r="M472" s="10">
        <v>279</v>
      </c>
      <c r="N472" s="10">
        <v>34808</v>
      </c>
      <c r="O472" s="10">
        <v>21879</v>
      </c>
      <c r="P472" s="10">
        <v>56687</v>
      </c>
    </row>
    <row r="473" spans="1:16" ht="27" customHeight="1" x14ac:dyDescent="0.2">
      <c r="A473" s="9" t="s">
        <v>1682</v>
      </c>
      <c r="B473" s="10" t="s">
        <v>1683</v>
      </c>
      <c r="C473" s="11" t="s">
        <v>1740</v>
      </c>
      <c r="D473" s="11" t="s">
        <v>1741</v>
      </c>
      <c r="E473" s="11" t="s">
        <v>26</v>
      </c>
      <c r="F473" s="11" t="s">
        <v>1742</v>
      </c>
      <c r="G473" s="11" t="s">
        <v>28</v>
      </c>
      <c r="H473" s="11" t="s">
        <v>1742</v>
      </c>
      <c r="I473" s="11" t="s">
        <v>1743</v>
      </c>
      <c r="J473" s="12">
        <v>0.76119999999999999</v>
      </c>
      <c r="K473" s="13">
        <v>1</v>
      </c>
      <c r="L473" s="14">
        <v>268</v>
      </c>
      <c r="M473" s="10">
        <v>204</v>
      </c>
      <c r="N473" s="10">
        <v>29614</v>
      </c>
      <c r="O473" s="10">
        <v>15997</v>
      </c>
      <c r="P473" s="10">
        <v>45611</v>
      </c>
    </row>
    <row r="474" spans="1:16" ht="27" customHeight="1" x14ac:dyDescent="0.2">
      <c r="A474" s="9" t="s">
        <v>1682</v>
      </c>
      <c r="B474" s="10" t="s">
        <v>1683</v>
      </c>
      <c r="C474" s="11" t="s">
        <v>1744</v>
      </c>
      <c r="D474" s="11" t="s">
        <v>1745</v>
      </c>
      <c r="E474" s="11" t="s">
        <v>26</v>
      </c>
      <c r="F474" s="11" t="s">
        <v>1746</v>
      </c>
      <c r="G474" s="11" t="s">
        <v>28</v>
      </c>
      <c r="H474" s="11" t="s">
        <v>1746</v>
      </c>
      <c r="I474" s="11" t="s">
        <v>1747</v>
      </c>
      <c r="J474" s="12">
        <v>0.71850000000000003</v>
      </c>
      <c r="K474" s="13">
        <v>1</v>
      </c>
      <c r="L474" s="14">
        <v>238</v>
      </c>
      <c r="M474" s="10">
        <v>171</v>
      </c>
      <c r="N474" s="10">
        <v>26299</v>
      </c>
      <c r="O474" s="10">
        <v>13410</v>
      </c>
      <c r="P474" s="10">
        <v>39709</v>
      </c>
    </row>
    <row r="475" spans="1:16" ht="27" customHeight="1" x14ac:dyDescent="0.2">
      <c r="A475" s="9" t="s">
        <v>1682</v>
      </c>
      <c r="B475" s="10" t="s">
        <v>1683</v>
      </c>
      <c r="C475" s="11" t="s">
        <v>1748</v>
      </c>
      <c r="D475" s="11" t="s">
        <v>1749</v>
      </c>
      <c r="E475" s="11" t="s">
        <v>26</v>
      </c>
      <c r="F475" s="11" t="s">
        <v>1750</v>
      </c>
      <c r="G475" s="11" t="s">
        <v>28</v>
      </c>
      <c r="H475" s="11" t="s">
        <v>1685</v>
      </c>
      <c r="I475" s="11" t="s">
        <v>1686</v>
      </c>
      <c r="J475" s="12">
        <v>1</v>
      </c>
      <c r="K475" s="13">
        <v>1</v>
      </c>
      <c r="L475" s="14">
        <v>187</v>
      </c>
      <c r="M475" s="10">
        <v>168</v>
      </c>
      <c r="N475" s="10">
        <v>20664</v>
      </c>
      <c r="O475" s="10">
        <v>13174</v>
      </c>
      <c r="P475" s="10">
        <v>33838</v>
      </c>
    </row>
    <row r="476" spans="1:16" ht="27" customHeight="1" x14ac:dyDescent="0.2">
      <c r="A476" s="9" t="s">
        <v>1682</v>
      </c>
      <c r="B476" s="10" t="s">
        <v>1683</v>
      </c>
      <c r="C476" s="11" t="s">
        <v>1751</v>
      </c>
      <c r="D476" s="11" t="s">
        <v>1752</v>
      </c>
      <c r="E476" s="11" t="s">
        <v>26</v>
      </c>
      <c r="F476" s="11" t="s">
        <v>1753</v>
      </c>
      <c r="G476" s="11" t="s">
        <v>28</v>
      </c>
      <c r="H476" s="11" t="s">
        <v>1753</v>
      </c>
      <c r="I476" s="11" t="s">
        <v>1754</v>
      </c>
      <c r="J476" s="12">
        <v>0.58330000000000004</v>
      </c>
      <c r="K476" s="13">
        <v>1</v>
      </c>
      <c r="L476" s="14">
        <v>72</v>
      </c>
      <c r="M476" s="10">
        <v>42</v>
      </c>
      <c r="N476" s="10">
        <v>7956</v>
      </c>
      <c r="O476" s="10">
        <v>3294</v>
      </c>
      <c r="P476" s="10">
        <v>11250</v>
      </c>
    </row>
    <row r="477" spans="1:16" ht="27" customHeight="1" x14ac:dyDescent="0.2">
      <c r="A477" s="9" t="s">
        <v>1682</v>
      </c>
      <c r="B477" s="10" t="s">
        <v>1683</v>
      </c>
      <c r="C477" s="11" t="s">
        <v>1755</v>
      </c>
      <c r="D477" s="11" t="s">
        <v>1756</v>
      </c>
      <c r="E477" s="11" t="s">
        <v>26</v>
      </c>
      <c r="F477" s="11" t="s">
        <v>1757</v>
      </c>
      <c r="G477" s="11" t="s">
        <v>28</v>
      </c>
      <c r="H477" s="11" t="s">
        <v>1685</v>
      </c>
      <c r="I477" s="11" t="s">
        <v>1686</v>
      </c>
      <c r="J477" s="12">
        <v>1</v>
      </c>
      <c r="K477" s="13">
        <v>1</v>
      </c>
      <c r="L477" s="14">
        <v>38</v>
      </c>
      <c r="M477" s="10">
        <v>30</v>
      </c>
      <c r="N477" s="10">
        <v>4199</v>
      </c>
      <c r="O477" s="10">
        <v>2353</v>
      </c>
      <c r="P477" s="10">
        <v>6552</v>
      </c>
    </row>
    <row r="478" spans="1:16" ht="27" customHeight="1" x14ac:dyDescent="0.2">
      <c r="A478" s="9" t="s">
        <v>1682</v>
      </c>
      <c r="B478" s="10" t="s">
        <v>1683</v>
      </c>
      <c r="C478" s="11" t="s">
        <v>1758</v>
      </c>
      <c r="D478" s="11" t="s">
        <v>1759</v>
      </c>
      <c r="E478" s="11" t="s">
        <v>26</v>
      </c>
      <c r="F478" s="11" t="s">
        <v>1760</v>
      </c>
      <c r="G478" s="11" t="s">
        <v>28</v>
      </c>
      <c r="H478" s="11" t="s">
        <v>1685</v>
      </c>
      <c r="I478" s="11" t="s">
        <v>1686</v>
      </c>
      <c r="J478" s="12">
        <v>1</v>
      </c>
      <c r="K478" s="13">
        <v>1</v>
      </c>
      <c r="L478" s="14">
        <v>221</v>
      </c>
      <c r="M478" s="10">
        <v>190</v>
      </c>
      <c r="N478" s="10">
        <v>24421</v>
      </c>
      <c r="O478" s="10">
        <v>14900</v>
      </c>
      <c r="P478" s="10">
        <v>39321</v>
      </c>
    </row>
    <row r="479" spans="1:16" ht="27" customHeight="1" x14ac:dyDescent="0.2">
      <c r="A479" s="9" t="s">
        <v>1682</v>
      </c>
      <c r="B479" s="10" t="s">
        <v>1683</v>
      </c>
      <c r="C479" s="11" t="s">
        <v>1761</v>
      </c>
      <c r="D479" s="11" t="s">
        <v>1762</v>
      </c>
      <c r="E479" s="11" t="s">
        <v>26</v>
      </c>
      <c r="F479" s="11" t="s">
        <v>1763</v>
      </c>
      <c r="G479" s="11" t="s">
        <v>28</v>
      </c>
      <c r="H479" s="11" t="s">
        <v>1763</v>
      </c>
      <c r="I479" s="11" t="s">
        <v>1764</v>
      </c>
      <c r="J479" s="12">
        <v>0.7722</v>
      </c>
      <c r="K479" s="13">
        <v>1</v>
      </c>
      <c r="L479" s="14">
        <v>158</v>
      </c>
      <c r="M479" s="10">
        <v>122</v>
      </c>
      <c r="N479" s="10">
        <v>17459</v>
      </c>
      <c r="O479" s="10">
        <v>9567</v>
      </c>
      <c r="P479" s="10">
        <v>27026</v>
      </c>
    </row>
    <row r="480" spans="1:16" ht="27" customHeight="1" x14ac:dyDescent="0.2">
      <c r="A480" s="9" t="s">
        <v>1682</v>
      </c>
      <c r="B480" s="10" t="s">
        <v>1683</v>
      </c>
      <c r="C480" s="11" t="s">
        <v>1765</v>
      </c>
      <c r="D480" s="11" t="s">
        <v>1766</v>
      </c>
      <c r="E480" s="11" t="s">
        <v>26</v>
      </c>
      <c r="F480" s="11" t="s">
        <v>1767</v>
      </c>
      <c r="G480" s="11" t="s">
        <v>28</v>
      </c>
      <c r="H480" s="11" t="s">
        <v>1685</v>
      </c>
      <c r="I480" s="11" t="s">
        <v>1686</v>
      </c>
      <c r="J480" s="12">
        <v>1</v>
      </c>
      <c r="K480" s="13">
        <v>1</v>
      </c>
      <c r="L480" s="14">
        <v>118</v>
      </c>
      <c r="M480" s="10">
        <v>73</v>
      </c>
      <c r="N480" s="10">
        <v>13039</v>
      </c>
      <c r="O480" s="10">
        <v>5725</v>
      </c>
      <c r="P480" s="10">
        <v>18764</v>
      </c>
    </row>
    <row r="481" spans="1:16" ht="27" customHeight="1" x14ac:dyDescent="0.2">
      <c r="A481" s="9" t="s">
        <v>1682</v>
      </c>
      <c r="B481" s="10" t="s">
        <v>1683</v>
      </c>
      <c r="C481" s="11" t="s">
        <v>1768</v>
      </c>
      <c r="D481" s="11" t="s">
        <v>1769</v>
      </c>
      <c r="E481" s="11" t="s">
        <v>26</v>
      </c>
      <c r="F481" s="11" t="s">
        <v>1770</v>
      </c>
      <c r="G481" s="11" t="s">
        <v>28</v>
      </c>
      <c r="H481" s="11" t="s">
        <v>1685</v>
      </c>
      <c r="I481" s="11" t="s">
        <v>1686</v>
      </c>
      <c r="J481" s="12">
        <v>1</v>
      </c>
      <c r="K481" s="13">
        <v>1</v>
      </c>
      <c r="L481" s="14">
        <v>67</v>
      </c>
      <c r="M481" s="10">
        <v>44</v>
      </c>
      <c r="N481" s="10">
        <v>7404</v>
      </c>
      <c r="O481" s="10">
        <v>3450</v>
      </c>
      <c r="P481" s="10">
        <v>10854</v>
      </c>
    </row>
    <row r="482" spans="1:16" ht="27" customHeight="1" x14ac:dyDescent="0.2">
      <c r="A482" s="9" t="s">
        <v>1682</v>
      </c>
      <c r="B482" s="10" t="s">
        <v>1683</v>
      </c>
      <c r="C482" s="11" t="s">
        <v>1771</v>
      </c>
      <c r="D482" s="11" t="s">
        <v>1772</v>
      </c>
      <c r="E482" s="11" t="s">
        <v>26</v>
      </c>
      <c r="F482" s="11" t="s">
        <v>1773</v>
      </c>
      <c r="G482" s="11" t="s">
        <v>28</v>
      </c>
      <c r="H482" s="11" t="s">
        <v>1773</v>
      </c>
      <c r="I482" s="11" t="s">
        <v>1774</v>
      </c>
      <c r="J482" s="12">
        <v>0.23430000000000001</v>
      </c>
      <c r="K482" s="13">
        <v>1</v>
      </c>
      <c r="L482" s="14">
        <v>461</v>
      </c>
      <c r="M482" s="10">
        <v>108</v>
      </c>
      <c r="N482" s="10">
        <v>50941</v>
      </c>
      <c r="O482" s="10">
        <v>8469</v>
      </c>
      <c r="P482" s="10">
        <v>59410</v>
      </c>
    </row>
    <row r="483" spans="1:16" ht="27" customHeight="1" x14ac:dyDescent="0.2">
      <c r="A483" s="9" t="s">
        <v>1682</v>
      </c>
      <c r="B483" s="10" t="s">
        <v>1683</v>
      </c>
      <c r="C483" s="11" t="s">
        <v>1775</v>
      </c>
      <c r="D483" s="11" t="s">
        <v>1776</v>
      </c>
      <c r="E483" s="11" t="s">
        <v>26</v>
      </c>
      <c r="F483" s="11" t="s">
        <v>1777</v>
      </c>
      <c r="G483" s="11" t="s">
        <v>28</v>
      </c>
      <c r="H483" s="11" t="s">
        <v>1777</v>
      </c>
      <c r="I483" s="11" t="s">
        <v>1778</v>
      </c>
      <c r="J483" s="12">
        <v>0.79110000000000003</v>
      </c>
      <c r="K483" s="13">
        <v>1</v>
      </c>
      <c r="L483" s="14">
        <v>694</v>
      </c>
      <c r="M483" s="10">
        <v>549</v>
      </c>
      <c r="N483" s="10">
        <v>76688</v>
      </c>
      <c r="O483" s="10">
        <v>43052</v>
      </c>
      <c r="P483" s="10">
        <v>119740</v>
      </c>
    </row>
    <row r="484" spans="1:16" ht="27" customHeight="1" x14ac:dyDescent="0.2">
      <c r="A484" s="9" t="s">
        <v>1682</v>
      </c>
      <c r="B484" s="10" t="s">
        <v>1779</v>
      </c>
      <c r="C484" s="11" t="s">
        <v>18</v>
      </c>
      <c r="D484" s="11" t="s">
        <v>19</v>
      </c>
      <c r="E484" s="11" t="s">
        <v>19</v>
      </c>
      <c r="F484" s="11" t="s">
        <v>1780</v>
      </c>
      <c r="G484" s="11" t="s">
        <v>83</v>
      </c>
      <c r="H484" s="11" t="s">
        <v>1781</v>
      </c>
      <c r="I484" s="11" t="s">
        <v>1782</v>
      </c>
      <c r="J484" s="12">
        <v>0.96319999999999995</v>
      </c>
      <c r="K484" s="13">
        <v>32</v>
      </c>
      <c r="L484" s="14">
        <v>18480</v>
      </c>
      <c r="M484" s="10">
        <v>10455</v>
      </c>
      <c r="N484" s="10">
        <v>2042071</v>
      </c>
      <c r="O484" s="10">
        <v>819872</v>
      </c>
      <c r="P484" s="10">
        <v>2861943</v>
      </c>
    </row>
    <row r="485" spans="1:16" ht="27" customHeight="1" x14ac:dyDescent="0.2">
      <c r="A485" s="9" t="s">
        <v>1682</v>
      </c>
      <c r="B485" s="10" t="s">
        <v>1783</v>
      </c>
      <c r="C485" s="11" t="s">
        <v>18</v>
      </c>
      <c r="D485" s="11" t="s">
        <v>19</v>
      </c>
      <c r="E485" s="11" t="s">
        <v>19</v>
      </c>
      <c r="F485" s="11" t="s">
        <v>1784</v>
      </c>
      <c r="G485" s="11" t="s">
        <v>83</v>
      </c>
      <c r="H485" s="11" t="s">
        <v>1685</v>
      </c>
      <c r="I485" s="11" t="s">
        <v>1686</v>
      </c>
      <c r="J485" s="12">
        <v>1</v>
      </c>
      <c r="K485" s="13">
        <v>13</v>
      </c>
      <c r="L485" s="14">
        <v>21336</v>
      </c>
      <c r="M485" s="10">
        <v>12901</v>
      </c>
      <c r="N485" s="10">
        <v>2357664</v>
      </c>
      <c r="O485" s="10">
        <v>1011682</v>
      </c>
      <c r="P485" s="10">
        <v>3369346</v>
      </c>
    </row>
    <row r="486" spans="1:16" ht="27" customHeight="1" x14ac:dyDescent="0.2">
      <c r="A486" s="9" t="s">
        <v>1682</v>
      </c>
      <c r="B486" s="10" t="s">
        <v>1783</v>
      </c>
      <c r="C486" s="11" t="s">
        <v>1785</v>
      </c>
      <c r="D486" s="11" t="s">
        <v>1786</v>
      </c>
      <c r="E486" s="11" t="s">
        <v>57</v>
      </c>
      <c r="F486" s="11" t="s">
        <v>1787</v>
      </c>
      <c r="G486" s="11" t="s">
        <v>28</v>
      </c>
      <c r="H486" s="11" t="s">
        <v>1787</v>
      </c>
      <c r="I486" s="11" t="s">
        <v>1788</v>
      </c>
      <c r="J486" s="12">
        <v>0.65410000000000001</v>
      </c>
      <c r="K486" s="13">
        <v>1</v>
      </c>
      <c r="L486" s="14">
        <v>665</v>
      </c>
      <c r="M486" s="10">
        <v>435</v>
      </c>
      <c r="N486" s="10">
        <v>73484</v>
      </c>
      <c r="O486" s="10">
        <v>34112</v>
      </c>
      <c r="P486" s="10">
        <v>107596</v>
      </c>
    </row>
    <row r="487" spans="1:16" ht="27" customHeight="1" x14ac:dyDescent="0.2">
      <c r="A487" s="9" t="s">
        <v>1682</v>
      </c>
      <c r="B487" s="10" t="s">
        <v>1783</v>
      </c>
      <c r="C487" s="11" t="s">
        <v>1789</v>
      </c>
      <c r="D487" s="11" t="s">
        <v>1790</v>
      </c>
      <c r="E487" s="11" t="s">
        <v>26</v>
      </c>
      <c r="F487" s="11" t="s">
        <v>1791</v>
      </c>
      <c r="G487" s="11" t="s">
        <v>28</v>
      </c>
      <c r="H487" s="11" t="s">
        <v>1791</v>
      </c>
      <c r="I487" s="11" t="s">
        <v>1792</v>
      </c>
      <c r="J487" s="12">
        <v>0</v>
      </c>
      <c r="K487" s="13">
        <v>1</v>
      </c>
      <c r="L487" s="14">
        <v>0</v>
      </c>
      <c r="M487" s="10">
        <v>0</v>
      </c>
      <c r="N487" s="10">
        <v>0</v>
      </c>
      <c r="O487" s="10">
        <v>0</v>
      </c>
      <c r="P487" s="10">
        <v>0</v>
      </c>
    </row>
    <row r="488" spans="1:16" ht="27" customHeight="1" x14ac:dyDescent="0.2">
      <c r="A488" s="9" t="s">
        <v>1682</v>
      </c>
      <c r="B488" s="10" t="s">
        <v>1783</v>
      </c>
      <c r="C488" s="11" t="s">
        <v>1793</v>
      </c>
      <c r="D488" s="11" t="s">
        <v>1794</v>
      </c>
      <c r="E488" s="11" t="s">
        <v>26</v>
      </c>
      <c r="F488" s="11" t="s">
        <v>1795</v>
      </c>
      <c r="G488" s="11" t="s">
        <v>28</v>
      </c>
      <c r="H488" s="11" t="s">
        <v>1685</v>
      </c>
      <c r="I488" s="11" t="s">
        <v>1686</v>
      </c>
      <c r="J488" s="12">
        <v>1</v>
      </c>
      <c r="K488" s="13">
        <v>1</v>
      </c>
      <c r="L488" s="14">
        <v>742</v>
      </c>
      <c r="M488" s="10">
        <v>629</v>
      </c>
      <c r="N488" s="10">
        <v>81992</v>
      </c>
      <c r="O488" s="10">
        <v>49326</v>
      </c>
      <c r="P488" s="10">
        <v>131318</v>
      </c>
    </row>
    <row r="489" spans="1:16" ht="27" customHeight="1" x14ac:dyDescent="0.2">
      <c r="A489" s="9" t="s">
        <v>1682</v>
      </c>
      <c r="B489" s="10" t="s">
        <v>1796</v>
      </c>
      <c r="C489" s="11" t="s">
        <v>18</v>
      </c>
      <c r="D489" s="11" t="s">
        <v>19</v>
      </c>
      <c r="E489" s="11" t="s">
        <v>19</v>
      </c>
      <c r="F489" s="11" t="s">
        <v>1797</v>
      </c>
      <c r="G489" s="11" t="s">
        <v>83</v>
      </c>
      <c r="H489" s="11" t="s">
        <v>1798</v>
      </c>
      <c r="I489" s="11" t="s">
        <v>1799</v>
      </c>
      <c r="J489" s="12">
        <v>0.4103</v>
      </c>
      <c r="K489" s="13">
        <v>12</v>
      </c>
      <c r="L489" s="14">
        <v>8864</v>
      </c>
      <c r="M489" s="10">
        <v>2795</v>
      </c>
      <c r="N489" s="10">
        <v>979487</v>
      </c>
      <c r="O489" s="10">
        <v>219182</v>
      </c>
      <c r="P489" s="10">
        <v>1198669</v>
      </c>
    </row>
    <row r="490" spans="1:16" ht="27" customHeight="1" x14ac:dyDescent="0.2">
      <c r="A490" s="9" t="s">
        <v>1682</v>
      </c>
      <c r="B490" s="10" t="s">
        <v>1800</v>
      </c>
      <c r="C490" s="11" t="s">
        <v>18</v>
      </c>
      <c r="D490" s="11" t="s">
        <v>19</v>
      </c>
      <c r="E490" s="11" t="s">
        <v>19</v>
      </c>
      <c r="F490" s="11" t="s">
        <v>1801</v>
      </c>
      <c r="G490" s="11" t="s">
        <v>83</v>
      </c>
      <c r="H490" s="11" t="s">
        <v>1802</v>
      </c>
      <c r="I490" s="11" t="s">
        <v>1803</v>
      </c>
      <c r="J490" s="12">
        <v>0.89219999999999999</v>
      </c>
      <c r="K490" s="13">
        <v>12</v>
      </c>
      <c r="L490" s="14">
        <v>5569</v>
      </c>
      <c r="M490" s="10">
        <v>4823</v>
      </c>
      <c r="N490" s="10">
        <v>615386</v>
      </c>
      <c r="O490" s="10">
        <v>378215</v>
      </c>
      <c r="P490" s="10">
        <v>993601</v>
      </c>
    </row>
    <row r="491" spans="1:16" ht="27" customHeight="1" x14ac:dyDescent="0.2">
      <c r="A491" s="9" t="s">
        <v>1682</v>
      </c>
      <c r="B491" s="10" t="s">
        <v>1804</v>
      </c>
      <c r="C491" s="11" t="s">
        <v>18</v>
      </c>
      <c r="D491" s="11" t="s">
        <v>19</v>
      </c>
      <c r="E491" s="11" t="s">
        <v>19</v>
      </c>
      <c r="F491" s="11" t="s">
        <v>1805</v>
      </c>
      <c r="G491" s="11" t="s">
        <v>83</v>
      </c>
      <c r="H491" s="11" t="s">
        <v>1806</v>
      </c>
      <c r="I491" s="11" t="s">
        <v>1807</v>
      </c>
      <c r="J491" s="12">
        <v>0.93330000000000002</v>
      </c>
      <c r="K491" s="13">
        <v>18</v>
      </c>
      <c r="L491" s="14">
        <v>10419</v>
      </c>
      <c r="M491" s="10">
        <v>9147</v>
      </c>
      <c r="N491" s="10">
        <v>1151317</v>
      </c>
      <c r="O491" s="10">
        <v>717298</v>
      </c>
      <c r="P491" s="10">
        <v>1868615</v>
      </c>
    </row>
    <row r="492" spans="1:16" ht="27" customHeight="1" x14ac:dyDescent="0.2">
      <c r="A492" s="9" t="s">
        <v>1682</v>
      </c>
      <c r="B492" s="10" t="s">
        <v>1804</v>
      </c>
      <c r="C492" s="11" t="s">
        <v>1808</v>
      </c>
      <c r="D492" s="11" t="s">
        <v>1809</v>
      </c>
      <c r="E492" s="11" t="s">
        <v>26</v>
      </c>
      <c r="F492" s="11" t="s">
        <v>1810</v>
      </c>
      <c r="G492" s="11" t="s">
        <v>28</v>
      </c>
      <c r="H492" s="11" t="s">
        <v>1685</v>
      </c>
      <c r="I492" s="11" t="s">
        <v>1686</v>
      </c>
      <c r="J492" s="12">
        <v>1</v>
      </c>
      <c r="K492" s="13">
        <v>1</v>
      </c>
      <c r="L492" s="14">
        <v>480</v>
      </c>
      <c r="M492" s="10">
        <v>383</v>
      </c>
      <c r="N492" s="10">
        <v>53041</v>
      </c>
      <c r="O492" s="10">
        <v>30034</v>
      </c>
      <c r="P492" s="10">
        <v>83075</v>
      </c>
    </row>
    <row r="493" spans="1:16" ht="27" customHeight="1" x14ac:dyDescent="0.2">
      <c r="A493" s="9" t="s">
        <v>1682</v>
      </c>
      <c r="B493" s="10" t="s">
        <v>1811</v>
      </c>
      <c r="C493" s="11" t="s">
        <v>18</v>
      </c>
      <c r="D493" s="11" t="s">
        <v>19</v>
      </c>
      <c r="E493" s="11" t="s">
        <v>19</v>
      </c>
      <c r="F493" s="11" t="s">
        <v>1812</v>
      </c>
      <c r="G493" s="11" t="s">
        <v>83</v>
      </c>
      <c r="H493" s="11" t="s">
        <v>1813</v>
      </c>
      <c r="I493" s="11" t="s">
        <v>1814</v>
      </c>
      <c r="J493" s="12">
        <v>0.93659999999999999</v>
      </c>
      <c r="K493" s="13">
        <v>8</v>
      </c>
      <c r="L493" s="14">
        <v>3023</v>
      </c>
      <c r="M493" s="10">
        <v>2733</v>
      </c>
      <c r="N493" s="10">
        <v>334047</v>
      </c>
      <c r="O493" s="10">
        <v>214320</v>
      </c>
      <c r="P493" s="10">
        <v>548367</v>
      </c>
    </row>
    <row r="494" spans="1:16" ht="27" customHeight="1" x14ac:dyDescent="0.2">
      <c r="A494" s="9" t="s">
        <v>1682</v>
      </c>
      <c r="B494" s="10" t="s">
        <v>1815</v>
      </c>
      <c r="C494" s="11" t="s">
        <v>18</v>
      </c>
      <c r="D494" s="11" t="s">
        <v>19</v>
      </c>
      <c r="E494" s="11" t="s">
        <v>19</v>
      </c>
      <c r="F494" s="11" t="s">
        <v>1816</v>
      </c>
      <c r="G494" s="11" t="s">
        <v>83</v>
      </c>
      <c r="H494" s="11" t="s">
        <v>1817</v>
      </c>
      <c r="I494" s="11" t="s">
        <v>1818</v>
      </c>
      <c r="J494" s="12">
        <v>0.90259999999999996</v>
      </c>
      <c r="K494" s="13">
        <v>16</v>
      </c>
      <c r="L494" s="14">
        <v>10295</v>
      </c>
      <c r="M494" s="10">
        <v>7939</v>
      </c>
      <c r="N494" s="10">
        <v>1137612</v>
      </c>
      <c r="O494" s="10">
        <v>622570</v>
      </c>
      <c r="P494" s="10">
        <v>1760182</v>
      </c>
    </row>
    <row r="495" spans="1:16" ht="27" customHeight="1" x14ac:dyDescent="0.2">
      <c r="A495" s="9" t="s">
        <v>1682</v>
      </c>
      <c r="B495" s="10" t="s">
        <v>1819</v>
      </c>
      <c r="C495" s="11" t="s">
        <v>18</v>
      </c>
      <c r="D495" s="11" t="s">
        <v>19</v>
      </c>
      <c r="E495" s="11" t="s">
        <v>19</v>
      </c>
      <c r="F495" s="11" t="s">
        <v>1820</v>
      </c>
      <c r="G495" s="11" t="s">
        <v>83</v>
      </c>
      <c r="H495" s="11" t="s">
        <v>1821</v>
      </c>
      <c r="I495" s="11" t="s">
        <v>1822</v>
      </c>
      <c r="J495" s="12">
        <v>0.17699999999999999</v>
      </c>
      <c r="K495" s="13">
        <v>7</v>
      </c>
      <c r="L495" s="14">
        <v>3151</v>
      </c>
      <c r="M495" s="10">
        <v>515</v>
      </c>
      <c r="N495" s="10">
        <v>348191</v>
      </c>
      <c r="O495" s="10">
        <v>40386</v>
      </c>
      <c r="P495" s="10">
        <v>388577</v>
      </c>
    </row>
    <row r="496" spans="1:16" ht="27" customHeight="1" x14ac:dyDescent="0.2">
      <c r="A496" s="9" t="s">
        <v>1682</v>
      </c>
      <c r="B496" s="10" t="s">
        <v>1823</v>
      </c>
      <c r="C496" s="11" t="s">
        <v>18</v>
      </c>
      <c r="D496" s="11" t="s">
        <v>19</v>
      </c>
      <c r="E496" s="11" t="s">
        <v>19</v>
      </c>
      <c r="F496" s="11" t="s">
        <v>1824</v>
      </c>
      <c r="G496" s="11" t="s">
        <v>83</v>
      </c>
      <c r="H496" s="11" t="s">
        <v>1825</v>
      </c>
      <c r="I496" s="11" t="s">
        <v>1826</v>
      </c>
      <c r="J496" s="12">
        <v>0.51319999999999999</v>
      </c>
      <c r="K496" s="13">
        <v>16</v>
      </c>
      <c r="L496" s="14">
        <v>9970</v>
      </c>
      <c r="M496" s="10">
        <v>3383</v>
      </c>
      <c r="N496" s="10">
        <v>1101703</v>
      </c>
      <c r="O496" s="10">
        <v>265291</v>
      </c>
      <c r="P496" s="10">
        <v>1366994</v>
      </c>
    </row>
    <row r="497" spans="1:16" ht="27" customHeight="1" x14ac:dyDescent="0.2">
      <c r="A497" s="9" t="s">
        <v>1682</v>
      </c>
      <c r="B497" s="10" t="s">
        <v>1827</v>
      </c>
      <c r="C497" s="11" t="s">
        <v>18</v>
      </c>
      <c r="D497" s="11" t="s">
        <v>19</v>
      </c>
      <c r="E497" s="11" t="s">
        <v>19</v>
      </c>
      <c r="F497" s="11" t="s">
        <v>1828</v>
      </c>
      <c r="G497" s="11" t="s">
        <v>83</v>
      </c>
      <c r="H497" s="11" t="s">
        <v>1829</v>
      </c>
      <c r="I497" s="11" t="s">
        <v>1830</v>
      </c>
      <c r="J497" s="12">
        <v>0.5</v>
      </c>
      <c r="K497" s="13">
        <v>22</v>
      </c>
      <c r="L497" s="14">
        <v>14494</v>
      </c>
      <c r="M497" s="10">
        <v>4448</v>
      </c>
      <c r="N497" s="10">
        <v>1601612</v>
      </c>
      <c r="O497" s="10">
        <v>348810</v>
      </c>
      <c r="P497" s="10">
        <v>1950422</v>
      </c>
    </row>
    <row r="498" spans="1:16" ht="27" customHeight="1" x14ac:dyDescent="0.2">
      <c r="A498" s="9" t="s">
        <v>1682</v>
      </c>
      <c r="B498" s="10" t="s">
        <v>1831</v>
      </c>
      <c r="C498" s="11" t="s">
        <v>18</v>
      </c>
      <c r="D498" s="11" t="s">
        <v>19</v>
      </c>
      <c r="E498" s="11" t="s">
        <v>19</v>
      </c>
      <c r="F498" s="11" t="s">
        <v>1832</v>
      </c>
      <c r="G498" s="11" t="s">
        <v>83</v>
      </c>
      <c r="H498" s="11" t="s">
        <v>1833</v>
      </c>
      <c r="I498" s="11" t="s">
        <v>1834</v>
      </c>
      <c r="J498" s="12">
        <v>0.58120000000000005</v>
      </c>
      <c r="K498" s="13">
        <v>6</v>
      </c>
      <c r="L498" s="14">
        <v>1959</v>
      </c>
      <c r="M498" s="10">
        <v>981</v>
      </c>
      <c r="N498" s="10">
        <v>216473</v>
      </c>
      <c r="O498" s="10">
        <v>76929</v>
      </c>
      <c r="P498" s="10">
        <v>293402</v>
      </c>
    </row>
    <row r="499" spans="1:16" ht="27" customHeight="1" x14ac:dyDescent="0.2">
      <c r="A499" s="9" t="s">
        <v>1682</v>
      </c>
      <c r="B499" s="10" t="s">
        <v>1835</v>
      </c>
      <c r="C499" s="11" t="s">
        <v>18</v>
      </c>
      <c r="D499" s="11" t="s">
        <v>19</v>
      </c>
      <c r="E499" s="11" t="s">
        <v>19</v>
      </c>
      <c r="F499" s="11" t="s">
        <v>1836</v>
      </c>
      <c r="G499" s="11" t="s">
        <v>83</v>
      </c>
      <c r="H499" s="11" t="s">
        <v>1685</v>
      </c>
      <c r="I499" s="11" t="s">
        <v>1686</v>
      </c>
      <c r="J499" s="12">
        <v>1</v>
      </c>
      <c r="K499" s="13">
        <v>6</v>
      </c>
      <c r="L499" s="14">
        <v>5874</v>
      </c>
      <c r="M499" s="10">
        <v>4327</v>
      </c>
      <c r="N499" s="10">
        <v>649087</v>
      </c>
      <c r="O499" s="10">
        <v>339320</v>
      </c>
      <c r="P499" s="10">
        <v>988407</v>
      </c>
    </row>
    <row r="500" spans="1:16" ht="27" customHeight="1" x14ac:dyDescent="0.2">
      <c r="A500" s="9" t="s">
        <v>1682</v>
      </c>
      <c r="B500" s="10" t="s">
        <v>1835</v>
      </c>
      <c r="C500" s="11" t="s">
        <v>1837</v>
      </c>
      <c r="D500" s="11" t="s">
        <v>1838</v>
      </c>
      <c r="E500" s="11" t="s">
        <v>26</v>
      </c>
      <c r="F500" s="11" t="s">
        <v>1839</v>
      </c>
      <c r="G500" s="11" t="s">
        <v>28</v>
      </c>
      <c r="H500" s="11" t="s">
        <v>1685</v>
      </c>
      <c r="I500" s="11" t="s">
        <v>1686</v>
      </c>
      <c r="J500" s="12">
        <v>1</v>
      </c>
      <c r="K500" s="13">
        <v>1</v>
      </c>
      <c r="L500" s="14">
        <v>461</v>
      </c>
      <c r="M500" s="10">
        <v>26</v>
      </c>
      <c r="N500" s="10">
        <v>50941</v>
      </c>
      <c r="O500" s="10">
        <v>2039</v>
      </c>
      <c r="P500" s="10">
        <v>52980</v>
      </c>
    </row>
    <row r="501" spans="1:16" ht="27" customHeight="1" x14ac:dyDescent="0.2">
      <c r="A501" s="9" t="s">
        <v>1682</v>
      </c>
      <c r="B501" s="10" t="s">
        <v>1835</v>
      </c>
      <c r="C501" s="11" t="s">
        <v>1840</v>
      </c>
      <c r="D501" s="11" t="s">
        <v>1841</v>
      </c>
      <c r="E501" s="11" t="s">
        <v>26</v>
      </c>
      <c r="F501" s="11" t="s">
        <v>1842</v>
      </c>
      <c r="G501" s="11" t="s">
        <v>28</v>
      </c>
      <c r="H501" s="11" t="s">
        <v>1685</v>
      </c>
      <c r="I501" s="11" t="s">
        <v>1686</v>
      </c>
      <c r="J501" s="12">
        <v>1</v>
      </c>
      <c r="K501" s="13">
        <v>1</v>
      </c>
      <c r="L501" s="14">
        <v>348</v>
      </c>
      <c r="M501" s="10">
        <v>15</v>
      </c>
      <c r="N501" s="10">
        <v>38455</v>
      </c>
      <c r="O501" s="10">
        <v>1176</v>
      </c>
      <c r="P501" s="10">
        <v>39631</v>
      </c>
    </row>
    <row r="502" spans="1:16" ht="27" customHeight="1" x14ac:dyDescent="0.2">
      <c r="A502" s="9" t="s">
        <v>1682</v>
      </c>
      <c r="B502" s="10" t="s">
        <v>1843</v>
      </c>
      <c r="C502" s="11" t="s">
        <v>18</v>
      </c>
      <c r="D502" s="11" t="s">
        <v>19</v>
      </c>
      <c r="E502" s="11" t="s">
        <v>19</v>
      </c>
      <c r="F502" s="11" t="s">
        <v>1844</v>
      </c>
      <c r="G502" s="11" t="s">
        <v>83</v>
      </c>
      <c r="H502" s="11" t="s">
        <v>1845</v>
      </c>
      <c r="I502" s="11" t="s">
        <v>1846</v>
      </c>
      <c r="J502" s="12">
        <v>0.67320000000000002</v>
      </c>
      <c r="K502" s="13">
        <v>11</v>
      </c>
      <c r="L502" s="14">
        <v>4305</v>
      </c>
      <c r="M502" s="10">
        <v>2642</v>
      </c>
      <c r="N502" s="10">
        <v>475711</v>
      </c>
      <c r="O502" s="10">
        <v>207181</v>
      </c>
      <c r="P502" s="10">
        <v>682892</v>
      </c>
    </row>
    <row r="503" spans="1:16" ht="27" customHeight="1" x14ac:dyDescent="0.2">
      <c r="A503" s="9" t="s">
        <v>1682</v>
      </c>
      <c r="B503" s="10" t="s">
        <v>1847</v>
      </c>
      <c r="C503" s="11" t="s">
        <v>18</v>
      </c>
      <c r="D503" s="11" t="s">
        <v>19</v>
      </c>
      <c r="E503" s="11" t="s">
        <v>19</v>
      </c>
      <c r="F503" s="11" t="s">
        <v>1848</v>
      </c>
      <c r="G503" s="11" t="s">
        <v>83</v>
      </c>
      <c r="H503" s="11" t="s">
        <v>1849</v>
      </c>
      <c r="I503" s="11" t="s">
        <v>1850</v>
      </c>
      <c r="J503" s="12">
        <v>0.5</v>
      </c>
      <c r="K503" s="13">
        <v>12</v>
      </c>
      <c r="L503" s="14">
        <v>6461</v>
      </c>
      <c r="M503" s="10">
        <v>2131</v>
      </c>
      <c r="N503" s="10">
        <v>713953</v>
      </c>
      <c r="O503" s="10">
        <v>167110</v>
      </c>
      <c r="P503" s="10">
        <v>881063</v>
      </c>
    </row>
    <row r="504" spans="1:16" ht="27" customHeight="1" x14ac:dyDescent="0.2">
      <c r="A504" s="9" t="s">
        <v>1682</v>
      </c>
      <c r="B504" s="10" t="s">
        <v>1851</v>
      </c>
      <c r="C504" s="11" t="s">
        <v>18</v>
      </c>
      <c r="D504" s="11" t="s">
        <v>19</v>
      </c>
      <c r="E504" s="11" t="s">
        <v>19</v>
      </c>
      <c r="F504" s="11" t="s">
        <v>1852</v>
      </c>
      <c r="G504" s="11" t="s">
        <v>83</v>
      </c>
      <c r="H504" s="11" t="s">
        <v>1853</v>
      </c>
      <c r="I504" s="11" t="s">
        <v>1854</v>
      </c>
      <c r="J504" s="12">
        <v>0.78290000000000004</v>
      </c>
      <c r="K504" s="13">
        <v>19</v>
      </c>
      <c r="L504" s="14">
        <v>11290</v>
      </c>
      <c r="M504" s="10">
        <v>7382</v>
      </c>
      <c r="N504" s="10">
        <v>1247563</v>
      </c>
      <c r="O504" s="10">
        <v>578887</v>
      </c>
      <c r="P504" s="10">
        <v>1826450</v>
      </c>
    </row>
    <row r="505" spans="1:16" ht="27" customHeight="1" x14ac:dyDescent="0.2">
      <c r="A505" s="9" t="s">
        <v>1682</v>
      </c>
      <c r="B505" s="10" t="s">
        <v>1855</v>
      </c>
      <c r="C505" s="11" t="s">
        <v>18</v>
      </c>
      <c r="D505" s="11" t="s">
        <v>19</v>
      </c>
      <c r="E505" s="11" t="s">
        <v>19</v>
      </c>
      <c r="F505" s="11" t="s">
        <v>1856</v>
      </c>
      <c r="G505" s="11" t="s">
        <v>83</v>
      </c>
      <c r="H505" s="11" t="s">
        <v>1857</v>
      </c>
      <c r="I505" s="11" t="s">
        <v>1858</v>
      </c>
      <c r="J505" s="12">
        <v>0.53169999999999995</v>
      </c>
      <c r="K505" s="13">
        <v>10</v>
      </c>
      <c r="L505" s="14">
        <v>6900</v>
      </c>
      <c r="M505" s="10">
        <v>2554</v>
      </c>
      <c r="N505" s="10">
        <v>762461</v>
      </c>
      <c r="O505" s="10">
        <v>200282</v>
      </c>
      <c r="P505" s="10">
        <v>962743</v>
      </c>
    </row>
    <row r="506" spans="1:16" ht="27" customHeight="1" x14ac:dyDescent="0.2">
      <c r="A506" s="9" t="s">
        <v>1682</v>
      </c>
      <c r="B506" s="10" t="s">
        <v>1859</v>
      </c>
      <c r="C506" s="11" t="s">
        <v>18</v>
      </c>
      <c r="D506" s="11" t="s">
        <v>19</v>
      </c>
      <c r="E506" s="11" t="s">
        <v>19</v>
      </c>
      <c r="F506" s="11" t="s">
        <v>1860</v>
      </c>
      <c r="G506" s="11" t="s">
        <v>83</v>
      </c>
      <c r="H506" s="11" t="s">
        <v>1861</v>
      </c>
      <c r="I506" s="11" t="s">
        <v>1862</v>
      </c>
      <c r="J506" s="12">
        <v>0.80759999999999998</v>
      </c>
      <c r="K506" s="13">
        <v>23</v>
      </c>
      <c r="L506" s="14">
        <v>22455</v>
      </c>
      <c r="M506" s="10">
        <v>15728</v>
      </c>
      <c r="N506" s="10">
        <v>2481315</v>
      </c>
      <c r="O506" s="10">
        <v>1233375</v>
      </c>
      <c r="P506" s="10">
        <v>3714690</v>
      </c>
    </row>
    <row r="507" spans="1:16" ht="27" customHeight="1" x14ac:dyDescent="0.2">
      <c r="A507" s="9" t="s">
        <v>1682</v>
      </c>
      <c r="B507" s="10" t="s">
        <v>1863</v>
      </c>
      <c r="C507" s="11" t="s">
        <v>18</v>
      </c>
      <c r="D507" s="11" t="s">
        <v>19</v>
      </c>
      <c r="E507" s="11" t="s">
        <v>19</v>
      </c>
      <c r="F507" s="11" t="s">
        <v>1864</v>
      </c>
      <c r="G507" s="11" t="s">
        <v>83</v>
      </c>
      <c r="H507" s="11" t="s">
        <v>1865</v>
      </c>
      <c r="I507" s="11" t="s">
        <v>1866</v>
      </c>
      <c r="J507" s="12">
        <v>0.71499999999999997</v>
      </c>
      <c r="K507" s="13">
        <v>7</v>
      </c>
      <c r="L507" s="14">
        <v>3188</v>
      </c>
      <c r="M507" s="10">
        <v>1772</v>
      </c>
      <c r="N507" s="10">
        <v>352279</v>
      </c>
      <c r="O507" s="10">
        <v>138959</v>
      </c>
      <c r="P507" s="10">
        <v>491238</v>
      </c>
    </row>
    <row r="508" spans="1:16" ht="27" customHeight="1" x14ac:dyDescent="0.2">
      <c r="A508" s="9" t="s">
        <v>1682</v>
      </c>
      <c r="B508" s="10" t="s">
        <v>1863</v>
      </c>
      <c r="C508" s="11" t="s">
        <v>1867</v>
      </c>
      <c r="D508" s="11" t="s">
        <v>1868</v>
      </c>
      <c r="E508" s="11" t="s">
        <v>26</v>
      </c>
      <c r="F508" s="11" t="s">
        <v>1869</v>
      </c>
      <c r="G508" s="11" t="s">
        <v>28</v>
      </c>
      <c r="H508" s="11" t="s">
        <v>1869</v>
      </c>
      <c r="I508" s="11" t="s">
        <v>1870</v>
      </c>
      <c r="J508" s="12">
        <v>0.625</v>
      </c>
      <c r="K508" s="13">
        <v>1</v>
      </c>
      <c r="L508" s="14">
        <v>88</v>
      </c>
      <c r="M508" s="10">
        <v>55</v>
      </c>
      <c r="N508" s="10">
        <v>9724</v>
      </c>
      <c r="O508" s="10">
        <v>4313</v>
      </c>
      <c r="P508" s="10">
        <v>14037</v>
      </c>
    </row>
    <row r="509" spans="1:16" ht="27" customHeight="1" x14ac:dyDescent="0.2">
      <c r="A509" s="9" t="s">
        <v>1682</v>
      </c>
      <c r="B509" s="10" t="s">
        <v>1863</v>
      </c>
      <c r="C509" s="11" t="s">
        <v>1871</v>
      </c>
      <c r="D509" s="11" t="s">
        <v>1872</v>
      </c>
      <c r="E509" s="11" t="s">
        <v>26</v>
      </c>
      <c r="F509" s="11" t="s">
        <v>1873</v>
      </c>
      <c r="G509" s="11" t="s">
        <v>28</v>
      </c>
      <c r="H509" s="11" t="s">
        <v>1685</v>
      </c>
      <c r="I509" s="11" t="s">
        <v>1686</v>
      </c>
      <c r="J509" s="12">
        <v>1</v>
      </c>
      <c r="K509" s="13">
        <v>1</v>
      </c>
      <c r="L509" s="14">
        <v>945</v>
      </c>
      <c r="M509" s="10">
        <v>184</v>
      </c>
      <c r="N509" s="10">
        <v>104424</v>
      </c>
      <c r="O509" s="10">
        <v>14429</v>
      </c>
      <c r="P509" s="10">
        <v>118853</v>
      </c>
    </row>
    <row r="510" spans="1:16" ht="27" customHeight="1" x14ac:dyDescent="0.2">
      <c r="A510" s="9" t="s">
        <v>1682</v>
      </c>
      <c r="B510" s="10" t="s">
        <v>1863</v>
      </c>
      <c r="C510" s="11" t="s">
        <v>1874</v>
      </c>
      <c r="D510" s="11" t="s">
        <v>1875</v>
      </c>
      <c r="E510" s="11" t="s">
        <v>26</v>
      </c>
      <c r="F510" s="11" t="s">
        <v>1876</v>
      </c>
      <c r="G510" s="11" t="s">
        <v>28</v>
      </c>
      <c r="H510" s="11" t="s">
        <v>1685</v>
      </c>
      <c r="I510" s="11" t="s">
        <v>1686</v>
      </c>
      <c r="J510" s="12">
        <v>1</v>
      </c>
      <c r="K510" s="13">
        <v>1</v>
      </c>
      <c r="L510" s="14">
        <v>2354</v>
      </c>
      <c r="M510" s="10">
        <v>2057</v>
      </c>
      <c r="N510" s="10">
        <v>260121</v>
      </c>
      <c r="O510" s="10">
        <v>161308</v>
      </c>
      <c r="P510" s="10">
        <v>421429</v>
      </c>
    </row>
    <row r="511" spans="1:16" ht="27" customHeight="1" x14ac:dyDescent="0.2">
      <c r="A511" s="9" t="s">
        <v>1682</v>
      </c>
      <c r="B511" s="10" t="s">
        <v>1877</v>
      </c>
      <c r="C511" s="11" t="s">
        <v>18</v>
      </c>
      <c r="D511" s="11" t="s">
        <v>19</v>
      </c>
      <c r="E511" s="11" t="s">
        <v>19</v>
      </c>
      <c r="F511" s="11" t="s">
        <v>1878</v>
      </c>
      <c r="G511" s="11" t="s">
        <v>83</v>
      </c>
      <c r="H511" s="11" t="s">
        <v>1879</v>
      </c>
      <c r="I511" s="11" t="s">
        <v>1880</v>
      </c>
      <c r="J511" s="12">
        <v>0.93789999999999996</v>
      </c>
      <c r="K511" s="13">
        <v>7</v>
      </c>
      <c r="L511" s="14">
        <v>3143</v>
      </c>
      <c r="M511" s="10">
        <v>2829</v>
      </c>
      <c r="N511" s="10">
        <v>347308</v>
      </c>
      <c r="O511" s="10">
        <v>221847</v>
      </c>
      <c r="P511" s="10">
        <v>569155</v>
      </c>
    </row>
    <row r="512" spans="1:16" ht="27" customHeight="1" x14ac:dyDescent="0.2">
      <c r="A512" s="9" t="s">
        <v>1682</v>
      </c>
      <c r="B512" s="10" t="s">
        <v>1881</v>
      </c>
      <c r="C512" s="11" t="s">
        <v>18</v>
      </c>
      <c r="D512" s="11" t="s">
        <v>19</v>
      </c>
      <c r="E512" s="11" t="s">
        <v>19</v>
      </c>
      <c r="F512" s="11" t="s">
        <v>1882</v>
      </c>
      <c r="G512" s="11" t="s">
        <v>83</v>
      </c>
      <c r="H512" s="11" t="s">
        <v>1883</v>
      </c>
      <c r="I512" s="11" t="s">
        <v>1884</v>
      </c>
      <c r="J512" s="12">
        <v>0.871</v>
      </c>
      <c r="K512" s="13">
        <v>14</v>
      </c>
      <c r="L512" s="14">
        <v>7802</v>
      </c>
      <c r="M512" s="10">
        <v>4431</v>
      </c>
      <c r="N512" s="10">
        <v>862134</v>
      </c>
      <c r="O512" s="10">
        <v>347474</v>
      </c>
      <c r="P512" s="10">
        <v>1209608</v>
      </c>
    </row>
    <row r="513" spans="1:16" ht="27" customHeight="1" x14ac:dyDescent="0.2">
      <c r="A513" s="9" t="s">
        <v>1682</v>
      </c>
      <c r="B513" s="10" t="s">
        <v>1885</v>
      </c>
      <c r="C513" s="11" t="s">
        <v>18</v>
      </c>
      <c r="D513" s="11" t="s">
        <v>19</v>
      </c>
      <c r="E513" s="11" t="s">
        <v>19</v>
      </c>
      <c r="F513" s="11" t="s">
        <v>1886</v>
      </c>
      <c r="G513" s="11" t="s">
        <v>83</v>
      </c>
      <c r="H513" s="11" t="s">
        <v>1887</v>
      </c>
      <c r="I513" s="11" t="s">
        <v>1888</v>
      </c>
      <c r="J513" s="12">
        <v>0.95379999999999998</v>
      </c>
      <c r="K513" s="13">
        <v>16</v>
      </c>
      <c r="L513" s="14">
        <v>7359</v>
      </c>
      <c r="M513" s="10">
        <v>6214</v>
      </c>
      <c r="N513" s="10">
        <v>813183</v>
      </c>
      <c r="O513" s="10">
        <v>487295</v>
      </c>
      <c r="P513" s="10">
        <v>1300478</v>
      </c>
    </row>
    <row r="514" spans="1:16" ht="27" customHeight="1" x14ac:dyDescent="0.2">
      <c r="A514" s="9" t="s">
        <v>1682</v>
      </c>
      <c r="B514" s="10" t="s">
        <v>1889</v>
      </c>
      <c r="C514" s="11" t="s">
        <v>18</v>
      </c>
      <c r="D514" s="11" t="s">
        <v>19</v>
      </c>
      <c r="E514" s="11" t="s">
        <v>19</v>
      </c>
      <c r="F514" s="11" t="s">
        <v>1890</v>
      </c>
      <c r="G514" s="11" t="s">
        <v>83</v>
      </c>
      <c r="H514" s="11" t="s">
        <v>1685</v>
      </c>
      <c r="I514" s="11" t="s">
        <v>1686</v>
      </c>
      <c r="J514" s="12">
        <v>1</v>
      </c>
      <c r="K514" s="13">
        <v>8</v>
      </c>
      <c r="L514" s="14">
        <v>7860</v>
      </c>
      <c r="M514" s="10">
        <v>6797</v>
      </c>
      <c r="N514" s="10">
        <v>868543</v>
      </c>
      <c r="O514" s="10">
        <v>533013</v>
      </c>
      <c r="P514" s="10">
        <v>1401556</v>
      </c>
    </row>
    <row r="515" spans="1:16" ht="27" customHeight="1" x14ac:dyDescent="0.2">
      <c r="A515" s="9" t="s">
        <v>1682</v>
      </c>
      <c r="B515" s="10" t="s">
        <v>1891</v>
      </c>
      <c r="C515" s="11" t="s">
        <v>18</v>
      </c>
      <c r="D515" s="11" t="s">
        <v>19</v>
      </c>
      <c r="E515" s="11" t="s">
        <v>19</v>
      </c>
      <c r="F515" s="11" t="s">
        <v>1892</v>
      </c>
      <c r="G515" s="11" t="s">
        <v>83</v>
      </c>
      <c r="H515" s="11" t="s">
        <v>1893</v>
      </c>
      <c r="I515" s="11" t="s">
        <v>1894</v>
      </c>
      <c r="J515" s="12">
        <v>0.85560000000000003</v>
      </c>
      <c r="K515" s="13">
        <v>15</v>
      </c>
      <c r="L515" s="14">
        <v>7537</v>
      </c>
      <c r="M515" s="10">
        <v>5948</v>
      </c>
      <c r="N515" s="10">
        <v>832852</v>
      </c>
      <c r="O515" s="10">
        <v>466436</v>
      </c>
      <c r="P515" s="10">
        <v>1299288</v>
      </c>
    </row>
    <row r="516" spans="1:16" ht="27" customHeight="1" x14ac:dyDescent="0.2">
      <c r="A516" s="9" t="s">
        <v>1682</v>
      </c>
      <c r="B516" s="10" t="s">
        <v>1895</v>
      </c>
      <c r="C516" s="11" t="s">
        <v>18</v>
      </c>
      <c r="D516" s="11" t="s">
        <v>19</v>
      </c>
      <c r="E516" s="11" t="s">
        <v>19</v>
      </c>
      <c r="F516" s="11" t="s">
        <v>1896</v>
      </c>
      <c r="G516" s="11" t="s">
        <v>83</v>
      </c>
      <c r="H516" s="11" t="s">
        <v>1897</v>
      </c>
      <c r="I516" s="11" t="s">
        <v>1898</v>
      </c>
      <c r="J516" s="12">
        <v>9.4399999999999998E-2</v>
      </c>
      <c r="K516" s="13">
        <v>6</v>
      </c>
      <c r="L516" s="14">
        <v>3532</v>
      </c>
      <c r="M516" s="10">
        <v>375</v>
      </c>
      <c r="N516" s="10">
        <v>390292</v>
      </c>
      <c r="O516" s="10">
        <v>29408</v>
      </c>
      <c r="P516" s="10">
        <v>419700</v>
      </c>
    </row>
    <row r="517" spans="1:16" ht="27" customHeight="1" x14ac:dyDescent="0.2">
      <c r="A517" s="9" t="s">
        <v>1682</v>
      </c>
      <c r="B517" s="10" t="s">
        <v>1899</v>
      </c>
      <c r="C517" s="11" t="s">
        <v>18</v>
      </c>
      <c r="D517" s="11" t="s">
        <v>19</v>
      </c>
      <c r="E517" s="11" t="s">
        <v>19</v>
      </c>
      <c r="F517" s="11" t="s">
        <v>1900</v>
      </c>
      <c r="G517" s="11" t="s">
        <v>83</v>
      </c>
      <c r="H517" s="11" t="s">
        <v>1901</v>
      </c>
      <c r="I517" s="11" t="s">
        <v>1902</v>
      </c>
      <c r="J517" s="12">
        <v>0.83489999999999998</v>
      </c>
      <c r="K517" s="13">
        <v>13</v>
      </c>
      <c r="L517" s="14">
        <v>4405</v>
      </c>
      <c r="M517" s="10">
        <v>3034</v>
      </c>
      <c r="N517" s="10">
        <v>486760</v>
      </c>
      <c r="O517" s="10">
        <v>237922</v>
      </c>
      <c r="P517" s="10">
        <v>724682</v>
      </c>
    </row>
    <row r="518" spans="1:16" ht="27" customHeight="1" x14ac:dyDescent="0.2">
      <c r="A518" s="9" t="s">
        <v>1682</v>
      </c>
      <c r="B518" s="10" t="s">
        <v>1903</v>
      </c>
      <c r="C518" s="11" t="s">
        <v>18</v>
      </c>
      <c r="D518" s="11" t="s">
        <v>19</v>
      </c>
      <c r="E518" s="11" t="s">
        <v>19</v>
      </c>
      <c r="F518" s="11" t="s">
        <v>1904</v>
      </c>
      <c r="G518" s="11" t="s">
        <v>83</v>
      </c>
      <c r="H518" s="11" t="s">
        <v>1821</v>
      </c>
      <c r="I518" s="11" t="s">
        <v>1905</v>
      </c>
      <c r="J518" s="12">
        <v>0.75780000000000003</v>
      </c>
      <c r="K518" s="13">
        <v>35</v>
      </c>
      <c r="L518" s="14">
        <v>24802</v>
      </c>
      <c r="M518" s="10">
        <v>11352</v>
      </c>
      <c r="N518" s="10">
        <v>2740661</v>
      </c>
      <c r="O518" s="10">
        <v>890213</v>
      </c>
      <c r="P518" s="10">
        <v>3630874</v>
      </c>
    </row>
    <row r="519" spans="1:16" ht="27" customHeight="1" x14ac:dyDescent="0.2">
      <c r="A519" s="9" t="s">
        <v>1682</v>
      </c>
      <c r="B519" s="10" t="s">
        <v>1906</v>
      </c>
      <c r="C519" s="11" t="s">
        <v>18</v>
      </c>
      <c r="D519" s="11" t="s">
        <v>19</v>
      </c>
      <c r="E519" s="11" t="s">
        <v>19</v>
      </c>
      <c r="F519" s="11" t="s">
        <v>1907</v>
      </c>
      <c r="G519" s="11" t="s">
        <v>83</v>
      </c>
      <c r="H519" s="11" t="s">
        <v>1908</v>
      </c>
      <c r="I519" s="11" t="s">
        <v>1909</v>
      </c>
      <c r="J519" s="12">
        <v>0.6532</v>
      </c>
      <c r="K519" s="13">
        <v>11</v>
      </c>
      <c r="L519" s="14">
        <v>6552</v>
      </c>
      <c r="M519" s="10">
        <v>2786</v>
      </c>
      <c r="N519" s="10">
        <v>724006</v>
      </c>
      <c r="O519" s="10">
        <v>218476</v>
      </c>
      <c r="P519" s="10">
        <v>942482</v>
      </c>
    </row>
    <row r="520" spans="1:16" ht="27" customHeight="1" x14ac:dyDescent="0.2">
      <c r="A520" s="9" t="s">
        <v>1682</v>
      </c>
      <c r="B520" s="10" t="s">
        <v>1910</v>
      </c>
      <c r="C520" s="11" t="s">
        <v>18</v>
      </c>
      <c r="D520" s="11" t="s">
        <v>19</v>
      </c>
      <c r="E520" s="11" t="s">
        <v>19</v>
      </c>
      <c r="F520" s="11" t="s">
        <v>1911</v>
      </c>
      <c r="G520" s="11" t="s">
        <v>83</v>
      </c>
      <c r="H520" s="11" t="s">
        <v>1912</v>
      </c>
      <c r="I520" s="11" t="s">
        <v>1913</v>
      </c>
      <c r="J520" s="12">
        <v>0.63859999999999995</v>
      </c>
      <c r="K520" s="13">
        <v>2</v>
      </c>
      <c r="L520" s="14">
        <v>83</v>
      </c>
      <c r="M520" s="10">
        <v>53</v>
      </c>
      <c r="N520" s="10">
        <v>9172</v>
      </c>
      <c r="O520" s="10">
        <v>4156</v>
      </c>
      <c r="P520" s="10">
        <v>13328</v>
      </c>
    </row>
    <row r="521" spans="1:16" ht="27" customHeight="1" x14ac:dyDescent="0.2">
      <c r="A521" s="9" t="s">
        <v>1682</v>
      </c>
      <c r="B521" s="10" t="s">
        <v>1910</v>
      </c>
      <c r="C521" s="11" t="s">
        <v>1914</v>
      </c>
      <c r="D521" s="11" t="s">
        <v>1915</v>
      </c>
      <c r="E521" s="11" t="s">
        <v>26</v>
      </c>
      <c r="F521" s="11" t="s">
        <v>1916</v>
      </c>
      <c r="G521" s="11" t="s">
        <v>28</v>
      </c>
      <c r="H521" s="11" t="s">
        <v>1916</v>
      </c>
      <c r="I521" s="11" t="s">
        <v>1917</v>
      </c>
      <c r="J521" s="12">
        <v>0.38300000000000001</v>
      </c>
      <c r="K521" s="13">
        <v>1</v>
      </c>
      <c r="L521" s="14">
        <v>1188</v>
      </c>
      <c r="M521" s="10">
        <v>455</v>
      </c>
      <c r="N521" s="10">
        <v>131276</v>
      </c>
      <c r="O521" s="10">
        <v>35681</v>
      </c>
      <c r="P521" s="10">
        <v>166957</v>
      </c>
    </row>
    <row r="522" spans="1:16" ht="27" customHeight="1" x14ac:dyDescent="0.2">
      <c r="A522" s="9" t="s">
        <v>1682</v>
      </c>
      <c r="B522" s="10" t="s">
        <v>1918</v>
      </c>
      <c r="C522" s="11" t="s">
        <v>18</v>
      </c>
      <c r="D522" s="11" t="s">
        <v>19</v>
      </c>
      <c r="E522" s="11" t="s">
        <v>19</v>
      </c>
      <c r="F522" s="11" t="s">
        <v>1919</v>
      </c>
      <c r="G522" s="11" t="s">
        <v>83</v>
      </c>
      <c r="H522" s="11" t="s">
        <v>1920</v>
      </c>
      <c r="I522" s="11" t="s">
        <v>1921</v>
      </c>
      <c r="J522" s="12">
        <v>0.74180000000000001</v>
      </c>
      <c r="K522" s="13">
        <v>11</v>
      </c>
      <c r="L522" s="14">
        <v>6729</v>
      </c>
      <c r="M522" s="10">
        <v>4296</v>
      </c>
      <c r="N522" s="10">
        <v>743564</v>
      </c>
      <c r="O522" s="10">
        <v>336888</v>
      </c>
      <c r="P522" s="10">
        <v>1080452</v>
      </c>
    </row>
    <row r="523" spans="1:16" ht="27" customHeight="1" x14ac:dyDescent="0.2">
      <c r="A523" s="9" t="s">
        <v>1682</v>
      </c>
      <c r="B523" s="10" t="s">
        <v>1918</v>
      </c>
      <c r="C523" s="11" t="s">
        <v>1922</v>
      </c>
      <c r="D523" s="11" t="s">
        <v>1923</v>
      </c>
      <c r="E523" s="11" t="s">
        <v>57</v>
      </c>
      <c r="F523" s="11" t="s">
        <v>1924</v>
      </c>
      <c r="G523" s="11" t="s">
        <v>28</v>
      </c>
      <c r="H523" s="11" t="s">
        <v>1685</v>
      </c>
      <c r="I523" s="11" t="s">
        <v>1686</v>
      </c>
      <c r="J523" s="12">
        <v>1</v>
      </c>
      <c r="K523" s="13">
        <v>1</v>
      </c>
      <c r="L523" s="14">
        <v>534</v>
      </c>
      <c r="M523" s="10">
        <v>266</v>
      </c>
      <c r="N523" s="10">
        <v>59008</v>
      </c>
      <c r="O523" s="10">
        <v>20859</v>
      </c>
      <c r="P523" s="10">
        <v>79867</v>
      </c>
    </row>
    <row r="524" spans="1:16" ht="27" customHeight="1" x14ac:dyDescent="0.2">
      <c r="A524" s="9" t="s">
        <v>1682</v>
      </c>
      <c r="B524" s="10" t="s">
        <v>1925</v>
      </c>
      <c r="C524" s="11" t="s">
        <v>18</v>
      </c>
      <c r="D524" s="11" t="s">
        <v>19</v>
      </c>
      <c r="E524" s="11" t="s">
        <v>19</v>
      </c>
      <c r="F524" s="11" t="s">
        <v>1926</v>
      </c>
      <c r="G524" s="11" t="s">
        <v>83</v>
      </c>
      <c r="H524" s="11" t="s">
        <v>1927</v>
      </c>
      <c r="I524" s="11" t="s">
        <v>1928</v>
      </c>
      <c r="J524" s="12">
        <v>7.4899999999999994E-2</v>
      </c>
      <c r="K524" s="13">
        <v>4</v>
      </c>
      <c r="L524" s="14">
        <v>1279</v>
      </c>
      <c r="M524" s="10">
        <v>92</v>
      </c>
      <c r="N524" s="10">
        <v>141331</v>
      </c>
      <c r="O524" s="10">
        <v>7214</v>
      </c>
      <c r="P524" s="10">
        <v>148545</v>
      </c>
    </row>
    <row r="525" spans="1:16" ht="27" customHeight="1" x14ac:dyDescent="0.2">
      <c r="A525" s="9" t="s">
        <v>1682</v>
      </c>
      <c r="B525" s="10" t="s">
        <v>1929</v>
      </c>
      <c r="C525" s="11" t="s">
        <v>18</v>
      </c>
      <c r="D525" s="11" t="s">
        <v>19</v>
      </c>
      <c r="E525" s="11" t="s">
        <v>19</v>
      </c>
      <c r="F525" s="11" t="s">
        <v>1930</v>
      </c>
      <c r="G525" s="11" t="s">
        <v>83</v>
      </c>
      <c r="H525" s="11" t="s">
        <v>1931</v>
      </c>
      <c r="I525" s="11" t="s">
        <v>1932</v>
      </c>
      <c r="J525" s="12">
        <v>0.35370000000000001</v>
      </c>
      <c r="K525" s="13">
        <v>2</v>
      </c>
      <c r="L525" s="14">
        <v>158</v>
      </c>
      <c r="M525" s="10">
        <v>53</v>
      </c>
      <c r="N525" s="10">
        <v>17460</v>
      </c>
      <c r="O525" s="10">
        <v>4156</v>
      </c>
      <c r="P525" s="10">
        <v>21616</v>
      </c>
    </row>
    <row r="526" spans="1:16" ht="27" customHeight="1" x14ac:dyDescent="0.2">
      <c r="A526" s="9" t="s">
        <v>1682</v>
      </c>
      <c r="B526" s="10" t="s">
        <v>1933</v>
      </c>
      <c r="C526" s="11" t="s">
        <v>18</v>
      </c>
      <c r="D526" s="11" t="s">
        <v>19</v>
      </c>
      <c r="E526" s="11" t="s">
        <v>19</v>
      </c>
      <c r="F526" s="11" t="s">
        <v>1934</v>
      </c>
      <c r="G526" s="11" t="s">
        <v>83</v>
      </c>
      <c r="H526" s="11" t="s">
        <v>1935</v>
      </c>
      <c r="I526" s="11" t="s">
        <v>1936</v>
      </c>
      <c r="J526" s="12">
        <v>0.89849999999999997</v>
      </c>
      <c r="K526" s="13">
        <v>15</v>
      </c>
      <c r="L526" s="14">
        <v>6582</v>
      </c>
      <c r="M526" s="10">
        <v>5264</v>
      </c>
      <c r="N526" s="10">
        <v>727322</v>
      </c>
      <c r="O526" s="10">
        <v>412797</v>
      </c>
      <c r="P526" s="10">
        <v>1140119</v>
      </c>
    </row>
    <row r="527" spans="1:16" ht="27" customHeight="1" x14ac:dyDescent="0.2">
      <c r="A527" s="9" t="s">
        <v>1682</v>
      </c>
      <c r="B527" s="10" t="s">
        <v>1933</v>
      </c>
      <c r="C527" s="11" t="s">
        <v>1937</v>
      </c>
      <c r="D527" s="11" t="s">
        <v>1938</v>
      </c>
      <c r="E527" s="11" t="s">
        <v>26</v>
      </c>
      <c r="F527" s="11" t="s">
        <v>1939</v>
      </c>
      <c r="G527" s="11" t="s">
        <v>28</v>
      </c>
      <c r="H527" s="11" t="s">
        <v>1939</v>
      </c>
      <c r="I527" s="11" t="s">
        <v>1940</v>
      </c>
      <c r="J527" s="12">
        <v>0.62119999999999997</v>
      </c>
      <c r="K527" s="13">
        <v>1</v>
      </c>
      <c r="L527" s="14">
        <v>396</v>
      </c>
      <c r="M527" s="10">
        <v>246</v>
      </c>
      <c r="N527" s="10">
        <v>43759</v>
      </c>
      <c r="O527" s="10">
        <v>19291</v>
      </c>
      <c r="P527" s="10">
        <v>63050</v>
      </c>
    </row>
    <row r="528" spans="1:16" ht="27" customHeight="1" x14ac:dyDescent="0.2">
      <c r="A528" s="9" t="s">
        <v>1682</v>
      </c>
      <c r="B528" s="10" t="s">
        <v>1933</v>
      </c>
      <c r="C528" s="11" t="s">
        <v>1941</v>
      </c>
      <c r="D528" s="11" t="s">
        <v>1942</v>
      </c>
      <c r="E528" s="11" t="s">
        <v>26</v>
      </c>
      <c r="F528" s="11" t="s">
        <v>1943</v>
      </c>
      <c r="G528" s="11" t="s">
        <v>28</v>
      </c>
      <c r="H528" s="11" t="s">
        <v>1685</v>
      </c>
      <c r="I528" s="11" t="s">
        <v>1686</v>
      </c>
      <c r="J528" s="12">
        <v>1</v>
      </c>
      <c r="K528" s="13">
        <v>1</v>
      </c>
      <c r="L528" s="14">
        <v>195</v>
      </c>
      <c r="M528" s="10">
        <v>86</v>
      </c>
      <c r="N528" s="10">
        <v>21548</v>
      </c>
      <c r="O528" s="10">
        <v>6744</v>
      </c>
      <c r="P528" s="10">
        <v>28292</v>
      </c>
    </row>
    <row r="529" spans="1:16" ht="27" customHeight="1" x14ac:dyDescent="0.2">
      <c r="A529" s="9" t="s">
        <v>1682</v>
      </c>
      <c r="B529" s="10" t="s">
        <v>1933</v>
      </c>
      <c r="C529" s="11" t="s">
        <v>1944</v>
      </c>
      <c r="D529" s="11" t="s">
        <v>1945</v>
      </c>
      <c r="E529" s="11" t="s">
        <v>26</v>
      </c>
      <c r="F529" s="11" t="s">
        <v>1946</v>
      </c>
      <c r="G529" s="11" t="s">
        <v>28</v>
      </c>
      <c r="H529" s="11" t="s">
        <v>1946</v>
      </c>
      <c r="I529" s="11" t="s">
        <v>1947</v>
      </c>
      <c r="J529" s="12">
        <v>0.96</v>
      </c>
      <c r="K529" s="13">
        <v>1</v>
      </c>
      <c r="L529" s="14">
        <v>375</v>
      </c>
      <c r="M529" s="10">
        <v>360</v>
      </c>
      <c r="N529" s="10">
        <v>41438</v>
      </c>
      <c r="O529" s="10">
        <v>28231</v>
      </c>
      <c r="P529" s="10">
        <v>69669</v>
      </c>
    </row>
    <row r="530" spans="1:16" ht="27" customHeight="1" x14ac:dyDescent="0.2">
      <c r="A530" s="9" t="s">
        <v>1682</v>
      </c>
      <c r="B530" s="10" t="s">
        <v>1933</v>
      </c>
      <c r="C530" s="11" t="s">
        <v>1948</v>
      </c>
      <c r="D530" s="11" t="s">
        <v>1949</v>
      </c>
      <c r="E530" s="11" t="s">
        <v>26</v>
      </c>
      <c r="F530" s="11" t="s">
        <v>1950</v>
      </c>
      <c r="G530" s="11" t="s">
        <v>28</v>
      </c>
      <c r="H530" s="11" t="s">
        <v>1685</v>
      </c>
      <c r="I530" s="11" t="s">
        <v>1686</v>
      </c>
      <c r="J530" s="12">
        <v>1</v>
      </c>
      <c r="K530" s="13">
        <v>1</v>
      </c>
      <c r="L530" s="14">
        <v>70</v>
      </c>
      <c r="M530" s="10">
        <v>69</v>
      </c>
      <c r="N530" s="10">
        <v>7735</v>
      </c>
      <c r="O530" s="10">
        <v>5411</v>
      </c>
      <c r="P530" s="10">
        <v>13146</v>
      </c>
    </row>
    <row r="531" spans="1:16" ht="27" customHeight="1" x14ac:dyDescent="0.2">
      <c r="A531" s="9" t="s">
        <v>1682</v>
      </c>
      <c r="B531" s="10" t="s">
        <v>1933</v>
      </c>
      <c r="C531" s="11" t="s">
        <v>1951</v>
      </c>
      <c r="D531" s="11" t="s">
        <v>1952</v>
      </c>
      <c r="E531" s="11" t="s">
        <v>57</v>
      </c>
      <c r="F531" s="11" t="s">
        <v>1953</v>
      </c>
      <c r="G531" s="11" t="s">
        <v>28</v>
      </c>
      <c r="H531" s="11" t="s">
        <v>1685</v>
      </c>
      <c r="I531" s="11" t="s">
        <v>1686</v>
      </c>
      <c r="J531" s="12">
        <v>1</v>
      </c>
      <c r="K531" s="13">
        <v>1</v>
      </c>
      <c r="L531" s="14">
        <v>289</v>
      </c>
      <c r="M531" s="10">
        <v>260</v>
      </c>
      <c r="N531" s="10">
        <v>31935</v>
      </c>
      <c r="O531" s="10">
        <v>20389</v>
      </c>
      <c r="P531" s="10">
        <v>52324</v>
      </c>
    </row>
    <row r="532" spans="1:16" ht="27" customHeight="1" x14ac:dyDescent="0.2">
      <c r="A532" s="9" t="s">
        <v>1682</v>
      </c>
      <c r="B532" s="10" t="s">
        <v>1933</v>
      </c>
      <c r="C532" s="11" t="s">
        <v>1954</v>
      </c>
      <c r="D532" s="11" t="s">
        <v>1955</v>
      </c>
      <c r="E532" s="11" t="s">
        <v>26</v>
      </c>
      <c r="F532" s="11" t="s">
        <v>1956</v>
      </c>
      <c r="G532" s="11" t="s">
        <v>28</v>
      </c>
      <c r="H532" s="11" t="s">
        <v>1685</v>
      </c>
      <c r="I532" s="11" t="s">
        <v>1686</v>
      </c>
      <c r="J532" s="12">
        <v>1</v>
      </c>
      <c r="K532" s="13">
        <v>1</v>
      </c>
      <c r="L532" s="14">
        <v>621</v>
      </c>
      <c r="M532" s="10">
        <v>574</v>
      </c>
      <c r="N532" s="10">
        <v>68622</v>
      </c>
      <c r="O532" s="10">
        <v>45012</v>
      </c>
      <c r="P532" s="10">
        <v>113634</v>
      </c>
    </row>
    <row r="533" spans="1:16" ht="27" customHeight="1" x14ac:dyDescent="0.2">
      <c r="A533" s="9" t="s">
        <v>1682</v>
      </c>
      <c r="B533" s="10" t="s">
        <v>1933</v>
      </c>
      <c r="C533" s="11" t="s">
        <v>1957</v>
      </c>
      <c r="D533" s="11" t="s">
        <v>1958</v>
      </c>
      <c r="E533" s="11" t="s">
        <v>57</v>
      </c>
      <c r="F533" s="11" t="s">
        <v>1959</v>
      </c>
      <c r="G533" s="11" t="s">
        <v>28</v>
      </c>
      <c r="H533" s="11" t="s">
        <v>1959</v>
      </c>
      <c r="I533" s="11" t="s">
        <v>1960</v>
      </c>
      <c r="J533" s="12">
        <v>0.70530000000000004</v>
      </c>
      <c r="K533" s="13">
        <v>1</v>
      </c>
      <c r="L533" s="14">
        <v>604</v>
      </c>
      <c r="M533" s="10">
        <v>426</v>
      </c>
      <c r="N533" s="10">
        <v>66743</v>
      </c>
      <c r="O533" s="10">
        <v>33406</v>
      </c>
      <c r="P533" s="10">
        <v>100149</v>
      </c>
    </row>
    <row r="534" spans="1:16" ht="27" customHeight="1" x14ac:dyDescent="0.2">
      <c r="A534" s="9" t="s">
        <v>1682</v>
      </c>
      <c r="B534" s="10" t="s">
        <v>1961</v>
      </c>
      <c r="C534" s="11" t="s">
        <v>18</v>
      </c>
      <c r="D534" s="11" t="s">
        <v>19</v>
      </c>
      <c r="E534" s="11" t="s">
        <v>19</v>
      </c>
      <c r="F534" s="11" t="s">
        <v>1962</v>
      </c>
      <c r="G534" s="11" t="s">
        <v>83</v>
      </c>
      <c r="H534" s="11" t="s">
        <v>1963</v>
      </c>
      <c r="I534" s="11" t="s">
        <v>1964</v>
      </c>
      <c r="J534" s="12">
        <v>0.85399999999999998</v>
      </c>
      <c r="K534" s="13">
        <v>8</v>
      </c>
      <c r="L534" s="14">
        <v>2704</v>
      </c>
      <c r="M534" s="10">
        <v>2122</v>
      </c>
      <c r="N534" s="10">
        <v>298796</v>
      </c>
      <c r="O534" s="10">
        <v>166406</v>
      </c>
      <c r="P534" s="10">
        <v>465202</v>
      </c>
    </row>
    <row r="535" spans="1:16" ht="27" customHeight="1" x14ac:dyDescent="0.2">
      <c r="A535" s="9" t="s">
        <v>1682</v>
      </c>
      <c r="B535" s="10" t="s">
        <v>1961</v>
      </c>
      <c r="C535" s="11" t="s">
        <v>1965</v>
      </c>
      <c r="D535" s="11" t="s">
        <v>1966</v>
      </c>
      <c r="E535" s="11" t="s">
        <v>26</v>
      </c>
      <c r="F535" s="11" t="s">
        <v>1967</v>
      </c>
      <c r="G535" s="11" t="s">
        <v>28</v>
      </c>
      <c r="H535" s="11" t="s">
        <v>1967</v>
      </c>
      <c r="I535" s="11" t="s">
        <v>1968</v>
      </c>
      <c r="J535" s="12">
        <v>0.43940000000000001</v>
      </c>
      <c r="K535" s="13">
        <v>1</v>
      </c>
      <c r="L535" s="14">
        <v>437</v>
      </c>
      <c r="M535" s="10">
        <v>192</v>
      </c>
      <c r="N535" s="10">
        <v>48289</v>
      </c>
      <c r="O535" s="10">
        <v>15056</v>
      </c>
      <c r="P535" s="10">
        <v>63345</v>
      </c>
    </row>
    <row r="536" spans="1:16" ht="27" customHeight="1" x14ac:dyDescent="0.2">
      <c r="A536" s="9" t="s">
        <v>1682</v>
      </c>
      <c r="B536" s="10" t="s">
        <v>1969</v>
      </c>
      <c r="C536" s="11" t="s">
        <v>18</v>
      </c>
      <c r="D536" s="11" t="s">
        <v>19</v>
      </c>
      <c r="E536" s="11" t="s">
        <v>19</v>
      </c>
      <c r="F536" s="11" t="s">
        <v>1970</v>
      </c>
      <c r="G536" s="11" t="s">
        <v>83</v>
      </c>
      <c r="H536" s="11" t="s">
        <v>1971</v>
      </c>
      <c r="I536" s="11" t="s">
        <v>1972</v>
      </c>
      <c r="J536" s="12">
        <v>5.79E-2</v>
      </c>
      <c r="K536" s="13">
        <v>5</v>
      </c>
      <c r="L536" s="14">
        <v>3892</v>
      </c>
      <c r="M536" s="10">
        <v>199</v>
      </c>
      <c r="N536" s="10">
        <v>430073</v>
      </c>
      <c r="O536" s="10">
        <v>15605</v>
      </c>
      <c r="P536" s="10">
        <v>445678</v>
      </c>
    </row>
    <row r="537" spans="1:16" ht="27" customHeight="1" x14ac:dyDescent="0.2">
      <c r="A537" s="9" t="s">
        <v>1682</v>
      </c>
      <c r="B537" s="10" t="s">
        <v>1973</v>
      </c>
      <c r="C537" s="11" t="s">
        <v>18</v>
      </c>
      <c r="D537" s="11" t="s">
        <v>19</v>
      </c>
      <c r="E537" s="11" t="s">
        <v>19</v>
      </c>
      <c r="F537" s="11" t="s">
        <v>1974</v>
      </c>
      <c r="G537" s="11" t="s">
        <v>83</v>
      </c>
      <c r="H537" s="11" t="s">
        <v>1975</v>
      </c>
      <c r="I537" s="11" t="s">
        <v>1976</v>
      </c>
      <c r="J537" s="12">
        <v>0.95630000000000004</v>
      </c>
      <c r="K537" s="13">
        <v>25</v>
      </c>
      <c r="L537" s="14">
        <v>14614</v>
      </c>
      <c r="M537" s="10">
        <v>13220</v>
      </c>
      <c r="N537" s="10">
        <v>1614873</v>
      </c>
      <c r="O537" s="10">
        <v>1036698</v>
      </c>
      <c r="P537" s="10">
        <v>2651571</v>
      </c>
    </row>
    <row r="538" spans="1:16" ht="27" customHeight="1" x14ac:dyDescent="0.2">
      <c r="A538" s="9" t="s">
        <v>1682</v>
      </c>
      <c r="B538" s="10" t="s">
        <v>1973</v>
      </c>
      <c r="C538" s="11" t="s">
        <v>1977</v>
      </c>
      <c r="D538" s="11" t="s">
        <v>1978</v>
      </c>
      <c r="E538" s="11" t="s">
        <v>26</v>
      </c>
      <c r="F538" s="11" t="s">
        <v>1979</v>
      </c>
      <c r="G538" s="11" t="s">
        <v>28</v>
      </c>
      <c r="H538" s="11" t="s">
        <v>1979</v>
      </c>
      <c r="I538" s="11" t="s">
        <v>1980</v>
      </c>
      <c r="J538" s="12">
        <v>0.71740000000000004</v>
      </c>
      <c r="K538" s="13">
        <v>1</v>
      </c>
      <c r="L538" s="14">
        <v>276</v>
      </c>
      <c r="M538" s="10">
        <v>198</v>
      </c>
      <c r="N538" s="10">
        <v>30498</v>
      </c>
      <c r="O538" s="10">
        <v>15527</v>
      </c>
      <c r="P538" s="10">
        <v>46025</v>
      </c>
    </row>
    <row r="539" spans="1:16" ht="27" customHeight="1" x14ac:dyDescent="0.2">
      <c r="A539" s="9" t="s">
        <v>1682</v>
      </c>
      <c r="B539" s="10" t="s">
        <v>1973</v>
      </c>
      <c r="C539" s="11" t="s">
        <v>1981</v>
      </c>
      <c r="D539" s="11" t="s">
        <v>1982</v>
      </c>
      <c r="E539" s="11" t="s">
        <v>26</v>
      </c>
      <c r="F539" s="11" t="s">
        <v>1983</v>
      </c>
      <c r="G539" s="11" t="s">
        <v>28</v>
      </c>
      <c r="H539" s="11" t="s">
        <v>1983</v>
      </c>
      <c r="I539" s="11" t="s">
        <v>1984</v>
      </c>
      <c r="J539" s="12">
        <v>0.74219999999999997</v>
      </c>
      <c r="K539" s="13">
        <v>1</v>
      </c>
      <c r="L539" s="14">
        <v>741</v>
      </c>
      <c r="M539" s="10">
        <v>550</v>
      </c>
      <c r="N539" s="10">
        <v>81882</v>
      </c>
      <c r="O539" s="10">
        <v>43130</v>
      </c>
      <c r="P539" s="10">
        <v>125012</v>
      </c>
    </row>
    <row r="540" spans="1:16" ht="27" customHeight="1" x14ac:dyDescent="0.2">
      <c r="A540" s="9" t="s">
        <v>1682</v>
      </c>
      <c r="B540" s="10" t="s">
        <v>1985</v>
      </c>
      <c r="C540" s="11" t="s">
        <v>18</v>
      </c>
      <c r="D540" s="11" t="s">
        <v>19</v>
      </c>
      <c r="E540" s="11" t="s">
        <v>19</v>
      </c>
      <c r="F540" s="11" t="s">
        <v>1986</v>
      </c>
      <c r="G540" s="11" t="s">
        <v>83</v>
      </c>
      <c r="H540" s="11" t="s">
        <v>1987</v>
      </c>
      <c r="I540" s="11" t="s">
        <v>1988</v>
      </c>
      <c r="J540" s="12">
        <v>0.3861</v>
      </c>
      <c r="K540" s="13">
        <v>18</v>
      </c>
      <c r="L540" s="14">
        <v>9760</v>
      </c>
      <c r="M540" s="10">
        <v>2332</v>
      </c>
      <c r="N540" s="10">
        <v>1078496</v>
      </c>
      <c r="O540" s="10">
        <v>182874</v>
      </c>
      <c r="P540" s="10">
        <v>1261370</v>
      </c>
    </row>
    <row r="541" spans="1:16" ht="27" customHeight="1" x14ac:dyDescent="0.2">
      <c r="A541" s="9" t="s">
        <v>1682</v>
      </c>
      <c r="B541" s="10" t="s">
        <v>1989</v>
      </c>
      <c r="C541" s="11" t="s">
        <v>18</v>
      </c>
      <c r="D541" s="11" t="s">
        <v>19</v>
      </c>
      <c r="E541" s="11" t="s">
        <v>19</v>
      </c>
      <c r="F541" s="11" t="s">
        <v>1990</v>
      </c>
      <c r="G541" s="11" t="s">
        <v>83</v>
      </c>
      <c r="H541" s="11" t="s">
        <v>1991</v>
      </c>
      <c r="I541" s="11" t="s">
        <v>1992</v>
      </c>
      <c r="J541" s="12">
        <v>0.90149999999999997</v>
      </c>
      <c r="K541" s="13">
        <v>10</v>
      </c>
      <c r="L541" s="14">
        <v>4808</v>
      </c>
      <c r="M541" s="10">
        <v>3823</v>
      </c>
      <c r="N541" s="10">
        <v>531291</v>
      </c>
      <c r="O541" s="10">
        <v>299796</v>
      </c>
      <c r="P541" s="10">
        <v>831087</v>
      </c>
    </row>
    <row r="542" spans="1:16" ht="27" customHeight="1" x14ac:dyDescent="0.2">
      <c r="A542" s="9" t="s">
        <v>1682</v>
      </c>
      <c r="B542" s="10" t="s">
        <v>1989</v>
      </c>
      <c r="C542" s="11" t="s">
        <v>1993</v>
      </c>
      <c r="D542" s="11" t="s">
        <v>1994</v>
      </c>
      <c r="E542" s="11" t="s">
        <v>26</v>
      </c>
      <c r="F542" s="11" t="s">
        <v>1995</v>
      </c>
      <c r="G542" s="11" t="s">
        <v>28</v>
      </c>
      <c r="H542" s="11" t="s">
        <v>1685</v>
      </c>
      <c r="I542" s="11" t="s">
        <v>1686</v>
      </c>
      <c r="J542" s="12">
        <v>1</v>
      </c>
      <c r="K542" s="13">
        <v>1</v>
      </c>
      <c r="L542" s="14">
        <v>502</v>
      </c>
      <c r="M542" s="10">
        <v>391</v>
      </c>
      <c r="N542" s="10">
        <v>55472</v>
      </c>
      <c r="O542" s="10">
        <v>30662</v>
      </c>
      <c r="P542" s="10">
        <v>86134</v>
      </c>
    </row>
    <row r="543" spans="1:16" ht="27" customHeight="1" x14ac:dyDescent="0.2">
      <c r="A543" s="9" t="s">
        <v>1682</v>
      </c>
      <c r="B543" s="10" t="s">
        <v>1996</v>
      </c>
      <c r="C543" s="11" t="s">
        <v>18</v>
      </c>
      <c r="D543" s="11" t="s">
        <v>19</v>
      </c>
      <c r="E543" s="11" t="s">
        <v>19</v>
      </c>
      <c r="F543" s="11" t="s">
        <v>1997</v>
      </c>
      <c r="G543" s="11" t="s">
        <v>83</v>
      </c>
      <c r="H543" s="11" t="s">
        <v>1998</v>
      </c>
      <c r="I543" s="11" t="s">
        <v>1999</v>
      </c>
      <c r="J543" s="12">
        <v>0.92889999999999995</v>
      </c>
      <c r="K543" s="13">
        <v>7</v>
      </c>
      <c r="L543" s="14">
        <v>4519</v>
      </c>
      <c r="M543" s="10">
        <v>4156</v>
      </c>
      <c r="N543" s="10">
        <v>499357</v>
      </c>
      <c r="O543" s="10">
        <v>325909</v>
      </c>
      <c r="P543" s="10">
        <v>825266</v>
      </c>
    </row>
    <row r="544" spans="1:16" ht="27" customHeight="1" x14ac:dyDescent="0.2">
      <c r="A544" s="9" t="s">
        <v>1682</v>
      </c>
      <c r="B544" s="10" t="s">
        <v>1996</v>
      </c>
      <c r="C544" s="11" t="s">
        <v>2000</v>
      </c>
      <c r="D544" s="11" t="s">
        <v>2001</v>
      </c>
      <c r="E544" s="11" t="s">
        <v>26</v>
      </c>
      <c r="F544" s="11" t="s">
        <v>2002</v>
      </c>
      <c r="G544" s="11" t="s">
        <v>28</v>
      </c>
      <c r="H544" s="11" t="s">
        <v>1685</v>
      </c>
      <c r="I544" s="11" t="s">
        <v>1686</v>
      </c>
      <c r="J544" s="12">
        <v>1</v>
      </c>
      <c r="K544" s="13">
        <v>1</v>
      </c>
      <c r="L544" s="14">
        <v>583</v>
      </c>
      <c r="M544" s="10">
        <v>503</v>
      </c>
      <c r="N544" s="10">
        <v>64422</v>
      </c>
      <c r="O544" s="10">
        <v>39445</v>
      </c>
      <c r="P544" s="10">
        <v>103867</v>
      </c>
    </row>
    <row r="545" spans="1:16" ht="27" customHeight="1" x14ac:dyDescent="0.2">
      <c r="A545" s="9" t="s">
        <v>1682</v>
      </c>
      <c r="B545" s="10" t="s">
        <v>1996</v>
      </c>
      <c r="C545" s="11" t="s">
        <v>2003</v>
      </c>
      <c r="D545" s="11" t="s">
        <v>2004</v>
      </c>
      <c r="E545" s="11" t="s">
        <v>26</v>
      </c>
      <c r="F545" s="11" t="s">
        <v>2005</v>
      </c>
      <c r="G545" s="11" t="s">
        <v>28</v>
      </c>
      <c r="H545" s="11" t="s">
        <v>1685</v>
      </c>
      <c r="I545" s="11" t="s">
        <v>1686</v>
      </c>
      <c r="J545" s="12">
        <v>1</v>
      </c>
      <c r="K545" s="13">
        <v>1</v>
      </c>
      <c r="L545" s="14">
        <v>452</v>
      </c>
      <c r="M545" s="10">
        <v>375</v>
      </c>
      <c r="N545" s="10">
        <v>49947</v>
      </c>
      <c r="O545" s="10">
        <v>29407</v>
      </c>
      <c r="P545" s="10">
        <v>79354</v>
      </c>
    </row>
    <row r="546" spans="1:16" ht="27" customHeight="1" x14ac:dyDescent="0.2">
      <c r="A546" s="9" t="s">
        <v>1682</v>
      </c>
      <c r="B546" s="10" t="s">
        <v>1996</v>
      </c>
      <c r="C546" s="11" t="s">
        <v>2006</v>
      </c>
      <c r="D546" s="11" t="s">
        <v>2007</v>
      </c>
      <c r="E546" s="11" t="s">
        <v>26</v>
      </c>
      <c r="F546" s="11" t="s">
        <v>2008</v>
      </c>
      <c r="G546" s="11" t="s">
        <v>28</v>
      </c>
      <c r="H546" s="11" t="s">
        <v>1685</v>
      </c>
      <c r="I546" s="11" t="s">
        <v>1686</v>
      </c>
      <c r="J546" s="12">
        <v>1</v>
      </c>
      <c r="K546" s="13">
        <v>1</v>
      </c>
      <c r="L546" s="14">
        <v>655</v>
      </c>
      <c r="M546" s="10">
        <v>611</v>
      </c>
      <c r="N546" s="10">
        <v>72379</v>
      </c>
      <c r="O546" s="10">
        <v>47914</v>
      </c>
      <c r="P546" s="10">
        <v>120293</v>
      </c>
    </row>
    <row r="547" spans="1:16" ht="27" customHeight="1" x14ac:dyDescent="0.2">
      <c r="A547" s="9" t="s">
        <v>1682</v>
      </c>
      <c r="B547" s="10" t="s">
        <v>2009</v>
      </c>
      <c r="C547" s="11" t="s">
        <v>18</v>
      </c>
      <c r="D547" s="11" t="s">
        <v>19</v>
      </c>
      <c r="E547" s="11" t="s">
        <v>19</v>
      </c>
      <c r="F547" s="11" t="s">
        <v>2010</v>
      </c>
      <c r="G547" s="11" t="s">
        <v>83</v>
      </c>
      <c r="H547" s="11" t="s">
        <v>2011</v>
      </c>
      <c r="I547" s="11" t="s">
        <v>2012</v>
      </c>
      <c r="J547" s="12">
        <v>0.84809999999999997</v>
      </c>
      <c r="K547" s="13">
        <v>10</v>
      </c>
      <c r="L547" s="14">
        <v>3818</v>
      </c>
      <c r="M547" s="10">
        <v>2727</v>
      </c>
      <c r="N547" s="10">
        <v>421897</v>
      </c>
      <c r="O547" s="10">
        <v>213851</v>
      </c>
      <c r="P547" s="10">
        <v>635748</v>
      </c>
    </row>
    <row r="548" spans="1:16" ht="27" customHeight="1" x14ac:dyDescent="0.2">
      <c r="A548" s="9" t="s">
        <v>1682</v>
      </c>
      <c r="B548" s="10" t="s">
        <v>2013</v>
      </c>
      <c r="C548" s="11" t="s">
        <v>18</v>
      </c>
      <c r="D548" s="11" t="s">
        <v>19</v>
      </c>
      <c r="E548" s="11" t="s">
        <v>19</v>
      </c>
      <c r="F548" s="11" t="s">
        <v>2014</v>
      </c>
      <c r="G548" s="11" t="s">
        <v>83</v>
      </c>
      <c r="H548" s="11" t="s">
        <v>2015</v>
      </c>
      <c r="I548" s="11" t="s">
        <v>2016</v>
      </c>
      <c r="J548" s="12">
        <v>0.75860000000000005</v>
      </c>
      <c r="K548" s="13">
        <v>85</v>
      </c>
      <c r="L548" s="14">
        <v>66584</v>
      </c>
      <c r="M548" s="10">
        <v>35601</v>
      </c>
      <c r="N548" s="10">
        <v>7357640</v>
      </c>
      <c r="O548" s="10">
        <v>2791793</v>
      </c>
      <c r="P548" s="10">
        <v>10149433</v>
      </c>
    </row>
    <row r="549" spans="1:16" ht="27" customHeight="1" x14ac:dyDescent="0.2">
      <c r="A549" s="9" t="s">
        <v>1682</v>
      </c>
      <c r="B549" s="10" t="s">
        <v>2013</v>
      </c>
      <c r="C549" s="11" t="s">
        <v>2017</v>
      </c>
      <c r="D549" s="11" t="s">
        <v>2018</v>
      </c>
      <c r="E549" s="11" t="s">
        <v>26</v>
      </c>
      <c r="F549" s="11" t="s">
        <v>2019</v>
      </c>
      <c r="G549" s="11" t="s">
        <v>28</v>
      </c>
      <c r="H549" s="11" t="s">
        <v>1685</v>
      </c>
      <c r="I549" s="11" t="s">
        <v>1686</v>
      </c>
      <c r="J549" s="12">
        <v>1</v>
      </c>
      <c r="K549" s="13">
        <v>1</v>
      </c>
      <c r="L549" s="14">
        <v>233</v>
      </c>
      <c r="M549" s="10">
        <v>63</v>
      </c>
      <c r="N549" s="10">
        <v>25747</v>
      </c>
      <c r="O549" s="10">
        <v>4940</v>
      </c>
      <c r="P549" s="10">
        <v>30687</v>
      </c>
    </row>
    <row r="550" spans="1:16" ht="27" customHeight="1" x14ac:dyDescent="0.2">
      <c r="A550" s="9" t="s">
        <v>1682</v>
      </c>
      <c r="B550" s="10" t="s">
        <v>2013</v>
      </c>
      <c r="C550" s="11" t="s">
        <v>2020</v>
      </c>
      <c r="D550" s="11" t="s">
        <v>2021</v>
      </c>
      <c r="E550" s="11" t="s">
        <v>26</v>
      </c>
      <c r="F550" s="11" t="s">
        <v>2022</v>
      </c>
      <c r="G550" s="11" t="s">
        <v>28</v>
      </c>
      <c r="H550" s="11" t="s">
        <v>1685</v>
      </c>
      <c r="I550" s="11" t="s">
        <v>1686</v>
      </c>
      <c r="J550" s="12">
        <v>1</v>
      </c>
      <c r="K550" s="13">
        <v>1</v>
      </c>
      <c r="L550" s="14">
        <v>39</v>
      </c>
      <c r="M550" s="10">
        <v>35</v>
      </c>
      <c r="N550" s="10">
        <v>4310</v>
      </c>
      <c r="O550" s="10">
        <v>2745</v>
      </c>
      <c r="P550" s="10">
        <v>7055</v>
      </c>
    </row>
    <row r="551" spans="1:16" ht="27" customHeight="1" x14ac:dyDescent="0.2">
      <c r="A551" s="9" t="s">
        <v>1682</v>
      </c>
      <c r="B551" s="10" t="s">
        <v>2023</v>
      </c>
      <c r="C551" s="11" t="s">
        <v>18</v>
      </c>
      <c r="D551" s="11" t="s">
        <v>19</v>
      </c>
      <c r="E551" s="11" t="s">
        <v>19</v>
      </c>
      <c r="F551" s="11" t="s">
        <v>2024</v>
      </c>
      <c r="G551" s="11" t="s">
        <v>83</v>
      </c>
      <c r="H551" s="11" t="s">
        <v>1685</v>
      </c>
      <c r="I551" s="11" t="s">
        <v>1686</v>
      </c>
      <c r="J551" s="12">
        <v>1</v>
      </c>
      <c r="K551" s="13">
        <v>735</v>
      </c>
      <c r="L551" s="14">
        <v>399465</v>
      </c>
      <c r="M551" s="10">
        <v>343005</v>
      </c>
      <c r="N551" s="10">
        <v>44141547</v>
      </c>
      <c r="O551" s="10">
        <v>26898106</v>
      </c>
      <c r="P551" s="10">
        <v>71039653</v>
      </c>
    </row>
    <row r="552" spans="1:16" ht="27" customHeight="1" x14ac:dyDescent="0.2">
      <c r="A552" s="9" t="s">
        <v>1682</v>
      </c>
      <c r="B552" s="10" t="s">
        <v>2023</v>
      </c>
      <c r="C552" s="11" t="s">
        <v>2025</v>
      </c>
      <c r="D552" s="11" t="s">
        <v>2026</v>
      </c>
      <c r="E552" s="11" t="s">
        <v>26</v>
      </c>
      <c r="F552" s="11" t="s">
        <v>2027</v>
      </c>
      <c r="G552" s="11" t="s">
        <v>28</v>
      </c>
      <c r="H552" s="11" t="s">
        <v>2027</v>
      </c>
      <c r="I552" s="11" t="s">
        <v>2028</v>
      </c>
      <c r="J552" s="12">
        <v>0.99750000000000005</v>
      </c>
      <c r="K552" s="13">
        <v>1</v>
      </c>
      <c r="L552" s="14">
        <v>408</v>
      </c>
      <c r="M552" s="10">
        <v>407</v>
      </c>
      <c r="N552" s="10">
        <v>45085</v>
      </c>
      <c r="O552" s="10">
        <v>31917</v>
      </c>
      <c r="P552" s="10">
        <v>77002</v>
      </c>
    </row>
    <row r="553" spans="1:16" ht="27" customHeight="1" x14ac:dyDescent="0.2">
      <c r="A553" s="9" t="s">
        <v>1682</v>
      </c>
      <c r="B553" s="10" t="s">
        <v>2023</v>
      </c>
      <c r="C553" s="11" t="s">
        <v>2029</v>
      </c>
      <c r="D553" s="11" t="s">
        <v>2030</v>
      </c>
      <c r="E553" s="11" t="s">
        <v>26</v>
      </c>
      <c r="F553" s="11" t="s">
        <v>2031</v>
      </c>
      <c r="G553" s="11" t="s">
        <v>28</v>
      </c>
      <c r="H553" s="11" t="s">
        <v>1685</v>
      </c>
      <c r="I553" s="11" t="s">
        <v>1686</v>
      </c>
      <c r="J553" s="12">
        <v>1</v>
      </c>
      <c r="K553" s="13">
        <v>1</v>
      </c>
      <c r="L553" s="14">
        <v>479</v>
      </c>
      <c r="M553" s="10">
        <v>460</v>
      </c>
      <c r="N553" s="10">
        <v>52930</v>
      </c>
      <c r="O553" s="10">
        <v>36073</v>
      </c>
      <c r="P553" s="10">
        <v>89003</v>
      </c>
    </row>
    <row r="554" spans="1:16" ht="27" customHeight="1" x14ac:dyDescent="0.2">
      <c r="A554" s="9" t="s">
        <v>1682</v>
      </c>
      <c r="B554" s="10" t="s">
        <v>2023</v>
      </c>
      <c r="C554" s="11" t="s">
        <v>2032</v>
      </c>
      <c r="D554" s="11" t="s">
        <v>2033</v>
      </c>
      <c r="E554" s="11" t="s">
        <v>26</v>
      </c>
      <c r="F554" s="11" t="s">
        <v>2034</v>
      </c>
      <c r="G554" s="11" t="s">
        <v>28</v>
      </c>
      <c r="H554" s="11" t="s">
        <v>1685</v>
      </c>
      <c r="I554" s="11" t="s">
        <v>1686</v>
      </c>
      <c r="J554" s="12">
        <v>1</v>
      </c>
      <c r="K554" s="13">
        <v>1</v>
      </c>
      <c r="L554" s="14">
        <v>359</v>
      </c>
      <c r="M554" s="10">
        <v>172</v>
      </c>
      <c r="N554" s="10">
        <v>39670</v>
      </c>
      <c r="O554" s="10">
        <v>13488</v>
      </c>
      <c r="P554" s="10">
        <v>53158</v>
      </c>
    </row>
    <row r="555" spans="1:16" ht="27" customHeight="1" x14ac:dyDescent="0.2">
      <c r="A555" s="9" t="s">
        <v>1682</v>
      </c>
      <c r="B555" s="10" t="s">
        <v>2023</v>
      </c>
      <c r="C555" s="11" t="s">
        <v>2035</v>
      </c>
      <c r="D555" s="11" t="s">
        <v>2036</v>
      </c>
      <c r="E555" s="11" t="s">
        <v>26</v>
      </c>
      <c r="F555" s="11" t="s">
        <v>2037</v>
      </c>
      <c r="G555" s="11" t="s">
        <v>28</v>
      </c>
      <c r="H555" s="11" t="s">
        <v>2037</v>
      </c>
      <c r="I555" s="11" t="s">
        <v>2038</v>
      </c>
      <c r="J555" s="12">
        <v>0.96599999999999997</v>
      </c>
      <c r="K555" s="13">
        <v>1</v>
      </c>
      <c r="L555" s="14">
        <v>500</v>
      </c>
      <c r="M555" s="10">
        <v>483</v>
      </c>
      <c r="N555" s="10">
        <v>55251</v>
      </c>
      <c r="O555" s="10">
        <v>37876</v>
      </c>
      <c r="P555" s="10">
        <v>93127</v>
      </c>
    </row>
    <row r="556" spans="1:16" ht="27" customHeight="1" x14ac:dyDescent="0.2">
      <c r="A556" s="9" t="s">
        <v>1682</v>
      </c>
      <c r="B556" s="10" t="s">
        <v>2023</v>
      </c>
      <c r="C556" s="11" t="s">
        <v>2039</v>
      </c>
      <c r="D556" s="11" t="s">
        <v>2040</v>
      </c>
      <c r="E556" s="11" t="s">
        <v>26</v>
      </c>
      <c r="F556" s="11" t="s">
        <v>2041</v>
      </c>
      <c r="G556" s="11" t="s">
        <v>28</v>
      </c>
      <c r="H556" s="11" t="s">
        <v>1685</v>
      </c>
      <c r="I556" s="11" t="s">
        <v>1686</v>
      </c>
      <c r="J556" s="12">
        <v>1</v>
      </c>
      <c r="K556" s="13">
        <v>1</v>
      </c>
      <c r="L556" s="14">
        <v>464</v>
      </c>
      <c r="M556" s="10">
        <v>338</v>
      </c>
      <c r="N556" s="10">
        <v>51273</v>
      </c>
      <c r="O556" s="10">
        <v>26506</v>
      </c>
      <c r="P556" s="10">
        <v>77779</v>
      </c>
    </row>
    <row r="557" spans="1:16" ht="27" customHeight="1" x14ac:dyDescent="0.2">
      <c r="A557" s="9" t="s">
        <v>1682</v>
      </c>
      <c r="B557" s="10" t="s">
        <v>2023</v>
      </c>
      <c r="C557" s="11" t="s">
        <v>2042</v>
      </c>
      <c r="D557" s="11" t="s">
        <v>2043</v>
      </c>
      <c r="E557" s="11" t="s">
        <v>26</v>
      </c>
      <c r="F557" s="11" t="s">
        <v>2044</v>
      </c>
      <c r="G557" s="11" t="s">
        <v>28</v>
      </c>
      <c r="H557" s="11" t="s">
        <v>1685</v>
      </c>
      <c r="I557" s="11" t="s">
        <v>1686</v>
      </c>
      <c r="J557" s="12">
        <v>1</v>
      </c>
      <c r="K557" s="13">
        <v>1</v>
      </c>
      <c r="L557" s="14">
        <v>481</v>
      </c>
      <c r="M557" s="10">
        <v>408</v>
      </c>
      <c r="N557" s="10">
        <v>53151</v>
      </c>
      <c r="O557" s="10">
        <v>31995</v>
      </c>
      <c r="P557" s="10">
        <v>85146</v>
      </c>
    </row>
    <row r="558" spans="1:16" ht="27" customHeight="1" x14ac:dyDescent="0.2">
      <c r="A558" s="9" t="s">
        <v>1682</v>
      </c>
      <c r="B558" s="10" t="s">
        <v>2023</v>
      </c>
      <c r="C558" s="11" t="s">
        <v>2045</v>
      </c>
      <c r="D558" s="11" t="s">
        <v>2046</v>
      </c>
      <c r="E558" s="11" t="s">
        <v>26</v>
      </c>
      <c r="F558" s="11" t="s">
        <v>2047</v>
      </c>
      <c r="G558" s="11" t="s">
        <v>28</v>
      </c>
      <c r="H558" s="11" t="s">
        <v>1685</v>
      </c>
      <c r="I558" s="11" t="s">
        <v>1686</v>
      </c>
      <c r="J558" s="12">
        <v>1</v>
      </c>
      <c r="K558" s="13">
        <v>1</v>
      </c>
      <c r="L558" s="14">
        <v>513</v>
      </c>
      <c r="M558" s="10">
        <v>458</v>
      </c>
      <c r="N558" s="10">
        <v>56687</v>
      </c>
      <c r="O558" s="10">
        <v>35916</v>
      </c>
      <c r="P558" s="10">
        <v>92603</v>
      </c>
    </row>
    <row r="559" spans="1:16" ht="27" customHeight="1" x14ac:dyDescent="0.2">
      <c r="A559" s="9" t="s">
        <v>1682</v>
      </c>
      <c r="B559" s="10" t="s">
        <v>2023</v>
      </c>
      <c r="C559" s="11" t="s">
        <v>2048</v>
      </c>
      <c r="D559" s="11" t="s">
        <v>2049</v>
      </c>
      <c r="E559" s="11" t="s">
        <v>26</v>
      </c>
      <c r="F559" s="11" t="s">
        <v>2050</v>
      </c>
      <c r="G559" s="11" t="s">
        <v>28</v>
      </c>
      <c r="H559" s="11" t="s">
        <v>1685</v>
      </c>
      <c r="I559" s="11" t="s">
        <v>1686</v>
      </c>
      <c r="J559" s="12">
        <v>1</v>
      </c>
      <c r="K559" s="13">
        <v>1</v>
      </c>
      <c r="L559" s="14">
        <v>375</v>
      </c>
      <c r="M559" s="10">
        <v>368</v>
      </c>
      <c r="N559" s="10">
        <v>41438</v>
      </c>
      <c r="O559" s="10">
        <v>28858</v>
      </c>
      <c r="P559" s="10">
        <v>70296</v>
      </c>
    </row>
    <row r="560" spans="1:16" ht="27" customHeight="1" x14ac:dyDescent="0.2">
      <c r="A560" s="9" t="s">
        <v>1682</v>
      </c>
      <c r="B560" s="10" t="s">
        <v>2023</v>
      </c>
      <c r="C560" s="11" t="s">
        <v>2051</v>
      </c>
      <c r="D560" s="11" t="s">
        <v>2052</v>
      </c>
      <c r="E560" s="11" t="s">
        <v>26</v>
      </c>
      <c r="F560" s="11" t="s">
        <v>2053</v>
      </c>
      <c r="G560" s="11" t="s">
        <v>28</v>
      </c>
      <c r="H560" s="11" t="s">
        <v>1685</v>
      </c>
      <c r="I560" s="11" t="s">
        <v>1686</v>
      </c>
      <c r="J560" s="12">
        <v>1</v>
      </c>
      <c r="K560" s="13">
        <v>1</v>
      </c>
      <c r="L560" s="14">
        <v>472</v>
      </c>
      <c r="M560" s="10">
        <v>447</v>
      </c>
      <c r="N560" s="10">
        <v>52157</v>
      </c>
      <c r="O560" s="10">
        <v>35053</v>
      </c>
      <c r="P560" s="10">
        <v>87210</v>
      </c>
    </row>
    <row r="561" spans="1:16" ht="27" customHeight="1" x14ac:dyDescent="0.2">
      <c r="A561" s="9" t="s">
        <v>1682</v>
      </c>
      <c r="B561" s="10" t="s">
        <v>2023</v>
      </c>
      <c r="C561" s="11" t="s">
        <v>2054</v>
      </c>
      <c r="D561" s="11" t="s">
        <v>2055</v>
      </c>
      <c r="E561" s="11" t="s">
        <v>26</v>
      </c>
      <c r="F561" s="11" t="s">
        <v>2056</v>
      </c>
      <c r="G561" s="11" t="s">
        <v>28</v>
      </c>
      <c r="H561" s="11" t="s">
        <v>1685</v>
      </c>
      <c r="I561" s="11" t="s">
        <v>1686</v>
      </c>
      <c r="J561" s="12">
        <v>1</v>
      </c>
      <c r="K561" s="13">
        <v>1</v>
      </c>
      <c r="L561" s="14">
        <v>147</v>
      </c>
      <c r="M561" s="10">
        <v>145</v>
      </c>
      <c r="N561" s="10">
        <v>16244</v>
      </c>
      <c r="O561" s="10">
        <v>11371</v>
      </c>
      <c r="P561" s="10">
        <v>27615</v>
      </c>
    </row>
    <row r="562" spans="1:16" ht="27" customHeight="1" x14ac:dyDescent="0.2">
      <c r="A562" s="9" t="s">
        <v>1682</v>
      </c>
      <c r="B562" s="10" t="s">
        <v>2023</v>
      </c>
      <c r="C562" s="11" t="s">
        <v>2057</v>
      </c>
      <c r="D562" s="11" t="s">
        <v>2058</v>
      </c>
      <c r="E562" s="11" t="s">
        <v>26</v>
      </c>
      <c r="F562" s="11" t="s">
        <v>2059</v>
      </c>
      <c r="G562" s="11" t="s">
        <v>28</v>
      </c>
      <c r="H562" s="11" t="s">
        <v>1685</v>
      </c>
      <c r="I562" s="11" t="s">
        <v>1686</v>
      </c>
      <c r="J562" s="12">
        <v>1</v>
      </c>
      <c r="K562" s="13">
        <v>1</v>
      </c>
      <c r="L562" s="14">
        <v>606</v>
      </c>
      <c r="M562" s="10">
        <v>573</v>
      </c>
      <c r="N562" s="10">
        <v>66964</v>
      </c>
      <c r="O562" s="10">
        <v>44934</v>
      </c>
      <c r="P562" s="10">
        <v>111898</v>
      </c>
    </row>
    <row r="563" spans="1:16" ht="27" customHeight="1" x14ac:dyDescent="0.2">
      <c r="A563" s="9" t="s">
        <v>1682</v>
      </c>
      <c r="B563" s="10" t="s">
        <v>2023</v>
      </c>
      <c r="C563" s="11" t="s">
        <v>2060</v>
      </c>
      <c r="D563" s="11" t="s">
        <v>2061</v>
      </c>
      <c r="E563" s="11" t="s">
        <v>26</v>
      </c>
      <c r="F563" s="11" t="s">
        <v>2062</v>
      </c>
      <c r="G563" s="11" t="s">
        <v>28</v>
      </c>
      <c r="H563" s="11" t="s">
        <v>2062</v>
      </c>
      <c r="I563" s="11" t="s">
        <v>2063</v>
      </c>
      <c r="J563" s="12">
        <v>0.64539999999999997</v>
      </c>
      <c r="K563" s="13">
        <v>1</v>
      </c>
      <c r="L563" s="14">
        <v>454</v>
      </c>
      <c r="M563" s="10">
        <v>293</v>
      </c>
      <c r="N563" s="10">
        <v>50168</v>
      </c>
      <c r="O563" s="10">
        <v>22977</v>
      </c>
      <c r="P563" s="10">
        <v>73145</v>
      </c>
    </row>
    <row r="564" spans="1:16" ht="27" customHeight="1" x14ac:dyDescent="0.2">
      <c r="A564" s="9" t="s">
        <v>1682</v>
      </c>
      <c r="B564" s="10" t="s">
        <v>2023</v>
      </c>
      <c r="C564" s="11" t="s">
        <v>2064</v>
      </c>
      <c r="D564" s="11" t="s">
        <v>2065</v>
      </c>
      <c r="E564" s="11" t="s">
        <v>26</v>
      </c>
      <c r="F564" s="11" t="s">
        <v>2066</v>
      </c>
      <c r="G564" s="11" t="s">
        <v>28</v>
      </c>
      <c r="H564" s="11" t="s">
        <v>2066</v>
      </c>
      <c r="I564" s="11" t="s">
        <v>2067</v>
      </c>
      <c r="J564" s="12">
        <v>0.16489999999999999</v>
      </c>
      <c r="K564" s="13">
        <v>1</v>
      </c>
      <c r="L564" s="14">
        <v>552</v>
      </c>
      <c r="M564" s="10">
        <v>91</v>
      </c>
      <c r="N564" s="10">
        <v>60997</v>
      </c>
      <c r="O564" s="10">
        <v>7136</v>
      </c>
      <c r="P564" s="10">
        <v>68133</v>
      </c>
    </row>
    <row r="565" spans="1:16" ht="27" customHeight="1" x14ac:dyDescent="0.2">
      <c r="A565" s="9" t="s">
        <v>1682</v>
      </c>
      <c r="B565" s="10" t="s">
        <v>2023</v>
      </c>
      <c r="C565" s="11" t="s">
        <v>2068</v>
      </c>
      <c r="D565" s="11" t="s">
        <v>2069</v>
      </c>
      <c r="E565" s="11" t="s">
        <v>26</v>
      </c>
      <c r="F565" s="11" t="s">
        <v>2070</v>
      </c>
      <c r="G565" s="11" t="s">
        <v>28</v>
      </c>
      <c r="H565" s="11" t="s">
        <v>2070</v>
      </c>
      <c r="I565" s="11" t="s">
        <v>2071</v>
      </c>
      <c r="J565" s="12">
        <v>0.92279999999999995</v>
      </c>
      <c r="K565" s="13">
        <v>1</v>
      </c>
      <c r="L565" s="14">
        <v>272</v>
      </c>
      <c r="M565" s="10">
        <v>251</v>
      </c>
      <c r="N565" s="10">
        <v>30056</v>
      </c>
      <c r="O565" s="10">
        <v>19683</v>
      </c>
      <c r="P565" s="10">
        <v>49739</v>
      </c>
    </row>
    <row r="566" spans="1:16" ht="27" customHeight="1" x14ac:dyDescent="0.2">
      <c r="A566" s="9" t="s">
        <v>1682</v>
      </c>
      <c r="B566" s="10" t="s">
        <v>2023</v>
      </c>
      <c r="C566" s="11" t="s">
        <v>2072</v>
      </c>
      <c r="D566" s="11" t="s">
        <v>2073</v>
      </c>
      <c r="E566" s="11" t="s">
        <v>26</v>
      </c>
      <c r="F566" s="11" t="s">
        <v>2074</v>
      </c>
      <c r="G566" s="11" t="s">
        <v>28</v>
      </c>
      <c r="H566" s="11" t="s">
        <v>1685</v>
      </c>
      <c r="I566" s="11" t="s">
        <v>1686</v>
      </c>
      <c r="J566" s="12">
        <v>1</v>
      </c>
      <c r="K566" s="13">
        <v>1</v>
      </c>
      <c r="L566" s="14">
        <v>617</v>
      </c>
      <c r="M566" s="10">
        <v>598</v>
      </c>
      <c r="N566" s="10">
        <v>68180</v>
      </c>
      <c r="O566" s="10">
        <v>46895</v>
      </c>
      <c r="P566" s="10">
        <v>115075</v>
      </c>
    </row>
    <row r="567" spans="1:16" ht="27" customHeight="1" x14ac:dyDescent="0.2">
      <c r="A567" s="9" t="s">
        <v>1682</v>
      </c>
      <c r="B567" s="10" t="s">
        <v>2023</v>
      </c>
      <c r="C567" s="11" t="s">
        <v>2075</v>
      </c>
      <c r="D567" s="11" t="s">
        <v>2076</v>
      </c>
      <c r="E567" s="11" t="s">
        <v>26</v>
      </c>
      <c r="F567" s="11" t="s">
        <v>2077</v>
      </c>
      <c r="G567" s="11" t="s">
        <v>28</v>
      </c>
      <c r="H567" s="11" t="s">
        <v>1685</v>
      </c>
      <c r="I567" s="11" t="s">
        <v>1686</v>
      </c>
      <c r="J567" s="12">
        <v>1</v>
      </c>
      <c r="K567" s="13">
        <v>1</v>
      </c>
      <c r="L567" s="14">
        <v>298</v>
      </c>
      <c r="M567" s="10">
        <v>266</v>
      </c>
      <c r="N567" s="10">
        <v>32929</v>
      </c>
      <c r="O567" s="10">
        <v>20859</v>
      </c>
      <c r="P567" s="10">
        <v>53788</v>
      </c>
    </row>
    <row r="568" spans="1:16" ht="27" customHeight="1" x14ac:dyDescent="0.2">
      <c r="A568" s="9" t="s">
        <v>1682</v>
      </c>
      <c r="B568" s="10" t="s">
        <v>2023</v>
      </c>
      <c r="C568" s="11" t="s">
        <v>2078</v>
      </c>
      <c r="D568" s="11" t="s">
        <v>2079</v>
      </c>
      <c r="E568" s="11" t="s">
        <v>26</v>
      </c>
      <c r="F568" s="11" t="s">
        <v>2080</v>
      </c>
      <c r="G568" s="11" t="s">
        <v>28</v>
      </c>
      <c r="H568" s="11" t="s">
        <v>2080</v>
      </c>
      <c r="I568" s="11" t="s">
        <v>2081</v>
      </c>
      <c r="J568" s="12">
        <v>0.97340000000000004</v>
      </c>
      <c r="K568" s="13">
        <v>1</v>
      </c>
      <c r="L568" s="14">
        <v>414</v>
      </c>
      <c r="M568" s="10">
        <v>403</v>
      </c>
      <c r="N568" s="10">
        <v>45748</v>
      </c>
      <c r="O568" s="10">
        <v>31603</v>
      </c>
      <c r="P568" s="10">
        <v>77351</v>
      </c>
    </row>
    <row r="569" spans="1:16" ht="27" customHeight="1" x14ac:dyDescent="0.2">
      <c r="A569" s="9" t="s">
        <v>1682</v>
      </c>
      <c r="B569" s="10" t="s">
        <v>2023</v>
      </c>
      <c r="C569" s="11" t="s">
        <v>2082</v>
      </c>
      <c r="D569" s="11" t="s">
        <v>2083</v>
      </c>
      <c r="E569" s="11" t="s">
        <v>57</v>
      </c>
      <c r="F569" s="11" t="s">
        <v>2084</v>
      </c>
      <c r="G569" s="11" t="s">
        <v>28</v>
      </c>
      <c r="H569" s="11" t="s">
        <v>2084</v>
      </c>
      <c r="I569" s="11" t="s">
        <v>2085</v>
      </c>
      <c r="J569" s="12">
        <v>0.86209999999999998</v>
      </c>
      <c r="K569" s="13">
        <v>1</v>
      </c>
      <c r="L569" s="14">
        <v>609</v>
      </c>
      <c r="M569" s="10">
        <v>525</v>
      </c>
      <c r="N569" s="10">
        <v>67296</v>
      </c>
      <c r="O569" s="10">
        <v>41170</v>
      </c>
      <c r="P569" s="10">
        <v>108466</v>
      </c>
    </row>
    <row r="570" spans="1:16" ht="27" customHeight="1" x14ac:dyDescent="0.2">
      <c r="A570" s="9" t="s">
        <v>1682</v>
      </c>
      <c r="B570" s="10" t="s">
        <v>2023</v>
      </c>
      <c r="C570" s="11" t="s">
        <v>2086</v>
      </c>
      <c r="D570" s="11" t="s">
        <v>2087</v>
      </c>
      <c r="E570" s="11" t="s">
        <v>26</v>
      </c>
      <c r="F570" s="11" t="s">
        <v>2088</v>
      </c>
      <c r="G570" s="11" t="s">
        <v>28</v>
      </c>
      <c r="H570" s="11" t="s">
        <v>2088</v>
      </c>
      <c r="I570" s="11" t="s">
        <v>2089</v>
      </c>
      <c r="J570" s="12">
        <v>0.82120000000000004</v>
      </c>
      <c r="K570" s="13">
        <v>1</v>
      </c>
      <c r="L570" s="14">
        <v>744</v>
      </c>
      <c r="M570" s="10">
        <v>611</v>
      </c>
      <c r="N570" s="10">
        <v>82213</v>
      </c>
      <c r="O570" s="10">
        <v>47914</v>
      </c>
      <c r="P570" s="10">
        <v>130127</v>
      </c>
    </row>
    <row r="571" spans="1:16" ht="27" customHeight="1" x14ac:dyDescent="0.2">
      <c r="A571" s="9" t="s">
        <v>1682</v>
      </c>
      <c r="B571" s="10" t="s">
        <v>2023</v>
      </c>
      <c r="C571" s="11" t="s">
        <v>2090</v>
      </c>
      <c r="D571" s="11" t="s">
        <v>2091</v>
      </c>
      <c r="E571" s="11" t="s">
        <v>26</v>
      </c>
      <c r="F571" s="11" t="s">
        <v>2092</v>
      </c>
      <c r="G571" s="11" t="s">
        <v>28</v>
      </c>
      <c r="H571" s="11" t="s">
        <v>2092</v>
      </c>
      <c r="I571" s="11" t="s">
        <v>2093</v>
      </c>
      <c r="J571" s="12">
        <v>0.77590000000000003</v>
      </c>
      <c r="K571" s="13">
        <v>1</v>
      </c>
      <c r="L571" s="14">
        <v>522</v>
      </c>
      <c r="M571" s="10">
        <v>405</v>
      </c>
      <c r="N571" s="10">
        <v>57682</v>
      </c>
      <c r="O571" s="10">
        <v>31760</v>
      </c>
      <c r="P571" s="10">
        <v>89442</v>
      </c>
    </row>
    <row r="572" spans="1:16" ht="27" customHeight="1" x14ac:dyDescent="0.2">
      <c r="A572" s="9" t="s">
        <v>1682</v>
      </c>
      <c r="B572" s="10" t="s">
        <v>2023</v>
      </c>
      <c r="C572" s="11" t="s">
        <v>2094</v>
      </c>
      <c r="D572" s="11" t="s">
        <v>2095</v>
      </c>
      <c r="E572" s="11" t="s">
        <v>26</v>
      </c>
      <c r="F572" s="11" t="s">
        <v>2096</v>
      </c>
      <c r="G572" s="11" t="s">
        <v>28</v>
      </c>
      <c r="H572" s="11" t="s">
        <v>2096</v>
      </c>
      <c r="I572" s="11" t="s">
        <v>2097</v>
      </c>
      <c r="J572" s="12">
        <v>0.9607</v>
      </c>
      <c r="K572" s="13">
        <v>1</v>
      </c>
      <c r="L572" s="14">
        <v>305</v>
      </c>
      <c r="M572" s="10">
        <v>293</v>
      </c>
      <c r="N572" s="10">
        <v>33703</v>
      </c>
      <c r="O572" s="10">
        <v>22977</v>
      </c>
      <c r="P572" s="10">
        <v>56680</v>
      </c>
    </row>
    <row r="573" spans="1:16" ht="27" customHeight="1" x14ac:dyDescent="0.2">
      <c r="A573" s="9" t="s">
        <v>1682</v>
      </c>
      <c r="B573" s="10" t="s">
        <v>2023</v>
      </c>
      <c r="C573" s="11" t="s">
        <v>2098</v>
      </c>
      <c r="D573" s="11" t="s">
        <v>2099</v>
      </c>
      <c r="E573" s="11" t="s">
        <v>26</v>
      </c>
      <c r="F573" s="11" t="s">
        <v>2100</v>
      </c>
      <c r="G573" s="11" t="s">
        <v>28</v>
      </c>
      <c r="H573" s="11" t="s">
        <v>1685</v>
      </c>
      <c r="I573" s="11" t="s">
        <v>1686</v>
      </c>
      <c r="J573" s="12">
        <v>1</v>
      </c>
      <c r="K573" s="13">
        <v>1</v>
      </c>
      <c r="L573" s="14">
        <v>414</v>
      </c>
      <c r="M573" s="10">
        <v>380</v>
      </c>
      <c r="N573" s="10">
        <v>45748</v>
      </c>
      <c r="O573" s="10">
        <v>29799</v>
      </c>
      <c r="P573" s="10">
        <v>75547</v>
      </c>
    </row>
    <row r="574" spans="1:16" ht="27" customHeight="1" x14ac:dyDescent="0.2">
      <c r="A574" s="9" t="s">
        <v>1682</v>
      </c>
      <c r="B574" s="10" t="s">
        <v>2023</v>
      </c>
      <c r="C574" s="11" t="s">
        <v>2101</v>
      </c>
      <c r="D574" s="11" t="s">
        <v>2102</v>
      </c>
      <c r="E574" s="11" t="s">
        <v>26</v>
      </c>
      <c r="F574" s="11" t="s">
        <v>2103</v>
      </c>
      <c r="G574" s="11" t="s">
        <v>28</v>
      </c>
      <c r="H574" s="11" t="s">
        <v>1685</v>
      </c>
      <c r="I574" s="11" t="s">
        <v>1686</v>
      </c>
      <c r="J574" s="12">
        <v>1</v>
      </c>
      <c r="K574" s="13">
        <v>1</v>
      </c>
      <c r="L574" s="14">
        <v>605</v>
      </c>
      <c r="M574" s="10">
        <v>590</v>
      </c>
      <c r="N574" s="10">
        <v>66853</v>
      </c>
      <c r="O574" s="10">
        <v>46267</v>
      </c>
      <c r="P574" s="10">
        <v>113120</v>
      </c>
    </row>
    <row r="575" spans="1:16" ht="27" customHeight="1" x14ac:dyDescent="0.2">
      <c r="A575" s="9" t="s">
        <v>1682</v>
      </c>
      <c r="B575" s="10" t="s">
        <v>2023</v>
      </c>
      <c r="C575" s="11" t="s">
        <v>2104</v>
      </c>
      <c r="D575" s="11" t="s">
        <v>2105</v>
      </c>
      <c r="E575" s="11" t="s">
        <v>26</v>
      </c>
      <c r="F575" s="11" t="s">
        <v>2106</v>
      </c>
      <c r="G575" s="11" t="s">
        <v>28</v>
      </c>
      <c r="H575" s="11" t="s">
        <v>2106</v>
      </c>
      <c r="I575" s="11" t="s">
        <v>2107</v>
      </c>
      <c r="J575" s="12">
        <v>0.93989999999999996</v>
      </c>
      <c r="K575" s="13">
        <v>1</v>
      </c>
      <c r="L575" s="14">
        <v>998</v>
      </c>
      <c r="M575" s="10">
        <v>938</v>
      </c>
      <c r="N575" s="10">
        <v>110281</v>
      </c>
      <c r="O575" s="10">
        <v>73557</v>
      </c>
      <c r="P575" s="10">
        <v>183838</v>
      </c>
    </row>
    <row r="576" spans="1:16" ht="27" customHeight="1" x14ac:dyDescent="0.2">
      <c r="A576" s="9" t="s">
        <v>1682</v>
      </c>
      <c r="B576" s="10" t="s">
        <v>2023</v>
      </c>
      <c r="C576" s="11" t="s">
        <v>2108</v>
      </c>
      <c r="D576" s="11" t="s">
        <v>2109</v>
      </c>
      <c r="E576" s="11" t="s">
        <v>26</v>
      </c>
      <c r="F576" s="11" t="s">
        <v>2110</v>
      </c>
      <c r="G576" s="11" t="s">
        <v>28</v>
      </c>
      <c r="H576" s="11" t="s">
        <v>1685</v>
      </c>
      <c r="I576" s="11" t="s">
        <v>1686</v>
      </c>
      <c r="J576" s="12">
        <v>1</v>
      </c>
      <c r="K576" s="13">
        <v>1</v>
      </c>
      <c r="L576" s="14">
        <v>337</v>
      </c>
      <c r="M576" s="10">
        <v>281</v>
      </c>
      <c r="N576" s="10">
        <v>37239</v>
      </c>
      <c r="O576" s="10">
        <v>22036</v>
      </c>
      <c r="P576" s="10">
        <v>59275</v>
      </c>
    </row>
    <row r="577" spans="1:16" ht="27" customHeight="1" x14ac:dyDescent="0.2">
      <c r="A577" s="9" t="s">
        <v>1682</v>
      </c>
      <c r="B577" s="10" t="s">
        <v>2023</v>
      </c>
      <c r="C577" s="11" t="s">
        <v>2111</v>
      </c>
      <c r="D577" s="11" t="s">
        <v>2112</v>
      </c>
      <c r="E577" s="11" t="s">
        <v>26</v>
      </c>
      <c r="F577" s="11" t="s">
        <v>2113</v>
      </c>
      <c r="G577" s="11" t="s">
        <v>28</v>
      </c>
      <c r="H577" s="11" t="s">
        <v>1685</v>
      </c>
      <c r="I577" s="11" t="s">
        <v>1686</v>
      </c>
      <c r="J577" s="12">
        <v>1</v>
      </c>
      <c r="K577" s="13">
        <v>1</v>
      </c>
      <c r="L577" s="14">
        <v>928</v>
      </c>
      <c r="M577" s="10">
        <v>620</v>
      </c>
      <c r="N577" s="10">
        <v>102546</v>
      </c>
      <c r="O577" s="10">
        <v>48620</v>
      </c>
      <c r="P577" s="10">
        <v>151166</v>
      </c>
    </row>
    <row r="578" spans="1:16" ht="27" customHeight="1" x14ac:dyDescent="0.2">
      <c r="A578" s="9" t="s">
        <v>1682</v>
      </c>
      <c r="B578" s="10" t="s">
        <v>2023</v>
      </c>
      <c r="C578" s="11" t="s">
        <v>2114</v>
      </c>
      <c r="D578" s="11" t="s">
        <v>2115</v>
      </c>
      <c r="E578" s="11" t="s">
        <v>26</v>
      </c>
      <c r="F578" s="11" t="s">
        <v>2116</v>
      </c>
      <c r="G578" s="11" t="s">
        <v>28</v>
      </c>
      <c r="H578" s="11" t="s">
        <v>1685</v>
      </c>
      <c r="I578" s="11" t="s">
        <v>1686</v>
      </c>
      <c r="J578" s="12">
        <v>1</v>
      </c>
      <c r="K578" s="13">
        <v>1</v>
      </c>
      <c r="L578" s="14">
        <v>458</v>
      </c>
      <c r="M578" s="10">
        <v>259</v>
      </c>
      <c r="N578" s="10">
        <v>50610</v>
      </c>
      <c r="O578" s="10">
        <v>20311</v>
      </c>
      <c r="P578" s="10">
        <v>70921</v>
      </c>
    </row>
    <row r="579" spans="1:16" ht="27" customHeight="1" x14ac:dyDescent="0.2">
      <c r="A579" s="9" t="s">
        <v>1682</v>
      </c>
      <c r="B579" s="10" t="s">
        <v>2023</v>
      </c>
      <c r="C579" s="11" t="s">
        <v>2117</v>
      </c>
      <c r="D579" s="11" t="s">
        <v>2118</v>
      </c>
      <c r="E579" s="11" t="s">
        <v>26</v>
      </c>
      <c r="F579" s="11" t="s">
        <v>2119</v>
      </c>
      <c r="G579" s="11" t="s">
        <v>28</v>
      </c>
      <c r="H579" s="11" t="s">
        <v>2119</v>
      </c>
      <c r="I579" s="11" t="s">
        <v>2120</v>
      </c>
      <c r="J579" s="12">
        <v>0.87619999999999998</v>
      </c>
      <c r="K579" s="13">
        <v>1</v>
      </c>
      <c r="L579" s="14">
        <v>412</v>
      </c>
      <c r="M579" s="10">
        <v>361</v>
      </c>
      <c r="N579" s="10">
        <v>45527</v>
      </c>
      <c r="O579" s="10">
        <v>28309</v>
      </c>
      <c r="P579" s="10">
        <v>73836</v>
      </c>
    </row>
    <row r="580" spans="1:16" ht="27" customHeight="1" x14ac:dyDescent="0.2">
      <c r="A580" s="9" t="s">
        <v>1682</v>
      </c>
      <c r="B580" s="10" t="s">
        <v>2023</v>
      </c>
      <c r="C580" s="11" t="s">
        <v>2121</v>
      </c>
      <c r="D580" s="11" t="s">
        <v>2122</v>
      </c>
      <c r="E580" s="11" t="s">
        <v>26</v>
      </c>
      <c r="F580" s="11" t="s">
        <v>2123</v>
      </c>
      <c r="G580" s="11" t="s">
        <v>28</v>
      </c>
      <c r="H580" s="11" t="s">
        <v>1685</v>
      </c>
      <c r="I580" s="11" t="s">
        <v>1686</v>
      </c>
      <c r="J580" s="12">
        <v>1</v>
      </c>
      <c r="K580" s="13">
        <v>1</v>
      </c>
      <c r="L580" s="14">
        <v>608</v>
      </c>
      <c r="M580" s="10">
        <v>596</v>
      </c>
      <c r="N580" s="10">
        <v>67185</v>
      </c>
      <c r="O580" s="10">
        <v>46738</v>
      </c>
      <c r="P580" s="10">
        <v>113923</v>
      </c>
    </row>
    <row r="581" spans="1:16" ht="27" customHeight="1" x14ac:dyDescent="0.2">
      <c r="A581" s="9" t="s">
        <v>1682</v>
      </c>
      <c r="B581" s="10" t="s">
        <v>2023</v>
      </c>
      <c r="C581" s="11" t="s">
        <v>2124</v>
      </c>
      <c r="D581" s="11" t="s">
        <v>2125</v>
      </c>
      <c r="E581" s="11" t="s">
        <v>26</v>
      </c>
      <c r="F581" s="11" t="s">
        <v>2126</v>
      </c>
      <c r="G581" s="11" t="s">
        <v>28</v>
      </c>
      <c r="H581" s="11" t="s">
        <v>2126</v>
      </c>
      <c r="I581" s="11" t="s">
        <v>2127</v>
      </c>
      <c r="J581" s="12">
        <v>0.90080000000000005</v>
      </c>
      <c r="K581" s="13">
        <v>1</v>
      </c>
      <c r="L581" s="14">
        <v>524</v>
      </c>
      <c r="M581" s="10">
        <v>472</v>
      </c>
      <c r="N581" s="10">
        <v>57903</v>
      </c>
      <c r="O581" s="10">
        <v>37014</v>
      </c>
      <c r="P581" s="10">
        <v>94917</v>
      </c>
    </row>
    <row r="582" spans="1:16" ht="27" customHeight="1" x14ac:dyDescent="0.2">
      <c r="A582" s="9" t="s">
        <v>1682</v>
      </c>
      <c r="B582" s="10" t="s">
        <v>2023</v>
      </c>
      <c r="C582" s="11" t="s">
        <v>2128</v>
      </c>
      <c r="D582" s="11" t="s">
        <v>2129</v>
      </c>
      <c r="E582" s="11" t="s">
        <v>26</v>
      </c>
      <c r="F582" s="11" t="s">
        <v>2130</v>
      </c>
      <c r="G582" s="11" t="s">
        <v>28</v>
      </c>
      <c r="H582" s="11" t="s">
        <v>2130</v>
      </c>
      <c r="I582" s="11" t="s">
        <v>2131</v>
      </c>
      <c r="J582" s="12">
        <v>0.4778</v>
      </c>
      <c r="K582" s="13">
        <v>1</v>
      </c>
      <c r="L582" s="14">
        <v>1620</v>
      </c>
      <c r="M582" s="10">
        <v>774</v>
      </c>
      <c r="N582" s="10">
        <v>179013</v>
      </c>
      <c r="O582" s="10">
        <v>60696</v>
      </c>
      <c r="P582" s="10">
        <v>239709</v>
      </c>
    </row>
    <row r="583" spans="1:16" ht="27" customHeight="1" x14ac:dyDescent="0.2">
      <c r="A583" s="9" t="s">
        <v>1682</v>
      </c>
      <c r="B583" s="10" t="s">
        <v>2023</v>
      </c>
      <c r="C583" s="11" t="s">
        <v>2132</v>
      </c>
      <c r="D583" s="11" t="s">
        <v>2133</v>
      </c>
      <c r="E583" s="11" t="s">
        <v>26</v>
      </c>
      <c r="F583" s="11" t="s">
        <v>2134</v>
      </c>
      <c r="G583" s="11" t="s">
        <v>28</v>
      </c>
      <c r="H583" s="11" t="s">
        <v>1685</v>
      </c>
      <c r="I583" s="11" t="s">
        <v>1686</v>
      </c>
      <c r="J583" s="12">
        <v>1</v>
      </c>
      <c r="K583" s="13">
        <v>1</v>
      </c>
      <c r="L583" s="14">
        <v>611</v>
      </c>
      <c r="M583" s="10">
        <v>514</v>
      </c>
      <c r="N583" s="10">
        <v>67517</v>
      </c>
      <c r="O583" s="10">
        <v>40307</v>
      </c>
      <c r="P583" s="10">
        <v>107824</v>
      </c>
    </row>
    <row r="584" spans="1:16" ht="27" customHeight="1" x14ac:dyDescent="0.2">
      <c r="A584" s="9" t="s">
        <v>1682</v>
      </c>
      <c r="B584" s="10" t="s">
        <v>2023</v>
      </c>
      <c r="C584" s="11" t="s">
        <v>2135</v>
      </c>
      <c r="D584" s="11" t="s">
        <v>2136</v>
      </c>
      <c r="E584" s="11" t="s">
        <v>26</v>
      </c>
      <c r="F584" s="11" t="s">
        <v>2137</v>
      </c>
      <c r="G584" s="11" t="s">
        <v>28</v>
      </c>
      <c r="H584" s="11" t="s">
        <v>1685</v>
      </c>
      <c r="I584" s="11" t="s">
        <v>1686</v>
      </c>
      <c r="J584" s="12">
        <v>1</v>
      </c>
      <c r="K584" s="13">
        <v>1</v>
      </c>
      <c r="L584" s="14">
        <v>449</v>
      </c>
      <c r="M584" s="10">
        <v>390</v>
      </c>
      <c r="N584" s="10">
        <v>49615</v>
      </c>
      <c r="O584" s="10">
        <v>30583</v>
      </c>
      <c r="P584" s="10">
        <v>80198</v>
      </c>
    </row>
    <row r="585" spans="1:16" ht="27" customHeight="1" x14ac:dyDescent="0.2">
      <c r="A585" s="9" t="s">
        <v>1682</v>
      </c>
      <c r="B585" s="10" t="s">
        <v>2023</v>
      </c>
      <c r="C585" s="11" t="s">
        <v>2138</v>
      </c>
      <c r="D585" s="11" t="s">
        <v>2139</v>
      </c>
      <c r="E585" s="11" t="s">
        <v>26</v>
      </c>
      <c r="F585" s="11" t="s">
        <v>2140</v>
      </c>
      <c r="G585" s="11" t="s">
        <v>28</v>
      </c>
      <c r="H585" s="11" t="s">
        <v>2140</v>
      </c>
      <c r="I585" s="11" t="s">
        <v>2141</v>
      </c>
      <c r="J585" s="12">
        <v>0.23699999999999999</v>
      </c>
      <c r="K585" s="13">
        <v>1</v>
      </c>
      <c r="L585" s="14">
        <v>405</v>
      </c>
      <c r="M585" s="10">
        <v>96</v>
      </c>
      <c r="N585" s="10">
        <v>44753</v>
      </c>
      <c r="O585" s="10">
        <v>7528</v>
      </c>
      <c r="P585" s="10">
        <v>52281</v>
      </c>
    </row>
    <row r="586" spans="1:16" ht="27" customHeight="1" x14ac:dyDescent="0.2">
      <c r="A586" s="9" t="s">
        <v>1682</v>
      </c>
      <c r="B586" s="10" t="s">
        <v>2023</v>
      </c>
      <c r="C586" s="11" t="s">
        <v>2142</v>
      </c>
      <c r="D586" s="11" t="s">
        <v>2143</v>
      </c>
      <c r="E586" s="11" t="s">
        <v>26</v>
      </c>
      <c r="F586" s="11" t="s">
        <v>2144</v>
      </c>
      <c r="G586" s="11" t="s">
        <v>28</v>
      </c>
      <c r="H586" s="11" t="s">
        <v>2144</v>
      </c>
      <c r="I586" s="11" t="s">
        <v>2145</v>
      </c>
      <c r="J586" s="12">
        <v>0.79620000000000002</v>
      </c>
      <c r="K586" s="13">
        <v>1</v>
      </c>
      <c r="L586" s="14">
        <v>265</v>
      </c>
      <c r="M586" s="10">
        <v>211</v>
      </c>
      <c r="N586" s="10">
        <v>29283</v>
      </c>
      <c r="O586" s="10">
        <v>16546</v>
      </c>
      <c r="P586" s="10">
        <v>45829</v>
      </c>
    </row>
    <row r="587" spans="1:16" ht="27" customHeight="1" x14ac:dyDescent="0.2">
      <c r="A587" s="9" t="s">
        <v>1682</v>
      </c>
      <c r="B587" s="10" t="s">
        <v>2023</v>
      </c>
      <c r="C587" s="11" t="s">
        <v>2146</v>
      </c>
      <c r="D587" s="11" t="s">
        <v>2147</v>
      </c>
      <c r="E587" s="11" t="s">
        <v>26</v>
      </c>
      <c r="F587" s="11" t="s">
        <v>2148</v>
      </c>
      <c r="G587" s="11" t="s">
        <v>28</v>
      </c>
      <c r="H587" s="11" t="s">
        <v>2148</v>
      </c>
      <c r="I587" s="11" t="s">
        <v>2149</v>
      </c>
      <c r="J587" s="12">
        <v>0.90369999999999995</v>
      </c>
      <c r="K587" s="13">
        <v>1</v>
      </c>
      <c r="L587" s="14">
        <v>405</v>
      </c>
      <c r="M587" s="10">
        <v>366</v>
      </c>
      <c r="N587" s="10">
        <v>44753</v>
      </c>
      <c r="O587" s="10">
        <v>28701</v>
      </c>
      <c r="P587" s="10">
        <v>73454</v>
      </c>
    </row>
    <row r="588" spans="1:16" ht="27" customHeight="1" x14ac:dyDescent="0.2">
      <c r="A588" s="9" t="s">
        <v>1682</v>
      </c>
      <c r="B588" s="10" t="s">
        <v>2023</v>
      </c>
      <c r="C588" s="11" t="s">
        <v>2150</v>
      </c>
      <c r="D588" s="11" t="s">
        <v>2151</v>
      </c>
      <c r="E588" s="11" t="s">
        <v>26</v>
      </c>
      <c r="F588" s="11" t="s">
        <v>2152</v>
      </c>
      <c r="G588" s="11" t="s">
        <v>28</v>
      </c>
      <c r="H588" s="11" t="s">
        <v>1685</v>
      </c>
      <c r="I588" s="11" t="s">
        <v>1686</v>
      </c>
      <c r="J588" s="12">
        <v>1</v>
      </c>
      <c r="K588" s="13">
        <v>1</v>
      </c>
      <c r="L588" s="14">
        <v>79</v>
      </c>
      <c r="M588" s="10">
        <v>77</v>
      </c>
      <c r="N588" s="10">
        <v>8730</v>
      </c>
      <c r="O588" s="10">
        <v>6038</v>
      </c>
      <c r="P588" s="10">
        <v>14768</v>
      </c>
    </row>
    <row r="589" spans="1:16" ht="27" customHeight="1" x14ac:dyDescent="0.2">
      <c r="A589" s="9" t="s">
        <v>1682</v>
      </c>
      <c r="B589" s="10" t="s">
        <v>2023</v>
      </c>
      <c r="C589" s="11" t="s">
        <v>2153</v>
      </c>
      <c r="D589" s="11" t="s">
        <v>2154</v>
      </c>
      <c r="E589" s="11" t="s">
        <v>26</v>
      </c>
      <c r="F589" s="11" t="s">
        <v>2155</v>
      </c>
      <c r="G589" s="11" t="s">
        <v>28</v>
      </c>
      <c r="H589" s="11" t="s">
        <v>1685</v>
      </c>
      <c r="I589" s="11" t="s">
        <v>1686</v>
      </c>
      <c r="J589" s="12">
        <v>1</v>
      </c>
      <c r="K589" s="13">
        <v>1</v>
      </c>
      <c r="L589" s="14">
        <v>614</v>
      </c>
      <c r="M589" s="10">
        <v>606</v>
      </c>
      <c r="N589" s="10">
        <v>67848</v>
      </c>
      <c r="O589" s="10">
        <v>47522</v>
      </c>
      <c r="P589" s="10">
        <v>115370</v>
      </c>
    </row>
    <row r="590" spans="1:16" ht="27" customHeight="1" x14ac:dyDescent="0.2">
      <c r="A590" s="9" t="s">
        <v>1682</v>
      </c>
      <c r="B590" s="10" t="s">
        <v>2023</v>
      </c>
      <c r="C590" s="11" t="s">
        <v>2156</v>
      </c>
      <c r="D590" s="11" t="s">
        <v>2157</v>
      </c>
      <c r="E590" s="11" t="s">
        <v>26</v>
      </c>
      <c r="F590" s="11" t="s">
        <v>2158</v>
      </c>
      <c r="G590" s="11" t="s">
        <v>28</v>
      </c>
      <c r="H590" s="11" t="s">
        <v>1685</v>
      </c>
      <c r="I590" s="11" t="s">
        <v>1686</v>
      </c>
      <c r="J590" s="12">
        <v>1</v>
      </c>
      <c r="K590" s="13">
        <v>1</v>
      </c>
      <c r="L590" s="14">
        <v>466</v>
      </c>
      <c r="M590" s="10">
        <v>449</v>
      </c>
      <c r="N590" s="10">
        <v>51494</v>
      </c>
      <c r="O590" s="10">
        <v>35210</v>
      </c>
      <c r="P590" s="10">
        <v>86704</v>
      </c>
    </row>
    <row r="591" spans="1:16" ht="27" customHeight="1" x14ac:dyDescent="0.2">
      <c r="A591" s="9" t="s">
        <v>1682</v>
      </c>
      <c r="B591" s="10" t="s">
        <v>2023</v>
      </c>
      <c r="C591" s="11" t="s">
        <v>2159</v>
      </c>
      <c r="D591" s="11" t="s">
        <v>2160</v>
      </c>
      <c r="E591" s="11" t="s">
        <v>26</v>
      </c>
      <c r="F591" s="11" t="s">
        <v>2161</v>
      </c>
      <c r="G591" s="11" t="s">
        <v>28</v>
      </c>
      <c r="H591" s="11" t="s">
        <v>1685</v>
      </c>
      <c r="I591" s="11" t="s">
        <v>1686</v>
      </c>
      <c r="J591" s="12">
        <v>1</v>
      </c>
      <c r="K591" s="13">
        <v>1</v>
      </c>
      <c r="L591" s="14">
        <v>400</v>
      </c>
      <c r="M591" s="10">
        <v>393</v>
      </c>
      <c r="N591" s="10">
        <v>44201</v>
      </c>
      <c r="O591" s="10">
        <v>30819</v>
      </c>
      <c r="P591" s="10">
        <v>75020</v>
      </c>
    </row>
    <row r="592" spans="1:16" ht="27" customHeight="1" x14ac:dyDescent="0.2">
      <c r="A592" s="9" t="s">
        <v>1682</v>
      </c>
      <c r="B592" s="10" t="s">
        <v>2023</v>
      </c>
      <c r="C592" s="11" t="s">
        <v>2162</v>
      </c>
      <c r="D592" s="11" t="s">
        <v>2163</v>
      </c>
      <c r="E592" s="11" t="s">
        <v>26</v>
      </c>
      <c r="F592" s="11" t="s">
        <v>2164</v>
      </c>
      <c r="G592" s="11" t="s">
        <v>28</v>
      </c>
      <c r="H592" s="11" t="s">
        <v>1685</v>
      </c>
      <c r="I592" s="11" t="s">
        <v>1686</v>
      </c>
      <c r="J592" s="12">
        <v>1</v>
      </c>
      <c r="K592" s="13">
        <v>1</v>
      </c>
      <c r="L592" s="14">
        <v>622</v>
      </c>
      <c r="M592" s="10">
        <v>609</v>
      </c>
      <c r="N592" s="10">
        <v>68732</v>
      </c>
      <c r="O592" s="10">
        <v>47757</v>
      </c>
      <c r="P592" s="10">
        <v>116489</v>
      </c>
    </row>
    <row r="593" spans="1:16" ht="27" customHeight="1" x14ac:dyDescent="0.2">
      <c r="A593" s="9" t="s">
        <v>1682</v>
      </c>
      <c r="B593" s="10" t="s">
        <v>2023</v>
      </c>
      <c r="C593" s="11" t="s">
        <v>2165</v>
      </c>
      <c r="D593" s="11" t="s">
        <v>2166</v>
      </c>
      <c r="E593" s="11" t="s">
        <v>26</v>
      </c>
      <c r="F593" s="11" t="s">
        <v>2167</v>
      </c>
      <c r="G593" s="11" t="s">
        <v>28</v>
      </c>
      <c r="H593" s="11" t="s">
        <v>1685</v>
      </c>
      <c r="I593" s="11" t="s">
        <v>1686</v>
      </c>
      <c r="J593" s="12">
        <v>1</v>
      </c>
      <c r="K593" s="13">
        <v>1</v>
      </c>
      <c r="L593" s="14">
        <v>604</v>
      </c>
      <c r="M593" s="10">
        <v>582</v>
      </c>
      <c r="N593" s="10">
        <v>66743</v>
      </c>
      <c r="O593" s="10">
        <v>45640</v>
      </c>
      <c r="P593" s="10">
        <v>112383</v>
      </c>
    </row>
    <row r="594" spans="1:16" ht="27" customHeight="1" x14ac:dyDescent="0.2">
      <c r="A594" s="9" t="s">
        <v>1682</v>
      </c>
      <c r="B594" s="10" t="s">
        <v>2023</v>
      </c>
      <c r="C594" s="11" t="s">
        <v>2168</v>
      </c>
      <c r="D594" s="11" t="s">
        <v>2169</v>
      </c>
      <c r="E594" s="11" t="s">
        <v>26</v>
      </c>
      <c r="F594" s="11" t="s">
        <v>2170</v>
      </c>
      <c r="G594" s="11" t="s">
        <v>28</v>
      </c>
      <c r="H594" s="11" t="s">
        <v>1685</v>
      </c>
      <c r="I594" s="11" t="s">
        <v>1686</v>
      </c>
      <c r="J594" s="12">
        <v>1</v>
      </c>
      <c r="K594" s="13">
        <v>1</v>
      </c>
      <c r="L594" s="14">
        <v>572</v>
      </c>
      <c r="M594" s="10">
        <v>547</v>
      </c>
      <c r="N594" s="10">
        <v>63207</v>
      </c>
      <c r="O594" s="10">
        <v>42895</v>
      </c>
      <c r="P594" s="10">
        <v>106102</v>
      </c>
    </row>
    <row r="595" spans="1:16" ht="27" customHeight="1" x14ac:dyDescent="0.2">
      <c r="A595" s="9" t="s">
        <v>1682</v>
      </c>
      <c r="B595" s="10" t="s">
        <v>2023</v>
      </c>
      <c r="C595" s="11" t="s">
        <v>2171</v>
      </c>
      <c r="D595" s="11" t="s">
        <v>2172</v>
      </c>
      <c r="E595" s="11" t="s">
        <v>26</v>
      </c>
      <c r="F595" s="11" t="s">
        <v>2173</v>
      </c>
      <c r="G595" s="11" t="s">
        <v>28</v>
      </c>
      <c r="H595" s="11" t="s">
        <v>2173</v>
      </c>
      <c r="I595" s="11" t="s">
        <v>2174</v>
      </c>
      <c r="J595" s="12">
        <v>0.97640000000000005</v>
      </c>
      <c r="K595" s="13">
        <v>1</v>
      </c>
      <c r="L595" s="14">
        <v>976</v>
      </c>
      <c r="M595" s="10">
        <v>953</v>
      </c>
      <c r="N595" s="10">
        <v>107850</v>
      </c>
      <c r="O595" s="10">
        <v>74733</v>
      </c>
      <c r="P595" s="10">
        <v>182583</v>
      </c>
    </row>
    <row r="596" spans="1:16" ht="27" customHeight="1" x14ac:dyDescent="0.2">
      <c r="A596" s="9" t="s">
        <v>1682</v>
      </c>
      <c r="B596" s="10" t="s">
        <v>2023</v>
      </c>
      <c r="C596" s="11" t="s">
        <v>2175</v>
      </c>
      <c r="D596" s="11" t="s">
        <v>2176</v>
      </c>
      <c r="E596" s="11" t="s">
        <v>26</v>
      </c>
      <c r="F596" s="11" t="s">
        <v>2177</v>
      </c>
      <c r="G596" s="11" t="s">
        <v>28</v>
      </c>
      <c r="H596" s="11" t="s">
        <v>1685</v>
      </c>
      <c r="I596" s="11" t="s">
        <v>1686</v>
      </c>
      <c r="J596" s="12">
        <v>1</v>
      </c>
      <c r="K596" s="13">
        <v>1</v>
      </c>
      <c r="L596" s="14">
        <v>570</v>
      </c>
      <c r="M596" s="10">
        <v>506</v>
      </c>
      <c r="N596" s="10">
        <v>62986</v>
      </c>
      <c r="O596" s="10">
        <v>39680</v>
      </c>
      <c r="P596" s="10">
        <v>102666</v>
      </c>
    </row>
    <row r="597" spans="1:16" ht="27" customHeight="1" x14ac:dyDescent="0.2">
      <c r="A597" s="9" t="s">
        <v>1682</v>
      </c>
      <c r="B597" s="10" t="s">
        <v>2023</v>
      </c>
      <c r="C597" s="11" t="s">
        <v>2178</v>
      </c>
      <c r="D597" s="11" t="s">
        <v>2179</v>
      </c>
      <c r="E597" s="11" t="s">
        <v>57</v>
      </c>
      <c r="F597" s="11" t="s">
        <v>2180</v>
      </c>
      <c r="G597" s="11" t="s">
        <v>28</v>
      </c>
      <c r="H597" s="11" t="s">
        <v>2180</v>
      </c>
      <c r="I597" s="11" t="s">
        <v>2181</v>
      </c>
      <c r="J597" s="12">
        <v>0.1477</v>
      </c>
      <c r="K597" s="13">
        <v>1</v>
      </c>
      <c r="L597" s="14">
        <v>501</v>
      </c>
      <c r="M597" s="10">
        <v>74</v>
      </c>
      <c r="N597" s="10">
        <v>55361</v>
      </c>
      <c r="O597" s="10">
        <v>5803</v>
      </c>
      <c r="P597" s="10">
        <v>61164</v>
      </c>
    </row>
    <row r="598" spans="1:16" ht="27" customHeight="1" x14ac:dyDescent="0.2">
      <c r="A598" s="9" t="s">
        <v>1682</v>
      </c>
      <c r="B598" s="10" t="s">
        <v>2023</v>
      </c>
      <c r="C598" s="11" t="s">
        <v>2182</v>
      </c>
      <c r="D598" s="11" t="s">
        <v>2183</v>
      </c>
      <c r="E598" s="11" t="s">
        <v>26</v>
      </c>
      <c r="F598" s="11" t="s">
        <v>2184</v>
      </c>
      <c r="G598" s="11" t="s">
        <v>28</v>
      </c>
      <c r="H598" s="11" t="s">
        <v>1685</v>
      </c>
      <c r="I598" s="11" t="s">
        <v>1686</v>
      </c>
      <c r="J598" s="12">
        <v>1</v>
      </c>
      <c r="K598" s="13">
        <v>1</v>
      </c>
      <c r="L598" s="14">
        <v>277</v>
      </c>
      <c r="M598" s="10">
        <v>258</v>
      </c>
      <c r="N598" s="10">
        <v>30609</v>
      </c>
      <c r="O598" s="10">
        <v>20232</v>
      </c>
      <c r="P598" s="10">
        <v>50841</v>
      </c>
    </row>
    <row r="599" spans="1:16" ht="27" customHeight="1" x14ac:dyDescent="0.2">
      <c r="A599" s="9" t="s">
        <v>1682</v>
      </c>
      <c r="B599" s="10" t="s">
        <v>2023</v>
      </c>
      <c r="C599" s="11" t="s">
        <v>2185</v>
      </c>
      <c r="D599" s="11" t="s">
        <v>2186</v>
      </c>
      <c r="E599" s="11" t="s">
        <v>26</v>
      </c>
      <c r="F599" s="11" t="s">
        <v>2187</v>
      </c>
      <c r="G599" s="11" t="s">
        <v>28</v>
      </c>
      <c r="H599" s="11" t="s">
        <v>2187</v>
      </c>
      <c r="I599" s="11" t="s">
        <v>2188</v>
      </c>
      <c r="J599" s="12">
        <v>0.46079999999999999</v>
      </c>
      <c r="K599" s="13">
        <v>1</v>
      </c>
      <c r="L599" s="14">
        <v>395</v>
      </c>
      <c r="M599" s="10">
        <v>182</v>
      </c>
      <c r="N599" s="10">
        <v>43648</v>
      </c>
      <c r="O599" s="10">
        <v>14272</v>
      </c>
      <c r="P599" s="10">
        <v>57920</v>
      </c>
    </row>
    <row r="600" spans="1:16" ht="27" customHeight="1" x14ac:dyDescent="0.2">
      <c r="A600" s="9" t="s">
        <v>1682</v>
      </c>
      <c r="B600" s="10" t="s">
        <v>2023</v>
      </c>
      <c r="C600" s="11" t="s">
        <v>2189</v>
      </c>
      <c r="D600" s="11" t="s">
        <v>2190</v>
      </c>
      <c r="E600" s="11" t="s">
        <v>26</v>
      </c>
      <c r="F600" s="11" t="s">
        <v>2191</v>
      </c>
      <c r="G600" s="11" t="s">
        <v>28</v>
      </c>
      <c r="H600" s="11" t="s">
        <v>1685</v>
      </c>
      <c r="I600" s="11" t="s">
        <v>1686</v>
      </c>
      <c r="J600" s="12">
        <v>1</v>
      </c>
      <c r="K600" s="13">
        <v>1</v>
      </c>
      <c r="L600" s="14">
        <v>521</v>
      </c>
      <c r="M600" s="10">
        <v>491</v>
      </c>
      <c r="N600" s="10">
        <v>57571</v>
      </c>
      <c r="O600" s="10">
        <v>38504</v>
      </c>
      <c r="P600" s="10">
        <v>96075</v>
      </c>
    </row>
    <row r="601" spans="1:16" ht="27" customHeight="1" x14ac:dyDescent="0.2">
      <c r="A601" s="9" t="s">
        <v>1682</v>
      </c>
      <c r="B601" s="10" t="s">
        <v>2023</v>
      </c>
      <c r="C601" s="11" t="s">
        <v>2192</v>
      </c>
      <c r="D601" s="11" t="s">
        <v>2193</v>
      </c>
      <c r="E601" s="11" t="s">
        <v>26</v>
      </c>
      <c r="F601" s="11" t="s">
        <v>2194</v>
      </c>
      <c r="G601" s="11" t="s">
        <v>28</v>
      </c>
      <c r="H601" s="11" t="s">
        <v>2194</v>
      </c>
      <c r="I601" s="11" t="s">
        <v>2195</v>
      </c>
      <c r="J601" s="12">
        <v>0.68210000000000004</v>
      </c>
      <c r="K601" s="13">
        <v>1</v>
      </c>
      <c r="L601" s="14">
        <v>324</v>
      </c>
      <c r="M601" s="10">
        <v>221</v>
      </c>
      <c r="N601" s="10">
        <v>35803</v>
      </c>
      <c r="O601" s="10">
        <v>17331</v>
      </c>
      <c r="P601" s="10">
        <v>53134</v>
      </c>
    </row>
    <row r="602" spans="1:16" ht="27" customHeight="1" x14ac:dyDescent="0.2">
      <c r="A602" s="9" t="s">
        <v>1682</v>
      </c>
      <c r="B602" s="10" t="s">
        <v>2023</v>
      </c>
      <c r="C602" s="11" t="s">
        <v>2196</v>
      </c>
      <c r="D602" s="11" t="s">
        <v>2197</v>
      </c>
      <c r="E602" s="11" t="s">
        <v>26</v>
      </c>
      <c r="F602" s="11" t="s">
        <v>2198</v>
      </c>
      <c r="G602" s="11" t="s">
        <v>28</v>
      </c>
      <c r="H602" s="11" t="s">
        <v>1685</v>
      </c>
      <c r="I602" s="11" t="s">
        <v>1686</v>
      </c>
      <c r="J602" s="12">
        <v>1</v>
      </c>
      <c r="K602" s="13">
        <v>1</v>
      </c>
      <c r="L602" s="14">
        <v>277</v>
      </c>
      <c r="M602" s="10">
        <v>247</v>
      </c>
      <c r="N602" s="10">
        <v>30609</v>
      </c>
      <c r="O602" s="10">
        <v>19369</v>
      </c>
      <c r="P602" s="10">
        <v>49978</v>
      </c>
    </row>
    <row r="603" spans="1:16" ht="27" customHeight="1" x14ac:dyDescent="0.2">
      <c r="A603" s="9" t="s">
        <v>1682</v>
      </c>
      <c r="B603" s="10" t="s">
        <v>2023</v>
      </c>
      <c r="C603" s="11" t="s">
        <v>2199</v>
      </c>
      <c r="D603" s="11" t="s">
        <v>2200</v>
      </c>
      <c r="E603" s="11" t="s">
        <v>26</v>
      </c>
      <c r="F603" s="11" t="s">
        <v>2201</v>
      </c>
      <c r="G603" s="11" t="s">
        <v>28</v>
      </c>
      <c r="H603" s="11" t="s">
        <v>2201</v>
      </c>
      <c r="I603" s="11" t="s">
        <v>2202</v>
      </c>
      <c r="J603" s="12">
        <v>0.67579999999999996</v>
      </c>
      <c r="K603" s="13">
        <v>1</v>
      </c>
      <c r="L603" s="14">
        <v>364</v>
      </c>
      <c r="M603" s="10">
        <v>246</v>
      </c>
      <c r="N603" s="10">
        <v>40223</v>
      </c>
      <c r="O603" s="10">
        <v>19291</v>
      </c>
      <c r="P603" s="10">
        <v>59514</v>
      </c>
    </row>
    <row r="604" spans="1:16" ht="27" customHeight="1" x14ac:dyDescent="0.2">
      <c r="A604" s="9" t="s">
        <v>1682</v>
      </c>
      <c r="B604" s="10" t="s">
        <v>2023</v>
      </c>
      <c r="C604" s="11" t="s">
        <v>2203</v>
      </c>
      <c r="D604" s="11" t="s">
        <v>2204</v>
      </c>
      <c r="E604" s="11" t="s">
        <v>26</v>
      </c>
      <c r="F604" s="11" t="s">
        <v>2205</v>
      </c>
      <c r="G604" s="11" t="s">
        <v>28</v>
      </c>
      <c r="H604" s="11" t="s">
        <v>2205</v>
      </c>
      <c r="I604" s="11" t="s">
        <v>2206</v>
      </c>
      <c r="J604" s="12">
        <v>0.85529999999999995</v>
      </c>
      <c r="K604" s="13">
        <v>1</v>
      </c>
      <c r="L604" s="14">
        <v>532</v>
      </c>
      <c r="M604" s="10">
        <v>455</v>
      </c>
      <c r="N604" s="10">
        <v>58787</v>
      </c>
      <c r="O604" s="10">
        <v>35681</v>
      </c>
      <c r="P604" s="10">
        <v>94468</v>
      </c>
    </row>
    <row r="605" spans="1:16" ht="27" customHeight="1" x14ac:dyDescent="0.2">
      <c r="A605" s="9" t="s">
        <v>1682</v>
      </c>
      <c r="B605" s="10" t="s">
        <v>2023</v>
      </c>
      <c r="C605" s="11" t="s">
        <v>2207</v>
      </c>
      <c r="D605" s="11" t="s">
        <v>2208</v>
      </c>
      <c r="E605" s="11" t="s">
        <v>26</v>
      </c>
      <c r="F605" s="11" t="s">
        <v>2209</v>
      </c>
      <c r="G605" s="11" t="s">
        <v>28</v>
      </c>
      <c r="H605" s="11" t="s">
        <v>1685</v>
      </c>
      <c r="I605" s="11" t="s">
        <v>1686</v>
      </c>
      <c r="J605" s="12">
        <v>1</v>
      </c>
      <c r="K605" s="13">
        <v>1</v>
      </c>
      <c r="L605" s="14">
        <v>139</v>
      </c>
      <c r="M605" s="10">
        <v>69</v>
      </c>
      <c r="N605" s="10">
        <v>15360</v>
      </c>
      <c r="O605" s="10">
        <v>5411</v>
      </c>
      <c r="P605" s="10">
        <v>20771</v>
      </c>
    </row>
    <row r="606" spans="1:16" ht="27" customHeight="1" x14ac:dyDescent="0.2">
      <c r="A606" s="9" t="s">
        <v>1682</v>
      </c>
      <c r="B606" s="10" t="s">
        <v>2023</v>
      </c>
      <c r="C606" s="11" t="s">
        <v>2210</v>
      </c>
      <c r="D606" s="11" t="s">
        <v>2211</v>
      </c>
      <c r="E606" s="11" t="s">
        <v>26</v>
      </c>
      <c r="F606" s="11" t="s">
        <v>2212</v>
      </c>
      <c r="G606" s="11" t="s">
        <v>28</v>
      </c>
      <c r="H606" s="11" t="s">
        <v>2212</v>
      </c>
      <c r="I606" s="11" t="s">
        <v>2213</v>
      </c>
      <c r="J606" s="12">
        <v>0.9385</v>
      </c>
      <c r="K606" s="13">
        <v>1</v>
      </c>
      <c r="L606" s="14">
        <v>260</v>
      </c>
      <c r="M606" s="10">
        <v>244</v>
      </c>
      <c r="N606" s="10">
        <v>28730</v>
      </c>
      <c r="O606" s="10">
        <v>19134</v>
      </c>
      <c r="P606" s="10">
        <v>47864</v>
      </c>
    </row>
    <row r="607" spans="1:16" ht="27" customHeight="1" x14ac:dyDescent="0.2">
      <c r="A607" s="9" t="s">
        <v>1682</v>
      </c>
      <c r="B607" s="10" t="s">
        <v>2023</v>
      </c>
      <c r="C607" s="11" t="s">
        <v>2214</v>
      </c>
      <c r="D607" s="11" t="s">
        <v>2215</v>
      </c>
      <c r="E607" s="11" t="s">
        <v>26</v>
      </c>
      <c r="F607" s="11" t="s">
        <v>2216</v>
      </c>
      <c r="G607" s="11" t="s">
        <v>28</v>
      </c>
      <c r="H607" s="11" t="s">
        <v>1685</v>
      </c>
      <c r="I607" s="11" t="s">
        <v>1686</v>
      </c>
      <c r="J607" s="12">
        <v>1</v>
      </c>
      <c r="K607" s="13">
        <v>1</v>
      </c>
      <c r="L607" s="14">
        <v>191</v>
      </c>
      <c r="M607" s="10">
        <v>99</v>
      </c>
      <c r="N607" s="10">
        <v>21106</v>
      </c>
      <c r="O607" s="10">
        <v>7763</v>
      </c>
      <c r="P607" s="10">
        <v>28869</v>
      </c>
    </row>
    <row r="608" spans="1:16" ht="27" customHeight="1" x14ac:dyDescent="0.2">
      <c r="A608" s="9" t="s">
        <v>1682</v>
      </c>
      <c r="B608" s="10" t="s">
        <v>2023</v>
      </c>
      <c r="C608" s="11" t="s">
        <v>2217</v>
      </c>
      <c r="D608" s="11" t="s">
        <v>2218</v>
      </c>
      <c r="E608" s="11" t="s">
        <v>26</v>
      </c>
      <c r="F608" s="11" t="s">
        <v>2219</v>
      </c>
      <c r="G608" s="11" t="s">
        <v>28</v>
      </c>
      <c r="H608" s="11" t="s">
        <v>1685</v>
      </c>
      <c r="I608" s="11" t="s">
        <v>1686</v>
      </c>
      <c r="J608" s="12">
        <v>1</v>
      </c>
      <c r="K608" s="13">
        <v>1</v>
      </c>
      <c r="L608" s="14">
        <v>209</v>
      </c>
      <c r="M608" s="10">
        <v>200</v>
      </c>
      <c r="N608" s="10">
        <v>23095</v>
      </c>
      <c r="O608" s="10">
        <v>15684</v>
      </c>
      <c r="P608" s="10">
        <v>38779</v>
      </c>
    </row>
    <row r="609" spans="1:16" ht="27" customHeight="1" x14ac:dyDescent="0.2">
      <c r="A609" s="9" t="s">
        <v>1682</v>
      </c>
      <c r="B609" s="10" t="s">
        <v>2023</v>
      </c>
      <c r="C609" s="11" t="s">
        <v>2220</v>
      </c>
      <c r="D609" s="11" t="s">
        <v>2221</v>
      </c>
      <c r="E609" s="11" t="s">
        <v>26</v>
      </c>
      <c r="F609" s="11" t="s">
        <v>2222</v>
      </c>
      <c r="G609" s="11" t="s">
        <v>28</v>
      </c>
      <c r="H609" s="11" t="s">
        <v>1685</v>
      </c>
      <c r="I609" s="11" t="s">
        <v>1686</v>
      </c>
      <c r="J609" s="12">
        <v>1</v>
      </c>
      <c r="K609" s="13">
        <v>1</v>
      </c>
      <c r="L609" s="14">
        <v>462</v>
      </c>
      <c r="M609" s="10">
        <v>439</v>
      </c>
      <c r="N609" s="10">
        <v>51052</v>
      </c>
      <c r="O609" s="10">
        <v>34426</v>
      </c>
      <c r="P609" s="10">
        <v>85478</v>
      </c>
    </row>
    <row r="610" spans="1:16" ht="27" customHeight="1" x14ac:dyDescent="0.2">
      <c r="A610" s="9" t="s">
        <v>1682</v>
      </c>
      <c r="B610" s="10" t="s">
        <v>2023</v>
      </c>
      <c r="C610" s="11" t="s">
        <v>2223</v>
      </c>
      <c r="D610" s="11" t="s">
        <v>2224</v>
      </c>
      <c r="E610" s="11" t="s">
        <v>57</v>
      </c>
      <c r="F610" s="11" t="s">
        <v>2225</v>
      </c>
      <c r="G610" s="11" t="s">
        <v>28</v>
      </c>
      <c r="H610" s="11" t="s">
        <v>2225</v>
      </c>
      <c r="I610" s="11" t="s">
        <v>2226</v>
      </c>
      <c r="J610" s="12">
        <v>0.72060000000000002</v>
      </c>
      <c r="K610" s="13">
        <v>1</v>
      </c>
      <c r="L610" s="14">
        <v>204</v>
      </c>
      <c r="M610" s="10">
        <v>147</v>
      </c>
      <c r="N610" s="10">
        <v>22542</v>
      </c>
      <c r="O610" s="10">
        <v>11528</v>
      </c>
      <c r="P610" s="10">
        <v>34070</v>
      </c>
    </row>
    <row r="611" spans="1:16" ht="27" customHeight="1" x14ac:dyDescent="0.2">
      <c r="A611" s="9" t="s">
        <v>1682</v>
      </c>
      <c r="B611" s="10" t="s">
        <v>2023</v>
      </c>
      <c r="C611" s="11" t="s">
        <v>2227</v>
      </c>
      <c r="D611" s="11" t="s">
        <v>2228</v>
      </c>
      <c r="E611" s="11" t="s">
        <v>26</v>
      </c>
      <c r="F611" s="11" t="s">
        <v>2229</v>
      </c>
      <c r="G611" s="11" t="s">
        <v>28</v>
      </c>
      <c r="H611" s="11" t="s">
        <v>1685</v>
      </c>
      <c r="I611" s="11" t="s">
        <v>1686</v>
      </c>
      <c r="J611" s="12">
        <v>1</v>
      </c>
      <c r="K611" s="13">
        <v>1</v>
      </c>
      <c r="L611" s="14">
        <v>497</v>
      </c>
      <c r="M611" s="10">
        <v>480</v>
      </c>
      <c r="N611" s="10">
        <v>54919</v>
      </c>
      <c r="O611" s="10">
        <v>37641</v>
      </c>
      <c r="P611" s="10">
        <v>92560</v>
      </c>
    </row>
    <row r="612" spans="1:16" ht="27" customHeight="1" x14ac:dyDescent="0.2">
      <c r="A612" s="9" t="s">
        <v>1682</v>
      </c>
      <c r="B612" s="10" t="s">
        <v>2023</v>
      </c>
      <c r="C612" s="11" t="s">
        <v>2230</v>
      </c>
      <c r="D612" s="11" t="s">
        <v>2231</v>
      </c>
      <c r="E612" s="11" t="s">
        <v>26</v>
      </c>
      <c r="F612" s="11" t="s">
        <v>2232</v>
      </c>
      <c r="G612" s="11" t="s">
        <v>28</v>
      </c>
      <c r="H612" s="11" t="s">
        <v>1685</v>
      </c>
      <c r="I612" s="11" t="s">
        <v>1686</v>
      </c>
      <c r="J612" s="12">
        <v>1</v>
      </c>
      <c r="K612" s="13">
        <v>1</v>
      </c>
      <c r="L612" s="14">
        <v>339</v>
      </c>
      <c r="M612" s="10">
        <v>303</v>
      </c>
      <c r="N612" s="10">
        <v>37460</v>
      </c>
      <c r="O612" s="10">
        <v>23761</v>
      </c>
      <c r="P612" s="10">
        <v>61221</v>
      </c>
    </row>
    <row r="613" spans="1:16" ht="27" customHeight="1" x14ac:dyDescent="0.2">
      <c r="A613" s="9" t="s">
        <v>1682</v>
      </c>
      <c r="B613" s="10" t="s">
        <v>2023</v>
      </c>
      <c r="C613" s="11" t="s">
        <v>2233</v>
      </c>
      <c r="D613" s="11" t="s">
        <v>2234</v>
      </c>
      <c r="E613" s="11" t="s">
        <v>26</v>
      </c>
      <c r="F613" s="11" t="s">
        <v>2235</v>
      </c>
      <c r="G613" s="11" t="s">
        <v>28</v>
      </c>
      <c r="H613" s="11" t="s">
        <v>1685</v>
      </c>
      <c r="I613" s="11" t="s">
        <v>1686</v>
      </c>
      <c r="J613" s="12">
        <v>1</v>
      </c>
      <c r="K613" s="13">
        <v>1</v>
      </c>
      <c r="L613" s="14">
        <v>329</v>
      </c>
      <c r="M613" s="10">
        <v>291</v>
      </c>
      <c r="N613" s="10">
        <v>36355</v>
      </c>
      <c r="O613" s="10">
        <v>22820</v>
      </c>
      <c r="P613" s="10">
        <v>59175</v>
      </c>
    </row>
    <row r="614" spans="1:16" ht="27" customHeight="1" x14ac:dyDescent="0.2">
      <c r="A614" s="9" t="s">
        <v>1682</v>
      </c>
      <c r="B614" s="10" t="s">
        <v>2023</v>
      </c>
      <c r="C614" s="11" t="s">
        <v>2236</v>
      </c>
      <c r="D614" s="11" t="s">
        <v>2237</v>
      </c>
      <c r="E614" s="11" t="s">
        <v>26</v>
      </c>
      <c r="F614" s="11" t="s">
        <v>2238</v>
      </c>
      <c r="G614" s="11" t="s">
        <v>28</v>
      </c>
      <c r="H614" s="11" t="s">
        <v>2238</v>
      </c>
      <c r="I614" s="11" t="s">
        <v>2239</v>
      </c>
      <c r="J614" s="12">
        <v>0.96079999999999999</v>
      </c>
      <c r="K614" s="13">
        <v>1</v>
      </c>
      <c r="L614" s="14">
        <v>102</v>
      </c>
      <c r="M614" s="10">
        <v>98</v>
      </c>
      <c r="N614" s="10">
        <v>11271</v>
      </c>
      <c r="O614" s="10">
        <v>7685</v>
      </c>
      <c r="P614" s="10">
        <v>18956</v>
      </c>
    </row>
    <row r="615" spans="1:16" ht="27" customHeight="1" x14ac:dyDescent="0.2">
      <c r="A615" s="9" t="s">
        <v>1682</v>
      </c>
      <c r="B615" s="10" t="s">
        <v>2023</v>
      </c>
      <c r="C615" s="11" t="s">
        <v>2240</v>
      </c>
      <c r="D615" s="11" t="s">
        <v>2241</v>
      </c>
      <c r="E615" s="11" t="s">
        <v>26</v>
      </c>
      <c r="F615" s="11" t="s">
        <v>2242</v>
      </c>
      <c r="G615" s="11" t="s">
        <v>28</v>
      </c>
      <c r="H615" s="11" t="s">
        <v>1685</v>
      </c>
      <c r="I615" s="11" t="s">
        <v>1686</v>
      </c>
      <c r="J615" s="12">
        <v>1</v>
      </c>
      <c r="K615" s="13">
        <v>1</v>
      </c>
      <c r="L615" s="14">
        <v>91</v>
      </c>
      <c r="M615" s="10">
        <v>85</v>
      </c>
      <c r="N615" s="10">
        <v>10056</v>
      </c>
      <c r="O615" s="10">
        <v>6666</v>
      </c>
      <c r="P615" s="10">
        <v>16722</v>
      </c>
    </row>
    <row r="616" spans="1:16" ht="27" customHeight="1" x14ac:dyDescent="0.2">
      <c r="A616" s="9" t="s">
        <v>1682</v>
      </c>
      <c r="B616" s="10" t="s">
        <v>2023</v>
      </c>
      <c r="C616" s="11" t="s">
        <v>2243</v>
      </c>
      <c r="D616" s="11" t="s">
        <v>2244</v>
      </c>
      <c r="E616" s="11" t="s">
        <v>26</v>
      </c>
      <c r="F616" s="11" t="s">
        <v>2245</v>
      </c>
      <c r="G616" s="11" t="s">
        <v>28</v>
      </c>
      <c r="H616" s="11" t="s">
        <v>2245</v>
      </c>
      <c r="I616" s="11" t="s">
        <v>2246</v>
      </c>
      <c r="J616" s="12">
        <v>0.80989999999999995</v>
      </c>
      <c r="K616" s="13">
        <v>1</v>
      </c>
      <c r="L616" s="14">
        <v>263</v>
      </c>
      <c r="M616" s="10">
        <v>213</v>
      </c>
      <c r="N616" s="10">
        <v>29062</v>
      </c>
      <c r="O616" s="10">
        <v>16703</v>
      </c>
      <c r="P616" s="10">
        <v>45765</v>
      </c>
    </row>
    <row r="617" spans="1:16" ht="27" customHeight="1" x14ac:dyDescent="0.2">
      <c r="A617" s="9" t="s">
        <v>1682</v>
      </c>
      <c r="B617" s="10" t="s">
        <v>2023</v>
      </c>
      <c r="C617" s="11" t="s">
        <v>2247</v>
      </c>
      <c r="D617" s="11" t="s">
        <v>2248</v>
      </c>
      <c r="E617" s="11" t="s">
        <v>26</v>
      </c>
      <c r="F617" s="11" t="s">
        <v>2249</v>
      </c>
      <c r="G617" s="11" t="s">
        <v>28</v>
      </c>
      <c r="H617" s="11" t="s">
        <v>1685</v>
      </c>
      <c r="I617" s="11" t="s">
        <v>1686</v>
      </c>
      <c r="J617" s="12">
        <v>1</v>
      </c>
      <c r="K617" s="13">
        <v>1</v>
      </c>
      <c r="L617" s="14">
        <v>298</v>
      </c>
      <c r="M617" s="10">
        <v>264</v>
      </c>
      <c r="N617" s="10">
        <v>32929</v>
      </c>
      <c r="O617" s="10">
        <v>20703</v>
      </c>
      <c r="P617" s="10">
        <v>53632</v>
      </c>
    </row>
    <row r="618" spans="1:16" ht="27" customHeight="1" x14ac:dyDescent="0.2">
      <c r="A618" s="9" t="s">
        <v>1682</v>
      </c>
      <c r="B618" s="10" t="s">
        <v>2023</v>
      </c>
      <c r="C618" s="11" t="s">
        <v>2250</v>
      </c>
      <c r="D618" s="11" t="s">
        <v>2251</v>
      </c>
      <c r="E618" s="11" t="s">
        <v>26</v>
      </c>
      <c r="F618" s="11" t="s">
        <v>2252</v>
      </c>
      <c r="G618" s="11" t="s">
        <v>28</v>
      </c>
      <c r="H618" s="11" t="s">
        <v>1685</v>
      </c>
      <c r="I618" s="11" t="s">
        <v>1686</v>
      </c>
      <c r="J618" s="12">
        <v>1</v>
      </c>
      <c r="K618" s="13">
        <v>1</v>
      </c>
      <c r="L618" s="14">
        <v>447</v>
      </c>
      <c r="M618" s="10">
        <v>445</v>
      </c>
      <c r="N618" s="10">
        <v>49394</v>
      </c>
      <c r="O618" s="10">
        <v>34896</v>
      </c>
      <c r="P618" s="10">
        <v>84290</v>
      </c>
    </row>
    <row r="619" spans="1:16" ht="27" customHeight="1" x14ac:dyDescent="0.2">
      <c r="A619" s="9" t="s">
        <v>1682</v>
      </c>
      <c r="B619" s="10" t="s">
        <v>2023</v>
      </c>
      <c r="C619" s="11" t="s">
        <v>2253</v>
      </c>
      <c r="D619" s="11" t="s">
        <v>2254</v>
      </c>
      <c r="E619" s="11" t="s">
        <v>26</v>
      </c>
      <c r="F619" s="11" t="s">
        <v>2255</v>
      </c>
      <c r="G619" s="11" t="s">
        <v>28</v>
      </c>
      <c r="H619" s="11" t="s">
        <v>2255</v>
      </c>
      <c r="I619" s="11" t="s">
        <v>2256</v>
      </c>
      <c r="J619" s="12">
        <v>0.79139999999999999</v>
      </c>
      <c r="K619" s="13">
        <v>1</v>
      </c>
      <c r="L619" s="14">
        <v>561</v>
      </c>
      <c r="M619" s="10">
        <v>444</v>
      </c>
      <c r="N619" s="10">
        <v>61991</v>
      </c>
      <c r="O619" s="10">
        <v>34818</v>
      </c>
      <c r="P619" s="10">
        <v>96809</v>
      </c>
    </row>
    <row r="620" spans="1:16" ht="27" customHeight="1" x14ac:dyDescent="0.2">
      <c r="A620" s="9" t="s">
        <v>1682</v>
      </c>
      <c r="B620" s="10" t="s">
        <v>2023</v>
      </c>
      <c r="C620" s="11" t="s">
        <v>2257</v>
      </c>
      <c r="D620" s="11" t="s">
        <v>2258</v>
      </c>
      <c r="E620" s="11" t="s">
        <v>26</v>
      </c>
      <c r="F620" s="11" t="s">
        <v>2259</v>
      </c>
      <c r="G620" s="11" t="s">
        <v>28</v>
      </c>
      <c r="H620" s="11" t="s">
        <v>1685</v>
      </c>
      <c r="I620" s="11" t="s">
        <v>1686</v>
      </c>
      <c r="J620" s="12">
        <v>1</v>
      </c>
      <c r="K620" s="13">
        <v>1</v>
      </c>
      <c r="L620" s="14">
        <v>151</v>
      </c>
      <c r="M620" s="10">
        <v>126</v>
      </c>
      <c r="N620" s="10">
        <v>16686</v>
      </c>
      <c r="O620" s="10">
        <v>9881</v>
      </c>
      <c r="P620" s="10">
        <v>26567</v>
      </c>
    </row>
    <row r="621" spans="1:16" ht="27" customHeight="1" x14ac:dyDescent="0.2">
      <c r="A621" s="9" t="s">
        <v>1682</v>
      </c>
      <c r="B621" s="10" t="s">
        <v>2023</v>
      </c>
      <c r="C621" s="11" t="s">
        <v>2260</v>
      </c>
      <c r="D621" s="11" t="s">
        <v>2261</v>
      </c>
      <c r="E621" s="11" t="s">
        <v>26</v>
      </c>
      <c r="F621" s="11" t="s">
        <v>2262</v>
      </c>
      <c r="G621" s="11" t="s">
        <v>28</v>
      </c>
      <c r="H621" s="11" t="s">
        <v>2262</v>
      </c>
      <c r="I621" s="11" t="s">
        <v>2263</v>
      </c>
      <c r="J621" s="12">
        <v>0.97609999999999997</v>
      </c>
      <c r="K621" s="13">
        <v>1</v>
      </c>
      <c r="L621" s="14">
        <v>293</v>
      </c>
      <c r="M621" s="10">
        <v>286</v>
      </c>
      <c r="N621" s="10">
        <v>32377</v>
      </c>
      <c r="O621" s="10">
        <v>22428</v>
      </c>
      <c r="P621" s="10">
        <v>54805</v>
      </c>
    </row>
    <row r="622" spans="1:16" ht="27" customHeight="1" x14ac:dyDescent="0.2">
      <c r="A622" s="9" t="s">
        <v>1682</v>
      </c>
      <c r="B622" s="10" t="s">
        <v>2023</v>
      </c>
      <c r="C622" s="11" t="s">
        <v>2264</v>
      </c>
      <c r="D622" s="11" t="s">
        <v>2265</v>
      </c>
      <c r="E622" s="11" t="s">
        <v>26</v>
      </c>
      <c r="F622" s="11" t="s">
        <v>2266</v>
      </c>
      <c r="G622" s="11" t="s">
        <v>28</v>
      </c>
      <c r="H622" s="11" t="s">
        <v>2266</v>
      </c>
      <c r="I622" s="11" t="s">
        <v>2267</v>
      </c>
      <c r="J622" s="12">
        <v>0.97989999999999999</v>
      </c>
      <c r="K622" s="13">
        <v>1</v>
      </c>
      <c r="L622" s="14">
        <v>249</v>
      </c>
      <c r="M622" s="10">
        <v>244</v>
      </c>
      <c r="N622" s="10">
        <v>27515</v>
      </c>
      <c r="O622" s="10">
        <v>19134</v>
      </c>
      <c r="P622" s="10">
        <v>46649</v>
      </c>
    </row>
    <row r="623" spans="1:16" ht="27" customHeight="1" x14ac:dyDescent="0.2">
      <c r="A623" s="9" t="s">
        <v>1682</v>
      </c>
      <c r="B623" s="10" t="s">
        <v>2023</v>
      </c>
      <c r="C623" s="11" t="s">
        <v>2268</v>
      </c>
      <c r="D623" s="11" t="s">
        <v>2269</v>
      </c>
      <c r="E623" s="11" t="s">
        <v>26</v>
      </c>
      <c r="F623" s="11" t="s">
        <v>2270</v>
      </c>
      <c r="G623" s="11" t="s">
        <v>28</v>
      </c>
      <c r="H623" s="11" t="s">
        <v>2270</v>
      </c>
      <c r="I623" s="11" t="s">
        <v>2271</v>
      </c>
      <c r="J623" s="12">
        <v>0.22650000000000001</v>
      </c>
      <c r="K623" s="13">
        <v>1</v>
      </c>
      <c r="L623" s="14">
        <v>393</v>
      </c>
      <c r="M623" s="10">
        <v>89</v>
      </c>
      <c r="N623" s="10">
        <v>43427</v>
      </c>
      <c r="O623" s="10">
        <v>6979</v>
      </c>
      <c r="P623" s="10">
        <v>50406</v>
      </c>
    </row>
    <row r="624" spans="1:16" ht="27" customHeight="1" x14ac:dyDescent="0.2">
      <c r="A624" s="9" t="s">
        <v>1682</v>
      </c>
      <c r="B624" s="10" t="s">
        <v>2023</v>
      </c>
      <c r="C624" s="11" t="s">
        <v>2272</v>
      </c>
      <c r="D624" s="11" t="s">
        <v>2273</v>
      </c>
      <c r="E624" s="11" t="s">
        <v>26</v>
      </c>
      <c r="F624" s="11" t="s">
        <v>2274</v>
      </c>
      <c r="G624" s="11" t="s">
        <v>28</v>
      </c>
      <c r="H624" s="11" t="s">
        <v>1685</v>
      </c>
      <c r="I624" s="11" t="s">
        <v>1686</v>
      </c>
      <c r="J624" s="12">
        <v>1</v>
      </c>
      <c r="K624" s="13">
        <v>1</v>
      </c>
      <c r="L624" s="14">
        <v>1256</v>
      </c>
      <c r="M624" s="10">
        <v>1172</v>
      </c>
      <c r="N624" s="10">
        <v>138790</v>
      </c>
      <c r="O624" s="10">
        <v>91907</v>
      </c>
      <c r="P624" s="10">
        <v>230697</v>
      </c>
    </row>
    <row r="625" spans="1:16" ht="27" customHeight="1" x14ac:dyDescent="0.2">
      <c r="A625" s="9" t="s">
        <v>1682</v>
      </c>
      <c r="B625" s="10" t="s">
        <v>2023</v>
      </c>
      <c r="C625" s="11" t="s">
        <v>2275</v>
      </c>
      <c r="D625" s="11" t="s">
        <v>2276</v>
      </c>
      <c r="E625" s="11" t="s">
        <v>26</v>
      </c>
      <c r="F625" s="11" t="s">
        <v>2277</v>
      </c>
      <c r="G625" s="11" t="s">
        <v>28</v>
      </c>
      <c r="H625" s="11" t="s">
        <v>2277</v>
      </c>
      <c r="I625" s="11" t="s">
        <v>2278</v>
      </c>
      <c r="J625" s="12">
        <v>0.91610000000000003</v>
      </c>
      <c r="K625" s="13">
        <v>1</v>
      </c>
      <c r="L625" s="14">
        <v>453</v>
      </c>
      <c r="M625" s="10">
        <v>415</v>
      </c>
      <c r="N625" s="10">
        <v>50057</v>
      </c>
      <c r="O625" s="10">
        <v>32544</v>
      </c>
      <c r="P625" s="10">
        <v>82601</v>
      </c>
    </row>
    <row r="626" spans="1:16" ht="27" customHeight="1" x14ac:dyDescent="0.2">
      <c r="A626" s="9" t="s">
        <v>1682</v>
      </c>
      <c r="B626" s="10" t="s">
        <v>2023</v>
      </c>
      <c r="C626" s="11" t="s">
        <v>2279</v>
      </c>
      <c r="D626" s="11" t="s">
        <v>2280</v>
      </c>
      <c r="E626" s="11" t="s">
        <v>26</v>
      </c>
      <c r="F626" s="11" t="s">
        <v>2281</v>
      </c>
      <c r="G626" s="11" t="s">
        <v>28</v>
      </c>
      <c r="H626" s="11" t="s">
        <v>2281</v>
      </c>
      <c r="I626" s="11" t="s">
        <v>2282</v>
      </c>
      <c r="J626" s="12">
        <v>0.96020000000000005</v>
      </c>
      <c r="K626" s="13">
        <v>1</v>
      </c>
      <c r="L626" s="14">
        <v>528</v>
      </c>
      <c r="M626" s="10">
        <v>507</v>
      </c>
      <c r="N626" s="10">
        <v>58345</v>
      </c>
      <c r="O626" s="10">
        <v>39758</v>
      </c>
      <c r="P626" s="10">
        <v>98103</v>
      </c>
    </row>
    <row r="627" spans="1:16" ht="27" customHeight="1" x14ac:dyDescent="0.2">
      <c r="A627" s="9" t="s">
        <v>1682</v>
      </c>
      <c r="B627" s="10" t="s">
        <v>2023</v>
      </c>
      <c r="C627" s="11" t="s">
        <v>2283</v>
      </c>
      <c r="D627" s="11" t="s">
        <v>2284</v>
      </c>
      <c r="E627" s="11" t="s">
        <v>26</v>
      </c>
      <c r="F627" s="11" t="s">
        <v>2285</v>
      </c>
      <c r="G627" s="11" t="s">
        <v>28</v>
      </c>
      <c r="H627" s="11" t="s">
        <v>1685</v>
      </c>
      <c r="I627" s="11" t="s">
        <v>1686</v>
      </c>
      <c r="J627" s="12">
        <v>1</v>
      </c>
      <c r="K627" s="13">
        <v>1</v>
      </c>
      <c r="L627" s="14">
        <v>510</v>
      </c>
      <c r="M627" s="10">
        <v>487</v>
      </c>
      <c r="N627" s="10">
        <v>56356</v>
      </c>
      <c r="O627" s="10">
        <v>38190</v>
      </c>
      <c r="P627" s="10">
        <v>94546</v>
      </c>
    </row>
    <row r="628" spans="1:16" ht="27" customHeight="1" x14ac:dyDescent="0.2">
      <c r="A628" s="9" t="s">
        <v>1682</v>
      </c>
      <c r="B628" s="10" t="s">
        <v>2023</v>
      </c>
      <c r="C628" s="11" t="s">
        <v>2286</v>
      </c>
      <c r="D628" s="11" t="s">
        <v>2287</v>
      </c>
      <c r="E628" s="11" t="s">
        <v>26</v>
      </c>
      <c r="F628" s="11" t="s">
        <v>2288</v>
      </c>
      <c r="G628" s="11" t="s">
        <v>28</v>
      </c>
      <c r="H628" s="11" t="s">
        <v>1685</v>
      </c>
      <c r="I628" s="11" t="s">
        <v>1686</v>
      </c>
      <c r="J628" s="12">
        <v>1</v>
      </c>
      <c r="K628" s="13">
        <v>1</v>
      </c>
      <c r="L628" s="14">
        <v>460</v>
      </c>
      <c r="M628" s="10">
        <v>455</v>
      </c>
      <c r="N628" s="10">
        <v>50831</v>
      </c>
      <c r="O628" s="10">
        <v>35681</v>
      </c>
      <c r="P628" s="10">
        <v>86512</v>
      </c>
    </row>
    <row r="629" spans="1:16" ht="27" customHeight="1" x14ac:dyDescent="0.2">
      <c r="A629" s="9" t="s">
        <v>1682</v>
      </c>
      <c r="B629" s="10" t="s">
        <v>2023</v>
      </c>
      <c r="C629" s="11" t="s">
        <v>2289</v>
      </c>
      <c r="D629" s="11" t="s">
        <v>2290</v>
      </c>
      <c r="E629" s="11" t="s">
        <v>26</v>
      </c>
      <c r="F629" s="11" t="s">
        <v>2291</v>
      </c>
      <c r="G629" s="11" t="s">
        <v>28</v>
      </c>
      <c r="H629" s="11" t="s">
        <v>2291</v>
      </c>
      <c r="I629" s="11" t="s">
        <v>2292</v>
      </c>
      <c r="J629" s="12">
        <v>0.63529999999999998</v>
      </c>
      <c r="K629" s="13">
        <v>1</v>
      </c>
      <c r="L629" s="14">
        <v>255</v>
      </c>
      <c r="M629" s="10">
        <v>162</v>
      </c>
      <c r="N629" s="10">
        <v>28178</v>
      </c>
      <c r="O629" s="10">
        <v>12704</v>
      </c>
      <c r="P629" s="10">
        <v>40882</v>
      </c>
    </row>
    <row r="630" spans="1:16" ht="27" customHeight="1" x14ac:dyDescent="0.2">
      <c r="A630" s="9" t="s">
        <v>1682</v>
      </c>
      <c r="B630" s="10" t="s">
        <v>2023</v>
      </c>
      <c r="C630" s="11" t="s">
        <v>2293</v>
      </c>
      <c r="D630" s="11" t="s">
        <v>2294</v>
      </c>
      <c r="E630" s="11" t="s">
        <v>26</v>
      </c>
      <c r="F630" s="11" t="s">
        <v>2295</v>
      </c>
      <c r="G630" s="11" t="s">
        <v>28</v>
      </c>
      <c r="H630" s="11" t="s">
        <v>2295</v>
      </c>
      <c r="I630" s="11" t="s">
        <v>2296</v>
      </c>
      <c r="J630" s="12">
        <v>0.92720000000000002</v>
      </c>
      <c r="K630" s="13">
        <v>1</v>
      </c>
      <c r="L630" s="14">
        <v>453</v>
      </c>
      <c r="M630" s="10">
        <v>420</v>
      </c>
      <c r="N630" s="10">
        <v>50057</v>
      </c>
      <c r="O630" s="10">
        <v>32936</v>
      </c>
      <c r="P630" s="10">
        <v>82993</v>
      </c>
    </row>
    <row r="631" spans="1:16" ht="27" customHeight="1" x14ac:dyDescent="0.2">
      <c r="A631" s="9" t="s">
        <v>1682</v>
      </c>
      <c r="B631" s="10" t="s">
        <v>2023</v>
      </c>
      <c r="C631" s="11" t="s">
        <v>2297</v>
      </c>
      <c r="D631" s="11" t="s">
        <v>2298</v>
      </c>
      <c r="E631" s="11" t="s">
        <v>26</v>
      </c>
      <c r="F631" s="11" t="s">
        <v>2299</v>
      </c>
      <c r="G631" s="11" t="s">
        <v>28</v>
      </c>
      <c r="H631" s="11" t="s">
        <v>2299</v>
      </c>
      <c r="I631" s="11" t="s">
        <v>2300</v>
      </c>
      <c r="J631" s="12">
        <v>0.71430000000000005</v>
      </c>
      <c r="K631" s="13">
        <v>1</v>
      </c>
      <c r="L631" s="14">
        <v>315</v>
      </c>
      <c r="M631" s="10">
        <v>225</v>
      </c>
      <c r="N631" s="10">
        <v>34808</v>
      </c>
      <c r="O631" s="10">
        <v>17644</v>
      </c>
      <c r="P631" s="10">
        <v>52452</v>
      </c>
    </row>
    <row r="632" spans="1:16" ht="27" customHeight="1" x14ac:dyDescent="0.2">
      <c r="A632" s="9" t="s">
        <v>1682</v>
      </c>
      <c r="B632" s="10" t="s">
        <v>2023</v>
      </c>
      <c r="C632" s="11" t="s">
        <v>2301</v>
      </c>
      <c r="D632" s="11" t="s">
        <v>2302</v>
      </c>
      <c r="E632" s="11" t="s">
        <v>26</v>
      </c>
      <c r="F632" s="11" t="s">
        <v>2303</v>
      </c>
      <c r="G632" s="11" t="s">
        <v>28</v>
      </c>
      <c r="H632" s="11" t="s">
        <v>1685</v>
      </c>
      <c r="I632" s="11" t="s">
        <v>1686</v>
      </c>
      <c r="J632" s="12">
        <v>1</v>
      </c>
      <c r="K632" s="13">
        <v>1</v>
      </c>
      <c r="L632" s="14">
        <v>399</v>
      </c>
      <c r="M632" s="10">
        <v>392</v>
      </c>
      <c r="N632" s="10">
        <v>44090</v>
      </c>
      <c r="O632" s="10">
        <v>30740</v>
      </c>
      <c r="P632" s="10">
        <v>74830</v>
      </c>
    </row>
    <row r="633" spans="1:16" ht="27" customHeight="1" x14ac:dyDescent="0.2">
      <c r="A633" s="9" t="s">
        <v>1682</v>
      </c>
      <c r="B633" s="10" t="s">
        <v>2023</v>
      </c>
      <c r="C633" s="11" t="s">
        <v>2304</v>
      </c>
      <c r="D633" s="11" t="s">
        <v>2305</v>
      </c>
      <c r="E633" s="11" t="s">
        <v>26</v>
      </c>
      <c r="F633" s="11" t="s">
        <v>2306</v>
      </c>
      <c r="G633" s="11" t="s">
        <v>28</v>
      </c>
      <c r="H633" s="11" t="s">
        <v>2306</v>
      </c>
      <c r="I633" s="11" t="s">
        <v>2307</v>
      </c>
      <c r="J633" s="12">
        <v>0.76619999999999999</v>
      </c>
      <c r="K633" s="13">
        <v>1</v>
      </c>
      <c r="L633" s="14">
        <v>325</v>
      </c>
      <c r="M633" s="10">
        <v>249</v>
      </c>
      <c r="N633" s="10">
        <v>35913</v>
      </c>
      <c r="O633" s="10">
        <v>19526</v>
      </c>
      <c r="P633" s="10">
        <v>55439</v>
      </c>
    </row>
    <row r="634" spans="1:16" ht="27" customHeight="1" x14ac:dyDescent="0.2">
      <c r="A634" s="9" t="s">
        <v>1682</v>
      </c>
      <c r="B634" s="10" t="s">
        <v>2023</v>
      </c>
      <c r="C634" s="11" t="s">
        <v>2308</v>
      </c>
      <c r="D634" s="11" t="s">
        <v>2309</v>
      </c>
      <c r="E634" s="11" t="s">
        <v>26</v>
      </c>
      <c r="F634" s="11" t="s">
        <v>2310</v>
      </c>
      <c r="G634" s="11" t="s">
        <v>28</v>
      </c>
      <c r="H634" s="11" t="s">
        <v>2310</v>
      </c>
      <c r="I634" s="11" t="s">
        <v>2311</v>
      </c>
      <c r="J634" s="12">
        <v>0.87829999999999997</v>
      </c>
      <c r="K634" s="13">
        <v>1</v>
      </c>
      <c r="L634" s="14">
        <v>304</v>
      </c>
      <c r="M634" s="10">
        <v>267</v>
      </c>
      <c r="N634" s="10">
        <v>33593</v>
      </c>
      <c r="O634" s="10">
        <v>20938</v>
      </c>
      <c r="P634" s="10">
        <v>54531</v>
      </c>
    </row>
    <row r="635" spans="1:16" ht="27" customHeight="1" x14ac:dyDescent="0.2">
      <c r="A635" s="9" t="s">
        <v>1682</v>
      </c>
      <c r="B635" s="10" t="s">
        <v>2023</v>
      </c>
      <c r="C635" s="11" t="s">
        <v>2312</v>
      </c>
      <c r="D635" s="11" t="s">
        <v>2313</v>
      </c>
      <c r="E635" s="11" t="s">
        <v>26</v>
      </c>
      <c r="F635" s="11" t="s">
        <v>2314</v>
      </c>
      <c r="G635" s="11" t="s">
        <v>28</v>
      </c>
      <c r="H635" s="11" t="s">
        <v>1685</v>
      </c>
      <c r="I635" s="11" t="s">
        <v>1686</v>
      </c>
      <c r="J635" s="12">
        <v>1</v>
      </c>
      <c r="K635" s="13">
        <v>1</v>
      </c>
      <c r="L635" s="14">
        <v>507</v>
      </c>
      <c r="M635" s="10">
        <v>491</v>
      </c>
      <c r="N635" s="10">
        <v>56024</v>
      </c>
      <c r="O635" s="10">
        <v>38504</v>
      </c>
      <c r="P635" s="10">
        <v>94528</v>
      </c>
    </row>
    <row r="636" spans="1:16" ht="27" customHeight="1" x14ac:dyDescent="0.2">
      <c r="A636" s="9" t="s">
        <v>1682</v>
      </c>
      <c r="B636" s="10" t="s">
        <v>2023</v>
      </c>
      <c r="C636" s="11" t="s">
        <v>2315</v>
      </c>
      <c r="D636" s="11" t="s">
        <v>2316</v>
      </c>
      <c r="E636" s="11" t="s">
        <v>26</v>
      </c>
      <c r="F636" s="11" t="s">
        <v>2317</v>
      </c>
      <c r="G636" s="11" t="s">
        <v>28</v>
      </c>
      <c r="H636" s="11" t="s">
        <v>1685</v>
      </c>
      <c r="I636" s="11" t="s">
        <v>1686</v>
      </c>
      <c r="J636" s="12">
        <v>1</v>
      </c>
      <c r="K636" s="13">
        <v>1</v>
      </c>
      <c r="L636" s="14">
        <v>205</v>
      </c>
      <c r="M636" s="10">
        <v>200</v>
      </c>
      <c r="N636" s="10">
        <v>22653</v>
      </c>
      <c r="O636" s="10">
        <v>15684</v>
      </c>
      <c r="P636" s="10">
        <v>38337</v>
      </c>
    </row>
    <row r="637" spans="1:16" ht="27" customHeight="1" x14ac:dyDescent="0.2">
      <c r="A637" s="9" t="s">
        <v>1682</v>
      </c>
      <c r="B637" s="10" t="s">
        <v>2023</v>
      </c>
      <c r="C637" s="11" t="s">
        <v>2318</v>
      </c>
      <c r="D637" s="11" t="s">
        <v>2319</v>
      </c>
      <c r="E637" s="11" t="s">
        <v>26</v>
      </c>
      <c r="F637" s="11" t="s">
        <v>2320</v>
      </c>
      <c r="G637" s="11" t="s">
        <v>28</v>
      </c>
      <c r="H637" s="11" t="s">
        <v>2320</v>
      </c>
      <c r="I637" s="11" t="s">
        <v>2321</v>
      </c>
      <c r="J637" s="12">
        <v>0.97699999999999998</v>
      </c>
      <c r="K637" s="13">
        <v>1</v>
      </c>
      <c r="L637" s="14">
        <v>564</v>
      </c>
      <c r="M637" s="10">
        <v>551</v>
      </c>
      <c r="N637" s="10">
        <v>62323</v>
      </c>
      <c r="O637" s="10">
        <v>43209</v>
      </c>
      <c r="P637" s="10">
        <v>105532</v>
      </c>
    </row>
    <row r="638" spans="1:16" ht="27" customHeight="1" x14ac:dyDescent="0.2">
      <c r="A638" s="9" t="s">
        <v>1682</v>
      </c>
      <c r="B638" s="10" t="s">
        <v>2023</v>
      </c>
      <c r="C638" s="11" t="s">
        <v>2322</v>
      </c>
      <c r="D638" s="11" t="s">
        <v>2323</v>
      </c>
      <c r="E638" s="11" t="s">
        <v>26</v>
      </c>
      <c r="F638" s="11" t="s">
        <v>2324</v>
      </c>
      <c r="G638" s="11" t="s">
        <v>28</v>
      </c>
      <c r="H638" s="11" t="s">
        <v>2324</v>
      </c>
      <c r="I638" s="11" t="s">
        <v>2325</v>
      </c>
      <c r="J638" s="12">
        <v>0.91920000000000002</v>
      </c>
      <c r="K638" s="13">
        <v>1</v>
      </c>
      <c r="L638" s="14">
        <v>1077</v>
      </c>
      <c r="M638" s="10">
        <v>990</v>
      </c>
      <c r="N638" s="10">
        <v>119010</v>
      </c>
      <c r="O638" s="10">
        <v>77635</v>
      </c>
      <c r="P638" s="10">
        <v>196645</v>
      </c>
    </row>
    <row r="639" spans="1:16" ht="27" customHeight="1" x14ac:dyDescent="0.2">
      <c r="A639" s="9" t="s">
        <v>1682</v>
      </c>
      <c r="B639" s="10" t="s">
        <v>2023</v>
      </c>
      <c r="C639" s="11" t="s">
        <v>2326</v>
      </c>
      <c r="D639" s="11" t="s">
        <v>2327</v>
      </c>
      <c r="E639" s="11" t="s">
        <v>26</v>
      </c>
      <c r="F639" s="11" t="s">
        <v>2328</v>
      </c>
      <c r="G639" s="11" t="s">
        <v>28</v>
      </c>
      <c r="H639" s="11" t="s">
        <v>1685</v>
      </c>
      <c r="I639" s="11" t="s">
        <v>1686</v>
      </c>
      <c r="J639" s="12">
        <v>1</v>
      </c>
      <c r="K639" s="13">
        <v>1</v>
      </c>
      <c r="L639" s="14">
        <v>431</v>
      </c>
      <c r="M639" s="10">
        <v>409</v>
      </c>
      <c r="N639" s="10">
        <v>47626</v>
      </c>
      <c r="O639" s="10">
        <v>32073</v>
      </c>
      <c r="P639" s="10">
        <v>79699</v>
      </c>
    </row>
    <row r="640" spans="1:16" ht="27" customHeight="1" x14ac:dyDescent="0.2">
      <c r="A640" s="9" t="s">
        <v>1682</v>
      </c>
      <c r="B640" s="10" t="s">
        <v>2023</v>
      </c>
      <c r="C640" s="11" t="s">
        <v>2329</v>
      </c>
      <c r="D640" s="11" t="s">
        <v>2330</v>
      </c>
      <c r="E640" s="11" t="s">
        <v>26</v>
      </c>
      <c r="F640" s="11" t="s">
        <v>2331</v>
      </c>
      <c r="G640" s="11" t="s">
        <v>28</v>
      </c>
      <c r="H640" s="11" t="s">
        <v>1685</v>
      </c>
      <c r="I640" s="11" t="s">
        <v>1686</v>
      </c>
      <c r="J640" s="12">
        <v>1</v>
      </c>
      <c r="K640" s="13">
        <v>1</v>
      </c>
      <c r="L640" s="14">
        <v>403</v>
      </c>
      <c r="M640" s="10">
        <v>395</v>
      </c>
      <c r="N640" s="10">
        <v>44532</v>
      </c>
      <c r="O640" s="10">
        <v>30975</v>
      </c>
      <c r="P640" s="10">
        <v>75507</v>
      </c>
    </row>
    <row r="641" spans="1:16" ht="27" customHeight="1" x14ac:dyDescent="0.2">
      <c r="A641" s="9" t="s">
        <v>1682</v>
      </c>
      <c r="B641" s="10" t="s">
        <v>2023</v>
      </c>
      <c r="C641" s="11" t="s">
        <v>2332</v>
      </c>
      <c r="D641" s="11" t="s">
        <v>2333</v>
      </c>
      <c r="E641" s="11" t="s">
        <v>26</v>
      </c>
      <c r="F641" s="11" t="s">
        <v>2334</v>
      </c>
      <c r="G641" s="11" t="s">
        <v>28</v>
      </c>
      <c r="H641" s="11" t="s">
        <v>1685</v>
      </c>
      <c r="I641" s="11" t="s">
        <v>1686</v>
      </c>
      <c r="J641" s="12">
        <v>1</v>
      </c>
      <c r="K641" s="13">
        <v>1</v>
      </c>
      <c r="L641" s="14">
        <v>491</v>
      </c>
      <c r="M641" s="10">
        <v>480</v>
      </c>
      <c r="N641" s="10">
        <v>54256</v>
      </c>
      <c r="O641" s="10">
        <v>37641</v>
      </c>
      <c r="P641" s="10">
        <v>91897</v>
      </c>
    </row>
    <row r="642" spans="1:16" ht="27" customHeight="1" x14ac:dyDescent="0.2">
      <c r="A642" s="9" t="s">
        <v>1682</v>
      </c>
      <c r="B642" s="10" t="s">
        <v>2023</v>
      </c>
      <c r="C642" s="11" t="s">
        <v>2335</v>
      </c>
      <c r="D642" s="11" t="s">
        <v>2336</v>
      </c>
      <c r="E642" s="11" t="s">
        <v>26</v>
      </c>
      <c r="F642" s="11" t="s">
        <v>2337</v>
      </c>
      <c r="G642" s="11" t="s">
        <v>28</v>
      </c>
      <c r="H642" s="11" t="s">
        <v>2337</v>
      </c>
      <c r="I642" s="11" t="s">
        <v>2338</v>
      </c>
      <c r="J642" s="12">
        <v>0.49070000000000003</v>
      </c>
      <c r="K642" s="13">
        <v>1</v>
      </c>
      <c r="L642" s="14">
        <v>428</v>
      </c>
      <c r="M642" s="10">
        <v>210</v>
      </c>
      <c r="N642" s="10">
        <v>47295</v>
      </c>
      <c r="O642" s="10">
        <v>16468</v>
      </c>
      <c r="P642" s="10">
        <v>63763</v>
      </c>
    </row>
    <row r="643" spans="1:16" ht="27" customHeight="1" x14ac:dyDescent="0.2">
      <c r="A643" s="9" t="s">
        <v>1682</v>
      </c>
      <c r="B643" s="10" t="s">
        <v>2023</v>
      </c>
      <c r="C643" s="11" t="s">
        <v>2339</v>
      </c>
      <c r="D643" s="11" t="s">
        <v>2340</v>
      </c>
      <c r="E643" s="11" t="s">
        <v>26</v>
      </c>
      <c r="F643" s="11" t="s">
        <v>2341</v>
      </c>
      <c r="G643" s="11" t="s">
        <v>28</v>
      </c>
      <c r="H643" s="11" t="s">
        <v>2341</v>
      </c>
      <c r="I643" s="11" t="s">
        <v>2342</v>
      </c>
      <c r="J643" s="12">
        <v>0.93610000000000004</v>
      </c>
      <c r="K643" s="13">
        <v>1</v>
      </c>
      <c r="L643" s="14">
        <v>736</v>
      </c>
      <c r="M643" s="10">
        <v>689</v>
      </c>
      <c r="N643" s="10">
        <v>81329</v>
      </c>
      <c r="O643" s="10">
        <v>54031</v>
      </c>
      <c r="P643" s="10">
        <v>135360</v>
      </c>
    </row>
    <row r="644" spans="1:16" ht="27" customHeight="1" x14ac:dyDescent="0.2">
      <c r="A644" s="9" t="s">
        <v>1682</v>
      </c>
      <c r="B644" s="10" t="s">
        <v>2023</v>
      </c>
      <c r="C644" s="11" t="s">
        <v>2343</v>
      </c>
      <c r="D644" s="11" t="s">
        <v>2344</v>
      </c>
      <c r="E644" s="11" t="s">
        <v>26</v>
      </c>
      <c r="F644" s="11" t="s">
        <v>2345</v>
      </c>
      <c r="G644" s="11" t="s">
        <v>28</v>
      </c>
      <c r="H644" s="11" t="s">
        <v>1685</v>
      </c>
      <c r="I644" s="11" t="s">
        <v>1686</v>
      </c>
      <c r="J644" s="12">
        <v>1</v>
      </c>
      <c r="K644" s="13">
        <v>1</v>
      </c>
      <c r="L644" s="14">
        <v>432</v>
      </c>
      <c r="M644" s="10">
        <v>398</v>
      </c>
      <c r="N644" s="10">
        <v>47737</v>
      </c>
      <c r="O644" s="10">
        <v>31211</v>
      </c>
      <c r="P644" s="10">
        <v>78948</v>
      </c>
    </row>
    <row r="645" spans="1:16" ht="27" customHeight="1" x14ac:dyDescent="0.2">
      <c r="A645" s="9" t="s">
        <v>1682</v>
      </c>
      <c r="B645" s="10" t="s">
        <v>2023</v>
      </c>
      <c r="C645" s="11" t="s">
        <v>2346</v>
      </c>
      <c r="D645" s="11" t="s">
        <v>2347</v>
      </c>
      <c r="E645" s="11" t="s">
        <v>26</v>
      </c>
      <c r="F645" s="11" t="s">
        <v>2348</v>
      </c>
      <c r="G645" s="11" t="s">
        <v>28</v>
      </c>
      <c r="H645" s="11" t="s">
        <v>2348</v>
      </c>
      <c r="I645" s="11" t="s">
        <v>2349</v>
      </c>
      <c r="J645" s="12">
        <v>0.7611</v>
      </c>
      <c r="K645" s="13">
        <v>1</v>
      </c>
      <c r="L645" s="14">
        <v>339</v>
      </c>
      <c r="M645" s="10">
        <v>258</v>
      </c>
      <c r="N645" s="10">
        <v>37460</v>
      </c>
      <c r="O645" s="10">
        <v>20232</v>
      </c>
      <c r="P645" s="10">
        <v>57692</v>
      </c>
    </row>
    <row r="646" spans="1:16" ht="27" customHeight="1" x14ac:dyDescent="0.2">
      <c r="A646" s="9" t="s">
        <v>1682</v>
      </c>
      <c r="B646" s="10" t="s">
        <v>2023</v>
      </c>
      <c r="C646" s="11" t="s">
        <v>2350</v>
      </c>
      <c r="D646" s="11" t="s">
        <v>2351</v>
      </c>
      <c r="E646" s="11" t="s">
        <v>26</v>
      </c>
      <c r="F646" s="11" t="s">
        <v>2352</v>
      </c>
      <c r="G646" s="11" t="s">
        <v>28</v>
      </c>
      <c r="H646" s="11" t="s">
        <v>2352</v>
      </c>
      <c r="I646" s="11" t="s">
        <v>2353</v>
      </c>
      <c r="J646" s="12">
        <v>0.82489999999999997</v>
      </c>
      <c r="K646" s="13">
        <v>1</v>
      </c>
      <c r="L646" s="14">
        <v>337</v>
      </c>
      <c r="M646" s="10">
        <v>278</v>
      </c>
      <c r="N646" s="10">
        <v>37239</v>
      </c>
      <c r="O646" s="10">
        <v>21800</v>
      </c>
      <c r="P646" s="10">
        <v>59039</v>
      </c>
    </row>
    <row r="647" spans="1:16" ht="27" customHeight="1" x14ac:dyDescent="0.2">
      <c r="A647" s="9" t="s">
        <v>1682</v>
      </c>
      <c r="B647" s="10" t="s">
        <v>2023</v>
      </c>
      <c r="C647" s="11" t="s">
        <v>2354</v>
      </c>
      <c r="D647" s="11" t="s">
        <v>2355</v>
      </c>
      <c r="E647" s="11" t="s">
        <v>26</v>
      </c>
      <c r="F647" s="11" t="s">
        <v>2356</v>
      </c>
      <c r="G647" s="11" t="s">
        <v>28</v>
      </c>
      <c r="H647" s="11" t="s">
        <v>2356</v>
      </c>
      <c r="I647" s="11" t="s">
        <v>2357</v>
      </c>
      <c r="J647" s="12">
        <v>0.86880000000000002</v>
      </c>
      <c r="K647" s="13">
        <v>1</v>
      </c>
      <c r="L647" s="14">
        <v>161</v>
      </c>
      <c r="M647" s="10">
        <v>140</v>
      </c>
      <c r="N647" s="10">
        <v>17791</v>
      </c>
      <c r="O647" s="10">
        <v>10979</v>
      </c>
      <c r="P647" s="10">
        <v>28770</v>
      </c>
    </row>
    <row r="648" spans="1:16" ht="27" customHeight="1" x14ac:dyDescent="0.2">
      <c r="A648" s="9" t="s">
        <v>1682</v>
      </c>
      <c r="B648" s="10" t="s">
        <v>2023</v>
      </c>
      <c r="C648" s="11" t="s">
        <v>2358</v>
      </c>
      <c r="D648" s="11" t="s">
        <v>2359</v>
      </c>
      <c r="E648" s="11" t="s">
        <v>26</v>
      </c>
      <c r="F648" s="11" t="s">
        <v>2360</v>
      </c>
      <c r="G648" s="11" t="s">
        <v>28</v>
      </c>
      <c r="H648" s="11" t="s">
        <v>2360</v>
      </c>
      <c r="I648" s="11" t="s">
        <v>2361</v>
      </c>
      <c r="J648" s="12">
        <v>0.77600000000000002</v>
      </c>
      <c r="K648" s="13">
        <v>1</v>
      </c>
      <c r="L648" s="14">
        <v>375</v>
      </c>
      <c r="M648" s="10">
        <v>291</v>
      </c>
      <c r="N648" s="10">
        <v>41438</v>
      </c>
      <c r="O648" s="10">
        <v>22820</v>
      </c>
      <c r="P648" s="10">
        <v>64258</v>
      </c>
    </row>
    <row r="649" spans="1:16" ht="27" customHeight="1" x14ac:dyDescent="0.2">
      <c r="A649" s="9" t="s">
        <v>1682</v>
      </c>
      <c r="B649" s="10" t="s">
        <v>2023</v>
      </c>
      <c r="C649" s="11" t="s">
        <v>2362</v>
      </c>
      <c r="D649" s="11" t="s">
        <v>2363</v>
      </c>
      <c r="E649" s="11" t="s">
        <v>26</v>
      </c>
      <c r="F649" s="11" t="s">
        <v>2364</v>
      </c>
      <c r="G649" s="11" t="s">
        <v>28</v>
      </c>
      <c r="H649" s="11" t="s">
        <v>2364</v>
      </c>
      <c r="I649" s="11" t="s">
        <v>2365</v>
      </c>
      <c r="J649" s="12">
        <v>0.87619999999999998</v>
      </c>
      <c r="K649" s="13">
        <v>1</v>
      </c>
      <c r="L649" s="14">
        <v>517</v>
      </c>
      <c r="M649" s="10">
        <v>453</v>
      </c>
      <c r="N649" s="10">
        <v>57129</v>
      </c>
      <c r="O649" s="10">
        <v>35524</v>
      </c>
      <c r="P649" s="10">
        <v>92653</v>
      </c>
    </row>
    <row r="650" spans="1:16" ht="27" customHeight="1" x14ac:dyDescent="0.2">
      <c r="A650" s="9" t="s">
        <v>1682</v>
      </c>
      <c r="B650" s="10" t="s">
        <v>2023</v>
      </c>
      <c r="C650" s="11" t="s">
        <v>2366</v>
      </c>
      <c r="D650" s="11" t="s">
        <v>2367</v>
      </c>
      <c r="E650" s="11" t="s">
        <v>26</v>
      </c>
      <c r="F650" s="11" t="s">
        <v>2368</v>
      </c>
      <c r="G650" s="11" t="s">
        <v>28</v>
      </c>
      <c r="H650" s="11" t="s">
        <v>1685</v>
      </c>
      <c r="I650" s="11" t="s">
        <v>1686</v>
      </c>
      <c r="J650" s="12">
        <v>1</v>
      </c>
      <c r="K650" s="13">
        <v>1</v>
      </c>
      <c r="L650" s="14">
        <v>354</v>
      </c>
      <c r="M650" s="10">
        <v>330</v>
      </c>
      <c r="N650" s="10">
        <v>39118</v>
      </c>
      <c r="O650" s="10">
        <v>25878</v>
      </c>
      <c r="P650" s="10">
        <v>64996</v>
      </c>
    </row>
    <row r="651" spans="1:16" ht="27" customHeight="1" x14ac:dyDescent="0.2">
      <c r="A651" s="9" t="s">
        <v>1682</v>
      </c>
      <c r="B651" s="10" t="s">
        <v>2023</v>
      </c>
      <c r="C651" s="11" t="s">
        <v>2369</v>
      </c>
      <c r="D651" s="11" t="s">
        <v>2370</v>
      </c>
      <c r="E651" s="11" t="s">
        <v>26</v>
      </c>
      <c r="F651" s="11" t="s">
        <v>2371</v>
      </c>
      <c r="G651" s="11" t="s">
        <v>28</v>
      </c>
      <c r="H651" s="11" t="s">
        <v>1685</v>
      </c>
      <c r="I651" s="11" t="s">
        <v>1686</v>
      </c>
      <c r="J651" s="12">
        <v>1</v>
      </c>
      <c r="K651" s="13">
        <v>1</v>
      </c>
      <c r="L651" s="14">
        <v>384</v>
      </c>
      <c r="M651" s="10">
        <v>310</v>
      </c>
      <c r="N651" s="10">
        <v>42433</v>
      </c>
      <c r="O651" s="10">
        <v>24310</v>
      </c>
      <c r="P651" s="10">
        <v>66743</v>
      </c>
    </row>
    <row r="652" spans="1:16" ht="27" customHeight="1" x14ac:dyDescent="0.2">
      <c r="A652" s="9" t="s">
        <v>1682</v>
      </c>
      <c r="B652" s="10" t="s">
        <v>2023</v>
      </c>
      <c r="C652" s="11" t="s">
        <v>2372</v>
      </c>
      <c r="D652" s="11" t="s">
        <v>2373</v>
      </c>
      <c r="E652" s="11" t="s">
        <v>26</v>
      </c>
      <c r="F652" s="11" t="s">
        <v>2374</v>
      </c>
      <c r="G652" s="11" t="s">
        <v>28</v>
      </c>
      <c r="H652" s="11" t="s">
        <v>2374</v>
      </c>
      <c r="I652" s="11" t="s">
        <v>2375</v>
      </c>
      <c r="J652" s="12">
        <v>0.40350000000000003</v>
      </c>
      <c r="K652" s="13">
        <v>1</v>
      </c>
      <c r="L652" s="14">
        <v>285</v>
      </c>
      <c r="M652" s="10">
        <v>115</v>
      </c>
      <c r="N652" s="10">
        <v>31493</v>
      </c>
      <c r="O652" s="10">
        <v>9018</v>
      </c>
      <c r="P652" s="10">
        <v>40511</v>
      </c>
    </row>
    <row r="653" spans="1:16" ht="27" customHeight="1" x14ac:dyDescent="0.2">
      <c r="A653" s="9" t="s">
        <v>1682</v>
      </c>
      <c r="B653" s="10" t="s">
        <v>2023</v>
      </c>
      <c r="C653" s="11" t="s">
        <v>2376</v>
      </c>
      <c r="D653" s="11" t="s">
        <v>2377</v>
      </c>
      <c r="E653" s="11" t="s">
        <v>26</v>
      </c>
      <c r="F653" s="11" t="s">
        <v>2378</v>
      </c>
      <c r="G653" s="11" t="s">
        <v>28</v>
      </c>
      <c r="H653" s="11" t="s">
        <v>1685</v>
      </c>
      <c r="I653" s="11" t="s">
        <v>1686</v>
      </c>
      <c r="J653" s="12">
        <v>1</v>
      </c>
      <c r="K653" s="13">
        <v>1</v>
      </c>
      <c r="L653" s="14">
        <v>228</v>
      </c>
      <c r="M653" s="10">
        <v>156</v>
      </c>
      <c r="N653" s="10">
        <v>25194</v>
      </c>
      <c r="O653" s="10">
        <v>12233</v>
      </c>
      <c r="P653" s="10">
        <v>37427</v>
      </c>
    </row>
    <row r="654" spans="1:16" ht="27" customHeight="1" x14ac:dyDescent="0.2">
      <c r="A654" s="9" t="s">
        <v>1682</v>
      </c>
      <c r="B654" s="10" t="s">
        <v>2023</v>
      </c>
      <c r="C654" s="11" t="s">
        <v>2379</v>
      </c>
      <c r="D654" s="11" t="s">
        <v>2380</v>
      </c>
      <c r="E654" s="11" t="s">
        <v>26</v>
      </c>
      <c r="F654" s="11" t="s">
        <v>2381</v>
      </c>
      <c r="G654" s="11" t="s">
        <v>28</v>
      </c>
      <c r="H654" s="11" t="s">
        <v>2381</v>
      </c>
      <c r="I654" s="11" t="s">
        <v>2382</v>
      </c>
      <c r="J654" s="12">
        <v>0.90580000000000005</v>
      </c>
      <c r="K654" s="13">
        <v>1</v>
      </c>
      <c r="L654" s="14">
        <v>669</v>
      </c>
      <c r="M654" s="10">
        <v>606</v>
      </c>
      <c r="N654" s="10">
        <v>73926</v>
      </c>
      <c r="O654" s="10">
        <v>47522</v>
      </c>
      <c r="P654" s="10">
        <v>121448</v>
      </c>
    </row>
    <row r="655" spans="1:16" ht="27" customHeight="1" x14ac:dyDescent="0.2">
      <c r="A655" s="9" t="s">
        <v>1682</v>
      </c>
      <c r="B655" s="10" t="s">
        <v>2023</v>
      </c>
      <c r="C655" s="11" t="s">
        <v>2383</v>
      </c>
      <c r="D655" s="11" t="s">
        <v>2384</v>
      </c>
      <c r="E655" s="11" t="s">
        <v>26</v>
      </c>
      <c r="F655" s="11" t="s">
        <v>2385</v>
      </c>
      <c r="G655" s="11" t="s">
        <v>28</v>
      </c>
      <c r="H655" s="11" t="s">
        <v>1685</v>
      </c>
      <c r="I655" s="11" t="s">
        <v>1686</v>
      </c>
      <c r="J655" s="12">
        <v>1</v>
      </c>
      <c r="K655" s="13">
        <v>1</v>
      </c>
      <c r="L655" s="14">
        <v>307</v>
      </c>
      <c r="M655" s="10">
        <v>294</v>
      </c>
      <c r="N655" s="10">
        <v>33924</v>
      </c>
      <c r="O655" s="10">
        <v>23055</v>
      </c>
      <c r="P655" s="10">
        <v>56979</v>
      </c>
    </row>
    <row r="656" spans="1:16" ht="27" customHeight="1" x14ac:dyDescent="0.2">
      <c r="A656" s="9" t="s">
        <v>1682</v>
      </c>
      <c r="B656" s="10" t="s">
        <v>2023</v>
      </c>
      <c r="C656" s="11" t="s">
        <v>2386</v>
      </c>
      <c r="D656" s="11" t="s">
        <v>2387</v>
      </c>
      <c r="E656" s="11" t="s">
        <v>26</v>
      </c>
      <c r="F656" s="11" t="s">
        <v>2388</v>
      </c>
      <c r="G656" s="11" t="s">
        <v>28</v>
      </c>
      <c r="H656" s="11" t="s">
        <v>1685</v>
      </c>
      <c r="I656" s="11" t="s">
        <v>1686</v>
      </c>
      <c r="J656" s="12">
        <v>1</v>
      </c>
      <c r="K656" s="13">
        <v>1</v>
      </c>
      <c r="L656" s="14">
        <v>477</v>
      </c>
      <c r="M656" s="10">
        <v>465</v>
      </c>
      <c r="N656" s="10">
        <v>52709</v>
      </c>
      <c r="O656" s="10">
        <v>36465</v>
      </c>
      <c r="P656" s="10">
        <v>89174</v>
      </c>
    </row>
    <row r="657" spans="1:16" ht="27" customHeight="1" x14ac:dyDescent="0.2">
      <c r="A657" s="9" t="s">
        <v>1682</v>
      </c>
      <c r="B657" s="10" t="s">
        <v>2023</v>
      </c>
      <c r="C657" s="11" t="s">
        <v>2389</v>
      </c>
      <c r="D657" s="11" t="s">
        <v>2390</v>
      </c>
      <c r="E657" s="11" t="s">
        <v>26</v>
      </c>
      <c r="F657" s="11" t="s">
        <v>2391</v>
      </c>
      <c r="G657" s="11" t="s">
        <v>28</v>
      </c>
      <c r="H657" s="11" t="s">
        <v>2391</v>
      </c>
      <c r="I657" s="11" t="s">
        <v>2392</v>
      </c>
      <c r="J657" s="12">
        <v>0.64939999999999998</v>
      </c>
      <c r="K657" s="13">
        <v>1</v>
      </c>
      <c r="L657" s="14">
        <v>385</v>
      </c>
      <c r="M657" s="10">
        <v>250</v>
      </c>
      <c r="N657" s="10">
        <v>42543</v>
      </c>
      <c r="O657" s="10">
        <v>19605</v>
      </c>
      <c r="P657" s="10">
        <v>62148</v>
      </c>
    </row>
    <row r="658" spans="1:16" ht="27" customHeight="1" x14ac:dyDescent="0.2">
      <c r="A658" s="9" t="s">
        <v>1682</v>
      </c>
      <c r="B658" s="10" t="s">
        <v>2023</v>
      </c>
      <c r="C658" s="11" t="s">
        <v>2393</v>
      </c>
      <c r="D658" s="11" t="s">
        <v>2394</v>
      </c>
      <c r="E658" s="11" t="s">
        <v>26</v>
      </c>
      <c r="F658" s="11" t="s">
        <v>2395</v>
      </c>
      <c r="G658" s="11" t="s">
        <v>28</v>
      </c>
      <c r="H658" s="11" t="s">
        <v>2395</v>
      </c>
      <c r="I658" s="11" t="s">
        <v>2396</v>
      </c>
      <c r="J658" s="12">
        <v>0.82540000000000002</v>
      </c>
      <c r="K658" s="13">
        <v>1</v>
      </c>
      <c r="L658" s="14">
        <v>355</v>
      </c>
      <c r="M658" s="10">
        <v>293</v>
      </c>
      <c r="N658" s="10">
        <v>39228</v>
      </c>
      <c r="O658" s="10">
        <v>22977</v>
      </c>
      <c r="P658" s="10">
        <v>62205</v>
      </c>
    </row>
    <row r="659" spans="1:16" ht="27" customHeight="1" x14ac:dyDescent="0.2">
      <c r="A659" s="9" t="s">
        <v>1682</v>
      </c>
      <c r="B659" s="10" t="s">
        <v>2023</v>
      </c>
      <c r="C659" s="11" t="s">
        <v>2397</v>
      </c>
      <c r="D659" s="11" t="s">
        <v>2398</v>
      </c>
      <c r="E659" s="11" t="s">
        <v>26</v>
      </c>
      <c r="F659" s="11" t="s">
        <v>2399</v>
      </c>
      <c r="G659" s="11" t="s">
        <v>28</v>
      </c>
      <c r="H659" s="11" t="s">
        <v>2399</v>
      </c>
      <c r="I659" s="11" t="s">
        <v>2400</v>
      </c>
      <c r="J659" s="12">
        <v>0.83220000000000005</v>
      </c>
      <c r="K659" s="13">
        <v>1</v>
      </c>
      <c r="L659" s="14">
        <v>298</v>
      </c>
      <c r="M659" s="10">
        <v>248</v>
      </c>
      <c r="N659" s="10">
        <v>32929</v>
      </c>
      <c r="O659" s="10">
        <v>19448</v>
      </c>
      <c r="P659" s="10">
        <v>52377</v>
      </c>
    </row>
    <row r="660" spans="1:16" ht="27" customHeight="1" x14ac:dyDescent="0.2">
      <c r="A660" s="9" t="s">
        <v>1682</v>
      </c>
      <c r="B660" s="10" t="s">
        <v>2023</v>
      </c>
      <c r="C660" s="11" t="s">
        <v>2401</v>
      </c>
      <c r="D660" s="11" t="s">
        <v>2402</v>
      </c>
      <c r="E660" s="11" t="s">
        <v>26</v>
      </c>
      <c r="F660" s="11" t="s">
        <v>2403</v>
      </c>
      <c r="G660" s="11" t="s">
        <v>28</v>
      </c>
      <c r="H660" s="11" t="s">
        <v>1685</v>
      </c>
      <c r="I660" s="11" t="s">
        <v>1686</v>
      </c>
      <c r="J660" s="12">
        <v>1</v>
      </c>
      <c r="K660" s="13">
        <v>1</v>
      </c>
      <c r="L660" s="14">
        <v>306</v>
      </c>
      <c r="M660" s="10">
        <v>290</v>
      </c>
      <c r="N660" s="10">
        <v>33814</v>
      </c>
      <c r="O660" s="10">
        <v>22742</v>
      </c>
      <c r="P660" s="10">
        <v>56556</v>
      </c>
    </row>
    <row r="661" spans="1:16" ht="27" customHeight="1" x14ac:dyDescent="0.2">
      <c r="A661" s="9" t="s">
        <v>1682</v>
      </c>
      <c r="B661" s="10" t="s">
        <v>2023</v>
      </c>
      <c r="C661" s="11" t="s">
        <v>2404</v>
      </c>
      <c r="D661" s="11" t="s">
        <v>2405</v>
      </c>
      <c r="E661" s="11" t="s">
        <v>26</v>
      </c>
      <c r="F661" s="11" t="s">
        <v>2406</v>
      </c>
      <c r="G661" s="11" t="s">
        <v>28</v>
      </c>
      <c r="H661" s="11" t="s">
        <v>1685</v>
      </c>
      <c r="I661" s="11" t="s">
        <v>1686</v>
      </c>
      <c r="J661" s="12">
        <v>1</v>
      </c>
      <c r="K661" s="13">
        <v>1</v>
      </c>
      <c r="L661" s="14">
        <v>518</v>
      </c>
      <c r="M661" s="10">
        <v>503</v>
      </c>
      <c r="N661" s="10">
        <v>57240</v>
      </c>
      <c r="O661" s="10">
        <v>39445</v>
      </c>
      <c r="P661" s="10">
        <v>96685</v>
      </c>
    </row>
    <row r="662" spans="1:16" ht="27" customHeight="1" x14ac:dyDescent="0.2">
      <c r="A662" s="9" t="s">
        <v>1682</v>
      </c>
      <c r="B662" s="10" t="s">
        <v>2023</v>
      </c>
      <c r="C662" s="11" t="s">
        <v>2407</v>
      </c>
      <c r="D662" s="11" t="s">
        <v>2408</v>
      </c>
      <c r="E662" s="11" t="s">
        <v>26</v>
      </c>
      <c r="F662" s="11" t="s">
        <v>2409</v>
      </c>
      <c r="G662" s="11" t="s">
        <v>28</v>
      </c>
      <c r="H662" s="11" t="s">
        <v>1685</v>
      </c>
      <c r="I662" s="11" t="s">
        <v>1686</v>
      </c>
      <c r="J662" s="12">
        <v>1</v>
      </c>
      <c r="K662" s="13">
        <v>1</v>
      </c>
      <c r="L662" s="14">
        <v>917</v>
      </c>
      <c r="M662" s="10">
        <v>867</v>
      </c>
      <c r="N662" s="10">
        <v>101330</v>
      </c>
      <c r="O662" s="10">
        <v>67989</v>
      </c>
      <c r="P662" s="10">
        <v>169319</v>
      </c>
    </row>
    <row r="663" spans="1:16" ht="27" customHeight="1" x14ac:dyDescent="0.2">
      <c r="A663" s="9" t="s">
        <v>1682</v>
      </c>
      <c r="B663" s="10" t="s">
        <v>2023</v>
      </c>
      <c r="C663" s="11" t="s">
        <v>2410</v>
      </c>
      <c r="D663" s="11" t="s">
        <v>2411</v>
      </c>
      <c r="E663" s="11" t="s">
        <v>26</v>
      </c>
      <c r="F663" s="11" t="s">
        <v>2412</v>
      </c>
      <c r="G663" s="11" t="s">
        <v>28</v>
      </c>
      <c r="H663" s="11" t="s">
        <v>2412</v>
      </c>
      <c r="I663" s="11" t="s">
        <v>2413</v>
      </c>
      <c r="J663" s="12">
        <v>0.96230000000000004</v>
      </c>
      <c r="K663" s="13">
        <v>1</v>
      </c>
      <c r="L663" s="14">
        <v>345</v>
      </c>
      <c r="M663" s="10">
        <v>332</v>
      </c>
      <c r="N663" s="10">
        <v>38123</v>
      </c>
      <c r="O663" s="10">
        <v>26035</v>
      </c>
      <c r="P663" s="10">
        <v>64158</v>
      </c>
    </row>
    <row r="664" spans="1:16" ht="27" customHeight="1" x14ac:dyDescent="0.2">
      <c r="A664" s="9" t="s">
        <v>1682</v>
      </c>
      <c r="B664" s="10" t="s">
        <v>2023</v>
      </c>
      <c r="C664" s="11" t="s">
        <v>2414</v>
      </c>
      <c r="D664" s="11" t="s">
        <v>2415</v>
      </c>
      <c r="E664" s="11" t="s">
        <v>26</v>
      </c>
      <c r="F664" s="11" t="s">
        <v>2416</v>
      </c>
      <c r="G664" s="11" t="s">
        <v>28</v>
      </c>
      <c r="H664" s="11" t="s">
        <v>1685</v>
      </c>
      <c r="I664" s="11" t="s">
        <v>1686</v>
      </c>
      <c r="J664" s="12">
        <v>1</v>
      </c>
      <c r="K664" s="13">
        <v>1</v>
      </c>
      <c r="L664" s="14">
        <v>339</v>
      </c>
      <c r="M664" s="10">
        <v>316</v>
      </c>
      <c r="N664" s="10">
        <v>37460</v>
      </c>
      <c r="O664" s="10">
        <v>24780</v>
      </c>
      <c r="P664" s="10">
        <v>62240</v>
      </c>
    </row>
    <row r="665" spans="1:16" ht="27" customHeight="1" x14ac:dyDescent="0.2">
      <c r="A665" s="9" t="s">
        <v>1682</v>
      </c>
      <c r="B665" s="10" t="s">
        <v>2023</v>
      </c>
      <c r="C665" s="11" t="s">
        <v>2417</v>
      </c>
      <c r="D665" s="11" t="s">
        <v>2418</v>
      </c>
      <c r="E665" s="11" t="s">
        <v>26</v>
      </c>
      <c r="F665" s="11" t="s">
        <v>2419</v>
      </c>
      <c r="G665" s="11" t="s">
        <v>28</v>
      </c>
      <c r="H665" s="11" t="s">
        <v>1685</v>
      </c>
      <c r="I665" s="11" t="s">
        <v>1686</v>
      </c>
      <c r="J665" s="12">
        <v>1</v>
      </c>
      <c r="K665" s="13">
        <v>1</v>
      </c>
      <c r="L665" s="14">
        <v>543</v>
      </c>
      <c r="M665" s="10">
        <v>536</v>
      </c>
      <c r="N665" s="10">
        <v>60002</v>
      </c>
      <c r="O665" s="10">
        <v>42033</v>
      </c>
      <c r="P665" s="10">
        <v>102035</v>
      </c>
    </row>
    <row r="666" spans="1:16" ht="27" customHeight="1" x14ac:dyDescent="0.2">
      <c r="A666" s="9" t="s">
        <v>1682</v>
      </c>
      <c r="B666" s="10" t="s">
        <v>2023</v>
      </c>
      <c r="C666" s="11" t="s">
        <v>2420</v>
      </c>
      <c r="D666" s="11" t="s">
        <v>2421</v>
      </c>
      <c r="E666" s="11" t="s">
        <v>26</v>
      </c>
      <c r="F666" s="11" t="s">
        <v>2422</v>
      </c>
      <c r="G666" s="11" t="s">
        <v>28</v>
      </c>
      <c r="H666" s="11" t="s">
        <v>2422</v>
      </c>
      <c r="I666" s="11" t="s">
        <v>2423</v>
      </c>
      <c r="J666" s="12">
        <v>0.63880000000000003</v>
      </c>
      <c r="K666" s="13">
        <v>1</v>
      </c>
      <c r="L666" s="14">
        <v>299</v>
      </c>
      <c r="M666" s="10">
        <v>191</v>
      </c>
      <c r="N666" s="10">
        <v>33040</v>
      </c>
      <c r="O666" s="10">
        <v>14978</v>
      </c>
      <c r="P666" s="10">
        <v>48018</v>
      </c>
    </row>
    <row r="667" spans="1:16" ht="27" customHeight="1" x14ac:dyDescent="0.2">
      <c r="A667" s="9" t="s">
        <v>1682</v>
      </c>
      <c r="B667" s="10" t="s">
        <v>2023</v>
      </c>
      <c r="C667" s="11" t="s">
        <v>2424</v>
      </c>
      <c r="D667" s="11" t="s">
        <v>2425</v>
      </c>
      <c r="E667" s="11" t="s">
        <v>26</v>
      </c>
      <c r="F667" s="11" t="s">
        <v>2426</v>
      </c>
      <c r="G667" s="11" t="s">
        <v>28</v>
      </c>
      <c r="H667" s="11" t="s">
        <v>2426</v>
      </c>
      <c r="I667" s="11" t="s">
        <v>2427</v>
      </c>
      <c r="J667" s="12">
        <v>0.69620000000000004</v>
      </c>
      <c r="K667" s="13">
        <v>1</v>
      </c>
      <c r="L667" s="14">
        <v>339</v>
      </c>
      <c r="M667" s="10">
        <v>236</v>
      </c>
      <c r="N667" s="10">
        <v>37460</v>
      </c>
      <c r="O667" s="10">
        <v>18507</v>
      </c>
      <c r="P667" s="10">
        <v>55967</v>
      </c>
    </row>
    <row r="668" spans="1:16" ht="27" customHeight="1" x14ac:dyDescent="0.2">
      <c r="A668" s="9" t="s">
        <v>1682</v>
      </c>
      <c r="B668" s="10" t="s">
        <v>2023</v>
      </c>
      <c r="C668" s="11" t="s">
        <v>2428</v>
      </c>
      <c r="D668" s="11" t="s">
        <v>2429</v>
      </c>
      <c r="E668" s="11" t="s">
        <v>26</v>
      </c>
      <c r="F668" s="11" t="s">
        <v>2430</v>
      </c>
      <c r="G668" s="11" t="s">
        <v>28</v>
      </c>
      <c r="H668" s="11" t="s">
        <v>2430</v>
      </c>
      <c r="I668" s="11" t="s">
        <v>2431</v>
      </c>
      <c r="J668" s="12">
        <v>0.69510000000000005</v>
      </c>
      <c r="K668" s="13">
        <v>1</v>
      </c>
      <c r="L668" s="14">
        <v>328</v>
      </c>
      <c r="M668" s="10">
        <v>228</v>
      </c>
      <c r="N668" s="10">
        <v>36245</v>
      </c>
      <c r="O668" s="10">
        <v>17880</v>
      </c>
      <c r="P668" s="10">
        <v>54125</v>
      </c>
    </row>
    <row r="669" spans="1:16" ht="27" customHeight="1" x14ac:dyDescent="0.2">
      <c r="A669" s="9" t="s">
        <v>1682</v>
      </c>
      <c r="B669" s="10" t="s">
        <v>2023</v>
      </c>
      <c r="C669" s="11" t="s">
        <v>2432</v>
      </c>
      <c r="D669" s="11" t="s">
        <v>2433</v>
      </c>
      <c r="E669" s="11" t="s">
        <v>26</v>
      </c>
      <c r="F669" s="11" t="s">
        <v>2434</v>
      </c>
      <c r="G669" s="11" t="s">
        <v>28</v>
      </c>
      <c r="H669" s="11" t="s">
        <v>2434</v>
      </c>
      <c r="I669" s="11" t="s">
        <v>2435</v>
      </c>
      <c r="J669" s="12">
        <v>0.84440000000000004</v>
      </c>
      <c r="K669" s="13">
        <v>1</v>
      </c>
      <c r="L669" s="14">
        <v>302</v>
      </c>
      <c r="M669" s="10">
        <v>255</v>
      </c>
      <c r="N669" s="10">
        <v>33371</v>
      </c>
      <c r="O669" s="10">
        <v>19997</v>
      </c>
      <c r="P669" s="10">
        <v>53368</v>
      </c>
    </row>
    <row r="670" spans="1:16" ht="27" customHeight="1" x14ac:dyDescent="0.2">
      <c r="A670" s="9" t="s">
        <v>1682</v>
      </c>
      <c r="B670" s="10" t="s">
        <v>2023</v>
      </c>
      <c r="C670" s="11" t="s">
        <v>2436</v>
      </c>
      <c r="D670" s="11" t="s">
        <v>2437</v>
      </c>
      <c r="E670" s="11" t="s">
        <v>26</v>
      </c>
      <c r="F670" s="11" t="s">
        <v>2438</v>
      </c>
      <c r="G670" s="11" t="s">
        <v>28</v>
      </c>
      <c r="H670" s="11" t="s">
        <v>2438</v>
      </c>
      <c r="I670" s="11" t="s">
        <v>2439</v>
      </c>
      <c r="J670" s="12">
        <v>0.89339999999999997</v>
      </c>
      <c r="K670" s="13">
        <v>1</v>
      </c>
      <c r="L670" s="14">
        <v>544</v>
      </c>
      <c r="M670" s="10">
        <v>486</v>
      </c>
      <c r="N670" s="10">
        <v>60113</v>
      </c>
      <c r="O670" s="10">
        <v>38112</v>
      </c>
      <c r="P670" s="10">
        <v>98225</v>
      </c>
    </row>
    <row r="671" spans="1:16" ht="27" customHeight="1" x14ac:dyDescent="0.2">
      <c r="A671" s="9" t="s">
        <v>1682</v>
      </c>
      <c r="B671" s="10" t="s">
        <v>2023</v>
      </c>
      <c r="C671" s="11" t="s">
        <v>2440</v>
      </c>
      <c r="D671" s="11" t="s">
        <v>2441</v>
      </c>
      <c r="E671" s="11" t="s">
        <v>26</v>
      </c>
      <c r="F671" s="11" t="s">
        <v>2442</v>
      </c>
      <c r="G671" s="11" t="s">
        <v>28</v>
      </c>
      <c r="H671" s="11" t="s">
        <v>1685</v>
      </c>
      <c r="I671" s="11" t="s">
        <v>1686</v>
      </c>
      <c r="J671" s="12">
        <v>1</v>
      </c>
      <c r="K671" s="13">
        <v>1</v>
      </c>
      <c r="L671" s="14">
        <v>502</v>
      </c>
      <c r="M671" s="10">
        <v>490</v>
      </c>
      <c r="N671" s="10">
        <v>55472</v>
      </c>
      <c r="O671" s="10">
        <v>38425</v>
      </c>
      <c r="P671" s="10">
        <v>93897</v>
      </c>
    </row>
    <row r="672" spans="1:16" ht="27" customHeight="1" x14ac:dyDescent="0.2">
      <c r="A672" s="9" t="s">
        <v>1682</v>
      </c>
      <c r="B672" s="10" t="s">
        <v>2023</v>
      </c>
      <c r="C672" s="11" t="s">
        <v>2443</v>
      </c>
      <c r="D672" s="11" t="s">
        <v>2444</v>
      </c>
      <c r="E672" s="11" t="s">
        <v>26</v>
      </c>
      <c r="F672" s="11" t="s">
        <v>2445</v>
      </c>
      <c r="G672" s="11" t="s">
        <v>28</v>
      </c>
      <c r="H672" s="11" t="s">
        <v>1685</v>
      </c>
      <c r="I672" s="11" t="s">
        <v>1686</v>
      </c>
      <c r="J672" s="12">
        <v>1</v>
      </c>
      <c r="K672" s="13">
        <v>1</v>
      </c>
      <c r="L672" s="14">
        <v>199</v>
      </c>
      <c r="M672" s="10">
        <v>187</v>
      </c>
      <c r="N672" s="10">
        <v>21990</v>
      </c>
      <c r="O672" s="10">
        <v>14664</v>
      </c>
      <c r="P672" s="10">
        <v>36654</v>
      </c>
    </row>
    <row r="673" spans="1:16" ht="27" customHeight="1" x14ac:dyDescent="0.2">
      <c r="A673" s="9" t="s">
        <v>1682</v>
      </c>
      <c r="B673" s="10" t="s">
        <v>2023</v>
      </c>
      <c r="C673" s="11" t="s">
        <v>2446</v>
      </c>
      <c r="D673" s="11" t="s">
        <v>2447</v>
      </c>
      <c r="E673" s="11" t="s">
        <v>26</v>
      </c>
      <c r="F673" s="11" t="s">
        <v>2448</v>
      </c>
      <c r="G673" s="11" t="s">
        <v>28</v>
      </c>
      <c r="H673" s="11" t="s">
        <v>1685</v>
      </c>
      <c r="I673" s="11" t="s">
        <v>1686</v>
      </c>
      <c r="J673" s="12">
        <v>1</v>
      </c>
      <c r="K673" s="13">
        <v>1</v>
      </c>
      <c r="L673" s="14">
        <v>579</v>
      </c>
      <c r="M673" s="10">
        <v>546</v>
      </c>
      <c r="N673" s="10">
        <v>63980</v>
      </c>
      <c r="O673" s="10">
        <v>42817</v>
      </c>
      <c r="P673" s="10">
        <v>106797</v>
      </c>
    </row>
    <row r="674" spans="1:16" ht="27" customHeight="1" x14ac:dyDescent="0.2">
      <c r="A674" s="9" t="s">
        <v>1682</v>
      </c>
      <c r="B674" s="10" t="s">
        <v>2023</v>
      </c>
      <c r="C674" s="11" t="s">
        <v>2449</v>
      </c>
      <c r="D674" s="11" t="s">
        <v>2450</v>
      </c>
      <c r="E674" s="11" t="s">
        <v>26</v>
      </c>
      <c r="F674" s="11" t="s">
        <v>2451</v>
      </c>
      <c r="G674" s="11" t="s">
        <v>28</v>
      </c>
      <c r="H674" s="11" t="s">
        <v>1685</v>
      </c>
      <c r="I674" s="11" t="s">
        <v>1686</v>
      </c>
      <c r="J674" s="12">
        <v>1</v>
      </c>
      <c r="K674" s="13">
        <v>1</v>
      </c>
      <c r="L674" s="14">
        <v>362</v>
      </c>
      <c r="M674" s="10">
        <v>345</v>
      </c>
      <c r="N674" s="10">
        <v>40002</v>
      </c>
      <c r="O674" s="10">
        <v>27055</v>
      </c>
      <c r="P674" s="10">
        <v>67057</v>
      </c>
    </row>
    <row r="675" spans="1:16" ht="27" customHeight="1" x14ac:dyDescent="0.2">
      <c r="A675" s="9" t="s">
        <v>1682</v>
      </c>
      <c r="B675" s="10" t="s">
        <v>2023</v>
      </c>
      <c r="C675" s="11" t="s">
        <v>2452</v>
      </c>
      <c r="D675" s="11" t="s">
        <v>2453</v>
      </c>
      <c r="E675" s="11" t="s">
        <v>26</v>
      </c>
      <c r="F675" s="11" t="s">
        <v>2454</v>
      </c>
      <c r="G675" s="11" t="s">
        <v>28</v>
      </c>
      <c r="H675" s="11" t="s">
        <v>1685</v>
      </c>
      <c r="I675" s="11" t="s">
        <v>1686</v>
      </c>
      <c r="J675" s="12">
        <v>1</v>
      </c>
      <c r="K675" s="13">
        <v>1</v>
      </c>
      <c r="L675" s="14">
        <v>362</v>
      </c>
      <c r="M675" s="10">
        <v>342</v>
      </c>
      <c r="N675" s="10">
        <v>40002</v>
      </c>
      <c r="O675" s="10">
        <v>26819</v>
      </c>
      <c r="P675" s="10">
        <v>66821</v>
      </c>
    </row>
    <row r="676" spans="1:16" ht="27" customHeight="1" x14ac:dyDescent="0.2">
      <c r="A676" s="9" t="s">
        <v>1682</v>
      </c>
      <c r="B676" s="10" t="s">
        <v>2023</v>
      </c>
      <c r="C676" s="11" t="s">
        <v>2455</v>
      </c>
      <c r="D676" s="11" t="s">
        <v>2456</v>
      </c>
      <c r="E676" s="11" t="s">
        <v>26</v>
      </c>
      <c r="F676" s="11" t="s">
        <v>2457</v>
      </c>
      <c r="G676" s="11" t="s">
        <v>28</v>
      </c>
      <c r="H676" s="11" t="s">
        <v>1685</v>
      </c>
      <c r="I676" s="11" t="s">
        <v>1686</v>
      </c>
      <c r="J676" s="12">
        <v>1</v>
      </c>
      <c r="K676" s="13">
        <v>1</v>
      </c>
      <c r="L676" s="14">
        <v>494</v>
      </c>
      <c r="M676" s="10">
        <v>410</v>
      </c>
      <c r="N676" s="10">
        <v>54588</v>
      </c>
      <c r="O676" s="10">
        <v>32152</v>
      </c>
      <c r="P676" s="10">
        <v>86740</v>
      </c>
    </row>
    <row r="677" spans="1:16" ht="27" customHeight="1" x14ac:dyDescent="0.2">
      <c r="A677" s="9" t="s">
        <v>1682</v>
      </c>
      <c r="B677" s="10" t="s">
        <v>2023</v>
      </c>
      <c r="C677" s="11" t="s">
        <v>2458</v>
      </c>
      <c r="D677" s="11" t="s">
        <v>2459</v>
      </c>
      <c r="E677" s="11" t="s">
        <v>26</v>
      </c>
      <c r="F677" s="11" t="s">
        <v>2460</v>
      </c>
      <c r="G677" s="11" t="s">
        <v>28</v>
      </c>
      <c r="H677" s="11" t="s">
        <v>1685</v>
      </c>
      <c r="I677" s="11" t="s">
        <v>1686</v>
      </c>
      <c r="J677" s="12">
        <v>1</v>
      </c>
      <c r="K677" s="13">
        <v>1</v>
      </c>
      <c r="L677" s="14">
        <v>520</v>
      </c>
      <c r="M677" s="10">
        <v>434</v>
      </c>
      <c r="N677" s="10">
        <v>57461</v>
      </c>
      <c r="O677" s="10">
        <v>34034</v>
      </c>
      <c r="P677" s="10">
        <v>91495</v>
      </c>
    </row>
    <row r="678" spans="1:16" ht="27" customHeight="1" x14ac:dyDescent="0.2">
      <c r="A678" s="9" t="s">
        <v>1682</v>
      </c>
      <c r="B678" s="10" t="s">
        <v>2023</v>
      </c>
      <c r="C678" s="11" t="s">
        <v>2461</v>
      </c>
      <c r="D678" s="11" t="s">
        <v>2462</v>
      </c>
      <c r="E678" s="11" t="s">
        <v>26</v>
      </c>
      <c r="F678" s="11" t="s">
        <v>2463</v>
      </c>
      <c r="G678" s="11" t="s">
        <v>28</v>
      </c>
      <c r="H678" s="11" t="s">
        <v>1685</v>
      </c>
      <c r="I678" s="11" t="s">
        <v>1686</v>
      </c>
      <c r="J678" s="12">
        <v>1</v>
      </c>
      <c r="K678" s="13">
        <v>1</v>
      </c>
      <c r="L678" s="14">
        <v>539</v>
      </c>
      <c r="M678" s="10">
        <v>486</v>
      </c>
      <c r="N678" s="10">
        <v>59560</v>
      </c>
      <c r="O678" s="10">
        <v>38112</v>
      </c>
      <c r="P678" s="10">
        <v>97672</v>
      </c>
    </row>
    <row r="679" spans="1:16" ht="27" customHeight="1" x14ac:dyDescent="0.2">
      <c r="A679" s="9" t="s">
        <v>1682</v>
      </c>
      <c r="B679" s="10" t="s">
        <v>2023</v>
      </c>
      <c r="C679" s="11" t="s">
        <v>2464</v>
      </c>
      <c r="D679" s="11" t="s">
        <v>2465</v>
      </c>
      <c r="E679" s="11" t="s">
        <v>26</v>
      </c>
      <c r="F679" s="11" t="s">
        <v>2466</v>
      </c>
      <c r="G679" s="11" t="s">
        <v>28</v>
      </c>
      <c r="H679" s="11" t="s">
        <v>1685</v>
      </c>
      <c r="I679" s="11" t="s">
        <v>1686</v>
      </c>
      <c r="J679" s="12">
        <v>1</v>
      </c>
      <c r="K679" s="13">
        <v>1</v>
      </c>
      <c r="L679" s="14">
        <v>388</v>
      </c>
      <c r="M679" s="10">
        <v>357</v>
      </c>
      <c r="N679" s="10">
        <v>42875</v>
      </c>
      <c r="O679" s="10">
        <v>27996</v>
      </c>
      <c r="P679" s="10">
        <v>70871</v>
      </c>
    </row>
    <row r="680" spans="1:16" ht="27" customHeight="1" x14ac:dyDescent="0.2">
      <c r="A680" s="9" t="s">
        <v>1682</v>
      </c>
      <c r="B680" s="10" t="s">
        <v>2023</v>
      </c>
      <c r="C680" s="11" t="s">
        <v>2467</v>
      </c>
      <c r="D680" s="11" t="s">
        <v>2468</v>
      </c>
      <c r="E680" s="11" t="s">
        <v>26</v>
      </c>
      <c r="F680" s="11" t="s">
        <v>2469</v>
      </c>
      <c r="G680" s="11" t="s">
        <v>28</v>
      </c>
      <c r="H680" s="11" t="s">
        <v>2469</v>
      </c>
      <c r="I680" s="11" t="s">
        <v>2470</v>
      </c>
      <c r="J680" s="12">
        <v>0.55659999999999998</v>
      </c>
      <c r="K680" s="13">
        <v>1</v>
      </c>
      <c r="L680" s="14">
        <v>715</v>
      </c>
      <c r="M680" s="10">
        <v>398</v>
      </c>
      <c r="N680" s="10">
        <v>79009</v>
      </c>
      <c r="O680" s="10">
        <v>31211</v>
      </c>
      <c r="P680" s="10">
        <v>110220</v>
      </c>
    </row>
    <row r="681" spans="1:16" ht="27" customHeight="1" x14ac:dyDescent="0.2">
      <c r="A681" s="9" t="s">
        <v>1682</v>
      </c>
      <c r="B681" s="10" t="s">
        <v>2023</v>
      </c>
      <c r="C681" s="11" t="s">
        <v>2471</v>
      </c>
      <c r="D681" s="11" t="s">
        <v>2472</v>
      </c>
      <c r="E681" s="11" t="s">
        <v>26</v>
      </c>
      <c r="F681" s="11" t="s">
        <v>2473</v>
      </c>
      <c r="G681" s="11" t="s">
        <v>28</v>
      </c>
      <c r="H681" s="11" t="s">
        <v>2473</v>
      </c>
      <c r="I681" s="11" t="s">
        <v>2474</v>
      </c>
      <c r="J681" s="12">
        <v>0.49630000000000002</v>
      </c>
      <c r="K681" s="13">
        <v>1</v>
      </c>
      <c r="L681" s="14">
        <v>536</v>
      </c>
      <c r="M681" s="10">
        <v>266</v>
      </c>
      <c r="N681" s="10">
        <v>59229</v>
      </c>
      <c r="O681" s="10">
        <v>20859</v>
      </c>
      <c r="P681" s="10">
        <v>80088</v>
      </c>
    </row>
    <row r="682" spans="1:16" ht="27" customHeight="1" x14ac:dyDescent="0.2">
      <c r="A682" s="9" t="s">
        <v>1682</v>
      </c>
      <c r="B682" s="10" t="s">
        <v>2023</v>
      </c>
      <c r="C682" s="11" t="s">
        <v>2475</v>
      </c>
      <c r="D682" s="11" t="s">
        <v>2476</v>
      </c>
      <c r="E682" s="11" t="s">
        <v>26</v>
      </c>
      <c r="F682" s="11" t="s">
        <v>2477</v>
      </c>
      <c r="G682" s="11" t="s">
        <v>28</v>
      </c>
      <c r="H682" s="11" t="s">
        <v>1685</v>
      </c>
      <c r="I682" s="11" t="s">
        <v>1686</v>
      </c>
      <c r="J682" s="12">
        <v>1</v>
      </c>
      <c r="K682" s="13">
        <v>1</v>
      </c>
      <c r="L682" s="14">
        <v>477</v>
      </c>
      <c r="M682" s="10">
        <v>412</v>
      </c>
      <c r="N682" s="10">
        <v>52709</v>
      </c>
      <c r="O682" s="10">
        <v>32309</v>
      </c>
      <c r="P682" s="10">
        <v>85018</v>
      </c>
    </row>
    <row r="683" spans="1:16" ht="27" customHeight="1" x14ac:dyDescent="0.2">
      <c r="A683" s="9" t="s">
        <v>1682</v>
      </c>
      <c r="B683" s="10" t="s">
        <v>2023</v>
      </c>
      <c r="C683" s="11" t="s">
        <v>2478</v>
      </c>
      <c r="D683" s="11" t="s">
        <v>2479</v>
      </c>
      <c r="E683" s="11" t="s">
        <v>26</v>
      </c>
      <c r="F683" s="11" t="s">
        <v>2480</v>
      </c>
      <c r="G683" s="11" t="s">
        <v>28</v>
      </c>
      <c r="H683" s="11" t="s">
        <v>2480</v>
      </c>
      <c r="I683" s="11" t="s">
        <v>2481</v>
      </c>
      <c r="J683" s="12">
        <v>0.83040000000000003</v>
      </c>
      <c r="K683" s="13">
        <v>1</v>
      </c>
      <c r="L683" s="14">
        <v>560</v>
      </c>
      <c r="M683" s="10">
        <v>465</v>
      </c>
      <c r="N683" s="10">
        <v>61881</v>
      </c>
      <c r="O683" s="10">
        <v>36465</v>
      </c>
      <c r="P683" s="10">
        <v>98346</v>
      </c>
    </row>
    <row r="684" spans="1:16" ht="27" customHeight="1" x14ac:dyDescent="0.2">
      <c r="A684" s="9" t="s">
        <v>1682</v>
      </c>
      <c r="B684" s="10" t="s">
        <v>2023</v>
      </c>
      <c r="C684" s="11" t="s">
        <v>2482</v>
      </c>
      <c r="D684" s="11" t="s">
        <v>2483</v>
      </c>
      <c r="E684" s="11" t="s">
        <v>26</v>
      </c>
      <c r="F684" s="11" t="s">
        <v>2484</v>
      </c>
      <c r="G684" s="11" t="s">
        <v>28</v>
      </c>
      <c r="H684" s="11" t="s">
        <v>2484</v>
      </c>
      <c r="I684" s="11" t="s">
        <v>2485</v>
      </c>
      <c r="J684" s="12">
        <v>0.54049999999999998</v>
      </c>
      <c r="K684" s="13">
        <v>1</v>
      </c>
      <c r="L684" s="14">
        <v>407</v>
      </c>
      <c r="M684" s="10">
        <v>220</v>
      </c>
      <c r="N684" s="10">
        <v>44974</v>
      </c>
      <c r="O684" s="10">
        <v>17252</v>
      </c>
      <c r="P684" s="10">
        <v>62226</v>
      </c>
    </row>
    <row r="685" spans="1:16" ht="27" customHeight="1" x14ac:dyDescent="0.2">
      <c r="A685" s="9" t="s">
        <v>1682</v>
      </c>
      <c r="B685" s="10" t="s">
        <v>2023</v>
      </c>
      <c r="C685" s="11" t="s">
        <v>2486</v>
      </c>
      <c r="D685" s="11" t="s">
        <v>2487</v>
      </c>
      <c r="E685" s="11" t="s">
        <v>26</v>
      </c>
      <c r="F685" s="11" t="s">
        <v>2488</v>
      </c>
      <c r="G685" s="11" t="s">
        <v>28</v>
      </c>
      <c r="H685" s="11" t="s">
        <v>1685</v>
      </c>
      <c r="I685" s="11" t="s">
        <v>1686</v>
      </c>
      <c r="J685" s="12">
        <v>1</v>
      </c>
      <c r="K685" s="13">
        <v>1</v>
      </c>
      <c r="L685" s="14">
        <v>498</v>
      </c>
      <c r="M685" s="10">
        <v>471</v>
      </c>
      <c r="N685" s="10">
        <v>55030</v>
      </c>
      <c r="O685" s="10">
        <v>36935</v>
      </c>
      <c r="P685" s="10">
        <v>91965</v>
      </c>
    </row>
    <row r="686" spans="1:16" ht="27" customHeight="1" x14ac:dyDescent="0.2">
      <c r="A686" s="9" t="s">
        <v>1682</v>
      </c>
      <c r="B686" s="10" t="s">
        <v>2023</v>
      </c>
      <c r="C686" s="11" t="s">
        <v>2489</v>
      </c>
      <c r="D686" s="11" t="s">
        <v>2490</v>
      </c>
      <c r="E686" s="11" t="s">
        <v>26</v>
      </c>
      <c r="F686" s="11" t="s">
        <v>2491</v>
      </c>
      <c r="G686" s="11" t="s">
        <v>28</v>
      </c>
      <c r="H686" s="11" t="s">
        <v>1685</v>
      </c>
      <c r="I686" s="11" t="s">
        <v>1686</v>
      </c>
      <c r="J686" s="12">
        <v>1</v>
      </c>
      <c r="K686" s="13">
        <v>1</v>
      </c>
      <c r="L686" s="14">
        <v>465</v>
      </c>
      <c r="M686" s="10">
        <v>448</v>
      </c>
      <c r="N686" s="10">
        <v>51383</v>
      </c>
      <c r="O686" s="10">
        <v>35132</v>
      </c>
      <c r="P686" s="10">
        <v>86515</v>
      </c>
    </row>
    <row r="687" spans="1:16" ht="27" customHeight="1" x14ac:dyDescent="0.2">
      <c r="A687" s="9" t="s">
        <v>1682</v>
      </c>
      <c r="B687" s="10" t="s">
        <v>2023</v>
      </c>
      <c r="C687" s="11" t="s">
        <v>2492</v>
      </c>
      <c r="D687" s="11" t="s">
        <v>2493</v>
      </c>
      <c r="E687" s="11" t="s">
        <v>26</v>
      </c>
      <c r="F687" s="11" t="s">
        <v>2494</v>
      </c>
      <c r="G687" s="11" t="s">
        <v>28</v>
      </c>
      <c r="H687" s="11" t="s">
        <v>1685</v>
      </c>
      <c r="I687" s="11" t="s">
        <v>1686</v>
      </c>
      <c r="J687" s="12">
        <v>1</v>
      </c>
      <c r="K687" s="13">
        <v>1</v>
      </c>
      <c r="L687" s="14">
        <v>291</v>
      </c>
      <c r="M687" s="10">
        <v>286</v>
      </c>
      <c r="N687" s="10">
        <v>32156</v>
      </c>
      <c r="O687" s="10">
        <v>22428</v>
      </c>
      <c r="P687" s="10">
        <v>54584</v>
      </c>
    </row>
    <row r="688" spans="1:16" ht="27" customHeight="1" x14ac:dyDescent="0.2">
      <c r="A688" s="9" t="s">
        <v>1682</v>
      </c>
      <c r="B688" s="10" t="s">
        <v>2023</v>
      </c>
      <c r="C688" s="11" t="s">
        <v>2495</v>
      </c>
      <c r="D688" s="11" t="s">
        <v>2496</v>
      </c>
      <c r="E688" s="11" t="s">
        <v>26</v>
      </c>
      <c r="F688" s="11" t="s">
        <v>2497</v>
      </c>
      <c r="G688" s="11" t="s">
        <v>28</v>
      </c>
      <c r="H688" s="11" t="s">
        <v>1685</v>
      </c>
      <c r="I688" s="11" t="s">
        <v>1686</v>
      </c>
      <c r="J688" s="12">
        <v>1</v>
      </c>
      <c r="K688" s="13">
        <v>1</v>
      </c>
      <c r="L688" s="14">
        <v>144</v>
      </c>
      <c r="M688" s="10">
        <v>91</v>
      </c>
      <c r="N688" s="10">
        <v>15912</v>
      </c>
      <c r="O688" s="10">
        <v>7136</v>
      </c>
      <c r="P688" s="10">
        <v>23048</v>
      </c>
    </row>
    <row r="689" spans="1:16" ht="27" customHeight="1" x14ac:dyDescent="0.2">
      <c r="A689" s="9" t="s">
        <v>1682</v>
      </c>
      <c r="B689" s="10" t="s">
        <v>2023</v>
      </c>
      <c r="C689" s="11" t="s">
        <v>2498</v>
      </c>
      <c r="D689" s="11" t="s">
        <v>2499</v>
      </c>
      <c r="E689" s="11" t="s">
        <v>26</v>
      </c>
      <c r="F689" s="11" t="s">
        <v>2500</v>
      </c>
      <c r="G689" s="11" t="s">
        <v>28</v>
      </c>
      <c r="H689" s="11" t="s">
        <v>1685</v>
      </c>
      <c r="I689" s="11" t="s">
        <v>1686</v>
      </c>
      <c r="J689" s="12">
        <v>1</v>
      </c>
      <c r="K689" s="13">
        <v>1</v>
      </c>
      <c r="L689" s="14">
        <v>387</v>
      </c>
      <c r="M689" s="10">
        <v>377</v>
      </c>
      <c r="N689" s="10">
        <v>42764</v>
      </c>
      <c r="O689" s="10">
        <v>29564</v>
      </c>
      <c r="P689" s="10">
        <v>72328</v>
      </c>
    </row>
    <row r="690" spans="1:16" ht="27" customHeight="1" x14ac:dyDescent="0.2">
      <c r="A690" s="9" t="s">
        <v>1682</v>
      </c>
      <c r="B690" s="10" t="s">
        <v>2023</v>
      </c>
      <c r="C690" s="11" t="s">
        <v>2501</v>
      </c>
      <c r="D690" s="11" t="s">
        <v>2502</v>
      </c>
      <c r="E690" s="11" t="s">
        <v>26</v>
      </c>
      <c r="F690" s="11" t="s">
        <v>2503</v>
      </c>
      <c r="G690" s="11" t="s">
        <v>28</v>
      </c>
      <c r="H690" s="11" t="s">
        <v>1685</v>
      </c>
      <c r="I690" s="11" t="s">
        <v>1686</v>
      </c>
      <c r="J690" s="12">
        <v>1</v>
      </c>
      <c r="K690" s="13">
        <v>1</v>
      </c>
      <c r="L690" s="14">
        <v>407</v>
      </c>
      <c r="M690" s="10">
        <v>389</v>
      </c>
      <c r="N690" s="10">
        <v>44974</v>
      </c>
      <c r="O690" s="10">
        <v>30505</v>
      </c>
      <c r="P690" s="10">
        <v>75479</v>
      </c>
    </row>
    <row r="691" spans="1:16" ht="27" customHeight="1" x14ac:dyDescent="0.2">
      <c r="A691" s="9" t="s">
        <v>1682</v>
      </c>
      <c r="B691" s="10" t="s">
        <v>2023</v>
      </c>
      <c r="C691" s="11" t="s">
        <v>2504</v>
      </c>
      <c r="D691" s="11" t="s">
        <v>2505</v>
      </c>
      <c r="E691" s="11" t="s">
        <v>26</v>
      </c>
      <c r="F691" s="11" t="s">
        <v>2506</v>
      </c>
      <c r="G691" s="11" t="s">
        <v>28</v>
      </c>
      <c r="H691" s="11" t="s">
        <v>1685</v>
      </c>
      <c r="I691" s="11" t="s">
        <v>1686</v>
      </c>
      <c r="J691" s="12">
        <v>1</v>
      </c>
      <c r="K691" s="13">
        <v>1</v>
      </c>
      <c r="L691" s="14">
        <v>463</v>
      </c>
      <c r="M691" s="10">
        <v>448</v>
      </c>
      <c r="N691" s="10">
        <v>51162</v>
      </c>
      <c r="O691" s="10">
        <v>35132</v>
      </c>
      <c r="P691" s="10">
        <v>86294</v>
      </c>
    </row>
    <row r="692" spans="1:16" ht="27" customHeight="1" x14ac:dyDescent="0.2">
      <c r="A692" s="9" t="s">
        <v>1682</v>
      </c>
      <c r="B692" s="10" t="s">
        <v>2023</v>
      </c>
      <c r="C692" s="11" t="s">
        <v>2507</v>
      </c>
      <c r="D692" s="11" t="s">
        <v>2508</v>
      </c>
      <c r="E692" s="11" t="s">
        <v>26</v>
      </c>
      <c r="F692" s="11" t="s">
        <v>2509</v>
      </c>
      <c r="G692" s="11" t="s">
        <v>28</v>
      </c>
      <c r="H692" s="11" t="s">
        <v>1685</v>
      </c>
      <c r="I692" s="11" t="s">
        <v>1686</v>
      </c>
      <c r="J692" s="12">
        <v>1</v>
      </c>
      <c r="K692" s="13">
        <v>1</v>
      </c>
      <c r="L692" s="14">
        <v>493</v>
      </c>
      <c r="M692" s="10">
        <v>486</v>
      </c>
      <c r="N692" s="10">
        <v>54477</v>
      </c>
      <c r="O692" s="10">
        <v>38112</v>
      </c>
      <c r="P692" s="10">
        <v>92589</v>
      </c>
    </row>
    <row r="693" spans="1:16" ht="27" customHeight="1" x14ac:dyDescent="0.2">
      <c r="A693" s="9" t="s">
        <v>1682</v>
      </c>
      <c r="B693" s="10" t="s">
        <v>2023</v>
      </c>
      <c r="C693" s="11" t="s">
        <v>2510</v>
      </c>
      <c r="D693" s="11" t="s">
        <v>2511</v>
      </c>
      <c r="E693" s="11" t="s">
        <v>26</v>
      </c>
      <c r="F693" s="11" t="s">
        <v>2512</v>
      </c>
      <c r="G693" s="11" t="s">
        <v>28</v>
      </c>
      <c r="H693" s="11" t="s">
        <v>2512</v>
      </c>
      <c r="I693" s="11" t="s">
        <v>2513</v>
      </c>
      <c r="J693" s="12">
        <v>0.99529999999999996</v>
      </c>
      <c r="K693" s="13">
        <v>1</v>
      </c>
      <c r="L693" s="14">
        <v>215</v>
      </c>
      <c r="M693" s="10">
        <v>214</v>
      </c>
      <c r="N693" s="10">
        <v>23758</v>
      </c>
      <c r="O693" s="10">
        <v>16782</v>
      </c>
      <c r="P693" s="10">
        <v>40540</v>
      </c>
    </row>
    <row r="694" spans="1:16" ht="27" customHeight="1" x14ac:dyDescent="0.2">
      <c r="A694" s="9" t="s">
        <v>1682</v>
      </c>
      <c r="B694" s="10" t="s">
        <v>2023</v>
      </c>
      <c r="C694" s="11" t="s">
        <v>2514</v>
      </c>
      <c r="D694" s="11" t="s">
        <v>2515</v>
      </c>
      <c r="E694" s="11" t="s">
        <v>26</v>
      </c>
      <c r="F694" s="11" t="s">
        <v>2516</v>
      </c>
      <c r="G694" s="11" t="s">
        <v>28</v>
      </c>
      <c r="H694" s="11" t="s">
        <v>2516</v>
      </c>
      <c r="I694" s="11" t="s">
        <v>2517</v>
      </c>
      <c r="J694" s="12">
        <v>0.82030000000000003</v>
      </c>
      <c r="K694" s="13">
        <v>1</v>
      </c>
      <c r="L694" s="14">
        <v>256</v>
      </c>
      <c r="M694" s="10">
        <v>210</v>
      </c>
      <c r="N694" s="10">
        <v>28288</v>
      </c>
      <c r="O694" s="10">
        <v>16468</v>
      </c>
      <c r="P694" s="10">
        <v>44756</v>
      </c>
    </row>
    <row r="695" spans="1:16" ht="27" customHeight="1" x14ac:dyDescent="0.2">
      <c r="A695" s="9" t="s">
        <v>1682</v>
      </c>
      <c r="B695" s="10" t="s">
        <v>2023</v>
      </c>
      <c r="C695" s="11" t="s">
        <v>2518</v>
      </c>
      <c r="D695" s="11" t="s">
        <v>2519</v>
      </c>
      <c r="E695" s="11" t="s">
        <v>26</v>
      </c>
      <c r="F695" s="11" t="s">
        <v>2520</v>
      </c>
      <c r="G695" s="11" t="s">
        <v>28</v>
      </c>
      <c r="H695" s="11" t="s">
        <v>1685</v>
      </c>
      <c r="I695" s="11" t="s">
        <v>1686</v>
      </c>
      <c r="J695" s="12">
        <v>1</v>
      </c>
      <c r="K695" s="13">
        <v>1</v>
      </c>
      <c r="L695" s="14">
        <v>459</v>
      </c>
      <c r="M695" s="10">
        <v>411</v>
      </c>
      <c r="N695" s="10">
        <v>50720</v>
      </c>
      <c r="O695" s="10">
        <v>32230</v>
      </c>
      <c r="P695" s="10">
        <v>82950</v>
      </c>
    </row>
    <row r="696" spans="1:16" ht="27" customHeight="1" x14ac:dyDescent="0.2">
      <c r="A696" s="9" t="s">
        <v>1682</v>
      </c>
      <c r="B696" s="10" t="s">
        <v>2023</v>
      </c>
      <c r="C696" s="11" t="s">
        <v>2521</v>
      </c>
      <c r="D696" s="11" t="s">
        <v>2522</v>
      </c>
      <c r="E696" s="11" t="s">
        <v>26</v>
      </c>
      <c r="F696" s="11" t="s">
        <v>2523</v>
      </c>
      <c r="G696" s="11" t="s">
        <v>28</v>
      </c>
      <c r="H696" s="11" t="s">
        <v>1685</v>
      </c>
      <c r="I696" s="11" t="s">
        <v>1686</v>
      </c>
      <c r="J696" s="12">
        <v>1</v>
      </c>
      <c r="K696" s="13">
        <v>1</v>
      </c>
      <c r="L696" s="14">
        <v>472</v>
      </c>
      <c r="M696" s="10">
        <v>455</v>
      </c>
      <c r="N696" s="10">
        <v>52157</v>
      </c>
      <c r="O696" s="10">
        <v>35681</v>
      </c>
      <c r="P696" s="10">
        <v>87838</v>
      </c>
    </row>
    <row r="697" spans="1:16" ht="27" customHeight="1" x14ac:dyDescent="0.2">
      <c r="A697" s="9" t="s">
        <v>1682</v>
      </c>
      <c r="B697" s="10" t="s">
        <v>2023</v>
      </c>
      <c r="C697" s="11" t="s">
        <v>2524</v>
      </c>
      <c r="D697" s="11" t="s">
        <v>2525</v>
      </c>
      <c r="E697" s="11" t="s">
        <v>26</v>
      </c>
      <c r="F697" s="11" t="s">
        <v>2526</v>
      </c>
      <c r="G697" s="11" t="s">
        <v>28</v>
      </c>
      <c r="H697" s="11" t="s">
        <v>2526</v>
      </c>
      <c r="I697" s="11" t="s">
        <v>2527</v>
      </c>
      <c r="J697" s="12">
        <v>0.92779999999999996</v>
      </c>
      <c r="K697" s="13">
        <v>1</v>
      </c>
      <c r="L697" s="14">
        <v>568</v>
      </c>
      <c r="M697" s="10">
        <v>527</v>
      </c>
      <c r="N697" s="10">
        <v>62765</v>
      </c>
      <c r="O697" s="10">
        <v>41327</v>
      </c>
      <c r="P697" s="10">
        <v>104092</v>
      </c>
    </row>
    <row r="698" spans="1:16" ht="27" customHeight="1" x14ac:dyDescent="0.2">
      <c r="A698" s="9" t="s">
        <v>1682</v>
      </c>
      <c r="B698" s="10" t="s">
        <v>2023</v>
      </c>
      <c r="C698" s="11" t="s">
        <v>2528</v>
      </c>
      <c r="D698" s="11" t="s">
        <v>2529</v>
      </c>
      <c r="E698" s="11" t="s">
        <v>26</v>
      </c>
      <c r="F698" s="11" t="s">
        <v>2530</v>
      </c>
      <c r="G698" s="11" t="s">
        <v>28</v>
      </c>
      <c r="H698" s="11" t="s">
        <v>1685</v>
      </c>
      <c r="I698" s="11" t="s">
        <v>1686</v>
      </c>
      <c r="J698" s="12">
        <v>1</v>
      </c>
      <c r="K698" s="13">
        <v>1</v>
      </c>
      <c r="L698" s="14">
        <v>195</v>
      </c>
      <c r="M698" s="10">
        <v>191</v>
      </c>
      <c r="N698" s="10">
        <v>21548</v>
      </c>
      <c r="O698" s="10">
        <v>14978</v>
      </c>
      <c r="P698" s="10">
        <v>36526</v>
      </c>
    </row>
    <row r="699" spans="1:16" ht="27" customHeight="1" x14ac:dyDescent="0.2">
      <c r="A699" s="9" t="s">
        <v>1682</v>
      </c>
      <c r="B699" s="10" t="s">
        <v>2023</v>
      </c>
      <c r="C699" s="11" t="s">
        <v>2531</v>
      </c>
      <c r="D699" s="11" t="s">
        <v>2532</v>
      </c>
      <c r="E699" s="11" t="s">
        <v>26</v>
      </c>
      <c r="F699" s="11" t="s">
        <v>2533</v>
      </c>
      <c r="G699" s="11" t="s">
        <v>28</v>
      </c>
      <c r="H699" s="11" t="s">
        <v>2533</v>
      </c>
      <c r="I699" s="11" t="s">
        <v>2534</v>
      </c>
      <c r="J699" s="12">
        <v>0.87709999999999999</v>
      </c>
      <c r="K699" s="13">
        <v>1</v>
      </c>
      <c r="L699" s="14">
        <v>301</v>
      </c>
      <c r="M699" s="10">
        <v>264</v>
      </c>
      <c r="N699" s="10">
        <v>33261</v>
      </c>
      <c r="O699" s="10">
        <v>20703</v>
      </c>
      <c r="P699" s="10">
        <v>53964</v>
      </c>
    </row>
    <row r="700" spans="1:16" ht="27" customHeight="1" x14ac:dyDescent="0.2">
      <c r="A700" s="9" t="s">
        <v>1682</v>
      </c>
      <c r="B700" s="10" t="s">
        <v>2023</v>
      </c>
      <c r="C700" s="11" t="s">
        <v>2535</v>
      </c>
      <c r="D700" s="11" t="s">
        <v>2536</v>
      </c>
      <c r="E700" s="11" t="s">
        <v>26</v>
      </c>
      <c r="F700" s="11" t="s">
        <v>2537</v>
      </c>
      <c r="G700" s="11" t="s">
        <v>28</v>
      </c>
      <c r="H700" s="11" t="s">
        <v>1685</v>
      </c>
      <c r="I700" s="11" t="s">
        <v>1686</v>
      </c>
      <c r="J700" s="12">
        <v>1</v>
      </c>
      <c r="K700" s="13">
        <v>1</v>
      </c>
      <c r="L700" s="14">
        <v>410</v>
      </c>
      <c r="M700" s="10">
        <v>399</v>
      </c>
      <c r="N700" s="10">
        <v>45306</v>
      </c>
      <c r="O700" s="10">
        <v>31289</v>
      </c>
      <c r="P700" s="10">
        <v>76595</v>
      </c>
    </row>
    <row r="701" spans="1:16" ht="27" customHeight="1" x14ac:dyDescent="0.2">
      <c r="A701" s="9" t="s">
        <v>1682</v>
      </c>
      <c r="B701" s="10" t="s">
        <v>2023</v>
      </c>
      <c r="C701" s="11" t="s">
        <v>2538</v>
      </c>
      <c r="D701" s="11" t="s">
        <v>2539</v>
      </c>
      <c r="E701" s="11" t="s">
        <v>26</v>
      </c>
      <c r="F701" s="11" t="s">
        <v>2540</v>
      </c>
      <c r="G701" s="11" t="s">
        <v>28</v>
      </c>
      <c r="H701" s="11" t="s">
        <v>2540</v>
      </c>
      <c r="I701" s="11" t="s">
        <v>2541</v>
      </c>
      <c r="J701" s="12">
        <v>0.88580000000000003</v>
      </c>
      <c r="K701" s="13">
        <v>1</v>
      </c>
      <c r="L701" s="14">
        <v>473</v>
      </c>
      <c r="M701" s="10">
        <v>419</v>
      </c>
      <c r="N701" s="10">
        <v>52267</v>
      </c>
      <c r="O701" s="10">
        <v>32858</v>
      </c>
      <c r="P701" s="10">
        <v>85125</v>
      </c>
    </row>
    <row r="702" spans="1:16" ht="27" customHeight="1" x14ac:dyDescent="0.2">
      <c r="A702" s="9" t="s">
        <v>1682</v>
      </c>
      <c r="B702" s="10" t="s">
        <v>2023</v>
      </c>
      <c r="C702" s="11" t="s">
        <v>2542</v>
      </c>
      <c r="D702" s="11" t="s">
        <v>2543</v>
      </c>
      <c r="E702" s="11" t="s">
        <v>26</v>
      </c>
      <c r="F702" s="11" t="s">
        <v>2544</v>
      </c>
      <c r="G702" s="11" t="s">
        <v>28</v>
      </c>
      <c r="H702" s="11" t="s">
        <v>2544</v>
      </c>
      <c r="I702" s="11" t="s">
        <v>2545</v>
      </c>
      <c r="J702" s="12">
        <v>0.78949999999999998</v>
      </c>
      <c r="K702" s="13">
        <v>1</v>
      </c>
      <c r="L702" s="14">
        <v>76</v>
      </c>
      <c r="M702" s="10">
        <v>60</v>
      </c>
      <c r="N702" s="10">
        <v>8398</v>
      </c>
      <c r="O702" s="10">
        <v>4705</v>
      </c>
      <c r="P702" s="10">
        <v>13103</v>
      </c>
    </row>
    <row r="703" spans="1:16" ht="27" customHeight="1" x14ac:dyDescent="0.2">
      <c r="A703" s="9" t="s">
        <v>1682</v>
      </c>
      <c r="B703" s="10" t="s">
        <v>2023</v>
      </c>
      <c r="C703" s="11" t="s">
        <v>2546</v>
      </c>
      <c r="D703" s="11" t="s">
        <v>2547</v>
      </c>
      <c r="E703" s="11" t="s">
        <v>26</v>
      </c>
      <c r="F703" s="11" t="s">
        <v>2548</v>
      </c>
      <c r="G703" s="11" t="s">
        <v>28</v>
      </c>
      <c r="H703" s="11" t="s">
        <v>2548</v>
      </c>
      <c r="I703" s="11" t="s">
        <v>2549</v>
      </c>
      <c r="J703" s="12">
        <v>0.72389999999999999</v>
      </c>
      <c r="K703" s="13">
        <v>1</v>
      </c>
      <c r="L703" s="14">
        <v>326</v>
      </c>
      <c r="M703" s="10">
        <v>236</v>
      </c>
      <c r="N703" s="10">
        <v>36024</v>
      </c>
      <c r="O703" s="10">
        <v>18507</v>
      </c>
      <c r="P703" s="10">
        <v>54531</v>
      </c>
    </row>
    <row r="704" spans="1:16" ht="27" customHeight="1" x14ac:dyDescent="0.2">
      <c r="A704" s="9" t="s">
        <v>1682</v>
      </c>
      <c r="B704" s="10" t="s">
        <v>2023</v>
      </c>
      <c r="C704" s="11" t="s">
        <v>2550</v>
      </c>
      <c r="D704" s="11" t="s">
        <v>2551</v>
      </c>
      <c r="E704" s="11" t="s">
        <v>26</v>
      </c>
      <c r="F704" s="11" t="s">
        <v>2552</v>
      </c>
      <c r="G704" s="11" t="s">
        <v>28</v>
      </c>
      <c r="H704" s="11" t="s">
        <v>2552</v>
      </c>
      <c r="I704" s="11" t="s">
        <v>2553</v>
      </c>
      <c r="J704" s="12">
        <v>0.77890000000000004</v>
      </c>
      <c r="K704" s="13">
        <v>1</v>
      </c>
      <c r="L704" s="14">
        <v>294</v>
      </c>
      <c r="M704" s="10">
        <v>229</v>
      </c>
      <c r="N704" s="10">
        <v>32487</v>
      </c>
      <c r="O704" s="10">
        <v>17958</v>
      </c>
      <c r="P704" s="10">
        <v>50445</v>
      </c>
    </row>
    <row r="705" spans="1:16" ht="27" customHeight="1" x14ac:dyDescent="0.2">
      <c r="A705" s="9" t="s">
        <v>1682</v>
      </c>
      <c r="B705" s="10" t="s">
        <v>2023</v>
      </c>
      <c r="C705" s="11" t="s">
        <v>2554</v>
      </c>
      <c r="D705" s="11" t="s">
        <v>2555</v>
      </c>
      <c r="E705" s="11" t="s">
        <v>26</v>
      </c>
      <c r="F705" s="11" t="s">
        <v>2556</v>
      </c>
      <c r="G705" s="11" t="s">
        <v>28</v>
      </c>
      <c r="H705" s="11" t="s">
        <v>2556</v>
      </c>
      <c r="I705" s="11" t="s">
        <v>2557</v>
      </c>
      <c r="J705" s="12">
        <v>0.80469999999999997</v>
      </c>
      <c r="K705" s="13">
        <v>1</v>
      </c>
      <c r="L705" s="14">
        <v>297</v>
      </c>
      <c r="M705" s="10">
        <v>239</v>
      </c>
      <c r="N705" s="10">
        <v>32819</v>
      </c>
      <c r="O705" s="10">
        <v>18742</v>
      </c>
      <c r="P705" s="10">
        <v>51561</v>
      </c>
    </row>
    <row r="706" spans="1:16" ht="27" customHeight="1" x14ac:dyDescent="0.2">
      <c r="A706" s="9" t="s">
        <v>1682</v>
      </c>
      <c r="B706" s="10" t="s">
        <v>2023</v>
      </c>
      <c r="C706" s="11" t="s">
        <v>2558</v>
      </c>
      <c r="D706" s="11" t="s">
        <v>2559</v>
      </c>
      <c r="E706" s="11" t="s">
        <v>26</v>
      </c>
      <c r="F706" s="11" t="s">
        <v>2560</v>
      </c>
      <c r="G706" s="11" t="s">
        <v>28</v>
      </c>
      <c r="H706" s="11" t="s">
        <v>2560</v>
      </c>
      <c r="I706" s="11" t="s">
        <v>2561</v>
      </c>
      <c r="J706" s="12">
        <v>0.80649999999999999</v>
      </c>
      <c r="K706" s="13">
        <v>1</v>
      </c>
      <c r="L706" s="14">
        <v>310</v>
      </c>
      <c r="M706" s="10">
        <v>250</v>
      </c>
      <c r="N706" s="10">
        <v>34256</v>
      </c>
      <c r="O706" s="10">
        <v>19605</v>
      </c>
      <c r="P706" s="10">
        <v>53861</v>
      </c>
    </row>
    <row r="707" spans="1:16" ht="27" customHeight="1" x14ac:dyDescent="0.2">
      <c r="A707" s="9" t="s">
        <v>1682</v>
      </c>
      <c r="B707" s="10" t="s">
        <v>2023</v>
      </c>
      <c r="C707" s="11" t="s">
        <v>2562</v>
      </c>
      <c r="D707" s="11" t="s">
        <v>2563</v>
      </c>
      <c r="E707" s="11" t="s">
        <v>26</v>
      </c>
      <c r="F707" s="11" t="s">
        <v>2564</v>
      </c>
      <c r="G707" s="11" t="s">
        <v>28</v>
      </c>
      <c r="H707" s="11" t="s">
        <v>2564</v>
      </c>
      <c r="I707" s="11" t="s">
        <v>2565</v>
      </c>
      <c r="J707" s="12">
        <v>0.95640000000000003</v>
      </c>
      <c r="K707" s="13">
        <v>1</v>
      </c>
      <c r="L707" s="14">
        <v>413</v>
      </c>
      <c r="M707" s="10">
        <v>395</v>
      </c>
      <c r="N707" s="10">
        <v>45637</v>
      </c>
      <c r="O707" s="10">
        <v>30975</v>
      </c>
      <c r="P707" s="10">
        <v>76612</v>
      </c>
    </row>
    <row r="708" spans="1:16" ht="27" customHeight="1" x14ac:dyDescent="0.2">
      <c r="A708" s="9" t="s">
        <v>1682</v>
      </c>
      <c r="B708" s="10" t="s">
        <v>2023</v>
      </c>
      <c r="C708" s="11" t="s">
        <v>2566</v>
      </c>
      <c r="D708" s="11" t="s">
        <v>2567</v>
      </c>
      <c r="E708" s="11" t="s">
        <v>26</v>
      </c>
      <c r="F708" s="11" t="s">
        <v>2568</v>
      </c>
      <c r="G708" s="11" t="s">
        <v>28</v>
      </c>
      <c r="H708" s="11" t="s">
        <v>2568</v>
      </c>
      <c r="I708" s="11" t="s">
        <v>2569</v>
      </c>
      <c r="J708" s="12">
        <v>0.86929999999999996</v>
      </c>
      <c r="K708" s="13">
        <v>1</v>
      </c>
      <c r="L708" s="14">
        <v>482</v>
      </c>
      <c r="M708" s="10">
        <v>419</v>
      </c>
      <c r="N708" s="10">
        <v>53262</v>
      </c>
      <c r="O708" s="10">
        <v>32858</v>
      </c>
      <c r="P708" s="10">
        <v>86120</v>
      </c>
    </row>
    <row r="709" spans="1:16" ht="27" customHeight="1" x14ac:dyDescent="0.2">
      <c r="A709" s="9" t="s">
        <v>1682</v>
      </c>
      <c r="B709" s="10" t="s">
        <v>2023</v>
      </c>
      <c r="C709" s="11" t="s">
        <v>2570</v>
      </c>
      <c r="D709" s="11" t="s">
        <v>2571</v>
      </c>
      <c r="E709" s="11" t="s">
        <v>26</v>
      </c>
      <c r="F709" s="11" t="s">
        <v>2572</v>
      </c>
      <c r="G709" s="11" t="s">
        <v>28</v>
      </c>
      <c r="H709" s="11" t="s">
        <v>1685</v>
      </c>
      <c r="I709" s="11" t="s">
        <v>1686</v>
      </c>
      <c r="J709" s="12">
        <v>1</v>
      </c>
      <c r="K709" s="13">
        <v>1</v>
      </c>
      <c r="L709" s="14">
        <v>162</v>
      </c>
      <c r="M709" s="10">
        <v>149</v>
      </c>
      <c r="N709" s="10">
        <v>17901</v>
      </c>
      <c r="O709" s="10">
        <v>11684</v>
      </c>
      <c r="P709" s="10">
        <v>29585</v>
      </c>
    </row>
    <row r="710" spans="1:16" ht="27" customHeight="1" x14ac:dyDescent="0.2">
      <c r="A710" s="9" t="s">
        <v>1682</v>
      </c>
      <c r="B710" s="10" t="s">
        <v>2023</v>
      </c>
      <c r="C710" s="11" t="s">
        <v>2573</v>
      </c>
      <c r="D710" s="11" t="s">
        <v>2574</v>
      </c>
      <c r="E710" s="11" t="s">
        <v>26</v>
      </c>
      <c r="F710" s="11" t="s">
        <v>2575</v>
      </c>
      <c r="G710" s="11" t="s">
        <v>28</v>
      </c>
      <c r="H710" s="11" t="s">
        <v>2575</v>
      </c>
      <c r="I710" s="11" t="s">
        <v>2576</v>
      </c>
      <c r="J710" s="12">
        <v>0.81850000000000001</v>
      </c>
      <c r="K710" s="13">
        <v>1</v>
      </c>
      <c r="L710" s="14">
        <v>270</v>
      </c>
      <c r="M710" s="10">
        <v>221</v>
      </c>
      <c r="N710" s="10">
        <v>29835</v>
      </c>
      <c r="O710" s="10">
        <v>17331</v>
      </c>
      <c r="P710" s="10">
        <v>47166</v>
      </c>
    </row>
    <row r="711" spans="1:16" ht="27" customHeight="1" x14ac:dyDescent="0.2">
      <c r="A711" s="9" t="s">
        <v>1682</v>
      </c>
      <c r="B711" s="10" t="s">
        <v>2023</v>
      </c>
      <c r="C711" s="11" t="s">
        <v>2577</v>
      </c>
      <c r="D711" s="11" t="s">
        <v>2578</v>
      </c>
      <c r="E711" s="11" t="s">
        <v>26</v>
      </c>
      <c r="F711" s="11" t="s">
        <v>2579</v>
      </c>
      <c r="G711" s="11" t="s">
        <v>28</v>
      </c>
      <c r="H711" s="11" t="s">
        <v>1685</v>
      </c>
      <c r="I711" s="11" t="s">
        <v>1686</v>
      </c>
      <c r="J711" s="12">
        <v>1</v>
      </c>
      <c r="K711" s="13">
        <v>1</v>
      </c>
      <c r="L711" s="14">
        <v>485</v>
      </c>
      <c r="M711" s="10">
        <v>318</v>
      </c>
      <c r="N711" s="10">
        <v>53593</v>
      </c>
      <c r="O711" s="10">
        <v>24937</v>
      </c>
      <c r="P711" s="10">
        <v>78530</v>
      </c>
    </row>
    <row r="712" spans="1:16" ht="27" customHeight="1" x14ac:dyDescent="0.2">
      <c r="A712" s="9" t="s">
        <v>1682</v>
      </c>
      <c r="B712" s="10" t="s">
        <v>2023</v>
      </c>
      <c r="C712" s="11" t="s">
        <v>2580</v>
      </c>
      <c r="D712" s="11" t="s">
        <v>2581</v>
      </c>
      <c r="E712" s="11" t="s">
        <v>26</v>
      </c>
      <c r="F712" s="11" t="s">
        <v>2582</v>
      </c>
      <c r="G712" s="11" t="s">
        <v>28</v>
      </c>
      <c r="H712" s="11" t="s">
        <v>2582</v>
      </c>
      <c r="I712" s="11" t="s">
        <v>2583</v>
      </c>
      <c r="J712" s="12">
        <v>0.92300000000000004</v>
      </c>
      <c r="K712" s="13">
        <v>1</v>
      </c>
      <c r="L712" s="14">
        <v>1013</v>
      </c>
      <c r="M712" s="10">
        <v>935</v>
      </c>
      <c r="N712" s="10">
        <v>111938</v>
      </c>
      <c r="O712" s="10">
        <v>73322</v>
      </c>
      <c r="P712" s="10">
        <v>185260</v>
      </c>
    </row>
    <row r="713" spans="1:16" ht="27" customHeight="1" x14ac:dyDescent="0.2">
      <c r="A713" s="9" t="s">
        <v>1682</v>
      </c>
      <c r="B713" s="10" t="s">
        <v>2023</v>
      </c>
      <c r="C713" s="11" t="s">
        <v>2584</v>
      </c>
      <c r="D713" s="11" t="s">
        <v>2585</v>
      </c>
      <c r="E713" s="11" t="s">
        <v>26</v>
      </c>
      <c r="F713" s="11" t="s">
        <v>2586</v>
      </c>
      <c r="G713" s="11" t="s">
        <v>28</v>
      </c>
      <c r="H713" s="11" t="s">
        <v>1685</v>
      </c>
      <c r="I713" s="11" t="s">
        <v>1686</v>
      </c>
      <c r="J713" s="12">
        <v>1</v>
      </c>
      <c r="K713" s="13">
        <v>1</v>
      </c>
      <c r="L713" s="14">
        <v>200</v>
      </c>
      <c r="M713" s="10">
        <v>183</v>
      </c>
      <c r="N713" s="10">
        <v>22100</v>
      </c>
      <c r="O713" s="10">
        <v>14351</v>
      </c>
      <c r="P713" s="10">
        <v>36451</v>
      </c>
    </row>
    <row r="714" spans="1:16" ht="27" customHeight="1" x14ac:dyDescent="0.2">
      <c r="A714" s="9" t="s">
        <v>1682</v>
      </c>
      <c r="B714" s="10" t="s">
        <v>2023</v>
      </c>
      <c r="C714" s="11" t="s">
        <v>2587</v>
      </c>
      <c r="D714" s="11" t="s">
        <v>2588</v>
      </c>
      <c r="E714" s="11" t="s">
        <v>26</v>
      </c>
      <c r="F714" s="11" t="s">
        <v>2589</v>
      </c>
      <c r="G714" s="11" t="s">
        <v>28</v>
      </c>
      <c r="H714" s="11" t="s">
        <v>1685</v>
      </c>
      <c r="I714" s="11" t="s">
        <v>1686</v>
      </c>
      <c r="J714" s="12">
        <v>1</v>
      </c>
      <c r="K714" s="13">
        <v>1</v>
      </c>
      <c r="L714" s="14">
        <v>350</v>
      </c>
      <c r="M714" s="10">
        <v>276</v>
      </c>
      <c r="N714" s="10">
        <v>38676</v>
      </c>
      <c r="O714" s="10">
        <v>21644</v>
      </c>
      <c r="P714" s="10">
        <v>60320</v>
      </c>
    </row>
    <row r="715" spans="1:16" ht="27" customHeight="1" x14ac:dyDescent="0.2">
      <c r="A715" s="9" t="s">
        <v>1682</v>
      </c>
      <c r="B715" s="10" t="s">
        <v>2023</v>
      </c>
      <c r="C715" s="11" t="s">
        <v>2590</v>
      </c>
      <c r="D715" s="11" t="s">
        <v>2591</v>
      </c>
      <c r="E715" s="11" t="s">
        <v>26</v>
      </c>
      <c r="F715" s="11" t="s">
        <v>2592</v>
      </c>
      <c r="G715" s="11" t="s">
        <v>28</v>
      </c>
      <c r="H715" s="11" t="s">
        <v>2592</v>
      </c>
      <c r="I715" s="11" t="s">
        <v>2593</v>
      </c>
      <c r="J715" s="12">
        <v>0.86970000000000003</v>
      </c>
      <c r="K715" s="13">
        <v>1</v>
      </c>
      <c r="L715" s="14">
        <v>261</v>
      </c>
      <c r="M715" s="10">
        <v>227</v>
      </c>
      <c r="N715" s="10">
        <v>28841</v>
      </c>
      <c r="O715" s="10">
        <v>17801</v>
      </c>
      <c r="P715" s="10">
        <v>46642</v>
      </c>
    </row>
    <row r="716" spans="1:16" ht="27" customHeight="1" x14ac:dyDescent="0.2">
      <c r="A716" s="9" t="s">
        <v>1682</v>
      </c>
      <c r="B716" s="10" t="s">
        <v>2023</v>
      </c>
      <c r="C716" s="11" t="s">
        <v>2594</v>
      </c>
      <c r="D716" s="11" t="s">
        <v>2595</v>
      </c>
      <c r="E716" s="11" t="s">
        <v>26</v>
      </c>
      <c r="F716" s="11" t="s">
        <v>2596</v>
      </c>
      <c r="G716" s="11" t="s">
        <v>28</v>
      </c>
      <c r="H716" s="11" t="s">
        <v>2596</v>
      </c>
      <c r="I716" s="11" t="s">
        <v>2597</v>
      </c>
      <c r="J716" s="12">
        <v>0.95850000000000002</v>
      </c>
      <c r="K716" s="13">
        <v>1</v>
      </c>
      <c r="L716" s="14">
        <v>796</v>
      </c>
      <c r="M716" s="10">
        <v>763</v>
      </c>
      <c r="N716" s="10">
        <v>87959</v>
      </c>
      <c r="O716" s="10">
        <v>59834</v>
      </c>
      <c r="P716" s="10">
        <v>147793</v>
      </c>
    </row>
    <row r="717" spans="1:16" ht="27" customHeight="1" x14ac:dyDescent="0.2">
      <c r="A717" s="9" t="s">
        <v>1682</v>
      </c>
      <c r="B717" s="10" t="s">
        <v>2023</v>
      </c>
      <c r="C717" s="11" t="s">
        <v>2598</v>
      </c>
      <c r="D717" s="11" t="s">
        <v>2599</v>
      </c>
      <c r="E717" s="11" t="s">
        <v>26</v>
      </c>
      <c r="F717" s="11" t="s">
        <v>2600</v>
      </c>
      <c r="G717" s="11" t="s">
        <v>28</v>
      </c>
      <c r="H717" s="11" t="s">
        <v>1685</v>
      </c>
      <c r="I717" s="11" t="s">
        <v>1686</v>
      </c>
      <c r="J717" s="12">
        <v>1</v>
      </c>
      <c r="K717" s="13">
        <v>1</v>
      </c>
      <c r="L717" s="14">
        <v>346</v>
      </c>
      <c r="M717" s="10">
        <v>316</v>
      </c>
      <c r="N717" s="10">
        <v>38234</v>
      </c>
      <c r="O717" s="10">
        <v>24780</v>
      </c>
      <c r="P717" s="10">
        <v>63014</v>
      </c>
    </row>
    <row r="718" spans="1:16" ht="27" customHeight="1" x14ac:dyDescent="0.2">
      <c r="A718" s="9" t="s">
        <v>1682</v>
      </c>
      <c r="B718" s="10" t="s">
        <v>2023</v>
      </c>
      <c r="C718" s="11" t="s">
        <v>2601</v>
      </c>
      <c r="D718" s="11" t="s">
        <v>2602</v>
      </c>
      <c r="E718" s="11" t="s">
        <v>26</v>
      </c>
      <c r="F718" s="11" t="s">
        <v>2603</v>
      </c>
      <c r="G718" s="11" t="s">
        <v>28</v>
      </c>
      <c r="H718" s="11" t="s">
        <v>2603</v>
      </c>
      <c r="I718" s="11" t="s">
        <v>2604</v>
      </c>
      <c r="J718" s="12">
        <v>0.89810000000000001</v>
      </c>
      <c r="K718" s="13">
        <v>1</v>
      </c>
      <c r="L718" s="14">
        <v>373</v>
      </c>
      <c r="M718" s="10">
        <v>335</v>
      </c>
      <c r="N718" s="10">
        <v>41217</v>
      </c>
      <c r="O718" s="10">
        <v>26270</v>
      </c>
      <c r="P718" s="10">
        <v>67487</v>
      </c>
    </row>
    <row r="719" spans="1:16" ht="27" customHeight="1" x14ac:dyDescent="0.2">
      <c r="A719" s="9" t="s">
        <v>1682</v>
      </c>
      <c r="B719" s="10" t="s">
        <v>2023</v>
      </c>
      <c r="C719" s="11" t="s">
        <v>2605</v>
      </c>
      <c r="D719" s="11" t="s">
        <v>2606</v>
      </c>
      <c r="E719" s="11" t="s">
        <v>26</v>
      </c>
      <c r="F719" s="11" t="s">
        <v>2607</v>
      </c>
      <c r="G719" s="11" t="s">
        <v>28</v>
      </c>
      <c r="H719" s="11" t="s">
        <v>1685</v>
      </c>
      <c r="I719" s="11" t="s">
        <v>1686</v>
      </c>
      <c r="J719" s="12">
        <v>1</v>
      </c>
      <c r="K719" s="13">
        <v>1</v>
      </c>
      <c r="L719" s="14">
        <v>390</v>
      </c>
      <c r="M719" s="10">
        <v>361</v>
      </c>
      <c r="N719" s="10">
        <v>43096</v>
      </c>
      <c r="O719" s="10">
        <v>28309</v>
      </c>
      <c r="P719" s="10">
        <v>71405</v>
      </c>
    </row>
    <row r="720" spans="1:16" ht="27" customHeight="1" x14ac:dyDescent="0.2">
      <c r="A720" s="9" t="s">
        <v>1682</v>
      </c>
      <c r="B720" s="10" t="s">
        <v>2023</v>
      </c>
      <c r="C720" s="11" t="s">
        <v>2608</v>
      </c>
      <c r="D720" s="11" t="s">
        <v>2609</v>
      </c>
      <c r="E720" s="11" t="s">
        <v>26</v>
      </c>
      <c r="F720" s="11" t="s">
        <v>2610</v>
      </c>
      <c r="G720" s="11" t="s">
        <v>28</v>
      </c>
      <c r="H720" s="11" t="s">
        <v>2610</v>
      </c>
      <c r="I720" s="11" t="s">
        <v>2611</v>
      </c>
      <c r="J720" s="12">
        <v>0.88949999999999996</v>
      </c>
      <c r="K720" s="13">
        <v>1</v>
      </c>
      <c r="L720" s="14">
        <v>371</v>
      </c>
      <c r="M720" s="10">
        <v>330</v>
      </c>
      <c r="N720" s="10">
        <v>40996</v>
      </c>
      <c r="O720" s="10">
        <v>25878</v>
      </c>
      <c r="P720" s="10">
        <v>66874</v>
      </c>
    </row>
    <row r="721" spans="1:16" ht="27" customHeight="1" x14ac:dyDescent="0.2">
      <c r="A721" s="9" t="s">
        <v>1682</v>
      </c>
      <c r="B721" s="10" t="s">
        <v>2023</v>
      </c>
      <c r="C721" s="11" t="s">
        <v>2612</v>
      </c>
      <c r="D721" s="11" t="s">
        <v>2613</v>
      </c>
      <c r="E721" s="11" t="s">
        <v>26</v>
      </c>
      <c r="F721" s="11" t="s">
        <v>2614</v>
      </c>
      <c r="G721" s="11" t="s">
        <v>28</v>
      </c>
      <c r="H721" s="11" t="s">
        <v>2614</v>
      </c>
      <c r="I721" s="11" t="s">
        <v>2615</v>
      </c>
      <c r="J721" s="12">
        <v>0.80830000000000002</v>
      </c>
      <c r="K721" s="13">
        <v>1</v>
      </c>
      <c r="L721" s="14">
        <v>193</v>
      </c>
      <c r="M721" s="10">
        <v>156</v>
      </c>
      <c r="N721" s="10">
        <v>21327</v>
      </c>
      <c r="O721" s="10">
        <v>12233</v>
      </c>
      <c r="P721" s="10">
        <v>33560</v>
      </c>
    </row>
    <row r="722" spans="1:16" ht="27" customHeight="1" x14ac:dyDescent="0.2">
      <c r="A722" s="9" t="s">
        <v>1682</v>
      </c>
      <c r="B722" s="10" t="s">
        <v>2023</v>
      </c>
      <c r="C722" s="11" t="s">
        <v>2616</v>
      </c>
      <c r="D722" s="11" t="s">
        <v>2617</v>
      </c>
      <c r="E722" s="11" t="s">
        <v>26</v>
      </c>
      <c r="F722" s="11" t="s">
        <v>2618</v>
      </c>
      <c r="G722" s="11" t="s">
        <v>28</v>
      </c>
      <c r="H722" s="11" t="s">
        <v>1685</v>
      </c>
      <c r="I722" s="11" t="s">
        <v>1686</v>
      </c>
      <c r="J722" s="12">
        <v>1</v>
      </c>
      <c r="K722" s="13">
        <v>1</v>
      </c>
      <c r="L722" s="14">
        <v>157</v>
      </c>
      <c r="M722" s="10">
        <v>135</v>
      </c>
      <c r="N722" s="10">
        <v>17349</v>
      </c>
      <c r="O722" s="10">
        <v>10587</v>
      </c>
      <c r="P722" s="10">
        <v>27936</v>
      </c>
    </row>
    <row r="723" spans="1:16" ht="27" customHeight="1" x14ac:dyDescent="0.2">
      <c r="A723" s="9" t="s">
        <v>1682</v>
      </c>
      <c r="B723" s="10" t="s">
        <v>2023</v>
      </c>
      <c r="C723" s="11" t="s">
        <v>2619</v>
      </c>
      <c r="D723" s="11" t="s">
        <v>2620</v>
      </c>
      <c r="E723" s="11" t="s">
        <v>26</v>
      </c>
      <c r="F723" s="11" t="s">
        <v>2621</v>
      </c>
      <c r="G723" s="11" t="s">
        <v>28</v>
      </c>
      <c r="H723" s="11" t="s">
        <v>1685</v>
      </c>
      <c r="I723" s="11" t="s">
        <v>1686</v>
      </c>
      <c r="J723" s="12">
        <v>1</v>
      </c>
      <c r="K723" s="13">
        <v>1</v>
      </c>
      <c r="L723" s="14">
        <v>473</v>
      </c>
      <c r="M723" s="10">
        <v>437</v>
      </c>
      <c r="N723" s="10">
        <v>52267</v>
      </c>
      <c r="O723" s="10">
        <v>34269</v>
      </c>
      <c r="P723" s="10">
        <v>86536</v>
      </c>
    </row>
    <row r="724" spans="1:16" ht="27" customHeight="1" x14ac:dyDescent="0.2">
      <c r="A724" s="9" t="s">
        <v>1682</v>
      </c>
      <c r="B724" s="10" t="s">
        <v>2023</v>
      </c>
      <c r="C724" s="11" t="s">
        <v>2622</v>
      </c>
      <c r="D724" s="11" t="s">
        <v>2623</v>
      </c>
      <c r="E724" s="11" t="s">
        <v>26</v>
      </c>
      <c r="F724" s="11" t="s">
        <v>2624</v>
      </c>
      <c r="G724" s="11" t="s">
        <v>28</v>
      </c>
      <c r="H724" s="11" t="s">
        <v>1685</v>
      </c>
      <c r="I724" s="11" t="s">
        <v>1686</v>
      </c>
      <c r="J724" s="12">
        <v>1</v>
      </c>
      <c r="K724" s="13">
        <v>1</v>
      </c>
      <c r="L724" s="14">
        <v>443</v>
      </c>
      <c r="M724" s="10">
        <v>435</v>
      </c>
      <c r="N724" s="10">
        <v>48952</v>
      </c>
      <c r="O724" s="10">
        <v>34112</v>
      </c>
      <c r="P724" s="10">
        <v>83064</v>
      </c>
    </row>
    <row r="725" spans="1:16" ht="27" customHeight="1" x14ac:dyDescent="0.2">
      <c r="A725" s="9" t="s">
        <v>1682</v>
      </c>
      <c r="B725" s="10" t="s">
        <v>2023</v>
      </c>
      <c r="C725" s="11" t="s">
        <v>2625</v>
      </c>
      <c r="D725" s="11" t="s">
        <v>2626</v>
      </c>
      <c r="E725" s="11" t="s">
        <v>26</v>
      </c>
      <c r="F725" s="11" t="s">
        <v>2627</v>
      </c>
      <c r="G725" s="11" t="s">
        <v>28</v>
      </c>
      <c r="H725" s="11" t="s">
        <v>1685</v>
      </c>
      <c r="I725" s="11" t="s">
        <v>1686</v>
      </c>
      <c r="J725" s="12">
        <v>1</v>
      </c>
      <c r="K725" s="13">
        <v>1</v>
      </c>
      <c r="L725" s="14">
        <v>255</v>
      </c>
      <c r="M725" s="10">
        <v>243</v>
      </c>
      <c r="N725" s="10">
        <v>28178</v>
      </c>
      <c r="O725" s="10">
        <v>19056</v>
      </c>
      <c r="P725" s="10">
        <v>47234</v>
      </c>
    </row>
    <row r="726" spans="1:16" ht="27" customHeight="1" x14ac:dyDescent="0.2">
      <c r="A726" s="9" t="s">
        <v>1682</v>
      </c>
      <c r="B726" s="10" t="s">
        <v>2023</v>
      </c>
      <c r="C726" s="11" t="s">
        <v>2628</v>
      </c>
      <c r="D726" s="11" t="s">
        <v>2629</v>
      </c>
      <c r="E726" s="11" t="s">
        <v>26</v>
      </c>
      <c r="F726" s="11" t="s">
        <v>2630</v>
      </c>
      <c r="G726" s="11" t="s">
        <v>28</v>
      </c>
      <c r="H726" s="11" t="s">
        <v>2630</v>
      </c>
      <c r="I726" s="11" t="s">
        <v>2631</v>
      </c>
      <c r="J726" s="12">
        <v>0.96519999999999995</v>
      </c>
      <c r="K726" s="13">
        <v>1</v>
      </c>
      <c r="L726" s="14">
        <v>374</v>
      </c>
      <c r="M726" s="10">
        <v>361</v>
      </c>
      <c r="N726" s="10">
        <v>41328</v>
      </c>
      <c r="O726" s="10">
        <v>28309</v>
      </c>
      <c r="P726" s="10">
        <v>69637</v>
      </c>
    </row>
    <row r="727" spans="1:16" ht="27" customHeight="1" x14ac:dyDescent="0.2">
      <c r="A727" s="9" t="s">
        <v>1682</v>
      </c>
      <c r="B727" s="10" t="s">
        <v>2023</v>
      </c>
      <c r="C727" s="11" t="s">
        <v>2632</v>
      </c>
      <c r="D727" s="11" t="s">
        <v>2633</v>
      </c>
      <c r="E727" s="11" t="s">
        <v>26</v>
      </c>
      <c r="F727" s="11" t="s">
        <v>2634</v>
      </c>
      <c r="G727" s="11" t="s">
        <v>28</v>
      </c>
      <c r="H727" s="11" t="s">
        <v>2634</v>
      </c>
      <c r="I727" s="11" t="s">
        <v>2635</v>
      </c>
      <c r="J727" s="12">
        <v>0.85509999999999997</v>
      </c>
      <c r="K727" s="13">
        <v>1</v>
      </c>
      <c r="L727" s="14">
        <v>1056</v>
      </c>
      <c r="M727" s="10">
        <v>903</v>
      </c>
      <c r="N727" s="10">
        <v>116690</v>
      </c>
      <c r="O727" s="10">
        <v>70812</v>
      </c>
      <c r="P727" s="10">
        <v>187502</v>
      </c>
    </row>
    <row r="728" spans="1:16" ht="27" customHeight="1" x14ac:dyDescent="0.2">
      <c r="A728" s="9" t="s">
        <v>1682</v>
      </c>
      <c r="B728" s="10" t="s">
        <v>2023</v>
      </c>
      <c r="C728" s="11" t="s">
        <v>2636</v>
      </c>
      <c r="D728" s="11" t="s">
        <v>2637</v>
      </c>
      <c r="E728" s="11" t="s">
        <v>26</v>
      </c>
      <c r="F728" s="11" t="s">
        <v>2638</v>
      </c>
      <c r="G728" s="11" t="s">
        <v>28</v>
      </c>
      <c r="H728" s="11" t="s">
        <v>2638</v>
      </c>
      <c r="I728" s="11" t="s">
        <v>2639</v>
      </c>
      <c r="J728" s="12">
        <v>0.92120000000000002</v>
      </c>
      <c r="K728" s="13">
        <v>1</v>
      </c>
      <c r="L728" s="14">
        <v>330</v>
      </c>
      <c r="M728" s="10">
        <v>304</v>
      </c>
      <c r="N728" s="10">
        <v>36466</v>
      </c>
      <c r="O728" s="10">
        <v>23839</v>
      </c>
      <c r="P728" s="10">
        <v>60305</v>
      </c>
    </row>
    <row r="729" spans="1:16" ht="27" customHeight="1" x14ac:dyDescent="0.2">
      <c r="A729" s="9" t="s">
        <v>1682</v>
      </c>
      <c r="B729" s="10" t="s">
        <v>2023</v>
      </c>
      <c r="C729" s="11" t="s">
        <v>2640</v>
      </c>
      <c r="D729" s="11" t="s">
        <v>2641</v>
      </c>
      <c r="E729" s="11" t="s">
        <v>26</v>
      </c>
      <c r="F729" s="11" t="s">
        <v>2642</v>
      </c>
      <c r="G729" s="11" t="s">
        <v>28</v>
      </c>
      <c r="H729" s="11" t="s">
        <v>1685</v>
      </c>
      <c r="I729" s="11" t="s">
        <v>1686</v>
      </c>
      <c r="J729" s="12">
        <v>1</v>
      </c>
      <c r="K729" s="13">
        <v>1</v>
      </c>
      <c r="L729" s="14">
        <v>276</v>
      </c>
      <c r="M729" s="10">
        <v>92</v>
      </c>
      <c r="N729" s="10">
        <v>30498</v>
      </c>
      <c r="O729" s="10">
        <v>7215</v>
      </c>
      <c r="P729" s="10">
        <v>37713</v>
      </c>
    </row>
    <row r="730" spans="1:16" ht="27" customHeight="1" x14ac:dyDescent="0.2">
      <c r="A730" s="9" t="s">
        <v>1682</v>
      </c>
      <c r="B730" s="10" t="s">
        <v>2023</v>
      </c>
      <c r="C730" s="11" t="s">
        <v>2643</v>
      </c>
      <c r="D730" s="11" t="s">
        <v>2644</v>
      </c>
      <c r="E730" s="11" t="s">
        <v>26</v>
      </c>
      <c r="F730" s="11" t="s">
        <v>2645</v>
      </c>
      <c r="G730" s="11" t="s">
        <v>28</v>
      </c>
      <c r="H730" s="11" t="s">
        <v>1685</v>
      </c>
      <c r="I730" s="11" t="s">
        <v>1686</v>
      </c>
      <c r="J730" s="12">
        <v>1</v>
      </c>
      <c r="K730" s="13">
        <v>1</v>
      </c>
      <c r="L730" s="14">
        <v>494</v>
      </c>
      <c r="M730" s="10">
        <v>377</v>
      </c>
      <c r="N730" s="10">
        <v>54588</v>
      </c>
      <c r="O730" s="10">
        <v>29564</v>
      </c>
      <c r="P730" s="10">
        <v>84152</v>
      </c>
    </row>
    <row r="731" spans="1:16" ht="27" customHeight="1" x14ac:dyDescent="0.2">
      <c r="A731" s="9" t="s">
        <v>1682</v>
      </c>
      <c r="B731" s="10" t="s">
        <v>2023</v>
      </c>
      <c r="C731" s="11" t="s">
        <v>2646</v>
      </c>
      <c r="D731" s="11" t="s">
        <v>2647</v>
      </c>
      <c r="E731" s="11" t="s">
        <v>26</v>
      </c>
      <c r="F731" s="11" t="s">
        <v>2648</v>
      </c>
      <c r="G731" s="11" t="s">
        <v>28</v>
      </c>
      <c r="H731" s="11" t="s">
        <v>1685</v>
      </c>
      <c r="I731" s="11" t="s">
        <v>1686</v>
      </c>
      <c r="J731" s="12">
        <v>1</v>
      </c>
      <c r="K731" s="13">
        <v>1</v>
      </c>
      <c r="L731" s="14">
        <v>484</v>
      </c>
      <c r="M731" s="10">
        <v>251</v>
      </c>
      <c r="N731" s="10">
        <v>53483</v>
      </c>
      <c r="O731" s="10">
        <v>19683</v>
      </c>
      <c r="P731" s="10">
        <v>73166</v>
      </c>
    </row>
    <row r="732" spans="1:16" ht="27" customHeight="1" x14ac:dyDescent="0.2">
      <c r="A732" s="9" t="s">
        <v>1682</v>
      </c>
      <c r="B732" s="10" t="s">
        <v>2023</v>
      </c>
      <c r="C732" s="11" t="s">
        <v>2649</v>
      </c>
      <c r="D732" s="11" t="s">
        <v>2650</v>
      </c>
      <c r="E732" s="11" t="s">
        <v>26</v>
      </c>
      <c r="F732" s="11" t="s">
        <v>2651</v>
      </c>
      <c r="G732" s="11" t="s">
        <v>28</v>
      </c>
      <c r="H732" s="11" t="s">
        <v>2651</v>
      </c>
      <c r="I732" s="11" t="s">
        <v>2652</v>
      </c>
      <c r="J732" s="12">
        <v>0.1976</v>
      </c>
      <c r="K732" s="13">
        <v>1</v>
      </c>
      <c r="L732" s="14">
        <v>850</v>
      </c>
      <c r="M732" s="10">
        <v>168</v>
      </c>
      <c r="N732" s="10">
        <v>93926</v>
      </c>
      <c r="O732" s="10">
        <v>13174</v>
      </c>
      <c r="P732" s="10">
        <v>107100</v>
      </c>
    </row>
    <row r="733" spans="1:16" ht="27" customHeight="1" x14ac:dyDescent="0.2">
      <c r="A733" s="9" t="s">
        <v>1682</v>
      </c>
      <c r="B733" s="10" t="s">
        <v>2023</v>
      </c>
      <c r="C733" s="11" t="s">
        <v>2653</v>
      </c>
      <c r="D733" s="11" t="s">
        <v>2654</v>
      </c>
      <c r="E733" s="11" t="s">
        <v>26</v>
      </c>
      <c r="F733" s="11" t="s">
        <v>2655</v>
      </c>
      <c r="G733" s="11" t="s">
        <v>28</v>
      </c>
      <c r="H733" s="11" t="s">
        <v>2655</v>
      </c>
      <c r="I733" s="11" t="s">
        <v>2656</v>
      </c>
      <c r="J733" s="12">
        <v>0.88100000000000001</v>
      </c>
      <c r="K733" s="13">
        <v>1</v>
      </c>
      <c r="L733" s="14">
        <v>630</v>
      </c>
      <c r="M733" s="10">
        <v>555</v>
      </c>
      <c r="N733" s="10">
        <v>69616</v>
      </c>
      <c r="O733" s="10">
        <v>43523</v>
      </c>
      <c r="P733" s="10">
        <v>113139</v>
      </c>
    </row>
    <row r="734" spans="1:16" ht="27" customHeight="1" x14ac:dyDescent="0.2">
      <c r="A734" s="9" t="s">
        <v>1682</v>
      </c>
      <c r="B734" s="10" t="s">
        <v>2023</v>
      </c>
      <c r="C734" s="11" t="s">
        <v>2657</v>
      </c>
      <c r="D734" s="11" t="s">
        <v>2658</v>
      </c>
      <c r="E734" s="11" t="s">
        <v>26</v>
      </c>
      <c r="F734" s="11" t="s">
        <v>2659</v>
      </c>
      <c r="G734" s="11" t="s">
        <v>28</v>
      </c>
      <c r="H734" s="11" t="s">
        <v>2659</v>
      </c>
      <c r="I734" s="11" t="s">
        <v>2660</v>
      </c>
      <c r="J734" s="12">
        <v>0.82150000000000001</v>
      </c>
      <c r="K734" s="13">
        <v>1</v>
      </c>
      <c r="L734" s="14">
        <v>325</v>
      </c>
      <c r="M734" s="10">
        <v>267</v>
      </c>
      <c r="N734" s="10">
        <v>35913</v>
      </c>
      <c r="O734" s="10">
        <v>20938</v>
      </c>
      <c r="P734" s="10">
        <v>56851</v>
      </c>
    </row>
    <row r="735" spans="1:16" ht="27" customHeight="1" x14ac:dyDescent="0.2">
      <c r="A735" s="9" t="s">
        <v>1682</v>
      </c>
      <c r="B735" s="10" t="s">
        <v>2023</v>
      </c>
      <c r="C735" s="11" t="s">
        <v>2661</v>
      </c>
      <c r="D735" s="11" t="s">
        <v>2662</v>
      </c>
      <c r="E735" s="11" t="s">
        <v>26</v>
      </c>
      <c r="F735" s="11" t="s">
        <v>2663</v>
      </c>
      <c r="G735" s="11" t="s">
        <v>28</v>
      </c>
      <c r="H735" s="11" t="s">
        <v>2663</v>
      </c>
      <c r="I735" s="11" t="s">
        <v>2664</v>
      </c>
      <c r="J735" s="12">
        <v>0.94589999999999996</v>
      </c>
      <c r="K735" s="13">
        <v>1</v>
      </c>
      <c r="L735" s="14">
        <v>185</v>
      </c>
      <c r="M735" s="10">
        <v>175</v>
      </c>
      <c r="N735" s="10">
        <v>20443</v>
      </c>
      <c r="O735" s="10">
        <v>13723</v>
      </c>
      <c r="P735" s="10">
        <v>34166</v>
      </c>
    </row>
    <row r="736" spans="1:16" ht="27" customHeight="1" x14ac:dyDescent="0.2">
      <c r="A736" s="9" t="s">
        <v>1682</v>
      </c>
      <c r="B736" s="10" t="s">
        <v>2023</v>
      </c>
      <c r="C736" s="11" t="s">
        <v>2665</v>
      </c>
      <c r="D736" s="11" t="s">
        <v>2666</v>
      </c>
      <c r="E736" s="11" t="s">
        <v>26</v>
      </c>
      <c r="F736" s="11" t="s">
        <v>2667</v>
      </c>
      <c r="G736" s="11" t="s">
        <v>28</v>
      </c>
      <c r="H736" s="11" t="s">
        <v>1685</v>
      </c>
      <c r="I736" s="11" t="s">
        <v>1686</v>
      </c>
      <c r="J736" s="12">
        <v>1</v>
      </c>
      <c r="K736" s="13">
        <v>1</v>
      </c>
      <c r="L736" s="14">
        <v>122</v>
      </c>
      <c r="M736" s="10">
        <v>61</v>
      </c>
      <c r="N736" s="10">
        <v>13481</v>
      </c>
      <c r="O736" s="10">
        <v>4784</v>
      </c>
      <c r="P736" s="10">
        <v>18265</v>
      </c>
    </row>
    <row r="737" spans="1:16" ht="27" customHeight="1" x14ac:dyDescent="0.2">
      <c r="A737" s="9" t="s">
        <v>1682</v>
      </c>
      <c r="B737" s="10" t="s">
        <v>2023</v>
      </c>
      <c r="C737" s="11" t="s">
        <v>2668</v>
      </c>
      <c r="D737" s="11" t="s">
        <v>2669</v>
      </c>
      <c r="E737" s="11" t="s">
        <v>26</v>
      </c>
      <c r="F737" s="11" t="s">
        <v>2670</v>
      </c>
      <c r="G737" s="11" t="s">
        <v>28</v>
      </c>
      <c r="H737" s="11" t="s">
        <v>1685</v>
      </c>
      <c r="I737" s="11" t="s">
        <v>1686</v>
      </c>
      <c r="J737" s="12">
        <v>1</v>
      </c>
      <c r="K737" s="13">
        <v>1</v>
      </c>
      <c r="L737" s="14">
        <v>235</v>
      </c>
      <c r="M737" s="10">
        <v>121</v>
      </c>
      <c r="N737" s="10">
        <v>25968</v>
      </c>
      <c r="O737" s="10">
        <v>9489</v>
      </c>
      <c r="P737" s="10">
        <v>35457</v>
      </c>
    </row>
    <row r="738" spans="1:16" ht="27" customHeight="1" x14ac:dyDescent="0.2">
      <c r="A738" s="9" t="s">
        <v>1682</v>
      </c>
      <c r="B738" s="10" t="s">
        <v>2023</v>
      </c>
      <c r="C738" s="11" t="s">
        <v>2671</v>
      </c>
      <c r="D738" s="11" t="s">
        <v>2672</v>
      </c>
      <c r="E738" s="11" t="s">
        <v>26</v>
      </c>
      <c r="F738" s="11" t="s">
        <v>2673</v>
      </c>
      <c r="G738" s="11" t="s">
        <v>28</v>
      </c>
      <c r="H738" s="11" t="s">
        <v>2673</v>
      </c>
      <c r="I738" s="11" t="s">
        <v>2674</v>
      </c>
      <c r="J738" s="12">
        <v>0.68810000000000004</v>
      </c>
      <c r="K738" s="13">
        <v>1</v>
      </c>
      <c r="L738" s="14">
        <v>109</v>
      </c>
      <c r="M738" s="10">
        <v>75</v>
      </c>
      <c r="N738" s="10">
        <v>12045</v>
      </c>
      <c r="O738" s="10">
        <v>5881</v>
      </c>
      <c r="P738" s="10">
        <v>17926</v>
      </c>
    </row>
    <row r="739" spans="1:16" ht="27" customHeight="1" x14ac:dyDescent="0.2">
      <c r="A739" s="9" t="s">
        <v>1682</v>
      </c>
      <c r="B739" s="10" t="s">
        <v>2023</v>
      </c>
      <c r="C739" s="11" t="s">
        <v>2675</v>
      </c>
      <c r="D739" s="11" t="s">
        <v>2676</v>
      </c>
      <c r="E739" s="11" t="s">
        <v>26</v>
      </c>
      <c r="F739" s="11" t="s">
        <v>2677</v>
      </c>
      <c r="G739" s="11" t="s">
        <v>28</v>
      </c>
      <c r="H739" s="11" t="s">
        <v>2677</v>
      </c>
      <c r="I739" s="11" t="s">
        <v>2678</v>
      </c>
      <c r="J739" s="12">
        <v>0.96150000000000002</v>
      </c>
      <c r="K739" s="13">
        <v>1</v>
      </c>
      <c r="L739" s="14">
        <v>182</v>
      </c>
      <c r="M739" s="10">
        <v>175</v>
      </c>
      <c r="N739" s="10">
        <v>20111</v>
      </c>
      <c r="O739" s="10">
        <v>13723</v>
      </c>
      <c r="P739" s="10">
        <v>33834</v>
      </c>
    </row>
    <row r="740" spans="1:16" ht="27" customHeight="1" x14ac:dyDescent="0.2">
      <c r="A740" s="9" t="s">
        <v>1682</v>
      </c>
      <c r="B740" s="10" t="s">
        <v>2023</v>
      </c>
      <c r="C740" s="11" t="s">
        <v>2679</v>
      </c>
      <c r="D740" s="11" t="s">
        <v>2680</v>
      </c>
      <c r="E740" s="11" t="s">
        <v>26</v>
      </c>
      <c r="F740" s="11" t="s">
        <v>2681</v>
      </c>
      <c r="G740" s="11" t="s">
        <v>28</v>
      </c>
      <c r="H740" s="11" t="s">
        <v>1685</v>
      </c>
      <c r="I740" s="11" t="s">
        <v>1686</v>
      </c>
      <c r="J740" s="12">
        <v>1</v>
      </c>
      <c r="K740" s="13">
        <v>1</v>
      </c>
      <c r="L740" s="14">
        <v>170</v>
      </c>
      <c r="M740" s="10">
        <v>160</v>
      </c>
      <c r="N740" s="10">
        <v>18785</v>
      </c>
      <c r="O740" s="10">
        <v>12547</v>
      </c>
      <c r="P740" s="10">
        <v>31332</v>
      </c>
    </row>
    <row r="741" spans="1:16" ht="27" customHeight="1" x14ac:dyDescent="0.2">
      <c r="A741" s="9" t="s">
        <v>1682</v>
      </c>
      <c r="B741" s="10" t="s">
        <v>2023</v>
      </c>
      <c r="C741" s="11" t="s">
        <v>2682</v>
      </c>
      <c r="D741" s="11" t="s">
        <v>2683</v>
      </c>
      <c r="E741" s="11" t="s">
        <v>26</v>
      </c>
      <c r="F741" s="11" t="s">
        <v>2684</v>
      </c>
      <c r="G741" s="11" t="s">
        <v>28</v>
      </c>
      <c r="H741" s="11" t="s">
        <v>2684</v>
      </c>
      <c r="I741" s="11" t="s">
        <v>2685</v>
      </c>
      <c r="J741" s="12">
        <v>0.9355</v>
      </c>
      <c r="K741" s="13">
        <v>1</v>
      </c>
      <c r="L741" s="14">
        <v>248</v>
      </c>
      <c r="M741" s="10">
        <v>232</v>
      </c>
      <c r="N741" s="10">
        <v>27404</v>
      </c>
      <c r="O741" s="10">
        <v>18193</v>
      </c>
      <c r="P741" s="10">
        <v>45597</v>
      </c>
    </row>
    <row r="742" spans="1:16" ht="27" customHeight="1" x14ac:dyDescent="0.2">
      <c r="A742" s="9" t="s">
        <v>1682</v>
      </c>
      <c r="B742" s="10" t="s">
        <v>2023</v>
      </c>
      <c r="C742" s="11" t="s">
        <v>2686</v>
      </c>
      <c r="D742" s="11" t="s">
        <v>2687</v>
      </c>
      <c r="E742" s="11" t="s">
        <v>26</v>
      </c>
      <c r="F742" s="11" t="s">
        <v>2688</v>
      </c>
      <c r="G742" s="11" t="s">
        <v>28</v>
      </c>
      <c r="H742" s="11" t="s">
        <v>1685</v>
      </c>
      <c r="I742" s="11" t="s">
        <v>1686</v>
      </c>
      <c r="J742" s="12">
        <v>1</v>
      </c>
      <c r="K742" s="13">
        <v>1</v>
      </c>
      <c r="L742" s="14">
        <v>275</v>
      </c>
      <c r="M742" s="10">
        <v>74</v>
      </c>
      <c r="N742" s="10">
        <v>30388</v>
      </c>
      <c r="O742" s="10">
        <v>5803</v>
      </c>
      <c r="P742" s="10">
        <v>36191</v>
      </c>
    </row>
    <row r="743" spans="1:16" ht="27" customHeight="1" x14ac:dyDescent="0.2">
      <c r="A743" s="9" t="s">
        <v>1682</v>
      </c>
      <c r="B743" s="10" t="s">
        <v>2023</v>
      </c>
      <c r="C743" s="11" t="s">
        <v>2689</v>
      </c>
      <c r="D743" s="11" t="s">
        <v>2690</v>
      </c>
      <c r="E743" s="11" t="s">
        <v>26</v>
      </c>
      <c r="F743" s="11" t="s">
        <v>2691</v>
      </c>
      <c r="G743" s="11" t="s">
        <v>28</v>
      </c>
      <c r="H743" s="11" t="s">
        <v>2691</v>
      </c>
      <c r="I743" s="11" t="s">
        <v>2692</v>
      </c>
      <c r="J743" s="12">
        <v>0.9718</v>
      </c>
      <c r="K743" s="13">
        <v>1</v>
      </c>
      <c r="L743" s="14">
        <v>248</v>
      </c>
      <c r="M743" s="10">
        <v>241</v>
      </c>
      <c r="N743" s="10">
        <v>27404</v>
      </c>
      <c r="O743" s="10">
        <v>18899</v>
      </c>
      <c r="P743" s="10">
        <v>46303</v>
      </c>
    </row>
    <row r="744" spans="1:16" ht="27" customHeight="1" x14ac:dyDescent="0.2">
      <c r="A744" s="9" t="s">
        <v>1682</v>
      </c>
      <c r="B744" s="10" t="s">
        <v>2023</v>
      </c>
      <c r="C744" s="11" t="s">
        <v>2693</v>
      </c>
      <c r="D744" s="11" t="s">
        <v>2694</v>
      </c>
      <c r="E744" s="11" t="s">
        <v>26</v>
      </c>
      <c r="F744" s="11" t="s">
        <v>2695</v>
      </c>
      <c r="G744" s="11" t="s">
        <v>28</v>
      </c>
      <c r="H744" s="11" t="s">
        <v>2695</v>
      </c>
      <c r="I744" s="11" t="s">
        <v>2696</v>
      </c>
      <c r="J744" s="12">
        <v>0.879</v>
      </c>
      <c r="K744" s="13">
        <v>1</v>
      </c>
      <c r="L744" s="14">
        <v>124</v>
      </c>
      <c r="M744" s="10">
        <v>109</v>
      </c>
      <c r="N744" s="10">
        <v>13702</v>
      </c>
      <c r="O744" s="10">
        <v>8548</v>
      </c>
      <c r="P744" s="10">
        <v>22250</v>
      </c>
    </row>
    <row r="745" spans="1:16" ht="27" customHeight="1" x14ac:dyDescent="0.2">
      <c r="A745" s="9" t="s">
        <v>1682</v>
      </c>
      <c r="B745" s="10" t="s">
        <v>2023</v>
      </c>
      <c r="C745" s="11" t="s">
        <v>2697</v>
      </c>
      <c r="D745" s="11" t="s">
        <v>2698</v>
      </c>
      <c r="E745" s="11" t="s">
        <v>26</v>
      </c>
      <c r="F745" s="11" t="s">
        <v>2699</v>
      </c>
      <c r="G745" s="11" t="s">
        <v>28</v>
      </c>
      <c r="H745" s="11" t="s">
        <v>2699</v>
      </c>
      <c r="I745" s="11" t="s">
        <v>2700</v>
      </c>
      <c r="J745" s="12">
        <v>0.9446</v>
      </c>
      <c r="K745" s="13">
        <v>1</v>
      </c>
      <c r="L745" s="14">
        <v>343</v>
      </c>
      <c r="M745" s="10">
        <v>324</v>
      </c>
      <c r="N745" s="10">
        <v>37902</v>
      </c>
      <c r="O745" s="10">
        <v>25408</v>
      </c>
      <c r="P745" s="10">
        <v>63310</v>
      </c>
    </row>
    <row r="746" spans="1:16" ht="27" customHeight="1" x14ac:dyDescent="0.2">
      <c r="A746" s="9" t="s">
        <v>1682</v>
      </c>
      <c r="B746" s="10" t="s">
        <v>2023</v>
      </c>
      <c r="C746" s="11" t="s">
        <v>2701</v>
      </c>
      <c r="D746" s="11" t="s">
        <v>2702</v>
      </c>
      <c r="E746" s="11" t="s">
        <v>26</v>
      </c>
      <c r="F746" s="11" t="s">
        <v>2703</v>
      </c>
      <c r="G746" s="11" t="s">
        <v>28</v>
      </c>
      <c r="H746" s="11" t="s">
        <v>2703</v>
      </c>
      <c r="I746" s="11" t="s">
        <v>2704</v>
      </c>
      <c r="J746" s="12">
        <v>0.79830000000000001</v>
      </c>
      <c r="K746" s="13">
        <v>1</v>
      </c>
      <c r="L746" s="14">
        <v>119</v>
      </c>
      <c r="M746" s="10">
        <v>95</v>
      </c>
      <c r="N746" s="10">
        <v>13150</v>
      </c>
      <c r="O746" s="10">
        <v>7450</v>
      </c>
      <c r="P746" s="10">
        <v>20600</v>
      </c>
    </row>
    <row r="747" spans="1:16" ht="27" customHeight="1" x14ac:dyDescent="0.2">
      <c r="A747" s="9" t="s">
        <v>1682</v>
      </c>
      <c r="B747" s="10" t="s">
        <v>2023</v>
      </c>
      <c r="C747" s="11" t="s">
        <v>2705</v>
      </c>
      <c r="D747" s="11" t="s">
        <v>2706</v>
      </c>
      <c r="E747" s="11" t="s">
        <v>26</v>
      </c>
      <c r="F747" s="11" t="s">
        <v>2707</v>
      </c>
      <c r="G747" s="11" t="s">
        <v>28</v>
      </c>
      <c r="H747" s="11" t="s">
        <v>2707</v>
      </c>
      <c r="I747" s="11" t="s">
        <v>2708</v>
      </c>
      <c r="J747" s="12">
        <v>0.9042</v>
      </c>
      <c r="K747" s="13">
        <v>1</v>
      </c>
      <c r="L747" s="14">
        <v>407</v>
      </c>
      <c r="M747" s="10">
        <v>368</v>
      </c>
      <c r="N747" s="10">
        <v>44974</v>
      </c>
      <c r="O747" s="10">
        <v>28858</v>
      </c>
      <c r="P747" s="10">
        <v>73832</v>
      </c>
    </row>
    <row r="748" spans="1:16" ht="27" customHeight="1" x14ac:dyDescent="0.2">
      <c r="A748" s="9" t="s">
        <v>1682</v>
      </c>
      <c r="B748" s="10" t="s">
        <v>2023</v>
      </c>
      <c r="C748" s="11" t="s">
        <v>2709</v>
      </c>
      <c r="D748" s="11" t="s">
        <v>2710</v>
      </c>
      <c r="E748" s="11" t="s">
        <v>26</v>
      </c>
      <c r="F748" s="11" t="s">
        <v>2711</v>
      </c>
      <c r="G748" s="11" t="s">
        <v>28</v>
      </c>
      <c r="H748" s="11" t="s">
        <v>2711</v>
      </c>
      <c r="I748" s="11" t="s">
        <v>2712</v>
      </c>
      <c r="J748" s="12">
        <v>0.90290000000000004</v>
      </c>
      <c r="K748" s="13">
        <v>1</v>
      </c>
      <c r="L748" s="14">
        <v>175</v>
      </c>
      <c r="M748" s="10">
        <v>158</v>
      </c>
      <c r="N748" s="10">
        <v>19338</v>
      </c>
      <c r="O748" s="10">
        <v>12390</v>
      </c>
      <c r="P748" s="10">
        <v>31728</v>
      </c>
    </row>
    <row r="749" spans="1:16" ht="27" customHeight="1" x14ac:dyDescent="0.2">
      <c r="A749" s="9" t="s">
        <v>1682</v>
      </c>
      <c r="B749" s="10" t="s">
        <v>2023</v>
      </c>
      <c r="C749" s="11" t="s">
        <v>2713</v>
      </c>
      <c r="D749" s="11" t="s">
        <v>2714</v>
      </c>
      <c r="E749" s="11" t="s">
        <v>26</v>
      </c>
      <c r="F749" s="11" t="s">
        <v>2715</v>
      </c>
      <c r="G749" s="11" t="s">
        <v>28</v>
      </c>
      <c r="H749" s="11" t="s">
        <v>2715</v>
      </c>
      <c r="I749" s="11" t="s">
        <v>2716</v>
      </c>
      <c r="J749" s="12">
        <v>0.25530000000000003</v>
      </c>
      <c r="K749" s="13">
        <v>1</v>
      </c>
      <c r="L749" s="14">
        <v>282</v>
      </c>
      <c r="M749" s="10">
        <v>72</v>
      </c>
      <c r="N749" s="10">
        <v>31161</v>
      </c>
      <c r="O749" s="10">
        <v>5646</v>
      </c>
      <c r="P749" s="10">
        <v>36807</v>
      </c>
    </row>
    <row r="750" spans="1:16" ht="27" customHeight="1" x14ac:dyDescent="0.2">
      <c r="A750" s="9" t="s">
        <v>1682</v>
      </c>
      <c r="B750" s="10" t="s">
        <v>2023</v>
      </c>
      <c r="C750" s="11" t="s">
        <v>2717</v>
      </c>
      <c r="D750" s="11" t="s">
        <v>2718</v>
      </c>
      <c r="E750" s="11" t="s">
        <v>26</v>
      </c>
      <c r="F750" s="11" t="s">
        <v>2719</v>
      </c>
      <c r="G750" s="11" t="s">
        <v>28</v>
      </c>
      <c r="H750" s="11" t="s">
        <v>2719</v>
      </c>
      <c r="I750" s="11" t="s">
        <v>2720</v>
      </c>
      <c r="J750" s="12">
        <v>0.13789999999999999</v>
      </c>
      <c r="K750" s="13">
        <v>1</v>
      </c>
      <c r="L750" s="14">
        <v>203</v>
      </c>
      <c r="M750" s="10">
        <v>28</v>
      </c>
      <c r="N750" s="10">
        <v>22432</v>
      </c>
      <c r="O750" s="10">
        <v>2196</v>
      </c>
      <c r="P750" s="10">
        <v>24628</v>
      </c>
    </row>
    <row r="751" spans="1:16" ht="27" customHeight="1" x14ac:dyDescent="0.2">
      <c r="A751" s="9" t="s">
        <v>1682</v>
      </c>
      <c r="B751" s="10" t="s">
        <v>2023</v>
      </c>
      <c r="C751" s="11" t="s">
        <v>2721</v>
      </c>
      <c r="D751" s="11" t="s">
        <v>2722</v>
      </c>
      <c r="E751" s="11" t="s">
        <v>26</v>
      </c>
      <c r="F751" s="11" t="s">
        <v>2723</v>
      </c>
      <c r="G751" s="11" t="s">
        <v>28</v>
      </c>
      <c r="H751" s="11" t="s">
        <v>2723</v>
      </c>
      <c r="I751" s="11" t="s">
        <v>2724</v>
      </c>
      <c r="J751" s="12">
        <v>0.94789999999999996</v>
      </c>
      <c r="K751" s="13">
        <v>1</v>
      </c>
      <c r="L751" s="14">
        <v>96</v>
      </c>
      <c r="M751" s="10">
        <v>91</v>
      </c>
      <c r="N751" s="10">
        <v>10608</v>
      </c>
      <c r="O751" s="10">
        <v>7136</v>
      </c>
      <c r="P751" s="10">
        <v>17744</v>
      </c>
    </row>
    <row r="752" spans="1:16" ht="27" customHeight="1" x14ac:dyDescent="0.2">
      <c r="A752" s="9" t="s">
        <v>1682</v>
      </c>
      <c r="B752" s="10" t="s">
        <v>2023</v>
      </c>
      <c r="C752" s="11" t="s">
        <v>2725</v>
      </c>
      <c r="D752" s="11" t="s">
        <v>2726</v>
      </c>
      <c r="E752" s="11" t="s">
        <v>26</v>
      </c>
      <c r="F752" s="11" t="s">
        <v>2727</v>
      </c>
      <c r="G752" s="11" t="s">
        <v>28</v>
      </c>
      <c r="H752" s="11" t="s">
        <v>1685</v>
      </c>
      <c r="I752" s="11" t="s">
        <v>1686</v>
      </c>
      <c r="J752" s="12">
        <v>1</v>
      </c>
      <c r="K752" s="13">
        <v>1</v>
      </c>
      <c r="L752" s="14">
        <v>327</v>
      </c>
      <c r="M752" s="10">
        <v>237</v>
      </c>
      <c r="N752" s="10">
        <v>36134</v>
      </c>
      <c r="O752" s="10">
        <v>18585</v>
      </c>
      <c r="P752" s="10">
        <v>54719</v>
      </c>
    </row>
    <row r="753" spans="1:16" ht="27" customHeight="1" x14ac:dyDescent="0.2">
      <c r="A753" s="9" t="s">
        <v>1682</v>
      </c>
      <c r="B753" s="10" t="s">
        <v>2023</v>
      </c>
      <c r="C753" s="11" t="s">
        <v>2728</v>
      </c>
      <c r="D753" s="11" t="s">
        <v>2729</v>
      </c>
      <c r="E753" s="11" t="s">
        <v>26</v>
      </c>
      <c r="F753" s="11" t="s">
        <v>2730</v>
      </c>
      <c r="G753" s="11" t="s">
        <v>28</v>
      </c>
      <c r="H753" s="11" t="s">
        <v>2730</v>
      </c>
      <c r="I753" s="11" t="s">
        <v>2731</v>
      </c>
      <c r="J753" s="12">
        <v>0.2</v>
      </c>
      <c r="K753" s="13">
        <v>1</v>
      </c>
      <c r="L753" s="14">
        <v>305</v>
      </c>
      <c r="M753" s="10">
        <v>61</v>
      </c>
      <c r="N753" s="10">
        <v>33703</v>
      </c>
      <c r="O753" s="10">
        <v>4784</v>
      </c>
      <c r="P753" s="10">
        <v>38487</v>
      </c>
    </row>
    <row r="754" spans="1:16" ht="27" customHeight="1" x14ac:dyDescent="0.2">
      <c r="A754" s="9" t="s">
        <v>1682</v>
      </c>
      <c r="B754" s="10" t="s">
        <v>2023</v>
      </c>
      <c r="C754" s="11" t="s">
        <v>2732</v>
      </c>
      <c r="D754" s="11" t="s">
        <v>2733</v>
      </c>
      <c r="E754" s="11" t="s">
        <v>26</v>
      </c>
      <c r="F754" s="11" t="s">
        <v>2734</v>
      </c>
      <c r="G754" s="11" t="s">
        <v>28</v>
      </c>
      <c r="H754" s="11" t="s">
        <v>2734</v>
      </c>
      <c r="I754" s="11" t="s">
        <v>2735</v>
      </c>
      <c r="J754" s="12">
        <v>0.76919999999999999</v>
      </c>
      <c r="K754" s="13">
        <v>1</v>
      </c>
      <c r="L754" s="14">
        <v>117</v>
      </c>
      <c r="M754" s="10">
        <v>90</v>
      </c>
      <c r="N754" s="10">
        <v>12929</v>
      </c>
      <c r="O754" s="10">
        <v>7058</v>
      </c>
      <c r="P754" s="10">
        <v>19987</v>
      </c>
    </row>
    <row r="755" spans="1:16" ht="27" customHeight="1" x14ac:dyDescent="0.2">
      <c r="A755" s="9" t="s">
        <v>1682</v>
      </c>
      <c r="B755" s="10" t="s">
        <v>2023</v>
      </c>
      <c r="C755" s="11" t="s">
        <v>2736</v>
      </c>
      <c r="D755" s="11" t="s">
        <v>2737</v>
      </c>
      <c r="E755" s="11" t="s">
        <v>26</v>
      </c>
      <c r="F755" s="11" t="s">
        <v>2738</v>
      </c>
      <c r="G755" s="11" t="s">
        <v>28</v>
      </c>
      <c r="H755" s="11" t="s">
        <v>1685</v>
      </c>
      <c r="I755" s="11" t="s">
        <v>1686</v>
      </c>
      <c r="J755" s="12">
        <v>1</v>
      </c>
      <c r="K755" s="13">
        <v>1</v>
      </c>
      <c r="L755" s="14">
        <v>3058</v>
      </c>
      <c r="M755" s="10">
        <v>2567</v>
      </c>
      <c r="N755" s="10">
        <v>337914</v>
      </c>
      <c r="O755" s="10">
        <v>201302</v>
      </c>
      <c r="P755" s="10">
        <v>539216</v>
      </c>
    </row>
    <row r="756" spans="1:16" ht="27" customHeight="1" x14ac:dyDescent="0.2">
      <c r="A756" s="9" t="s">
        <v>1682</v>
      </c>
      <c r="B756" s="10" t="s">
        <v>2023</v>
      </c>
      <c r="C756" s="11" t="s">
        <v>2739</v>
      </c>
      <c r="D756" s="11" t="s">
        <v>2740</v>
      </c>
      <c r="E756" s="11" t="s">
        <v>57</v>
      </c>
      <c r="F756" s="11" t="s">
        <v>2741</v>
      </c>
      <c r="G756" s="11" t="s">
        <v>28</v>
      </c>
      <c r="H756" s="11" t="s">
        <v>1685</v>
      </c>
      <c r="I756" s="11" t="s">
        <v>1686</v>
      </c>
      <c r="J756" s="12">
        <v>1</v>
      </c>
      <c r="K756" s="13">
        <v>1</v>
      </c>
      <c r="L756" s="14">
        <v>1696</v>
      </c>
      <c r="M756" s="10">
        <v>1162</v>
      </c>
      <c r="N756" s="10">
        <v>187411</v>
      </c>
      <c r="O756" s="10">
        <v>91123</v>
      </c>
      <c r="P756" s="10">
        <v>278534</v>
      </c>
    </row>
    <row r="757" spans="1:16" ht="27" customHeight="1" x14ac:dyDescent="0.2">
      <c r="A757" s="9" t="s">
        <v>1682</v>
      </c>
      <c r="B757" s="10" t="s">
        <v>2023</v>
      </c>
      <c r="C757" s="11" t="s">
        <v>2742</v>
      </c>
      <c r="D757" s="11" t="s">
        <v>2743</v>
      </c>
      <c r="E757" s="11" t="s">
        <v>57</v>
      </c>
      <c r="F757" s="11" t="s">
        <v>2744</v>
      </c>
      <c r="G757" s="11" t="s">
        <v>28</v>
      </c>
      <c r="H757" s="11" t="s">
        <v>1685</v>
      </c>
      <c r="I757" s="11" t="s">
        <v>1686</v>
      </c>
      <c r="J757" s="12">
        <v>1</v>
      </c>
      <c r="K757" s="13">
        <v>1</v>
      </c>
      <c r="L757" s="14">
        <v>2781</v>
      </c>
      <c r="M757" s="10">
        <v>1897</v>
      </c>
      <c r="N757" s="10">
        <v>307305</v>
      </c>
      <c r="O757" s="10">
        <v>148761</v>
      </c>
      <c r="P757" s="10">
        <v>456066</v>
      </c>
    </row>
    <row r="758" spans="1:16" ht="27" customHeight="1" x14ac:dyDescent="0.2">
      <c r="A758" s="9" t="s">
        <v>1682</v>
      </c>
      <c r="B758" s="10" t="s">
        <v>2023</v>
      </c>
      <c r="C758" s="11" t="s">
        <v>2745</v>
      </c>
      <c r="D758" s="11" t="s">
        <v>2746</v>
      </c>
      <c r="E758" s="11" t="s">
        <v>26</v>
      </c>
      <c r="F758" s="11" t="s">
        <v>2747</v>
      </c>
      <c r="G758" s="11" t="s">
        <v>28</v>
      </c>
      <c r="H758" s="11" t="s">
        <v>1685</v>
      </c>
      <c r="I758" s="11" t="s">
        <v>1686</v>
      </c>
      <c r="J758" s="12">
        <v>1</v>
      </c>
      <c r="K758" s="13">
        <v>1</v>
      </c>
      <c r="L758" s="14">
        <v>3577</v>
      </c>
      <c r="M758" s="10">
        <v>1114</v>
      </c>
      <c r="N758" s="10">
        <v>395264</v>
      </c>
      <c r="O758" s="10">
        <v>87359</v>
      </c>
      <c r="P758" s="10">
        <v>482623</v>
      </c>
    </row>
    <row r="759" spans="1:16" ht="27" customHeight="1" x14ac:dyDescent="0.2">
      <c r="A759" s="9" t="s">
        <v>1682</v>
      </c>
      <c r="B759" s="10" t="s">
        <v>2023</v>
      </c>
      <c r="C759" s="11" t="s">
        <v>2748</v>
      </c>
      <c r="D759" s="11" t="s">
        <v>2749</v>
      </c>
      <c r="E759" s="11" t="s">
        <v>26</v>
      </c>
      <c r="F759" s="11" t="s">
        <v>2750</v>
      </c>
      <c r="G759" s="11" t="s">
        <v>28</v>
      </c>
      <c r="H759" s="11" t="s">
        <v>2750</v>
      </c>
      <c r="I759" s="11" t="s">
        <v>2751</v>
      </c>
      <c r="J759" s="12">
        <v>0.48530000000000001</v>
      </c>
      <c r="K759" s="13">
        <v>1</v>
      </c>
      <c r="L759" s="14">
        <v>5869</v>
      </c>
      <c r="M759" s="10">
        <v>2848</v>
      </c>
      <c r="N759" s="10">
        <v>648534</v>
      </c>
      <c r="O759" s="10">
        <v>223337</v>
      </c>
      <c r="P759" s="10">
        <v>871871</v>
      </c>
    </row>
    <row r="760" spans="1:16" ht="27" customHeight="1" x14ac:dyDescent="0.2">
      <c r="A760" s="9" t="s">
        <v>1682</v>
      </c>
      <c r="B760" s="10" t="s">
        <v>2023</v>
      </c>
      <c r="C760" s="11" t="s">
        <v>2752</v>
      </c>
      <c r="D760" s="11" t="s">
        <v>2753</v>
      </c>
      <c r="E760" s="11" t="s">
        <v>57</v>
      </c>
      <c r="F760" s="11" t="s">
        <v>2754</v>
      </c>
      <c r="G760" s="11" t="s">
        <v>28</v>
      </c>
      <c r="H760" s="11" t="s">
        <v>2754</v>
      </c>
      <c r="I760" s="11" t="s">
        <v>2755</v>
      </c>
      <c r="J760" s="12">
        <v>0.88739999999999997</v>
      </c>
      <c r="K760" s="13">
        <v>1</v>
      </c>
      <c r="L760" s="14">
        <v>1403</v>
      </c>
      <c r="M760" s="10">
        <v>1245</v>
      </c>
      <c r="N760" s="10">
        <v>155034</v>
      </c>
      <c r="O760" s="10">
        <v>97632</v>
      </c>
      <c r="P760" s="10">
        <v>252666</v>
      </c>
    </row>
    <row r="761" spans="1:16" ht="27" customHeight="1" x14ac:dyDescent="0.2">
      <c r="A761" s="9" t="s">
        <v>1682</v>
      </c>
      <c r="B761" s="10" t="s">
        <v>2023</v>
      </c>
      <c r="C761" s="11" t="s">
        <v>2756</v>
      </c>
      <c r="D761" s="11" t="s">
        <v>2757</v>
      </c>
      <c r="E761" s="11" t="s">
        <v>57</v>
      </c>
      <c r="F761" s="11" t="s">
        <v>2758</v>
      </c>
      <c r="G761" s="11" t="s">
        <v>28</v>
      </c>
      <c r="H761" s="11" t="s">
        <v>1685</v>
      </c>
      <c r="I761" s="11" t="s">
        <v>1686</v>
      </c>
      <c r="J761" s="12">
        <v>1</v>
      </c>
      <c r="K761" s="13">
        <v>1</v>
      </c>
      <c r="L761" s="14">
        <v>1506</v>
      </c>
      <c r="M761" s="10">
        <v>1361</v>
      </c>
      <c r="N761" s="10">
        <v>166415</v>
      </c>
      <c r="O761" s="10">
        <v>106728</v>
      </c>
      <c r="P761" s="10">
        <v>273143</v>
      </c>
    </row>
    <row r="762" spans="1:16" ht="27" customHeight="1" x14ac:dyDescent="0.2">
      <c r="A762" s="9" t="s">
        <v>1682</v>
      </c>
      <c r="B762" s="10" t="s">
        <v>2023</v>
      </c>
      <c r="C762" s="11" t="s">
        <v>2759</v>
      </c>
      <c r="D762" s="11" t="s">
        <v>2760</v>
      </c>
      <c r="E762" s="11" t="s">
        <v>57</v>
      </c>
      <c r="F762" s="11" t="s">
        <v>2761</v>
      </c>
      <c r="G762" s="11" t="s">
        <v>28</v>
      </c>
      <c r="H762" s="11" t="s">
        <v>1685</v>
      </c>
      <c r="I762" s="11" t="s">
        <v>1686</v>
      </c>
      <c r="J762" s="12">
        <v>1</v>
      </c>
      <c r="K762" s="13">
        <v>1</v>
      </c>
      <c r="L762" s="14">
        <v>2147</v>
      </c>
      <c r="M762" s="10">
        <v>1134</v>
      </c>
      <c r="N762" s="10">
        <v>237247</v>
      </c>
      <c r="O762" s="10">
        <v>88927</v>
      </c>
      <c r="P762" s="10">
        <v>326174</v>
      </c>
    </row>
    <row r="763" spans="1:16" ht="27" customHeight="1" x14ac:dyDescent="0.2">
      <c r="A763" s="9" t="s">
        <v>1682</v>
      </c>
      <c r="B763" s="10" t="s">
        <v>2023</v>
      </c>
      <c r="C763" s="11" t="s">
        <v>2762</v>
      </c>
      <c r="D763" s="11" t="s">
        <v>2763</v>
      </c>
      <c r="E763" s="11" t="s">
        <v>57</v>
      </c>
      <c r="F763" s="11" t="s">
        <v>2764</v>
      </c>
      <c r="G763" s="11" t="s">
        <v>28</v>
      </c>
      <c r="H763" s="11" t="s">
        <v>1685</v>
      </c>
      <c r="I763" s="11" t="s">
        <v>1686</v>
      </c>
      <c r="J763" s="12">
        <v>1</v>
      </c>
      <c r="K763" s="13">
        <v>1</v>
      </c>
      <c r="L763" s="14">
        <v>1338</v>
      </c>
      <c r="M763" s="10">
        <v>960</v>
      </c>
      <c r="N763" s="10">
        <v>147851</v>
      </c>
      <c r="O763" s="10">
        <v>75282</v>
      </c>
      <c r="P763" s="10">
        <v>223133</v>
      </c>
    </row>
    <row r="764" spans="1:16" ht="27" customHeight="1" x14ac:dyDescent="0.2">
      <c r="A764" s="9" t="s">
        <v>1682</v>
      </c>
      <c r="B764" s="10" t="s">
        <v>2023</v>
      </c>
      <c r="C764" s="11" t="s">
        <v>2765</v>
      </c>
      <c r="D764" s="11" t="s">
        <v>2766</v>
      </c>
      <c r="E764" s="11" t="s">
        <v>26</v>
      </c>
      <c r="F764" s="11" t="s">
        <v>2767</v>
      </c>
      <c r="G764" s="11" t="s">
        <v>28</v>
      </c>
      <c r="H764" s="11" t="s">
        <v>1685</v>
      </c>
      <c r="I764" s="11" t="s">
        <v>1686</v>
      </c>
      <c r="J764" s="12">
        <v>1</v>
      </c>
      <c r="K764" s="13">
        <v>1</v>
      </c>
      <c r="L764" s="14">
        <v>2959</v>
      </c>
      <c r="M764" s="10">
        <v>783</v>
      </c>
      <c r="N764" s="10">
        <v>326974</v>
      </c>
      <c r="O764" s="10">
        <v>61402</v>
      </c>
      <c r="P764" s="10">
        <v>388376</v>
      </c>
    </row>
    <row r="765" spans="1:16" ht="27" customHeight="1" x14ac:dyDescent="0.2">
      <c r="A765" s="9" t="s">
        <v>1682</v>
      </c>
      <c r="B765" s="10" t="s">
        <v>2023</v>
      </c>
      <c r="C765" s="11" t="s">
        <v>2768</v>
      </c>
      <c r="D765" s="11" t="s">
        <v>2769</v>
      </c>
      <c r="E765" s="11" t="s">
        <v>26</v>
      </c>
      <c r="F765" s="11" t="s">
        <v>2770</v>
      </c>
      <c r="G765" s="11" t="s">
        <v>28</v>
      </c>
      <c r="H765" s="11" t="s">
        <v>2770</v>
      </c>
      <c r="I765" s="11" t="s">
        <v>2771</v>
      </c>
      <c r="J765" s="12">
        <v>0.85529999999999995</v>
      </c>
      <c r="K765" s="13">
        <v>1</v>
      </c>
      <c r="L765" s="14">
        <v>387</v>
      </c>
      <c r="M765" s="10">
        <v>331</v>
      </c>
      <c r="N765" s="10">
        <v>42764</v>
      </c>
      <c r="O765" s="10">
        <v>25957</v>
      </c>
      <c r="P765" s="10">
        <v>68721</v>
      </c>
    </row>
    <row r="766" spans="1:16" ht="27" customHeight="1" x14ac:dyDescent="0.2">
      <c r="A766" s="9" t="s">
        <v>1682</v>
      </c>
      <c r="B766" s="10" t="s">
        <v>2023</v>
      </c>
      <c r="C766" s="11" t="s">
        <v>2772</v>
      </c>
      <c r="D766" s="11" t="s">
        <v>2773</v>
      </c>
      <c r="E766" s="11" t="s">
        <v>57</v>
      </c>
      <c r="F766" s="11" t="s">
        <v>2774</v>
      </c>
      <c r="G766" s="11" t="s">
        <v>28</v>
      </c>
      <c r="H766" s="11" t="s">
        <v>2774</v>
      </c>
      <c r="I766" s="11" t="s">
        <v>2775</v>
      </c>
      <c r="J766" s="12">
        <v>0.22559999999999999</v>
      </c>
      <c r="K766" s="13">
        <v>1</v>
      </c>
      <c r="L766" s="14">
        <v>594</v>
      </c>
      <c r="M766" s="10">
        <v>134</v>
      </c>
      <c r="N766" s="10">
        <v>65638</v>
      </c>
      <c r="O766" s="10">
        <v>10508</v>
      </c>
      <c r="P766" s="10">
        <v>76146</v>
      </c>
    </row>
    <row r="767" spans="1:16" ht="27" customHeight="1" x14ac:dyDescent="0.2">
      <c r="A767" s="9" t="s">
        <v>1682</v>
      </c>
      <c r="B767" s="10" t="s">
        <v>2023</v>
      </c>
      <c r="C767" s="11" t="s">
        <v>2776</v>
      </c>
      <c r="D767" s="11" t="s">
        <v>2777</v>
      </c>
      <c r="E767" s="11" t="s">
        <v>57</v>
      </c>
      <c r="F767" s="11" t="s">
        <v>2778</v>
      </c>
      <c r="G767" s="11" t="s">
        <v>28</v>
      </c>
      <c r="H767" s="11" t="s">
        <v>2778</v>
      </c>
      <c r="I767" s="11" t="s">
        <v>2779</v>
      </c>
      <c r="J767" s="12">
        <v>0.20530000000000001</v>
      </c>
      <c r="K767" s="13">
        <v>1</v>
      </c>
      <c r="L767" s="14">
        <v>414</v>
      </c>
      <c r="M767" s="10">
        <v>85</v>
      </c>
      <c r="N767" s="10">
        <v>45748</v>
      </c>
      <c r="O767" s="10">
        <v>6666</v>
      </c>
      <c r="P767" s="10">
        <v>52414</v>
      </c>
    </row>
    <row r="768" spans="1:16" ht="27" customHeight="1" x14ac:dyDescent="0.2">
      <c r="A768" s="9" t="s">
        <v>1682</v>
      </c>
      <c r="B768" s="10" t="s">
        <v>2023</v>
      </c>
      <c r="C768" s="11" t="s">
        <v>2780</v>
      </c>
      <c r="D768" s="11" t="s">
        <v>2781</v>
      </c>
      <c r="E768" s="11" t="s">
        <v>57</v>
      </c>
      <c r="F768" s="11" t="s">
        <v>2782</v>
      </c>
      <c r="G768" s="11" t="s">
        <v>28</v>
      </c>
      <c r="H768" s="11" t="s">
        <v>2782</v>
      </c>
      <c r="I768" s="11" t="s">
        <v>2783</v>
      </c>
      <c r="J768" s="12">
        <v>0.73380000000000001</v>
      </c>
      <c r="K768" s="13">
        <v>1</v>
      </c>
      <c r="L768" s="14">
        <v>308</v>
      </c>
      <c r="M768" s="10">
        <v>226</v>
      </c>
      <c r="N768" s="10">
        <v>34035</v>
      </c>
      <c r="O768" s="10">
        <v>17723</v>
      </c>
      <c r="P768" s="10">
        <v>51758</v>
      </c>
    </row>
    <row r="769" spans="1:16" ht="27" customHeight="1" x14ac:dyDescent="0.2">
      <c r="A769" s="9" t="s">
        <v>1682</v>
      </c>
      <c r="B769" s="10" t="s">
        <v>2023</v>
      </c>
      <c r="C769" s="11" t="s">
        <v>2784</v>
      </c>
      <c r="D769" s="11" t="s">
        <v>2785</v>
      </c>
      <c r="E769" s="11" t="s">
        <v>57</v>
      </c>
      <c r="F769" s="11" t="s">
        <v>2786</v>
      </c>
      <c r="G769" s="11" t="s">
        <v>28</v>
      </c>
      <c r="H769" s="11" t="s">
        <v>2786</v>
      </c>
      <c r="I769" s="11" t="s">
        <v>2787</v>
      </c>
      <c r="J769" s="12">
        <v>8.4199999999999997E-2</v>
      </c>
      <c r="K769" s="13">
        <v>1</v>
      </c>
      <c r="L769" s="14">
        <v>392</v>
      </c>
      <c r="M769" s="10">
        <v>33</v>
      </c>
      <c r="N769" s="10">
        <v>43317</v>
      </c>
      <c r="O769" s="10">
        <v>2588</v>
      </c>
      <c r="P769" s="10">
        <v>45905</v>
      </c>
    </row>
    <row r="770" spans="1:16" ht="27" customHeight="1" x14ac:dyDescent="0.2">
      <c r="A770" s="9" t="s">
        <v>1682</v>
      </c>
      <c r="B770" s="10" t="s">
        <v>2023</v>
      </c>
      <c r="C770" s="11" t="s">
        <v>2788</v>
      </c>
      <c r="D770" s="11" t="s">
        <v>2789</v>
      </c>
      <c r="E770" s="11" t="s">
        <v>57</v>
      </c>
      <c r="F770" s="11" t="s">
        <v>2790</v>
      </c>
      <c r="G770" s="11" t="s">
        <v>28</v>
      </c>
      <c r="H770" s="11" t="s">
        <v>2790</v>
      </c>
      <c r="I770" s="11" t="s">
        <v>2791</v>
      </c>
      <c r="J770" s="12">
        <v>0.1096</v>
      </c>
      <c r="K770" s="13">
        <v>1</v>
      </c>
      <c r="L770" s="14">
        <v>858</v>
      </c>
      <c r="M770" s="10">
        <v>94</v>
      </c>
      <c r="N770" s="10">
        <v>94810</v>
      </c>
      <c r="O770" s="10">
        <v>7371</v>
      </c>
      <c r="P770" s="10">
        <v>102181</v>
      </c>
    </row>
    <row r="771" spans="1:16" ht="27" customHeight="1" x14ac:dyDescent="0.2">
      <c r="A771" s="9" t="s">
        <v>1682</v>
      </c>
      <c r="B771" s="10" t="s">
        <v>2023</v>
      </c>
      <c r="C771" s="11" t="s">
        <v>2792</v>
      </c>
      <c r="D771" s="11" t="s">
        <v>2793</v>
      </c>
      <c r="E771" s="11" t="s">
        <v>57</v>
      </c>
      <c r="F771" s="11" t="s">
        <v>2794</v>
      </c>
      <c r="G771" s="11" t="s">
        <v>28</v>
      </c>
      <c r="H771" s="11" t="s">
        <v>2794</v>
      </c>
      <c r="I771" s="11" t="s">
        <v>2795</v>
      </c>
      <c r="J771" s="12">
        <v>0.24690000000000001</v>
      </c>
      <c r="K771" s="13">
        <v>1</v>
      </c>
      <c r="L771" s="14">
        <v>721</v>
      </c>
      <c r="M771" s="10">
        <v>178</v>
      </c>
      <c r="N771" s="10">
        <v>79672</v>
      </c>
      <c r="O771" s="10">
        <v>13959</v>
      </c>
      <c r="P771" s="10">
        <v>93631</v>
      </c>
    </row>
    <row r="772" spans="1:16" ht="27" customHeight="1" x14ac:dyDescent="0.2">
      <c r="A772" s="9" t="s">
        <v>1682</v>
      </c>
      <c r="B772" s="10" t="s">
        <v>2023</v>
      </c>
      <c r="C772" s="11" t="s">
        <v>2796</v>
      </c>
      <c r="D772" s="11" t="s">
        <v>2797</v>
      </c>
      <c r="E772" s="11" t="s">
        <v>57</v>
      </c>
      <c r="F772" s="11" t="s">
        <v>2798</v>
      </c>
      <c r="G772" s="11" t="s">
        <v>28</v>
      </c>
      <c r="H772" s="11" t="s">
        <v>2798</v>
      </c>
      <c r="I772" s="11" t="s">
        <v>2799</v>
      </c>
      <c r="J772" s="12">
        <v>0.59919999999999995</v>
      </c>
      <c r="K772" s="13">
        <v>1</v>
      </c>
      <c r="L772" s="14">
        <v>514</v>
      </c>
      <c r="M772" s="10">
        <v>308</v>
      </c>
      <c r="N772" s="10">
        <v>56798</v>
      </c>
      <c r="O772" s="10">
        <v>24153</v>
      </c>
      <c r="P772" s="10">
        <v>80951</v>
      </c>
    </row>
    <row r="773" spans="1:16" ht="27" customHeight="1" x14ac:dyDescent="0.2">
      <c r="A773" s="9" t="s">
        <v>1682</v>
      </c>
      <c r="B773" s="10" t="s">
        <v>2023</v>
      </c>
      <c r="C773" s="11" t="s">
        <v>2800</v>
      </c>
      <c r="D773" s="11" t="s">
        <v>2801</v>
      </c>
      <c r="E773" s="11" t="s">
        <v>57</v>
      </c>
      <c r="F773" s="11" t="s">
        <v>2802</v>
      </c>
      <c r="G773" s="11" t="s">
        <v>28</v>
      </c>
      <c r="H773" s="11" t="s">
        <v>2802</v>
      </c>
      <c r="I773" s="11" t="s">
        <v>2803</v>
      </c>
      <c r="J773" s="12">
        <v>0.25740000000000002</v>
      </c>
      <c r="K773" s="13">
        <v>1</v>
      </c>
      <c r="L773" s="14">
        <v>623</v>
      </c>
      <c r="M773" s="10">
        <v>160</v>
      </c>
      <c r="N773" s="10">
        <v>68843</v>
      </c>
      <c r="O773" s="10">
        <v>12547</v>
      </c>
      <c r="P773" s="10">
        <v>81390</v>
      </c>
    </row>
    <row r="774" spans="1:16" ht="27" customHeight="1" x14ac:dyDescent="0.2">
      <c r="A774" s="9" t="s">
        <v>1682</v>
      </c>
      <c r="B774" s="10" t="s">
        <v>2023</v>
      </c>
      <c r="C774" s="11" t="s">
        <v>2804</v>
      </c>
      <c r="D774" s="11" t="s">
        <v>2805</v>
      </c>
      <c r="E774" s="11" t="s">
        <v>57</v>
      </c>
      <c r="F774" s="11" t="s">
        <v>2806</v>
      </c>
      <c r="G774" s="11" t="s">
        <v>28</v>
      </c>
      <c r="H774" s="11" t="s">
        <v>2806</v>
      </c>
      <c r="I774" s="11" t="s">
        <v>2807</v>
      </c>
      <c r="J774" s="12">
        <v>0.32800000000000001</v>
      </c>
      <c r="K774" s="13">
        <v>1</v>
      </c>
      <c r="L774" s="14">
        <v>439</v>
      </c>
      <c r="M774" s="10">
        <v>144</v>
      </c>
      <c r="N774" s="10">
        <v>48510</v>
      </c>
      <c r="O774" s="10">
        <v>11292</v>
      </c>
      <c r="P774" s="10">
        <v>59802</v>
      </c>
    </row>
    <row r="775" spans="1:16" ht="27" customHeight="1" x14ac:dyDescent="0.2">
      <c r="A775" s="9" t="s">
        <v>1682</v>
      </c>
      <c r="B775" s="10" t="s">
        <v>2023</v>
      </c>
      <c r="C775" s="11" t="s">
        <v>2808</v>
      </c>
      <c r="D775" s="11" t="s">
        <v>2809</v>
      </c>
      <c r="E775" s="11" t="s">
        <v>57</v>
      </c>
      <c r="F775" s="11" t="s">
        <v>2810</v>
      </c>
      <c r="G775" s="11" t="s">
        <v>28</v>
      </c>
      <c r="H775" s="11" t="s">
        <v>2810</v>
      </c>
      <c r="I775" s="11" t="s">
        <v>2811</v>
      </c>
      <c r="J775" s="12">
        <v>0.32690000000000002</v>
      </c>
      <c r="K775" s="13">
        <v>1</v>
      </c>
      <c r="L775" s="14">
        <v>520</v>
      </c>
      <c r="M775" s="10">
        <v>170</v>
      </c>
      <c r="N775" s="10">
        <v>57461</v>
      </c>
      <c r="O775" s="10">
        <v>13331</v>
      </c>
      <c r="P775" s="10">
        <v>70792</v>
      </c>
    </row>
    <row r="776" spans="1:16" ht="27" customHeight="1" x14ac:dyDescent="0.2">
      <c r="A776" s="9" t="s">
        <v>1682</v>
      </c>
      <c r="B776" s="10" t="s">
        <v>2023</v>
      </c>
      <c r="C776" s="11" t="s">
        <v>2812</v>
      </c>
      <c r="D776" s="11" t="s">
        <v>2813</v>
      </c>
      <c r="E776" s="11" t="s">
        <v>26</v>
      </c>
      <c r="F776" s="11" t="s">
        <v>2814</v>
      </c>
      <c r="G776" s="11" t="s">
        <v>28</v>
      </c>
      <c r="H776" s="11" t="s">
        <v>2814</v>
      </c>
      <c r="I776" s="11" t="s">
        <v>2815</v>
      </c>
      <c r="J776" s="12">
        <v>0.87219999999999998</v>
      </c>
      <c r="K776" s="13">
        <v>1</v>
      </c>
      <c r="L776" s="14">
        <v>634</v>
      </c>
      <c r="M776" s="10">
        <v>553</v>
      </c>
      <c r="N776" s="10">
        <v>70058</v>
      </c>
      <c r="O776" s="10">
        <v>43366</v>
      </c>
      <c r="P776" s="10">
        <v>113424</v>
      </c>
    </row>
    <row r="777" spans="1:16" ht="27" customHeight="1" x14ac:dyDescent="0.2">
      <c r="A777" s="9" t="s">
        <v>1682</v>
      </c>
      <c r="B777" s="10" t="s">
        <v>2023</v>
      </c>
      <c r="C777" s="11" t="s">
        <v>2816</v>
      </c>
      <c r="D777" s="11" t="s">
        <v>2817</v>
      </c>
      <c r="E777" s="11" t="s">
        <v>57</v>
      </c>
      <c r="F777" s="11" t="s">
        <v>2818</v>
      </c>
      <c r="G777" s="11" t="s">
        <v>28</v>
      </c>
      <c r="H777" s="11" t="s">
        <v>2818</v>
      </c>
      <c r="I777" s="11" t="s">
        <v>2819</v>
      </c>
      <c r="J777" s="12">
        <v>0.57520000000000004</v>
      </c>
      <c r="K777" s="13">
        <v>1</v>
      </c>
      <c r="L777" s="14">
        <v>319</v>
      </c>
      <c r="M777" s="10">
        <v>183</v>
      </c>
      <c r="N777" s="10">
        <v>35250</v>
      </c>
      <c r="O777" s="10">
        <v>14351</v>
      </c>
      <c r="P777" s="10">
        <v>49601</v>
      </c>
    </row>
    <row r="778" spans="1:16" ht="27" customHeight="1" x14ac:dyDescent="0.2">
      <c r="A778" s="9" t="s">
        <v>1682</v>
      </c>
      <c r="B778" s="10" t="s">
        <v>2023</v>
      </c>
      <c r="C778" s="11" t="s">
        <v>2820</v>
      </c>
      <c r="D778" s="11" t="s">
        <v>2821</v>
      </c>
      <c r="E778" s="11" t="s">
        <v>57</v>
      </c>
      <c r="F778" s="11" t="s">
        <v>2822</v>
      </c>
      <c r="G778" s="11" t="s">
        <v>28</v>
      </c>
      <c r="H778" s="11" t="s">
        <v>2822</v>
      </c>
      <c r="I778" s="11" t="s">
        <v>2823</v>
      </c>
      <c r="J778" s="12">
        <v>0.27860000000000001</v>
      </c>
      <c r="K778" s="13">
        <v>1</v>
      </c>
      <c r="L778" s="14">
        <v>411</v>
      </c>
      <c r="M778" s="10">
        <v>115</v>
      </c>
      <c r="N778" s="10">
        <v>45416</v>
      </c>
      <c r="O778" s="10">
        <v>9018</v>
      </c>
      <c r="P778" s="10">
        <v>54434</v>
      </c>
    </row>
    <row r="779" spans="1:16" ht="27" customHeight="1" x14ac:dyDescent="0.2">
      <c r="A779" s="9" t="s">
        <v>1682</v>
      </c>
      <c r="B779" s="10" t="s">
        <v>2023</v>
      </c>
      <c r="C779" s="11" t="s">
        <v>2824</v>
      </c>
      <c r="D779" s="11" t="s">
        <v>2825</v>
      </c>
      <c r="E779" s="11" t="s">
        <v>57</v>
      </c>
      <c r="F779" s="11" t="s">
        <v>2826</v>
      </c>
      <c r="G779" s="11" t="s">
        <v>28</v>
      </c>
      <c r="H779" s="11" t="s">
        <v>2826</v>
      </c>
      <c r="I779" s="11" t="s">
        <v>2827</v>
      </c>
      <c r="J779" s="12">
        <v>0.3508</v>
      </c>
      <c r="K779" s="13">
        <v>1</v>
      </c>
      <c r="L779" s="14">
        <v>382</v>
      </c>
      <c r="M779" s="10">
        <v>134</v>
      </c>
      <c r="N779" s="10">
        <v>42212</v>
      </c>
      <c r="O779" s="10">
        <v>10508</v>
      </c>
      <c r="P779" s="10">
        <v>52720</v>
      </c>
    </row>
    <row r="780" spans="1:16" ht="27" customHeight="1" x14ac:dyDescent="0.2">
      <c r="A780" s="9" t="s">
        <v>1682</v>
      </c>
      <c r="B780" s="10" t="s">
        <v>2023</v>
      </c>
      <c r="C780" s="11" t="s">
        <v>2828</v>
      </c>
      <c r="D780" s="11" t="s">
        <v>2829</v>
      </c>
      <c r="E780" s="11" t="s">
        <v>57</v>
      </c>
      <c r="F780" s="11" t="s">
        <v>2830</v>
      </c>
      <c r="G780" s="11" t="s">
        <v>28</v>
      </c>
      <c r="H780" s="11" t="s">
        <v>2830</v>
      </c>
      <c r="I780" s="11" t="s">
        <v>2831</v>
      </c>
      <c r="J780" s="12">
        <v>8.5900000000000004E-2</v>
      </c>
      <c r="K780" s="13">
        <v>1</v>
      </c>
      <c r="L780" s="14">
        <v>454</v>
      </c>
      <c r="M780" s="10">
        <v>39</v>
      </c>
      <c r="N780" s="10">
        <v>50168</v>
      </c>
      <c r="O780" s="10">
        <v>3058</v>
      </c>
      <c r="P780" s="10">
        <v>53226</v>
      </c>
    </row>
    <row r="781" spans="1:16" ht="27" customHeight="1" x14ac:dyDescent="0.2">
      <c r="A781" s="9" t="s">
        <v>1682</v>
      </c>
      <c r="B781" s="10" t="s">
        <v>2023</v>
      </c>
      <c r="C781" s="11" t="s">
        <v>2832</v>
      </c>
      <c r="D781" s="11" t="s">
        <v>2833</v>
      </c>
      <c r="E781" s="11" t="s">
        <v>57</v>
      </c>
      <c r="F781" s="11" t="s">
        <v>2834</v>
      </c>
      <c r="G781" s="11" t="s">
        <v>28</v>
      </c>
      <c r="H781" s="11" t="s">
        <v>2834</v>
      </c>
      <c r="I781" s="11" t="s">
        <v>2835</v>
      </c>
      <c r="J781" s="12">
        <v>0.57179999999999997</v>
      </c>
      <c r="K781" s="13">
        <v>1</v>
      </c>
      <c r="L781" s="14">
        <v>386</v>
      </c>
      <c r="M781" s="10">
        <v>221</v>
      </c>
      <c r="N781" s="10">
        <v>42654</v>
      </c>
      <c r="O781" s="10">
        <v>17331</v>
      </c>
      <c r="P781" s="10">
        <v>59985</v>
      </c>
    </row>
    <row r="782" spans="1:16" ht="27" customHeight="1" x14ac:dyDescent="0.2">
      <c r="A782" s="9" t="s">
        <v>1682</v>
      </c>
      <c r="B782" s="10" t="s">
        <v>2023</v>
      </c>
      <c r="C782" s="11" t="s">
        <v>2836</v>
      </c>
      <c r="D782" s="11" t="s">
        <v>2837</v>
      </c>
      <c r="E782" s="11" t="s">
        <v>57</v>
      </c>
      <c r="F782" s="11" t="s">
        <v>2838</v>
      </c>
      <c r="G782" s="11" t="s">
        <v>28</v>
      </c>
      <c r="H782" s="11" t="s">
        <v>2838</v>
      </c>
      <c r="I782" s="11" t="s">
        <v>2839</v>
      </c>
      <c r="J782" s="12">
        <v>0.2389</v>
      </c>
      <c r="K782" s="13">
        <v>1</v>
      </c>
      <c r="L782" s="14">
        <v>474</v>
      </c>
      <c r="M782" s="10">
        <v>113</v>
      </c>
      <c r="N782" s="10">
        <v>52378</v>
      </c>
      <c r="O782" s="10">
        <v>8861</v>
      </c>
      <c r="P782" s="10">
        <v>61239</v>
      </c>
    </row>
    <row r="783" spans="1:16" ht="27" customHeight="1" x14ac:dyDescent="0.2">
      <c r="A783" s="9" t="s">
        <v>1682</v>
      </c>
      <c r="B783" s="10" t="s">
        <v>2023</v>
      </c>
      <c r="C783" s="11" t="s">
        <v>2840</v>
      </c>
      <c r="D783" s="11" t="s">
        <v>2841</v>
      </c>
      <c r="E783" s="11" t="s">
        <v>57</v>
      </c>
      <c r="F783" s="11" t="s">
        <v>2842</v>
      </c>
      <c r="G783" s="11" t="s">
        <v>28</v>
      </c>
      <c r="H783" s="11" t="s">
        <v>2842</v>
      </c>
      <c r="I783" s="11" t="s">
        <v>2843</v>
      </c>
      <c r="J783" s="12">
        <v>0.14330000000000001</v>
      </c>
      <c r="K783" s="13">
        <v>1</v>
      </c>
      <c r="L783" s="14">
        <v>314</v>
      </c>
      <c r="M783" s="10">
        <v>45</v>
      </c>
      <c r="N783" s="10">
        <v>34698</v>
      </c>
      <c r="O783" s="10">
        <v>3529</v>
      </c>
      <c r="P783" s="10">
        <v>38227</v>
      </c>
    </row>
    <row r="784" spans="1:16" ht="27" customHeight="1" x14ac:dyDescent="0.2">
      <c r="A784" s="9" t="s">
        <v>1682</v>
      </c>
      <c r="B784" s="10" t="s">
        <v>2023</v>
      </c>
      <c r="C784" s="11" t="s">
        <v>2844</v>
      </c>
      <c r="D784" s="11" t="s">
        <v>2845</v>
      </c>
      <c r="E784" s="11" t="s">
        <v>26</v>
      </c>
      <c r="F784" s="11" t="s">
        <v>2846</v>
      </c>
      <c r="G784" s="11" t="s">
        <v>28</v>
      </c>
      <c r="H784" s="11" t="s">
        <v>2846</v>
      </c>
      <c r="I784" s="11" t="s">
        <v>2847</v>
      </c>
      <c r="J784" s="12">
        <v>0.85650000000000004</v>
      </c>
      <c r="K784" s="13">
        <v>1</v>
      </c>
      <c r="L784" s="14">
        <v>836</v>
      </c>
      <c r="M784" s="10">
        <v>716</v>
      </c>
      <c r="N784" s="10">
        <v>92379</v>
      </c>
      <c r="O784" s="10">
        <v>56148</v>
      </c>
      <c r="P784" s="10">
        <v>148527</v>
      </c>
    </row>
    <row r="785" spans="1:16" ht="27" customHeight="1" x14ac:dyDescent="0.2">
      <c r="A785" s="9" t="s">
        <v>1682</v>
      </c>
      <c r="B785" s="10" t="s">
        <v>2023</v>
      </c>
      <c r="C785" s="11" t="s">
        <v>2848</v>
      </c>
      <c r="D785" s="11" t="s">
        <v>2849</v>
      </c>
      <c r="E785" s="11" t="s">
        <v>57</v>
      </c>
      <c r="F785" s="11" t="s">
        <v>2850</v>
      </c>
      <c r="G785" s="11" t="s">
        <v>28</v>
      </c>
      <c r="H785" s="11" t="s">
        <v>2850</v>
      </c>
      <c r="I785" s="11" t="s">
        <v>2851</v>
      </c>
      <c r="J785" s="12">
        <v>0.60470000000000002</v>
      </c>
      <c r="K785" s="13">
        <v>1</v>
      </c>
      <c r="L785" s="14">
        <v>387</v>
      </c>
      <c r="M785" s="10">
        <v>234</v>
      </c>
      <c r="N785" s="10">
        <v>42764</v>
      </c>
      <c r="O785" s="10">
        <v>18350</v>
      </c>
      <c r="P785" s="10">
        <v>61114</v>
      </c>
    </row>
    <row r="786" spans="1:16" ht="27" customHeight="1" x14ac:dyDescent="0.2">
      <c r="A786" s="9" t="s">
        <v>1682</v>
      </c>
      <c r="B786" s="10" t="s">
        <v>2023</v>
      </c>
      <c r="C786" s="11" t="s">
        <v>2852</v>
      </c>
      <c r="D786" s="11" t="s">
        <v>2853</v>
      </c>
      <c r="E786" s="11" t="s">
        <v>57</v>
      </c>
      <c r="F786" s="11" t="s">
        <v>2854</v>
      </c>
      <c r="G786" s="11" t="s">
        <v>28</v>
      </c>
      <c r="H786" s="11" t="s">
        <v>2854</v>
      </c>
      <c r="I786" s="11" t="s">
        <v>2855</v>
      </c>
      <c r="J786" s="12">
        <v>0.10050000000000001</v>
      </c>
      <c r="K786" s="13">
        <v>1</v>
      </c>
      <c r="L786" s="14">
        <v>428</v>
      </c>
      <c r="M786" s="10">
        <v>43</v>
      </c>
      <c r="N786" s="10">
        <v>47295</v>
      </c>
      <c r="O786" s="10">
        <v>3372</v>
      </c>
      <c r="P786" s="10">
        <v>50667</v>
      </c>
    </row>
    <row r="787" spans="1:16" ht="27" customHeight="1" x14ac:dyDescent="0.2">
      <c r="A787" s="9" t="s">
        <v>1682</v>
      </c>
      <c r="B787" s="10" t="s">
        <v>2023</v>
      </c>
      <c r="C787" s="11" t="s">
        <v>2856</v>
      </c>
      <c r="D787" s="11" t="s">
        <v>2857</v>
      </c>
      <c r="E787" s="11" t="s">
        <v>26</v>
      </c>
      <c r="F787" s="11" t="s">
        <v>2858</v>
      </c>
      <c r="G787" s="11" t="s">
        <v>28</v>
      </c>
      <c r="H787" s="11" t="s">
        <v>2858</v>
      </c>
      <c r="I787" s="11" t="s">
        <v>2859</v>
      </c>
      <c r="J787" s="12">
        <v>0.81189999999999996</v>
      </c>
      <c r="K787" s="13">
        <v>1</v>
      </c>
      <c r="L787" s="14">
        <v>950</v>
      </c>
      <c r="M787" s="10">
        <v>771</v>
      </c>
      <c r="N787" s="10">
        <v>104977</v>
      </c>
      <c r="O787" s="10">
        <v>60461</v>
      </c>
      <c r="P787" s="10">
        <v>165438</v>
      </c>
    </row>
    <row r="788" spans="1:16" ht="27" customHeight="1" x14ac:dyDescent="0.2">
      <c r="A788" s="9" t="s">
        <v>1682</v>
      </c>
      <c r="B788" s="10" t="s">
        <v>2023</v>
      </c>
      <c r="C788" s="11" t="s">
        <v>2860</v>
      </c>
      <c r="D788" s="11" t="s">
        <v>2861</v>
      </c>
      <c r="E788" s="11" t="s">
        <v>57</v>
      </c>
      <c r="F788" s="11" t="s">
        <v>2862</v>
      </c>
      <c r="G788" s="11" t="s">
        <v>28</v>
      </c>
      <c r="H788" s="11" t="s">
        <v>2862</v>
      </c>
      <c r="I788" s="11" t="s">
        <v>2863</v>
      </c>
      <c r="J788" s="12">
        <v>0.91930000000000001</v>
      </c>
      <c r="K788" s="13">
        <v>1</v>
      </c>
      <c r="L788" s="14">
        <v>296</v>
      </c>
      <c r="M788" s="10">
        <v>272</v>
      </c>
      <c r="N788" s="10">
        <v>32708</v>
      </c>
      <c r="O788" s="10">
        <v>21330</v>
      </c>
      <c r="P788" s="10">
        <v>54038</v>
      </c>
    </row>
    <row r="789" spans="1:16" ht="27" customHeight="1" x14ac:dyDescent="0.2">
      <c r="A789" s="9" t="s">
        <v>1682</v>
      </c>
      <c r="B789" s="10" t="s">
        <v>2023</v>
      </c>
      <c r="C789" s="11" t="s">
        <v>2864</v>
      </c>
      <c r="D789" s="11" t="s">
        <v>2865</v>
      </c>
      <c r="E789" s="11" t="s">
        <v>57</v>
      </c>
      <c r="F789" s="11" t="s">
        <v>2866</v>
      </c>
      <c r="G789" s="11" t="s">
        <v>28</v>
      </c>
      <c r="H789" s="11" t="s">
        <v>2866</v>
      </c>
      <c r="I789" s="11" t="s">
        <v>2867</v>
      </c>
      <c r="J789" s="12">
        <v>0.23449999999999999</v>
      </c>
      <c r="K789" s="13">
        <v>1</v>
      </c>
      <c r="L789" s="14">
        <v>563</v>
      </c>
      <c r="M789" s="10">
        <v>132</v>
      </c>
      <c r="N789" s="10">
        <v>62212</v>
      </c>
      <c r="O789" s="10">
        <v>10351</v>
      </c>
      <c r="P789" s="10">
        <v>72563</v>
      </c>
    </row>
    <row r="790" spans="1:16" ht="27" customHeight="1" x14ac:dyDescent="0.2">
      <c r="A790" s="9" t="s">
        <v>1682</v>
      </c>
      <c r="B790" s="10" t="s">
        <v>2023</v>
      </c>
      <c r="C790" s="11" t="s">
        <v>2868</v>
      </c>
      <c r="D790" s="11" t="s">
        <v>2869</v>
      </c>
      <c r="E790" s="11" t="s">
        <v>57</v>
      </c>
      <c r="F790" s="11" t="s">
        <v>2870</v>
      </c>
      <c r="G790" s="11" t="s">
        <v>28</v>
      </c>
      <c r="H790" s="11" t="s">
        <v>2870</v>
      </c>
      <c r="I790" s="11" t="s">
        <v>2871</v>
      </c>
      <c r="J790" s="12">
        <v>0.372</v>
      </c>
      <c r="K790" s="13">
        <v>1</v>
      </c>
      <c r="L790" s="14">
        <v>379</v>
      </c>
      <c r="M790" s="10">
        <v>141</v>
      </c>
      <c r="N790" s="10">
        <v>41880</v>
      </c>
      <c r="O790" s="10">
        <v>11057</v>
      </c>
      <c r="P790" s="10">
        <v>52937</v>
      </c>
    </row>
    <row r="791" spans="1:16" ht="27" customHeight="1" x14ac:dyDescent="0.2">
      <c r="A791" s="9" t="s">
        <v>1682</v>
      </c>
      <c r="B791" s="10" t="s">
        <v>2023</v>
      </c>
      <c r="C791" s="11" t="s">
        <v>2872</v>
      </c>
      <c r="D791" s="11" t="s">
        <v>2873</v>
      </c>
      <c r="E791" s="11" t="s">
        <v>26</v>
      </c>
      <c r="F791" s="11" t="s">
        <v>2874</v>
      </c>
      <c r="G791" s="11" t="s">
        <v>28</v>
      </c>
      <c r="H791" s="11" t="s">
        <v>2874</v>
      </c>
      <c r="I791" s="11" t="s">
        <v>2875</v>
      </c>
      <c r="J791" s="12">
        <v>0.96279999999999999</v>
      </c>
      <c r="K791" s="13">
        <v>1</v>
      </c>
      <c r="L791" s="14">
        <v>780</v>
      </c>
      <c r="M791" s="10">
        <v>751</v>
      </c>
      <c r="N791" s="10">
        <v>86191</v>
      </c>
      <c r="O791" s="10">
        <v>58893</v>
      </c>
      <c r="P791" s="10">
        <v>145084</v>
      </c>
    </row>
    <row r="792" spans="1:16" ht="27" customHeight="1" x14ac:dyDescent="0.2">
      <c r="A792" s="9" t="s">
        <v>1682</v>
      </c>
      <c r="B792" s="10" t="s">
        <v>2023</v>
      </c>
      <c r="C792" s="11" t="s">
        <v>2876</v>
      </c>
      <c r="D792" s="11" t="s">
        <v>2877</v>
      </c>
      <c r="E792" s="11" t="s">
        <v>57</v>
      </c>
      <c r="F792" s="11" t="s">
        <v>2878</v>
      </c>
      <c r="G792" s="11" t="s">
        <v>28</v>
      </c>
      <c r="H792" s="11" t="s">
        <v>2878</v>
      </c>
      <c r="I792" s="11" t="s">
        <v>2879</v>
      </c>
      <c r="J792" s="12">
        <v>0.4536</v>
      </c>
      <c r="K792" s="13">
        <v>1</v>
      </c>
      <c r="L792" s="14">
        <v>549</v>
      </c>
      <c r="M792" s="10">
        <v>249</v>
      </c>
      <c r="N792" s="10">
        <v>60665</v>
      </c>
      <c r="O792" s="10">
        <v>19526</v>
      </c>
      <c r="P792" s="10">
        <v>80191</v>
      </c>
    </row>
    <row r="793" spans="1:16" ht="27" customHeight="1" x14ac:dyDescent="0.2">
      <c r="A793" s="9" t="s">
        <v>1682</v>
      </c>
      <c r="B793" s="10" t="s">
        <v>2023</v>
      </c>
      <c r="C793" s="11" t="s">
        <v>2880</v>
      </c>
      <c r="D793" s="11" t="s">
        <v>2881</v>
      </c>
      <c r="E793" s="11" t="s">
        <v>57</v>
      </c>
      <c r="F793" s="11" t="s">
        <v>2882</v>
      </c>
      <c r="G793" s="11" t="s">
        <v>28</v>
      </c>
      <c r="H793" s="11" t="s">
        <v>2882</v>
      </c>
      <c r="I793" s="11" t="s">
        <v>2883</v>
      </c>
      <c r="J793" s="12">
        <v>0.35959999999999998</v>
      </c>
      <c r="K793" s="13">
        <v>1</v>
      </c>
      <c r="L793" s="14">
        <v>501</v>
      </c>
      <c r="M793" s="10">
        <v>180</v>
      </c>
      <c r="N793" s="10">
        <v>55361</v>
      </c>
      <c r="O793" s="10">
        <v>14115</v>
      </c>
      <c r="P793" s="10">
        <v>69476</v>
      </c>
    </row>
    <row r="794" spans="1:16" ht="27" customHeight="1" x14ac:dyDescent="0.2">
      <c r="A794" s="9" t="s">
        <v>1682</v>
      </c>
      <c r="B794" s="10" t="s">
        <v>2023</v>
      </c>
      <c r="C794" s="11" t="s">
        <v>2884</v>
      </c>
      <c r="D794" s="11" t="s">
        <v>2885</v>
      </c>
      <c r="E794" s="11" t="s">
        <v>57</v>
      </c>
      <c r="F794" s="11" t="s">
        <v>2886</v>
      </c>
      <c r="G794" s="11" t="s">
        <v>28</v>
      </c>
      <c r="H794" s="11" t="s">
        <v>2886</v>
      </c>
      <c r="I794" s="11" t="s">
        <v>2887</v>
      </c>
      <c r="J794" s="12">
        <v>0.56950000000000001</v>
      </c>
      <c r="K794" s="13">
        <v>1</v>
      </c>
      <c r="L794" s="14">
        <v>448</v>
      </c>
      <c r="M794" s="10">
        <v>255</v>
      </c>
      <c r="N794" s="10">
        <v>49505</v>
      </c>
      <c r="O794" s="10">
        <v>19997</v>
      </c>
      <c r="P794" s="10">
        <v>69502</v>
      </c>
    </row>
    <row r="795" spans="1:16" ht="27" customHeight="1" x14ac:dyDescent="0.2">
      <c r="A795" s="9" t="s">
        <v>1682</v>
      </c>
      <c r="B795" s="10" t="s">
        <v>2023</v>
      </c>
      <c r="C795" s="11" t="s">
        <v>2888</v>
      </c>
      <c r="D795" s="11" t="s">
        <v>2889</v>
      </c>
      <c r="E795" s="11" t="s">
        <v>57</v>
      </c>
      <c r="F795" s="11" t="s">
        <v>2890</v>
      </c>
      <c r="G795" s="11" t="s">
        <v>28</v>
      </c>
      <c r="H795" s="11" t="s">
        <v>2890</v>
      </c>
      <c r="I795" s="11" t="s">
        <v>2891</v>
      </c>
      <c r="J795" s="12">
        <v>0.14960000000000001</v>
      </c>
      <c r="K795" s="13">
        <v>1</v>
      </c>
      <c r="L795" s="14">
        <v>234</v>
      </c>
      <c r="M795" s="10">
        <v>35</v>
      </c>
      <c r="N795" s="10">
        <v>25857</v>
      </c>
      <c r="O795" s="10">
        <v>2745</v>
      </c>
      <c r="P795" s="10">
        <v>28602</v>
      </c>
    </row>
    <row r="796" spans="1:16" ht="27" customHeight="1" x14ac:dyDescent="0.2">
      <c r="A796" s="9" t="s">
        <v>1682</v>
      </c>
      <c r="B796" s="10" t="s">
        <v>2023</v>
      </c>
      <c r="C796" s="11" t="s">
        <v>2892</v>
      </c>
      <c r="D796" s="11" t="s">
        <v>2893</v>
      </c>
      <c r="E796" s="11" t="s">
        <v>57</v>
      </c>
      <c r="F796" s="11" t="s">
        <v>2894</v>
      </c>
      <c r="G796" s="11" t="s">
        <v>28</v>
      </c>
      <c r="H796" s="11" t="s">
        <v>2894</v>
      </c>
      <c r="I796" s="11" t="s">
        <v>2895</v>
      </c>
      <c r="J796" s="12">
        <v>0.32840000000000003</v>
      </c>
      <c r="K796" s="13">
        <v>1</v>
      </c>
      <c r="L796" s="14">
        <v>555</v>
      </c>
      <c r="M796" s="10">
        <v>182</v>
      </c>
      <c r="N796" s="10">
        <v>61328</v>
      </c>
      <c r="O796" s="10">
        <v>14272</v>
      </c>
      <c r="P796" s="10">
        <v>75600</v>
      </c>
    </row>
    <row r="797" spans="1:16" ht="27" customHeight="1" x14ac:dyDescent="0.2">
      <c r="A797" s="9" t="s">
        <v>1682</v>
      </c>
      <c r="B797" s="10" t="s">
        <v>2023</v>
      </c>
      <c r="C797" s="11" t="s">
        <v>2896</v>
      </c>
      <c r="D797" s="11" t="s">
        <v>2897</v>
      </c>
      <c r="E797" s="11" t="s">
        <v>57</v>
      </c>
      <c r="F797" s="11" t="s">
        <v>2898</v>
      </c>
      <c r="G797" s="11" t="s">
        <v>28</v>
      </c>
      <c r="H797" s="11" t="s">
        <v>2898</v>
      </c>
      <c r="I797" s="11" t="s">
        <v>2899</v>
      </c>
      <c r="J797" s="12">
        <v>0.46729999999999999</v>
      </c>
      <c r="K797" s="13">
        <v>1</v>
      </c>
      <c r="L797" s="14">
        <v>413</v>
      </c>
      <c r="M797" s="10">
        <v>193</v>
      </c>
      <c r="N797" s="10">
        <v>45637</v>
      </c>
      <c r="O797" s="10">
        <v>15135</v>
      </c>
      <c r="P797" s="10">
        <v>60772</v>
      </c>
    </row>
    <row r="798" spans="1:16" ht="27" customHeight="1" x14ac:dyDescent="0.2">
      <c r="A798" s="9" t="s">
        <v>1682</v>
      </c>
      <c r="B798" s="10" t="s">
        <v>2023</v>
      </c>
      <c r="C798" s="11" t="s">
        <v>2900</v>
      </c>
      <c r="D798" s="11" t="s">
        <v>2901</v>
      </c>
      <c r="E798" s="11" t="s">
        <v>26</v>
      </c>
      <c r="F798" s="11" t="s">
        <v>2902</v>
      </c>
      <c r="G798" s="11" t="s">
        <v>28</v>
      </c>
      <c r="H798" s="11" t="s">
        <v>2902</v>
      </c>
      <c r="I798" s="11" t="s">
        <v>2903</v>
      </c>
      <c r="J798" s="12">
        <v>0.97709999999999997</v>
      </c>
      <c r="K798" s="13">
        <v>1</v>
      </c>
      <c r="L798" s="14">
        <v>2877</v>
      </c>
      <c r="M798" s="10">
        <v>2811</v>
      </c>
      <c r="N798" s="10">
        <v>317913</v>
      </c>
      <c r="O798" s="10">
        <v>220436</v>
      </c>
      <c r="P798" s="10">
        <v>538349</v>
      </c>
    </row>
    <row r="799" spans="1:16" ht="27" customHeight="1" x14ac:dyDescent="0.2">
      <c r="A799" s="9" t="s">
        <v>1682</v>
      </c>
      <c r="B799" s="10" t="s">
        <v>2023</v>
      </c>
      <c r="C799" s="11" t="s">
        <v>2904</v>
      </c>
      <c r="D799" s="11" t="s">
        <v>2905</v>
      </c>
      <c r="E799" s="11" t="s">
        <v>57</v>
      </c>
      <c r="F799" s="11" t="s">
        <v>2906</v>
      </c>
      <c r="G799" s="11" t="s">
        <v>28</v>
      </c>
      <c r="H799" s="11" t="s">
        <v>2906</v>
      </c>
      <c r="I799" s="11" t="s">
        <v>2907</v>
      </c>
      <c r="J799" s="12">
        <v>0.17599999999999999</v>
      </c>
      <c r="K799" s="13">
        <v>1</v>
      </c>
      <c r="L799" s="14">
        <v>750</v>
      </c>
      <c r="M799" s="10">
        <v>132</v>
      </c>
      <c r="N799" s="10">
        <v>82876</v>
      </c>
      <c r="O799" s="10">
        <v>10351</v>
      </c>
      <c r="P799" s="10">
        <v>93227</v>
      </c>
    </row>
    <row r="800" spans="1:16" ht="27" customHeight="1" x14ac:dyDescent="0.2">
      <c r="A800" s="9" t="s">
        <v>1682</v>
      </c>
      <c r="B800" s="10" t="s">
        <v>2023</v>
      </c>
      <c r="C800" s="11" t="s">
        <v>2908</v>
      </c>
      <c r="D800" s="11" t="s">
        <v>2909</v>
      </c>
      <c r="E800" s="11" t="s">
        <v>57</v>
      </c>
      <c r="F800" s="11" t="s">
        <v>2910</v>
      </c>
      <c r="G800" s="11" t="s">
        <v>28</v>
      </c>
      <c r="H800" s="11" t="s">
        <v>2910</v>
      </c>
      <c r="I800" s="11" t="s">
        <v>2911</v>
      </c>
      <c r="J800" s="12">
        <v>0.127</v>
      </c>
      <c r="K800" s="13">
        <v>1</v>
      </c>
      <c r="L800" s="14">
        <v>638</v>
      </c>
      <c r="M800" s="10">
        <v>81</v>
      </c>
      <c r="N800" s="10">
        <v>70500</v>
      </c>
      <c r="O800" s="10">
        <v>6352</v>
      </c>
      <c r="P800" s="10">
        <v>76852</v>
      </c>
    </row>
    <row r="801" spans="1:16" ht="27" customHeight="1" x14ac:dyDescent="0.2">
      <c r="A801" s="9" t="s">
        <v>1682</v>
      </c>
      <c r="B801" s="10" t="s">
        <v>2023</v>
      </c>
      <c r="C801" s="11" t="s">
        <v>2912</v>
      </c>
      <c r="D801" s="11" t="s">
        <v>2913</v>
      </c>
      <c r="E801" s="11" t="s">
        <v>57</v>
      </c>
      <c r="F801" s="11" t="s">
        <v>2914</v>
      </c>
      <c r="G801" s="11" t="s">
        <v>28</v>
      </c>
      <c r="H801" s="11" t="s">
        <v>2914</v>
      </c>
      <c r="I801" s="11" t="s">
        <v>2915</v>
      </c>
      <c r="J801" s="12">
        <v>0.3009</v>
      </c>
      <c r="K801" s="13">
        <v>1</v>
      </c>
      <c r="L801" s="14">
        <v>554</v>
      </c>
      <c r="M801" s="10">
        <v>167</v>
      </c>
      <c r="N801" s="10">
        <v>61218</v>
      </c>
      <c r="O801" s="10">
        <v>13096</v>
      </c>
      <c r="P801" s="10">
        <v>74314</v>
      </c>
    </row>
    <row r="802" spans="1:16" ht="27" customHeight="1" x14ac:dyDescent="0.2">
      <c r="A802" s="9" t="s">
        <v>1682</v>
      </c>
      <c r="B802" s="10" t="s">
        <v>2023</v>
      </c>
      <c r="C802" s="11" t="s">
        <v>2916</v>
      </c>
      <c r="D802" s="11" t="s">
        <v>2917</v>
      </c>
      <c r="E802" s="11" t="s">
        <v>57</v>
      </c>
      <c r="F802" s="11" t="s">
        <v>2918</v>
      </c>
      <c r="G802" s="11" t="s">
        <v>28</v>
      </c>
      <c r="H802" s="11" t="s">
        <v>2918</v>
      </c>
      <c r="I802" s="11" t="s">
        <v>2919</v>
      </c>
      <c r="J802" s="12">
        <v>0.30740000000000001</v>
      </c>
      <c r="K802" s="13">
        <v>1</v>
      </c>
      <c r="L802" s="14">
        <v>592</v>
      </c>
      <c r="M802" s="10">
        <v>182</v>
      </c>
      <c r="N802" s="10">
        <v>65417</v>
      </c>
      <c r="O802" s="10">
        <v>14272</v>
      </c>
      <c r="P802" s="10">
        <v>79689</v>
      </c>
    </row>
    <row r="803" spans="1:16" ht="27" customHeight="1" x14ac:dyDescent="0.2">
      <c r="A803" s="9" t="s">
        <v>1682</v>
      </c>
      <c r="B803" s="10" t="s">
        <v>2023</v>
      </c>
      <c r="C803" s="11" t="s">
        <v>2920</v>
      </c>
      <c r="D803" s="11" t="s">
        <v>2921</v>
      </c>
      <c r="E803" s="11" t="s">
        <v>57</v>
      </c>
      <c r="F803" s="11" t="s">
        <v>2922</v>
      </c>
      <c r="G803" s="11" t="s">
        <v>28</v>
      </c>
      <c r="H803" s="11" t="s">
        <v>2922</v>
      </c>
      <c r="I803" s="11" t="s">
        <v>2923</v>
      </c>
      <c r="J803" s="12">
        <v>0.24299999999999999</v>
      </c>
      <c r="K803" s="13">
        <v>1</v>
      </c>
      <c r="L803" s="14">
        <v>680</v>
      </c>
      <c r="M803" s="10">
        <v>165</v>
      </c>
      <c r="N803" s="10">
        <v>75141</v>
      </c>
      <c r="O803" s="10">
        <v>12939</v>
      </c>
      <c r="P803" s="10">
        <v>88080</v>
      </c>
    </row>
    <row r="804" spans="1:16" ht="27" customHeight="1" x14ac:dyDescent="0.2">
      <c r="A804" s="9" t="s">
        <v>1682</v>
      </c>
      <c r="B804" s="10" t="s">
        <v>2023</v>
      </c>
      <c r="C804" s="11" t="s">
        <v>2924</v>
      </c>
      <c r="D804" s="11" t="s">
        <v>2925</v>
      </c>
      <c r="E804" s="11" t="s">
        <v>57</v>
      </c>
      <c r="F804" s="11" t="s">
        <v>2926</v>
      </c>
      <c r="G804" s="11" t="s">
        <v>28</v>
      </c>
      <c r="H804" s="11" t="s">
        <v>1685</v>
      </c>
      <c r="I804" s="11" t="s">
        <v>1686</v>
      </c>
      <c r="J804" s="12">
        <v>1</v>
      </c>
      <c r="K804" s="13">
        <v>1</v>
      </c>
      <c r="L804" s="14">
        <v>492</v>
      </c>
      <c r="M804" s="10">
        <v>250</v>
      </c>
      <c r="N804" s="10">
        <v>54367</v>
      </c>
      <c r="O804" s="10">
        <v>19605</v>
      </c>
      <c r="P804" s="10">
        <v>73972</v>
      </c>
    </row>
    <row r="805" spans="1:16" ht="27" customHeight="1" x14ac:dyDescent="0.2">
      <c r="A805" s="9" t="s">
        <v>1682</v>
      </c>
      <c r="B805" s="10" t="s">
        <v>2023</v>
      </c>
      <c r="C805" s="11" t="s">
        <v>2927</v>
      </c>
      <c r="D805" s="11" t="s">
        <v>2928</v>
      </c>
      <c r="E805" s="11" t="s">
        <v>57</v>
      </c>
      <c r="F805" s="11" t="s">
        <v>2929</v>
      </c>
      <c r="G805" s="11" t="s">
        <v>28</v>
      </c>
      <c r="H805" s="11" t="s">
        <v>1685</v>
      </c>
      <c r="I805" s="11" t="s">
        <v>1686</v>
      </c>
      <c r="J805" s="12">
        <v>1</v>
      </c>
      <c r="K805" s="13">
        <v>1</v>
      </c>
      <c r="L805" s="14">
        <v>1329</v>
      </c>
      <c r="M805" s="10">
        <v>596</v>
      </c>
      <c r="N805" s="10">
        <v>146857</v>
      </c>
      <c r="O805" s="10">
        <v>46738</v>
      </c>
      <c r="P805" s="10">
        <v>193595</v>
      </c>
    </row>
    <row r="806" spans="1:16" ht="27" customHeight="1" x14ac:dyDescent="0.2">
      <c r="A806" s="9" t="s">
        <v>1682</v>
      </c>
      <c r="B806" s="10" t="s">
        <v>2023</v>
      </c>
      <c r="C806" s="11" t="s">
        <v>2930</v>
      </c>
      <c r="D806" s="11" t="s">
        <v>2931</v>
      </c>
      <c r="E806" s="11" t="s">
        <v>57</v>
      </c>
      <c r="F806" s="11" t="s">
        <v>2932</v>
      </c>
      <c r="G806" s="11" t="s">
        <v>28</v>
      </c>
      <c r="H806" s="11" t="s">
        <v>1685</v>
      </c>
      <c r="I806" s="11" t="s">
        <v>1686</v>
      </c>
      <c r="J806" s="12">
        <v>1</v>
      </c>
      <c r="K806" s="13">
        <v>1</v>
      </c>
      <c r="L806" s="14">
        <v>1718</v>
      </c>
      <c r="M806" s="10">
        <v>430</v>
      </c>
      <c r="N806" s="10">
        <v>189842</v>
      </c>
      <c r="O806" s="10">
        <v>33720</v>
      </c>
      <c r="P806" s="10">
        <v>223562</v>
      </c>
    </row>
    <row r="807" spans="1:16" ht="27" customHeight="1" x14ac:dyDescent="0.2">
      <c r="A807" s="9" t="s">
        <v>1682</v>
      </c>
      <c r="B807" s="10" t="s">
        <v>2023</v>
      </c>
      <c r="C807" s="11" t="s">
        <v>2933</v>
      </c>
      <c r="D807" s="11" t="s">
        <v>2934</v>
      </c>
      <c r="E807" s="11" t="s">
        <v>57</v>
      </c>
      <c r="F807" s="11" t="s">
        <v>2935</v>
      </c>
      <c r="G807" s="11" t="s">
        <v>28</v>
      </c>
      <c r="H807" s="11" t="s">
        <v>1685</v>
      </c>
      <c r="I807" s="11" t="s">
        <v>1686</v>
      </c>
      <c r="J807" s="12">
        <v>1</v>
      </c>
      <c r="K807" s="13">
        <v>1</v>
      </c>
      <c r="L807" s="14">
        <v>1887</v>
      </c>
      <c r="M807" s="10">
        <v>693</v>
      </c>
      <c r="N807" s="10">
        <v>208517</v>
      </c>
      <c r="O807" s="10">
        <v>54344</v>
      </c>
      <c r="P807" s="10">
        <v>262861</v>
      </c>
    </row>
    <row r="808" spans="1:16" ht="27" customHeight="1" x14ac:dyDescent="0.2">
      <c r="A808" s="9" t="s">
        <v>1682</v>
      </c>
      <c r="B808" s="10" t="s">
        <v>2023</v>
      </c>
      <c r="C808" s="11" t="s">
        <v>2936</v>
      </c>
      <c r="D808" s="11" t="s">
        <v>2937</v>
      </c>
      <c r="E808" s="11" t="s">
        <v>57</v>
      </c>
      <c r="F808" s="11" t="s">
        <v>2938</v>
      </c>
      <c r="G808" s="11" t="s">
        <v>28</v>
      </c>
      <c r="H808" s="11" t="s">
        <v>1685</v>
      </c>
      <c r="I808" s="11" t="s">
        <v>1686</v>
      </c>
      <c r="J808" s="12">
        <v>1</v>
      </c>
      <c r="K808" s="13">
        <v>1</v>
      </c>
      <c r="L808" s="14">
        <v>1940</v>
      </c>
      <c r="M808" s="10">
        <v>947</v>
      </c>
      <c r="N808" s="10">
        <v>214373</v>
      </c>
      <c r="O808" s="10">
        <v>74263</v>
      </c>
      <c r="P808" s="10">
        <v>288636</v>
      </c>
    </row>
    <row r="809" spans="1:16" ht="27" customHeight="1" x14ac:dyDescent="0.2">
      <c r="A809" s="9" t="s">
        <v>1682</v>
      </c>
      <c r="B809" s="10" t="s">
        <v>2023</v>
      </c>
      <c r="C809" s="11" t="s">
        <v>2939</v>
      </c>
      <c r="D809" s="11" t="s">
        <v>2940</v>
      </c>
      <c r="E809" s="11" t="s">
        <v>57</v>
      </c>
      <c r="F809" s="11" t="s">
        <v>2941</v>
      </c>
      <c r="G809" s="11" t="s">
        <v>28</v>
      </c>
      <c r="H809" s="11" t="s">
        <v>1685</v>
      </c>
      <c r="I809" s="11" t="s">
        <v>1686</v>
      </c>
      <c r="J809" s="12">
        <v>1</v>
      </c>
      <c r="K809" s="13">
        <v>1</v>
      </c>
      <c r="L809" s="14">
        <v>1441</v>
      </c>
      <c r="M809" s="10">
        <v>732</v>
      </c>
      <c r="N809" s="10">
        <v>159233</v>
      </c>
      <c r="O809" s="10">
        <v>57403</v>
      </c>
      <c r="P809" s="10">
        <v>216636</v>
      </c>
    </row>
    <row r="810" spans="1:16" ht="27" customHeight="1" x14ac:dyDescent="0.2">
      <c r="A810" s="9" t="s">
        <v>1682</v>
      </c>
      <c r="B810" s="10" t="s">
        <v>2023</v>
      </c>
      <c r="C810" s="11" t="s">
        <v>2942</v>
      </c>
      <c r="D810" s="11" t="s">
        <v>2943</v>
      </c>
      <c r="E810" s="11" t="s">
        <v>57</v>
      </c>
      <c r="F810" s="11" t="s">
        <v>2944</v>
      </c>
      <c r="G810" s="11" t="s">
        <v>28</v>
      </c>
      <c r="H810" s="11" t="s">
        <v>2944</v>
      </c>
      <c r="I810" s="11" t="s">
        <v>2945</v>
      </c>
      <c r="J810" s="12">
        <v>0.19769999999999999</v>
      </c>
      <c r="K810" s="13">
        <v>1</v>
      </c>
      <c r="L810" s="14">
        <v>597</v>
      </c>
      <c r="M810" s="10">
        <v>118</v>
      </c>
      <c r="N810" s="10">
        <v>65969</v>
      </c>
      <c r="O810" s="10">
        <v>9253</v>
      </c>
      <c r="P810" s="10">
        <v>75222</v>
      </c>
    </row>
    <row r="811" spans="1:16" ht="27" customHeight="1" x14ac:dyDescent="0.2">
      <c r="A811" s="9" t="s">
        <v>1682</v>
      </c>
      <c r="B811" s="10" t="s">
        <v>2023</v>
      </c>
      <c r="C811" s="11" t="s">
        <v>2946</v>
      </c>
      <c r="D811" s="11" t="s">
        <v>2947</v>
      </c>
      <c r="E811" s="11" t="s">
        <v>57</v>
      </c>
      <c r="F811" s="11" t="s">
        <v>2948</v>
      </c>
      <c r="G811" s="11" t="s">
        <v>28</v>
      </c>
      <c r="H811" s="11" t="s">
        <v>2948</v>
      </c>
      <c r="I811" s="11" t="s">
        <v>2949</v>
      </c>
      <c r="J811" s="12">
        <v>0.21149999999999999</v>
      </c>
      <c r="K811" s="13">
        <v>1</v>
      </c>
      <c r="L811" s="14">
        <v>435</v>
      </c>
      <c r="M811" s="10">
        <v>92</v>
      </c>
      <c r="N811" s="10">
        <v>48068</v>
      </c>
      <c r="O811" s="10">
        <v>7215</v>
      </c>
      <c r="P811" s="10">
        <v>55283</v>
      </c>
    </row>
    <row r="812" spans="1:16" ht="27" customHeight="1" x14ac:dyDescent="0.2">
      <c r="A812" s="9" t="s">
        <v>1682</v>
      </c>
      <c r="B812" s="10" t="s">
        <v>2023</v>
      </c>
      <c r="C812" s="11" t="s">
        <v>2950</v>
      </c>
      <c r="D812" s="11" t="s">
        <v>2951</v>
      </c>
      <c r="E812" s="11" t="s">
        <v>57</v>
      </c>
      <c r="F812" s="11" t="s">
        <v>2952</v>
      </c>
      <c r="G812" s="11" t="s">
        <v>28</v>
      </c>
      <c r="H812" s="11" t="s">
        <v>2952</v>
      </c>
      <c r="I812" s="11" t="s">
        <v>2953</v>
      </c>
      <c r="J812" s="12">
        <v>0.1285</v>
      </c>
      <c r="K812" s="13">
        <v>1</v>
      </c>
      <c r="L812" s="14">
        <v>397</v>
      </c>
      <c r="M812" s="10">
        <v>51</v>
      </c>
      <c r="N812" s="10">
        <v>43869</v>
      </c>
      <c r="O812" s="10">
        <v>3999</v>
      </c>
      <c r="P812" s="10">
        <v>47868</v>
      </c>
    </row>
    <row r="813" spans="1:16" ht="27" customHeight="1" x14ac:dyDescent="0.2">
      <c r="A813" s="9" t="s">
        <v>1682</v>
      </c>
      <c r="B813" s="10" t="s">
        <v>2023</v>
      </c>
      <c r="C813" s="11" t="s">
        <v>2954</v>
      </c>
      <c r="D813" s="11" t="s">
        <v>2955</v>
      </c>
      <c r="E813" s="11" t="s">
        <v>26</v>
      </c>
      <c r="F813" s="11" t="s">
        <v>2956</v>
      </c>
      <c r="G813" s="11" t="s">
        <v>28</v>
      </c>
      <c r="H813" s="11" t="s">
        <v>2956</v>
      </c>
      <c r="I813" s="11" t="s">
        <v>2957</v>
      </c>
      <c r="J813" s="12">
        <v>0.83830000000000005</v>
      </c>
      <c r="K813" s="13">
        <v>1</v>
      </c>
      <c r="L813" s="14">
        <v>773</v>
      </c>
      <c r="M813" s="10">
        <v>648</v>
      </c>
      <c r="N813" s="10">
        <v>85418</v>
      </c>
      <c r="O813" s="10">
        <v>50815</v>
      </c>
      <c r="P813" s="10">
        <v>136233</v>
      </c>
    </row>
    <row r="814" spans="1:16" ht="27" customHeight="1" x14ac:dyDescent="0.2">
      <c r="A814" s="9" t="s">
        <v>1682</v>
      </c>
      <c r="B814" s="10" t="s">
        <v>2023</v>
      </c>
      <c r="C814" s="11" t="s">
        <v>2958</v>
      </c>
      <c r="D814" s="11" t="s">
        <v>2959</v>
      </c>
      <c r="E814" s="11" t="s">
        <v>26</v>
      </c>
      <c r="F814" s="11" t="s">
        <v>2960</v>
      </c>
      <c r="G814" s="11" t="s">
        <v>28</v>
      </c>
      <c r="H814" s="11" t="s">
        <v>2960</v>
      </c>
      <c r="I814" s="11" t="s">
        <v>2961</v>
      </c>
      <c r="J814" s="12">
        <v>0.9829</v>
      </c>
      <c r="K814" s="13">
        <v>1</v>
      </c>
      <c r="L814" s="14">
        <v>350</v>
      </c>
      <c r="M814" s="10">
        <v>344</v>
      </c>
      <c r="N814" s="10">
        <v>38676</v>
      </c>
      <c r="O814" s="10">
        <v>26976</v>
      </c>
      <c r="P814" s="10">
        <v>65652</v>
      </c>
    </row>
    <row r="815" spans="1:16" ht="27" customHeight="1" x14ac:dyDescent="0.2">
      <c r="A815" s="9" t="s">
        <v>1682</v>
      </c>
      <c r="B815" s="10" t="s">
        <v>2023</v>
      </c>
      <c r="C815" s="11" t="s">
        <v>2962</v>
      </c>
      <c r="D815" s="11" t="s">
        <v>2963</v>
      </c>
      <c r="E815" s="11" t="s">
        <v>26</v>
      </c>
      <c r="F815" s="11" t="s">
        <v>2964</v>
      </c>
      <c r="G815" s="11" t="s">
        <v>28</v>
      </c>
      <c r="H815" s="11" t="s">
        <v>2964</v>
      </c>
      <c r="I815" s="11" t="s">
        <v>2965</v>
      </c>
      <c r="J815" s="12">
        <v>0.89410000000000001</v>
      </c>
      <c r="K815" s="13">
        <v>1</v>
      </c>
      <c r="L815" s="14">
        <v>784</v>
      </c>
      <c r="M815" s="10">
        <v>701</v>
      </c>
      <c r="N815" s="10">
        <v>86633</v>
      </c>
      <c r="O815" s="10">
        <v>54972</v>
      </c>
      <c r="P815" s="10">
        <v>141605</v>
      </c>
    </row>
    <row r="816" spans="1:16" ht="27" customHeight="1" x14ac:dyDescent="0.2">
      <c r="A816" s="9" t="s">
        <v>1682</v>
      </c>
      <c r="B816" s="10" t="s">
        <v>2023</v>
      </c>
      <c r="C816" s="11" t="s">
        <v>2966</v>
      </c>
      <c r="D816" s="11" t="s">
        <v>2967</v>
      </c>
      <c r="E816" s="11" t="s">
        <v>26</v>
      </c>
      <c r="F816" s="11" t="s">
        <v>2968</v>
      </c>
      <c r="G816" s="11" t="s">
        <v>28</v>
      </c>
      <c r="H816" s="11" t="s">
        <v>2968</v>
      </c>
      <c r="I816" s="11" t="s">
        <v>2969</v>
      </c>
      <c r="J816" s="12">
        <v>0.97660000000000002</v>
      </c>
      <c r="K816" s="13">
        <v>1</v>
      </c>
      <c r="L816" s="14">
        <v>427</v>
      </c>
      <c r="M816" s="10">
        <v>417</v>
      </c>
      <c r="N816" s="10">
        <v>47184</v>
      </c>
      <c r="O816" s="10">
        <v>32701</v>
      </c>
      <c r="P816" s="10">
        <v>79885</v>
      </c>
    </row>
    <row r="817" spans="1:16" ht="27" customHeight="1" x14ac:dyDescent="0.2">
      <c r="A817" s="9" t="s">
        <v>1682</v>
      </c>
      <c r="B817" s="10" t="s">
        <v>2023</v>
      </c>
      <c r="C817" s="11" t="s">
        <v>2970</v>
      </c>
      <c r="D817" s="11" t="s">
        <v>2971</v>
      </c>
      <c r="E817" s="11" t="s">
        <v>26</v>
      </c>
      <c r="F817" s="11" t="s">
        <v>2972</v>
      </c>
      <c r="G817" s="11" t="s">
        <v>28</v>
      </c>
      <c r="H817" s="11" t="s">
        <v>2972</v>
      </c>
      <c r="I817" s="11" t="s">
        <v>2973</v>
      </c>
      <c r="J817" s="12">
        <v>0.99170000000000003</v>
      </c>
      <c r="K817" s="13">
        <v>1</v>
      </c>
      <c r="L817" s="14">
        <v>602</v>
      </c>
      <c r="M817" s="10">
        <v>597</v>
      </c>
      <c r="N817" s="10">
        <v>66522</v>
      </c>
      <c r="O817" s="10">
        <v>46816</v>
      </c>
      <c r="P817" s="10">
        <v>113338</v>
      </c>
    </row>
    <row r="818" spans="1:16" ht="27" customHeight="1" x14ac:dyDescent="0.2">
      <c r="A818" s="9" t="s">
        <v>1682</v>
      </c>
      <c r="B818" s="10" t="s">
        <v>2023</v>
      </c>
      <c r="C818" s="11" t="s">
        <v>2974</v>
      </c>
      <c r="D818" s="11" t="s">
        <v>2975</v>
      </c>
      <c r="E818" s="11" t="s">
        <v>26</v>
      </c>
      <c r="F818" s="11" t="s">
        <v>2976</v>
      </c>
      <c r="G818" s="11" t="s">
        <v>28</v>
      </c>
      <c r="H818" s="11" t="s">
        <v>2976</v>
      </c>
      <c r="I818" s="11" t="s">
        <v>2977</v>
      </c>
      <c r="J818" s="12">
        <v>0.58440000000000003</v>
      </c>
      <c r="K818" s="13">
        <v>1</v>
      </c>
      <c r="L818" s="14">
        <v>474</v>
      </c>
      <c r="M818" s="10">
        <v>277</v>
      </c>
      <c r="N818" s="10">
        <v>52378</v>
      </c>
      <c r="O818" s="10">
        <v>21722</v>
      </c>
      <c r="P818" s="10">
        <v>74100</v>
      </c>
    </row>
    <row r="819" spans="1:16" ht="27" customHeight="1" x14ac:dyDescent="0.2">
      <c r="A819" s="9" t="s">
        <v>1682</v>
      </c>
      <c r="B819" s="10" t="s">
        <v>2023</v>
      </c>
      <c r="C819" s="11" t="s">
        <v>2978</v>
      </c>
      <c r="D819" s="11" t="s">
        <v>2979</v>
      </c>
      <c r="E819" s="11" t="s">
        <v>26</v>
      </c>
      <c r="F819" s="11" t="s">
        <v>2980</v>
      </c>
      <c r="G819" s="11" t="s">
        <v>28</v>
      </c>
      <c r="H819" s="11" t="s">
        <v>2980</v>
      </c>
      <c r="I819" s="11" t="s">
        <v>2981</v>
      </c>
      <c r="J819" s="12">
        <v>0.22270000000000001</v>
      </c>
      <c r="K819" s="13">
        <v>1</v>
      </c>
      <c r="L819" s="14">
        <v>741</v>
      </c>
      <c r="M819" s="10">
        <v>165</v>
      </c>
      <c r="N819" s="10">
        <v>81882</v>
      </c>
      <c r="O819" s="10">
        <v>12939</v>
      </c>
      <c r="P819" s="10">
        <v>94821</v>
      </c>
    </row>
    <row r="820" spans="1:16" ht="27" customHeight="1" x14ac:dyDescent="0.2">
      <c r="A820" s="9" t="s">
        <v>1682</v>
      </c>
      <c r="B820" s="10" t="s">
        <v>2023</v>
      </c>
      <c r="C820" s="11" t="s">
        <v>2982</v>
      </c>
      <c r="D820" s="11" t="s">
        <v>2983</v>
      </c>
      <c r="E820" s="11" t="s">
        <v>26</v>
      </c>
      <c r="F820" s="11" t="s">
        <v>2984</v>
      </c>
      <c r="G820" s="11" t="s">
        <v>28</v>
      </c>
      <c r="H820" s="11" t="s">
        <v>2984</v>
      </c>
      <c r="I820" s="11" t="s">
        <v>2985</v>
      </c>
      <c r="J820" s="12">
        <v>0.6865</v>
      </c>
      <c r="K820" s="13">
        <v>1</v>
      </c>
      <c r="L820" s="14">
        <v>437</v>
      </c>
      <c r="M820" s="10">
        <v>300</v>
      </c>
      <c r="N820" s="10">
        <v>48289</v>
      </c>
      <c r="O820" s="10">
        <v>23526</v>
      </c>
      <c r="P820" s="10">
        <v>71815</v>
      </c>
    </row>
    <row r="821" spans="1:16" ht="27" customHeight="1" x14ac:dyDescent="0.2">
      <c r="A821" s="9" t="s">
        <v>1682</v>
      </c>
      <c r="B821" s="10" t="s">
        <v>2023</v>
      </c>
      <c r="C821" s="11" t="s">
        <v>2986</v>
      </c>
      <c r="D821" s="11" t="s">
        <v>2987</v>
      </c>
      <c r="E821" s="11" t="s">
        <v>26</v>
      </c>
      <c r="F821" s="11" t="s">
        <v>2988</v>
      </c>
      <c r="G821" s="11" t="s">
        <v>28</v>
      </c>
      <c r="H821" s="11" t="s">
        <v>2988</v>
      </c>
      <c r="I821" s="11" t="s">
        <v>2989</v>
      </c>
      <c r="J821" s="12">
        <v>0.81140000000000001</v>
      </c>
      <c r="K821" s="13">
        <v>1</v>
      </c>
      <c r="L821" s="14">
        <v>297</v>
      </c>
      <c r="M821" s="10">
        <v>241</v>
      </c>
      <c r="N821" s="10">
        <v>32819</v>
      </c>
      <c r="O821" s="10">
        <v>18899</v>
      </c>
      <c r="P821" s="10">
        <v>51718</v>
      </c>
    </row>
    <row r="822" spans="1:16" ht="27" customHeight="1" x14ac:dyDescent="0.2">
      <c r="A822" s="9" t="s">
        <v>1682</v>
      </c>
      <c r="B822" s="10" t="s">
        <v>2023</v>
      </c>
      <c r="C822" s="11" t="s">
        <v>2990</v>
      </c>
      <c r="D822" s="11" t="s">
        <v>2991</v>
      </c>
      <c r="E822" s="11" t="s">
        <v>26</v>
      </c>
      <c r="F822" s="11" t="s">
        <v>2992</v>
      </c>
      <c r="G822" s="11" t="s">
        <v>28</v>
      </c>
      <c r="H822" s="11" t="s">
        <v>2992</v>
      </c>
      <c r="I822" s="11" t="s">
        <v>2993</v>
      </c>
      <c r="J822" s="12">
        <v>0.86499999999999999</v>
      </c>
      <c r="K822" s="13">
        <v>1</v>
      </c>
      <c r="L822" s="14">
        <v>274</v>
      </c>
      <c r="M822" s="10">
        <v>237</v>
      </c>
      <c r="N822" s="10">
        <v>30277</v>
      </c>
      <c r="O822" s="10">
        <v>18585</v>
      </c>
      <c r="P822" s="10">
        <v>48862</v>
      </c>
    </row>
    <row r="823" spans="1:16" ht="27" customHeight="1" x14ac:dyDescent="0.2">
      <c r="A823" s="9" t="s">
        <v>1682</v>
      </c>
      <c r="B823" s="10" t="s">
        <v>2023</v>
      </c>
      <c r="C823" s="11" t="s">
        <v>2994</v>
      </c>
      <c r="D823" s="11" t="s">
        <v>2995</v>
      </c>
      <c r="E823" s="11" t="s">
        <v>26</v>
      </c>
      <c r="F823" s="11" t="s">
        <v>2996</v>
      </c>
      <c r="G823" s="11" t="s">
        <v>28</v>
      </c>
      <c r="H823" s="11" t="s">
        <v>1685</v>
      </c>
      <c r="I823" s="11" t="s">
        <v>1686</v>
      </c>
      <c r="J823" s="12">
        <v>1</v>
      </c>
      <c r="K823" s="13">
        <v>1</v>
      </c>
      <c r="L823" s="14">
        <v>271</v>
      </c>
      <c r="M823" s="10">
        <v>265</v>
      </c>
      <c r="N823" s="10">
        <v>29946</v>
      </c>
      <c r="O823" s="10">
        <v>20781</v>
      </c>
      <c r="P823" s="10">
        <v>50727</v>
      </c>
    </row>
    <row r="824" spans="1:16" ht="27" customHeight="1" x14ac:dyDescent="0.2">
      <c r="A824" s="9" t="s">
        <v>1682</v>
      </c>
      <c r="B824" s="10" t="s">
        <v>2997</v>
      </c>
      <c r="C824" s="11" t="s">
        <v>18</v>
      </c>
      <c r="D824" s="11" t="s">
        <v>19</v>
      </c>
      <c r="E824" s="11" t="s">
        <v>19</v>
      </c>
      <c r="F824" s="11" t="s">
        <v>2998</v>
      </c>
      <c r="G824" s="11" t="s">
        <v>83</v>
      </c>
      <c r="H824" s="11" t="s">
        <v>2999</v>
      </c>
      <c r="I824" s="11" t="s">
        <v>3000</v>
      </c>
      <c r="J824" s="12">
        <v>0.83179999999999998</v>
      </c>
      <c r="K824" s="13">
        <v>5</v>
      </c>
      <c r="L824" s="14">
        <v>1269</v>
      </c>
      <c r="M824" s="10">
        <v>984</v>
      </c>
      <c r="N824" s="10">
        <v>140227</v>
      </c>
      <c r="O824" s="10">
        <v>77164</v>
      </c>
      <c r="P824" s="10">
        <v>217391</v>
      </c>
    </row>
    <row r="825" spans="1:16" ht="27" customHeight="1" x14ac:dyDescent="0.2">
      <c r="A825" s="9" t="s">
        <v>1682</v>
      </c>
      <c r="B825" s="10" t="s">
        <v>3001</v>
      </c>
      <c r="C825" s="11" t="s">
        <v>18</v>
      </c>
      <c r="D825" s="11" t="s">
        <v>19</v>
      </c>
      <c r="E825" s="11" t="s">
        <v>19</v>
      </c>
      <c r="F825" s="11" t="s">
        <v>3002</v>
      </c>
      <c r="G825" s="11" t="s">
        <v>83</v>
      </c>
      <c r="H825" s="11" t="s">
        <v>3003</v>
      </c>
      <c r="I825" s="11" t="s">
        <v>3004</v>
      </c>
      <c r="J825" s="12">
        <v>0.96389999999999998</v>
      </c>
      <c r="K825" s="13">
        <v>19</v>
      </c>
      <c r="L825" s="14">
        <v>12276</v>
      </c>
      <c r="M825" s="10">
        <v>11412</v>
      </c>
      <c r="N825" s="10">
        <v>1356518</v>
      </c>
      <c r="O825" s="10">
        <v>894919</v>
      </c>
      <c r="P825" s="10">
        <v>2251437</v>
      </c>
    </row>
    <row r="826" spans="1:16" ht="27" customHeight="1" x14ac:dyDescent="0.2">
      <c r="A826" s="9" t="s">
        <v>1682</v>
      </c>
      <c r="B826" s="10" t="s">
        <v>3005</v>
      </c>
      <c r="C826" s="11" t="s">
        <v>18</v>
      </c>
      <c r="D826" s="11" t="s">
        <v>19</v>
      </c>
      <c r="E826" s="11" t="s">
        <v>19</v>
      </c>
      <c r="F826" s="11" t="s">
        <v>3006</v>
      </c>
      <c r="G826" s="11" t="s">
        <v>83</v>
      </c>
      <c r="H826" s="11" t="s">
        <v>3007</v>
      </c>
      <c r="I826" s="11" t="s">
        <v>3008</v>
      </c>
      <c r="J826" s="12">
        <v>0.56089999999999995</v>
      </c>
      <c r="K826" s="13">
        <v>12</v>
      </c>
      <c r="L826" s="14">
        <v>5202</v>
      </c>
      <c r="M826" s="10">
        <v>2555</v>
      </c>
      <c r="N826" s="10">
        <v>574830</v>
      </c>
      <c r="O826" s="10">
        <v>200360</v>
      </c>
      <c r="P826" s="10">
        <v>775190</v>
      </c>
    </row>
    <row r="827" spans="1:16" ht="27" customHeight="1" x14ac:dyDescent="0.2">
      <c r="A827" s="9" t="s">
        <v>1682</v>
      </c>
      <c r="B827" s="10" t="s">
        <v>3009</v>
      </c>
      <c r="C827" s="11" t="s">
        <v>18</v>
      </c>
      <c r="D827" s="11" t="s">
        <v>19</v>
      </c>
      <c r="E827" s="11" t="s">
        <v>19</v>
      </c>
      <c r="F827" s="11" t="s">
        <v>3010</v>
      </c>
      <c r="G827" s="11" t="s">
        <v>83</v>
      </c>
      <c r="H827" s="11" t="s">
        <v>3011</v>
      </c>
      <c r="I827" s="11" t="s">
        <v>3012</v>
      </c>
      <c r="J827" s="12">
        <v>0.86270000000000002</v>
      </c>
      <c r="K827" s="13">
        <v>30</v>
      </c>
      <c r="L827" s="14">
        <v>20559</v>
      </c>
      <c r="M827" s="10">
        <v>15087</v>
      </c>
      <c r="N827" s="10">
        <v>2271804</v>
      </c>
      <c r="O827" s="10">
        <v>1183107</v>
      </c>
      <c r="P827" s="10">
        <v>3454911</v>
      </c>
    </row>
    <row r="828" spans="1:16" ht="27" customHeight="1" x14ac:dyDescent="0.2">
      <c r="A828" s="9" t="s">
        <v>1682</v>
      </c>
      <c r="B828" s="10" t="s">
        <v>3013</v>
      </c>
      <c r="C828" s="11" t="s">
        <v>18</v>
      </c>
      <c r="D828" s="11" t="s">
        <v>19</v>
      </c>
      <c r="E828" s="11" t="s">
        <v>19</v>
      </c>
      <c r="F828" s="11" t="s">
        <v>3014</v>
      </c>
      <c r="G828" s="11" t="s">
        <v>83</v>
      </c>
      <c r="H828" s="11" t="s">
        <v>3015</v>
      </c>
      <c r="I828" s="11" t="s">
        <v>3016</v>
      </c>
      <c r="J828" s="12">
        <v>0.85189999999999999</v>
      </c>
      <c r="K828" s="13">
        <v>9</v>
      </c>
      <c r="L828" s="14">
        <v>5053</v>
      </c>
      <c r="M828" s="10">
        <v>4037</v>
      </c>
      <c r="N828" s="10">
        <v>558364</v>
      </c>
      <c r="O828" s="10">
        <v>316577</v>
      </c>
      <c r="P828" s="10">
        <v>874941</v>
      </c>
    </row>
    <row r="829" spans="1:16" ht="27" customHeight="1" x14ac:dyDescent="0.2">
      <c r="A829" s="9" t="s">
        <v>1682</v>
      </c>
      <c r="B829" s="10" t="s">
        <v>3017</v>
      </c>
      <c r="C829" s="11" t="s">
        <v>18</v>
      </c>
      <c r="D829" s="11" t="s">
        <v>19</v>
      </c>
      <c r="E829" s="11" t="s">
        <v>19</v>
      </c>
      <c r="F829" s="11" t="s">
        <v>3018</v>
      </c>
      <c r="G829" s="11" t="s">
        <v>83</v>
      </c>
      <c r="H829" s="11" t="s">
        <v>3019</v>
      </c>
      <c r="I829" s="11" t="s">
        <v>3020</v>
      </c>
      <c r="J829" s="12">
        <v>0.8619</v>
      </c>
      <c r="K829" s="13">
        <v>11</v>
      </c>
      <c r="L829" s="14">
        <v>6106</v>
      </c>
      <c r="M829" s="10">
        <v>2791</v>
      </c>
      <c r="N829" s="10">
        <v>674721</v>
      </c>
      <c r="O829" s="10">
        <v>218868</v>
      </c>
      <c r="P829" s="10">
        <v>893589</v>
      </c>
    </row>
    <row r="830" spans="1:16" ht="27" customHeight="1" x14ac:dyDescent="0.2">
      <c r="A830" s="9" t="s">
        <v>1682</v>
      </c>
      <c r="B830" s="10" t="s">
        <v>3021</v>
      </c>
      <c r="C830" s="11" t="s">
        <v>18</v>
      </c>
      <c r="D830" s="11" t="s">
        <v>19</v>
      </c>
      <c r="E830" s="11" t="s">
        <v>19</v>
      </c>
      <c r="F830" s="11" t="s">
        <v>3022</v>
      </c>
      <c r="G830" s="11" t="s">
        <v>83</v>
      </c>
      <c r="H830" s="11" t="s">
        <v>3023</v>
      </c>
      <c r="I830" s="11" t="s">
        <v>3024</v>
      </c>
      <c r="J830" s="12">
        <v>0.89529999999999998</v>
      </c>
      <c r="K830" s="13">
        <v>27</v>
      </c>
      <c r="L830" s="14">
        <v>15744</v>
      </c>
      <c r="M830" s="10">
        <v>10195</v>
      </c>
      <c r="N830" s="10">
        <v>1739736</v>
      </c>
      <c r="O830" s="10">
        <v>799481</v>
      </c>
      <c r="P830" s="10">
        <v>2539217</v>
      </c>
    </row>
    <row r="831" spans="1:16" ht="27" customHeight="1" x14ac:dyDescent="0.2">
      <c r="A831" s="9" t="s">
        <v>1682</v>
      </c>
      <c r="B831" s="10" t="s">
        <v>3025</v>
      </c>
      <c r="C831" s="11" t="s">
        <v>18</v>
      </c>
      <c r="D831" s="11" t="s">
        <v>19</v>
      </c>
      <c r="E831" s="11" t="s">
        <v>19</v>
      </c>
      <c r="F831" s="11" t="s">
        <v>3026</v>
      </c>
      <c r="G831" s="11" t="s">
        <v>83</v>
      </c>
      <c r="H831" s="11" t="s">
        <v>3027</v>
      </c>
      <c r="I831" s="11" t="s">
        <v>3028</v>
      </c>
      <c r="J831" s="12">
        <v>0.95830000000000004</v>
      </c>
      <c r="K831" s="13">
        <v>29</v>
      </c>
      <c r="L831" s="14">
        <v>17980</v>
      </c>
      <c r="M831" s="10">
        <v>15844</v>
      </c>
      <c r="N831" s="10">
        <v>1986821</v>
      </c>
      <c r="O831" s="10">
        <v>1242468</v>
      </c>
      <c r="P831" s="10">
        <v>3229289</v>
      </c>
    </row>
    <row r="832" spans="1:16" ht="27" customHeight="1" x14ac:dyDescent="0.2">
      <c r="A832" s="9" t="s">
        <v>1682</v>
      </c>
      <c r="B832" s="10" t="s">
        <v>3025</v>
      </c>
      <c r="C832" s="11" t="s">
        <v>3029</v>
      </c>
      <c r="D832" s="11" t="s">
        <v>3030</v>
      </c>
      <c r="E832" s="11" t="s">
        <v>26</v>
      </c>
      <c r="F832" s="11" t="s">
        <v>3031</v>
      </c>
      <c r="G832" s="11" t="s">
        <v>28</v>
      </c>
      <c r="H832" s="11" t="s">
        <v>3031</v>
      </c>
      <c r="I832" s="11" t="s">
        <v>3032</v>
      </c>
      <c r="J832" s="12">
        <v>0.83909999999999996</v>
      </c>
      <c r="K832" s="13">
        <v>1</v>
      </c>
      <c r="L832" s="14">
        <v>1013</v>
      </c>
      <c r="M832" s="10">
        <v>850</v>
      </c>
      <c r="N832" s="10">
        <v>111938</v>
      </c>
      <c r="O832" s="10">
        <v>66656</v>
      </c>
      <c r="P832" s="10">
        <v>178594</v>
      </c>
    </row>
    <row r="833" spans="1:16" ht="27" customHeight="1" x14ac:dyDescent="0.2">
      <c r="A833" s="9" t="s">
        <v>1682</v>
      </c>
      <c r="B833" s="10" t="s">
        <v>3025</v>
      </c>
      <c r="C833" s="11" t="s">
        <v>3033</v>
      </c>
      <c r="D833" s="11" t="s">
        <v>3034</v>
      </c>
      <c r="E833" s="11" t="s">
        <v>26</v>
      </c>
      <c r="F833" s="11" t="s">
        <v>3035</v>
      </c>
      <c r="G833" s="11" t="s">
        <v>28</v>
      </c>
      <c r="H833" s="11" t="s">
        <v>3035</v>
      </c>
      <c r="I833" s="11" t="s">
        <v>3036</v>
      </c>
      <c r="J833" s="12">
        <v>0.54649999999999999</v>
      </c>
      <c r="K833" s="13">
        <v>1</v>
      </c>
      <c r="L833" s="14">
        <v>2278</v>
      </c>
      <c r="M833" s="10">
        <v>1245</v>
      </c>
      <c r="N833" s="10">
        <v>251723</v>
      </c>
      <c r="O833" s="10">
        <v>97632</v>
      </c>
      <c r="P833" s="10">
        <v>349355</v>
      </c>
    </row>
    <row r="834" spans="1:16" ht="27" customHeight="1" x14ac:dyDescent="0.2">
      <c r="A834" s="9" t="s">
        <v>1682</v>
      </c>
      <c r="B834" s="10" t="s">
        <v>3025</v>
      </c>
      <c r="C834" s="11" t="s">
        <v>3037</v>
      </c>
      <c r="D834" s="11" t="s">
        <v>3038</v>
      </c>
      <c r="E834" s="11" t="s">
        <v>57</v>
      </c>
      <c r="F834" s="11" t="s">
        <v>3039</v>
      </c>
      <c r="G834" s="11" t="s">
        <v>28</v>
      </c>
      <c r="H834" s="11" t="s">
        <v>3039</v>
      </c>
      <c r="I834" s="11" t="s">
        <v>3040</v>
      </c>
      <c r="J834" s="12">
        <v>0.83360000000000001</v>
      </c>
      <c r="K834" s="13">
        <v>1</v>
      </c>
      <c r="L834" s="14">
        <v>535</v>
      </c>
      <c r="M834" s="10">
        <v>446</v>
      </c>
      <c r="N834" s="10">
        <v>59118</v>
      </c>
      <c r="O834" s="10">
        <v>34975</v>
      </c>
      <c r="P834" s="10">
        <v>94093</v>
      </c>
    </row>
    <row r="835" spans="1:16" ht="27" customHeight="1" x14ac:dyDescent="0.2">
      <c r="A835" s="9" t="s">
        <v>1682</v>
      </c>
      <c r="B835" s="10" t="s">
        <v>3041</v>
      </c>
      <c r="C835" s="11" t="s">
        <v>18</v>
      </c>
      <c r="D835" s="11" t="s">
        <v>19</v>
      </c>
      <c r="E835" s="11" t="s">
        <v>19</v>
      </c>
      <c r="F835" s="11" t="s">
        <v>3042</v>
      </c>
      <c r="G835" s="11" t="s">
        <v>83</v>
      </c>
      <c r="H835" s="11" t="s">
        <v>3043</v>
      </c>
      <c r="I835" s="11" t="s">
        <v>3044</v>
      </c>
      <c r="J835" s="12">
        <v>0.1348</v>
      </c>
      <c r="K835" s="13">
        <v>19</v>
      </c>
      <c r="L835" s="14">
        <v>10439</v>
      </c>
      <c r="M835" s="10">
        <v>868</v>
      </c>
      <c r="N835" s="10">
        <v>1153529</v>
      </c>
      <c r="O835" s="10">
        <v>68068</v>
      </c>
      <c r="P835" s="10">
        <v>1221597</v>
      </c>
    </row>
    <row r="836" spans="1:16" ht="27" customHeight="1" x14ac:dyDescent="0.2">
      <c r="A836" s="9" t="s">
        <v>1682</v>
      </c>
      <c r="B836" s="10" t="s">
        <v>3045</v>
      </c>
      <c r="C836" s="11" t="s">
        <v>18</v>
      </c>
      <c r="D836" s="11" t="s">
        <v>19</v>
      </c>
      <c r="E836" s="11" t="s">
        <v>19</v>
      </c>
      <c r="F836" s="11" t="s">
        <v>3046</v>
      </c>
      <c r="G836" s="11" t="s">
        <v>83</v>
      </c>
      <c r="H836" s="11" t="s">
        <v>3047</v>
      </c>
      <c r="I836" s="11" t="s">
        <v>3048</v>
      </c>
      <c r="J836" s="12">
        <v>0.95930000000000004</v>
      </c>
      <c r="K836" s="13">
        <v>21</v>
      </c>
      <c r="L836" s="14">
        <v>13028</v>
      </c>
      <c r="M836" s="10">
        <v>12140</v>
      </c>
      <c r="N836" s="10">
        <v>1439618</v>
      </c>
      <c r="O836" s="10">
        <v>952009</v>
      </c>
      <c r="P836" s="10">
        <v>2391627</v>
      </c>
    </row>
    <row r="837" spans="1:16" ht="27" customHeight="1" x14ac:dyDescent="0.2">
      <c r="A837" s="9" t="s">
        <v>1682</v>
      </c>
      <c r="B837" s="10" t="s">
        <v>3049</v>
      </c>
      <c r="C837" s="11" t="s">
        <v>18</v>
      </c>
      <c r="D837" s="11" t="s">
        <v>19</v>
      </c>
      <c r="E837" s="11" t="s">
        <v>19</v>
      </c>
      <c r="F837" s="11" t="s">
        <v>3050</v>
      </c>
      <c r="G837" s="11" t="s">
        <v>83</v>
      </c>
      <c r="H837" s="11" t="s">
        <v>3051</v>
      </c>
      <c r="I837" s="11" t="s">
        <v>3052</v>
      </c>
      <c r="J837" s="12">
        <v>0.89859999999999995</v>
      </c>
      <c r="K837" s="13">
        <v>24</v>
      </c>
      <c r="L837" s="14">
        <v>14550</v>
      </c>
      <c r="M837" s="10">
        <v>10300</v>
      </c>
      <c r="N837" s="10">
        <v>1607800</v>
      </c>
      <c r="O837" s="10">
        <v>807715</v>
      </c>
      <c r="P837" s="10">
        <v>2415515</v>
      </c>
    </row>
    <row r="838" spans="1:16" ht="27" customHeight="1" x14ac:dyDescent="0.2">
      <c r="A838" s="9" t="s">
        <v>1682</v>
      </c>
      <c r="B838" s="10" t="s">
        <v>3049</v>
      </c>
      <c r="C838" s="11" t="s">
        <v>3053</v>
      </c>
      <c r="D838" s="11" t="s">
        <v>3054</v>
      </c>
      <c r="E838" s="11" t="s">
        <v>26</v>
      </c>
      <c r="F838" s="11" t="s">
        <v>3055</v>
      </c>
      <c r="G838" s="11" t="s">
        <v>28</v>
      </c>
      <c r="H838" s="11" t="s">
        <v>3055</v>
      </c>
      <c r="I838" s="11" t="s">
        <v>3056</v>
      </c>
      <c r="J838" s="12">
        <v>0.27929999999999999</v>
      </c>
      <c r="K838" s="13">
        <v>1</v>
      </c>
      <c r="L838" s="14">
        <v>222</v>
      </c>
      <c r="M838" s="10">
        <v>62</v>
      </c>
      <c r="N838" s="10">
        <v>24531</v>
      </c>
      <c r="O838" s="10">
        <v>4862</v>
      </c>
      <c r="P838" s="10">
        <v>29393</v>
      </c>
    </row>
    <row r="839" spans="1:16" ht="27" customHeight="1" x14ac:dyDescent="0.2">
      <c r="A839" s="9" t="s">
        <v>1682</v>
      </c>
      <c r="B839" s="10" t="s">
        <v>3049</v>
      </c>
      <c r="C839" s="11" t="s">
        <v>3057</v>
      </c>
      <c r="D839" s="11" t="s">
        <v>3058</v>
      </c>
      <c r="E839" s="11" t="s">
        <v>26</v>
      </c>
      <c r="F839" s="11" t="s">
        <v>3059</v>
      </c>
      <c r="G839" s="11" t="s">
        <v>28</v>
      </c>
      <c r="H839" s="11" t="s">
        <v>3059</v>
      </c>
      <c r="I839" s="11" t="s">
        <v>3060</v>
      </c>
      <c r="J839" s="12">
        <v>0.20749999999999999</v>
      </c>
      <c r="K839" s="13">
        <v>1</v>
      </c>
      <c r="L839" s="14">
        <v>347</v>
      </c>
      <c r="M839" s="10">
        <v>72</v>
      </c>
      <c r="N839" s="10">
        <v>38344</v>
      </c>
      <c r="O839" s="10">
        <v>5646</v>
      </c>
      <c r="P839" s="10">
        <v>43990</v>
      </c>
    </row>
    <row r="840" spans="1:16" ht="27" customHeight="1" x14ac:dyDescent="0.2">
      <c r="A840" s="9" t="s">
        <v>1682</v>
      </c>
      <c r="B840" s="10" t="s">
        <v>3049</v>
      </c>
      <c r="C840" s="11" t="s">
        <v>3061</v>
      </c>
      <c r="D840" s="11" t="s">
        <v>3062</v>
      </c>
      <c r="E840" s="11" t="s">
        <v>26</v>
      </c>
      <c r="F840" s="11" t="s">
        <v>3063</v>
      </c>
      <c r="G840" s="11" t="s">
        <v>28</v>
      </c>
      <c r="H840" s="11" t="s">
        <v>3063</v>
      </c>
      <c r="I840" s="11" t="s">
        <v>3064</v>
      </c>
      <c r="J840" s="12">
        <v>0.65129999999999999</v>
      </c>
      <c r="K840" s="13">
        <v>1</v>
      </c>
      <c r="L840" s="14">
        <v>152</v>
      </c>
      <c r="M840" s="10">
        <v>99</v>
      </c>
      <c r="N840" s="10">
        <v>16796</v>
      </c>
      <c r="O840" s="10">
        <v>7763</v>
      </c>
      <c r="P840" s="10">
        <v>24559</v>
      </c>
    </row>
    <row r="841" spans="1:16" ht="27" customHeight="1" x14ac:dyDescent="0.2">
      <c r="A841" s="9" t="s">
        <v>1682</v>
      </c>
      <c r="B841" s="10" t="s">
        <v>3049</v>
      </c>
      <c r="C841" s="11" t="s">
        <v>3065</v>
      </c>
      <c r="D841" s="11" t="s">
        <v>3066</v>
      </c>
      <c r="E841" s="11" t="s">
        <v>26</v>
      </c>
      <c r="F841" s="11" t="s">
        <v>3067</v>
      </c>
      <c r="G841" s="11" t="s">
        <v>28</v>
      </c>
      <c r="H841" s="11" t="s">
        <v>1685</v>
      </c>
      <c r="I841" s="11" t="s">
        <v>1686</v>
      </c>
      <c r="J841" s="12">
        <v>1</v>
      </c>
      <c r="K841" s="13">
        <v>1</v>
      </c>
      <c r="L841" s="14">
        <v>195</v>
      </c>
      <c r="M841" s="10">
        <v>175</v>
      </c>
      <c r="N841" s="10">
        <v>21548</v>
      </c>
      <c r="O841" s="10">
        <v>13723</v>
      </c>
      <c r="P841" s="10">
        <v>35271</v>
      </c>
    </row>
    <row r="842" spans="1:16" ht="27" customHeight="1" x14ac:dyDescent="0.2">
      <c r="A842" s="9" t="s">
        <v>1682</v>
      </c>
      <c r="B842" s="10" t="s">
        <v>3049</v>
      </c>
      <c r="C842" s="11" t="s">
        <v>3068</v>
      </c>
      <c r="D842" s="11" t="s">
        <v>3069</v>
      </c>
      <c r="E842" s="11" t="s">
        <v>26</v>
      </c>
      <c r="F842" s="11" t="s">
        <v>3070</v>
      </c>
      <c r="G842" s="11" t="s">
        <v>28</v>
      </c>
      <c r="H842" s="11" t="s">
        <v>3070</v>
      </c>
      <c r="I842" s="11" t="s">
        <v>3071</v>
      </c>
      <c r="J842" s="12">
        <v>0.28949999999999998</v>
      </c>
      <c r="K842" s="13">
        <v>1</v>
      </c>
      <c r="L842" s="14">
        <v>342</v>
      </c>
      <c r="M842" s="10">
        <v>99</v>
      </c>
      <c r="N842" s="10">
        <v>37792</v>
      </c>
      <c r="O842" s="10">
        <v>7763</v>
      </c>
      <c r="P842" s="10">
        <v>45555</v>
      </c>
    </row>
    <row r="843" spans="1:16" ht="27" customHeight="1" x14ac:dyDescent="0.2">
      <c r="A843" s="9" t="s">
        <v>1682</v>
      </c>
      <c r="B843" s="10" t="s">
        <v>3072</v>
      </c>
      <c r="C843" s="11" t="s">
        <v>18</v>
      </c>
      <c r="D843" s="11" t="s">
        <v>19</v>
      </c>
      <c r="E843" s="11" t="s">
        <v>19</v>
      </c>
      <c r="F843" s="11" t="s">
        <v>3073</v>
      </c>
      <c r="G843" s="11" t="s">
        <v>83</v>
      </c>
      <c r="H843" s="11" t="s">
        <v>3074</v>
      </c>
      <c r="I843" s="11" t="s">
        <v>3075</v>
      </c>
      <c r="J843" s="12">
        <v>0.98409999999999997</v>
      </c>
      <c r="K843" s="13">
        <v>36</v>
      </c>
      <c r="L843" s="14">
        <v>20105</v>
      </c>
      <c r="M843" s="10">
        <v>18230</v>
      </c>
      <c r="N843" s="10">
        <v>2221637</v>
      </c>
      <c r="O843" s="10">
        <v>1429579</v>
      </c>
      <c r="P843" s="10">
        <v>3651216</v>
      </c>
    </row>
    <row r="844" spans="1:16" ht="27" customHeight="1" x14ac:dyDescent="0.2">
      <c r="A844" s="9" t="s">
        <v>1682</v>
      </c>
      <c r="B844" s="10" t="s">
        <v>3072</v>
      </c>
      <c r="C844" s="11" t="s">
        <v>3076</v>
      </c>
      <c r="D844" s="11" t="s">
        <v>3077</v>
      </c>
      <c r="E844" s="11" t="s">
        <v>57</v>
      </c>
      <c r="F844" s="11" t="s">
        <v>3078</v>
      </c>
      <c r="G844" s="11" t="s">
        <v>28</v>
      </c>
      <c r="H844" s="11" t="s">
        <v>3078</v>
      </c>
      <c r="I844" s="11" t="s">
        <v>3079</v>
      </c>
      <c r="J844" s="12">
        <v>0.73509999999999998</v>
      </c>
      <c r="K844" s="13">
        <v>1</v>
      </c>
      <c r="L844" s="14">
        <v>970</v>
      </c>
      <c r="M844" s="10">
        <v>713</v>
      </c>
      <c r="N844" s="10">
        <v>107187</v>
      </c>
      <c r="O844" s="10">
        <v>55913</v>
      </c>
      <c r="P844" s="10">
        <v>163100</v>
      </c>
    </row>
    <row r="845" spans="1:16" ht="27" customHeight="1" x14ac:dyDescent="0.2">
      <c r="A845" s="9" t="s">
        <v>1682</v>
      </c>
      <c r="B845" s="10" t="s">
        <v>3072</v>
      </c>
      <c r="C845" s="11" t="s">
        <v>3080</v>
      </c>
      <c r="D845" s="11" t="s">
        <v>3081</v>
      </c>
      <c r="E845" s="11" t="s">
        <v>26</v>
      </c>
      <c r="F845" s="11" t="s">
        <v>3082</v>
      </c>
      <c r="G845" s="11" t="s">
        <v>28</v>
      </c>
      <c r="H845" s="11" t="s">
        <v>3082</v>
      </c>
      <c r="I845" s="11" t="s">
        <v>3083</v>
      </c>
      <c r="J845" s="12">
        <v>0.7571</v>
      </c>
      <c r="K845" s="13">
        <v>1</v>
      </c>
      <c r="L845" s="14">
        <v>667</v>
      </c>
      <c r="M845" s="10">
        <v>505</v>
      </c>
      <c r="N845" s="10">
        <v>73705</v>
      </c>
      <c r="O845" s="10">
        <v>39602</v>
      </c>
      <c r="P845" s="10">
        <v>113307</v>
      </c>
    </row>
    <row r="846" spans="1:16" ht="27" customHeight="1" x14ac:dyDescent="0.2">
      <c r="A846" s="9" t="s">
        <v>1682</v>
      </c>
      <c r="B846" s="10" t="s">
        <v>3072</v>
      </c>
      <c r="C846" s="11" t="s">
        <v>3084</v>
      </c>
      <c r="D846" s="11" t="s">
        <v>3085</v>
      </c>
      <c r="E846" s="11" t="s">
        <v>57</v>
      </c>
      <c r="F846" s="11" t="s">
        <v>3086</v>
      </c>
      <c r="G846" s="11" t="s">
        <v>28</v>
      </c>
      <c r="H846" s="11" t="s">
        <v>3086</v>
      </c>
      <c r="I846" s="11" t="s">
        <v>3087</v>
      </c>
      <c r="J846" s="12">
        <v>0.88629999999999998</v>
      </c>
      <c r="K846" s="13">
        <v>1</v>
      </c>
      <c r="L846" s="14">
        <v>344</v>
      </c>
      <c r="M846" s="10">
        <v>305</v>
      </c>
      <c r="N846" s="10">
        <v>38013</v>
      </c>
      <c r="O846" s="10">
        <v>23918</v>
      </c>
      <c r="P846" s="10">
        <v>61931</v>
      </c>
    </row>
    <row r="847" spans="1:16" ht="27" customHeight="1" x14ac:dyDescent="0.2">
      <c r="A847" s="9" t="s">
        <v>1682</v>
      </c>
      <c r="B847" s="10" t="s">
        <v>3088</v>
      </c>
      <c r="C847" s="11" t="s">
        <v>18</v>
      </c>
      <c r="D847" s="11" t="s">
        <v>19</v>
      </c>
      <c r="E847" s="11" t="s">
        <v>19</v>
      </c>
      <c r="F847" s="11" t="s">
        <v>3089</v>
      </c>
      <c r="G847" s="11" t="s">
        <v>83</v>
      </c>
      <c r="H847" s="11" t="s">
        <v>3090</v>
      </c>
      <c r="I847" s="11" t="s">
        <v>3091</v>
      </c>
      <c r="J847" s="12">
        <v>0.78180000000000005</v>
      </c>
      <c r="K847" s="13">
        <v>6</v>
      </c>
      <c r="L847" s="14">
        <v>2499</v>
      </c>
      <c r="M847" s="10">
        <v>1803</v>
      </c>
      <c r="N847" s="10">
        <v>276143</v>
      </c>
      <c r="O847" s="10">
        <v>141389</v>
      </c>
      <c r="P847" s="10">
        <v>417532</v>
      </c>
    </row>
    <row r="848" spans="1:16" ht="27" customHeight="1" x14ac:dyDescent="0.2">
      <c r="A848" s="9" t="s">
        <v>1682</v>
      </c>
      <c r="B848" s="10" t="s">
        <v>3092</v>
      </c>
      <c r="C848" s="11" t="s">
        <v>18</v>
      </c>
      <c r="D848" s="11" t="s">
        <v>19</v>
      </c>
      <c r="E848" s="11" t="s">
        <v>19</v>
      </c>
      <c r="F848" s="11" t="s">
        <v>3093</v>
      </c>
      <c r="G848" s="11" t="s">
        <v>83</v>
      </c>
      <c r="H848" s="11" t="s">
        <v>3094</v>
      </c>
      <c r="I848" s="11" t="s">
        <v>3095</v>
      </c>
      <c r="J848" s="12">
        <v>0.1061</v>
      </c>
      <c r="K848" s="13">
        <v>5</v>
      </c>
      <c r="L848" s="14">
        <v>2753</v>
      </c>
      <c r="M848" s="10">
        <v>263</v>
      </c>
      <c r="N848" s="10">
        <v>304212</v>
      </c>
      <c r="O848" s="10">
        <v>20623</v>
      </c>
      <c r="P848" s="10">
        <v>324835</v>
      </c>
    </row>
    <row r="849" spans="1:16" ht="27" customHeight="1" x14ac:dyDescent="0.2">
      <c r="A849" s="9" t="s">
        <v>1682</v>
      </c>
      <c r="B849" s="10" t="s">
        <v>3096</v>
      </c>
      <c r="C849" s="11" t="s">
        <v>18</v>
      </c>
      <c r="D849" s="11" t="s">
        <v>19</v>
      </c>
      <c r="E849" s="11" t="s">
        <v>19</v>
      </c>
      <c r="F849" s="11" t="s">
        <v>3097</v>
      </c>
      <c r="G849" s="11" t="s">
        <v>83</v>
      </c>
      <c r="H849" s="11" t="s">
        <v>3098</v>
      </c>
      <c r="I849" s="11" t="s">
        <v>3099</v>
      </c>
      <c r="J849" s="12">
        <v>0.34970000000000001</v>
      </c>
      <c r="K849" s="13">
        <v>18</v>
      </c>
      <c r="L849" s="14">
        <v>8954</v>
      </c>
      <c r="M849" s="10">
        <v>2324</v>
      </c>
      <c r="N849" s="10">
        <v>989433</v>
      </c>
      <c r="O849" s="10">
        <v>182246</v>
      </c>
      <c r="P849" s="10">
        <v>1171679</v>
      </c>
    </row>
    <row r="850" spans="1:16" ht="27" customHeight="1" x14ac:dyDescent="0.2">
      <c r="A850" s="9" t="s">
        <v>1682</v>
      </c>
      <c r="B850" s="10" t="s">
        <v>3100</v>
      </c>
      <c r="C850" s="11" t="s">
        <v>18</v>
      </c>
      <c r="D850" s="11" t="s">
        <v>19</v>
      </c>
      <c r="E850" s="11" t="s">
        <v>19</v>
      </c>
      <c r="F850" s="11" t="s">
        <v>3101</v>
      </c>
      <c r="G850" s="11" t="s">
        <v>83</v>
      </c>
      <c r="H850" s="11" t="s">
        <v>3102</v>
      </c>
      <c r="I850" s="11" t="s">
        <v>3103</v>
      </c>
      <c r="J850" s="12">
        <v>0.57599999999999996</v>
      </c>
      <c r="K850" s="13">
        <v>16</v>
      </c>
      <c r="L850" s="14">
        <v>9277</v>
      </c>
      <c r="M850" s="10">
        <v>2623</v>
      </c>
      <c r="N850" s="10">
        <v>1025125</v>
      </c>
      <c r="O850" s="10">
        <v>205693</v>
      </c>
      <c r="P850" s="10">
        <v>1230818</v>
      </c>
    </row>
    <row r="851" spans="1:16" ht="27" customHeight="1" x14ac:dyDescent="0.2">
      <c r="A851" s="9" t="s">
        <v>1682</v>
      </c>
      <c r="B851" s="10" t="s">
        <v>3104</v>
      </c>
      <c r="C851" s="11" t="s">
        <v>18</v>
      </c>
      <c r="D851" s="11" t="s">
        <v>19</v>
      </c>
      <c r="E851" s="11" t="s">
        <v>19</v>
      </c>
      <c r="F851" s="11" t="s">
        <v>3105</v>
      </c>
      <c r="G851" s="11" t="s">
        <v>83</v>
      </c>
      <c r="H851" s="11" t="s">
        <v>3106</v>
      </c>
      <c r="I851" s="11" t="s">
        <v>3107</v>
      </c>
      <c r="J851" s="12">
        <v>0.16639999999999999</v>
      </c>
      <c r="K851" s="13">
        <v>6</v>
      </c>
      <c r="L851" s="14">
        <v>4637</v>
      </c>
      <c r="M851" s="10">
        <v>730</v>
      </c>
      <c r="N851" s="10">
        <v>512396</v>
      </c>
      <c r="O851" s="10">
        <v>57245</v>
      </c>
      <c r="P851" s="10">
        <v>569641</v>
      </c>
    </row>
    <row r="852" spans="1:16" ht="27" customHeight="1" x14ac:dyDescent="0.2">
      <c r="A852" s="9" t="s">
        <v>1682</v>
      </c>
      <c r="B852" s="10" t="s">
        <v>3108</v>
      </c>
      <c r="C852" s="11" t="s">
        <v>18</v>
      </c>
      <c r="D852" s="11" t="s">
        <v>19</v>
      </c>
      <c r="E852" s="11" t="s">
        <v>19</v>
      </c>
      <c r="F852" s="11" t="s">
        <v>3109</v>
      </c>
      <c r="G852" s="11" t="s">
        <v>83</v>
      </c>
      <c r="H852" s="11" t="s">
        <v>3110</v>
      </c>
      <c r="I852" s="11" t="s">
        <v>3111</v>
      </c>
      <c r="J852" s="12">
        <v>0.91790000000000005</v>
      </c>
      <c r="K852" s="13">
        <v>7</v>
      </c>
      <c r="L852" s="14">
        <v>2354</v>
      </c>
      <c r="M852" s="10">
        <v>2135</v>
      </c>
      <c r="N852" s="10">
        <v>260120</v>
      </c>
      <c r="O852" s="10">
        <v>167424</v>
      </c>
      <c r="P852" s="10">
        <v>427544</v>
      </c>
    </row>
    <row r="853" spans="1:16" ht="27" customHeight="1" x14ac:dyDescent="0.2">
      <c r="A853" s="9" t="s">
        <v>1682</v>
      </c>
      <c r="B853" s="10" t="s">
        <v>3112</v>
      </c>
      <c r="C853" s="11" t="s">
        <v>18</v>
      </c>
      <c r="D853" s="11" t="s">
        <v>19</v>
      </c>
      <c r="E853" s="11" t="s">
        <v>19</v>
      </c>
      <c r="F853" s="11" t="s">
        <v>3113</v>
      </c>
      <c r="G853" s="11" t="s">
        <v>83</v>
      </c>
      <c r="H853" s="11" t="s">
        <v>3114</v>
      </c>
      <c r="I853" s="11" t="s">
        <v>3115</v>
      </c>
      <c r="J853" s="12">
        <v>0.81069999999999998</v>
      </c>
      <c r="K853" s="13">
        <v>11</v>
      </c>
      <c r="L853" s="14">
        <v>5410</v>
      </c>
      <c r="M853" s="10">
        <v>3190</v>
      </c>
      <c r="N853" s="10">
        <v>597813</v>
      </c>
      <c r="O853" s="10">
        <v>250157</v>
      </c>
      <c r="P853" s="10">
        <v>847970</v>
      </c>
    </row>
    <row r="854" spans="1:16" ht="27" customHeight="1" x14ac:dyDescent="0.2">
      <c r="A854" s="9" t="s">
        <v>1682</v>
      </c>
      <c r="B854" s="10" t="s">
        <v>3116</v>
      </c>
      <c r="C854" s="11" t="s">
        <v>18</v>
      </c>
      <c r="D854" s="11" t="s">
        <v>19</v>
      </c>
      <c r="E854" s="11" t="s">
        <v>19</v>
      </c>
      <c r="F854" s="11" t="s">
        <v>3117</v>
      </c>
      <c r="G854" s="11" t="s">
        <v>83</v>
      </c>
      <c r="H854" s="11" t="s">
        <v>3118</v>
      </c>
      <c r="I854" s="11" t="s">
        <v>3119</v>
      </c>
      <c r="J854" s="12">
        <v>0.41760000000000003</v>
      </c>
      <c r="K854" s="13">
        <v>10</v>
      </c>
      <c r="L854" s="14">
        <v>5243</v>
      </c>
      <c r="M854" s="10">
        <v>2032</v>
      </c>
      <c r="N854" s="10">
        <v>579361</v>
      </c>
      <c r="O854" s="10">
        <v>159348</v>
      </c>
      <c r="P854" s="10">
        <v>738709</v>
      </c>
    </row>
    <row r="855" spans="1:16" ht="27" customHeight="1" x14ac:dyDescent="0.2">
      <c r="A855" s="9" t="s">
        <v>1682</v>
      </c>
      <c r="B855" s="10" t="s">
        <v>3120</v>
      </c>
      <c r="C855" s="11" t="s">
        <v>18</v>
      </c>
      <c r="D855" s="11" t="s">
        <v>19</v>
      </c>
      <c r="E855" s="11" t="s">
        <v>19</v>
      </c>
      <c r="F855" s="11" t="s">
        <v>3121</v>
      </c>
      <c r="G855" s="11" t="s">
        <v>83</v>
      </c>
      <c r="H855" s="11" t="s">
        <v>3122</v>
      </c>
      <c r="I855" s="11" t="s">
        <v>3123</v>
      </c>
      <c r="J855" s="12">
        <v>0.5746</v>
      </c>
      <c r="K855" s="13">
        <v>33</v>
      </c>
      <c r="L855" s="14">
        <v>22106</v>
      </c>
      <c r="M855" s="10">
        <v>6063</v>
      </c>
      <c r="N855" s="10">
        <v>2442750</v>
      </c>
      <c r="O855" s="10">
        <v>475456</v>
      </c>
      <c r="P855" s="10">
        <v>2918206</v>
      </c>
    </row>
    <row r="856" spans="1:16" ht="27" customHeight="1" x14ac:dyDescent="0.2">
      <c r="A856" s="9" t="s">
        <v>1682</v>
      </c>
      <c r="B856" s="10" t="s">
        <v>3124</v>
      </c>
      <c r="C856" s="11" t="s">
        <v>18</v>
      </c>
      <c r="D856" s="11" t="s">
        <v>19</v>
      </c>
      <c r="E856" s="11" t="s">
        <v>19</v>
      </c>
      <c r="F856" s="11" t="s">
        <v>3125</v>
      </c>
      <c r="G856" s="11" t="s">
        <v>83</v>
      </c>
      <c r="H856" s="11" t="s">
        <v>3126</v>
      </c>
      <c r="I856" s="11" t="s">
        <v>3127</v>
      </c>
      <c r="J856" s="12">
        <v>0.63749999999999996</v>
      </c>
      <c r="K856" s="13">
        <v>3</v>
      </c>
      <c r="L856" s="14">
        <v>895</v>
      </c>
      <c r="M856" s="10">
        <v>584</v>
      </c>
      <c r="N856" s="10">
        <v>98899</v>
      </c>
      <c r="O856" s="10">
        <v>45797</v>
      </c>
      <c r="P856" s="10">
        <v>144696</v>
      </c>
    </row>
    <row r="857" spans="1:16" ht="27" customHeight="1" x14ac:dyDescent="0.2">
      <c r="A857" s="9" t="s">
        <v>1682</v>
      </c>
      <c r="B857" s="10" t="s">
        <v>3128</v>
      </c>
      <c r="C857" s="11" t="s">
        <v>18</v>
      </c>
      <c r="D857" s="11" t="s">
        <v>19</v>
      </c>
      <c r="E857" s="11" t="s">
        <v>19</v>
      </c>
      <c r="F857" s="11" t="s">
        <v>3129</v>
      </c>
      <c r="G857" s="11" t="s">
        <v>83</v>
      </c>
      <c r="H857" s="11" t="s">
        <v>3130</v>
      </c>
      <c r="I857" s="11" t="s">
        <v>3131</v>
      </c>
      <c r="J857" s="12">
        <v>0.81279999999999997</v>
      </c>
      <c r="K857" s="13">
        <v>16</v>
      </c>
      <c r="L857" s="14">
        <v>8013</v>
      </c>
      <c r="M857" s="10">
        <v>5641</v>
      </c>
      <c r="N857" s="10">
        <v>885449</v>
      </c>
      <c r="O857" s="10">
        <v>442362</v>
      </c>
      <c r="P857" s="10">
        <v>1327811</v>
      </c>
    </row>
    <row r="858" spans="1:16" ht="27" customHeight="1" x14ac:dyDescent="0.2">
      <c r="A858" s="9" t="s">
        <v>1682</v>
      </c>
      <c r="B858" s="10" t="s">
        <v>3128</v>
      </c>
      <c r="C858" s="11" t="s">
        <v>3132</v>
      </c>
      <c r="D858" s="11" t="s">
        <v>3133</v>
      </c>
      <c r="E858" s="11" t="s">
        <v>26</v>
      </c>
      <c r="F858" s="11" t="s">
        <v>3134</v>
      </c>
      <c r="G858" s="11" t="s">
        <v>28</v>
      </c>
      <c r="H858" s="11" t="s">
        <v>3134</v>
      </c>
      <c r="I858" s="11" t="s">
        <v>3135</v>
      </c>
      <c r="J858" s="12">
        <v>0.73740000000000006</v>
      </c>
      <c r="K858" s="13">
        <v>1</v>
      </c>
      <c r="L858" s="14">
        <v>5407</v>
      </c>
      <c r="M858" s="10">
        <v>3987</v>
      </c>
      <c r="N858" s="10">
        <v>597482</v>
      </c>
      <c r="O858" s="10">
        <v>312656</v>
      </c>
      <c r="P858" s="10">
        <v>910138</v>
      </c>
    </row>
    <row r="859" spans="1:16" ht="27" customHeight="1" x14ac:dyDescent="0.2">
      <c r="A859" s="9" t="s">
        <v>1682</v>
      </c>
      <c r="B859" s="10" t="s">
        <v>3128</v>
      </c>
      <c r="C859" s="11" t="s">
        <v>3136</v>
      </c>
      <c r="D859" s="11" t="s">
        <v>3137</v>
      </c>
      <c r="E859" s="11" t="s">
        <v>26</v>
      </c>
      <c r="F859" s="11" t="s">
        <v>3138</v>
      </c>
      <c r="G859" s="11" t="s">
        <v>28</v>
      </c>
      <c r="H859" s="11" t="s">
        <v>3138</v>
      </c>
      <c r="I859" s="11" t="s">
        <v>3139</v>
      </c>
      <c r="J859" s="12">
        <v>0.49759999999999999</v>
      </c>
      <c r="K859" s="13">
        <v>1</v>
      </c>
      <c r="L859" s="14">
        <v>1258</v>
      </c>
      <c r="M859" s="10">
        <v>626</v>
      </c>
      <c r="N859" s="10">
        <v>139011</v>
      </c>
      <c r="O859" s="10">
        <v>49090</v>
      </c>
      <c r="P859" s="10">
        <v>188101</v>
      </c>
    </row>
    <row r="860" spans="1:16" ht="27" customHeight="1" x14ac:dyDescent="0.2">
      <c r="A860" s="9" t="s">
        <v>1682</v>
      </c>
      <c r="B860" s="10" t="s">
        <v>3140</v>
      </c>
      <c r="C860" s="11" t="s">
        <v>18</v>
      </c>
      <c r="D860" s="11" t="s">
        <v>19</v>
      </c>
      <c r="E860" s="11" t="s">
        <v>19</v>
      </c>
      <c r="F860" s="11" t="s">
        <v>3141</v>
      </c>
      <c r="G860" s="11" t="s">
        <v>83</v>
      </c>
      <c r="H860" s="11" t="s">
        <v>3142</v>
      </c>
      <c r="I860" s="11" t="s">
        <v>3143</v>
      </c>
      <c r="J860" s="12">
        <v>0.6925</v>
      </c>
      <c r="K860" s="13">
        <v>13</v>
      </c>
      <c r="L860" s="14">
        <v>8952</v>
      </c>
      <c r="M860" s="10">
        <v>5109</v>
      </c>
      <c r="N860" s="10">
        <v>989210</v>
      </c>
      <c r="O860" s="10">
        <v>400643</v>
      </c>
      <c r="P860" s="10">
        <v>1389853</v>
      </c>
    </row>
    <row r="861" spans="1:16" ht="27" customHeight="1" x14ac:dyDescent="0.2">
      <c r="A861" s="9" t="s">
        <v>1682</v>
      </c>
      <c r="B861" s="10" t="s">
        <v>3144</v>
      </c>
      <c r="C861" s="11" t="s">
        <v>18</v>
      </c>
      <c r="D861" s="11" t="s">
        <v>19</v>
      </c>
      <c r="E861" s="11" t="s">
        <v>19</v>
      </c>
      <c r="F861" s="11" t="s">
        <v>3145</v>
      </c>
      <c r="G861" s="11" t="s">
        <v>83</v>
      </c>
      <c r="H861" s="11" t="s">
        <v>3146</v>
      </c>
      <c r="I861" s="11" t="s">
        <v>3147</v>
      </c>
      <c r="J861" s="12">
        <v>0.73780000000000001</v>
      </c>
      <c r="K861" s="13">
        <v>14</v>
      </c>
      <c r="L861" s="14">
        <v>5574</v>
      </c>
      <c r="M861" s="10">
        <v>3655</v>
      </c>
      <c r="N861" s="10">
        <v>615938</v>
      </c>
      <c r="O861" s="10">
        <v>286620</v>
      </c>
      <c r="P861" s="10">
        <v>902558</v>
      </c>
    </row>
    <row r="862" spans="1:16" ht="27" customHeight="1" x14ac:dyDescent="0.2">
      <c r="A862" s="9" t="s">
        <v>1682</v>
      </c>
      <c r="B862" s="10" t="s">
        <v>3148</v>
      </c>
      <c r="C862" s="11" t="s">
        <v>18</v>
      </c>
      <c r="D862" s="11" t="s">
        <v>19</v>
      </c>
      <c r="E862" s="11" t="s">
        <v>19</v>
      </c>
      <c r="F862" s="11" t="s">
        <v>3149</v>
      </c>
      <c r="G862" s="11" t="s">
        <v>83</v>
      </c>
      <c r="H862" s="11" t="s">
        <v>1685</v>
      </c>
      <c r="I862" s="11" t="s">
        <v>1686</v>
      </c>
      <c r="J862" s="12">
        <v>1</v>
      </c>
      <c r="K862" s="13">
        <v>8</v>
      </c>
      <c r="L862" s="14">
        <v>10568</v>
      </c>
      <c r="M862" s="10">
        <v>8117</v>
      </c>
      <c r="N862" s="10">
        <v>1167782</v>
      </c>
      <c r="O862" s="10">
        <v>636527</v>
      </c>
      <c r="P862" s="10">
        <v>1804309</v>
      </c>
    </row>
    <row r="863" spans="1:16" ht="27" customHeight="1" x14ac:dyDescent="0.2">
      <c r="A863" s="9" t="s">
        <v>1682</v>
      </c>
      <c r="B863" s="10" t="s">
        <v>3150</v>
      </c>
      <c r="C863" s="11" t="s">
        <v>18</v>
      </c>
      <c r="D863" s="11" t="s">
        <v>19</v>
      </c>
      <c r="E863" s="11" t="s">
        <v>19</v>
      </c>
      <c r="F863" s="11" t="s">
        <v>3151</v>
      </c>
      <c r="G863" s="11" t="s">
        <v>83</v>
      </c>
      <c r="H863" s="11" t="s">
        <v>1685</v>
      </c>
      <c r="I863" s="11" t="s">
        <v>1686</v>
      </c>
      <c r="J863" s="12">
        <v>1</v>
      </c>
      <c r="K863" s="13">
        <v>17</v>
      </c>
      <c r="L863" s="14">
        <v>20971</v>
      </c>
      <c r="M863" s="10">
        <v>5417</v>
      </c>
      <c r="N863" s="10">
        <v>2317330</v>
      </c>
      <c r="O863" s="10">
        <v>424795</v>
      </c>
      <c r="P863" s="10">
        <v>2742125</v>
      </c>
    </row>
    <row r="864" spans="1:16" ht="27" customHeight="1" x14ac:dyDescent="0.2">
      <c r="A864" s="9" t="s">
        <v>1682</v>
      </c>
      <c r="B864" s="10" t="s">
        <v>3150</v>
      </c>
      <c r="C864" s="11" t="s">
        <v>3152</v>
      </c>
      <c r="D864" s="11" t="s">
        <v>3153</v>
      </c>
      <c r="E864" s="11" t="s">
        <v>26</v>
      </c>
      <c r="F864" s="11" t="s">
        <v>3154</v>
      </c>
      <c r="G864" s="11" t="s">
        <v>28</v>
      </c>
      <c r="H864" s="11" t="s">
        <v>1685</v>
      </c>
      <c r="I864" s="11" t="s">
        <v>1686</v>
      </c>
      <c r="J864" s="12">
        <v>1</v>
      </c>
      <c r="K864" s="13">
        <v>1</v>
      </c>
      <c r="L864" s="14">
        <v>238</v>
      </c>
      <c r="M864" s="10">
        <v>164</v>
      </c>
      <c r="N864" s="10">
        <v>26299</v>
      </c>
      <c r="O864" s="10">
        <v>12861</v>
      </c>
      <c r="P864" s="10">
        <v>39160</v>
      </c>
    </row>
    <row r="865" spans="1:16" ht="27" customHeight="1" x14ac:dyDescent="0.2">
      <c r="A865" s="9" t="s">
        <v>1682</v>
      </c>
      <c r="B865" s="10" t="s">
        <v>3150</v>
      </c>
      <c r="C865" s="11" t="s">
        <v>3155</v>
      </c>
      <c r="D865" s="11" t="s">
        <v>3156</v>
      </c>
      <c r="E865" s="11" t="s">
        <v>26</v>
      </c>
      <c r="F865" s="11" t="s">
        <v>3157</v>
      </c>
      <c r="G865" s="11" t="s">
        <v>28</v>
      </c>
      <c r="H865" s="11" t="s">
        <v>3157</v>
      </c>
      <c r="I865" s="11" t="s">
        <v>3158</v>
      </c>
      <c r="J865" s="12">
        <v>0.32250000000000001</v>
      </c>
      <c r="K865" s="13">
        <v>1</v>
      </c>
      <c r="L865" s="14">
        <v>766</v>
      </c>
      <c r="M865" s="10">
        <v>247</v>
      </c>
      <c r="N865" s="10">
        <v>84644</v>
      </c>
      <c r="O865" s="10">
        <v>19369</v>
      </c>
      <c r="P865" s="10">
        <v>104013</v>
      </c>
    </row>
    <row r="866" spans="1:16" ht="27" customHeight="1" x14ac:dyDescent="0.2">
      <c r="A866" s="9" t="s">
        <v>1682</v>
      </c>
      <c r="B866" s="10" t="s">
        <v>3150</v>
      </c>
      <c r="C866" s="11" t="s">
        <v>3159</v>
      </c>
      <c r="D866" s="11" t="s">
        <v>3160</v>
      </c>
      <c r="E866" s="11" t="s">
        <v>26</v>
      </c>
      <c r="F866" s="11" t="s">
        <v>3161</v>
      </c>
      <c r="G866" s="11" t="s">
        <v>28</v>
      </c>
      <c r="H866" s="11" t="s">
        <v>1685</v>
      </c>
      <c r="I866" s="11" t="s">
        <v>1686</v>
      </c>
      <c r="J866" s="12">
        <v>1</v>
      </c>
      <c r="K866" s="13">
        <v>1</v>
      </c>
      <c r="L866" s="14">
        <v>454</v>
      </c>
      <c r="M866" s="10">
        <v>289</v>
      </c>
      <c r="N866" s="10">
        <v>50168</v>
      </c>
      <c r="O866" s="10">
        <v>22663</v>
      </c>
      <c r="P866" s="10">
        <v>72831</v>
      </c>
    </row>
    <row r="867" spans="1:16" ht="27" customHeight="1" x14ac:dyDescent="0.2">
      <c r="A867" s="9" t="s">
        <v>1682</v>
      </c>
      <c r="B867" s="10" t="s">
        <v>3162</v>
      </c>
      <c r="C867" s="11" t="s">
        <v>18</v>
      </c>
      <c r="D867" s="11" t="s">
        <v>19</v>
      </c>
      <c r="E867" s="11" t="s">
        <v>19</v>
      </c>
      <c r="F867" s="11" t="s">
        <v>3163</v>
      </c>
      <c r="G867" s="11" t="s">
        <v>83</v>
      </c>
      <c r="H867" s="11" t="s">
        <v>3164</v>
      </c>
      <c r="I867" s="11" t="s">
        <v>3165</v>
      </c>
      <c r="J867" s="12">
        <v>0.93740000000000001</v>
      </c>
      <c r="K867" s="13">
        <v>4</v>
      </c>
      <c r="L867" s="14">
        <v>1236</v>
      </c>
      <c r="M867" s="10">
        <v>1181</v>
      </c>
      <c r="N867" s="10">
        <v>136580</v>
      </c>
      <c r="O867" s="10">
        <v>92613</v>
      </c>
      <c r="P867" s="10">
        <v>229193</v>
      </c>
    </row>
    <row r="868" spans="1:16" ht="27" customHeight="1" x14ac:dyDescent="0.2">
      <c r="A868" s="9" t="s">
        <v>1682</v>
      </c>
      <c r="B868" s="10" t="s">
        <v>3166</v>
      </c>
      <c r="C868" s="11" t="s">
        <v>18</v>
      </c>
      <c r="D868" s="11" t="s">
        <v>19</v>
      </c>
      <c r="E868" s="11" t="s">
        <v>19</v>
      </c>
      <c r="F868" s="11" t="s">
        <v>3167</v>
      </c>
      <c r="G868" s="11" t="s">
        <v>83</v>
      </c>
      <c r="H868" s="11" t="s">
        <v>3168</v>
      </c>
      <c r="I868" s="11" t="s">
        <v>3169</v>
      </c>
      <c r="J868" s="12">
        <v>0.73619999999999997</v>
      </c>
      <c r="K868" s="13">
        <v>39</v>
      </c>
      <c r="L868" s="14">
        <v>18059</v>
      </c>
      <c r="M868" s="10">
        <v>11522</v>
      </c>
      <c r="N868" s="10">
        <v>1995548</v>
      </c>
      <c r="O868" s="10">
        <v>903544</v>
      </c>
      <c r="P868" s="10">
        <v>2899092</v>
      </c>
    </row>
    <row r="869" spans="1:16" ht="27" customHeight="1" x14ac:dyDescent="0.2">
      <c r="A869" s="9" t="s">
        <v>1682</v>
      </c>
      <c r="B869" s="10" t="s">
        <v>3166</v>
      </c>
      <c r="C869" s="11" t="s">
        <v>3170</v>
      </c>
      <c r="D869" s="11" t="s">
        <v>3171</v>
      </c>
      <c r="E869" s="11" t="s">
        <v>26</v>
      </c>
      <c r="F869" s="11" t="s">
        <v>3172</v>
      </c>
      <c r="G869" s="11" t="s">
        <v>28</v>
      </c>
      <c r="H869" s="11" t="s">
        <v>3172</v>
      </c>
      <c r="I869" s="11" t="s">
        <v>3173</v>
      </c>
      <c r="J869" s="12">
        <v>0.92049999999999998</v>
      </c>
      <c r="K869" s="13">
        <v>1</v>
      </c>
      <c r="L869" s="14">
        <v>704</v>
      </c>
      <c r="M869" s="10">
        <v>648</v>
      </c>
      <c r="N869" s="10">
        <v>77793</v>
      </c>
      <c r="O869" s="10">
        <v>50815</v>
      </c>
      <c r="P869" s="10">
        <v>128608</v>
      </c>
    </row>
    <row r="870" spans="1:16" ht="27" customHeight="1" x14ac:dyDescent="0.2">
      <c r="A870" s="9" t="s">
        <v>1682</v>
      </c>
      <c r="B870" s="10" t="s">
        <v>3166</v>
      </c>
      <c r="C870" s="11" t="s">
        <v>3174</v>
      </c>
      <c r="D870" s="11" t="s">
        <v>3175</v>
      </c>
      <c r="E870" s="11" t="s">
        <v>26</v>
      </c>
      <c r="F870" s="11" t="s">
        <v>3176</v>
      </c>
      <c r="G870" s="11" t="s">
        <v>28</v>
      </c>
      <c r="H870" s="11" t="s">
        <v>3176</v>
      </c>
      <c r="I870" s="11" t="s">
        <v>3177</v>
      </c>
      <c r="J870" s="12">
        <v>0.88009999999999999</v>
      </c>
      <c r="K870" s="13">
        <v>1</v>
      </c>
      <c r="L870" s="14">
        <v>417</v>
      </c>
      <c r="M870" s="10">
        <v>367</v>
      </c>
      <c r="N870" s="10">
        <v>46079</v>
      </c>
      <c r="O870" s="10">
        <v>28780</v>
      </c>
      <c r="P870" s="10">
        <v>74859</v>
      </c>
    </row>
    <row r="871" spans="1:16" ht="27" customHeight="1" x14ac:dyDescent="0.2">
      <c r="A871" s="9" t="s">
        <v>1682</v>
      </c>
      <c r="B871" s="10" t="s">
        <v>3166</v>
      </c>
      <c r="C871" s="11" t="s">
        <v>3178</v>
      </c>
      <c r="D871" s="11" t="s">
        <v>3179</v>
      </c>
      <c r="E871" s="11" t="s">
        <v>26</v>
      </c>
      <c r="F871" s="11" t="s">
        <v>3180</v>
      </c>
      <c r="G871" s="11" t="s">
        <v>28</v>
      </c>
      <c r="H871" s="11" t="s">
        <v>3180</v>
      </c>
      <c r="I871" s="11" t="s">
        <v>3181</v>
      </c>
      <c r="J871" s="12">
        <v>0.97070000000000001</v>
      </c>
      <c r="K871" s="13">
        <v>1</v>
      </c>
      <c r="L871" s="14">
        <v>444</v>
      </c>
      <c r="M871" s="10">
        <v>431</v>
      </c>
      <c r="N871" s="10">
        <v>49063</v>
      </c>
      <c r="O871" s="10">
        <v>33799</v>
      </c>
      <c r="P871" s="10">
        <v>82862</v>
      </c>
    </row>
    <row r="872" spans="1:16" ht="27" customHeight="1" x14ac:dyDescent="0.2">
      <c r="A872" s="9" t="s">
        <v>1682</v>
      </c>
      <c r="B872" s="10" t="s">
        <v>3166</v>
      </c>
      <c r="C872" s="11" t="s">
        <v>3182</v>
      </c>
      <c r="D872" s="11" t="s">
        <v>3183</v>
      </c>
      <c r="E872" s="11" t="s">
        <v>26</v>
      </c>
      <c r="F872" s="11" t="s">
        <v>3184</v>
      </c>
      <c r="G872" s="11" t="s">
        <v>28</v>
      </c>
      <c r="H872" s="11" t="s">
        <v>3184</v>
      </c>
      <c r="I872" s="11" t="s">
        <v>3185</v>
      </c>
      <c r="J872" s="12">
        <v>0.93940000000000001</v>
      </c>
      <c r="K872" s="13">
        <v>1</v>
      </c>
      <c r="L872" s="14">
        <v>429</v>
      </c>
      <c r="M872" s="10">
        <v>403</v>
      </c>
      <c r="N872" s="10">
        <v>47405</v>
      </c>
      <c r="O872" s="10">
        <v>31603</v>
      </c>
      <c r="P872" s="10">
        <v>79008</v>
      </c>
    </row>
    <row r="873" spans="1:16" ht="27" customHeight="1" x14ac:dyDescent="0.2">
      <c r="A873" s="9" t="s">
        <v>1682</v>
      </c>
      <c r="B873" s="10" t="s">
        <v>3166</v>
      </c>
      <c r="C873" s="11" t="s">
        <v>3186</v>
      </c>
      <c r="D873" s="11" t="s">
        <v>3187</v>
      </c>
      <c r="E873" s="11" t="s">
        <v>26</v>
      </c>
      <c r="F873" s="11" t="s">
        <v>3188</v>
      </c>
      <c r="G873" s="11" t="s">
        <v>28</v>
      </c>
      <c r="H873" s="11" t="s">
        <v>1685</v>
      </c>
      <c r="I873" s="11" t="s">
        <v>1686</v>
      </c>
      <c r="J873" s="12">
        <v>1</v>
      </c>
      <c r="K873" s="13">
        <v>1</v>
      </c>
      <c r="L873" s="14">
        <v>156</v>
      </c>
      <c r="M873" s="10">
        <v>122</v>
      </c>
      <c r="N873" s="10">
        <v>17238</v>
      </c>
      <c r="O873" s="10">
        <v>9567</v>
      </c>
      <c r="P873" s="10">
        <v>26805</v>
      </c>
    </row>
    <row r="874" spans="1:16" ht="27" customHeight="1" x14ac:dyDescent="0.2">
      <c r="A874" s="9" t="s">
        <v>1682</v>
      </c>
      <c r="B874" s="10" t="s">
        <v>3166</v>
      </c>
      <c r="C874" s="11" t="s">
        <v>3189</v>
      </c>
      <c r="D874" s="11" t="s">
        <v>3190</v>
      </c>
      <c r="E874" s="11" t="s">
        <v>26</v>
      </c>
      <c r="F874" s="11" t="s">
        <v>3191</v>
      </c>
      <c r="G874" s="11" t="s">
        <v>28</v>
      </c>
      <c r="H874" s="11" t="s">
        <v>3191</v>
      </c>
      <c r="I874" s="11" t="s">
        <v>3192</v>
      </c>
      <c r="J874" s="12">
        <v>0.86029999999999995</v>
      </c>
      <c r="K874" s="13">
        <v>1</v>
      </c>
      <c r="L874" s="14">
        <v>551</v>
      </c>
      <c r="M874" s="10">
        <v>474</v>
      </c>
      <c r="N874" s="10">
        <v>60886</v>
      </c>
      <c r="O874" s="10">
        <v>37171</v>
      </c>
      <c r="P874" s="10">
        <v>98057</v>
      </c>
    </row>
    <row r="875" spans="1:16" ht="27" customHeight="1" x14ac:dyDescent="0.2">
      <c r="A875" s="9" t="s">
        <v>1682</v>
      </c>
      <c r="B875" s="10" t="s">
        <v>3166</v>
      </c>
      <c r="C875" s="11" t="s">
        <v>3193</v>
      </c>
      <c r="D875" s="11" t="s">
        <v>3194</v>
      </c>
      <c r="E875" s="11" t="s">
        <v>26</v>
      </c>
      <c r="F875" s="11" t="s">
        <v>3195</v>
      </c>
      <c r="G875" s="11" t="s">
        <v>28</v>
      </c>
      <c r="H875" s="11" t="s">
        <v>3195</v>
      </c>
      <c r="I875" s="11" t="s">
        <v>3196</v>
      </c>
      <c r="J875" s="12">
        <v>0.91849999999999998</v>
      </c>
      <c r="K875" s="13">
        <v>1</v>
      </c>
      <c r="L875" s="14">
        <v>319</v>
      </c>
      <c r="M875" s="10">
        <v>293</v>
      </c>
      <c r="N875" s="10">
        <v>35250</v>
      </c>
      <c r="O875" s="10">
        <v>22977</v>
      </c>
      <c r="P875" s="10">
        <v>58227</v>
      </c>
    </row>
    <row r="876" spans="1:16" ht="27" customHeight="1" x14ac:dyDescent="0.2">
      <c r="A876" s="9" t="s">
        <v>1682</v>
      </c>
      <c r="B876" s="10" t="s">
        <v>3197</v>
      </c>
      <c r="C876" s="11" t="s">
        <v>18</v>
      </c>
      <c r="D876" s="11" t="s">
        <v>19</v>
      </c>
      <c r="E876" s="11" t="s">
        <v>19</v>
      </c>
      <c r="F876" s="11" t="s">
        <v>3198</v>
      </c>
      <c r="G876" s="11" t="s">
        <v>83</v>
      </c>
      <c r="H876" s="11" t="s">
        <v>3199</v>
      </c>
      <c r="I876" s="11" t="s">
        <v>3200</v>
      </c>
      <c r="J876" s="12">
        <v>0.88619999999999999</v>
      </c>
      <c r="K876" s="13">
        <v>36</v>
      </c>
      <c r="L876" s="14">
        <v>16582</v>
      </c>
      <c r="M876" s="10">
        <v>11519</v>
      </c>
      <c r="N876" s="10">
        <v>1832337</v>
      </c>
      <c r="O876" s="10">
        <v>903306</v>
      </c>
      <c r="P876" s="10">
        <v>2735643</v>
      </c>
    </row>
    <row r="877" spans="1:16" ht="27" customHeight="1" x14ac:dyDescent="0.2">
      <c r="A877" s="9" t="s">
        <v>1682</v>
      </c>
      <c r="B877" s="10" t="s">
        <v>3201</v>
      </c>
      <c r="C877" s="11" t="s">
        <v>18</v>
      </c>
      <c r="D877" s="11" t="s">
        <v>19</v>
      </c>
      <c r="E877" s="11" t="s">
        <v>19</v>
      </c>
      <c r="F877" s="11" t="s">
        <v>3202</v>
      </c>
      <c r="G877" s="11" t="s">
        <v>83</v>
      </c>
      <c r="H877" s="11" t="s">
        <v>3203</v>
      </c>
      <c r="I877" s="11" t="s">
        <v>3204</v>
      </c>
      <c r="J877" s="12">
        <v>0.95130000000000003</v>
      </c>
      <c r="K877" s="13">
        <v>24</v>
      </c>
      <c r="L877" s="14">
        <v>12055</v>
      </c>
      <c r="M877" s="10">
        <v>9360</v>
      </c>
      <c r="N877" s="10">
        <v>1332097</v>
      </c>
      <c r="O877" s="10">
        <v>733999</v>
      </c>
      <c r="P877" s="10">
        <v>2066096</v>
      </c>
    </row>
    <row r="878" spans="1:16" ht="27" customHeight="1" x14ac:dyDescent="0.2">
      <c r="A878" s="9" t="s">
        <v>1682</v>
      </c>
      <c r="B878" s="10" t="s">
        <v>3201</v>
      </c>
      <c r="C878" s="11" t="s">
        <v>3205</v>
      </c>
      <c r="D878" s="11" t="s">
        <v>3206</v>
      </c>
      <c r="E878" s="11" t="s">
        <v>26</v>
      </c>
      <c r="F878" s="11" t="s">
        <v>3207</v>
      </c>
      <c r="G878" s="11" t="s">
        <v>28</v>
      </c>
      <c r="H878" s="11" t="s">
        <v>3207</v>
      </c>
      <c r="I878" s="11" t="s">
        <v>3208</v>
      </c>
      <c r="J878" s="12">
        <v>0.74550000000000005</v>
      </c>
      <c r="K878" s="13">
        <v>1</v>
      </c>
      <c r="L878" s="14">
        <v>1289</v>
      </c>
      <c r="M878" s="10">
        <v>961</v>
      </c>
      <c r="N878" s="10">
        <v>142437</v>
      </c>
      <c r="O878" s="10">
        <v>75361</v>
      </c>
      <c r="P878" s="10">
        <v>217798</v>
      </c>
    </row>
    <row r="879" spans="1:16" ht="27" customHeight="1" x14ac:dyDescent="0.2">
      <c r="A879" s="9" t="s">
        <v>1682</v>
      </c>
      <c r="B879" s="10" t="s">
        <v>3209</v>
      </c>
      <c r="C879" s="11" t="s">
        <v>18</v>
      </c>
      <c r="D879" s="11" t="s">
        <v>19</v>
      </c>
      <c r="E879" s="11" t="s">
        <v>19</v>
      </c>
      <c r="F879" s="11" t="s">
        <v>3210</v>
      </c>
      <c r="G879" s="11" t="s">
        <v>83</v>
      </c>
      <c r="H879" s="11" t="s">
        <v>3211</v>
      </c>
      <c r="I879" s="11" t="s">
        <v>3212</v>
      </c>
      <c r="J879" s="12">
        <v>0.32129999999999997</v>
      </c>
      <c r="K879" s="13">
        <v>16</v>
      </c>
      <c r="L879" s="14">
        <v>13517</v>
      </c>
      <c r="M879" s="10">
        <v>3492</v>
      </c>
      <c r="N879" s="10">
        <v>1493653</v>
      </c>
      <c r="O879" s="10">
        <v>273838</v>
      </c>
      <c r="P879" s="10">
        <v>1767491</v>
      </c>
    </row>
    <row r="880" spans="1:16" ht="27" customHeight="1" x14ac:dyDescent="0.2">
      <c r="A880" s="9" t="s">
        <v>1682</v>
      </c>
      <c r="B880" s="10" t="s">
        <v>3213</v>
      </c>
      <c r="C880" s="11" t="s">
        <v>18</v>
      </c>
      <c r="D880" s="11" t="s">
        <v>19</v>
      </c>
      <c r="E880" s="11" t="s">
        <v>19</v>
      </c>
      <c r="F880" s="11" t="s">
        <v>3214</v>
      </c>
      <c r="G880" s="11" t="s">
        <v>83</v>
      </c>
      <c r="H880" s="11" t="s">
        <v>3215</v>
      </c>
      <c r="I880" s="11" t="s">
        <v>3216</v>
      </c>
      <c r="J880" s="12">
        <v>0.9</v>
      </c>
      <c r="K880" s="13">
        <v>9</v>
      </c>
      <c r="L880" s="14">
        <v>4617</v>
      </c>
      <c r="M880" s="10">
        <v>3128</v>
      </c>
      <c r="N880" s="10">
        <v>510186</v>
      </c>
      <c r="O880" s="10">
        <v>245295</v>
      </c>
      <c r="P880" s="10">
        <v>755481</v>
      </c>
    </row>
    <row r="881" spans="1:16" ht="27" customHeight="1" x14ac:dyDescent="0.2">
      <c r="A881" s="9" t="s">
        <v>1682</v>
      </c>
      <c r="B881" s="10" t="s">
        <v>3213</v>
      </c>
      <c r="C881" s="11" t="s">
        <v>3217</v>
      </c>
      <c r="D881" s="11" t="s">
        <v>3218</v>
      </c>
      <c r="E881" s="11" t="s">
        <v>26</v>
      </c>
      <c r="F881" s="11" t="s">
        <v>3219</v>
      </c>
      <c r="G881" s="11" t="s">
        <v>28</v>
      </c>
      <c r="H881" s="11" t="s">
        <v>1685</v>
      </c>
      <c r="I881" s="11" t="s">
        <v>1686</v>
      </c>
      <c r="J881" s="12">
        <v>1</v>
      </c>
      <c r="K881" s="13">
        <v>1</v>
      </c>
      <c r="L881" s="14">
        <v>341</v>
      </c>
      <c r="M881" s="10">
        <v>258</v>
      </c>
      <c r="N881" s="10">
        <v>37681</v>
      </c>
      <c r="O881" s="10">
        <v>20232</v>
      </c>
      <c r="P881" s="10">
        <v>57913</v>
      </c>
    </row>
    <row r="882" spans="1:16" ht="27" customHeight="1" x14ac:dyDescent="0.2">
      <c r="A882" s="9" t="s">
        <v>1682</v>
      </c>
      <c r="B882" s="10" t="s">
        <v>3220</v>
      </c>
      <c r="C882" s="11" t="s">
        <v>18</v>
      </c>
      <c r="D882" s="11" t="s">
        <v>19</v>
      </c>
      <c r="E882" s="11" t="s">
        <v>19</v>
      </c>
      <c r="F882" s="11" t="s">
        <v>3221</v>
      </c>
      <c r="G882" s="11" t="s">
        <v>83</v>
      </c>
      <c r="H882" s="11" t="s">
        <v>3222</v>
      </c>
      <c r="I882" s="11" t="s">
        <v>3223</v>
      </c>
      <c r="J882" s="12">
        <v>0.61129999999999995</v>
      </c>
      <c r="K882" s="13">
        <v>4</v>
      </c>
      <c r="L882" s="14">
        <v>1004</v>
      </c>
      <c r="M882" s="10">
        <v>618</v>
      </c>
      <c r="N882" s="10">
        <v>110944</v>
      </c>
      <c r="O882" s="10">
        <v>48463</v>
      </c>
      <c r="P882" s="10">
        <v>159407</v>
      </c>
    </row>
    <row r="883" spans="1:16" ht="27" customHeight="1" x14ac:dyDescent="0.2">
      <c r="A883" s="9" t="s">
        <v>1682</v>
      </c>
      <c r="B883" s="10" t="s">
        <v>3220</v>
      </c>
      <c r="C883" s="11" t="s">
        <v>3224</v>
      </c>
      <c r="D883" s="11" t="s">
        <v>3225</v>
      </c>
      <c r="E883" s="11" t="s">
        <v>26</v>
      </c>
      <c r="F883" s="11" t="s">
        <v>3226</v>
      </c>
      <c r="G883" s="11" t="s">
        <v>28</v>
      </c>
      <c r="H883" s="11" t="s">
        <v>3226</v>
      </c>
      <c r="I883" s="11" t="s">
        <v>3227</v>
      </c>
      <c r="J883" s="12">
        <v>0.87749999999999995</v>
      </c>
      <c r="K883" s="13">
        <v>1</v>
      </c>
      <c r="L883" s="14">
        <v>2915</v>
      </c>
      <c r="M883" s="10">
        <v>2558</v>
      </c>
      <c r="N883" s="10">
        <v>322112</v>
      </c>
      <c r="O883" s="10">
        <v>200596</v>
      </c>
      <c r="P883" s="10">
        <v>522708</v>
      </c>
    </row>
    <row r="884" spans="1:16" ht="27" customHeight="1" x14ac:dyDescent="0.2">
      <c r="A884" s="9" t="s">
        <v>1682</v>
      </c>
      <c r="B884" s="10" t="s">
        <v>3220</v>
      </c>
      <c r="C884" s="11" t="s">
        <v>3228</v>
      </c>
      <c r="D884" s="11" t="s">
        <v>3229</v>
      </c>
      <c r="E884" s="11" t="s">
        <v>26</v>
      </c>
      <c r="F884" s="11" t="s">
        <v>3230</v>
      </c>
      <c r="G884" s="11" t="s">
        <v>28</v>
      </c>
      <c r="H884" s="11" t="s">
        <v>1685</v>
      </c>
      <c r="I884" s="11" t="s">
        <v>1686</v>
      </c>
      <c r="J884" s="12">
        <v>1</v>
      </c>
      <c r="K884" s="13">
        <v>1</v>
      </c>
      <c r="L884" s="14">
        <v>148</v>
      </c>
      <c r="M884" s="10">
        <v>113</v>
      </c>
      <c r="N884" s="10">
        <v>16354</v>
      </c>
      <c r="O884" s="10">
        <v>8861</v>
      </c>
      <c r="P884" s="10">
        <v>25215</v>
      </c>
    </row>
    <row r="885" spans="1:16" ht="27" customHeight="1" x14ac:dyDescent="0.2">
      <c r="A885" s="9" t="s">
        <v>1682</v>
      </c>
      <c r="B885" s="10" t="s">
        <v>3220</v>
      </c>
      <c r="C885" s="11" t="s">
        <v>3231</v>
      </c>
      <c r="D885" s="11" t="s">
        <v>3232</v>
      </c>
      <c r="E885" s="11" t="s">
        <v>26</v>
      </c>
      <c r="F885" s="11" t="s">
        <v>3233</v>
      </c>
      <c r="G885" s="11" t="s">
        <v>28</v>
      </c>
      <c r="H885" s="11" t="s">
        <v>3233</v>
      </c>
      <c r="I885" s="11" t="s">
        <v>3234</v>
      </c>
      <c r="J885" s="12">
        <v>0.45229999999999998</v>
      </c>
      <c r="K885" s="13">
        <v>1</v>
      </c>
      <c r="L885" s="14">
        <v>3575</v>
      </c>
      <c r="M885" s="10">
        <v>1617</v>
      </c>
      <c r="N885" s="10">
        <v>395043</v>
      </c>
      <c r="O885" s="10">
        <v>126803</v>
      </c>
      <c r="P885" s="10">
        <v>521846</v>
      </c>
    </row>
    <row r="886" spans="1:16" ht="27" customHeight="1" x14ac:dyDescent="0.2">
      <c r="A886" s="9" t="s">
        <v>1682</v>
      </c>
      <c r="B886" s="10" t="s">
        <v>3220</v>
      </c>
      <c r="C886" s="11" t="s">
        <v>3235</v>
      </c>
      <c r="D886" s="11" t="s">
        <v>3236</v>
      </c>
      <c r="E886" s="11" t="s">
        <v>26</v>
      </c>
      <c r="F886" s="11" t="s">
        <v>3237</v>
      </c>
      <c r="G886" s="11" t="s">
        <v>28</v>
      </c>
      <c r="H886" s="11" t="s">
        <v>3237</v>
      </c>
      <c r="I886" s="11" t="s">
        <v>3238</v>
      </c>
      <c r="J886" s="12">
        <v>0.66379999999999995</v>
      </c>
      <c r="K886" s="13">
        <v>1</v>
      </c>
      <c r="L886" s="14">
        <v>351</v>
      </c>
      <c r="M886" s="10">
        <v>233</v>
      </c>
      <c r="N886" s="10">
        <v>38786</v>
      </c>
      <c r="O886" s="10">
        <v>18272</v>
      </c>
      <c r="P886" s="10">
        <v>57058</v>
      </c>
    </row>
    <row r="887" spans="1:16" ht="27" customHeight="1" x14ac:dyDescent="0.2">
      <c r="A887" s="9" t="s">
        <v>1682</v>
      </c>
      <c r="B887" s="10" t="s">
        <v>3220</v>
      </c>
      <c r="C887" s="11" t="s">
        <v>3239</v>
      </c>
      <c r="D887" s="11" t="s">
        <v>3240</v>
      </c>
      <c r="E887" s="11" t="s">
        <v>26</v>
      </c>
      <c r="F887" s="11" t="s">
        <v>3241</v>
      </c>
      <c r="G887" s="11" t="s">
        <v>28</v>
      </c>
      <c r="H887" s="11" t="s">
        <v>1685</v>
      </c>
      <c r="I887" s="11" t="s">
        <v>1686</v>
      </c>
      <c r="J887" s="12">
        <v>1</v>
      </c>
      <c r="K887" s="13">
        <v>1</v>
      </c>
      <c r="L887" s="14">
        <v>81</v>
      </c>
      <c r="M887" s="10">
        <v>62</v>
      </c>
      <c r="N887" s="10">
        <v>8951</v>
      </c>
      <c r="O887" s="10">
        <v>4862</v>
      </c>
      <c r="P887" s="10">
        <v>13813</v>
      </c>
    </row>
    <row r="888" spans="1:16" ht="27" customHeight="1" x14ac:dyDescent="0.2">
      <c r="A888" s="9" t="s">
        <v>1682</v>
      </c>
      <c r="B888" s="10" t="s">
        <v>3220</v>
      </c>
      <c r="C888" s="11" t="s">
        <v>3242</v>
      </c>
      <c r="D888" s="11" t="s">
        <v>3243</v>
      </c>
      <c r="E888" s="11" t="s">
        <v>26</v>
      </c>
      <c r="F888" s="11" t="s">
        <v>3244</v>
      </c>
      <c r="G888" s="11" t="s">
        <v>28</v>
      </c>
      <c r="H888" s="11" t="s">
        <v>3244</v>
      </c>
      <c r="I888" s="11" t="s">
        <v>3245</v>
      </c>
      <c r="J888" s="12">
        <v>0.54390000000000005</v>
      </c>
      <c r="K888" s="13">
        <v>1</v>
      </c>
      <c r="L888" s="14">
        <v>888</v>
      </c>
      <c r="M888" s="10">
        <v>483</v>
      </c>
      <c r="N888" s="10">
        <v>98125</v>
      </c>
      <c r="O888" s="10">
        <v>37876</v>
      </c>
      <c r="P888" s="10">
        <v>136001</v>
      </c>
    </row>
    <row r="889" spans="1:16" ht="27" customHeight="1" x14ac:dyDescent="0.2">
      <c r="A889" s="9" t="s">
        <v>1682</v>
      </c>
      <c r="B889" s="10" t="s">
        <v>3220</v>
      </c>
      <c r="C889" s="11" t="s">
        <v>3246</v>
      </c>
      <c r="D889" s="11" t="s">
        <v>3247</v>
      </c>
      <c r="E889" s="11" t="s">
        <v>26</v>
      </c>
      <c r="F889" s="11" t="s">
        <v>3248</v>
      </c>
      <c r="G889" s="11" t="s">
        <v>28</v>
      </c>
      <c r="H889" s="11" t="s">
        <v>3248</v>
      </c>
      <c r="I889" s="11" t="s">
        <v>3249</v>
      </c>
      <c r="J889" s="12">
        <v>0.53759999999999997</v>
      </c>
      <c r="K889" s="13">
        <v>1</v>
      </c>
      <c r="L889" s="14">
        <v>266</v>
      </c>
      <c r="M889" s="10">
        <v>143</v>
      </c>
      <c r="N889" s="10">
        <v>29393</v>
      </c>
      <c r="O889" s="10">
        <v>11214</v>
      </c>
      <c r="P889" s="10">
        <v>40607</v>
      </c>
    </row>
    <row r="890" spans="1:16" ht="27" customHeight="1" x14ac:dyDescent="0.2">
      <c r="A890" s="9" t="s">
        <v>1682</v>
      </c>
      <c r="B890" s="10" t="s">
        <v>3220</v>
      </c>
      <c r="C890" s="11" t="s">
        <v>3250</v>
      </c>
      <c r="D890" s="11" t="s">
        <v>3251</v>
      </c>
      <c r="E890" s="11" t="s">
        <v>26</v>
      </c>
      <c r="F890" s="11" t="s">
        <v>3252</v>
      </c>
      <c r="G890" s="11" t="s">
        <v>28</v>
      </c>
      <c r="H890" s="11" t="s">
        <v>1685</v>
      </c>
      <c r="I890" s="11" t="s">
        <v>1686</v>
      </c>
      <c r="J890" s="12">
        <v>1</v>
      </c>
      <c r="K890" s="13">
        <v>1</v>
      </c>
      <c r="L890" s="14">
        <v>1770</v>
      </c>
      <c r="M890" s="10">
        <v>1449</v>
      </c>
      <c r="N890" s="10">
        <v>195588</v>
      </c>
      <c r="O890" s="10">
        <v>113629</v>
      </c>
      <c r="P890" s="10">
        <v>309217</v>
      </c>
    </row>
    <row r="891" spans="1:16" ht="27" customHeight="1" x14ac:dyDescent="0.2">
      <c r="A891" s="9" t="s">
        <v>1682</v>
      </c>
      <c r="B891" s="10" t="s">
        <v>3220</v>
      </c>
      <c r="C891" s="11" t="s">
        <v>3253</v>
      </c>
      <c r="D891" s="11" t="s">
        <v>3254</v>
      </c>
      <c r="E891" s="11" t="s">
        <v>26</v>
      </c>
      <c r="F891" s="11" t="s">
        <v>3255</v>
      </c>
      <c r="G891" s="11" t="s">
        <v>28</v>
      </c>
      <c r="H891" s="11" t="s">
        <v>3255</v>
      </c>
      <c r="I891" s="11" t="s">
        <v>3256</v>
      </c>
      <c r="J891" s="12">
        <v>0.57220000000000004</v>
      </c>
      <c r="K891" s="13">
        <v>1</v>
      </c>
      <c r="L891" s="14">
        <v>194</v>
      </c>
      <c r="M891" s="10">
        <v>111</v>
      </c>
      <c r="N891" s="10">
        <v>21437</v>
      </c>
      <c r="O891" s="10">
        <v>8705</v>
      </c>
      <c r="P891" s="10">
        <v>30142</v>
      </c>
    </row>
    <row r="892" spans="1:16" ht="27" customHeight="1" x14ac:dyDescent="0.2">
      <c r="A892" s="9" t="s">
        <v>1682</v>
      </c>
      <c r="B892" s="10" t="s">
        <v>3220</v>
      </c>
      <c r="C892" s="11" t="s">
        <v>3257</v>
      </c>
      <c r="D892" s="11" t="s">
        <v>3258</v>
      </c>
      <c r="E892" s="11" t="s">
        <v>26</v>
      </c>
      <c r="F892" s="11" t="s">
        <v>3259</v>
      </c>
      <c r="G892" s="11" t="s">
        <v>28</v>
      </c>
      <c r="H892" s="11" t="s">
        <v>3259</v>
      </c>
      <c r="I892" s="11" t="s">
        <v>3260</v>
      </c>
      <c r="J892" s="12">
        <v>0.80469999999999997</v>
      </c>
      <c r="K892" s="13">
        <v>1</v>
      </c>
      <c r="L892" s="14">
        <v>384</v>
      </c>
      <c r="M892" s="10">
        <v>309</v>
      </c>
      <c r="N892" s="10">
        <v>42433</v>
      </c>
      <c r="O892" s="10">
        <v>24231</v>
      </c>
      <c r="P892" s="10">
        <v>66664</v>
      </c>
    </row>
    <row r="893" spans="1:16" ht="27" customHeight="1" x14ac:dyDescent="0.2">
      <c r="A893" s="9" t="s">
        <v>1682</v>
      </c>
      <c r="B893" s="10" t="s">
        <v>3220</v>
      </c>
      <c r="C893" s="11" t="s">
        <v>3261</v>
      </c>
      <c r="D893" s="11" t="s">
        <v>3262</v>
      </c>
      <c r="E893" s="11" t="s">
        <v>26</v>
      </c>
      <c r="F893" s="11" t="s">
        <v>3263</v>
      </c>
      <c r="G893" s="11" t="s">
        <v>28</v>
      </c>
      <c r="H893" s="11" t="s">
        <v>3263</v>
      </c>
      <c r="I893" s="11" t="s">
        <v>3264</v>
      </c>
      <c r="J893" s="12">
        <v>0.41799999999999998</v>
      </c>
      <c r="K893" s="13">
        <v>1</v>
      </c>
      <c r="L893" s="14">
        <v>323</v>
      </c>
      <c r="M893" s="10">
        <v>135</v>
      </c>
      <c r="N893" s="10">
        <v>35692</v>
      </c>
      <c r="O893" s="10">
        <v>10587</v>
      </c>
      <c r="P893" s="10">
        <v>46279</v>
      </c>
    </row>
    <row r="894" spans="1:16" ht="27" customHeight="1" x14ac:dyDescent="0.2">
      <c r="A894" s="9" t="s">
        <v>1682</v>
      </c>
      <c r="B894" s="10" t="s">
        <v>3265</v>
      </c>
      <c r="C894" s="11" t="s">
        <v>18</v>
      </c>
      <c r="D894" s="11" t="s">
        <v>19</v>
      </c>
      <c r="E894" s="11" t="s">
        <v>19</v>
      </c>
      <c r="F894" s="11" t="s">
        <v>3266</v>
      </c>
      <c r="G894" s="11" t="s">
        <v>83</v>
      </c>
      <c r="H894" s="11" t="s">
        <v>3267</v>
      </c>
      <c r="I894" s="11" t="s">
        <v>3268</v>
      </c>
      <c r="J894" s="12">
        <v>5.6599999999999998E-2</v>
      </c>
      <c r="K894" s="13">
        <v>9</v>
      </c>
      <c r="L894" s="14">
        <v>5929</v>
      </c>
      <c r="M894" s="10">
        <v>272</v>
      </c>
      <c r="N894" s="10">
        <v>655165</v>
      </c>
      <c r="O894" s="10">
        <v>21330</v>
      </c>
      <c r="P894" s="10">
        <v>676495</v>
      </c>
    </row>
    <row r="895" spans="1:16" ht="27" customHeight="1" x14ac:dyDescent="0.2">
      <c r="A895" s="9" t="s">
        <v>1682</v>
      </c>
      <c r="B895" s="10" t="s">
        <v>3269</v>
      </c>
      <c r="C895" s="11" t="s">
        <v>18</v>
      </c>
      <c r="D895" s="11" t="s">
        <v>19</v>
      </c>
      <c r="E895" s="11" t="s">
        <v>19</v>
      </c>
      <c r="F895" s="11" t="s">
        <v>3270</v>
      </c>
      <c r="G895" s="11" t="s">
        <v>83</v>
      </c>
      <c r="H895" s="11" t="s">
        <v>3051</v>
      </c>
      <c r="I895" s="11" t="s">
        <v>3271</v>
      </c>
      <c r="J895" s="12">
        <v>0.20810000000000001</v>
      </c>
      <c r="K895" s="13">
        <v>15</v>
      </c>
      <c r="L895" s="14">
        <v>9578</v>
      </c>
      <c r="M895" s="10">
        <v>1515</v>
      </c>
      <c r="N895" s="10">
        <v>1058383</v>
      </c>
      <c r="O895" s="10">
        <v>118805</v>
      </c>
      <c r="P895" s="10">
        <v>1177188</v>
      </c>
    </row>
    <row r="896" spans="1:16" ht="27" customHeight="1" x14ac:dyDescent="0.2">
      <c r="A896" s="9" t="s">
        <v>1682</v>
      </c>
      <c r="B896" s="10" t="s">
        <v>3272</v>
      </c>
      <c r="C896" s="11" t="s">
        <v>3273</v>
      </c>
      <c r="D896" s="11" t="s">
        <v>3274</v>
      </c>
      <c r="E896" s="11" t="s">
        <v>26</v>
      </c>
      <c r="F896" s="11" t="s">
        <v>3275</v>
      </c>
      <c r="G896" s="11" t="s">
        <v>28</v>
      </c>
      <c r="H896" s="11" t="s">
        <v>3275</v>
      </c>
      <c r="I896" s="11" t="s">
        <v>3276</v>
      </c>
      <c r="J896" s="12">
        <v>0.1615</v>
      </c>
      <c r="K896" s="13">
        <v>1</v>
      </c>
      <c r="L896" s="14">
        <v>997</v>
      </c>
      <c r="M896" s="10">
        <v>161</v>
      </c>
      <c r="N896" s="10">
        <v>110170</v>
      </c>
      <c r="O896" s="10">
        <v>12625</v>
      </c>
      <c r="P896" s="10">
        <v>122795</v>
      </c>
    </row>
    <row r="897" spans="1:16" ht="27" customHeight="1" x14ac:dyDescent="0.2">
      <c r="A897" s="9" t="s">
        <v>1682</v>
      </c>
      <c r="B897" s="10" t="s">
        <v>3277</v>
      </c>
      <c r="C897" s="11" t="s">
        <v>18</v>
      </c>
      <c r="D897" s="11" t="s">
        <v>19</v>
      </c>
      <c r="E897" s="11" t="s">
        <v>19</v>
      </c>
      <c r="F897" s="11" t="s">
        <v>3278</v>
      </c>
      <c r="G897" s="11" t="s">
        <v>83</v>
      </c>
      <c r="H897" s="11" t="s">
        <v>3279</v>
      </c>
      <c r="I897" s="11" t="s">
        <v>3280</v>
      </c>
      <c r="J897" s="12">
        <v>0.72160000000000002</v>
      </c>
      <c r="K897" s="13">
        <v>19</v>
      </c>
      <c r="L897" s="14">
        <v>15053</v>
      </c>
      <c r="M897" s="10">
        <v>8127</v>
      </c>
      <c r="N897" s="10">
        <v>1663383</v>
      </c>
      <c r="O897" s="10">
        <v>637311</v>
      </c>
      <c r="P897" s="10">
        <v>2300694</v>
      </c>
    </row>
    <row r="898" spans="1:16" ht="27" customHeight="1" x14ac:dyDescent="0.2">
      <c r="A898" s="9" t="s">
        <v>1682</v>
      </c>
      <c r="B898" s="10" t="s">
        <v>3281</v>
      </c>
      <c r="C898" s="11" t="s">
        <v>18</v>
      </c>
      <c r="D898" s="11" t="s">
        <v>19</v>
      </c>
      <c r="E898" s="11" t="s">
        <v>19</v>
      </c>
      <c r="F898" s="11" t="s">
        <v>3282</v>
      </c>
      <c r="G898" s="11" t="s">
        <v>83</v>
      </c>
      <c r="H898" s="11" t="s">
        <v>3283</v>
      </c>
      <c r="I898" s="11" t="s">
        <v>3284</v>
      </c>
      <c r="J898" s="12">
        <v>0.28110000000000002</v>
      </c>
      <c r="K898" s="13">
        <v>6</v>
      </c>
      <c r="L898" s="14">
        <v>2507</v>
      </c>
      <c r="M898" s="10">
        <v>734</v>
      </c>
      <c r="N898" s="10">
        <v>277029</v>
      </c>
      <c r="O898" s="10">
        <v>57560</v>
      </c>
      <c r="P898" s="10">
        <v>334589</v>
      </c>
    </row>
    <row r="899" spans="1:16" ht="27" customHeight="1" x14ac:dyDescent="0.2">
      <c r="A899" s="9" t="s">
        <v>1682</v>
      </c>
      <c r="B899" s="10" t="s">
        <v>3281</v>
      </c>
      <c r="C899" s="11" t="s">
        <v>3285</v>
      </c>
      <c r="D899" s="11" t="s">
        <v>3286</v>
      </c>
      <c r="E899" s="11" t="s">
        <v>26</v>
      </c>
      <c r="F899" s="11" t="s">
        <v>3287</v>
      </c>
      <c r="G899" s="11" t="s">
        <v>28</v>
      </c>
      <c r="H899" s="11" t="s">
        <v>1685</v>
      </c>
      <c r="I899" s="11" t="s">
        <v>1686</v>
      </c>
      <c r="J899" s="12">
        <v>1</v>
      </c>
      <c r="K899" s="13">
        <v>1</v>
      </c>
      <c r="L899" s="14">
        <v>560</v>
      </c>
      <c r="M899" s="10">
        <v>202</v>
      </c>
      <c r="N899" s="10">
        <v>61881</v>
      </c>
      <c r="O899" s="10">
        <v>15841</v>
      </c>
      <c r="P899" s="10">
        <v>77722</v>
      </c>
    </row>
    <row r="900" spans="1:16" ht="27" customHeight="1" x14ac:dyDescent="0.2">
      <c r="A900" s="9" t="s">
        <v>1682</v>
      </c>
      <c r="B900" s="10" t="s">
        <v>3281</v>
      </c>
      <c r="C900" s="11" t="s">
        <v>3288</v>
      </c>
      <c r="D900" s="11" t="s">
        <v>3289</v>
      </c>
      <c r="E900" s="11" t="s">
        <v>26</v>
      </c>
      <c r="F900" s="11" t="s">
        <v>3290</v>
      </c>
      <c r="G900" s="11" t="s">
        <v>28</v>
      </c>
      <c r="H900" s="11" t="s">
        <v>1685</v>
      </c>
      <c r="I900" s="11" t="s">
        <v>1686</v>
      </c>
      <c r="J900" s="12">
        <v>1</v>
      </c>
      <c r="K900" s="13">
        <v>1</v>
      </c>
      <c r="L900" s="14">
        <v>538</v>
      </c>
      <c r="M900" s="10">
        <v>287</v>
      </c>
      <c r="N900" s="10">
        <v>59450</v>
      </c>
      <c r="O900" s="10">
        <v>22506</v>
      </c>
      <c r="P900" s="10">
        <v>81956</v>
      </c>
    </row>
    <row r="901" spans="1:16" ht="27" customHeight="1" x14ac:dyDescent="0.2">
      <c r="A901" s="9" t="s">
        <v>1682</v>
      </c>
      <c r="B901" s="10" t="s">
        <v>3281</v>
      </c>
      <c r="C901" s="11" t="s">
        <v>3291</v>
      </c>
      <c r="D901" s="11" t="s">
        <v>3292</v>
      </c>
      <c r="E901" s="11" t="s">
        <v>26</v>
      </c>
      <c r="F901" s="11" t="s">
        <v>3293</v>
      </c>
      <c r="G901" s="11" t="s">
        <v>28</v>
      </c>
      <c r="H901" s="11" t="s">
        <v>3293</v>
      </c>
      <c r="I901" s="11" t="s">
        <v>3294</v>
      </c>
      <c r="J901" s="12">
        <v>0.41649999999999998</v>
      </c>
      <c r="K901" s="13">
        <v>1</v>
      </c>
      <c r="L901" s="14">
        <v>814</v>
      </c>
      <c r="M901" s="10">
        <v>339</v>
      </c>
      <c r="N901" s="10">
        <v>89948</v>
      </c>
      <c r="O901" s="10">
        <v>26584</v>
      </c>
      <c r="P901" s="10">
        <v>116532</v>
      </c>
    </row>
    <row r="902" spans="1:16" ht="27" customHeight="1" x14ac:dyDescent="0.2">
      <c r="A902" s="9" t="s">
        <v>1682</v>
      </c>
      <c r="B902" s="10" t="s">
        <v>3281</v>
      </c>
      <c r="C902" s="11" t="s">
        <v>3295</v>
      </c>
      <c r="D902" s="11" t="s">
        <v>3296</v>
      </c>
      <c r="E902" s="11" t="s">
        <v>26</v>
      </c>
      <c r="F902" s="11" t="s">
        <v>3297</v>
      </c>
      <c r="G902" s="11" t="s">
        <v>28</v>
      </c>
      <c r="H902" s="11" t="s">
        <v>1685</v>
      </c>
      <c r="I902" s="11" t="s">
        <v>1686</v>
      </c>
      <c r="J902" s="12">
        <v>1</v>
      </c>
      <c r="K902" s="13">
        <v>1</v>
      </c>
      <c r="L902" s="14">
        <v>538</v>
      </c>
      <c r="M902" s="10">
        <v>271</v>
      </c>
      <c r="N902" s="10">
        <v>59450</v>
      </c>
      <c r="O902" s="10">
        <v>21252</v>
      </c>
      <c r="P902" s="10">
        <v>80702</v>
      </c>
    </row>
    <row r="903" spans="1:16" ht="27" customHeight="1" x14ac:dyDescent="0.2">
      <c r="A903" s="9" t="s">
        <v>1682</v>
      </c>
      <c r="B903" s="10" t="s">
        <v>3298</v>
      </c>
      <c r="C903" s="11" t="s">
        <v>3299</v>
      </c>
      <c r="D903" s="11" t="s">
        <v>3300</v>
      </c>
      <c r="E903" s="11" t="s">
        <v>26</v>
      </c>
      <c r="F903" s="11" t="s">
        <v>3301</v>
      </c>
      <c r="G903" s="11" t="s">
        <v>28</v>
      </c>
      <c r="H903" s="11" t="s">
        <v>3301</v>
      </c>
      <c r="I903" s="11" t="s">
        <v>3302</v>
      </c>
      <c r="J903" s="12">
        <v>0.76170000000000004</v>
      </c>
      <c r="K903" s="13">
        <v>1</v>
      </c>
      <c r="L903" s="14">
        <v>256</v>
      </c>
      <c r="M903" s="10">
        <v>195</v>
      </c>
      <c r="N903" s="10">
        <v>28288</v>
      </c>
      <c r="O903" s="10">
        <v>15292</v>
      </c>
      <c r="P903" s="10">
        <v>43580</v>
      </c>
    </row>
    <row r="904" spans="1:16" ht="27" customHeight="1" x14ac:dyDescent="0.2">
      <c r="A904" s="9" t="s">
        <v>1682</v>
      </c>
      <c r="B904" s="10" t="s">
        <v>3303</v>
      </c>
      <c r="C904" s="11" t="s">
        <v>3304</v>
      </c>
      <c r="D904" s="11" t="s">
        <v>3305</v>
      </c>
      <c r="E904" s="11" t="s">
        <v>26</v>
      </c>
      <c r="F904" s="11" t="s">
        <v>3306</v>
      </c>
      <c r="G904" s="11" t="s">
        <v>28</v>
      </c>
      <c r="H904" s="11" t="s">
        <v>1685</v>
      </c>
      <c r="I904" s="11" t="s">
        <v>1686</v>
      </c>
      <c r="J904" s="12">
        <v>1</v>
      </c>
      <c r="K904" s="13">
        <v>1</v>
      </c>
      <c r="L904" s="14">
        <v>41</v>
      </c>
      <c r="M904" s="10">
        <v>34</v>
      </c>
      <c r="N904" s="10">
        <v>4531</v>
      </c>
      <c r="O904" s="10">
        <v>2666</v>
      </c>
      <c r="P904" s="10">
        <v>7197</v>
      </c>
    </row>
    <row r="905" spans="1:16" ht="27" customHeight="1" x14ac:dyDescent="0.2">
      <c r="A905" s="9" t="s">
        <v>3307</v>
      </c>
      <c r="B905" s="10" t="s">
        <v>3308</v>
      </c>
      <c r="C905" s="11" t="s">
        <v>18</v>
      </c>
      <c r="D905" s="11" t="s">
        <v>19</v>
      </c>
      <c r="E905" s="11" t="s">
        <v>19</v>
      </c>
      <c r="F905" s="11" t="s">
        <v>3309</v>
      </c>
      <c r="G905" s="11" t="s">
        <v>21</v>
      </c>
      <c r="H905" s="11" t="s">
        <v>3310</v>
      </c>
      <c r="I905" s="11" t="s">
        <v>3311</v>
      </c>
      <c r="J905" s="12">
        <v>0.98899999999999999</v>
      </c>
      <c r="K905" s="13">
        <v>4</v>
      </c>
      <c r="L905" s="14">
        <v>603</v>
      </c>
      <c r="M905" s="10">
        <v>514</v>
      </c>
      <c r="N905" s="10">
        <v>66632</v>
      </c>
      <c r="O905" s="10">
        <v>40307</v>
      </c>
      <c r="P905" s="10">
        <v>106939</v>
      </c>
    </row>
    <row r="906" spans="1:16" ht="27" customHeight="1" x14ac:dyDescent="0.2">
      <c r="A906" s="9" t="s">
        <v>3307</v>
      </c>
      <c r="B906" s="10" t="s">
        <v>3308</v>
      </c>
      <c r="C906" s="11" t="s">
        <v>3312</v>
      </c>
      <c r="D906" s="11" t="s">
        <v>3313</v>
      </c>
      <c r="E906" s="11" t="s">
        <v>57</v>
      </c>
      <c r="F906" s="11" t="s">
        <v>3314</v>
      </c>
      <c r="G906" s="11" t="s">
        <v>28</v>
      </c>
      <c r="H906" s="11" t="s">
        <v>3310</v>
      </c>
      <c r="I906" s="11" t="s">
        <v>3311</v>
      </c>
      <c r="J906" s="12">
        <v>0.98899999999999999</v>
      </c>
      <c r="K906" s="13">
        <v>1</v>
      </c>
      <c r="L906" s="14">
        <v>48</v>
      </c>
      <c r="M906" s="10">
        <v>39</v>
      </c>
      <c r="N906" s="10">
        <v>5304</v>
      </c>
      <c r="O906" s="10">
        <v>3058</v>
      </c>
      <c r="P906" s="10">
        <v>8362</v>
      </c>
    </row>
    <row r="907" spans="1:16" ht="27" customHeight="1" x14ac:dyDescent="0.2">
      <c r="A907" s="9" t="s">
        <v>3307</v>
      </c>
      <c r="B907" s="10" t="s">
        <v>3308</v>
      </c>
      <c r="C907" s="11" t="s">
        <v>3315</v>
      </c>
      <c r="D907" s="11" t="s">
        <v>3316</v>
      </c>
      <c r="E907" s="11" t="s">
        <v>57</v>
      </c>
      <c r="F907" s="11" t="s">
        <v>3317</v>
      </c>
      <c r="G907" s="11" t="s">
        <v>28</v>
      </c>
      <c r="H907" s="11" t="s">
        <v>3310</v>
      </c>
      <c r="I907" s="11" t="s">
        <v>3311</v>
      </c>
      <c r="J907" s="12">
        <v>0.98899999999999999</v>
      </c>
      <c r="K907" s="13">
        <v>1</v>
      </c>
      <c r="L907" s="14">
        <v>243</v>
      </c>
      <c r="M907" s="10">
        <v>200</v>
      </c>
      <c r="N907" s="10">
        <v>26852</v>
      </c>
      <c r="O907" s="10">
        <v>15684</v>
      </c>
      <c r="P907" s="10">
        <v>42536</v>
      </c>
    </row>
    <row r="908" spans="1:16" ht="27" customHeight="1" x14ac:dyDescent="0.2">
      <c r="A908" s="9" t="s">
        <v>3307</v>
      </c>
      <c r="B908" s="10" t="s">
        <v>3318</v>
      </c>
      <c r="C908" s="11" t="s">
        <v>18</v>
      </c>
      <c r="D908" s="11" t="s">
        <v>19</v>
      </c>
      <c r="E908" s="11" t="s">
        <v>19</v>
      </c>
      <c r="F908" s="11" t="s">
        <v>3319</v>
      </c>
      <c r="G908" s="11" t="s">
        <v>83</v>
      </c>
      <c r="H908" s="11" t="s">
        <v>3320</v>
      </c>
      <c r="I908" s="11" t="s">
        <v>3321</v>
      </c>
      <c r="J908" s="12">
        <v>0.75929999999999997</v>
      </c>
      <c r="K908" s="13">
        <v>3</v>
      </c>
      <c r="L908" s="14">
        <v>397</v>
      </c>
      <c r="M908" s="10">
        <v>294</v>
      </c>
      <c r="N908" s="10">
        <v>43869</v>
      </c>
      <c r="O908" s="10">
        <v>23056</v>
      </c>
      <c r="P908" s="10">
        <v>66925</v>
      </c>
    </row>
    <row r="909" spans="1:16" ht="27" customHeight="1" x14ac:dyDescent="0.2">
      <c r="A909" s="9" t="s">
        <v>3307</v>
      </c>
      <c r="B909" s="10" t="s">
        <v>3322</v>
      </c>
      <c r="C909" s="11" t="s">
        <v>18</v>
      </c>
      <c r="D909" s="11" t="s">
        <v>19</v>
      </c>
      <c r="E909" s="11" t="s">
        <v>19</v>
      </c>
      <c r="F909" s="11" t="s">
        <v>3323</v>
      </c>
      <c r="G909" s="11" t="s">
        <v>83</v>
      </c>
      <c r="H909" s="11" t="s">
        <v>3324</v>
      </c>
      <c r="I909" s="11" t="s">
        <v>3325</v>
      </c>
      <c r="J909" s="12">
        <v>0.63919999999999999</v>
      </c>
      <c r="K909" s="13">
        <v>5</v>
      </c>
      <c r="L909" s="14">
        <v>851</v>
      </c>
      <c r="M909" s="10">
        <v>514</v>
      </c>
      <c r="N909" s="10">
        <v>94038</v>
      </c>
      <c r="O909" s="10">
        <v>40307</v>
      </c>
      <c r="P909" s="10">
        <v>134345</v>
      </c>
    </row>
    <row r="910" spans="1:16" ht="27" customHeight="1" x14ac:dyDescent="0.2">
      <c r="A910" s="9" t="s">
        <v>3307</v>
      </c>
      <c r="B910" s="10" t="s">
        <v>3322</v>
      </c>
      <c r="C910" s="11" t="s">
        <v>3326</v>
      </c>
      <c r="D910" s="11" t="s">
        <v>3327</v>
      </c>
      <c r="E910" s="11" t="s">
        <v>26</v>
      </c>
      <c r="F910" s="11" t="s">
        <v>3328</v>
      </c>
      <c r="G910" s="11" t="s">
        <v>28</v>
      </c>
      <c r="H910" s="11" t="s">
        <v>3328</v>
      </c>
      <c r="I910" s="11" t="s">
        <v>3329</v>
      </c>
      <c r="J910" s="12">
        <v>0.53849999999999998</v>
      </c>
      <c r="K910" s="13">
        <v>1</v>
      </c>
      <c r="L910" s="14">
        <v>13</v>
      </c>
      <c r="M910" s="10">
        <v>7</v>
      </c>
      <c r="N910" s="10">
        <v>1437</v>
      </c>
      <c r="O910" s="10">
        <v>549</v>
      </c>
      <c r="P910" s="10">
        <v>1986</v>
      </c>
    </row>
    <row r="911" spans="1:16" ht="27" customHeight="1" x14ac:dyDescent="0.2">
      <c r="A911" s="9" t="s">
        <v>3307</v>
      </c>
      <c r="B911" s="10" t="s">
        <v>3330</v>
      </c>
      <c r="C911" s="11" t="s">
        <v>18</v>
      </c>
      <c r="D911" s="11" t="s">
        <v>19</v>
      </c>
      <c r="E911" s="11" t="s">
        <v>19</v>
      </c>
      <c r="F911" s="11" t="s">
        <v>3331</v>
      </c>
      <c r="G911" s="11" t="s">
        <v>83</v>
      </c>
      <c r="H911" s="11" t="s">
        <v>3332</v>
      </c>
      <c r="I911" s="11" t="s">
        <v>3333</v>
      </c>
      <c r="J911" s="12">
        <v>0.89749999999999996</v>
      </c>
      <c r="K911" s="13">
        <v>6</v>
      </c>
      <c r="L911" s="14">
        <v>2175</v>
      </c>
      <c r="M911" s="10">
        <v>1912</v>
      </c>
      <c r="N911" s="10">
        <v>240341</v>
      </c>
      <c r="O911" s="10">
        <v>149936</v>
      </c>
      <c r="P911" s="10">
        <v>390277</v>
      </c>
    </row>
    <row r="912" spans="1:16" ht="27" customHeight="1" x14ac:dyDescent="0.2">
      <c r="A912" s="9" t="s">
        <v>3307</v>
      </c>
      <c r="B912" s="10" t="s">
        <v>3334</v>
      </c>
      <c r="C912" s="11" t="s">
        <v>18</v>
      </c>
      <c r="D912" s="11" t="s">
        <v>19</v>
      </c>
      <c r="E912" s="11" t="s">
        <v>19</v>
      </c>
      <c r="F912" s="11" t="s">
        <v>3335</v>
      </c>
      <c r="G912" s="11" t="s">
        <v>83</v>
      </c>
      <c r="H912" s="11" t="s">
        <v>3310</v>
      </c>
      <c r="I912" s="11" t="s">
        <v>3311</v>
      </c>
      <c r="J912" s="12">
        <v>0.98899999999999999</v>
      </c>
      <c r="K912" s="13">
        <v>3</v>
      </c>
      <c r="L912" s="14">
        <v>1144</v>
      </c>
      <c r="M912" s="10">
        <v>964</v>
      </c>
      <c r="N912" s="10">
        <v>126414</v>
      </c>
      <c r="O912" s="10">
        <v>75596</v>
      </c>
      <c r="P912" s="10">
        <v>202010</v>
      </c>
    </row>
    <row r="913" spans="1:16" ht="27" customHeight="1" x14ac:dyDescent="0.2">
      <c r="A913" s="9" t="s">
        <v>3307</v>
      </c>
      <c r="B913" s="10" t="s">
        <v>3336</v>
      </c>
      <c r="C913" s="11" t="s">
        <v>18</v>
      </c>
      <c r="D913" s="11" t="s">
        <v>19</v>
      </c>
      <c r="E913" s="11" t="s">
        <v>19</v>
      </c>
      <c r="F913" s="11" t="s">
        <v>3337</v>
      </c>
      <c r="G913" s="11" t="s">
        <v>83</v>
      </c>
      <c r="H913" s="11" t="s">
        <v>3310</v>
      </c>
      <c r="I913" s="11" t="s">
        <v>3311</v>
      </c>
      <c r="J913" s="12">
        <v>0.98899999999999999</v>
      </c>
      <c r="K913" s="13">
        <v>29</v>
      </c>
      <c r="L913" s="14">
        <v>20615</v>
      </c>
      <c r="M913" s="10">
        <v>18693</v>
      </c>
      <c r="N913" s="10">
        <v>2277993</v>
      </c>
      <c r="O913" s="10">
        <v>1465888</v>
      </c>
      <c r="P913" s="10">
        <v>3743881</v>
      </c>
    </row>
    <row r="914" spans="1:16" ht="27" customHeight="1" x14ac:dyDescent="0.2">
      <c r="A914" s="9" t="s">
        <v>3307</v>
      </c>
      <c r="B914" s="10" t="s">
        <v>3336</v>
      </c>
      <c r="C914" s="11" t="s">
        <v>3338</v>
      </c>
      <c r="D914" s="11" t="s">
        <v>3339</v>
      </c>
      <c r="E914" s="11" t="s">
        <v>26</v>
      </c>
      <c r="F914" s="11" t="s">
        <v>3340</v>
      </c>
      <c r="G914" s="11" t="s">
        <v>28</v>
      </c>
      <c r="H914" s="11" t="s">
        <v>3340</v>
      </c>
      <c r="I914" s="11" t="s">
        <v>3341</v>
      </c>
      <c r="J914" s="12">
        <v>0.56159999999999999</v>
      </c>
      <c r="K914" s="13">
        <v>1</v>
      </c>
      <c r="L914" s="14">
        <v>219</v>
      </c>
      <c r="M914" s="10">
        <v>123</v>
      </c>
      <c r="N914" s="10">
        <v>24200</v>
      </c>
      <c r="O914" s="10">
        <v>9646</v>
      </c>
      <c r="P914" s="10">
        <v>33846</v>
      </c>
    </row>
    <row r="915" spans="1:16" ht="27" customHeight="1" x14ac:dyDescent="0.2">
      <c r="A915" s="9" t="s">
        <v>3307</v>
      </c>
      <c r="B915" s="10" t="s">
        <v>3336</v>
      </c>
      <c r="C915" s="11" t="s">
        <v>3342</v>
      </c>
      <c r="D915" s="11" t="s">
        <v>3343</v>
      </c>
      <c r="E915" s="11" t="s">
        <v>26</v>
      </c>
      <c r="F915" s="11" t="s">
        <v>3344</v>
      </c>
      <c r="G915" s="11" t="s">
        <v>28</v>
      </c>
      <c r="H915" s="11" t="s">
        <v>3344</v>
      </c>
      <c r="I915" s="11" t="s">
        <v>3345</v>
      </c>
      <c r="J915" s="12">
        <v>0.92149999999999999</v>
      </c>
      <c r="K915" s="13">
        <v>1</v>
      </c>
      <c r="L915" s="14">
        <v>650</v>
      </c>
      <c r="M915" s="10">
        <v>599</v>
      </c>
      <c r="N915" s="10">
        <v>71826</v>
      </c>
      <c r="O915" s="10">
        <v>46973</v>
      </c>
      <c r="P915" s="10">
        <v>118799</v>
      </c>
    </row>
    <row r="916" spans="1:16" ht="27" customHeight="1" x14ac:dyDescent="0.2">
      <c r="A916" s="9" t="s">
        <v>3307</v>
      </c>
      <c r="B916" s="10" t="s">
        <v>3336</v>
      </c>
      <c r="C916" s="11" t="s">
        <v>3346</v>
      </c>
      <c r="D916" s="11" t="s">
        <v>3347</v>
      </c>
      <c r="E916" s="11" t="s">
        <v>26</v>
      </c>
      <c r="F916" s="11" t="s">
        <v>3348</v>
      </c>
      <c r="G916" s="11" t="s">
        <v>28</v>
      </c>
      <c r="H916" s="11" t="s">
        <v>3310</v>
      </c>
      <c r="I916" s="11" t="s">
        <v>3311</v>
      </c>
      <c r="J916" s="12">
        <v>0.98899999999999999</v>
      </c>
      <c r="K916" s="13">
        <v>1</v>
      </c>
      <c r="L916" s="14">
        <v>84</v>
      </c>
      <c r="M916" s="10">
        <v>45</v>
      </c>
      <c r="N916" s="10">
        <v>9282</v>
      </c>
      <c r="O916" s="10">
        <v>3529</v>
      </c>
      <c r="P916" s="10">
        <v>12811</v>
      </c>
    </row>
    <row r="917" spans="1:16" ht="27" customHeight="1" x14ac:dyDescent="0.2">
      <c r="A917" s="9" t="s">
        <v>3307</v>
      </c>
      <c r="B917" s="10" t="s">
        <v>3336</v>
      </c>
      <c r="C917" s="11" t="s">
        <v>3349</v>
      </c>
      <c r="D917" s="11" t="s">
        <v>3350</v>
      </c>
      <c r="E917" s="11" t="s">
        <v>26</v>
      </c>
      <c r="F917" s="11" t="s">
        <v>3351</v>
      </c>
      <c r="G917" s="11" t="s">
        <v>28</v>
      </c>
      <c r="H917" s="11" t="s">
        <v>3310</v>
      </c>
      <c r="I917" s="11" t="s">
        <v>3311</v>
      </c>
      <c r="J917" s="12">
        <v>0.98899999999999999</v>
      </c>
      <c r="K917" s="13">
        <v>1</v>
      </c>
      <c r="L917" s="14">
        <v>75</v>
      </c>
      <c r="M917" s="10">
        <v>28</v>
      </c>
      <c r="N917" s="10">
        <v>8288</v>
      </c>
      <c r="O917" s="10">
        <v>2196</v>
      </c>
      <c r="P917" s="10">
        <v>10484</v>
      </c>
    </row>
    <row r="918" spans="1:16" ht="27" customHeight="1" x14ac:dyDescent="0.2">
      <c r="A918" s="9" t="s">
        <v>3307</v>
      </c>
      <c r="B918" s="10" t="s">
        <v>3352</v>
      </c>
      <c r="C918" s="11" t="s">
        <v>18</v>
      </c>
      <c r="D918" s="11" t="s">
        <v>19</v>
      </c>
      <c r="E918" s="11" t="s">
        <v>19</v>
      </c>
      <c r="F918" s="11" t="s">
        <v>3353</v>
      </c>
      <c r="G918" s="11" t="s">
        <v>83</v>
      </c>
      <c r="H918" s="11" t="s">
        <v>3354</v>
      </c>
      <c r="I918" s="11" t="s">
        <v>3355</v>
      </c>
      <c r="J918" s="12">
        <v>0.55700000000000005</v>
      </c>
      <c r="K918" s="13">
        <v>2</v>
      </c>
      <c r="L918" s="14">
        <v>79</v>
      </c>
      <c r="M918" s="10">
        <v>44</v>
      </c>
      <c r="N918" s="10">
        <v>8730</v>
      </c>
      <c r="O918" s="10">
        <v>3450</v>
      </c>
      <c r="P918" s="10">
        <v>12180</v>
      </c>
    </row>
    <row r="919" spans="1:16" ht="27" customHeight="1" x14ac:dyDescent="0.2">
      <c r="A919" s="9" t="s">
        <v>3307</v>
      </c>
      <c r="B919" s="10" t="s">
        <v>3356</v>
      </c>
      <c r="C919" s="11" t="s">
        <v>18</v>
      </c>
      <c r="D919" s="11" t="s">
        <v>19</v>
      </c>
      <c r="E919" s="11" t="s">
        <v>19</v>
      </c>
      <c r="F919" s="11" t="s">
        <v>3357</v>
      </c>
      <c r="G919" s="11" t="s">
        <v>83</v>
      </c>
      <c r="H919" s="11" t="s">
        <v>3358</v>
      </c>
      <c r="I919" s="11" t="s">
        <v>3359</v>
      </c>
      <c r="J919" s="12">
        <v>0.5</v>
      </c>
      <c r="K919" s="13">
        <v>11</v>
      </c>
      <c r="L919" s="14">
        <v>2578</v>
      </c>
      <c r="M919" s="10">
        <v>1045</v>
      </c>
      <c r="N919" s="10">
        <v>284875</v>
      </c>
      <c r="O919" s="10">
        <v>81947</v>
      </c>
      <c r="P919" s="10">
        <v>366822</v>
      </c>
    </row>
    <row r="920" spans="1:16" ht="27" customHeight="1" x14ac:dyDescent="0.2">
      <c r="A920" s="9" t="s">
        <v>3307</v>
      </c>
      <c r="B920" s="10" t="s">
        <v>3360</v>
      </c>
      <c r="C920" s="11" t="s">
        <v>18</v>
      </c>
      <c r="D920" s="11" t="s">
        <v>19</v>
      </c>
      <c r="E920" s="11" t="s">
        <v>19</v>
      </c>
      <c r="F920" s="11" t="s">
        <v>3361</v>
      </c>
      <c r="G920" s="11" t="s">
        <v>83</v>
      </c>
      <c r="H920" s="11" t="s">
        <v>3362</v>
      </c>
      <c r="I920" s="11" t="s">
        <v>3363</v>
      </c>
      <c r="J920" s="12">
        <v>0.76190000000000002</v>
      </c>
      <c r="K920" s="13">
        <v>8</v>
      </c>
      <c r="L920" s="14">
        <v>1015</v>
      </c>
      <c r="M920" s="10">
        <v>479</v>
      </c>
      <c r="N920" s="10">
        <v>112159</v>
      </c>
      <c r="O920" s="10">
        <v>37563</v>
      </c>
      <c r="P920" s="10">
        <v>149722</v>
      </c>
    </row>
    <row r="921" spans="1:16" ht="27" customHeight="1" x14ac:dyDescent="0.2">
      <c r="A921" s="9" t="s">
        <v>3307</v>
      </c>
      <c r="B921" s="10" t="s">
        <v>3360</v>
      </c>
      <c r="C921" s="11" t="s">
        <v>3364</v>
      </c>
      <c r="D921" s="11" t="s">
        <v>3365</v>
      </c>
      <c r="E921" s="11" t="s">
        <v>57</v>
      </c>
      <c r="F921" s="11" t="s">
        <v>3366</v>
      </c>
      <c r="G921" s="11" t="s">
        <v>28</v>
      </c>
      <c r="H921" s="11" t="s">
        <v>3310</v>
      </c>
      <c r="I921" s="11" t="s">
        <v>3311</v>
      </c>
      <c r="J921" s="12">
        <v>0.98899999999999999</v>
      </c>
      <c r="K921" s="13">
        <v>1</v>
      </c>
      <c r="L921" s="14">
        <v>214</v>
      </c>
      <c r="M921" s="10">
        <v>86</v>
      </c>
      <c r="N921" s="10">
        <v>23647</v>
      </c>
      <c r="O921" s="10">
        <v>6744</v>
      </c>
      <c r="P921" s="10">
        <v>30391</v>
      </c>
    </row>
    <row r="922" spans="1:16" ht="27" customHeight="1" x14ac:dyDescent="0.2">
      <c r="A922" s="9" t="s">
        <v>3307</v>
      </c>
      <c r="B922" s="10" t="s">
        <v>3360</v>
      </c>
      <c r="C922" s="11" t="s">
        <v>3367</v>
      </c>
      <c r="D922" s="11" t="s">
        <v>3368</v>
      </c>
      <c r="E922" s="11" t="s">
        <v>57</v>
      </c>
      <c r="F922" s="11" t="s">
        <v>3369</v>
      </c>
      <c r="G922" s="11" t="s">
        <v>28</v>
      </c>
      <c r="H922" s="11" t="s">
        <v>3369</v>
      </c>
      <c r="I922" s="11" t="s">
        <v>3370</v>
      </c>
      <c r="J922" s="12">
        <v>0.50970000000000004</v>
      </c>
      <c r="K922" s="13">
        <v>1</v>
      </c>
      <c r="L922" s="14">
        <v>206</v>
      </c>
      <c r="M922" s="10">
        <v>105</v>
      </c>
      <c r="N922" s="10">
        <v>22763</v>
      </c>
      <c r="O922" s="10">
        <v>8234</v>
      </c>
      <c r="P922" s="10">
        <v>30997</v>
      </c>
    </row>
    <row r="923" spans="1:16" ht="27" customHeight="1" x14ac:dyDescent="0.2">
      <c r="A923" s="9" t="s">
        <v>3307</v>
      </c>
      <c r="B923" s="10" t="s">
        <v>3371</v>
      </c>
      <c r="C923" s="11" t="s">
        <v>18</v>
      </c>
      <c r="D923" s="11" t="s">
        <v>19</v>
      </c>
      <c r="E923" s="11" t="s">
        <v>19</v>
      </c>
      <c r="F923" s="11" t="s">
        <v>3372</v>
      </c>
      <c r="G923" s="11" t="s">
        <v>83</v>
      </c>
      <c r="H923" s="11" t="s">
        <v>3373</v>
      </c>
      <c r="I923" s="11" t="s">
        <v>3374</v>
      </c>
      <c r="J923" s="12">
        <v>0.69740000000000002</v>
      </c>
      <c r="K923" s="13">
        <v>10</v>
      </c>
      <c r="L923" s="14">
        <v>1386</v>
      </c>
      <c r="M923" s="10">
        <v>797</v>
      </c>
      <c r="N923" s="10">
        <v>153156</v>
      </c>
      <c r="O923" s="10">
        <v>62500</v>
      </c>
      <c r="P923" s="10">
        <v>215656</v>
      </c>
    </row>
    <row r="924" spans="1:16" ht="27" customHeight="1" x14ac:dyDescent="0.2">
      <c r="A924" s="9" t="s">
        <v>3307</v>
      </c>
      <c r="B924" s="10" t="s">
        <v>3371</v>
      </c>
      <c r="C924" s="11" t="s">
        <v>3375</v>
      </c>
      <c r="D924" s="11" t="s">
        <v>3376</v>
      </c>
      <c r="E924" s="11" t="s">
        <v>26</v>
      </c>
      <c r="F924" s="11" t="s">
        <v>3377</v>
      </c>
      <c r="G924" s="11" t="s">
        <v>28</v>
      </c>
      <c r="H924" s="11" t="s">
        <v>3310</v>
      </c>
      <c r="I924" s="11" t="s">
        <v>3311</v>
      </c>
      <c r="J924" s="12">
        <v>0.98899999999999999</v>
      </c>
      <c r="K924" s="13">
        <v>1</v>
      </c>
      <c r="L924" s="14">
        <v>86</v>
      </c>
      <c r="M924" s="10">
        <v>31</v>
      </c>
      <c r="N924" s="10">
        <v>9503</v>
      </c>
      <c r="O924" s="10">
        <v>2431</v>
      </c>
      <c r="P924" s="10">
        <v>11934</v>
      </c>
    </row>
    <row r="925" spans="1:16" ht="27" customHeight="1" x14ac:dyDescent="0.2">
      <c r="A925" s="9" t="s">
        <v>3307</v>
      </c>
      <c r="B925" s="10" t="s">
        <v>3371</v>
      </c>
      <c r="C925" s="11" t="s">
        <v>3378</v>
      </c>
      <c r="D925" s="11" t="s">
        <v>3379</v>
      </c>
      <c r="E925" s="11" t="s">
        <v>26</v>
      </c>
      <c r="F925" s="11" t="s">
        <v>3380</v>
      </c>
      <c r="G925" s="11" t="s">
        <v>28</v>
      </c>
      <c r="H925" s="11" t="s">
        <v>3380</v>
      </c>
      <c r="I925" s="11" t="s">
        <v>3381</v>
      </c>
      <c r="J925" s="12">
        <v>0.39319999999999999</v>
      </c>
      <c r="K925" s="13">
        <v>1</v>
      </c>
      <c r="L925" s="14">
        <v>206</v>
      </c>
      <c r="M925" s="10">
        <v>81</v>
      </c>
      <c r="N925" s="10">
        <v>22763</v>
      </c>
      <c r="O925" s="10">
        <v>6352</v>
      </c>
      <c r="P925" s="10">
        <v>29115</v>
      </c>
    </row>
    <row r="926" spans="1:16" ht="27" customHeight="1" x14ac:dyDescent="0.2">
      <c r="A926" s="9" t="s">
        <v>3382</v>
      </c>
      <c r="B926" s="10" t="s">
        <v>3383</v>
      </c>
      <c r="C926" s="11" t="s">
        <v>18</v>
      </c>
      <c r="D926" s="11" t="s">
        <v>19</v>
      </c>
      <c r="E926" s="11" t="s">
        <v>19</v>
      </c>
      <c r="F926" s="11" t="s">
        <v>3384</v>
      </c>
      <c r="G926" s="11" t="s">
        <v>21</v>
      </c>
      <c r="H926" s="11" t="s">
        <v>3385</v>
      </c>
      <c r="I926" s="11" t="s">
        <v>3386</v>
      </c>
      <c r="J926" s="12">
        <v>0.98599999999999999</v>
      </c>
      <c r="K926" s="13">
        <v>4</v>
      </c>
      <c r="L926" s="14">
        <v>316</v>
      </c>
      <c r="M926" s="10">
        <v>159</v>
      </c>
      <c r="N926" s="10">
        <v>34919</v>
      </c>
      <c r="O926" s="10">
        <v>12469</v>
      </c>
      <c r="P926" s="10">
        <v>47388</v>
      </c>
    </row>
    <row r="927" spans="1:16" ht="27" customHeight="1" x14ac:dyDescent="0.2">
      <c r="A927" s="9" t="s">
        <v>3382</v>
      </c>
      <c r="B927" s="10" t="s">
        <v>3383</v>
      </c>
      <c r="C927" s="11" t="s">
        <v>3387</v>
      </c>
      <c r="D927" s="11" t="s">
        <v>3388</v>
      </c>
      <c r="E927" s="11" t="s">
        <v>26</v>
      </c>
      <c r="F927" s="11" t="s">
        <v>3389</v>
      </c>
      <c r="G927" s="11" t="s">
        <v>28</v>
      </c>
      <c r="H927" s="11" t="s">
        <v>3389</v>
      </c>
      <c r="I927" s="11" t="s">
        <v>3390</v>
      </c>
      <c r="J927" s="12">
        <v>0.25359999999999999</v>
      </c>
      <c r="K927" s="13">
        <v>1</v>
      </c>
      <c r="L927" s="14">
        <v>209</v>
      </c>
      <c r="M927" s="10">
        <v>53</v>
      </c>
      <c r="N927" s="10">
        <v>23095</v>
      </c>
      <c r="O927" s="10">
        <v>4156</v>
      </c>
      <c r="P927" s="10">
        <v>27251</v>
      </c>
    </row>
    <row r="928" spans="1:16" ht="27" customHeight="1" x14ac:dyDescent="0.2">
      <c r="A928" s="9" t="s">
        <v>3382</v>
      </c>
      <c r="B928" s="10" t="s">
        <v>3383</v>
      </c>
      <c r="C928" s="11" t="s">
        <v>3391</v>
      </c>
      <c r="D928" s="11" t="s">
        <v>3392</v>
      </c>
      <c r="E928" s="11" t="s">
        <v>57</v>
      </c>
      <c r="F928" s="11" t="s">
        <v>3393</v>
      </c>
      <c r="G928" s="11" t="s">
        <v>28</v>
      </c>
      <c r="H928" s="11" t="s">
        <v>3385</v>
      </c>
      <c r="I928" s="11" t="s">
        <v>3386</v>
      </c>
      <c r="J928" s="12">
        <v>0.98599999999999999</v>
      </c>
      <c r="K928" s="13">
        <v>1</v>
      </c>
      <c r="L928" s="14">
        <v>28</v>
      </c>
      <c r="M928" s="10">
        <v>18</v>
      </c>
      <c r="N928" s="10">
        <v>3094</v>
      </c>
      <c r="O928" s="10">
        <v>1412</v>
      </c>
      <c r="P928" s="10">
        <v>4506</v>
      </c>
    </row>
    <row r="929" spans="1:16" ht="27" customHeight="1" x14ac:dyDescent="0.2">
      <c r="A929" s="9" t="s">
        <v>3382</v>
      </c>
      <c r="B929" s="10" t="s">
        <v>3394</v>
      </c>
      <c r="C929" s="11" t="s">
        <v>18</v>
      </c>
      <c r="D929" s="11" t="s">
        <v>19</v>
      </c>
      <c r="E929" s="11" t="s">
        <v>19</v>
      </c>
      <c r="F929" s="11" t="s">
        <v>3395</v>
      </c>
      <c r="G929" s="11" t="s">
        <v>83</v>
      </c>
      <c r="H929" s="11" t="s">
        <v>3396</v>
      </c>
      <c r="I929" s="11" t="s">
        <v>3397</v>
      </c>
      <c r="J929" s="12">
        <v>0.43559999999999999</v>
      </c>
      <c r="K929" s="13">
        <v>2</v>
      </c>
      <c r="L929" s="14">
        <v>102</v>
      </c>
      <c r="M929" s="10">
        <v>44</v>
      </c>
      <c r="N929" s="10">
        <v>11271</v>
      </c>
      <c r="O929" s="10">
        <v>3450</v>
      </c>
      <c r="P929" s="10">
        <v>14721</v>
      </c>
    </row>
    <row r="930" spans="1:16" ht="27" customHeight="1" x14ac:dyDescent="0.2">
      <c r="A930" s="9" t="s">
        <v>3382</v>
      </c>
      <c r="B930" s="10" t="s">
        <v>3398</v>
      </c>
      <c r="C930" s="11" t="s">
        <v>18</v>
      </c>
      <c r="D930" s="11" t="s">
        <v>19</v>
      </c>
      <c r="E930" s="11" t="s">
        <v>19</v>
      </c>
      <c r="F930" s="11" t="s">
        <v>3399</v>
      </c>
      <c r="G930" s="11" t="s">
        <v>83</v>
      </c>
      <c r="H930" s="11" t="s">
        <v>3400</v>
      </c>
      <c r="I930" s="11" t="s">
        <v>3401</v>
      </c>
      <c r="J930" s="12">
        <v>0.24940000000000001</v>
      </c>
      <c r="K930" s="13">
        <v>5</v>
      </c>
      <c r="L930" s="14">
        <v>1815</v>
      </c>
      <c r="M930" s="10">
        <v>289</v>
      </c>
      <c r="N930" s="10">
        <v>200561</v>
      </c>
      <c r="O930" s="10">
        <v>22662</v>
      </c>
      <c r="P930" s="10">
        <v>223223</v>
      </c>
    </row>
    <row r="931" spans="1:16" ht="27" customHeight="1" x14ac:dyDescent="0.2">
      <c r="A931" s="9" t="s">
        <v>3382</v>
      </c>
      <c r="B931" s="10" t="s">
        <v>3402</v>
      </c>
      <c r="C931" s="11" t="s">
        <v>18</v>
      </c>
      <c r="D931" s="11" t="s">
        <v>19</v>
      </c>
      <c r="E931" s="11" t="s">
        <v>19</v>
      </c>
      <c r="F931" s="11" t="s">
        <v>3403</v>
      </c>
      <c r="G931" s="11" t="s">
        <v>83</v>
      </c>
      <c r="H931" s="11" t="s">
        <v>3404</v>
      </c>
      <c r="I931" s="11" t="s">
        <v>3405</v>
      </c>
      <c r="J931" s="12">
        <v>0.1331</v>
      </c>
      <c r="K931" s="13">
        <v>3</v>
      </c>
      <c r="L931" s="14">
        <v>1054</v>
      </c>
      <c r="M931" s="10">
        <v>130</v>
      </c>
      <c r="N931" s="10">
        <v>116468</v>
      </c>
      <c r="O931" s="10">
        <v>10194</v>
      </c>
      <c r="P931" s="10">
        <v>126662</v>
      </c>
    </row>
    <row r="932" spans="1:16" ht="27" customHeight="1" x14ac:dyDescent="0.2">
      <c r="A932" s="9" t="s">
        <v>3382</v>
      </c>
      <c r="B932" s="10" t="s">
        <v>3406</v>
      </c>
      <c r="C932" s="11" t="s">
        <v>18</v>
      </c>
      <c r="D932" s="11" t="s">
        <v>19</v>
      </c>
      <c r="E932" s="11" t="s">
        <v>19</v>
      </c>
      <c r="F932" s="11" t="s">
        <v>3407</v>
      </c>
      <c r="G932" s="11" t="s">
        <v>83</v>
      </c>
      <c r="H932" s="11" t="s">
        <v>3408</v>
      </c>
      <c r="I932" s="11" t="s">
        <v>3409</v>
      </c>
      <c r="J932" s="12">
        <v>0.77780000000000005</v>
      </c>
      <c r="K932" s="13">
        <v>3</v>
      </c>
      <c r="L932" s="14">
        <v>16</v>
      </c>
      <c r="M932" s="10">
        <v>7</v>
      </c>
      <c r="N932" s="10">
        <v>1769</v>
      </c>
      <c r="O932" s="10">
        <v>549</v>
      </c>
      <c r="P932" s="10">
        <v>2318</v>
      </c>
    </row>
    <row r="933" spans="1:16" ht="27" customHeight="1" x14ac:dyDescent="0.2">
      <c r="A933" s="9" t="s">
        <v>3382</v>
      </c>
      <c r="B933" s="10" t="s">
        <v>3410</v>
      </c>
      <c r="C933" s="11" t="s">
        <v>18</v>
      </c>
      <c r="D933" s="11" t="s">
        <v>19</v>
      </c>
      <c r="E933" s="11" t="s">
        <v>19</v>
      </c>
      <c r="F933" s="11" t="s">
        <v>3411</v>
      </c>
      <c r="G933" s="11" t="s">
        <v>83</v>
      </c>
      <c r="H933" s="11" t="s">
        <v>3412</v>
      </c>
      <c r="I933" s="11" t="s">
        <v>3413</v>
      </c>
      <c r="J933" s="12">
        <v>0.19350000000000001</v>
      </c>
      <c r="K933" s="13">
        <v>3</v>
      </c>
      <c r="L933" s="14">
        <v>160</v>
      </c>
      <c r="M933" s="10">
        <v>24</v>
      </c>
      <c r="N933" s="10">
        <v>17681</v>
      </c>
      <c r="O933" s="10">
        <v>1883</v>
      </c>
      <c r="P933" s="10">
        <v>19564</v>
      </c>
    </row>
    <row r="934" spans="1:16" ht="27" customHeight="1" x14ac:dyDescent="0.2">
      <c r="A934" s="9" t="s">
        <v>3382</v>
      </c>
      <c r="B934" s="10" t="s">
        <v>3414</v>
      </c>
      <c r="C934" s="11" t="s">
        <v>18</v>
      </c>
      <c r="D934" s="11" t="s">
        <v>19</v>
      </c>
      <c r="E934" s="11" t="s">
        <v>19</v>
      </c>
      <c r="F934" s="11" t="s">
        <v>3415</v>
      </c>
      <c r="G934" s="11" t="s">
        <v>83</v>
      </c>
      <c r="H934" s="11" t="s">
        <v>3416</v>
      </c>
      <c r="I934" s="11" t="s">
        <v>3417</v>
      </c>
      <c r="J934" s="12">
        <v>5.3100000000000001E-2</v>
      </c>
      <c r="K934" s="13">
        <v>4</v>
      </c>
      <c r="L934" s="14">
        <v>1269</v>
      </c>
      <c r="M934" s="10">
        <v>79</v>
      </c>
      <c r="N934" s="10">
        <v>140227</v>
      </c>
      <c r="O934" s="10">
        <v>6195</v>
      </c>
      <c r="P934" s="10">
        <v>146422</v>
      </c>
    </row>
    <row r="935" spans="1:16" ht="27" customHeight="1" x14ac:dyDescent="0.2">
      <c r="A935" s="9" t="s">
        <v>3382</v>
      </c>
      <c r="B935" s="10" t="s">
        <v>3418</v>
      </c>
      <c r="C935" s="11" t="s">
        <v>18</v>
      </c>
      <c r="D935" s="11" t="s">
        <v>19</v>
      </c>
      <c r="E935" s="11" t="s">
        <v>19</v>
      </c>
      <c r="F935" s="11" t="s">
        <v>3419</v>
      </c>
      <c r="G935" s="11" t="s">
        <v>83</v>
      </c>
      <c r="H935" s="11" t="s">
        <v>3420</v>
      </c>
      <c r="I935" s="11" t="s">
        <v>3421</v>
      </c>
      <c r="J935" s="12">
        <v>7.4800000000000005E-2</v>
      </c>
      <c r="K935" s="13">
        <v>7</v>
      </c>
      <c r="L935" s="14">
        <v>2364</v>
      </c>
      <c r="M935" s="10">
        <v>147</v>
      </c>
      <c r="N935" s="10">
        <v>261226</v>
      </c>
      <c r="O935" s="10">
        <v>11528</v>
      </c>
      <c r="P935" s="10">
        <v>272754</v>
      </c>
    </row>
    <row r="936" spans="1:16" ht="27" customHeight="1" x14ac:dyDescent="0.2">
      <c r="A936" s="9" t="s">
        <v>3382</v>
      </c>
      <c r="B936" s="10" t="s">
        <v>3422</v>
      </c>
      <c r="C936" s="11" t="s">
        <v>18</v>
      </c>
      <c r="D936" s="11" t="s">
        <v>19</v>
      </c>
      <c r="E936" s="11" t="s">
        <v>19</v>
      </c>
      <c r="F936" s="11" t="s">
        <v>3423</v>
      </c>
      <c r="G936" s="11" t="s">
        <v>83</v>
      </c>
      <c r="H936" s="11" t="s">
        <v>3423</v>
      </c>
      <c r="I936" s="11" t="s">
        <v>3424</v>
      </c>
      <c r="J936" s="12">
        <v>0.58819999999999995</v>
      </c>
      <c r="K936" s="13">
        <v>2</v>
      </c>
      <c r="L936" s="14">
        <v>34</v>
      </c>
      <c r="M936" s="10">
        <v>20</v>
      </c>
      <c r="N936" s="10">
        <v>3757</v>
      </c>
      <c r="O936" s="10">
        <v>1568</v>
      </c>
      <c r="P936" s="10">
        <v>5325</v>
      </c>
    </row>
    <row r="937" spans="1:16" ht="27" customHeight="1" x14ac:dyDescent="0.2">
      <c r="A937" s="9" t="s">
        <v>3382</v>
      </c>
      <c r="B937" s="10" t="s">
        <v>3425</v>
      </c>
      <c r="C937" s="11" t="s">
        <v>18</v>
      </c>
      <c r="D937" s="11" t="s">
        <v>19</v>
      </c>
      <c r="E937" s="11" t="s">
        <v>19</v>
      </c>
      <c r="F937" s="11" t="s">
        <v>3426</v>
      </c>
      <c r="G937" s="11" t="s">
        <v>83</v>
      </c>
      <c r="H937" s="11" t="s">
        <v>3427</v>
      </c>
      <c r="I937" s="11" t="s">
        <v>3428</v>
      </c>
      <c r="J937" s="12">
        <v>0.57820000000000005</v>
      </c>
      <c r="K937" s="13">
        <v>16</v>
      </c>
      <c r="L937" s="14">
        <v>7253</v>
      </c>
      <c r="M937" s="10">
        <v>2375</v>
      </c>
      <c r="N937" s="10">
        <v>801469</v>
      </c>
      <c r="O937" s="10">
        <v>186245</v>
      </c>
      <c r="P937" s="10">
        <v>987714</v>
      </c>
    </row>
    <row r="938" spans="1:16" ht="27" customHeight="1" x14ac:dyDescent="0.2">
      <c r="A938" s="9" t="s">
        <v>3382</v>
      </c>
      <c r="B938" s="10" t="s">
        <v>3425</v>
      </c>
      <c r="C938" s="11" t="s">
        <v>3429</v>
      </c>
      <c r="D938" s="11" t="s">
        <v>3430</v>
      </c>
      <c r="E938" s="11" t="s">
        <v>26</v>
      </c>
      <c r="F938" s="11" t="s">
        <v>3431</v>
      </c>
      <c r="G938" s="11" t="s">
        <v>28</v>
      </c>
      <c r="H938" s="11" t="s">
        <v>3431</v>
      </c>
      <c r="I938" s="11" t="s">
        <v>3432</v>
      </c>
      <c r="J938" s="12">
        <v>0.11650000000000001</v>
      </c>
      <c r="K938" s="13">
        <v>1</v>
      </c>
      <c r="L938" s="14">
        <v>266</v>
      </c>
      <c r="M938" s="10">
        <v>31</v>
      </c>
      <c r="N938" s="10">
        <v>29393</v>
      </c>
      <c r="O938" s="10">
        <v>2431</v>
      </c>
      <c r="P938" s="10">
        <v>31824</v>
      </c>
    </row>
    <row r="939" spans="1:16" ht="27" customHeight="1" x14ac:dyDescent="0.2">
      <c r="A939" s="9" t="s">
        <v>3382</v>
      </c>
      <c r="B939" s="10" t="s">
        <v>3433</v>
      </c>
      <c r="C939" s="11" t="s">
        <v>18</v>
      </c>
      <c r="D939" s="11" t="s">
        <v>19</v>
      </c>
      <c r="E939" s="11" t="s">
        <v>19</v>
      </c>
      <c r="F939" s="11" t="s">
        <v>3434</v>
      </c>
      <c r="G939" s="11" t="s">
        <v>83</v>
      </c>
      <c r="H939" s="11" t="s">
        <v>3435</v>
      </c>
      <c r="I939" s="11" t="s">
        <v>3436</v>
      </c>
      <c r="J939" s="12">
        <v>3.8800000000000001E-2</v>
      </c>
      <c r="K939" s="13">
        <v>4</v>
      </c>
      <c r="L939" s="14">
        <v>1023</v>
      </c>
      <c r="M939" s="10">
        <v>45</v>
      </c>
      <c r="N939" s="10">
        <v>113043</v>
      </c>
      <c r="O939" s="10">
        <v>3529</v>
      </c>
      <c r="P939" s="10">
        <v>116572</v>
      </c>
    </row>
    <row r="940" spans="1:16" ht="27" customHeight="1" x14ac:dyDescent="0.2">
      <c r="A940" s="9" t="s">
        <v>3382</v>
      </c>
      <c r="B940" s="10" t="s">
        <v>3437</v>
      </c>
      <c r="C940" s="11" t="s">
        <v>18</v>
      </c>
      <c r="D940" s="11" t="s">
        <v>19</v>
      </c>
      <c r="E940" s="11" t="s">
        <v>19</v>
      </c>
      <c r="F940" s="11" t="s">
        <v>3438</v>
      </c>
      <c r="G940" s="11" t="s">
        <v>83</v>
      </c>
      <c r="H940" s="11" t="s">
        <v>3438</v>
      </c>
      <c r="I940" s="11" t="s">
        <v>3439</v>
      </c>
      <c r="J940" s="12">
        <v>8.3999999999999995E-3</v>
      </c>
      <c r="K940" s="13">
        <v>2</v>
      </c>
      <c r="L940" s="14">
        <v>357</v>
      </c>
      <c r="M940" s="10">
        <v>3</v>
      </c>
      <c r="N940" s="10">
        <v>39449</v>
      </c>
      <c r="O940" s="10">
        <v>235</v>
      </c>
      <c r="P940" s="10">
        <v>39684</v>
      </c>
    </row>
    <row r="941" spans="1:16" ht="27" customHeight="1" x14ac:dyDescent="0.2">
      <c r="A941" s="9" t="s">
        <v>3382</v>
      </c>
      <c r="B941" s="10" t="s">
        <v>3440</v>
      </c>
      <c r="C941" s="11" t="s">
        <v>18</v>
      </c>
      <c r="D941" s="11" t="s">
        <v>19</v>
      </c>
      <c r="E941" s="11" t="s">
        <v>19</v>
      </c>
      <c r="F941" s="11" t="s">
        <v>3441</v>
      </c>
      <c r="G941" s="11" t="s">
        <v>83</v>
      </c>
      <c r="H941" s="11" t="s">
        <v>3385</v>
      </c>
      <c r="I941" s="11" t="s">
        <v>3386</v>
      </c>
      <c r="J941" s="12">
        <v>0.98599999999999999</v>
      </c>
      <c r="K941" s="13">
        <v>10</v>
      </c>
      <c r="L941" s="14">
        <v>4323</v>
      </c>
      <c r="M941" s="10">
        <v>3170</v>
      </c>
      <c r="N941" s="10">
        <v>477699</v>
      </c>
      <c r="O941" s="10">
        <v>248587</v>
      </c>
      <c r="P941" s="10">
        <v>726286</v>
      </c>
    </row>
    <row r="942" spans="1:16" ht="27" customHeight="1" x14ac:dyDescent="0.2">
      <c r="A942" s="9" t="s">
        <v>3382</v>
      </c>
      <c r="B942" s="10" t="s">
        <v>3442</v>
      </c>
      <c r="C942" s="11" t="s">
        <v>18</v>
      </c>
      <c r="D942" s="11" t="s">
        <v>19</v>
      </c>
      <c r="E942" s="11" t="s">
        <v>19</v>
      </c>
      <c r="F942" s="11" t="s">
        <v>3443</v>
      </c>
      <c r="G942" s="11" t="s">
        <v>83</v>
      </c>
      <c r="H942" s="11" t="s">
        <v>3385</v>
      </c>
      <c r="I942" s="11" t="s">
        <v>3386</v>
      </c>
      <c r="J942" s="12">
        <v>0.98599999999999999</v>
      </c>
      <c r="K942" s="13">
        <v>4</v>
      </c>
      <c r="L942" s="14">
        <v>2644</v>
      </c>
      <c r="M942" s="10">
        <v>1612</v>
      </c>
      <c r="N942" s="10">
        <v>292166</v>
      </c>
      <c r="O942" s="10">
        <v>126412</v>
      </c>
      <c r="P942" s="10">
        <v>418578</v>
      </c>
    </row>
    <row r="943" spans="1:16" ht="27" customHeight="1" x14ac:dyDescent="0.2">
      <c r="A943" s="9" t="s">
        <v>3382</v>
      </c>
      <c r="B943" s="10" t="s">
        <v>3444</v>
      </c>
      <c r="C943" s="11" t="s">
        <v>18</v>
      </c>
      <c r="D943" s="11" t="s">
        <v>19</v>
      </c>
      <c r="E943" s="11" t="s">
        <v>19</v>
      </c>
      <c r="F943" s="11" t="s">
        <v>3445</v>
      </c>
      <c r="G943" s="11" t="s">
        <v>83</v>
      </c>
      <c r="H943" s="11" t="s">
        <v>3446</v>
      </c>
      <c r="I943" s="11" t="s">
        <v>3447</v>
      </c>
      <c r="J943" s="12">
        <v>0.46539999999999998</v>
      </c>
      <c r="K943" s="13">
        <v>2</v>
      </c>
      <c r="L943" s="14">
        <v>318</v>
      </c>
      <c r="M943" s="10">
        <v>148</v>
      </c>
      <c r="N943" s="10">
        <v>35140</v>
      </c>
      <c r="O943" s="10">
        <v>11606</v>
      </c>
      <c r="P943" s="10">
        <v>46746</v>
      </c>
    </row>
    <row r="944" spans="1:16" ht="27" customHeight="1" x14ac:dyDescent="0.2">
      <c r="A944" s="9" t="s">
        <v>3382</v>
      </c>
      <c r="B944" s="10" t="s">
        <v>3448</v>
      </c>
      <c r="C944" s="11" t="s">
        <v>18</v>
      </c>
      <c r="D944" s="11" t="s">
        <v>19</v>
      </c>
      <c r="E944" s="11" t="s">
        <v>19</v>
      </c>
      <c r="F944" s="11" t="s">
        <v>3449</v>
      </c>
      <c r="G944" s="11" t="s">
        <v>83</v>
      </c>
      <c r="H944" s="11" t="s">
        <v>3385</v>
      </c>
      <c r="I944" s="11" t="s">
        <v>3386</v>
      </c>
      <c r="J944" s="12">
        <v>0.98599999999999999</v>
      </c>
      <c r="K944" s="13">
        <v>6</v>
      </c>
      <c r="L944" s="14">
        <v>4813</v>
      </c>
      <c r="M944" s="10">
        <v>476</v>
      </c>
      <c r="N944" s="10">
        <v>531845</v>
      </c>
      <c r="O944" s="10">
        <v>37328</v>
      </c>
      <c r="P944" s="10">
        <v>569173</v>
      </c>
    </row>
    <row r="945" spans="1:16" ht="27" customHeight="1" x14ac:dyDescent="0.2">
      <c r="A945" s="9" t="s">
        <v>3382</v>
      </c>
      <c r="B945" s="10" t="s">
        <v>3450</v>
      </c>
      <c r="C945" s="11" t="s">
        <v>18</v>
      </c>
      <c r="D945" s="11" t="s">
        <v>19</v>
      </c>
      <c r="E945" s="11" t="s">
        <v>19</v>
      </c>
      <c r="F945" s="11" t="s">
        <v>3451</v>
      </c>
      <c r="G945" s="11" t="s">
        <v>83</v>
      </c>
      <c r="H945" s="11" t="s">
        <v>3452</v>
      </c>
      <c r="I945" s="11" t="s">
        <v>3453</v>
      </c>
      <c r="J945" s="12">
        <v>0.70830000000000004</v>
      </c>
      <c r="K945" s="13">
        <v>6</v>
      </c>
      <c r="L945" s="14">
        <v>503</v>
      </c>
      <c r="M945" s="10">
        <v>298</v>
      </c>
      <c r="N945" s="10">
        <v>55583</v>
      </c>
      <c r="O945" s="10">
        <v>23369</v>
      </c>
      <c r="P945" s="10">
        <v>78952</v>
      </c>
    </row>
    <row r="946" spans="1:16" ht="27" customHeight="1" x14ac:dyDescent="0.2">
      <c r="A946" s="9" t="s">
        <v>3382</v>
      </c>
      <c r="B946" s="10" t="s">
        <v>3454</v>
      </c>
      <c r="C946" s="11" t="s">
        <v>18</v>
      </c>
      <c r="D946" s="11" t="s">
        <v>19</v>
      </c>
      <c r="E946" s="11" t="s">
        <v>19</v>
      </c>
      <c r="F946" s="11" t="s">
        <v>3455</v>
      </c>
      <c r="G946" s="11" t="s">
        <v>83</v>
      </c>
      <c r="H946" s="11" t="s">
        <v>3456</v>
      </c>
      <c r="I946" s="11" t="s">
        <v>3457</v>
      </c>
      <c r="J946" s="12">
        <v>0.16950000000000001</v>
      </c>
      <c r="K946" s="13">
        <v>6</v>
      </c>
      <c r="L946" s="14">
        <v>1721</v>
      </c>
      <c r="M946" s="10">
        <v>174</v>
      </c>
      <c r="N946" s="10">
        <v>190174</v>
      </c>
      <c r="O946" s="10">
        <v>13645</v>
      </c>
      <c r="P946" s="10">
        <v>203819</v>
      </c>
    </row>
    <row r="947" spans="1:16" ht="27" customHeight="1" x14ac:dyDescent="0.2">
      <c r="A947" s="9" t="s">
        <v>3458</v>
      </c>
      <c r="B947" s="10" t="s">
        <v>3459</v>
      </c>
      <c r="C947" s="11" t="s">
        <v>18</v>
      </c>
      <c r="D947" s="11" t="s">
        <v>19</v>
      </c>
      <c r="E947" s="11" t="s">
        <v>19</v>
      </c>
      <c r="F947" s="11" t="s">
        <v>3460</v>
      </c>
      <c r="G947" s="11" t="s">
        <v>21</v>
      </c>
      <c r="H947" s="11" t="s">
        <v>3461</v>
      </c>
      <c r="I947" s="11" t="s">
        <v>3462</v>
      </c>
      <c r="J947" s="12">
        <v>0.87880000000000003</v>
      </c>
      <c r="K947" s="13">
        <v>4</v>
      </c>
      <c r="L947" s="14">
        <v>52</v>
      </c>
      <c r="M947" s="10">
        <v>39</v>
      </c>
      <c r="N947" s="10">
        <v>5747</v>
      </c>
      <c r="O947" s="10">
        <v>3058</v>
      </c>
      <c r="P947" s="10">
        <v>8805</v>
      </c>
    </row>
    <row r="948" spans="1:16" ht="27" customHeight="1" x14ac:dyDescent="0.2">
      <c r="A948" s="9" t="s">
        <v>3458</v>
      </c>
      <c r="B948" s="10" t="s">
        <v>3463</v>
      </c>
      <c r="C948" s="11" t="s">
        <v>18</v>
      </c>
      <c r="D948" s="11" t="s">
        <v>19</v>
      </c>
      <c r="E948" s="11" t="s">
        <v>19</v>
      </c>
      <c r="F948" s="11" t="s">
        <v>3464</v>
      </c>
      <c r="G948" s="11" t="s">
        <v>83</v>
      </c>
      <c r="H948" s="11" t="s">
        <v>3461</v>
      </c>
      <c r="I948" s="11" t="s">
        <v>3462</v>
      </c>
      <c r="J948" s="12">
        <v>0.87880000000000003</v>
      </c>
      <c r="K948" s="13">
        <v>12</v>
      </c>
      <c r="L948" s="14">
        <v>1695</v>
      </c>
      <c r="M948" s="10">
        <v>1131</v>
      </c>
      <c r="N948" s="10">
        <v>187302</v>
      </c>
      <c r="O948" s="10">
        <v>88691</v>
      </c>
      <c r="P948" s="10">
        <v>275993</v>
      </c>
    </row>
    <row r="949" spans="1:16" ht="27" customHeight="1" x14ac:dyDescent="0.2">
      <c r="A949" s="9" t="s">
        <v>3458</v>
      </c>
      <c r="B949" s="10" t="s">
        <v>3463</v>
      </c>
      <c r="C949" s="11" t="s">
        <v>3465</v>
      </c>
      <c r="D949" s="11" t="s">
        <v>3466</v>
      </c>
      <c r="E949" s="11" t="s">
        <v>26</v>
      </c>
      <c r="F949" s="11" t="s">
        <v>3467</v>
      </c>
      <c r="G949" s="11" t="s">
        <v>28</v>
      </c>
      <c r="H949" s="11" t="s">
        <v>3467</v>
      </c>
      <c r="I949" s="11" t="s">
        <v>3468</v>
      </c>
      <c r="J949" s="12">
        <v>0.42420000000000002</v>
      </c>
      <c r="K949" s="13">
        <v>1</v>
      </c>
      <c r="L949" s="14">
        <v>132</v>
      </c>
      <c r="M949" s="10">
        <v>56</v>
      </c>
      <c r="N949" s="10">
        <v>14586</v>
      </c>
      <c r="O949" s="10">
        <v>4391</v>
      </c>
      <c r="P949" s="10">
        <v>18977</v>
      </c>
    </row>
    <row r="950" spans="1:16" ht="27" customHeight="1" x14ac:dyDescent="0.2">
      <c r="A950" s="9" t="s">
        <v>3469</v>
      </c>
      <c r="B950" s="10" t="s">
        <v>3470</v>
      </c>
      <c r="C950" s="11" t="s">
        <v>18</v>
      </c>
      <c r="D950" s="11" t="s">
        <v>19</v>
      </c>
      <c r="E950" s="11" t="s">
        <v>19</v>
      </c>
      <c r="F950" s="11" t="s">
        <v>3471</v>
      </c>
      <c r="G950" s="11" t="s">
        <v>21</v>
      </c>
      <c r="H950" s="11" t="s">
        <v>3472</v>
      </c>
      <c r="I950" s="11" t="s">
        <v>3473</v>
      </c>
      <c r="J950" s="12">
        <v>0.98109999999999997</v>
      </c>
      <c r="K950" s="13">
        <v>4</v>
      </c>
      <c r="L950" s="14">
        <v>434</v>
      </c>
      <c r="M950" s="10">
        <v>410</v>
      </c>
      <c r="N950" s="10">
        <v>47959</v>
      </c>
      <c r="O950" s="10">
        <v>32153</v>
      </c>
      <c r="P950" s="10">
        <v>80112</v>
      </c>
    </row>
    <row r="951" spans="1:16" ht="27" customHeight="1" x14ac:dyDescent="0.2">
      <c r="A951" s="9" t="s">
        <v>3469</v>
      </c>
      <c r="B951" s="10" t="s">
        <v>3474</v>
      </c>
      <c r="C951" s="11" t="s">
        <v>18</v>
      </c>
      <c r="D951" s="11" t="s">
        <v>19</v>
      </c>
      <c r="E951" s="11" t="s">
        <v>19</v>
      </c>
      <c r="F951" s="11" t="s">
        <v>3475</v>
      </c>
      <c r="G951" s="11" t="s">
        <v>83</v>
      </c>
      <c r="H951" s="11" t="s">
        <v>3476</v>
      </c>
      <c r="I951" s="11" t="s">
        <v>3477</v>
      </c>
      <c r="J951" s="12">
        <v>0.82140000000000002</v>
      </c>
      <c r="K951" s="13">
        <v>3</v>
      </c>
      <c r="L951" s="14">
        <v>423</v>
      </c>
      <c r="M951" s="10">
        <v>344</v>
      </c>
      <c r="N951" s="10">
        <v>46742</v>
      </c>
      <c r="O951" s="10">
        <v>26976</v>
      </c>
      <c r="P951" s="10">
        <v>73718</v>
      </c>
    </row>
    <row r="952" spans="1:16" ht="27" customHeight="1" x14ac:dyDescent="0.2">
      <c r="A952" s="9" t="s">
        <v>3469</v>
      </c>
      <c r="B952" s="10" t="s">
        <v>3478</v>
      </c>
      <c r="C952" s="11" t="s">
        <v>18</v>
      </c>
      <c r="D952" s="11" t="s">
        <v>19</v>
      </c>
      <c r="E952" s="11" t="s">
        <v>19</v>
      </c>
      <c r="F952" s="11" t="s">
        <v>3479</v>
      </c>
      <c r="G952" s="11" t="s">
        <v>83</v>
      </c>
      <c r="H952" s="11" t="s">
        <v>3480</v>
      </c>
      <c r="I952" s="11" t="s">
        <v>3481</v>
      </c>
      <c r="J952" s="12">
        <v>0.63109999999999999</v>
      </c>
      <c r="K952" s="13">
        <v>2</v>
      </c>
      <c r="L952" s="14">
        <v>225</v>
      </c>
      <c r="M952" s="10">
        <v>142</v>
      </c>
      <c r="N952" s="10">
        <v>24863</v>
      </c>
      <c r="O952" s="10">
        <v>11135</v>
      </c>
      <c r="P952" s="10">
        <v>35998</v>
      </c>
    </row>
    <row r="953" spans="1:16" ht="27" customHeight="1" x14ac:dyDescent="0.2">
      <c r="A953" s="9" t="s">
        <v>3469</v>
      </c>
      <c r="B953" s="10" t="s">
        <v>3478</v>
      </c>
      <c r="C953" s="11" t="s">
        <v>3482</v>
      </c>
      <c r="D953" s="11" t="s">
        <v>3483</v>
      </c>
      <c r="E953" s="11" t="s">
        <v>26</v>
      </c>
      <c r="F953" s="11" t="s">
        <v>3484</v>
      </c>
      <c r="G953" s="11" t="s">
        <v>28</v>
      </c>
      <c r="H953" s="11" t="s">
        <v>3484</v>
      </c>
      <c r="I953" s="11" t="s">
        <v>3485</v>
      </c>
      <c r="J953" s="12">
        <v>0.44290000000000002</v>
      </c>
      <c r="K953" s="13">
        <v>1</v>
      </c>
      <c r="L953" s="14">
        <v>70</v>
      </c>
      <c r="M953" s="10">
        <v>31</v>
      </c>
      <c r="N953" s="10">
        <v>7735</v>
      </c>
      <c r="O953" s="10">
        <v>2431</v>
      </c>
      <c r="P953" s="10">
        <v>10166</v>
      </c>
    </row>
    <row r="954" spans="1:16" ht="27" customHeight="1" x14ac:dyDescent="0.2">
      <c r="A954" s="9" t="s">
        <v>3469</v>
      </c>
      <c r="B954" s="10" t="s">
        <v>3486</v>
      </c>
      <c r="C954" s="11" t="s">
        <v>18</v>
      </c>
      <c r="D954" s="11" t="s">
        <v>19</v>
      </c>
      <c r="E954" s="11" t="s">
        <v>19</v>
      </c>
      <c r="F954" s="11" t="s">
        <v>3487</v>
      </c>
      <c r="G954" s="11" t="s">
        <v>83</v>
      </c>
      <c r="H954" s="11" t="s">
        <v>3488</v>
      </c>
      <c r="I954" s="11" t="s">
        <v>3489</v>
      </c>
      <c r="J954" s="12">
        <v>0.81020000000000003</v>
      </c>
      <c r="K954" s="13">
        <v>8</v>
      </c>
      <c r="L954" s="14">
        <v>1695</v>
      </c>
      <c r="M954" s="10">
        <v>1352</v>
      </c>
      <c r="N954" s="10">
        <v>187302</v>
      </c>
      <c r="O954" s="10">
        <v>106023</v>
      </c>
      <c r="P954" s="10">
        <v>293325</v>
      </c>
    </row>
    <row r="955" spans="1:16" ht="27" customHeight="1" x14ac:dyDescent="0.2">
      <c r="A955" s="9" t="s">
        <v>3469</v>
      </c>
      <c r="B955" s="10" t="s">
        <v>3486</v>
      </c>
      <c r="C955" s="11" t="s">
        <v>3490</v>
      </c>
      <c r="D955" s="11" t="s">
        <v>3491</v>
      </c>
      <c r="E955" s="11" t="s">
        <v>26</v>
      </c>
      <c r="F955" s="11" t="s">
        <v>3492</v>
      </c>
      <c r="G955" s="11" t="s">
        <v>28</v>
      </c>
      <c r="H955" s="11" t="s">
        <v>3492</v>
      </c>
      <c r="I955" s="11" t="s">
        <v>3493</v>
      </c>
      <c r="J955" s="12">
        <v>0.67069999999999996</v>
      </c>
      <c r="K955" s="13">
        <v>1</v>
      </c>
      <c r="L955" s="14">
        <v>82</v>
      </c>
      <c r="M955" s="10">
        <v>55</v>
      </c>
      <c r="N955" s="10">
        <v>9061</v>
      </c>
      <c r="O955" s="10">
        <v>4313</v>
      </c>
      <c r="P955" s="10">
        <v>13374</v>
      </c>
    </row>
    <row r="956" spans="1:16" ht="27" customHeight="1" x14ac:dyDescent="0.2">
      <c r="A956" s="9" t="s">
        <v>3469</v>
      </c>
      <c r="B956" s="10" t="s">
        <v>3494</v>
      </c>
      <c r="C956" s="11" t="s">
        <v>18</v>
      </c>
      <c r="D956" s="11" t="s">
        <v>19</v>
      </c>
      <c r="E956" s="11" t="s">
        <v>19</v>
      </c>
      <c r="F956" s="11" t="s">
        <v>3495</v>
      </c>
      <c r="G956" s="11" t="s">
        <v>83</v>
      </c>
      <c r="H956" s="11" t="s">
        <v>3496</v>
      </c>
      <c r="I956" s="11" t="s">
        <v>3497</v>
      </c>
      <c r="J956" s="12">
        <v>0.51429999999999998</v>
      </c>
      <c r="K956" s="13">
        <v>2</v>
      </c>
      <c r="L956" s="14">
        <v>35</v>
      </c>
      <c r="M956" s="10">
        <v>18</v>
      </c>
      <c r="N956" s="10">
        <v>3868</v>
      </c>
      <c r="O956" s="10">
        <v>1412</v>
      </c>
      <c r="P956" s="10">
        <v>5280</v>
      </c>
    </row>
    <row r="957" spans="1:16" ht="27" customHeight="1" x14ac:dyDescent="0.2">
      <c r="A957" s="9" t="s">
        <v>3469</v>
      </c>
      <c r="B957" s="10" t="s">
        <v>3498</v>
      </c>
      <c r="C957" s="11" t="s">
        <v>18</v>
      </c>
      <c r="D957" s="11" t="s">
        <v>19</v>
      </c>
      <c r="E957" s="11" t="s">
        <v>19</v>
      </c>
      <c r="F957" s="11" t="s">
        <v>3499</v>
      </c>
      <c r="G957" s="11" t="s">
        <v>83</v>
      </c>
      <c r="H957" s="11" t="s">
        <v>3500</v>
      </c>
      <c r="I957" s="11" t="s">
        <v>3501</v>
      </c>
      <c r="J957" s="12">
        <v>0.82350000000000001</v>
      </c>
      <c r="K957" s="13">
        <v>7</v>
      </c>
      <c r="L957" s="14">
        <v>462</v>
      </c>
      <c r="M957" s="10">
        <v>293</v>
      </c>
      <c r="N957" s="10">
        <v>51053</v>
      </c>
      <c r="O957" s="10">
        <v>22977</v>
      </c>
      <c r="P957" s="10">
        <v>74030</v>
      </c>
    </row>
    <row r="958" spans="1:16" ht="27" customHeight="1" x14ac:dyDescent="0.2">
      <c r="A958" s="9" t="s">
        <v>3469</v>
      </c>
      <c r="B958" s="10" t="s">
        <v>3502</v>
      </c>
      <c r="C958" s="11" t="s">
        <v>18</v>
      </c>
      <c r="D958" s="11" t="s">
        <v>19</v>
      </c>
      <c r="E958" s="11" t="s">
        <v>19</v>
      </c>
      <c r="F958" s="11" t="s">
        <v>3503</v>
      </c>
      <c r="G958" s="11" t="s">
        <v>83</v>
      </c>
      <c r="H958" s="11" t="s">
        <v>3472</v>
      </c>
      <c r="I958" s="11" t="s">
        <v>3473</v>
      </c>
      <c r="J958" s="12">
        <v>0.98109999999999997</v>
      </c>
      <c r="K958" s="13">
        <v>3</v>
      </c>
      <c r="L958" s="14">
        <v>130</v>
      </c>
      <c r="M958" s="10">
        <v>77</v>
      </c>
      <c r="N958" s="10">
        <v>14366</v>
      </c>
      <c r="O958" s="10">
        <v>6038</v>
      </c>
      <c r="P958" s="10">
        <v>20404</v>
      </c>
    </row>
    <row r="959" spans="1:16" ht="27" customHeight="1" x14ac:dyDescent="0.2">
      <c r="A959" s="9" t="s">
        <v>3469</v>
      </c>
      <c r="B959" s="10" t="s">
        <v>3504</v>
      </c>
      <c r="C959" s="11" t="s">
        <v>18</v>
      </c>
      <c r="D959" s="11" t="s">
        <v>19</v>
      </c>
      <c r="E959" s="11" t="s">
        <v>19</v>
      </c>
      <c r="F959" s="11" t="s">
        <v>3505</v>
      </c>
      <c r="G959" s="11" t="s">
        <v>83</v>
      </c>
      <c r="H959" s="11" t="s">
        <v>1286</v>
      </c>
      <c r="I959" s="11" t="s">
        <v>3506</v>
      </c>
      <c r="J959" s="12">
        <v>0.88490000000000002</v>
      </c>
      <c r="K959" s="13">
        <v>4</v>
      </c>
      <c r="L959" s="14">
        <v>438</v>
      </c>
      <c r="M959" s="10">
        <v>401</v>
      </c>
      <c r="N959" s="10">
        <v>48400</v>
      </c>
      <c r="O959" s="10">
        <v>31446</v>
      </c>
      <c r="P959" s="10">
        <v>79846</v>
      </c>
    </row>
    <row r="960" spans="1:16" ht="27" customHeight="1" x14ac:dyDescent="0.2">
      <c r="A960" s="9" t="s">
        <v>3469</v>
      </c>
      <c r="B960" s="10" t="s">
        <v>3504</v>
      </c>
      <c r="C960" s="11" t="s">
        <v>3507</v>
      </c>
      <c r="D960" s="11" t="s">
        <v>3508</v>
      </c>
      <c r="E960" s="11" t="s">
        <v>26</v>
      </c>
      <c r="F960" s="11" t="s">
        <v>3472</v>
      </c>
      <c r="G960" s="11" t="s">
        <v>28</v>
      </c>
      <c r="H960" s="11" t="s">
        <v>3472</v>
      </c>
      <c r="I960" s="11" t="s">
        <v>3473</v>
      </c>
      <c r="J960" s="12">
        <v>0.98109999999999997</v>
      </c>
      <c r="K960" s="13">
        <v>1</v>
      </c>
      <c r="L960" s="14">
        <v>53</v>
      </c>
      <c r="M960" s="10">
        <v>52</v>
      </c>
      <c r="N960" s="10">
        <v>5857</v>
      </c>
      <c r="O960" s="10">
        <v>4078</v>
      </c>
      <c r="P960" s="10">
        <v>9935</v>
      </c>
    </row>
    <row r="961" spans="1:16" ht="27" customHeight="1" x14ac:dyDescent="0.2">
      <c r="A961" s="9" t="s">
        <v>3469</v>
      </c>
      <c r="B961" s="10" t="s">
        <v>3509</v>
      </c>
      <c r="C961" s="11" t="s">
        <v>18</v>
      </c>
      <c r="D961" s="11" t="s">
        <v>19</v>
      </c>
      <c r="E961" s="11" t="s">
        <v>19</v>
      </c>
      <c r="F961" s="11" t="s">
        <v>3510</v>
      </c>
      <c r="G961" s="11" t="s">
        <v>83</v>
      </c>
      <c r="H961" s="11" t="s">
        <v>3511</v>
      </c>
      <c r="I961" s="11" t="s">
        <v>3512</v>
      </c>
      <c r="J961" s="12">
        <v>0.96050000000000002</v>
      </c>
      <c r="K961" s="13">
        <v>12</v>
      </c>
      <c r="L961" s="14">
        <v>5882</v>
      </c>
      <c r="M961" s="10">
        <v>4629</v>
      </c>
      <c r="N961" s="10">
        <v>649972</v>
      </c>
      <c r="O961" s="10">
        <v>363001</v>
      </c>
      <c r="P961" s="10">
        <v>1012973</v>
      </c>
    </row>
    <row r="962" spans="1:16" ht="27" customHeight="1" x14ac:dyDescent="0.2">
      <c r="A962" s="9" t="s">
        <v>3469</v>
      </c>
      <c r="B962" s="10" t="s">
        <v>3509</v>
      </c>
      <c r="C962" s="11" t="s">
        <v>3513</v>
      </c>
      <c r="D962" s="11" t="s">
        <v>3514</v>
      </c>
      <c r="E962" s="11" t="s">
        <v>26</v>
      </c>
      <c r="F962" s="11" t="s">
        <v>3515</v>
      </c>
      <c r="G962" s="11" t="s">
        <v>28</v>
      </c>
      <c r="H962" s="11" t="s">
        <v>3515</v>
      </c>
      <c r="I962" s="11" t="s">
        <v>3516</v>
      </c>
      <c r="J962" s="12">
        <v>0.41949999999999998</v>
      </c>
      <c r="K962" s="13">
        <v>1</v>
      </c>
      <c r="L962" s="14">
        <v>236</v>
      </c>
      <c r="M962" s="10">
        <v>99</v>
      </c>
      <c r="N962" s="10">
        <v>26078</v>
      </c>
      <c r="O962" s="10">
        <v>7763</v>
      </c>
      <c r="P962" s="10">
        <v>33841</v>
      </c>
    </row>
    <row r="963" spans="1:16" ht="27" customHeight="1" x14ac:dyDescent="0.2">
      <c r="A963" s="9" t="s">
        <v>3469</v>
      </c>
      <c r="B963" s="10" t="s">
        <v>3509</v>
      </c>
      <c r="C963" s="11" t="s">
        <v>3517</v>
      </c>
      <c r="D963" s="11" t="s">
        <v>3518</v>
      </c>
      <c r="E963" s="11" t="s">
        <v>26</v>
      </c>
      <c r="F963" s="11" t="s">
        <v>3519</v>
      </c>
      <c r="G963" s="11" t="s">
        <v>28</v>
      </c>
      <c r="H963" s="11" t="s">
        <v>3519</v>
      </c>
      <c r="I963" s="11" t="s">
        <v>3520</v>
      </c>
      <c r="J963" s="12">
        <v>0.72870000000000001</v>
      </c>
      <c r="K963" s="13">
        <v>1</v>
      </c>
      <c r="L963" s="14">
        <v>129</v>
      </c>
      <c r="M963" s="10">
        <v>94</v>
      </c>
      <c r="N963" s="10">
        <v>14255</v>
      </c>
      <c r="O963" s="10">
        <v>7371</v>
      </c>
      <c r="P963" s="10">
        <v>21626</v>
      </c>
    </row>
    <row r="964" spans="1:16" ht="27" customHeight="1" x14ac:dyDescent="0.2">
      <c r="A964" s="9" t="s">
        <v>3469</v>
      </c>
      <c r="B964" s="10" t="s">
        <v>3509</v>
      </c>
      <c r="C964" s="11" t="s">
        <v>3521</v>
      </c>
      <c r="D964" s="11" t="s">
        <v>3522</v>
      </c>
      <c r="E964" s="11" t="s">
        <v>26</v>
      </c>
      <c r="F964" s="11" t="s">
        <v>3523</v>
      </c>
      <c r="G964" s="11" t="s">
        <v>28</v>
      </c>
      <c r="H964" s="11" t="s">
        <v>3472</v>
      </c>
      <c r="I964" s="11" t="s">
        <v>3473</v>
      </c>
      <c r="J964" s="12">
        <v>0.98109999999999997</v>
      </c>
      <c r="K964" s="13">
        <v>1</v>
      </c>
      <c r="L964" s="14">
        <v>125</v>
      </c>
      <c r="M964" s="10">
        <v>83</v>
      </c>
      <c r="N964" s="10">
        <v>13813</v>
      </c>
      <c r="O964" s="10">
        <v>6509</v>
      </c>
      <c r="P964" s="10">
        <v>20322</v>
      </c>
    </row>
    <row r="965" spans="1:16" ht="27" customHeight="1" x14ac:dyDescent="0.2">
      <c r="A965" s="9" t="s">
        <v>3469</v>
      </c>
      <c r="B965" s="10" t="s">
        <v>3509</v>
      </c>
      <c r="C965" s="11" t="s">
        <v>3524</v>
      </c>
      <c r="D965" s="11" t="s">
        <v>3525</v>
      </c>
      <c r="E965" s="11" t="s">
        <v>26</v>
      </c>
      <c r="F965" s="11" t="s">
        <v>3526</v>
      </c>
      <c r="G965" s="11" t="s">
        <v>28</v>
      </c>
      <c r="H965" s="11" t="s">
        <v>3526</v>
      </c>
      <c r="I965" s="11" t="s">
        <v>3527</v>
      </c>
      <c r="J965" s="12">
        <v>0.86229999999999996</v>
      </c>
      <c r="K965" s="13">
        <v>1</v>
      </c>
      <c r="L965" s="14">
        <v>138</v>
      </c>
      <c r="M965" s="10">
        <v>119</v>
      </c>
      <c r="N965" s="10">
        <v>15249</v>
      </c>
      <c r="O965" s="10">
        <v>9332</v>
      </c>
      <c r="P965" s="10">
        <v>24581</v>
      </c>
    </row>
    <row r="966" spans="1:16" ht="27" customHeight="1" x14ac:dyDescent="0.2">
      <c r="A966" s="9" t="s">
        <v>3469</v>
      </c>
      <c r="B966" s="10" t="s">
        <v>3509</v>
      </c>
      <c r="C966" s="11" t="s">
        <v>3528</v>
      </c>
      <c r="D966" s="11" t="s">
        <v>3529</v>
      </c>
      <c r="E966" s="11" t="s">
        <v>26</v>
      </c>
      <c r="F966" s="11" t="s">
        <v>3530</v>
      </c>
      <c r="G966" s="11" t="s">
        <v>28</v>
      </c>
      <c r="H966" s="11" t="s">
        <v>3530</v>
      </c>
      <c r="I966" s="11" t="s">
        <v>3531</v>
      </c>
      <c r="J966" s="12">
        <v>0.59299999999999997</v>
      </c>
      <c r="K966" s="13">
        <v>1</v>
      </c>
      <c r="L966" s="14">
        <v>86</v>
      </c>
      <c r="M966" s="10">
        <v>51</v>
      </c>
      <c r="N966" s="10">
        <v>9503</v>
      </c>
      <c r="O966" s="10">
        <v>3999</v>
      </c>
      <c r="P966" s="10">
        <v>13502</v>
      </c>
    </row>
    <row r="967" spans="1:16" ht="27" customHeight="1" x14ac:dyDescent="0.2">
      <c r="A967" s="9" t="s">
        <v>3469</v>
      </c>
      <c r="B967" s="10" t="s">
        <v>3532</v>
      </c>
      <c r="C967" s="11" t="s">
        <v>18</v>
      </c>
      <c r="D967" s="11" t="s">
        <v>19</v>
      </c>
      <c r="E967" s="11" t="s">
        <v>19</v>
      </c>
      <c r="F967" s="11" t="s">
        <v>3533</v>
      </c>
      <c r="G967" s="11" t="s">
        <v>83</v>
      </c>
      <c r="H967" s="11" t="s">
        <v>3534</v>
      </c>
      <c r="I967" s="11" t="s">
        <v>3535</v>
      </c>
      <c r="J967" s="12">
        <v>0.69120000000000004</v>
      </c>
      <c r="K967" s="13">
        <v>7</v>
      </c>
      <c r="L967" s="14">
        <v>1535</v>
      </c>
      <c r="M967" s="10">
        <v>928</v>
      </c>
      <c r="N967" s="10">
        <v>169620</v>
      </c>
      <c r="O967" s="10">
        <v>72773</v>
      </c>
      <c r="P967" s="10">
        <v>242393</v>
      </c>
    </row>
    <row r="968" spans="1:16" ht="27" customHeight="1" x14ac:dyDescent="0.2">
      <c r="A968" s="9" t="s">
        <v>3469</v>
      </c>
      <c r="B968" s="10" t="s">
        <v>3532</v>
      </c>
      <c r="C968" s="11" t="s">
        <v>3536</v>
      </c>
      <c r="D968" s="11" t="s">
        <v>3537</v>
      </c>
      <c r="E968" s="11" t="s">
        <v>26</v>
      </c>
      <c r="F968" s="11" t="s">
        <v>3538</v>
      </c>
      <c r="G968" s="11" t="s">
        <v>28</v>
      </c>
      <c r="H968" s="11" t="s">
        <v>3538</v>
      </c>
      <c r="I968" s="11" t="s">
        <v>3539</v>
      </c>
      <c r="J968" s="12">
        <v>0.7722</v>
      </c>
      <c r="K968" s="13">
        <v>1</v>
      </c>
      <c r="L968" s="14">
        <v>79</v>
      </c>
      <c r="M968" s="10">
        <v>61</v>
      </c>
      <c r="N968" s="10">
        <v>8730</v>
      </c>
      <c r="O968" s="10">
        <v>4784</v>
      </c>
      <c r="P968" s="10">
        <v>13514</v>
      </c>
    </row>
    <row r="969" spans="1:16" ht="27" customHeight="1" x14ac:dyDescent="0.2">
      <c r="A969" s="9" t="s">
        <v>3469</v>
      </c>
      <c r="B969" s="10" t="s">
        <v>3532</v>
      </c>
      <c r="C969" s="11" t="s">
        <v>3540</v>
      </c>
      <c r="D969" s="11" t="s">
        <v>3541</v>
      </c>
      <c r="E969" s="11" t="s">
        <v>26</v>
      </c>
      <c r="F969" s="11" t="s">
        <v>3542</v>
      </c>
      <c r="G969" s="11" t="s">
        <v>28</v>
      </c>
      <c r="H969" s="11" t="s">
        <v>3542</v>
      </c>
      <c r="I969" s="11" t="s">
        <v>3543</v>
      </c>
      <c r="J969" s="12">
        <v>0.63449999999999995</v>
      </c>
      <c r="K969" s="13">
        <v>1</v>
      </c>
      <c r="L969" s="14">
        <v>145</v>
      </c>
      <c r="M969" s="10">
        <v>92</v>
      </c>
      <c r="N969" s="10">
        <v>16023</v>
      </c>
      <c r="O969" s="10">
        <v>7215</v>
      </c>
      <c r="P969" s="10">
        <v>23238</v>
      </c>
    </row>
    <row r="970" spans="1:16" ht="27" customHeight="1" x14ac:dyDescent="0.2">
      <c r="A970" s="9" t="s">
        <v>3469</v>
      </c>
      <c r="B970" s="10" t="s">
        <v>3532</v>
      </c>
      <c r="C970" s="11" t="s">
        <v>3544</v>
      </c>
      <c r="D970" s="11" t="s">
        <v>3545</v>
      </c>
      <c r="E970" s="11" t="s">
        <v>26</v>
      </c>
      <c r="F970" s="11" t="s">
        <v>3546</v>
      </c>
      <c r="G970" s="11" t="s">
        <v>28</v>
      </c>
      <c r="H970" s="11" t="s">
        <v>3546</v>
      </c>
      <c r="I970" s="11" t="s">
        <v>3547</v>
      </c>
      <c r="J970" s="12">
        <v>0.54869999999999997</v>
      </c>
      <c r="K970" s="13">
        <v>1</v>
      </c>
      <c r="L970" s="14">
        <v>113</v>
      </c>
      <c r="M970" s="10">
        <v>62</v>
      </c>
      <c r="N970" s="10">
        <v>12487</v>
      </c>
      <c r="O970" s="10">
        <v>4862</v>
      </c>
      <c r="P970" s="10">
        <v>17349</v>
      </c>
    </row>
    <row r="971" spans="1:16" ht="27" customHeight="1" x14ac:dyDescent="0.2">
      <c r="A971" s="9" t="s">
        <v>3469</v>
      </c>
      <c r="B971" s="10" t="s">
        <v>3548</v>
      </c>
      <c r="C971" s="11" t="s">
        <v>18</v>
      </c>
      <c r="D971" s="11" t="s">
        <v>19</v>
      </c>
      <c r="E971" s="11" t="s">
        <v>19</v>
      </c>
      <c r="F971" s="11" t="s">
        <v>3549</v>
      </c>
      <c r="G971" s="11" t="s">
        <v>83</v>
      </c>
      <c r="H971" s="11" t="s">
        <v>3550</v>
      </c>
      <c r="I971" s="11" t="s">
        <v>3551</v>
      </c>
      <c r="J971" s="12">
        <v>0.6</v>
      </c>
      <c r="K971" s="13">
        <v>5</v>
      </c>
      <c r="L971" s="14">
        <v>276</v>
      </c>
      <c r="M971" s="10">
        <v>162</v>
      </c>
      <c r="N971" s="10">
        <v>30499</v>
      </c>
      <c r="O971" s="10">
        <v>12704</v>
      </c>
      <c r="P971" s="10">
        <v>43203</v>
      </c>
    </row>
    <row r="972" spans="1:16" ht="27" customHeight="1" x14ac:dyDescent="0.2">
      <c r="A972" s="9" t="s">
        <v>3469</v>
      </c>
      <c r="B972" s="10" t="s">
        <v>3552</v>
      </c>
      <c r="C972" s="11" t="s">
        <v>18</v>
      </c>
      <c r="D972" s="11" t="s">
        <v>19</v>
      </c>
      <c r="E972" s="11" t="s">
        <v>19</v>
      </c>
      <c r="F972" s="11" t="s">
        <v>3553</v>
      </c>
      <c r="G972" s="11" t="s">
        <v>83</v>
      </c>
      <c r="H972" s="11" t="s">
        <v>3554</v>
      </c>
      <c r="I972" s="11" t="s">
        <v>3555</v>
      </c>
      <c r="J972" s="12">
        <v>0.68140000000000001</v>
      </c>
      <c r="K972" s="13">
        <v>4</v>
      </c>
      <c r="L972" s="14">
        <v>337</v>
      </c>
      <c r="M972" s="10">
        <v>231</v>
      </c>
      <c r="N972" s="10">
        <v>37239</v>
      </c>
      <c r="O972" s="10">
        <v>18115</v>
      </c>
      <c r="P972" s="10">
        <v>55354</v>
      </c>
    </row>
    <row r="973" spans="1:16" ht="27" customHeight="1" x14ac:dyDescent="0.2">
      <c r="A973" s="9" t="s">
        <v>3469</v>
      </c>
      <c r="B973" s="10" t="s">
        <v>3556</v>
      </c>
      <c r="C973" s="11" t="s">
        <v>18</v>
      </c>
      <c r="D973" s="11" t="s">
        <v>19</v>
      </c>
      <c r="E973" s="11" t="s">
        <v>19</v>
      </c>
      <c r="F973" s="11" t="s">
        <v>3557</v>
      </c>
      <c r="G973" s="11" t="s">
        <v>83</v>
      </c>
      <c r="H973" s="11" t="s">
        <v>3558</v>
      </c>
      <c r="I973" s="11" t="s">
        <v>3559</v>
      </c>
      <c r="J973" s="12">
        <v>0.51719999999999999</v>
      </c>
      <c r="K973" s="13">
        <v>6</v>
      </c>
      <c r="L973" s="14">
        <v>127</v>
      </c>
      <c r="M973" s="10">
        <v>56</v>
      </c>
      <c r="N973" s="10">
        <v>14035</v>
      </c>
      <c r="O973" s="10">
        <v>4391</v>
      </c>
      <c r="P973" s="10">
        <v>18426</v>
      </c>
    </row>
    <row r="974" spans="1:16" ht="27" customHeight="1" x14ac:dyDescent="0.2">
      <c r="A974" s="9" t="s">
        <v>3560</v>
      </c>
      <c r="B974" s="10" t="s">
        <v>3561</v>
      </c>
      <c r="C974" s="11" t="s">
        <v>18</v>
      </c>
      <c r="D974" s="11" t="s">
        <v>19</v>
      </c>
      <c r="E974" s="11" t="s">
        <v>19</v>
      </c>
      <c r="F974" s="11" t="s">
        <v>3562</v>
      </c>
      <c r="G974" s="11" t="s">
        <v>21</v>
      </c>
      <c r="H974" s="11" t="s">
        <v>3563</v>
      </c>
      <c r="I974" s="11" t="s">
        <v>3564</v>
      </c>
      <c r="J974" s="12">
        <v>0.98460000000000003</v>
      </c>
      <c r="K974" s="13">
        <v>7</v>
      </c>
      <c r="L974" s="14">
        <v>1509</v>
      </c>
      <c r="M974" s="10">
        <v>1110</v>
      </c>
      <c r="N974" s="10">
        <v>166747</v>
      </c>
      <c r="O974" s="10">
        <v>87044</v>
      </c>
      <c r="P974" s="10">
        <v>253791</v>
      </c>
    </row>
    <row r="975" spans="1:16" ht="27" customHeight="1" x14ac:dyDescent="0.2">
      <c r="A975" s="9" t="s">
        <v>3560</v>
      </c>
      <c r="B975" s="10" t="s">
        <v>3561</v>
      </c>
      <c r="C975" s="11" t="s">
        <v>3565</v>
      </c>
      <c r="D975" s="11" t="s">
        <v>3566</v>
      </c>
      <c r="E975" s="11" t="s">
        <v>57</v>
      </c>
      <c r="F975" s="11" t="s">
        <v>3567</v>
      </c>
      <c r="G975" s="11" t="s">
        <v>28</v>
      </c>
      <c r="H975" s="11" t="s">
        <v>3567</v>
      </c>
      <c r="I975" s="11" t="s">
        <v>3568</v>
      </c>
      <c r="J975" s="12">
        <v>0.79720000000000002</v>
      </c>
      <c r="K975" s="13">
        <v>1</v>
      </c>
      <c r="L975" s="14">
        <v>281</v>
      </c>
      <c r="M975" s="10">
        <v>224</v>
      </c>
      <c r="N975" s="10">
        <v>31051</v>
      </c>
      <c r="O975" s="10">
        <v>17566</v>
      </c>
      <c r="P975" s="10">
        <v>48617</v>
      </c>
    </row>
    <row r="976" spans="1:16" ht="27" customHeight="1" x14ac:dyDescent="0.2">
      <c r="A976" s="9" t="s">
        <v>3560</v>
      </c>
      <c r="B976" s="10" t="s">
        <v>3561</v>
      </c>
      <c r="C976" s="11" t="s">
        <v>3569</v>
      </c>
      <c r="D976" s="11" t="s">
        <v>3570</v>
      </c>
      <c r="E976" s="11" t="s">
        <v>57</v>
      </c>
      <c r="F976" s="11" t="s">
        <v>3571</v>
      </c>
      <c r="G976" s="11" t="s">
        <v>28</v>
      </c>
      <c r="H976" s="11" t="s">
        <v>3563</v>
      </c>
      <c r="I976" s="11" t="s">
        <v>3564</v>
      </c>
      <c r="J976" s="12">
        <v>0.98460000000000003</v>
      </c>
      <c r="K976" s="13">
        <v>1</v>
      </c>
      <c r="L976" s="14">
        <v>102</v>
      </c>
      <c r="M976" s="10">
        <v>90</v>
      </c>
      <c r="N976" s="10">
        <v>11271</v>
      </c>
      <c r="O976" s="10">
        <v>7058</v>
      </c>
      <c r="P976" s="10">
        <v>18329</v>
      </c>
    </row>
    <row r="977" spans="1:16" ht="27" customHeight="1" x14ac:dyDescent="0.2">
      <c r="A977" s="9" t="s">
        <v>3560</v>
      </c>
      <c r="B977" s="10" t="s">
        <v>3572</v>
      </c>
      <c r="C977" s="11" t="s">
        <v>18</v>
      </c>
      <c r="D977" s="11" t="s">
        <v>19</v>
      </c>
      <c r="E977" s="11" t="s">
        <v>19</v>
      </c>
      <c r="F977" s="11" t="s">
        <v>3573</v>
      </c>
      <c r="G977" s="11" t="s">
        <v>83</v>
      </c>
      <c r="H977" s="11" t="s">
        <v>3574</v>
      </c>
      <c r="I977" s="11" t="s">
        <v>3575</v>
      </c>
      <c r="J977" s="12">
        <v>0.90049999999999997</v>
      </c>
      <c r="K977" s="13">
        <v>12</v>
      </c>
      <c r="L977" s="14">
        <v>5048</v>
      </c>
      <c r="M977" s="10">
        <v>3991</v>
      </c>
      <c r="N977" s="10">
        <v>557813</v>
      </c>
      <c r="O977" s="10">
        <v>312967</v>
      </c>
      <c r="P977" s="10">
        <v>870780</v>
      </c>
    </row>
    <row r="978" spans="1:16" ht="27" customHeight="1" x14ac:dyDescent="0.2">
      <c r="A978" s="9" t="s">
        <v>3560</v>
      </c>
      <c r="B978" s="10" t="s">
        <v>3576</v>
      </c>
      <c r="C978" s="11" t="s">
        <v>18</v>
      </c>
      <c r="D978" s="11" t="s">
        <v>19</v>
      </c>
      <c r="E978" s="11" t="s">
        <v>19</v>
      </c>
      <c r="F978" s="11" t="s">
        <v>3577</v>
      </c>
      <c r="G978" s="11" t="s">
        <v>83</v>
      </c>
      <c r="H978" s="11" t="s">
        <v>3578</v>
      </c>
      <c r="I978" s="11" t="s">
        <v>3579</v>
      </c>
      <c r="J978" s="12">
        <v>0.3125</v>
      </c>
      <c r="K978" s="13">
        <v>2</v>
      </c>
      <c r="L978" s="14">
        <v>48</v>
      </c>
      <c r="M978" s="10">
        <v>15</v>
      </c>
      <c r="N978" s="10">
        <v>5304</v>
      </c>
      <c r="O978" s="10">
        <v>1176</v>
      </c>
      <c r="P978" s="10">
        <v>6480</v>
      </c>
    </row>
    <row r="979" spans="1:16" ht="27" customHeight="1" x14ac:dyDescent="0.2">
      <c r="A979" s="9" t="s">
        <v>3560</v>
      </c>
      <c r="B979" s="10" t="s">
        <v>3576</v>
      </c>
      <c r="C979" s="11" t="s">
        <v>3580</v>
      </c>
      <c r="D979" s="11" t="s">
        <v>3581</v>
      </c>
      <c r="E979" s="11" t="s">
        <v>57</v>
      </c>
      <c r="F979" s="11" t="s">
        <v>3582</v>
      </c>
      <c r="G979" s="11" t="s">
        <v>28</v>
      </c>
      <c r="H979" s="11" t="s">
        <v>3582</v>
      </c>
      <c r="I979" s="11" t="s">
        <v>3583</v>
      </c>
      <c r="J979" s="12">
        <v>0.44240000000000002</v>
      </c>
      <c r="K979" s="13">
        <v>1</v>
      </c>
      <c r="L979" s="14">
        <v>321</v>
      </c>
      <c r="M979" s="10">
        <v>142</v>
      </c>
      <c r="N979" s="10">
        <v>35471</v>
      </c>
      <c r="O979" s="10">
        <v>11135</v>
      </c>
      <c r="P979" s="10">
        <v>46606</v>
      </c>
    </row>
    <row r="980" spans="1:16" ht="27" customHeight="1" x14ac:dyDescent="0.2">
      <c r="A980" s="9" t="s">
        <v>3560</v>
      </c>
      <c r="B980" s="10" t="s">
        <v>3584</v>
      </c>
      <c r="C980" s="11" t="s">
        <v>18</v>
      </c>
      <c r="D980" s="11" t="s">
        <v>19</v>
      </c>
      <c r="E980" s="11" t="s">
        <v>19</v>
      </c>
      <c r="F980" s="11" t="s">
        <v>3585</v>
      </c>
      <c r="G980" s="11" t="s">
        <v>83</v>
      </c>
      <c r="H980" s="11" t="s">
        <v>3585</v>
      </c>
      <c r="I980" s="11" t="s">
        <v>3586</v>
      </c>
      <c r="J980" s="12">
        <v>0.93240000000000001</v>
      </c>
      <c r="K980" s="13">
        <v>3</v>
      </c>
      <c r="L980" s="14">
        <v>149</v>
      </c>
      <c r="M980" s="10">
        <v>139</v>
      </c>
      <c r="N980" s="10">
        <v>16465</v>
      </c>
      <c r="O980" s="10">
        <v>10900</v>
      </c>
      <c r="P980" s="10">
        <v>27365</v>
      </c>
    </row>
    <row r="981" spans="1:16" ht="27" customHeight="1" x14ac:dyDescent="0.2">
      <c r="A981" s="9" t="s">
        <v>3560</v>
      </c>
      <c r="B981" s="10" t="s">
        <v>3587</v>
      </c>
      <c r="C981" s="11" t="s">
        <v>18</v>
      </c>
      <c r="D981" s="11" t="s">
        <v>19</v>
      </c>
      <c r="E981" s="11" t="s">
        <v>19</v>
      </c>
      <c r="F981" s="11" t="s">
        <v>3588</v>
      </c>
      <c r="G981" s="11" t="s">
        <v>83</v>
      </c>
      <c r="H981" s="11" t="s">
        <v>3589</v>
      </c>
      <c r="I981" s="11" t="s">
        <v>3590</v>
      </c>
      <c r="J981" s="12">
        <v>0.74170000000000003</v>
      </c>
      <c r="K981" s="13">
        <v>7</v>
      </c>
      <c r="L981" s="14">
        <v>2321</v>
      </c>
      <c r="M981" s="10">
        <v>1113</v>
      </c>
      <c r="N981" s="10">
        <v>256475</v>
      </c>
      <c r="O981" s="10">
        <v>87280</v>
      </c>
      <c r="P981" s="10">
        <v>343755</v>
      </c>
    </row>
    <row r="982" spans="1:16" ht="27" customHeight="1" x14ac:dyDescent="0.2">
      <c r="A982" s="9" t="s">
        <v>3560</v>
      </c>
      <c r="B982" s="10" t="s">
        <v>3591</v>
      </c>
      <c r="C982" s="11" t="s">
        <v>18</v>
      </c>
      <c r="D982" s="11" t="s">
        <v>19</v>
      </c>
      <c r="E982" s="11" t="s">
        <v>19</v>
      </c>
      <c r="F982" s="11" t="s">
        <v>3592</v>
      </c>
      <c r="G982" s="11" t="s">
        <v>83</v>
      </c>
      <c r="H982" s="11" t="s">
        <v>3593</v>
      </c>
      <c r="I982" s="11" t="s">
        <v>3594</v>
      </c>
      <c r="J982" s="12">
        <v>0.80710000000000004</v>
      </c>
      <c r="K982" s="13">
        <v>2</v>
      </c>
      <c r="L982" s="14">
        <v>337</v>
      </c>
      <c r="M982" s="10">
        <v>272</v>
      </c>
      <c r="N982" s="10">
        <v>37239</v>
      </c>
      <c r="O982" s="10">
        <v>21330</v>
      </c>
      <c r="P982" s="10">
        <v>58569</v>
      </c>
    </row>
    <row r="983" spans="1:16" ht="27" customHeight="1" x14ac:dyDescent="0.2">
      <c r="A983" s="9" t="s">
        <v>3560</v>
      </c>
      <c r="B983" s="10" t="s">
        <v>3595</v>
      </c>
      <c r="C983" s="11" t="s">
        <v>18</v>
      </c>
      <c r="D983" s="11" t="s">
        <v>19</v>
      </c>
      <c r="E983" s="11" t="s">
        <v>19</v>
      </c>
      <c r="F983" s="11" t="s">
        <v>3596</v>
      </c>
      <c r="G983" s="11" t="s">
        <v>83</v>
      </c>
      <c r="H983" s="11" t="s">
        <v>3563</v>
      </c>
      <c r="I983" s="11" t="s">
        <v>3564</v>
      </c>
      <c r="J983" s="12">
        <v>0.98460000000000003</v>
      </c>
      <c r="K983" s="13">
        <v>3</v>
      </c>
      <c r="L983" s="14">
        <v>502</v>
      </c>
      <c r="M983" s="10">
        <v>417</v>
      </c>
      <c r="N983" s="10">
        <v>55472</v>
      </c>
      <c r="O983" s="10">
        <v>32701</v>
      </c>
      <c r="P983" s="10">
        <v>88173</v>
      </c>
    </row>
    <row r="984" spans="1:16" ht="27" customHeight="1" x14ac:dyDescent="0.2">
      <c r="A984" s="9" t="s">
        <v>3560</v>
      </c>
      <c r="B984" s="10" t="s">
        <v>3597</v>
      </c>
      <c r="C984" s="11" t="s">
        <v>18</v>
      </c>
      <c r="D984" s="11" t="s">
        <v>19</v>
      </c>
      <c r="E984" s="11" t="s">
        <v>19</v>
      </c>
      <c r="F984" s="11" t="s">
        <v>3598</v>
      </c>
      <c r="G984" s="11" t="s">
        <v>83</v>
      </c>
      <c r="H984" s="11" t="s">
        <v>3599</v>
      </c>
      <c r="I984" s="11" t="s">
        <v>3600</v>
      </c>
      <c r="J984" s="12">
        <v>0.8458</v>
      </c>
      <c r="K984" s="13">
        <v>6</v>
      </c>
      <c r="L984" s="14">
        <v>2595</v>
      </c>
      <c r="M984" s="10">
        <v>2017</v>
      </c>
      <c r="N984" s="10">
        <v>286751</v>
      </c>
      <c r="O984" s="10">
        <v>158170</v>
      </c>
      <c r="P984" s="10">
        <v>444921</v>
      </c>
    </row>
    <row r="985" spans="1:16" ht="27" customHeight="1" x14ac:dyDescent="0.2">
      <c r="A985" s="9" t="s">
        <v>3560</v>
      </c>
      <c r="B985" s="10" t="s">
        <v>3601</v>
      </c>
      <c r="C985" s="11" t="s">
        <v>18</v>
      </c>
      <c r="D985" s="11" t="s">
        <v>19</v>
      </c>
      <c r="E985" s="11" t="s">
        <v>19</v>
      </c>
      <c r="F985" s="11" t="s">
        <v>3602</v>
      </c>
      <c r="G985" s="11" t="s">
        <v>83</v>
      </c>
      <c r="H985" s="11" t="s">
        <v>3603</v>
      </c>
      <c r="I985" s="11" t="s">
        <v>3604</v>
      </c>
      <c r="J985" s="12">
        <v>0.88670000000000004</v>
      </c>
      <c r="K985" s="13">
        <v>18</v>
      </c>
      <c r="L985" s="14">
        <v>11205</v>
      </c>
      <c r="M985" s="10">
        <v>8715</v>
      </c>
      <c r="N985" s="10">
        <v>1238170</v>
      </c>
      <c r="O985" s="10">
        <v>683422</v>
      </c>
      <c r="P985" s="10">
        <v>1921592</v>
      </c>
    </row>
    <row r="986" spans="1:16" ht="27" customHeight="1" x14ac:dyDescent="0.2">
      <c r="A986" s="9" t="s">
        <v>3560</v>
      </c>
      <c r="B986" s="10" t="s">
        <v>3605</v>
      </c>
      <c r="C986" s="11" t="s">
        <v>18</v>
      </c>
      <c r="D986" s="11" t="s">
        <v>19</v>
      </c>
      <c r="E986" s="11" t="s">
        <v>19</v>
      </c>
      <c r="F986" s="11" t="s">
        <v>3606</v>
      </c>
      <c r="G986" s="11" t="s">
        <v>83</v>
      </c>
      <c r="H986" s="11" t="s">
        <v>3607</v>
      </c>
      <c r="I986" s="11" t="s">
        <v>3608</v>
      </c>
      <c r="J986" s="12">
        <v>0.3896</v>
      </c>
      <c r="K986" s="13">
        <v>2</v>
      </c>
      <c r="L986" s="14">
        <v>883</v>
      </c>
      <c r="M986" s="10">
        <v>344</v>
      </c>
      <c r="N986" s="10">
        <v>97573</v>
      </c>
      <c r="O986" s="10">
        <v>26976</v>
      </c>
      <c r="P986" s="10">
        <v>124549</v>
      </c>
    </row>
    <row r="987" spans="1:16" ht="27" customHeight="1" x14ac:dyDescent="0.2">
      <c r="A987" s="9" t="s">
        <v>3560</v>
      </c>
      <c r="B987" s="10" t="s">
        <v>3609</v>
      </c>
      <c r="C987" s="11" t="s">
        <v>18</v>
      </c>
      <c r="D987" s="11" t="s">
        <v>19</v>
      </c>
      <c r="E987" s="11" t="s">
        <v>19</v>
      </c>
      <c r="F987" s="11" t="s">
        <v>3610</v>
      </c>
      <c r="G987" s="11" t="s">
        <v>83</v>
      </c>
      <c r="H987" s="11" t="s">
        <v>3611</v>
      </c>
      <c r="I987" s="11" t="s">
        <v>3612</v>
      </c>
      <c r="J987" s="12">
        <v>0.97870000000000001</v>
      </c>
      <c r="K987" s="13">
        <v>20</v>
      </c>
      <c r="L987" s="14">
        <v>11532</v>
      </c>
      <c r="M987" s="10">
        <v>9321</v>
      </c>
      <c r="N987" s="10">
        <v>1274302</v>
      </c>
      <c r="O987" s="10">
        <v>730943</v>
      </c>
      <c r="P987" s="10">
        <v>2005245</v>
      </c>
    </row>
    <row r="988" spans="1:16" ht="27" customHeight="1" x14ac:dyDescent="0.2">
      <c r="A988" s="9" t="s">
        <v>3560</v>
      </c>
      <c r="B988" s="10" t="s">
        <v>3613</v>
      </c>
      <c r="C988" s="11" t="s">
        <v>18</v>
      </c>
      <c r="D988" s="11" t="s">
        <v>19</v>
      </c>
      <c r="E988" s="11" t="s">
        <v>19</v>
      </c>
      <c r="F988" s="11" t="s">
        <v>3614</v>
      </c>
      <c r="G988" s="11" t="s">
        <v>83</v>
      </c>
      <c r="H988" s="11" t="s">
        <v>3563</v>
      </c>
      <c r="I988" s="11" t="s">
        <v>3564</v>
      </c>
      <c r="J988" s="12">
        <v>0.98460000000000003</v>
      </c>
      <c r="K988" s="13">
        <v>10</v>
      </c>
      <c r="L988" s="14">
        <v>11226</v>
      </c>
      <c r="M988" s="10">
        <v>8609</v>
      </c>
      <c r="N988" s="10">
        <v>1240492</v>
      </c>
      <c r="O988" s="10">
        <v>675109</v>
      </c>
      <c r="P988" s="10">
        <v>1915601</v>
      </c>
    </row>
    <row r="989" spans="1:16" ht="27" customHeight="1" x14ac:dyDescent="0.2">
      <c r="A989" s="9" t="s">
        <v>3560</v>
      </c>
      <c r="B989" s="10" t="s">
        <v>3615</v>
      </c>
      <c r="C989" s="11" t="s">
        <v>18</v>
      </c>
      <c r="D989" s="11" t="s">
        <v>19</v>
      </c>
      <c r="E989" s="11" t="s">
        <v>19</v>
      </c>
      <c r="F989" s="11" t="s">
        <v>3616</v>
      </c>
      <c r="G989" s="11" t="s">
        <v>83</v>
      </c>
      <c r="H989" s="11" t="s">
        <v>3616</v>
      </c>
      <c r="I989" s="11" t="s">
        <v>3617</v>
      </c>
      <c r="J989" s="12">
        <v>0.48149999999999998</v>
      </c>
      <c r="K989" s="13">
        <v>2</v>
      </c>
      <c r="L989" s="14">
        <v>108</v>
      </c>
      <c r="M989" s="10">
        <v>52</v>
      </c>
      <c r="N989" s="10">
        <v>11934</v>
      </c>
      <c r="O989" s="10">
        <v>4078</v>
      </c>
      <c r="P989" s="10">
        <v>16012</v>
      </c>
    </row>
    <row r="990" spans="1:16" ht="27" customHeight="1" x14ac:dyDescent="0.2">
      <c r="A990" s="9" t="s">
        <v>3560</v>
      </c>
      <c r="B990" s="10" t="s">
        <v>3618</v>
      </c>
      <c r="C990" s="11" t="s">
        <v>18</v>
      </c>
      <c r="D990" s="11" t="s">
        <v>19</v>
      </c>
      <c r="E990" s="11" t="s">
        <v>19</v>
      </c>
      <c r="F990" s="11" t="s">
        <v>3563</v>
      </c>
      <c r="G990" s="11" t="s">
        <v>83</v>
      </c>
      <c r="H990" s="11" t="s">
        <v>3563</v>
      </c>
      <c r="I990" s="11" t="s">
        <v>3564</v>
      </c>
      <c r="J990" s="12">
        <v>0.98460000000000003</v>
      </c>
      <c r="K990" s="13">
        <v>3</v>
      </c>
      <c r="L990" s="14">
        <v>875</v>
      </c>
      <c r="M990" s="10">
        <v>865</v>
      </c>
      <c r="N990" s="10">
        <v>96688</v>
      </c>
      <c r="O990" s="10">
        <v>67832</v>
      </c>
      <c r="P990" s="10">
        <v>164520</v>
      </c>
    </row>
    <row r="991" spans="1:16" ht="27" customHeight="1" x14ac:dyDescent="0.2">
      <c r="A991" s="9" t="s">
        <v>3560</v>
      </c>
      <c r="B991" s="10" t="s">
        <v>3619</v>
      </c>
      <c r="C991" s="11" t="s">
        <v>18</v>
      </c>
      <c r="D991" s="11" t="s">
        <v>19</v>
      </c>
      <c r="E991" s="11" t="s">
        <v>19</v>
      </c>
      <c r="F991" s="11" t="s">
        <v>3620</v>
      </c>
      <c r="G991" s="11" t="s">
        <v>83</v>
      </c>
      <c r="H991" s="11" t="s">
        <v>3621</v>
      </c>
      <c r="I991" s="11" t="s">
        <v>3622</v>
      </c>
      <c r="J991" s="12">
        <v>0.88680000000000003</v>
      </c>
      <c r="K991" s="13">
        <v>2</v>
      </c>
      <c r="L991" s="14">
        <v>53</v>
      </c>
      <c r="M991" s="10">
        <v>47</v>
      </c>
      <c r="N991" s="10">
        <v>5857</v>
      </c>
      <c r="O991" s="10">
        <v>3686</v>
      </c>
      <c r="P991" s="10">
        <v>9543</v>
      </c>
    </row>
    <row r="992" spans="1:16" ht="27" customHeight="1" x14ac:dyDescent="0.2">
      <c r="A992" s="9" t="s">
        <v>3560</v>
      </c>
      <c r="B992" s="10" t="s">
        <v>3623</v>
      </c>
      <c r="C992" s="11" t="s">
        <v>18</v>
      </c>
      <c r="D992" s="11" t="s">
        <v>19</v>
      </c>
      <c r="E992" s="11" t="s">
        <v>19</v>
      </c>
      <c r="F992" s="11" t="s">
        <v>3624</v>
      </c>
      <c r="G992" s="11" t="s">
        <v>83</v>
      </c>
      <c r="H992" s="11" t="s">
        <v>3625</v>
      </c>
      <c r="I992" s="11" t="s">
        <v>3626</v>
      </c>
      <c r="J992" s="12">
        <v>0.69330000000000003</v>
      </c>
      <c r="K992" s="13">
        <v>5</v>
      </c>
      <c r="L992" s="14">
        <v>3238</v>
      </c>
      <c r="M992" s="10">
        <v>2169</v>
      </c>
      <c r="N992" s="10">
        <v>357804</v>
      </c>
      <c r="O992" s="10">
        <v>170091</v>
      </c>
      <c r="P992" s="10">
        <v>527895</v>
      </c>
    </row>
    <row r="993" spans="1:16" ht="27" customHeight="1" x14ac:dyDescent="0.2">
      <c r="A993" s="9" t="s">
        <v>3560</v>
      </c>
      <c r="B993" s="10" t="s">
        <v>3627</v>
      </c>
      <c r="C993" s="11" t="s">
        <v>18</v>
      </c>
      <c r="D993" s="11" t="s">
        <v>19</v>
      </c>
      <c r="E993" s="11" t="s">
        <v>19</v>
      </c>
      <c r="F993" s="11" t="s">
        <v>3628</v>
      </c>
      <c r="G993" s="11" t="s">
        <v>83</v>
      </c>
      <c r="H993" s="11" t="s">
        <v>3629</v>
      </c>
      <c r="I993" s="11" t="s">
        <v>3630</v>
      </c>
      <c r="J993" s="12">
        <v>0.9556</v>
      </c>
      <c r="K993" s="13">
        <v>5</v>
      </c>
      <c r="L993" s="14">
        <v>1990</v>
      </c>
      <c r="M993" s="10">
        <v>1842</v>
      </c>
      <c r="N993" s="10">
        <v>219899</v>
      </c>
      <c r="O993" s="10">
        <v>144447</v>
      </c>
      <c r="P993" s="10">
        <v>364346</v>
      </c>
    </row>
    <row r="994" spans="1:16" ht="27" customHeight="1" x14ac:dyDescent="0.2">
      <c r="A994" s="9" t="s">
        <v>3560</v>
      </c>
      <c r="B994" s="10" t="s">
        <v>3631</v>
      </c>
      <c r="C994" s="11" t="s">
        <v>18</v>
      </c>
      <c r="D994" s="11" t="s">
        <v>19</v>
      </c>
      <c r="E994" s="11" t="s">
        <v>19</v>
      </c>
      <c r="F994" s="11" t="s">
        <v>3632</v>
      </c>
      <c r="G994" s="11" t="s">
        <v>83</v>
      </c>
      <c r="H994" s="11" t="s">
        <v>3633</v>
      </c>
      <c r="I994" s="11" t="s">
        <v>3634</v>
      </c>
      <c r="J994" s="12">
        <v>0.82630000000000003</v>
      </c>
      <c r="K994" s="13">
        <v>7</v>
      </c>
      <c r="L994" s="14">
        <v>1746</v>
      </c>
      <c r="M994" s="10">
        <v>1367</v>
      </c>
      <c r="N994" s="10">
        <v>192936</v>
      </c>
      <c r="O994" s="10">
        <v>107199</v>
      </c>
      <c r="P994" s="10">
        <v>300135</v>
      </c>
    </row>
    <row r="995" spans="1:16" ht="27" customHeight="1" x14ac:dyDescent="0.2">
      <c r="A995" s="9" t="s">
        <v>3560</v>
      </c>
      <c r="B995" s="10" t="s">
        <v>3635</v>
      </c>
      <c r="C995" s="11" t="s">
        <v>18</v>
      </c>
      <c r="D995" s="11" t="s">
        <v>19</v>
      </c>
      <c r="E995" s="11" t="s">
        <v>19</v>
      </c>
      <c r="F995" s="11" t="s">
        <v>3636</v>
      </c>
      <c r="G995" s="11" t="s">
        <v>83</v>
      </c>
      <c r="H995" s="11" t="s">
        <v>948</v>
      </c>
      <c r="I995" s="11" t="s">
        <v>3637</v>
      </c>
      <c r="J995" s="12">
        <v>0.8327</v>
      </c>
      <c r="K995" s="13">
        <v>2</v>
      </c>
      <c r="L995" s="14">
        <v>275</v>
      </c>
      <c r="M995" s="10">
        <v>229</v>
      </c>
      <c r="N995" s="10">
        <v>30388</v>
      </c>
      <c r="O995" s="10">
        <v>17958</v>
      </c>
      <c r="P995" s="10">
        <v>48346</v>
      </c>
    </row>
    <row r="996" spans="1:16" ht="27" customHeight="1" x14ac:dyDescent="0.2">
      <c r="A996" s="9" t="s">
        <v>3560</v>
      </c>
      <c r="B996" s="10" t="s">
        <v>3638</v>
      </c>
      <c r="C996" s="11" t="s">
        <v>18</v>
      </c>
      <c r="D996" s="11" t="s">
        <v>19</v>
      </c>
      <c r="E996" s="11" t="s">
        <v>19</v>
      </c>
      <c r="F996" s="11" t="s">
        <v>3639</v>
      </c>
      <c r="G996" s="11" t="s">
        <v>83</v>
      </c>
      <c r="H996" s="11" t="s">
        <v>3640</v>
      </c>
      <c r="I996" s="11" t="s">
        <v>3641</v>
      </c>
      <c r="J996" s="12">
        <v>0.91269999999999996</v>
      </c>
      <c r="K996" s="13">
        <v>9</v>
      </c>
      <c r="L996" s="14">
        <v>2378</v>
      </c>
      <c r="M996" s="10">
        <v>2124</v>
      </c>
      <c r="N996" s="10">
        <v>262774</v>
      </c>
      <c r="O996" s="10">
        <v>166562</v>
      </c>
      <c r="P996" s="10">
        <v>429336</v>
      </c>
    </row>
    <row r="997" spans="1:16" ht="27" customHeight="1" x14ac:dyDescent="0.2">
      <c r="A997" s="9" t="s">
        <v>3560</v>
      </c>
      <c r="B997" s="10" t="s">
        <v>3642</v>
      </c>
      <c r="C997" s="11" t="s">
        <v>18</v>
      </c>
      <c r="D997" s="11" t="s">
        <v>19</v>
      </c>
      <c r="E997" s="11" t="s">
        <v>19</v>
      </c>
      <c r="F997" s="11" t="s">
        <v>3643</v>
      </c>
      <c r="G997" s="11" t="s">
        <v>83</v>
      </c>
      <c r="H997" s="11" t="s">
        <v>3644</v>
      </c>
      <c r="I997" s="11" t="s">
        <v>3645</v>
      </c>
      <c r="J997" s="12">
        <v>0.90610000000000002</v>
      </c>
      <c r="K997" s="13">
        <v>6</v>
      </c>
      <c r="L997" s="14">
        <v>2398</v>
      </c>
      <c r="M997" s="10">
        <v>1958</v>
      </c>
      <c r="N997" s="10">
        <v>264983</v>
      </c>
      <c r="O997" s="10">
        <v>153544</v>
      </c>
      <c r="P997" s="10">
        <v>418527</v>
      </c>
    </row>
    <row r="998" spans="1:16" ht="27" customHeight="1" x14ac:dyDescent="0.2">
      <c r="A998" s="9" t="s">
        <v>3646</v>
      </c>
      <c r="B998" s="10" t="s">
        <v>3647</v>
      </c>
      <c r="C998" s="11" t="s">
        <v>18</v>
      </c>
      <c r="D998" s="11" t="s">
        <v>19</v>
      </c>
      <c r="E998" s="11" t="s">
        <v>19</v>
      </c>
      <c r="F998" s="11" t="s">
        <v>3648</v>
      </c>
      <c r="G998" s="11" t="s">
        <v>21</v>
      </c>
      <c r="H998" s="11" t="s">
        <v>3649</v>
      </c>
      <c r="I998" s="11" t="s">
        <v>3650</v>
      </c>
      <c r="J998" s="12">
        <v>0.79749999999999999</v>
      </c>
      <c r="K998" s="13">
        <v>2</v>
      </c>
      <c r="L998" s="14">
        <v>83</v>
      </c>
      <c r="M998" s="10">
        <v>66</v>
      </c>
      <c r="N998" s="10">
        <v>9172</v>
      </c>
      <c r="O998" s="10">
        <v>5176</v>
      </c>
      <c r="P998" s="10">
        <v>14348</v>
      </c>
    </row>
    <row r="999" spans="1:16" ht="27" customHeight="1" x14ac:dyDescent="0.2">
      <c r="A999" s="9" t="s">
        <v>3646</v>
      </c>
      <c r="B999" s="10" t="s">
        <v>3651</v>
      </c>
      <c r="C999" s="11" t="s">
        <v>18</v>
      </c>
      <c r="D999" s="11" t="s">
        <v>19</v>
      </c>
      <c r="E999" s="11" t="s">
        <v>19</v>
      </c>
      <c r="F999" s="11" t="s">
        <v>3652</v>
      </c>
      <c r="G999" s="11" t="s">
        <v>83</v>
      </c>
      <c r="H999" s="11" t="s">
        <v>3653</v>
      </c>
      <c r="I999" s="11" t="s">
        <v>3654</v>
      </c>
      <c r="J999" s="12">
        <v>0.57689999999999997</v>
      </c>
      <c r="K999" s="13">
        <v>3</v>
      </c>
      <c r="L999" s="14">
        <v>96</v>
      </c>
      <c r="M999" s="10">
        <v>52</v>
      </c>
      <c r="N999" s="10">
        <v>10608</v>
      </c>
      <c r="O999" s="10">
        <v>4078</v>
      </c>
      <c r="P999" s="10">
        <v>14686</v>
      </c>
    </row>
    <row r="1000" spans="1:16" ht="27" customHeight="1" x14ac:dyDescent="0.2">
      <c r="A1000" s="9" t="s">
        <v>3646</v>
      </c>
      <c r="B1000" s="10" t="s">
        <v>3655</v>
      </c>
      <c r="C1000" s="11" t="s">
        <v>18</v>
      </c>
      <c r="D1000" s="11" t="s">
        <v>19</v>
      </c>
      <c r="E1000" s="11" t="s">
        <v>19</v>
      </c>
      <c r="F1000" s="11" t="s">
        <v>3656</v>
      </c>
      <c r="G1000" s="11" t="s">
        <v>83</v>
      </c>
      <c r="H1000" s="11" t="s">
        <v>3657</v>
      </c>
      <c r="I1000" s="11" t="s">
        <v>3658</v>
      </c>
      <c r="J1000" s="12">
        <v>0.66669999999999996</v>
      </c>
      <c r="K1000" s="13">
        <v>7</v>
      </c>
      <c r="L1000" s="14">
        <v>832</v>
      </c>
      <c r="M1000" s="10">
        <v>542</v>
      </c>
      <c r="N1000" s="10">
        <v>91938</v>
      </c>
      <c r="O1000" s="10">
        <v>42503</v>
      </c>
      <c r="P1000" s="10">
        <v>134441</v>
      </c>
    </row>
    <row r="1001" spans="1:16" ht="27" customHeight="1" x14ac:dyDescent="0.2">
      <c r="A1001" s="9" t="s">
        <v>3646</v>
      </c>
      <c r="B1001" s="10" t="s">
        <v>3659</v>
      </c>
      <c r="C1001" s="11" t="s">
        <v>18</v>
      </c>
      <c r="D1001" s="11" t="s">
        <v>19</v>
      </c>
      <c r="E1001" s="11" t="s">
        <v>19</v>
      </c>
      <c r="F1001" s="11" t="s">
        <v>3660</v>
      </c>
      <c r="G1001" s="11" t="s">
        <v>83</v>
      </c>
      <c r="H1001" s="11" t="s">
        <v>3649</v>
      </c>
      <c r="I1001" s="11" t="s">
        <v>3650</v>
      </c>
      <c r="J1001" s="12">
        <v>0.79749999999999999</v>
      </c>
      <c r="K1001" s="13">
        <v>4</v>
      </c>
      <c r="L1001" s="14">
        <v>411</v>
      </c>
      <c r="M1001" s="10">
        <v>334</v>
      </c>
      <c r="N1001" s="10">
        <v>45416</v>
      </c>
      <c r="O1001" s="10">
        <v>26192</v>
      </c>
      <c r="P1001" s="10">
        <v>71608</v>
      </c>
    </row>
    <row r="1002" spans="1:16" ht="27" customHeight="1" x14ac:dyDescent="0.2">
      <c r="A1002" s="9" t="s">
        <v>3661</v>
      </c>
      <c r="B1002" s="10" t="s">
        <v>3662</v>
      </c>
      <c r="C1002" s="11" t="s">
        <v>18</v>
      </c>
      <c r="D1002" s="11" t="s">
        <v>19</v>
      </c>
      <c r="E1002" s="11" t="s">
        <v>19</v>
      </c>
      <c r="F1002" s="11" t="s">
        <v>3663</v>
      </c>
      <c r="G1002" s="11" t="s">
        <v>21</v>
      </c>
      <c r="H1002" s="11" t="s">
        <v>3664</v>
      </c>
      <c r="I1002" s="11" t="s">
        <v>3665</v>
      </c>
      <c r="J1002" s="12">
        <v>0.51039999999999996</v>
      </c>
      <c r="K1002" s="13">
        <v>5</v>
      </c>
      <c r="L1002" s="14">
        <v>70</v>
      </c>
      <c r="M1002" s="10">
        <v>40</v>
      </c>
      <c r="N1002" s="10">
        <v>7736</v>
      </c>
      <c r="O1002" s="10">
        <v>3136</v>
      </c>
      <c r="P1002" s="10">
        <v>10872</v>
      </c>
    </row>
    <row r="1003" spans="1:16" ht="27" customHeight="1" x14ac:dyDescent="0.2">
      <c r="A1003" s="9" t="s">
        <v>3661</v>
      </c>
      <c r="B1003" s="10" t="s">
        <v>3662</v>
      </c>
      <c r="C1003" s="11" t="s">
        <v>3666</v>
      </c>
      <c r="D1003" s="11" t="s">
        <v>3667</v>
      </c>
      <c r="E1003" s="11" t="s">
        <v>57</v>
      </c>
      <c r="F1003" s="11" t="s">
        <v>3668</v>
      </c>
      <c r="G1003" s="11" t="s">
        <v>28</v>
      </c>
      <c r="H1003" s="11" t="s">
        <v>3664</v>
      </c>
      <c r="I1003" s="11" t="s">
        <v>3665</v>
      </c>
      <c r="J1003" s="12">
        <v>0.51039999999999996</v>
      </c>
      <c r="K1003" s="13">
        <v>1</v>
      </c>
      <c r="L1003" s="14">
        <v>183</v>
      </c>
      <c r="M1003" s="10">
        <v>179</v>
      </c>
      <c r="N1003" s="10">
        <v>20222</v>
      </c>
      <c r="O1003" s="10">
        <v>14037</v>
      </c>
      <c r="P1003" s="10">
        <v>34259</v>
      </c>
    </row>
    <row r="1004" spans="1:16" ht="27" customHeight="1" x14ac:dyDescent="0.2">
      <c r="A1004" s="9" t="s">
        <v>3661</v>
      </c>
      <c r="B1004" s="10" t="s">
        <v>3669</v>
      </c>
      <c r="C1004" s="11" t="s">
        <v>18</v>
      </c>
      <c r="D1004" s="11" t="s">
        <v>19</v>
      </c>
      <c r="E1004" s="11" t="s">
        <v>19</v>
      </c>
      <c r="F1004" s="11" t="s">
        <v>3670</v>
      </c>
      <c r="G1004" s="11" t="s">
        <v>83</v>
      </c>
      <c r="H1004" s="11" t="s">
        <v>1963</v>
      </c>
      <c r="I1004" s="11" t="s">
        <v>3671</v>
      </c>
      <c r="J1004" s="12">
        <v>0.48759999999999998</v>
      </c>
      <c r="K1004" s="13">
        <v>7</v>
      </c>
      <c r="L1004" s="14">
        <v>395</v>
      </c>
      <c r="M1004" s="10">
        <v>165</v>
      </c>
      <c r="N1004" s="10">
        <v>43649</v>
      </c>
      <c r="O1004" s="10">
        <v>12939</v>
      </c>
      <c r="P1004" s="10">
        <v>56588</v>
      </c>
    </row>
    <row r="1005" spans="1:16" ht="27" customHeight="1" x14ac:dyDescent="0.2">
      <c r="A1005" s="9" t="s">
        <v>3661</v>
      </c>
      <c r="B1005" s="10" t="s">
        <v>3672</v>
      </c>
      <c r="C1005" s="11" t="s">
        <v>18</v>
      </c>
      <c r="D1005" s="11" t="s">
        <v>19</v>
      </c>
      <c r="E1005" s="11" t="s">
        <v>19</v>
      </c>
      <c r="F1005" s="11" t="s">
        <v>3673</v>
      </c>
      <c r="G1005" s="11" t="s">
        <v>83</v>
      </c>
      <c r="H1005" s="11" t="s">
        <v>3664</v>
      </c>
      <c r="I1005" s="11" t="s">
        <v>3665</v>
      </c>
      <c r="J1005" s="12">
        <v>0.51039999999999996</v>
      </c>
      <c r="K1005" s="13">
        <v>5</v>
      </c>
      <c r="L1005" s="14">
        <v>1118</v>
      </c>
      <c r="M1005" s="10">
        <v>619</v>
      </c>
      <c r="N1005" s="10">
        <v>123541</v>
      </c>
      <c r="O1005" s="10">
        <v>48541</v>
      </c>
      <c r="P1005" s="10">
        <v>172082</v>
      </c>
    </row>
    <row r="1006" spans="1:16" ht="27" customHeight="1" x14ac:dyDescent="0.2">
      <c r="A1006" s="9" t="s">
        <v>3674</v>
      </c>
      <c r="B1006" s="10" t="s">
        <v>3675</v>
      </c>
      <c r="C1006" s="11" t="s">
        <v>18</v>
      </c>
      <c r="D1006" s="11" t="s">
        <v>19</v>
      </c>
      <c r="E1006" s="11" t="s">
        <v>19</v>
      </c>
      <c r="F1006" s="11" t="s">
        <v>3676</v>
      </c>
      <c r="G1006" s="11" t="s">
        <v>21</v>
      </c>
      <c r="H1006" s="11" t="s">
        <v>3677</v>
      </c>
      <c r="I1006" s="11" t="s">
        <v>3678</v>
      </c>
      <c r="J1006" s="12">
        <v>0.98270000000000002</v>
      </c>
      <c r="K1006" s="13">
        <v>4</v>
      </c>
      <c r="L1006" s="14">
        <v>818</v>
      </c>
      <c r="M1006" s="10">
        <v>650</v>
      </c>
      <c r="N1006" s="10">
        <v>90391</v>
      </c>
      <c r="O1006" s="10">
        <v>50972</v>
      </c>
      <c r="P1006" s="10">
        <v>141363</v>
      </c>
    </row>
    <row r="1007" spans="1:16" ht="27" customHeight="1" x14ac:dyDescent="0.2">
      <c r="A1007" s="9" t="s">
        <v>3674</v>
      </c>
      <c r="B1007" s="10" t="s">
        <v>3675</v>
      </c>
      <c r="C1007" s="11" t="s">
        <v>3679</v>
      </c>
      <c r="D1007" s="11" t="s">
        <v>3680</v>
      </c>
      <c r="E1007" s="11" t="s">
        <v>26</v>
      </c>
      <c r="F1007" s="11" t="s">
        <v>3681</v>
      </c>
      <c r="G1007" s="11" t="s">
        <v>28</v>
      </c>
      <c r="H1007" s="11" t="s">
        <v>3681</v>
      </c>
      <c r="I1007" s="11" t="s">
        <v>3682</v>
      </c>
      <c r="J1007" s="12">
        <v>0.18140000000000001</v>
      </c>
      <c r="K1007" s="13">
        <v>1</v>
      </c>
      <c r="L1007" s="14">
        <v>474</v>
      </c>
      <c r="M1007" s="10">
        <v>86</v>
      </c>
      <c r="N1007" s="10">
        <v>52378</v>
      </c>
      <c r="O1007" s="10">
        <v>6744</v>
      </c>
      <c r="P1007" s="10">
        <v>59122</v>
      </c>
    </row>
    <row r="1008" spans="1:16" ht="27" customHeight="1" x14ac:dyDescent="0.2">
      <c r="A1008" s="9" t="s">
        <v>3674</v>
      </c>
      <c r="B1008" s="10" t="s">
        <v>3675</v>
      </c>
      <c r="C1008" s="11" t="s">
        <v>3683</v>
      </c>
      <c r="D1008" s="11" t="s">
        <v>3684</v>
      </c>
      <c r="E1008" s="11" t="s">
        <v>57</v>
      </c>
      <c r="F1008" s="11" t="s">
        <v>3685</v>
      </c>
      <c r="G1008" s="11" t="s">
        <v>28</v>
      </c>
      <c r="H1008" s="11" t="s">
        <v>3677</v>
      </c>
      <c r="I1008" s="11" t="s">
        <v>3678</v>
      </c>
      <c r="J1008" s="12">
        <v>0.98270000000000002</v>
      </c>
      <c r="K1008" s="13">
        <v>1</v>
      </c>
      <c r="L1008" s="14">
        <v>55</v>
      </c>
      <c r="M1008" s="10">
        <v>54</v>
      </c>
      <c r="N1008" s="10">
        <v>6078</v>
      </c>
      <c r="O1008" s="10">
        <v>4235</v>
      </c>
      <c r="P1008" s="10">
        <v>10313</v>
      </c>
    </row>
    <row r="1009" spans="1:16" ht="27" customHeight="1" x14ac:dyDescent="0.2">
      <c r="A1009" s="9" t="s">
        <v>3674</v>
      </c>
      <c r="B1009" s="10" t="s">
        <v>3675</v>
      </c>
      <c r="C1009" s="11" t="s">
        <v>3686</v>
      </c>
      <c r="D1009" s="11" t="s">
        <v>3687</v>
      </c>
      <c r="E1009" s="11" t="s">
        <v>26</v>
      </c>
      <c r="F1009" s="11" t="s">
        <v>3688</v>
      </c>
      <c r="G1009" s="11" t="s">
        <v>28</v>
      </c>
      <c r="H1009" s="11" t="s">
        <v>3688</v>
      </c>
      <c r="I1009" s="11" t="s">
        <v>3689</v>
      </c>
      <c r="J1009" s="12">
        <v>0.46510000000000001</v>
      </c>
      <c r="K1009" s="13">
        <v>1</v>
      </c>
      <c r="L1009" s="14">
        <v>501</v>
      </c>
      <c r="M1009" s="10">
        <v>233</v>
      </c>
      <c r="N1009" s="10">
        <v>55361</v>
      </c>
      <c r="O1009" s="10">
        <v>18272</v>
      </c>
      <c r="P1009" s="10">
        <v>73633</v>
      </c>
    </row>
    <row r="1010" spans="1:16" ht="27" customHeight="1" x14ac:dyDescent="0.2">
      <c r="A1010" s="9" t="s">
        <v>3674</v>
      </c>
      <c r="B1010" s="10" t="s">
        <v>3675</v>
      </c>
      <c r="C1010" s="11" t="s">
        <v>3690</v>
      </c>
      <c r="D1010" s="11" t="s">
        <v>3691</v>
      </c>
      <c r="E1010" s="11" t="s">
        <v>57</v>
      </c>
      <c r="F1010" s="11" t="s">
        <v>3692</v>
      </c>
      <c r="G1010" s="11" t="s">
        <v>28</v>
      </c>
      <c r="H1010" s="11" t="s">
        <v>3692</v>
      </c>
      <c r="I1010" s="11" t="s">
        <v>3693</v>
      </c>
      <c r="J1010" s="12">
        <v>0.64729999999999999</v>
      </c>
      <c r="K1010" s="13">
        <v>1</v>
      </c>
      <c r="L1010" s="14">
        <v>241</v>
      </c>
      <c r="M1010" s="10">
        <v>156</v>
      </c>
      <c r="N1010" s="10">
        <v>26631</v>
      </c>
      <c r="O1010" s="10">
        <v>12233</v>
      </c>
      <c r="P1010" s="10">
        <v>38864</v>
      </c>
    </row>
    <row r="1011" spans="1:16" ht="27" customHeight="1" x14ac:dyDescent="0.2">
      <c r="A1011" s="9" t="s">
        <v>3674</v>
      </c>
      <c r="B1011" s="10" t="s">
        <v>3675</v>
      </c>
      <c r="C1011" s="11" t="s">
        <v>3694</v>
      </c>
      <c r="D1011" s="11" t="s">
        <v>3695</v>
      </c>
      <c r="E1011" s="11" t="s">
        <v>26</v>
      </c>
      <c r="F1011" s="11" t="s">
        <v>3696</v>
      </c>
      <c r="G1011" s="11" t="s">
        <v>28</v>
      </c>
      <c r="H1011" s="11" t="s">
        <v>3696</v>
      </c>
      <c r="I1011" s="11" t="s">
        <v>3697</v>
      </c>
      <c r="J1011" s="12">
        <v>0.5</v>
      </c>
      <c r="K1011" s="13">
        <v>1</v>
      </c>
      <c r="L1011" s="14">
        <v>162</v>
      </c>
      <c r="M1011" s="10">
        <v>81</v>
      </c>
      <c r="N1011" s="10">
        <v>17901</v>
      </c>
      <c r="O1011" s="10">
        <v>6352</v>
      </c>
      <c r="P1011" s="10">
        <v>24253</v>
      </c>
    </row>
    <row r="1012" spans="1:16" ht="27" customHeight="1" x14ac:dyDescent="0.2">
      <c r="A1012" s="9" t="s">
        <v>3674</v>
      </c>
      <c r="B1012" s="10" t="s">
        <v>3698</v>
      </c>
      <c r="C1012" s="11" t="s">
        <v>18</v>
      </c>
      <c r="D1012" s="11" t="s">
        <v>19</v>
      </c>
      <c r="E1012" s="11" t="s">
        <v>19</v>
      </c>
      <c r="F1012" s="11" t="s">
        <v>3699</v>
      </c>
      <c r="G1012" s="11" t="s">
        <v>83</v>
      </c>
      <c r="H1012" s="11" t="s">
        <v>3677</v>
      </c>
      <c r="I1012" s="11" t="s">
        <v>3678</v>
      </c>
      <c r="J1012" s="12">
        <v>0.98270000000000002</v>
      </c>
      <c r="K1012" s="13">
        <v>14</v>
      </c>
      <c r="L1012" s="14">
        <v>7706</v>
      </c>
      <c r="M1012" s="10">
        <v>6988</v>
      </c>
      <c r="N1012" s="10">
        <v>851525</v>
      </c>
      <c r="O1012" s="10">
        <v>547991</v>
      </c>
      <c r="P1012" s="10">
        <v>1399516</v>
      </c>
    </row>
    <row r="1013" spans="1:16" ht="27" customHeight="1" x14ac:dyDescent="0.2">
      <c r="A1013" s="9" t="s">
        <v>3674</v>
      </c>
      <c r="B1013" s="10" t="s">
        <v>3700</v>
      </c>
      <c r="C1013" s="11" t="s">
        <v>18</v>
      </c>
      <c r="D1013" s="11" t="s">
        <v>19</v>
      </c>
      <c r="E1013" s="11" t="s">
        <v>19</v>
      </c>
      <c r="F1013" s="11" t="s">
        <v>3701</v>
      </c>
      <c r="G1013" s="11" t="s">
        <v>83</v>
      </c>
      <c r="H1013" s="11" t="s">
        <v>3702</v>
      </c>
      <c r="I1013" s="11" t="s">
        <v>3703</v>
      </c>
      <c r="J1013" s="12">
        <v>0.2162</v>
      </c>
      <c r="K1013" s="13">
        <v>2</v>
      </c>
      <c r="L1013" s="14">
        <v>37</v>
      </c>
      <c r="M1013" s="10">
        <v>8</v>
      </c>
      <c r="N1013" s="10">
        <v>4089</v>
      </c>
      <c r="O1013" s="10">
        <v>627</v>
      </c>
      <c r="P1013" s="10">
        <v>4716</v>
      </c>
    </row>
    <row r="1014" spans="1:16" ht="27" customHeight="1" x14ac:dyDescent="0.2">
      <c r="A1014" s="9" t="s">
        <v>3674</v>
      </c>
      <c r="B1014" s="10" t="s">
        <v>3704</v>
      </c>
      <c r="C1014" s="11" t="s">
        <v>18</v>
      </c>
      <c r="D1014" s="11" t="s">
        <v>19</v>
      </c>
      <c r="E1014" s="11" t="s">
        <v>19</v>
      </c>
      <c r="F1014" s="11" t="s">
        <v>3705</v>
      </c>
      <c r="G1014" s="11" t="s">
        <v>83</v>
      </c>
      <c r="H1014" s="11" t="s">
        <v>3706</v>
      </c>
      <c r="I1014" s="11" t="s">
        <v>3707</v>
      </c>
      <c r="J1014" s="12">
        <v>0.66669999999999996</v>
      </c>
      <c r="K1014" s="13">
        <v>10</v>
      </c>
      <c r="L1014" s="14">
        <v>2307</v>
      </c>
      <c r="M1014" s="10">
        <v>419</v>
      </c>
      <c r="N1014" s="10">
        <v>254928</v>
      </c>
      <c r="O1014" s="10">
        <v>32858</v>
      </c>
      <c r="P1014" s="10">
        <v>287786</v>
      </c>
    </row>
    <row r="1015" spans="1:16" ht="27" customHeight="1" x14ac:dyDescent="0.2">
      <c r="A1015" s="9" t="s">
        <v>3674</v>
      </c>
      <c r="B1015" s="10" t="s">
        <v>3708</v>
      </c>
      <c r="C1015" s="11" t="s">
        <v>18</v>
      </c>
      <c r="D1015" s="11" t="s">
        <v>19</v>
      </c>
      <c r="E1015" s="11" t="s">
        <v>19</v>
      </c>
      <c r="F1015" s="11" t="s">
        <v>3709</v>
      </c>
      <c r="G1015" s="11" t="s">
        <v>83</v>
      </c>
      <c r="H1015" s="11" t="s">
        <v>3710</v>
      </c>
      <c r="I1015" s="11" t="s">
        <v>3711</v>
      </c>
      <c r="J1015" s="12">
        <v>0.90649999999999997</v>
      </c>
      <c r="K1015" s="13">
        <v>2</v>
      </c>
      <c r="L1015" s="14">
        <v>279</v>
      </c>
      <c r="M1015" s="10">
        <v>253</v>
      </c>
      <c r="N1015" s="10">
        <v>30830</v>
      </c>
      <c r="O1015" s="10">
        <v>19840</v>
      </c>
      <c r="P1015" s="10">
        <v>50670</v>
      </c>
    </row>
    <row r="1016" spans="1:16" ht="27" customHeight="1" x14ac:dyDescent="0.2">
      <c r="A1016" s="9" t="s">
        <v>3674</v>
      </c>
      <c r="B1016" s="10" t="s">
        <v>3712</v>
      </c>
      <c r="C1016" s="11" t="s">
        <v>18</v>
      </c>
      <c r="D1016" s="11" t="s">
        <v>19</v>
      </c>
      <c r="E1016" s="11" t="s">
        <v>19</v>
      </c>
      <c r="F1016" s="11" t="s">
        <v>3713</v>
      </c>
      <c r="G1016" s="11" t="s">
        <v>83</v>
      </c>
      <c r="H1016" s="11" t="s">
        <v>3713</v>
      </c>
      <c r="I1016" s="11" t="s">
        <v>3714</v>
      </c>
      <c r="J1016" s="12">
        <v>0.2581</v>
      </c>
      <c r="K1016" s="13">
        <v>2</v>
      </c>
      <c r="L1016" s="14">
        <v>31</v>
      </c>
      <c r="M1016" s="10">
        <v>8</v>
      </c>
      <c r="N1016" s="10">
        <v>3426</v>
      </c>
      <c r="O1016" s="10">
        <v>627</v>
      </c>
      <c r="P1016" s="10">
        <v>4053</v>
      </c>
    </row>
    <row r="1017" spans="1:16" ht="27" customHeight="1" x14ac:dyDescent="0.2">
      <c r="A1017" s="9" t="s">
        <v>3674</v>
      </c>
      <c r="B1017" s="10" t="s">
        <v>3715</v>
      </c>
      <c r="C1017" s="11" t="s">
        <v>18</v>
      </c>
      <c r="D1017" s="11" t="s">
        <v>19</v>
      </c>
      <c r="E1017" s="11" t="s">
        <v>19</v>
      </c>
      <c r="F1017" s="11" t="s">
        <v>3716</v>
      </c>
      <c r="G1017" s="11" t="s">
        <v>83</v>
      </c>
      <c r="H1017" s="11" t="s">
        <v>3717</v>
      </c>
      <c r="I1017" s="11" t="s">
        <v>3718</v>
      </c>
      <c r="J1017" s="12">
        <v>0.83120000000000005</v>
      </c>
      <c r="K1017" s="13">
        <v>6</v>
      </c>
      <c r="L1017" s="14">
        <v>3425</v>
      </c>
      <c r="M1017" s="10">
        <v>2694</v>
      </c>
      <c r="N1017" s="10">
        <v>378468</v>
      </c>
      <c r="O1017" s="10">
        <v>211261</v>
      </c>
      <c r="P1017" s="10">
        <v>589729</v>
      </c>
    </row>
    <row r="1018" spans="1:16" ht="27" customHeight="1" x14ac:dyDescent="0.2">
      <c r="A1018" s="9" t="s">
        <v>3674</v>
      </c>
      <c r="B1018" s="10" t="s">
        <v>3719</v>
      </c>
      <c r="C1018" s="11" t="s">
        <v>18</v>
      </c>
      <c r="D1018" s="11" t="s">
        <v>19</v>
      </c>
      <c r="E1018" s="11" t="s">
        <v>19</v>
      </c>
      <c r="F1018" s="11" t="s">
        <v>3720</v>
      </c>
      <c r="G1018" s="11" t="s">
        <v>83</v>
      </c>
      <c r="H1018" s="11" t="s">
        <v>3721</v>
      </c>
      <c r="I1018" s="11" t="s">
        <v>3722</v>
      </c>
      <c r="J1018" s="12">
        <v>0.89980000000000004</v>
      </c>
      <c r="K1018" s="13">
        <v>7</v>
      </c>
      <c r="L1018" s="14">
        <v>2657</v>
      </c>
      <c r="M1018" s="10">
        <v>2352</v>
      </c>
      <c r="N1018" s="10">
        <v>293603</v>
      </c>
      <c r="O1018" s="10">
        <v>184441</v>
      </c>
      <c r="P1018" s="10">
        <v>478044</v>
      </c>
    </row>
    <row r="1019" spans="1:16" ht="27" customHeight="1" x14ac:dyDescent="0.2">
      <c r="A1019" s="9" t="s">
        <v>3674</v>
      </c>
      <c r="B1019" s="10" t="s">
        <v>3723</v>
      </c>
      <c r="C1019" s="11" t="s">
        <v>18</v>
      </c>
      <c r="D1019" s="11" t="s">
        <v>19</v>
      </c>
      <c r="E1019" s="11" t="s">
        <v>19</v>
      </c>
      <c r="F1019" s="11" t="s">
        <v>3724</v>
      </c>
      <c r="G1019" s="11" t="s">
        <v>83</v>
      </c>
      <c r="H1019" s="11" t="s">
        <v>3677</v>
      </c>
      <c r="I1019" s="11" t="s">
        <v>3678</v>
      </c>
      <c r="J1019" s="12">
        <v>0.98270000000000002</v>
      </c>
      <c r="K1019" s="13">
        <v>5</v>
      </c>
      <c r="L1019" s="14">
        <v>2761</v>
      </c>
      <c r="M1019" s="10">
        <v>2334</v>
      </c>
      <c r="N1019" s="10">
        <v>305096</v>
      </c>
      <c r="O1019" s="10">
        <v>183030</v>
      </c>
      <c r="P1019" s="10">
        <v>488126</v>
      </c>
    </row>
    <row r="1020" spans="1:16" ht="27" customHeight="1" x14ac:dyDescent="0.2">
      <c r="A1020" s="9" t="s">
        <v>3674</v>
      </c>
      <c r="B1020" s="10" t="s">
        <v>3725</v>
      </c>
      <c r="C1020" s="11" t="s">
        <v>18</v>
      </c>
      <c r="D1020" s="11" t="s">
        <v>19</v>
      </c>
      <c r="E1020" s="11" t="s">
        <v>19</v>
      </c>
      <c r="F1020" s="11" t="s">
        <v>3726</v>
      </c>
      <c r="G1020" s="11" t="s">
        <v>83</v>
      </c>
      <c r="H1020" s="11" t="s">
        <v>3726</v>
      </c>
      <c r="I1020" s="11" t="s">
        <v>3727</v>
      </c>
      <c r="J1020" s="12">
        <v>0.15790000000000001</v>
      </c>
      <c r="K1020" s="13">
        <v>2</v>
      </c>
      <c r="L1020" s="14">
        <v>76</v>
      </c>
      <c r="M1020" s="10">
        <v>12</v>
      </c>
      <c r="N1020" s="10">
        <v>8398</v>
      </c>
      <c r="O1020" s="10">
        <v>941</v>
      </c>
      <c r="P1020" s="10">
        <v>9339</v>
      </c>
    </row>
    <row r="1021" spans="1:16" ht="27" customHeight="1" x14ac:dyDescent="0.2">
      <c r="A1021" s="9" t="s">
        <v>3674</v>
      </c>
      <c r="B1021" s="10" t="s">
        <v>3728</v>
      </c>
      <c r="C1021" s="11" t="s">
        <v>18</v>
      </c>
      <c r="D1021" s="11" t="s">
        <v>19</v>
      </c>
      <c r="E1021" s="11" t="s">
        <v>19</v>
      </c>
      <c r="F1021" s="11" t="s">
        <v>3729</v>
      </c>
      <c r="G1021" s="11" t="s">
        <v>83</v>
      </c>
      <c r="H1021" s="11" t="s">
        <v>3730</v>
      </c>
      <c r="I1021" s="11" t="s">
        <v>3731</v>
      </c>
      <c r="J1021" s="12">
        <v>0.1721</v>
      </c>
      <c r="K1021" s="13">
        <v>2</v>
      </c>
      <c r="L1021" s="14">
        <v>122</v>
      </c>
      <c r="M1021" s="10">
        <v>21</v>
      </c>
      <c r="N1021" s="10">
        <v>13481</v>
      </c>
      <c r="O1021" s="10">
        <v>1647</v>
      </c>
      <c r="P1021" s="10">
        <v>15128</v>
      </c>
    </row>
    <row r="1022" spans="1:16" ht="27" customHeight="1" x14ac:dyDescent="0.2">
      <c r="A1022" s="9" t="s">
        <v>3674</v>
      </c>
      <c r="B1022" s="10" t="s">
        <v>3732</v>
      </c>
      <c r="C1022" s="11" t="s">
        <v>18</v>
      </c>
      <c r="D1022" s="11" t="s">
        <v>19</v>
      </c>
      <c r="E1022" s="11" t="s">
        <v>19</v>
      </c>
      <c r="F1022" s="11" t="s">
        <v>3733</v>
      </c>
      <c r="G1022" s="11" t="s">
        <v>83</v>
      </c>
      <c r="H1022" s="11" t="s">
        <v>3734</v>
      </c>
      <c r="I1022" s="11" t="s">
        <v>3735</v>
      </c>
      <c r="J1022" s="12">
        <v>0.91200000000000003</v>
      </c>
      <c r="K1022" s="13">
        <v>21</v>
      </c>
      <c r="L1022" s="14">
        <v>9478</v>
      </c>
      <c r="M1022" s="10">
        <v>6265</v>
      </c>
      <c r="N1022" s="10">
        <v>1047336</v>
      </c>
      <c r="O1022" s="10">
        <v>491295</v>
      </c>
      <c r="P1022" s="10">
        <v>1538631</v>
      </c>
    </row>
    <row r="1023" spans="1:16" ht="27" customHeight="1" x14ac:dyDescent="0.2">
      <c r="A1023" s="9" t="s">
        <v>3674</v>
      </c>
      <c r="B1023" s="10" t="s">
        <v>3732</v>
      </c>
      <c r="C1023" s="11" t="s">
        <v>3736</v>
      </c>
      <c r="D1023" s="11" t="s">
        <v>3737</v>
      </c>
      <c r="E1023" s="11" t="s">
        <v>26</v>
      </c>
      <c r="F1023" s="11" t="s">
        <v>3738</v>
      </c>
      <c r="G1023" s="11" t="s">
        <v>28</v>
      </c>
      <c r="H1023" s="11" t="s">
        <v>3677</v>
      </c>
      <c r="I1023" s="11" t="s">
        <v>3678</v>
      </c>
      <c r="J1023" s="12">
        <v>0.98270000000000002</v>
      </c>
      <c r="K1023" s="13">
        <v>1</v>
      </c>
      <c r="L1023" s="14">
        <v>128</v>
      </c>
      <c r="M1023" s="10">
        <v>58</v>
      </c>
      <c r="N1023" s="10">
        <v>14144</v>
      </c>
      <c r="O1023" s="10">
        <v>4548</v>
      </c>
      <c r="P1023" s="10">
        <v>18692</v>
      </c>
    </row>
    <row r="1024" spans="1:16" ht="27" customHeight="1" x14ac:dyDescent="0.2">
      <c r="A1024" s="9" t="s">
        <v>3674</v>
      </c>
      <c r="B1024" s="10" t="s">
        <v>3732</v>
      </c>
      <c r="C1024" s="11" t="s">
        <v>3739</v>
      </c>
      <c r="D1024" s="11" t="s">
        <v>3740</v>
      </c>
      <c r="E1024" s="11" t="s">
        <v>26</v>
      </c>
      <c r="F1024" s="11" t="s">
        <v>3741</v>
      </c>
      <c r="G1024" s="11" t="s">
        <v>28</v>
      </c>
      <c r="H1024" s="11" t="s">
        <v>3741</v>
      </c>
      <c r="I1024" s="11" t="s">
        <v>3742</v>
      </c>
      <c r="J1024" s="12">
        <v>0.316</v>
      </c>
      <c r="K1024" s="13">
        <v>1</v>
      </c>
      <c r="L1024" s="14">
        <v>424</v>
      </c>
      <c r="M1024" s="10">
        <v>134</v>
      </c>
      <c r="N1024" s="10">
        <v>46853</v>
      </c>
      <c r="O1024" s="10">
        <v>10508</v>
      </c>
      <c r="P1024" s="10">
        <v>57361</v>
      </c>
    </row>
    <row r="1025" spans="1:16" ht="27" customHeight="1" x14ac:dyDescent="0.2">
      <c r="A1025" s="9" t="s">
        <v>3674</v>
      </c>
      <c r="B1025" s="10" t="s">
        <v>3743</v>
      </c>
      <c r="C1025" s="11" t="s">
        <v>18</v>
      </c>
      <c r="D1025" s="11" t="s">
        <v>19</v>
      </c>
      <c r="E1025" s="11" t="s">
        <v>19</v>
      </c>
      <c r="F1025" s="11" t="s">
        <v>3744</v>
      </c>
      <c r="G1025" s="11" t="s">
        <v>83</v>
      </c>
      <c r="H1025" s="11" t="s">
        <v>3745</v>
      </c>
      <c r="I1025" s="11" t="s">
        <v>3746</v>
      </c>
      <c r="J1025" s="12">
        <v>0.1938</v>
      </c>
      <c r="K1025" s="13">
        <v>6</v>
      </c>
      <c r="L1025" s="14">
        <v>1800</v>
      </c>
      <c r="M1025" s="10">
        <v>308</v>
      </c>
      <c r="N1025" s="10">
        <v>198903</v>
      </c>
      <c r="O1025" s="10">
        <v>24153</v>
      </c>
      <c r="P1025" s="10">
        <v>223056</v>
      </c>
    </row>
    <row r="1026" spans="1:16" ht="27" customHeight="1" x14ac:dyDescent="0.2">
      <c r="A1026" s="9" t="s">
        <v>3674</v>
      </c>
      <c r="B1026" s="10" t="s">
        <v>3747</v>
      </c>
      <c r="C1026" s="11" t="s">
        <v>18</v>
      </c>
      <c r="D1026" s="11" t="s">
        <v>19</v>
      </c>
      <c r="E1026" s="11" t="s">
        <v>19</v>
      </c>
      <c r="F1026" s="11" t="s">
        <v>3748</v>
      </c>
      <c r="G1026" s="11" t="s">
        <v>83</v>
      </c>
      <c r="H1026" s="11" t="s">
        <v>3749</v>
      </c>
      <c r="I1026" s="11" t="s">
        <v>3750</v>
      </c>
      <c r="J1026" s="12">
        <v>0.91990000000000005</v>
      </c>
      <c r="K1026" s="13">
        <v>16</v>
      </c>
      <c r="L1026" s="14">
        <v>8516</v>
      </c>
      <c r="M1026" s="10">
        <v>6154</v>
      </c>
      <c r="N1026" s="10">
        <v>941031</v>
      </c>
      <c r="O1026" s="10">
        <v>482590</v>
      </c>
      <c r="P1026" s="10">
        <v>1423621</v>
      </c>
    </row>
    <row r="1027" spans="1:16" ht="27" customHeight="1" x14ac:dyDescent="0.2">
      <c r="A1027" s="9" t="s">
        <v>3674</v>
      </c>
      <c r="B1027" s="10" t="s">
        <v>3751</v>
      </c>
      <c r="C1027" s="11" t="s">
        <v>18</v>
      </c>
      <c r="D1027" s="11" t="s">
        <v>19</v>
      </c>
      <c r="E1027" s="11" t="s">
        <v>19</v>
      </c>
      <c r="F1027" s="11" t="s">
        <v>3752</v>
      </c>
      <c r="G1027" s="11" t="s">
        <v>83</v>
      </c>
      <c r="H1027" s="11" t="s">
        <v>3677</v>
      </c>
      <c r="I1027" s="11" t="s">
        <v>3678</v>
      </c>
      <c r="J1027" s="12">
        <v>0.98270000000000002</v>
      </c>
      <c r="K1027" s="13">
        <v>13</v>
      </c>
      <c r="L1027" s="14">
        <v>16333</v>
      </c>
      <c r="M1027" s="10">
        <v>14803</v>
      </c>
      <c r="N1027" s="10">
        <v>1804824</v>
      </c>
      <c r="O1027" s="10">
        <v>1160837</v>
      </c>
      <c r="P1027" s="10">
        <v>2965661</v>
      </c>
    </row>
    <row r="1028" spans="1:16" ht="27" customHeight="1" x14ac:dyDescent="0.2">
      <c r="A1028" s="9" t="s">
        <v>3674</v>
      </c>
      <c r="B1028" s="10" t="s">
        <v>3753</v>
      </c>
      <c r="C1028" s="11" t="s">
        <v>18</v>
      </c>
      <c r="D1028" s="11" t="s">
        <v>19</v>
      </c>
      <c r="E1028" s="11" t="s">
        <v>19</v>
      </c>
      <c r="F1028" s="11" t="s">
        <v>3754</v>
      </c>
      <c r="G1028" s="11" t="s">
        <v>83</v>
      </c>
      <c r="H1028" s="11" t="s">
        <v>3755</v>
      </c>
      <c r="I1028" s="11" t="s">
        <v>3756</v>
      </c>
      <c r="J1028" s="12">
        <v>0.4672</v>
      </c>
      <c r="K1028" s="13">
        <v>2</v>
      </c>
      <c r="L1028" s="14">
        <v>137</v>
      </c>
      <c r="M1028" s="10">
        <v>64</v>
      </c>
      <c r="N1028" s="10">
        <v>15139</v>
      </c>
      <c r="O1028" s="10">
        <v>5019</v>
      </c>
      <c r="P1028" s="10">
        <v>20158</v>
      </c>
    </row>
    <row r="1029" spans="1:16" ht="27" customHeight="1" x14ac:dyDescent="0.2">
      <c r="A1029" s="9" t="s">
        <v>3674</v>
      </c>
      <c r="B1029" s="10" t="s">
        <v>3757</v>
      </c>
      <c r="C1029" s="11" t="s">
        <v>18</v>
      </c>
      <c r="D1029" s="11" t="s">
        <v>19</v>
      </c>
      <c r="E1029" s="11" t="s">
        <v>19</v>
      </c>
      <c r="F1029" s="11" t="s">
        <v>3758</v>
      </c>
      <c r="G1029" s="11" t="s">
        <v>83</v>
      </c>
      <c r="H1029" s="11" t="s">
        <v>3759</v>
      </c>
      <c r="I1029" s="11" t="s">
        <v>3760</v>
      </c>
      <c r="J1029" s="12">
        <v>0.74680000000000002</v>
      </c>
      <c r="K1029" s="13">
        <v>2</v>
      </c>
      <c r="L1029" s="14">
        <v>79</v>
      </c>
      <c r="M1029" s="10">
        <v>59</v>
      </c>
      <c r="N1029" s="10">
        <v>8730</v>
      </c>
      <c r="O1029" s="10">
        <v>4627</v>
      </c>
      <c r="P1029" s="10">
        <v>13357</v>
      </c>
    </row>
    <row r="1030" spans="1:16" ht="27" customHeight="1" x14ac:dyDescent="0.2">
      <c r="A1030" s="9" t="s">
        <v>3674</v>
      </c>
      <c r="B1030" s="10" t="s">
        <v>3761</v>
      </c>
      <c r="C1030" s="11" t="s">
        <v>18</v>
      </c>
      <c r="D1030" s="11" t="s">
        <v>19</v>
      </c>
      <c r="E1030" s="11" t="s">
        <v>19</v>
      </c>
      <c r="F1030" s="11" t="s">
        <v>3762</v>
      </c>
      <c r="G1030" s="11" t="s">
        <v>83</v>
      </c>
      <c r="H1030" s="11" t="s">
        <v>3763</v>
      </c>
      <c r="I1030" s="11" t="s">
        <v>3764</v>
      </c>
      <c r="J1030" s="12">
        <v>0.95709999999999995</v>
      </c>
      <c r="K1030" s="13">
        <v>2</v>
      </c>
      <c r="L1030" s="14">
        <v>70</v>
      </c>
      <c r="M1030" s="10">
        <v>67</v>
      </c>
      <c r="N1030" s="10">
        <v>7735</v>
      </c>
      <c r="O1030" s="10">
        <v>5254</v>
      </c>
      <c r="P1030" s="10">
        <v>12989</v>
      </c>
    </row>
    <row r="1031" spans="1:16" ht="27" customHeight="1" x14ac:dyDescent="0.2">
      <c r="A1031" s="9" t="s">
        <v>3674</v>
      </c>
      <c r="B1031" s="10" t="s">
        <v>3765</v>
      </c>
      <c r="C1031" s="11" t="s">
        <v>18</v>
      </c>
      <c r="D1031" s="11" t="s">
        <v>19</v>
      </c>
      <c r="E1031" s="11" t="s">
        <v>19</v>
      </c>
      <c r="F1031" s="11" t="s">
        <v>3766</v>
      </c>
      <c r="G1031" s="11" t="s">
        <v>83</v>
      </c>
      <c r="H1031" s="11" t="s">
        <v>3767</v>
      </c>
      <c r="I1031" s="11" t="s">
        <v>3768</v>
      </c>
      <c r="J1031" s="12">
        <v>0.84319999999999995</v>
      </c>
      <c r="K1031" s="13">
        <v>8</v>
      </c>
      <c r="L1031" s="14">
        <v>3315</v>
      </c>
      <c r="M1031" s="10">
        <v>2400</v>
      </c>
      <c r="N1031" s="10">
        <v>366313</v>
      </c>
      <c r="O1031" s="10">
        <v>188205</v>
      </c>
      <c r="P1031" s="10">
        <v>554518</v>
      </c>
    </row>
    <row r="1032" spans="1:16" ht="27" customHeight="1" x14ac:dyDescent="0.2">
      <c r="A1032" s="9" t="s">
        <v>3674</v>
      </c>
      <c r="B1032" s="10" t="s">
        <v>3769</v>
      </c>
      <c r="C1032" s="11" t="s">
        <v>18</v>
      </c>
      <c r="D1032" s="11" t="s">
        <v>19</v>
      </c>
      <c r="E1032" s="11" t="s">
        <v>19</v>
      </c>
      <c r="F1032" s="11" t="s">
        <v>3770</v>
      </c>
      <c r="G1032" s="11" t="s">
        <v>83</v>
      </c>
      <c r="H1032" s="11" t="s">
        <v>3771</v>
      </c>
      <c r="I1032" s="11" t="s">
        <v>3772</v>
      </c>
      <c r="J1032" s="12">
        <v>0.16639999999999999</v>
      </c>
      <c r="K1032" s="13">
        <v>3</v>
      </c>
      <c r="L1032" s="14">
        <v>921</v>
      </c>
      <c r="M1032" s="10">
        <v>146</v>
      </c>
      <c r="N1032" s="10">
        <v>101772</v>
      </c>
      <c r="O1032" s="10">
        <v>11450</v>
      </c>
      <c r="P1032" s="10">
        <v>113222</v>
      </c>
    </row>
    <row r="1033" spans="1:16" ht="27" customHeight="1" x14ac:dyDescent="0.2">
      <c r="A1033" s="9" t="s">
        <v>3674</v>
      </c>
      <c r="B1033" s="10" t="s">
        <v>3773</v>
      </c>
      <c r="C1033" s="11" t="s">
        <v>18</v>
      </c>
      <c r="D1033" s="11" t="s">
        <v>19</v>
      </c>
      <c r="E1033" s="11" t="s">
        <v>19</v>
      </c>
      <c r="F1033" s="11" t="s">
        <v>3774</v>
      </c>
      <c r="G1033" s="11" t="s">
        <v>83</v>
      </c>
      <c r="H1033" s="11" t="s">
        <v>3775</v>
      </c>
      <c r="I1033" s="11" t="s">
        <v>3776</v>
      </c>
      <c r="J1033" s="12">
        <v>0.1118</v>
      </c>
      <c r="K1033" s="13">
        <v>5</v>
      </c>
      <c r="L1033" s="14">
        <v>735</v>
      </c>
      <c r="M1033" s="10">
        <v>96</v>
      </c>
      <c r="N1033" s="10">
        <v>81218</v>
      </c>
      <c r="O1033" s="10">
        <v>7529</v>
      </c>
      <c r="P1033" s="10">
        <v>88747</v>
      </c>
    </row>
    <row r="1034" spans="1:16" ht="27" customHeight="1" x14ac:dyDescent="0.2">
      <c r="A1034" s="9" t="s">
        <v>3674</v>
      </c>
      <c r="B1034" s="10" t="s">
        <v>3777</v>
      </c>
      <c r="C1034" s="11" t="s">
        <v>18</v>
      </c>
      <c r="D1034" s="11" t="s">
        <v>19</v>
      </c>
      <c r="E1034" s="11" t="s">
        <v>19</v>
      </c>
      <c r="F1034" s="11" t="s">
        <v>3778</v>
      </c>
      <c r="G1034" s="11" t="s">
        <v>83</v>
      </c>
      <c r="H1034" s="11" t="s">
        <v>3779</v>
      </c>
      <c r="I1034" s="11" t="s">
        <v>3780</v>
      </c>
      <c r="J1034" s="12">
        <v>0.88870000000000005</v>
      </c>
      <c r="K1034" s="13">
        <v>9</v>
      </c>
      <c r="L1034" s="14">
        <v>4625</v>
      </c>
      <c r="M1034" s="10">
        <v>3696</v>
      </c>
      <c r="N1034" s="10">
        <v>511069</v>
      </c>
      <c r="O1034" s="10">
        <v>289836</v>
      </c>
      <c r="P1034" s="10">
        <v>800905</v>
      </c>
    </row>
    <row r="1035" spans="1:16" ht="27" customHeight="1" x14ac:dyDescent="0.2">
      <c r="A1035" s="9" t="s">
        <v>3674</v>
      </c>
      <c r="B1035" s="10" t="s">
        <v>3781</v>
      </c>
      <c r="C1035" s="11" t="s">
        <v>18</v>
      </c>
      <c r="D1035" s="11" t="s">
        <v>19</v>
      </c>
      <c r="E1035" s="11" t="s">
        <v>19</v>
      </c>
      <c r="F1035" s="11" t="s">
        <v>3782</v>
      </c>
      <c r="G1035" s="11" t="s">
        <v>83</v>
      </c>
      <c r="H1035" s="11" t="s">
        <v>3783</v>
      </c>
      <c r="I1035" s="11" t="s">
        <v>3784</v>
      </c>
      <c r="J1035" s="12">
        <v>0.73680000000000001</v>
      </c>
      <c r="K1035" s="13">
        <v>2</v>
      </c>
      <c r="L1035" s="14">
        <v>19</v>
      </c>
      <c r="M1035" s="10">
        <v>14</v>
      </c>
      <c r="N1035" s="10">
        <v>2100</v>
      </c>
      <c r="O1035" s="10">
        <v>1098</v>
      </c>
      <c r="P1035" s="10">
        <v>3198</v>
      </c>
    </row>
    <row r="1036" spans="1:16" ht="27" customHeight="1" x14ac:dyDescent="0.2">
      <c r="A1036" s="9" t="s">
        <v>3674</v>
      </c>
      <c r="B1036" s="10" t="s">
        <v>3781</v>
      </c>
      <c r="C1036" s="11" t="s">
        <v>3785</v>
      </c>
      <c r="D1036" s="11" t="s">
        <v>3786</v>
      </c>
      <c r="E1036" s="11" t="s">
        <v>26</v>
      </c>
      <c r="F1036" s="11" t="s">
        <v>3787</v>
      </c>
      <c r="G1036" s="11" t="s">
        <v>28</v>
      </c>
      <c r="H1036" s="11" t="s">
        <v>3787</v>
      </c>
      <c r="I1036" s="11" t="s">
        <v>3788</v>
      </c>
      <c r="J1036" s="12">
        <v>0.29409999999999997</v>
      </c>
      <c r="K1036" s="13">
        <v>1</v>
      </c>
      <c r="L1036" s="14">
        <v>85</v>
      </c>
      <c r="M1036" s="10">
        <v>25</v>
      </c>
      <c r="N1036" s="10">
        <v>9393</v>
      </c>
      <c r="O1036" s="10">
        <v>1960</v>
      </c>
      <c r="P1036" s="10">
        <v>11353</v>
      </c>
    </row>
    <row r="1037" spans="1:16" ht="27" customHeight="1" x14ac:dyDescent="0.2">
      <c r="A1037" s="9" t="s">
        <v>3674</v>
      </c>
      <c r="B1037" s="10" t="s">
        <v>3789</v>
      </c>
      <c r="C1037" s="11" t="s">
        <v>18</v>
      </c>
      <c r="D1037" s="11" t="s">
        <v>19</v>
      </c>
      <c r="E1037" s="11" t="s">
        <v>19</v>
      </c>
      <c r="F1037" s="11" t="s">
        <v>3790</v>
      </c>
      <c r="G1037" s="11" t="s">
        <v>83</v>
      </c>
      <c r="H1037" s="11" t="s">
        <v>3791</v>
      </c>
      <c r="I1037" s="11" t="s">
        <v>3792</v>
      </c>
      <c r="J1037" s="12">
        <v>0.86650000000000005</v>
      </c>
      <c r="K1037" s="13">
        <v>12</v>
      </c>
      <c r="L1037" s="14">
        <v>4874</v>
      </c>
      <c r="M1037" s="10">
        <v>3747</v>
      </c>
      <c r="N1037" s="10">
        <v>538587</v>
      </c>
      <c r="O1037" s="10">
        <v>293837</v>
      </c>
      <c r="P1037" s="10">
        <v>832424</v>
      </c>
    </row>
    <row r="1038" spans="1:16" ht="27" customHeight="1" x14ac:dyDescent="0.2">
      <c r="A1038" s="9" t="s">
        <v>3674</v>
      </c>
      <c r="B1038" s="10" t="s">
        <v>3793</v>
      </c>
      <c r="C1038" s="11" t="s">
        <v>18</v>
      </c>
      <c r="D1038" s="11" t="s">
        <v>19</v>
      </c>
      <c r="E1038" s="11" t="s">
        <v>19</v>
      </c>
      <c r="F1038" s="11" t="s">
        <v>3794</v>
      </c>
      <c r="G1038" s="11" t="s">
        <v>83</v>
      </c>
      <c r="H1038" s="11" t="s">
        <v>3795</v>
      </c>
      <c r="I1038" s="11" t="s">
        <v>3796</v>
      </c>
      <c r="J1038" s="12">
        <v>0.81669999999999998</v>
      </c>
      <c r="K1038" s="13">
        <v>4</v>
      </c>
      <c r="L1038" s="14">
        <v>2153</v>
      </c>
      <c r="M1038" s="10">
        <v>1902</v>
      </c>
      <c r="N1038" s="10">
        <v>237910</v>
      </c>
      <c r="O1038" s="10">
        <v>149152</v>
      </c>
      <c r="P1038" s="10">
        <v>387062</v>
      </c>
    </row>
    <row r="1039" spans="1:16" ht="27" customHeight="1" x14ac:dyDescent="0.2">
      <c r="A1039" s="9" t="s">
        <v>3797</v>
      </c>
      <c r="B1039" s="10" t="s">
        <v>3798</v>
      </c>
      <c r="C1039" s="11" t="s">
        <v>18</v>
      </c>
      <c r="D1039" s="11" t="s">
        <v>19</v>
      </c>
      <c r="E1039" s="11" t="s">
        <v>19</v>
      </c>
      <c r="F1039" s="11" t="s">
        <v>3799</v>
      </c>
      <c r="G1039" s="11" t="s">
        <v>21</v>
      </c>
      <c r="H1039" s="11" t="s">
        <v>3800</v>
      </c>
      <c r="I1039" s="11" t="s">
        <v>3801</v>
      </c>
      <c r="J1039" s="12">
        <v>0.9083</v>
      </c>
      <c r="K1039" s="13">
        <v>4</v>
      </c>
      <c r="L1039" s="14">
        <v>533</v>
      </c>
      <c r="M1039" s="10">
        <v>478</v>
      </c>
      <c r="N1039" s="10">
        <v>58898</v>
      </c>
      <c r="O1039" s="10">
        <v>37484</v>
      </c>
      <c r="P1039" s="10">
        <v>96382</v>
      </c>
    </row>
    <row r="1040" spans="1:16" ht="27" customHeight="1" x14ac:dyDescent="0.2">
      <c r="A1040" s="9" t="s">
        <v>3797</v>
      </c>
      <c r="B1040" s="10" t="s">
        <v>3798</v>
      </c>
      <c r="C1040" s="11" t="s">
        <v>3802</v>
      </c>
      <c r="D1040" s="11" t="s">
        <v>3803</v>
      </c>
      <c r="E1040" s="11" t="s">
        <v>26</v>
      </c>
      <c r="F1040" s="11" t="s">
        <v>3804</v>
      </c>
      <c r="G1040" s="11" t="s">
        <v>28</v>
      </c>
      <c r="H1040" s="11" t="s">
        <v>3800</v>
      </c>
      <c r="I1040" s="11" t="s">
        <v>3801</v>
      </c>
      <c r="J1040" s="12">
        <v>0.9083</v>
      </c>
      <c r="K1040" s="13">
        <v>1</v>
      </c>
      <c r="L1040" s="14">
        <v>0</v>
      </c>
      <c r="M1040" s="10">
        <v>0</v>
      </c>
      <c r="N1040" s="10">
        <v>0</v>
      </c>
      <c r="O1040" s="10">
        <v>0</v>
      </c>
      <c r="P1040" s="10">
        <v>0</v>
      </c>
    </row>
    <row r="1041" spans="1:16" ht="27" customHeight="1" x14ac:dyDescent="0.2">
      <c r="A1041" s="9" t="s">
        <v>3797</v>
      </c>
      <c r="B1041" s="10" t="s">
        <v>3805</v>
      </c>
      <c r="C1041" s="11" t="s">
        <v>18</v>
      </c>
      <c r="D1041" s="11" t="s">
        <v>19</v>
      </c>
      <c r="E1041" s="11" t="s">
        <v>19</v>
      </c>
      <c r="F1041" s="11" t="s">
        <v>3806</v>
      </c>
      <c r="G1041" s="11" t="s">
        <v>83</v>
      </c>
      <c r="H1041" s="11" t="s">
        <v>3807</v>
      </c>
      <c r="I1041" s="11" t="s">
        <v>3808</v>
      </c>
      <c r="J1041" s="12">
        <v>0.82279999999999998</v>
      </c>
      <c r="K1041" s="13">
        <v>4</v>
      </c>
      <c r="L1041" s="14">
        <v>805</v>
      </c>
      <c r="M1041" s="10">
        <v>655</v>
      </c>
      <c r="N1041" s="10">
        <v>88955</v>
      </c>
      <c r="O1041" s="10">
        <v>51364</v>
      </c>
      <c r="P1041" s="10">
        <v>140319</v>
      </c>
    </row>
    <row r="1042" spans="1:16" ht="27" customHeight="1" x14ac:dyDescent="0.2">
      <c r="A1042" s="9" t="s">
        <v>3797</v>
      </c>
      <c r="B1042" s="10" t="s">
        <v>3809</v>
      </c>
      <c r="C1042" s="11" t="s">
        <v>18</v>
      </c>
      <c r="D1042" s="11" t="s">
        <v>19</v>
      </c>
      <c r="E1042" s="11" t="s">
        <v>19</v>
      </c>
      <c r="F1042" s="11" t="s">
        <v>3810</v>
      </c>
      <c r="G1042" s="11" t="s">
        <v>83</v>
      </c>
      <c r="H1042" s="11" t="s">
        <v>3810</v>
      </c>
      <c r="I1042" s="11" t="s">
        <v>3811</v>
      </c>
      <c r="J1042" s="12">
        <v>0.58819999999999995</v>
      </c>
      <c r="K1042" s="13">
        <v>2</v>
      </c>
      <c r="L1042" s="14">
        <v>102</v>
      </c>
      <c r="M1042" s="10">
        <v>60</v>
      </c>
      <c r="N1042" s="10">
        <v>11271</v>
      </c>
      <c r="O1042" s="10">
        <v>4705</v>
      </c>
      <c r="P1042" s="10">
        <v>15976</v>
      </c>
    </row>
    <row r="1043" spans="1:16" ht="27" customHeight="1" x14ac:dyDescent="0.2">
      <c r="A1043" s="9" t="s">
        <v>3797</v>
      </c>
      <c r="B1043" s="10" t="s">
        <v>3812</v>
      </c>
      <c r="C1043" s="11" t="s">
        <v>18</v>
      </c>
      <c r="D1043" s="11" t="s">
        <v>19</v>
      </c>
      <c r="E1043" s="11" t="s">
        <v>19</v>
      </c>
      <c r="F1043" s="11" t="s">
        <v>3813</v>
      </c>
      <c r="G1043" s="11" t="s">
        <v>83</v>
      </c>
      <c r="H1043" s="11" t="s">
        <v>3800</v>
      </c>
      <c r="I1043" s="11" t="s">
        <v>3801</v>
      </c>
      <c r="J1043" s="12">
        <v>0.9083</v>
      </c>
      <c r="K1043" s="13">
        <v>27</v>
      </c>
      <c r="L1043" s="14">
        <v>16162</v>
      </c>
      <c r="M1043" s="10">
        <v>10187</v>
      </c>
      <c r="N1043" s="10">
        <v>1785926</v>
      </c>
      <c r="O1043" s="10">
        <v>798853</v>
      </c>
      <c r="P1043" s="10">
        <v>2584779</v>
      </c>
    </row>
    <row r="1044" spans="1:16" ht="27" customHeight="1" x14ac:dyDescent="0.2">
      <c r="A1044" s="9" t="s">
        <v>3797</v>
      </c>
      <c r="B1044" s="10" t="s">
        <v>3812</v>
      </c>
      <c r="C1044" s="11" t="s">
        <v>3814</v>
      </c>
      <c r="D1044" s="11" t="s">
        <v>3815</v>
      </c>
      <c r="E1044" s="11" t="s">
        <v>26</v>
      </c>
      <c r="F1044" s="11" t="s">
        <v>3816</v>
      </c>
      <c r="G1044" s="11" t="s">
        <v>28</v>
      </c>
      <c r="H1044" s="11" t="s">
        <v>3816</v>
      </c>
      <c r="I1044" s="11" t="s">
        <v>3817</v>
      </c>
      <c r="J1044" s="12">
        <v>0.1273</v>
      </c>
      <c r="K1044" s="13">
        <v>1</v>
      </c>
      <c r="L1044" s="14">
        <v>267</v>
      </c>
      <c r="M1044" s="10">
        <v>34</v>
      </c>
      <c r="N1044" s="10">
        <v>29504</v>
      </c>
      <c r="O1044" s="10">
        <v>2666</v>
      </c>
      <c r="P1044" s="10">
        <v>32170</v>
      </c>
    </row>
    <row r="1045" spans="1:16" ht="27" customHeight="1" x14ac:dyDescent="0.2">
      <c r="A1045" s="9" t="s">
        <v>3797</v>
      </c>
      <c r="B1045" s="10" t="s">
        <v>3818</v>
      </c>
      <c r="C1045" s="11" t="s">
        <v>18</v>
      </c>
      <c r="D1045" s="11" t="s">
        <v>19</v>
      </c>
      <c r="E1045" s="11" t="s">
        <v>19</v>
      </c>
      <c r="F1045" s="11" t="s">
        <v>3819</v>
      </c>
      <c r="G1045" s="11" t="s">
        <v>83</v>
      </c>
      <c r="H1045" s="11" t="s">
        <v>3820</v>
      </c>
      <c r="I1045" s="11" t="s">
        <v>3821</v>
      </c>
      <c r="J1045" s="12">
        <v>0.76359999999999995</v>
      </c>
      <c r="K1045" s="13">
        <v>2</v>
      </c>
      <c r="L1045" s="14">
        <v>55</v>
      </c>
      <c r="M1045" s="10">
        <v>42</v>
      </c>
      <c r="N1045" s="10">
        <v>6078</v>
      </c>
      <c r="O1045" s="10">
        <v>3294</v>
      </c>
      <c r="P1045" s="10">
        <v>9372</v>
      </c>
    </row>
    <row r="1046" spans="1:16" ht="27" customHeight="1" x14ac:dyDescent="0.2">
      <c r="A1046" s="9" t="s">
        <v>3797</v>
      </c>
      <c r="B1046" s="10" t="s">
        <v>3822</v>
      </c>
      <c r="C1046" s="11" t="s">
        <v>18</v>
      </c>
      <c r="D1046" s="11" t="s">
        <v>19</v>
      </c>
      <c r="E1046" s="11" t="s">
        <v>19</v>
      </c>
      <c r="F1046" s="11" t="s">
        <v>3823</v>
      </c>
      <c r="G1046" s="11" t="s">
        <v>83</v>
      </c>
      <c r="H1046" s="11" t="s">
        <v>3824</v>
      </c>
      <c r="I1046" s="11" t="s">
        <v>3825</v>
      </c>
      <c r="J1046" s="12">
        <v>0.36840000000000001</v>
      </c>
      <c r="K1046" s="13">
        <v>6</v>
      </c>
      <c r="L1046" s="14">
        <v>1120</v>
      </c>
      <c r="M1046" s="10">
        <v>394</v>
      </c>
      <c r="N1046" s="10">
        <v>123761</v>
      </c>
      <c r="O1046" s="10">
        <v>30897</v>
      </c>
      <c r="P1046" s="10">
        <v>154658</v>
      </c>
    </row>
    <row r="1047" spans="1:16" ht="27" customHeight="1" x14ac:dyDescent="0.2">
      <c r="A1047" s="9" t="s">
        <v>3826</v>
      </c>
      <c r="B1047" s="10" t="s">
        <v>3827</v>
      </c>
      <c r="C1047" s="11" t="s">
        <v>18</v>
      </c>
      <c r="D1047" s="11" t="s">
        <v>19</v>
      </c>
      <c r="E1047" s="11" t="s">
        <v>19</v>
      </c>
      <c r="F1047" s="11" t="s">
        <v>3828</v>
      </c>
      <c r="G1047" s="11" t="s">
        <v>21</v>
      </c>
      <c r="H1047" s="11" t="s">
        <v>3829</v>
      </c>
      <c r="I1047" s="11" t="s">
        <v>3830</v>
      </c>
      <c r="J1047" s="12">
        <v>0.94979999999999998</v>
      </c>
      <c r="K1047" s="13">
        <v>4</v>
      </c>
      <c r="L1047" s="14">
        <v>115</v>
      </c>
      <c r="M1047" s="10">
        <v>73</v>
      </c>
      <c r="N1047" s="10">
        <v>12708</v>
      </c>
      <c r="O1047" s="10">
        <v>5725</v>
      </c>
      <c r="P1047" s="10">
        <v>18433</v>
      </c>
    </row>
    <row r="1048" spans="1:16" ht="27" customHeight="1" x14ac:dyDescent="0.2">
      <c r="A1048" s="9" t="s">
        <v>3826</v>
      </c>
      <c r="B1048" s="10" t="s">
        <v>3827</v>
      </c>
      <c r="C1048" s="11" t="s">
        <v>3831</v>
      </c>
      <c r="D1048" s="11" t="s">
        <v>3832</v>
      </c>
      <c r="E1048" s="11" t="s">
        <v>57</v>
      </c>
      <c r="F1048" s="11" t="s">
        <v>3833</v>
      </c>
      <c r="G1048" s="11" t="s">
        <v>28</v>
      </c>
      <c r="H1048" s="11" t="s">
        <v>3829</v>
      </c>
      <c r="I1048" s="11" t="s">
        <v>3830</v>
      </c>
      <c r="J1048" s="12">
        <v>0.94979999999999998</v>
      </c>
      <c r="K1048" s="13">
        <v>1</v>
      </c>
      <c r="L1048" s="14">
        <v>87</v>
      </c>
      <c r="M1048" s="10">
        <v>38</v>
      </c>
      <c r="N1048" s="10">
        <v>9614</v>
      </c>
      <c r="O1048" s="10">
        <v>2980</v>
      </c>
      <c r="P1048" s="10">
        <v>12594</v>
      </c>
    </row>
    <row r="1049" spans="1:16" ht="27" customHeight="1" x14ac:dyDescent="0.2">
      <c r="A1049" s="9" t="s">
        <v>3826</v>
      </c>
      <c r="B1049" s="10" t="s">
        <v>3827</v>
      </c>
      <c r="C1049" s="11" t="s">
        <v>3834</v>
      </c>
      <c r="D1049" s="11" t="s">
        <v>3835</v>
      </c>
      <c r="E1049" s="11" t="s">
        <v>26</v>
      </c>
      <c r="F1049" s="11" t="s">
        <v>3836</v>
      </c>
      <c r="G1049" s="11" t="s">
        <v>28</v>
      </c>
      <c r="H1049" s="11" t="s">
        <v>3836</v>
      </c>
      <c r="I1049" s="11" t="s">
        <v>3837</v>
      </c>
      <c r="J1049" s="12">
        <v>0.46350000000000002</v>
      </c>
      <c r="K1049" s="13">
        <v>1</v>
      </c>
      <c r="L1049" s="14">
        <v>315</v>
      </c>
      <c r="M1049" s="10">
        <v>146</v>
      </c>
      <c r="N1049" s="10">
        <v>34808</v>
      </c>
      <c r="O1049" s="10">
        <v>11449</v>
      </c>
      <c r="P1049" s="10">
        <v>46257</v>
      </c>
    </row>
    <row r="1050" spans="1:16" ht="27" customHeight="1" x14ac:dyDescent="0.2">
      <c r="A1050" s="9" t="s">
        <v>3826</v>
      </c>
      <c r="B1050" s="10" t="s">
        <v>3827</v>
      </c>
      <c r="C1050" s="11" t="s">
        <v>3838</v>
      </c>
      <c r="D1050" s="11" t="s">
        <v>3839</v>
      </c>
      <c r="E1050" s="11" t="s">
        <v>26</v>
      </c>
      <c r="F1050" s="11" t="s">
        <v>3840</v>
      </c>
      <c r="G1050" s="11" t="s">
        <v>28</v>
      </c>
      <c r="H1050" s="11" t="s">
        <v>3840</v>
      </c>
      <c r="I1050" s="11" t="s">
        <v>3841</v>
      </c>
      <c r="J1050" s="12">
        <v>0.4849</v>
      </c>
      <c r="K1050" s="13">
        <v>1</v>
      </c>
      <c r="L1050" s="14">
        <v>431</v>
      </c>
      <c r="M1050" s="10">
        <v>209</v>
      </c>
      <c r="N1050" s="10">
        <v>47626</v>
      </c>
      <c r="O1050" s="10">
        <v>16390</v>
      </c>
      <c r="P1050" s="10">
        <v>64016</v>
      </c>
    </row>
    <row r="1051" spans="1:16" ht="27" customHeight="1" x14ac:dyDescent="0.2">
      <c r="A1051" s="9" t="s">
        <v>3826</v>
      </c>
      <c r="B1051" s="10" t="s">
        <v>3827</v>
      </c>
      <c r="C1051" s="11" t="s">
        <v>3842</v>
      </c>
      <c r="D1051" s="11" t="s">
        <v>3843</v>
      </c>
      <c r="E1051" s="11" t="s">
        <v>57</v>
      </c>
      <c r="F1051" s="11" t="s">
        <v>3844</v>
      </c>
      <c r="G1051" s="11" t="s">
        <v>28</v>
      </c>
      <c r="H1051" s="11" t="s">
        <v>3844</v>
      </c>
      <c r="I1051" s="11" t="s">
        <v>3845</v>
      </c>
      <c r="J1051" s="12">
        <v>0.42249999999999999</v>
      </c>
      <c r="K1051" s="13">
        <v>1</v>
      </c>
      <c r="L1051" s="14">
        <v>774</v>
      </c>
      <c r="M1051" s="10">
        <v>327</v>
      </c>
      <c r="N1051" s="10">
        <v>85528</v>
      </c>
      <c r="O1051" s="10">
        <v>25643</v>
      </c>
      <c r="P1051" s="10">
        <v>111171</v>
      </c>
    </row>
    <row r="1052" spans="1:16" ht="27" customHeight="1" x14ac:dyDescent="0.2">
      <c r="A1052" s="9" t="s">
        <v>3826</v>
      </c>
      <c r="B1052" s="10" t="s">
        <v>3827</v>
      </c>
      <c r="C1052" s="11" t="s">
        <v>3846</v>
      </c>
      <c r="D1052" s="11" t="s">
        <v>3847</v>
      </c>
      <c r="E1052" s="11" t="s">
        <v>57</v>
      </c>
      <c r="F1052" s="11" t="s">
        <v>3848</v>
      </c>
      <c r="G1052" s="11" t="s">
        <v>28</v>
      </c>
      <c r="H1052" s="11" t="s">
        <v>3848</v>
      </c>
      <c r="I1052" s="11" t="s">
        <v>3849</v>
      </c>
      <c r="J1052" s="12">
        <v>0.27229999999999999</v>
      </c>
      <c r="K1052" s="13">
        <v>1</v>
      </c>
      <c r="L1052" s="14">
        <v>202</v>
      </c>
      <c r="M1052" s="10">
        <v>55</v>
      </c>
      <c r="N1052" s="10">
        <v>22321</v>
      </c>
      <c r="O1052" s="10">
        <v>4313</v>
      </c>
      <c r="P1052" s="10">
        <v>26634</v>
      </c>
    </row>
    <row r="1053" spans="1:16" ht="27" customHeight="1" x14ac:dyDescent="0.2">
      <c r="A1053" s="9" t="s">
        <v>3826</v>
      </c>
      <c r="B1053" s="10" t="s">
        <v>3827</v>
      </c>
      <c r="C1053" s="11" t="s">
        <v>3850</v>
      </c>
      <c r="D1053" s="11" t="s">
        <v>3851</v>
      </c>
      <c r="E1053" s="11" t="s">
        <v>26</v>
      </c>
      <c r="F1053" s="11" t="s">
        <v>3852</v>
      </c>
      <c r="G1053" s="11" t="s">
        <v>28</v>
      </c>
      <c r="H1053" s="11" t="s">
        <v>3829</v>
      </c>
      <c r="I1053" s="11" t="s">
        <v>3830</v>
      </c>
      <c r="J1053" s="12">
        <v>0.94979999999999998</v>
      </c>
      <c r="K1053" s="13">
        <v>1</v>
      </c>
      <c r="L1053" s="14">
        <v>461</v>
      </c>
      <c r="M1053" s="10">
        <v>296</v>
      </c>
      <c r="N1053" s="10">
        <v>50941</v>
      </c>
      <c r="O1053" s="10">
        <v>23212</v>
      </c>
      <c r="P1053" s="10">
        <v>74153</v>
      </c>
    </row>
    <row r="1054" spans="1:16" ht="27" customHeight="1" x14ac:dyDescent="0.2">
      <c r="A1054" s="9" t="s">
        <v>3826</v>
      </c>
      <c r="B1054" s="10" t="s">
        <v>3827</v>
      </c>
      <c r="C1054" s="11" t="s">
        <v>3853</v>
      </c>
      <c r="D1054" s="11" t="s">
        <v>3854</v>
      </c>
      <c r="E1054" s="11" t="s">
        <v>26</v>
      </c>
      <c r="F1054" s="11" t="s">
        <v>3829</v>
      </c>
      <c r="G1054" s="11" t="s">
        <v>28</v>
      </c>
      <c r="H1054" s="11" t="s">
        <v>3829</v>
      </c>
      <c r="I1054" s="11" t="s">
        <v>3830</v>
      </c>
      <c r="J1054" s="12">
        <v>0.94979999999999998</v>
      </c>
      <c r="K1054" s="13">
        <v>1</v>
      </c>
      <c r="L1054" s="14">
        <v>558</v>
      </c>
      <c r="M1054" s="10">
        <v>530</v>
      </c>
      <c r="N1054" s="10">
        <v>61660</v>
      </c>
      <c r="O1054" s="10">
        <v>41562</v>
      </c>
      <c r="P1054" s="10">
        <v>103222</v>
      </c>
    </row>
    <row r="1055" spans="1:16" ht="27" customHeight="1" x14ac:dyDescent="0.2">
      <c r="A1055" s="9" t="s">
        <v>3826</v>
      </c>
      <c r="B1055" s="10" t="s">
        <v>3855</v>
      </c>
      <c r="C1055" s="11" t="s">
        <v>18</v>
      </c>
      <c r="D1055" s="11" t="s">
        <v>19</v>
      </c>
      <c r="E1055" s="11" t="s">
        <v>19</v>
      </c>
      <c r="F1055" s="11" t="s">
        <v>3856</v>
      </c>
      <c r="G1055" s="11" t="s">
        <v>83</v>
      </c>
      <c r="H1055" s="11" t="s">
        <v>3856</v>
      </c>
      <c r="I1055" s="11" t="s">
        <v>3857</v>
      </c>
      <c r="J1055" s="12">
        <v>0.56200000000000006</v>
      </c>
      <c r="K1055" s="13">
        <v>2</v>
      </c>
      <c r="L1055" s="14">
        <v>122</v>
      </c>
      <c r="M1055" s="10">
        <v>69</v>
      </c>
      <c r="N1055" s="10">
        <v>13481</v>
      </c>
      <c r="O1055" s="10">
        <v>5411</v>
      </c>
      <c r="P1055" s="10">
        <v>18892</v>
      </c>
    </row>
    <row r="1056" spans="1:16" ht="27" customHeight="1" x14ac:dyDescent="0.2">
      <c r="A1056" s="9" t="s">
        <v>3826</v>
      </c>
      <c r="B1056" s="10" t="s">
        <v>3855</v>
      </c>
      <c r="C1056" s="11" t="s">
        <v>3858</v>
      </c>
      <c r="D1056" s="11" t="s">
        <v>3859</v>
      </c>
      <c r="E1056" s="11" t="s">
        <v>57</v>
      </c>
      <c r="F1056" s="11" t="s">
        <v>3860</v>
      </c>
      <c r="G1056" s="11" t="s">
        <v>28</v>
      </c>
      <c r="H1056" s="11" t="s">
        <v>3860</v>
      </c>
      <c r="I1056" s="11" t="s">
        <v>3861</v>
      </c>
      <c r="J1056" s="12">
        <v>0.5</v>
      </c>
      <c r="K1056" s="13">
        <v>1</v>
      </c>
      <c r="L1056" s="14">
        <v>32</v>
      </c>
      <c r="M1056" s="10">
        <v>16</v>
      </c>
      <c r="N1056" s="10">
        <v>3536</v>
      </c>
      <c r="O1056" s="10">
        <v>1255</v>
      </c>
      <c r="P1056" s="10">
        <v>4791</v>
      </c>
    </row>
    <row r="1057" spans="1:16" ht="27" customHeight="1" x14ac:dyDescent="0.2">
      <c r="A1057" s="9" t="s">
        <v>3826</v>
      </c>
      <c r="B1057" s="10" t="s">
        <v>3862</v>
      </c>
      <c r="C1057" s="11" t="s">
        <v>18</v>
      </c>
      <c r="D1057" s="11" t="s">
        <v>19</v>
      </c>
      <c r="E1057" s="11" t="s">
        <v>19</v>
      </c>
      <c r="F1057" s="11" t="s">
        <v>3863</v>
      </c>
      <c r="G1057" s="11" t="s">
        <v>83</v>
      </c>
      <c r="H1057" s="11" t="s">
        <v>3863</v>
      </c>
      <c r="I1057" s="11" t="s">
        <v>3864</v>
      </c>
      <c r="J1057" s="12">
        <v>0.39739999999999998</v>
      </c>
      <c r="K1057" s="13">
        <v>2</v>
      </c>
      <c r="L1057" s="14">
        <v>156</v>
      </c>
      <c r="M1057" s="10">
        <v>62</v>
      </c>
      <c r="N1057" s="10">
        <v>17238</v>
      </c>
      <c r="O1057" s="10">
        <v>4862</v>
      </c>
      <c r="P1057" s="10">
        <v>22100</v>
      </c>
    </row>
    <row r="1058" spans="1:16" ht="27" customHeight="1" x14ac:dyDescent="0.2">
      <c r="A1058" s="9" t="s">
        <v>3826</v>
      </c>
      <c r="B1058" s="10" t="s">
        <v>3865</v>
      </c>
      <c r="C1058" s="11" t="s">
        <v>18</v>
      </c>
      <c r="D1058" s="11" t="s">
        <v>19</v>
      </c>
      <c r="E1058" s="11" t="s">
        <v>19</v>
      </c>
      <c r="F1058" s="11" t="s">
        <v>3866</v>
      </c>
      <c r="G1058" s="11" t="s">
        <v>83</v>
      </c>
      <c r="H1058" s="11" t="s">
        <v>3867</v>
      </c>
      <c r="I1058" s="11" t="s">
        <v>3868</v>
      </c>
      <c r="J1058" s="12">
        <v>0.72319999999999995</v>
      </c>
      <c r="K1058" s="13">
        <v>5</v>
      </c>
      <c r="L1058" s="14">
        <v>1132</v>
      </c>
      <c r="M1058" s="10">
        <v>781</v>
      </c>
      <c r="N1058" s="10">
        <v>125088</v>
      </c>
      <c r="O1058" s="10">
        <v>61245</v>
      </c>
      <c r="P1058" s="10">
        <v>186333</v>
      </c>
    </row>
    <row r="1059" spans="1:16" ht="27" customHeight="1" x14ac:dyDescent="0.2">
      <c r="A1059" s="9" t="s">
        <v>3826</v>
      </c>
      <c r="B1059" s="10" t="s">
        <v>3865</v>
      </c>
      <c r="C1059" s="11" t="s">
        <v>3869</v>
      </c>
      <c r="D1059" s="11" t="s">
        <v>3870</v>
      </c>
      <c r="E1059" s="11" t="s">
        <v>57</v>
      </c>
      <c r="F1059" s="11" t="s">
        <v>3871</v>
      </c>
      <c r="G1059" s="11" t="s">
        <v>28</v>
      </c>
      <c r="H1059" s="11" t="s">
        <v>3871</v>
      </c>
      <c r="I1059" s="11" t="s">
        <v>3872</v>
      </c>
      <c r="J1059" s="12">
        <v>0.34210000000000002</v>
      </c>
      <c r="K1059" s="13">
        <v>1</v>
      </c>
      <c r="L1059" s="14">
        <v>535</v>
      </c>
      <c r="M1059" s="10">
        <v>183</v>
      </c>
      <c r="N1059" s="10">
        <v>59118</v>
      </c>
      <c r="O1059" s="10">
        <v>14351</v>
      </c>
      <c r="P1059" s="10">
        <v>73469</v>
      </c>
    </row>
    <row r="1060" spans="1:16" ht="27" customHeight="1" x14ac:dyDescent="0.2">
      <c r="A1060" s="9" t="s">
        <v>3826</v>
      </c>
      <c r="B1060" s="10" t="s">
        <v>3873</v>
      </c>
      <c r="C1060" s="11" t="s">
        <v>18</v>
      </c>
      <c r="D1060" s="11" t="s">
        <v>19</v>
      </c>
      <c r="E1060" s="11" t="s">
        <v>19</v>
      </c>
      <c r="F1060" s="11" t="s">
        <v>3874</v>
      </c>
      <c r="G1060" s="11" t="s">
        <v>83</v>
      </c>
      <c r="H1060" s="11" t="s">
        <v>3875</v>
      </c>
      <c r="I1060" s="11" t="s">
        <v>3876</v>
      </c>
      <c r="J1060" s="12">
        <v>0.3579</v>
      </c>
      <c r="K1060" s="13">
        <v>3</v>
      </c>
      <c r="L1060" s="14">
        <v>687</v>
      </c>
      <c r="M1060" s="10">
        <v>237</v>
      </c>
      <c r="N1060" s="10">
        <v>75914</v>
      </c>
      <c r="O1060" s="10">
        <v>18585</v>
      </c>
      <c r="P1060" s="10">
        <v>94499</v>
      </c>
    </row>
    <row r="1061" spans="1:16" ht="27" customHeight="1" x14ac:dyDescent="0.2">
      <c r="A1061" s="9" t="s">
        <v>3826</v>
      </c>
      <c r="B1061" s="10" t="s">
        <v>3877</v>
      </c>
      <c r="C1061" s="11" t="s">
        <v>18</v>
      </c>
      <c r="D1061" s="11" t="s">
        <v>19</v>
      </c>
      <c r="E1061" s="11" t="s">
        <v>19</v>
      </c>
      <c r="F1061" s="11" t="s">
        <v>3878</v>
      </c>
      <c r="G1061" s="11" t="s">
        <v>83</v>
      </c>
      <c r="H1061" s="11" t="s">
        <v>3829</v>
      </c>
      <c r="I1061" s="11" t="s">
        <v>3830</v>
      </c>
      <c r="J1061" s="12">
        <v>0.94979999999999998</v>
      </c>
      <c r="K1061" s="13">
        <v>6</v>
      </c>
      <c r="L1061" s="14">
        <v>2481</v>
      </c>
      <c r="M1061" s="10">
        <v>940</v>
      </c>
      <c r="N1061" s="10">
        <v>274155</v>
      </c>
      <c r="O1061" s="10">
        <v>73714</v>
      </c>
      <c r="P1061" s="10">
        <v>347869</v>
      </c>
    </row>
    <row r="1062" spans="1:16" ht="27" customHeight="1" x14ac:dyDescent="0.2">
      <c r="A1062" s="9" t="s">
        <v>3826</v>
      </c>
      <c r="B1062" s="10" t="s">
        <v>3877</v>
      </c>
      <c r="C1062" s="11" t="s">
        <v>3879</v>
      </c>
      <c r="D1062" s="11" t="s">
        <v>3880</v>
      </c>
      <c r="E1062" s="11" t="s">
        <v>26</v>
      </c>
      <c r="F1062" s="11" t="s">
        <v>3881</v>
      </c>
      <c r="G1062" s="11" t="s">
        <v>28</v>
      </c>
      <c r="H1062" s="11" t="s">
        <v>3829</v>
      </c>
      <c r="I1062" s="11" t="s">
        <v>3830</v>
      </c>
      <c r="J1062" s="12">
        <v>0.94979999999999998</v>
      </c>
      <c r="K1062" s="13">
        <v>1</v>
      </c>
      <c r="L1062" s="14">
        <v>164</v>
      </c>
      <c r="M1062" s="10">
        <v>82</v>
      </c>
      <c r="N1062" s="10">
        <v>18122</v>
      </c>
      <c r="O1062" s="10">
        <v>6430</v>
      </c>
      <c r="P1062" s="10">
        <v>24552</v>
      </c>
    </row>
    <row r="1063" spans="1:16" ht="27" customHeight="1" x14ac:dyDescent="0.2">
      <c r="A1063" s="9" t="s">
        <v>3826</v>
      </c>
      <c r="B1063" s="10" t="s">
        <v>3882</v>
      </c>
      <c r="C1063" s="11" t="s">
        <v>18</v>
      </c>
      <c r="D1063" s="11" t="s">
        <v>19</v>
      </c>
      <c r="E1063" s="11" t="s">
        <v>19</v>
      </c>
      <c r="F1063" s="11" t="s">
        <v>3883</v>
      </c>
      <c r="G1063" s="11" t="s">
        <v>83</v>
      </c>
      <c r="H1063" s="11" t="s">
        <v>3884</v>
      </c>
      <c r="I1063" s="11" t="s">
        <v>3885</v>
      </c>
      <c r="J1063" s="12">
        <v>0.3448</v>
      </c>
      <c r="K1063" s="13">
        <v>5</v>
      </c>
      <c r="L1063" s="14">
        <v>1156</v>
      </c>
      <c r="M1063" s="10">
        <v>390</v>
      </c>
      <c r="N1063" s="10">
        <v>127740</v>
      </c>
      <c r="O1063" s="10">
        <v>30583</v>
      </c>
      <c r="P1063" s="10">
        <v>158323</v>
      </c>
    </row>
    <row r="1064" spans="1:16" ht="27" customHeight="1" x14ac:dyDescent="0.2">
      <c r="A1064" s="9" t="s">
        <v>3826</v>
      </c>
      <c r="B1064" s="10" t="s">
        <v>3882</v>
      </c>
      <c r="C1064" s="11" t="s">
        <v>3886</v>
      </c>
      <c r="D1064" s="11" t="s">
        <v>3887</v>
      </c>
      <c r="E1064" s="11" t="s">
        <v>57</v>
      </c>
      <c r="F1064" s="11" t="s">
        <v>3888</v>
      </c>
      <c r="G1064" s="11" t="s">
        <v>28</v>
      </c>
      <c r="H1064" s="11" t="s">
        <v>3888</v>
      </c>
      <c r="I1064" s="11" t="s">
        <v>3889</v>
      </c>
      <c r="J1064" s="12">
        <v>0.2823</v>
      </c>
      <c r="K1064" s="13">
        <v>1</v>
      </c>
      <c r="L1064" s="14">
        <v>248</v>
      </c>
      <c r="M1064" s="10">
        <v>70</v>
      </c>
      <c r="N1064" s="10">
        <v>27404</v>
      </c>
      <c r="O1064" s="10">
        <v>5489</v>
      </c>
      <c r="P1064" s="10">
        <v>32893</v>
      </c>
    </row>
    <row r="1065" spans="1:16" ht="27" customHeight="1" x14ac:dyDescent="0.2">
      <c r="A1065" s="9" t="s">
        <v>3826</v>
      </c>
      <c r="B1065" s="10" t="s">
        <v>3890</v>
      </c>
      <c r="C1065" s="11" t="s">
        <v>18</v>
      </c>
      <c r="D1065" s="11" t="s">
        <v>19</v>
      </c>
      <c r="E1065" s="11" t="s">
        <v>19</v>
      </c>
      <c r="F1065" s="11" t="s">
        <v>3891</v>
      </c>
      <c r="G1065" s="11" t="s">
        <v>83</v>
      </c>
      <c r="H1065" s="11" t="s">
        <v>3829</v>
      </c>
      <c r="I1065" s="11" t="s">
        <v>3830</v>
      </c>
      <c r="J1065" s="12">
        <v>0.94979999999999998</v>
      </c>
      <c r="K1065" s="13">
        <v>2</v>
      </c>
      <c r="L1065" s="14">
        <v>173</v>
      </c>
      <c r="M1065" s="10">
        <v>82</v>
      </c>
      <c r="N1065" s="10">
        <v>19117</v>
      </c>
      <c r="O1065" s="10">
        <v>6431</v>
      </c>
      <c r="P1065" s="10">
        <v>25548</v>
      </c>
    </row>
    <row r="1066" spans="1:16" ht="27" customHeight="1" x14ac:dyDescent="0.2">
      <c r="A1066" s="9" t="s">
        <v>3826</v>
      </c>
      <c r="B1066" s="10" t="s">
        <v>3890</v>
      </c>
      <c r="C1066" s="11" t="s">
        <v>3892</v>
      </c>
      <c r="D1066" s="11" t="s">
        <v>3893</v>
      </c>
      <c r="E1066" s="11" t="s">
        <v>57</v>
      </c>
      <c r="F1066" s="11" t="s">
        <v>3891</v>
      </c>
      <c r="G1066" s="11" t="s">
        <v>28</v>
      </c>
      <c r="H1066" s="11" t="s">
        <v>3891</v>
      </c>
      <c r="I1066" s="11" t="s">
        <v>3894</v>
      </c>
      <c r="J1066" s="12">
        <v>0.4325</v>
      </c>
      <c r="K1066" s="13">
        <v>1</v>
      </c>
      <c r="L1066" s="14">
        <v>541</v>
      </c>
      <c r="M1066" s="10">
        <v>234</v>
      </c>
      <c r="N1066" s="10">
        <v>59781</v>
      </c>
      <c r="O1066" s="10">
        <v>18350</v>
      </c>
      <c r="P1066" s="10">
        <v>78131</v>
      </c>
    </row>
    <row r="1067" spans="1:16" ht="27" customHeight="1" x14ac:dyDescent="0.2">
      <c r="A1067" s="9" t="s">
        <v>3826</v>
      </c>
      <c r="B1067" s="10" t="s">
        <v>3895</v>
      </c>
      <c r="C1067" s="11" t="s">
        <v>18</v>
      </c>
      <c r="D1067" s="11" t="s">
        <v>19</v>
      </c>
      <c r="E1067" s="11" t="s">
        <v>19</v>
      </c>
      <c r="F1067" s="11" t="s">
        <v>3896</v>
      </c>
      <c r="G1067" s="11" t="s">
        <v>83</v>
      </c>
      <c r="H1067" s="11" t="s">
        <v>3897</v>
      </c>
      <c r="I1067" s="11" t="s">
        <v>3898</v>
      </c>
      <c r="J1067" s="12">
        <v>0.81910000000000005</v>
      </c>
      <c r="K1067" s="13">
        <v>3</v>
      </c>
      <c r="L1067" s="14">
        <v>94</v>
      </c>
      <c r="M1067" s="10">
        <v>77</v>
      </c>
      <c r="N1067" s="10">
        <v>10387</v>
      </c>
      <c r="O1067" s="10">
        <v>6038</v>
      </c>
      <c r="P1067" s="10">
        <v>16425</v>
      </c>
    </row>
    <row r="1068" spans="1:16" ht="27" customHeight="1" x14ac:dyDescent="0.2">
      <c r="A1068" s="9" t="s">
        <v>3826</v>
      </c>
      <c r="B1068" s="10" t="s">
        <v>3899</v>
      </c>
      <c r="C1068" s="11" t="s">
        <v>18</v>
      </c>
      <c r="D1068" s="11" t="s">
        <v>19</v>
      </c>
      <c r="E1068" s="11" t="s">
        <v>19</v>
      </c>
      <c r="F1068" s="11" t="s">
        <v>3900</v>
      </c>
      <c r="G1068" s="11" t="s">
        <v>83</v>
      </c>
      <c r="H1068" s="11" t="s">
        <v>3901</v>
      </c>
      <c r="I1068" s="11" t="s">
        <v>3902</v>
      </c>
      <c r="J1068" s="12">
        <v>0.4879</v>
      </c>
      <c r="K1068" s="13">
        <v>4</v>
      </c>
      <c r="L1068" s="14">
        <v>573</v>
      </c>
      <c r="M1068" s="10">
        <v>273</v>
      </c>
      <c r="N1068" s="10">
        <v>63318</v>
      </c>
      <c r="O1068" s="10">
        <v>21408</v>
      </c>
      <c r="P1068" s="10">
        <v>84726</v>
      </c>
    </row>
    <row r="1069" spans="1:16" ht="27" customHeight="1" x14ac:dyDescent="0.2">
      <c r="A1069" s="9" t="s">
        <v>3826</v>
      </c>
      <c r="B1069" s="10" t="s">
        <v>3899</v>
      </c>
      <c r="C1069" s="11" t="s">
        <v>3903</v>
      </c>
      <c r="D1069" s="11" t="s">
        <v>3904</v>
      </c>
      <c r="E1069" s="11" t="s">
        <v>57</v>
      </c>
      <c r="F1069" s="11" t="s">
        <v>3905</v>
      </c>
      <c r="G1069" s="11" t="s">
        <v>28</v>
      </c>
      <c r="H1069" s="11" t="s">
        <v>3905</v>
      </c>
      <c r="I1069" s="11" t="s">
        <v>3906</v>
      </c>
      <c r="J1069" s="12">
        <v>0.878</v>
      </c>
      <c r="K1069" s="13">
        <v>1</v>
      </c>
      <c r="L1069" s="14">
        <v>41</v>
      </c>
      <c r="M1069" s="10">
        <v>36</v>
      </c>
      <c r="N1069" s="10">
        <v>4531</v>
      </c>
      <c r="O1069" s="10">
        <v>2823</v>
      </c>
      <c r="P1069" s="10">
        <v>7354</v>
      </c>
    </row>
    <row r="1070" spans="1:16" ht="27" customHeight="1" x14ac:dyDescent="0.2">
      <c r="A1070" s="9" t="s">
        <v>3907</v>
      </c>
      <c r="B1070" s="10" t="s">
        <v>3908</v>
      </c>
      <c r="C1070" s="11" t="s">
        <v>18</v>
      </c>
      <c r="D1070" s="11" t="s">
        <v>19</v>
      </c>
      <c r="E1070" s="11" t="s">
        <v>19</v>
      </c>
      <c r="F1070" s="11" t="s">
        <v>3909</v>
      </c>
      <c r="G1070" s="11" t="s">
        <v>21</v>
      </c>
      <c r="H1070" s="11" t="s">
        <v>3910</v>
      </c>
      <c r="I1070" s="11" t="s">
        <v>3911</v>
      </c>
      <c r="J1070" s="12">
        <v>0.97689999999999999</v>
      </c>
      <c r="K1070" s="13">
        <v>5</v>
      </c>
      <c r="L1070" s="14">
        <v>2193</v>
      </c>
      <c r="M1070" s="10">
        <v>1530</v>
      </c>
      <c r="N1070" s="10">
        <v>242331</v>
      </c>
      <c r="O1070" s="10">
        <v>119981</v>
      </c>
      <c r="P1070" s="10">
        <v>362312</v>
      </c>
    </row>
    <row r="1071" spans="1:16" ht="27" customHeight="1" x14ac:dyDescent="0.2">
      <c r="A1071" s="9" t="s">
        <v>3907</v>
      </c>
      <c r="B1071" s="10" t="s">
        <v>3908</v>
      </c>
      <c r="C1071" s="11" t="s">
        <v>3912</v>
      </c>
      <c r="D1071" s="11" t="s">
        <v>3913</v>
      </c>
      <c r="E1071" s="11" t="s">
        <v>26</v>
      </c>
      <c r="F1071" s="11" t="s">
        <v>3914</v>
      </c>
      <c r="G1071" s="11" t="s">
        <v>28</v>
      </c>
      <c r="H1071" s="11" t="s">
        <v>3910</v>
      </c>
      <c r="I1071" s="11" t="s">
        <v>3911</v>
      </c>
      <c r="J1071" s="12">
        <v>0.97689999999999999</v>
      </c>
      <c r="K1071" s="13">
        <v>1</v>
      </c>
      <c r="L1071" s="14">
        <v>803</v>
      </c>
      <c r="M1071" s="10">
        <v>602</v>
      </c>
      <c r="N1071" s="10">
        <v>88733</v>
      </c>
      <c r="O1071" s="10">
        <v>47208</v>
      </c>
      <c r="P1071" s="10">
        <v>135941</v>
      </c>
    </row>
    <row r="1072" spans="1:16" ht="27" customHeight="1" x14ac:dyDescent="0.2">
      <c r="A1072" s="9" t="s">
        <v>3907</v>
      </c>
      <c r="B1072" s="10" t="s">
        <v>3908</v>
      </c>
      <c r="C1072" s="11" t="s">
        <v>3915</v>
      </c>
      <c r="D1072" s="11" t="s">
        <v>3916</v>
      </c>
      <c r="E1072" s="11" t="s">
        <v>26</v>
      </c>
      <c r="F1072" s="11" t="s">
        <v>3917</v>
      </c>
      <c r="G1072" s="11" t="s">
        <v>28</v>
      </c>
      <c r="H1072" s="11" t="s">
        <v>3910</v>
      </c>
      <c r="I1072" s="11" t="s">
        <v>3911</v>
      </c>
      <c r="J1072" s="12">
        <v>0.97689999999999999</v>
      </c>
      <c r="K1072" s="13">
        <v>1</v>
      </c>
      <c r="L1072" s="14">
        <v>425</v>
      </c>
      <c r="M1072" s="10">
        <v>391</v>
      </c>
      <c r="N1072" s="10">
        <v>46963</v>
      </c>
      <c r="O1072" s="10">
        <v>30662</v>
      </c>
      <c r="P1072" s="10">
        <v>77625</v>
      </c>
    </row>
    <row r="1073" spans="1:16" ht="27" customHeight="1" x14ac:dyDescent="0.2">
      <c r="A1073" s="9" t="s">
        <v>3907</v>
      </c>
      <c r="B1073" s="10" t="s">
        <v>3908</v>
      </c>
      <c r="C1073" s="11" t="s">
        <v>3918</v>
      </c>
      <c r="D1073" s="11" t="s">
        <v>3919</v>
      </c>
      <c r="E1073" s="11" t="s">
        <v>57</v>
      </c>
      <c r="F1073" s="11" t="s">
        <v>3920</v>
      </c>
      <c r="G1073" s="11" t="s">
        <v>28</v>
      </c>
      <c r="H1073" s="11" t="s">
        <v>3910</v>
      </c>
      <c r="I1073" s="11" t="s">
        <v>3911</v>
      </c>
      <c r="J1073" s="12">
        <v>0.97689999999999999</v>
      </c>
      <c r="K1073" s="13">
        <v>1</v>
      </c>
      <c r="L1073" s="14">
        <v>156</v>
      </c>
      <c r="M1073" s="10">
        <v>143</v>
      </c>
      <c r="N1073" s="10">
        <v>17238</v>
      </c>
      <c r="O1073" s="10">
        <v>11214</v>
      </c>
      <c r="P1073" s="10">
        <v>28452</v>
      </c>
    </row>
    <row r="1074" spans="1:16" ht="27" customHeight="1" x14ac:dyDescent="0.2">
      <c r="A1074" s="9" t="s">
        <v>3907</v>
      </c>
      <c r="B1074" s="10" t="s">
        <v>3908</v>
      </c>
      <c r="C1074" s="11" t="s">
        <v>3921</v>
      </c>
      <c r="D1074" s="11" t="s">
        <v>3922</v>
      </c>
      <c r="E1074" s="11" t="s">
        <v>26</v>
      </c>
      <c r="F1074" s="11" t="s">
        <v>3923</v>
      </c>
      <c r="G1074" s="11" t="s">
        <v>28</v>
      </c>
      <c r="H1074" s="11" t="s">
        <v>3923</v>
      </c>
      <c r="I1074" s="11" t="s">
        <v>3924</v>
      </c>
      <c r="J1074" s="12">
        <v>0.1515</v>
      </c>
      <c r="K1074" s="13">
        <v>1</v>
      </c>
      <c r="L1074" s="14">
        <v>680</v>
      </c>
      <c r="M1074" s="10">
        <v>103</v>
      </c>
      <c r="N1074" s="10">
        <v>75141</v>
      </c>
      <c r="O1074" s="10">
        <v>8077</v>
      </c>
      <c r="P1074" s="10">
        <v>83218</v>
      </c>
    </row>
    <row r="1075" spans="1:16" ht="27" customHeight="1" x14ac:dyDescent="0.2">
      <c r="A1075" s="9" t="s">
        <v>3907</v>
      </c>
      <c r="B1075" s="10" t="s">
        <v>3908</v>
      </c>
      <c r="C1075" s="11" t="s">
        <v>3925</v>
      </c>
      <c r="D1075" s="11" t="s">
        <v>3926</v>
      </c>
      <c r="E1075" s="11" t="s">
        <v>26</v>
      </c>
      <c r="F1075" s="11" t="s">
        <v>3927</v>
      </c>
      <c r="G1075" s="11" t="s">
        <v>28</v>
      </c>
      <c r="H1075" s="11" t="s">
        <v>3910</v>
      </c>
      <c r="I1075" s="11" t="s">
        <v>3911</v>
      </c>
      <c r="J1075" s="12">
        <v>0.97689999999999999</v>
      </c>
      <c r="K1075" s="13">
        <v>1</v>
      </c>
      <c r="L1075" s="14">
        <v>80</v>
      </c>
      <c r="M1075" s="10">
        <v>42</v>
      </c>
      <c r="N1075" s="10">
        <v>8840</v>
      </c>
      <c r="O1075" s="10">
        <v>3294</v>
      </c>
      <c r="P1075" s="10">
        <v>12134</v>
      </c>
    </row>
    <row r="1076" spans="1:16" ht="27" customHeight="1" x14ac:dyDescent="0.2">
      <c r="A1076" s="9" t="s">
        <v>3907</v>
      </c>
      <c r="B1076" s="10" t="s">
        <v>3908</v>
      </c>
      <c r="C1076" s="11" t="s">
        <v>3928</v>
      </c>
      <c r="D1076" s="11" t="s">
        <v>3929</v>
      </c>
      <c r="E1076" s="11" t="s">
        <v>26</v>
      </c>
      <c r="F1076" s="11" t="s">
        <v>3930</v>
      </c>
      <c r="G1076" s="11" t="s">
        <v>28</v>
      </c>
      <c r="H1076" s="11" t="s">
        <v>3910</v>
      </c>
      <c r="I1076" s="11" t="s">
        <v>3911</v>
      </c>
      <c r="J1076" s="12">
        <v>0.97689999999999999</v>
      </c>
      <c r="K1076" s="13">
        <v>1</v>
      </c>
      <c r="L1076" s="14">
        <v>373</v>
      </c>
      <c r="M1076" s="10">
        <v>261</v>
      </c>
      <c r="N1076" s="10">
        <v>41217</v>
      </c>
      <c r="O1076" s="10">
        <v>20467</v>
      </c>
      <c r="P1076" s="10">
        <v>61684</v>
      </c>
    </row>
    <row r="1077" spans="1:16" ht="27" customHeight="1" x14ac:dyDescent="0.2">
      <c r="A1077" s="9" t="s">
        <v>3907</v>
      </c>
      <c r="B1077" s="10" t="s">
        <v>3908</v>
      </c>
      <c r="C1077" s="11" t="s">
        <v>3931</v>
      </c>
      <c r="D1077" s="11" t="s">
        <v>3932</v>
      </c>
      <c r="E1077" s="11" t="s">
        <v>26</v>
      </c>
      <c r="F1077" s="11" t="s">
        <v>3933</v>
      </c>
      <c r="G1077" s="11" t="s">
        <v>28</v>
      </c>
      <c r="H1077" s="11" t="s">
        <v>3933</v>
      </c>
      <c r="I1077" s="11" t="s">
        <v>3934</v>
      </c>
      <c r="J1077" s="12">
        <v>0.22489999999999999</v>
      </c>
      <c r="K1077" s="13">
        <v>1</v>
      </c>
      <c r="L1077" s="14">
        <v>249</v>
      </c>
      <c r="M1077" s="10">
        <v>56</v>
      </c>
      <c r="N1077" s="10">
        <v>27515</v>
      </c>
      <c r="O1077" s="10">
        <v>4391</v>
      </c>
      <c r="P1077" s="10">
        <v>31906</v>
      </c>
    </row>
    <row r="1078" spans="1:16" ht="27" customHeight="1" x14ac:dyDescent="0.2">
      <c r="A1078" s="9" t="s">
        <v>3907</v>
      </c>
      <c r="B1078" s="10" t="s">
        <v>3908</v>
      </c>
      <c r="C1078" s="11" t="s">
        <v>3935</v>
      </c>
      <c r="D1078" s="11" t="s">
        <v>3936</v>
      </c>
      <c r="E1078" s="11" t="s">
        <v>26</v>
      </c>
      <c r="F1078" s="11" t="s">
        <v>3937</v>
      </c>
      <c r="G1078" s="11" t="s">
        <v>28</v>
      </c>
      <c r="H1078" s="11" t="s">
        <v>3937</v>
      </c>
      <c r="I1078" s="11" t="s">
        <v>3938</v>
      </c>
      <c r="J1078" s="12">
        <v>0.41089999999999999</v>
      </c>
      <c r="K1078" s="13">
        <v>1</v>
      </c>
      <c r="L1078" s="14">
        <v>1005</v>
      </c>
      <c r="M1078" s="10">
        <v>413</v>
      </c>
      <c r="N1078" s="10">
        <v>111054</v>
      </c>
      <c r="O1078" s="10">
        <v>32387</v>
      </c>
      <c r="P1078" s="10">
        <v>143441</v>
      </c>
    </row>
    <row r="1079" spans="1:16" ht="27" customHeight="1" x14ac:dyDescent="0.2">
      <c r="A1079" s="9" t="s">
        <v>3907</v>
      </c>
      <c r="B1079" s="10" t="s">
        <v>3908</v>
      </c>
      <c r="C1079" s="11" t="s">
        <v>3939</v>
      </c>
      <c r="D1079" s="11" t="s">
        <v>3940</v>
      </c>
      <c r="E1079" s="11" t="s">
        <v>26</v>
      </c>
      <c r="F1079" s="11" t="s">
        <v>3941</v>
      </c>
      <c r="G1079" s="11" t="s">
        <v>28</v>
      </c>
      <c r="H1079" s="11" t="s">
        <v>3941</v>
      </c>
      <c r="I1079" s="11" t="s">
        <v>3942</v>
      </c>
      <c r="J1079" s="12">
        <v>0.90980000000000005</v>
      </c>
      <c r="K1079" s="13">
        <v>1</v>
      </c>
      <c r="L1079" s="14">
        <v>643</v>
      </c>
      <c r="M1079" s="10">
        <v>585</v>
      </c>
      <c r="N1079" s="10">
        <v>71053</v>
      </c>
      <c r="O1079" s="10">
        <v>45875</v>
      </c>
      <c r="P1079" s="10">
        <v>116928</v>
      </c>
    </row>
    <row r="1080" spans="1:16" ht="27" customHeight="1" x14ac:dyDescent="0.2">
      <c r="A1080" s="9" t="s">
        <v>3907</v>
      </c>
      <c r="B1080" s="10" t="s">
        <v>3908</v>
      </c>
      <c r="C1080" s="11" t="s">
        <v>3943</v>
      </c>
      <c r="D1080" s="11" t="s">
        <v>3944</v>
      </c>
      <c r="E1080" s="11" t="s">
        <v>26</v>
      </c>
      <c r="F1080" s="11" t="s">
        <v>3945</v>
      </c>
      <c r="G1080" s="11" t="s">
        <v>28</v>
      </c>
      <c r="H1080" s="11" t="s">
        <v>3910</v>
      </c>
      <c r="I1080" s="11" t="s">
        <v>3911</v>
      </c>
      <c r="J1080" s="12">
        <v>0.97689999999999999</v>
      </c>
      <c r="K1080" s="13">
        <v>1</v>
      </c>
      <c r="L1080" s="14">
        <v>159</v>
      </c>
      <c r="M1080" s="10">
        <v>144</v>
      </c>
      <c r="N1080" s="10">
        <v>17570</v>
      </c>
      <c r="O1080" s="10">
        <v>11292</v>
      </c>
      <c r="P1080" s="10">
        <v>28862</v>
      </c>
    </row>
    <row r="1081" spans="1:16" ht="27" customHeight="1" x14ac:dyDescent="0.2">
      <c r="A1081" s="9" t="s">
        <v>3907</v>
      </c>
      <c r="B1081" s="10" t="s">
        <v>3908</v>
      </c>
      <c r="C1081" s="11" t="s">
        <v>3946</v>
      </c>
      <c r="D1081" s="11" t="s">
        <v>3947</v>
      </c>
      <c r="E1081" s="11" t="s">
        <v>26</v>
      </c>
      <c r="F1081" s="11" t="s">
        <v>3948</v>
      </c>
      <c r="G1081" s="11" t="s">
        <v>28</v>
      </c>
      <c r="H1081" s="11" t="s">
        <v>3948</v>
      </c>
      <c r="I1081" s="11" t="s">
        <v>3949</v>
      </c>
      <c r="J1081" s="12">
        <v>0.61209999999999998</v>
      </c>
      <c r="K1081" s="13">
        <v>1</v>
      </c>
      <c r="L1081" s="14">
        <v>397</v>
      </c>
      <c r="M1081" s="10">
        <v>243</v>
      </c>
      <c r="N1081" s="10">
        <v>43869</v>
      </c>
      <c r="O1081" s="10">
        <v>19056</v>
      </c>
      <c r="P1081" s="10">
        <v>62925</v>
      </c>
    </row>
    <row r="1082" spans="1:16" ht="27" customHeight="1" x14ac:dyDescent="0.2">
      <c r="A1082" s="9" t="s">
        <v>3907</v>
      </c>
      <c r="B1082" s="10" t="s">
        <v>3908</v>
      </c>
      <c r="C1082" s="11" t="s">
        <v>3950</v>
      </c>
      <c r="D1082" s="11" t="s">
        <v>3951</v>
      </c>
      <c r="E1082" s="11" t="s">
        <v>26</v>
      </c>
      <c r="F1082" s="11" t="s">
        <v>3952</v>
      </c>
      <c r="G1082" s="11" t="s">
        <v>28</v>
      </c>
      <c r="H1082" s="11" t="s">
        <v>3952</v>
      </c>
      <c r="I1082" s="11" t="s">
        <v>3953</v>
      </c>
      <c r="J1082" s="12">
        <v>0.87880000000000003</v>
      </c>
      <c r="K1082" s="13">
        <v>1</v>
      </c>
      <c r="L1082" s="14">
        <v>330</v>
      </c>
      <c r="M1082" s="10">
        <v>290</v>
      </c>
      <c r="N1082" s="10">
        <v>36466</v>
      </c>
      <c r="O1082" s="10">
        <v>22742</v>
      </c>
      <c r="P1082" s="10">
        <v>59208</v>
      </c>
    </row>
    <row r="1083" spans="1:16" ht="27" customHeight="1" x14ac:dyDescent="0.2">
      <c r="A1083" s="9" t="s">
        <v>3907</v>
      </c>
      <c r="B1083" s="10" t="s">
        <v>3908</v>
      </c>
      <c r="C1083" s="11" t="s">
        <v>3954</v>
      </c>
      <c r="D1083" s="11" t="s">
        <v>3955</v>
      </c>
      <c r="E1083" s="11" t="s">
        <v>26</v>
      </c>
      <c r="F1083" s="11" t="s">
        <v>3956</v>
      </c>
      <c r="G1083" s="11" t="s">
        <v>28</v>
      </c>
      <c r="H1083" s="11" t="s">
        <v>3956</v>
      </c>
      <c r="I1083" s="11" t="s">
        <v>3957</v>
      </c>
      <c r="J1083" s="12">
        <v>0.63639999999999997</v>
      </c>
      <c r="K1083" s="13">
        <v>1</v>
      </c>
      <c r="L1083" s="14">
        <v>187</v>
      </c>
      <c r="M1083" s="10">
        <v>119</v>
      </c>
      <c r="N1083" s="10">
        <v>20664</v>
      </c>
      <c r="O1083" s="10">
        <v>9332</v>
      </c>
      <c r="P1083" s="10">
        <v>29996</v>
      </c>
    </row>
    <row r="1084" spans="1:16" ht="27" customHeight="1" x14ac:dyDescent="0.2">
      <c r="A1084" s="9" t="s">
        <v>3907</v>
      </c>
      <c r="B1084" s="10" t="s">
        <v>3908</v>
      </c>
      <c r="C1084" s="11" t="s">
        <v>3958</v>
      </c>
      <c r="D1084" s="11" t="s">
        <v>3959</v>
      </c>
      <c r="E1084" s="11" t="s">
        <v>26</v>
      </c>
      <c r="F1084" s="11" t="s">
        <v>3960</v>
      </c>
      <c r="G1084" s="11" t="s">
        <v>28</v>
      </c>
      <c r="H1084" s="11" t="s">
        <v>3960</v>
      </c>
      <c r="I1084" s="11" t="s">
        <v>3961</v>
      </c>
      <c r="J1084" s="12">
        <v>0.57140000000000002</v>
      </c>
      <c r="K1084" s="13">
        <v>1</v>
      </c>
      <c r="L1084" s="14">
        <v>77</v>
      </c>
      <c r="M1084" s="10">
        <v>44</v>
      </c>
      <c r="N1084" s="10">
        <v>8509</v>
      </c>
      <c r="O1084" s="10">
        <v>3450</v>
      </c>
      <c r="P1084" s="10">
        <v>11959</v>
      </c>
    </row>
    <row r="1085" spans="1:16" ht="27" customHeight="1" x14ac:dyDescent="0.2">
      <c r="A1085" s="9" t="s">
        <v>3907</v>
      </c>
      <c r="B1085" s="10" t="s">
        <v>3908</v>
      </c>
      <c r="C1085" s="11" t="s">
        <v>3962</v>
      </c>
      <c r="D1085" s="11" t="s">
        <v>3963</v>
      </c>
      <c r="E1085" s="11" t="s">
        <v>26</v>
      </c>
      <c r="F1085" s="11" t="s">
        <v>3964</v>
      </c>
      <c r="G1085" s="11" t="s">
        <v>28</v>
      </c>
      <c r="H1085" s="11" t="s">
        <v>3964</v>
      </c>
      <c r="I1085" s="11" t="s">
        <v>3965</v>
      </c>
      <c r="J1085" s="12">
        <v>0.33119999999999999</v>
      </c>
      <c r="K1085" s="13">
        <v>1</v>
      </c>
      <c r="L1085" s="14">
        <v>157</v>
      </c>
      <c r="M1085" s="10">
        <v>52</v>
      </c>
      <c r="N1085" s="10">
        <v>17349</v>
      </c>
      <c r="O1085" s="10">
        <v>4078</v>
      </c>
      <c r="P1085" s="10">
        <v>21427</v>
      </c>
    </row>
    <row r="1086" spans="1:16" ht="27" customHeight="1" x14ac:dyDescent="0.2">
      <c r="A1086" s="9" t="s">
        <v>3907</v>
      </c>
      <c r="B1086" s="10" t="s">
        <v>3908</v>
      </c>
      <c r="C1086" s="11" t="s">
        <v>3966</v>
      </c>
      <c r="D1086" s="11" t="s">
        <v>3967</v>
      </c>
      <c r="E1086" s="11" t="s">
        <v>26</v>
      </c>
      <c r="F1086" s="11" t="s">
        <v>3968</v>
      </c>
      <c r="G1086" s="11" t="s">
        <v>28</v>
      </c>
      <c r="H1086" s="11" t="s">
        <v>3968</v>
      </c>
      <c r="I1086" s="11" t="s">
        <v>3969</v>
      </c>
      <c r="J1086" s="12">
        <v>0.6</v>
      </c>
      <c r="K1086" s="13">
        <v>1</v>
      </c>
      <c r="L1086" s="14">
        <v>130</v>
      </c>
      <c r="M1086" s="10">
        <v>78</v>
      </c>
      <c r="N1086" s="10">
        <v>14365</v>
      </c>
      <c r="O1086" s="10">
        <v>6117</v>
      </c>
      <c r="P1086" s="10">
        <v>20482</v>
      </c>
    </row>
    <row r="1087" spans="1:16" ht="27" customHeight="1" x14ac:dyDescent="0.2">
      <c r="A1087" s="9" t="s">
        <v>3907</v>
      </c>
      <c r="B1087" s="10" t="s">
        <v>3908</v>
      </c>
      <c r="C1087" s="11" t="s">
        <v>3970</v>
      </c>
      <c r="D1087" s="11" t="s">
        <v>3971</v>
      </c>
      <c r="E1087" s="11" t="s">
        <v>26</v>
      </c>
      <c r="F1087" s="11" t="s">
        <v>3972</v>
      </c>
      <c r="G1087" s="11" t="s">
        <v>28</v>
      </c>
      <c r="H1087" s="11" t="s">
        <v>3972</v>
      </c>
      <c r="I1087" s="11" t="s">
        <v>3973</v>
      </c>
      <c r="J1087" s="12">
        <v>0.14560000000000001</v>
      </c>
      <c r="K1087" s="13">
        <v>1</v>
      </c>
      <c r="L1087" s="14">
        <v>529</v>
      </c>
      <c r="M1087" s="10">
        <v>77</v>
      </c>
      <c r="N1087" s="10">
        <v>58455</v>
      </c>
      <c r="O1087" s="10">
        <v>6038</v>
      </c>
      <c r="P1087" s="10">
        <v>64493</v>
      </c>
    </row>
    <row r="1088" spans="1:16" ht="27" customHeight="1" x14ac:dyDescent="0.2">
      <c r="A1088" s="9" t="s">
        <v>3907</v>
      </c>
      <c r="B1088" s="10" t="s">
        <v>3908</v>
      </c>
      <c r="C1088" s="11" t="s">
        <v>3974</v>
      </c>
      <c r="D1088" s="11" t="s">
        <v>3975</v>
      </c>
      <c r="E1088" s="11" t="s">
        <v>26</v>
      </c>
      <c r="F1088" s="11" t="s">
        <v>3976</v>
      </c>
      <c r="G1088" s="11" t="s">
        <v>28</v>
      </c>
      <c r="H1088" s="11" t="s">
        <v>3976</v>
      </c>
      <c r="I1088" s="11" t="s">
        <v>3977</v>
      </c>
      <c r="J1088" s="12">
        <v>0.14760000000000001</v>
      </c>
      <c r="K1088" s="13">
        <v>1</v>
      </c>
      <c r="L1088" s="14">
        <v>210</v>
      </c>
      <c r="M1088" s="10">
        <v>31</v>
      </c>
      <c r="N1088" s="10">
        <v>23205</v>
      </c>
      <c r="O1088" s="10">
        <v>2431</v>
      </c>
      <c r="P1088" s="10">
        <v>25636</v>
      </c>
    </row>
    <row r="1089" spans="1:16" ht="27" customHeight="1" x14ac:dyDescent="0.2">
      <c r="A1089" s="9" t="s">
        <v>3907</v>
      </c>
      <c r="B1089" s="10" t="s">
        <v>3908</v>
      </c>
      <c r="C1089" s="11" t="s">
        <v>3978</v>
      </c>
      <c r="D1089" s="11" t="s">
        <v>3979</v>
      </c>
      <c r="E1089" s="11" t="s">
        <v>26</v>
      </c>
      <c r="F1089" s="11" t="s">
        <v>3980</v>
      </c>
      <c r="G1089" s="11" t="s">
        <v>28</v>
      </c>
      <c r="H1089" s="11" t="s">
        <v>3910</v>
      </c>
      <c r="I1089" s="11" t="s">
        <v>3911</v>
      </c>
      <c r="J1089" s="12">
        <v>0.97689999999999999</v>
      </c>
      <c r="K1089" s="13">
        <v>1</v>
      </c>
      <c r="L1089" s="14">
        <v>0</v>
      </c>
      <c r="M1089" s="10">
        <v>0</v>
      </c>
      <c r="N1089" s="10">
        <v>0</v>
      </c>
      <c r="O1089" s="10">
        <v>0</v>
      </c>
      <c r="P1089" s="10">
        <v>0</v>
      </c>
    </row>
    <row r="1090" spans="1:16" ht="27" customHeight="1" x14ac:dyDescent="0.2">
      <c r="A1090" s="9" t="s">
        <v>3907</v>
      </c>
      <c r="B1090" s="10" t="s">
        <v>3908</v>
      </c>
      <c r="C1090" s="11" t="s">
        <v>3981</v>
      </c>
      <c r="D1090" s="11" t="s">
        <v>3982</v>
      </c>
      <c r="E1090" s="11" t="s">
        <v>26</v>
      </c>
      <c r="F1090" s="11" t="s">
        <v>3983</v>
      </c>
      <c r="G1090" s="11" t="s">
        <v>28</v>
      </c>
      <c r="H1090" s="11" t="s">
        <v>3983</v>
      </c>
      <c r="I1090" s="11" t="s">
        <v>3984</v>
      </c>
      <c r="J1090" s="12">
        <v>0</v>
      </c>
      <c r="K1090" s="13">
        <v>1</v>
      </c>
      <c r="L1090" s="14">
        <v>0</v>
      </c>
      <c r="M1090" s="10">
        <v>0</v>
      </c>
      <c r="N1090" s="10">
        <v>0</v>
      </c>
      <c r="O1090" s="10">
        <v>0</v>
      </c>
      <c r="P1090" s="10">
        <v>0</v>
      </c>
    </row>
    <row r="1091" spans="1:16" ht="27" customHeight="1" x14ac:dyDescent="0.2">
      <c r="A1091" s="9" t="s">
        <v>3907</v>
      </c>
      <c r="B1091" s="10" t="s">
        <v>3908</v>
      </c>
      <c r="C1091" s="11" t="s">
        <v>3985</v>
      </c>
      <c r="D1091" s="11" t="s">
        <v>3986</v>
      </c>
      <c r="E1091" s="11" t="s">
        <v>26</v>
      </c>
      <c r="F1091" s="11" t="s">
        <v>3987</v>
      </c>
      <c r="G1091" s="11" t="s">
        <v>28</v>
      </c>
      <c r="H1091" s="11" t="s">
        <v>3910</v>
      </c>
      <c r="I1091" s="11" t="s">
        <v>3911</v>
      </c>
      <c r="J1091" s="12">
        <v>0.97689999999999999</v>
      </c>
      <c r="K1091" s="13">
        <v>1</v>
      </c>
      <c r="L1091" s="14">
        <v>0</v>
      </c>
      <c r="M1091" s="10">
        <v>0</v>
      </c>
      <c r="N1091" s="10">
        <v>0</v>
      </c>
      <c r="O1091" s="10">
        <v>0</v>
      </c>
      <c r="P1091" s="10">
        <v>0</v>
      </c>
    </row>
    <row r="1092" spans="1:16" ht="27" customHeight="1" x14ac:dyDescent="0.2">
      <c r="A1092" s="9" t="s">
        <v>3907</v>
      </c>
      <c r="B1092" s="10" t="s">
        <v>3908</v>
      </c>
      <c r="C1092" s="11" t="s">
        <v>3988</v>
      </c>
      <c r="D1092" s="11" t="s">
        <v>3989</v>
      </c>
      <c r="E1092" s="11" t="s">
        <v>26</v>
      </c>
      <c r="F1092" s="11" t="s">
        <v>3990</v>
      </c>
      <c r="G1092" s="11" t="s">
        <v>28</v>
      </c>
      <c r="H1092" s="11" t="s">
        <v>3990</v>
      </c>
      <c r="I1092" s="11" t="s">
        <v>3991</v>
      </c>
      <c r="J1092" s="12">
        <v>0</v>
      </c>
      <c r="K1092" s="13">
        <v>1</v>
      </c>
      <c r="L1092" s="14">
        <v>0</v>
      </c>
      <c r="M1092" s="10">
        <v>0</v>
      </c>
      <c r="N1092" s="10">
        <v>0</v>
      </c>
      <c r="O1092" s="10">
        <v>0</v>
      </c>
      <c r="P1092" s="10">
        <v>0</v>
      </c>
    </row>
    <row r="1093" spans="1:16" ht="27" customHeight="1" x14ac:dyDescent="0.2">
      <c r="A1093" s="9" t="s">
        <v>3907</v>
      </c>
      <c r="B1093" s="10" t="s">
        <v>3908</v>
      </c>
      <c r="C1093" s="11" t="s">
        <v>3992</v>
      </c>
      <c r="D1093" s="11" t="s">
        <v>3993</v>
      </c>
      <c r="E1093" s="11" t="s">
        <v>26</v>
      </c>
      <c r="F1093" s="11" t="s">
        <v>3994</v>
      </c>
      <c r="G1093" s="11" t="s">
        <v>28</v>
      </c>
      <c r="H1093" s="11" t="s">
        <v>3910</v>
      </c>
      <c r="I1093" s="11" t="s">
        <v>3911</v>
      </c>
      <c r="J1093" s="12">
        <v>0.97689999999999999</v>
      </c>
      <c r="K1093" s="13">
        <v>1</v>
      </c>
      <c r="L1093" s="14">
        <v>2252</v>
      </c>
      <c r="M1093" s="10">
        <v>280</v>
      </c>
      <c r="N1093" s="10">
        <v>248850</v>
      </c>
      <c r="O1093" s="10">
        <v>21957</v>
      </c>
      <c r="P1093" s="10">
        <v>270807</v>
      </c>
    </row>
    <row r="1094" spans="1:16" ht="27" customHeight="1" x14ac:dyDescent="0.2">
      <c r="A1094" s="9" t="s">
        <v>3907</v>
      </c>
      <c r="B1094" s="10" t="s">
        <v>3995</v>
      </c>
      <c r="C1094" s="11" t="s">
        <v>18</v>
      </c>
      <c r="D1094" s="11" t="s">
        <v>19</v>
      </c>
      <c r="E1094" s="11" t="s">
        <v>19</v>
      </c>
      <c r="F1094" s="11" t="s">
        <v>3996</v>
      </c>
      <c r="G1094" s="11" t="s">
        <v>83</v>
      </c>
      <c r="H1094" s="11" t="s">
        <v>3997</v>
      </c>
      <c r="I1094" s="11" t="s">
        <v>3998</v>
      </c>
      <c r="J1094" s="12">
        <v>0.60829999999999995</v>
      </c>
      <c r="K1094" s="13">
        <v>7</v>
      </c>
      <c r="L1094" s="14">
        <v>3095</v>
      </c>
      <c r="M1094" s="10">
        <v>1716</v>
      </c>
      <c r="N1094" s="10">
        <v>342003</v>
      </c>
      <c r="O1094" s="10">
        <v>134567</v>
      </c>
      <c r="P1094" s="10">
        <v>476570</v>
      </c>
    </row>
    <row r="1095" spans="1:16" ht="27" customHeight="1" x14ac:dyDescent="0.2">
      <c r="A1095" s="9" t="s">
        <v>3907</v>
      </c>
      <c r="B1095" s="10" t="s">
        <v>3999</v>
      </c>
      <c r="C1095" s="11" t="s">
        <v>18</v>
      </c>
      <c r="D1095" s="11" t="s">
        <v>19</v>
      </c>
      <c r="E1095" s="11" t="s">
        <v>19</v>
      </c>
      <c r="F1095" s="11" t="s">
        <v>4000</v>
      </c>
      <c r="G1095" s="11" t="s">
        <v>83</v>
      </c>
      <c r="H1095" s="11" t="s">
        <v>4001</v>
      </c>
      <c r="I1095" s="11" t="s">
        <v>4002</v>
      </c>
      <c r="J1095" s="12">
        <v>0.83399999999999996</v>
      </c>
      <c r="K1095" s="13">
        <v>25</v>
      </c>
      <c r="L1095" s="14">
        <v>15593</v>
      </c>
      <c r="M1095" s="10">
        <v>11546</v>
      </c>
      <c r="N1095" s="10">
        <v>1723052</v>
      </c>
      <c r="O1095" s="10">
        <v>905426</v>
      </c>
      <c r="P1095" s="10">
        <v>2628478</v>
      </c>
    </row>
    <row r="1096" spans="1:16" ht="27" customHeight="1" x14ac:dyDescent="0.2">
      <c r="A1096" s="9" t="s">
        <v>3907</v>
      </c>
      <c r="B1096" s="10" t="s">
        <v>3999</v>
      </c>
      <c r="C1096" s="11" t="s">
        <v>4003</v>
      </c>
      <c r="D1096" s="11" t="s">
        <v>4004</v>
      </c>
      <c r="E1096" s="11" t="s">
        <v>26</v>
      </c>
      <c r="F1096" s="11" t="s">
        <v>4005</v>
      </c>
      <c r="G1096" s="11" t="s">
        <v>28</v>
      </c>
      <c r="H1096" s="11" t="s">
        <v>4005</v>
      </c>
      <c r="I1096" s="11" t="s">
        <v>4006</v>
      </c>
      <c r="J1096" s="12">
        <v>0.66390000000000005</v>
      </c>
      <c r="K1096" s="13">
        <v>1</v>
      </c>
      <c r="L1096" s="14">
        <v>241</v>
      </c>
      <c r="M1096" s="10">
        <v>160</v>
      </c>
      <c r="N1096" s="10">
        <v>26631</v>
      </c>
      <c r="O1096" s="10">
        <v>12547</v>
      </c>
      <c r="P1096" s="10">
        <v>39178</v>
      </c>
    </row>
    <row r="1097" spans="1:16" ht="27" customHeight="1" x14ac:dyDescent="0.2">
      <c r="A1097" s="9" t="s">
        <v>3907</v>
      </c>
      <c r="B1097" s="10" t="s">
        <v>3999</v>
      </c>
      <c r="C1097" s="11" t="s">
        <v>4007</v>
      </c>
      <c r="D1097" s="11" t="s">
        <v>4008</v>
      </c>
      <c r="E1097" s="11" t="s">
        <v>26</v>
      </c>
      <c r="F1097" s="11" t="s">
        <v>4009</v>
      </c>
      <c r="G1097" s="11" t="s">
        <v>28</v>
      </c>
      <c r="H1097" s="11" t="s">
        <v>4009</v>
      </c>
      <c r="I1097" s="11" t="s">
        <v>4010</v>
      </c>
      <c r="J1097" s="12">
        <v>0.84250000000000003</v>
      </c>
      <c r="K1097" s="13">
        <v>1</v>
      </c>
      <c r="L1097" s="14">
        <v>273</v>
      </c>
      <c r="M1097" s="10">
        <v>230</v>
      </c>
      <c r="N1097" s="10">
        <v>30167</v>
      </c>
      <c r="O1097" s="10">
        <v>18036</v>
      </c>
      <c r="P1097" s="10">
        <v>48203</v>
      </c>
    </row>
    <row r="1098" spans="1:16" ht="27" customHeight="1" x14ac:dyDescent="0.2">
      <c r="A1098" s="9" t="s">
        <v>3907</v>
      </c>
      <c r="B1098" s="10" t="s">
        <v>4011</v>
      </c>
      <c r="C1098" s="11" t="s">
        <v>18</v>
      </c>
      <c r="D1098" s="11" t="s">
        <v>19</v>
      </c>
      <c r="E1098" s="11" t="s">
        <v>19</v>
      </c>
      <c r="F1098" s="11" t="s">
        <v>4012</v>
      </c>
      <c r="G1098" s="11" t="s">
        <v>83</v>
      </c>
      <c r="H1098" s="11" t="s">
        <v>3910</v>
      </c>
      <c r="I1098" s="11" t="s">
        <v>3911</v>
      </c>
      <c r="J1098" s="12">
        <v>0.97689999999999999</v>
      </c>
      <c r="K1098" s="13">
        <v>22</v>
      </c>
      <c r="L1098" s="14">
        <v>27706</v>
      </c>
      <c r="M1098" s="10">
        <v>21541</v>
      </c>
      <c r="N1098" s="10">
        <v>3061560</v>
      </c>
      <c r="O1098" s="10">
        <v>1689221</v>
      </c>
      <c r="P1098" s="10">
        <v>4750781</v>
      </c>
    </row>
    <row r="1099" spans="1:16" ht="27" customHeight="1" x14ac:dyDescent="0.2">
      <c r="A1099" s="9" t="s">
        <v>3907</v>
      </c>
      <c r="B1099" s="10" t="s">
        <v>4013</v>
      </c>
      <c r="C1099" s="11" t="s">
        <v>18</v>
      </c>
      <c r="D1099" s="11" t="s">
        <v>19</v>
      </c>
      <c r="E1099" s="11" t="s">
        <v>19</v>
      </c>
      <c r="F1099" s="11" t="s">
        <v>4014</v>
      </c>
      <c r="G1099" s="11" t="s">
        <v>83</v>
      </c>
      <c r="H1099" s="11" t="s">
        <v>4015</v>
      </c>
      <c r="I1099" s="11" t="s">
        <v>4016</v>
      </c>
      <c r="J1099" s="12">
        <v>0.32890000000000003</v>
      </c>
      <c r="K1099" s="13">
        <v>11</v>
      </c>
      <c r="L1099" s="14">
        <v>5841</v>
      </c>
      <c r="M1099" s="10">
        <v>1286</v>
      </c>
      <c r="N1099" s="10">
        <v>645440</v>
      </c>
      <c r="O1099" s="10">
        <v>100847</v>
      </c>
      <c r="P1099" s="10">
        <v>746287</v>
      </c>
    </row>
    <row r="1100" spans="1:16" ht="27" customHeight="1" x14ac:dyDescent="0.2">
      <c r="A1100" s="9" t="s">
        <v>3907</v>
      </c>
      <c r="B1100" s="10" t="s">
        <v>4017</v>
      </c>
      <c r="C1100" s="11" t="s">
        <v>18</v>
      </c>
      <c r="D1100" s="11" t="s">
        <v>19</v>
      </c>
      <c r="E1100" s="11" t="s">
        <v>19</v>
      </c>
      <c r="F1100" s="11" t="s">
        <v>4018</v>
      </c>
      <c r="G1100" s="11" t="s">
        <v>83</v>
      </c>
      <c r="H1100" s="11" t="s">
        <v>4019</v>
      </c>
      <c r="I1100" s="11" t="s">
        <v>4020</v>
      </c>
      <c r="J1100" s="12">
        <v>0.91139999999999999</v>
      </c>
      <c r="K1100" s="13">
        <v>8</v>
      </c>
      <c r="L1100" s="14">
        <v>4118</v>
      </c>
      <c r="M1100" s="10">
        <v>3236</v>
      </c>
      <c r="N1100" s="10">
        <v>455048</v>
      </c>
      <c r="O1100" s="10">
        <v>253764</v>
      </c>
      <c r="P1100" s="10">
        <v>708812</v>
      </c>
    </row>
    <row r="1101" spans="1:16" ht="27" customHeight="1" x14ac:dyDescent="0.2">
      <c r="A1101" s="9" t="s">
        <v>3907</v>
      </c>
      <c r="B1101" s="10" t="s">
        <v>4021</v>
      </c>
      <c r="C1101" s="11" t="s">
        <v>18</v>
      </c>
      <c r="D1101" s="11" t="s">
        <v>19</v>
      </c>
      <c r="E1101" s="11" t="s">
        <v>19</v>
      </c>
      <c r="F1101" s="11" t="s">
        <v>4022</v>
      </c>
      <c r="G1101" s="11" t="s">
        <v>83</v>
      </c>
      <c r="H1101" s="11" t="s">
        <v>4023</v>
      </c>
      <c r="I1101" s="11" t="s">
        <v>4024</v>
      </c>
      <c r="J1101" s="12">
        <v>0.89970000000000006</v>
      </c>
      <c r="K1101" s="13">
        <v>59</v>
      </c>
      <c r="L1101" s="14">
        <v>42164</v>
      </c>
      <c r="M1101" s="10">
        <v>14703</v>
      </c>
      <c r="N1101" s="10">
        <v>4659194</v>
      </c>
      <c r="O1101" s="10">
        <v>1152992</v>
      </c>
      <c r="P1101" s="10">
        <v>5812186</v>
      </c>
    </row>
    <row r="1102" spans="1:16" ht="27" customHeight="1" x14ac:dyDescent="0.2">
      <c r="A1102" s="9" t="s">
        <v>3907</v>
      </c>
      <c r="B1102" s="10" t="s">
        <v>4021</v>
      </c>
      <c r="C1102" s="11" t="s">
        <v>4025</v>
      </c>
      <c r="D1102" s="11" t="s">
        <v>4026</v>
      </c>
      <c r="E1102" s="11" t="s">
        <v>26</v>
      </c>
      <c r="F1102" s="11" t="s">
        <v>4027</v>
      </c>
      <c r="G1102" s="11" t="s">
        <v>28</v>
      </c>
      <c r="H1102" s="11" t="s">
        <v>4027</v>
      </c>
      <c r="I1102" s="11" t="s">
        <v>4028</v>
      </c>
      <c r="J1102" s="12">
        <v>0.51160000000000005</v>
      </c>
      <c r="K1102" s="13">
        <v>1</v>
      </c>
      <c r="L1102" s="14">
        <v>5142</v>
      </c>
      <c r="M1102" s="10">
        <v>2631</v>
      </c>
      <c r="N1102" s="10">
        <v>568199</v>
      </c>
      <c r="O1102" s="10">
        <v>206320</v>
      </c>
      <c r="P1102" s="10">
        <v>774519</v>
      </c>
    </row>
    <row r="1103" spans="1:16" ht="27" customHeight="1" x14ac:dyDescent="0.2">
      <c r="A1103" s="9" t="s">
        <v>3907</v>
      </c>
      <c r="B1103" s="10" t="s">
        <v>4021</v>
      </c>
      <c r="C1103" s="11" t="s">
        <v>4029</v>
      </c>
      <c r="D1103" s="11" t="s">
        <v>4030</v>
      </c>
      <c r="E1103" s="11" t="s">
        <v>26</v>
      </c>
      <c r="F1103" s="11" t="s">
        <v>4031</v>
      </c>
      <c r="G1103" s="11" t="s">
        <v>28</v>
      </c>
      <c r="H1103" s="11" t="s">
        <v>4031</v>
      </c>
      <c r="I1103" s="11" t="s">
        <v>4032</v>
      </c>
      <c r="J1103" s="12">
        <v>0.10730000000000001</v>
      </c>
      <c r="K1103" s="13">
        <v>1</v>
      </c>
      <c r="L1103" s="14">
        <v>783</v>
      </c>
      <c r="M1103" s="10">
        <v>84</v>
      </c>
      <c r="N1103" s="10">
        <v>86523</v>
      </c>
      <c r="O1103" s="10">
        <v>6587</v>
      </c>
      <c r="P1103" s="10">
        <v>93110</v>
      </c>
    </row>
    <row r="1104" spans="1:16" ht="27" customHeight="1" x14ac:dyDescent="0.2">
      <c r="A1104" s="9" t="s">
        <v>3907</v>
      </c>
      <c r="B1104" s="10" t="s">
        <v>4021</v>
      </c>
      <c r="C1104" s="11" t="s">
        <v>4033</v>
      </c>
      <c r="D1104" s="11" t="s">
        <v>4034</v>
      </c>
      <c r="E1104" s="11" t="s">
        <v>26</v>
      </c>
      <c r="F1104" s="11" t="s">
        <v>4035</v>
      </c>
      <c r="G1104" s="11" t="s">
        <v>28</v>
      </c>
      <c r="H1104" s="11" t="s">
        <v>4035</v>
      </c>
      <c r="I1104" s="11" t="s">
        <v>4036</v>
      </c>
      <c r="J1104" s="12">
        <v>0.13589999999999999</v>
      </c>
      <c r="K1104" s="13">
        <v>1</v>
      </c>
      <c r="L1104" s="14">
        <v>847</v>
      </c>
      <c r="M1104" s="10">
        <v>115</v>
      </c>
      <c r="N1104" s="10">
        <v>93595</v>
      </c>
      <c r="O1104" s="10">
        <v>9018</v>
      </c>
      <c r="P1104" s="10">
        <v>102613</v>
      </c>
    </row>
    <row r="1105" spans="1:16" ht="27" customHeight="1" x14ac:dyDescent="0.2">
      <c r="A1105" s="9" t="s">
        <v>3907</v>
      </c>
      <c r="B1105" s="10" t="s">
        <v>4021</v>
      </c>
      <c r="C1105" s="11" t="s">
        <v>4037</v>
      </c>
      <c r="D1105" s="11" t="s">
        <v>4038</v>
      </c>
      <c r="E1105" s="11" t="s">
        <v>26</v>
      </c>
      <c r="F1105" s="11" t="s">
        <v>4039</v>
      </c>
      <c r="G1105" s="11" t="s">
        <v>28</v>
      </c>
      <c r="H1105" s="11" t="s">
        <v>4039</v>
      </c>
      <c r="I1105" s="11" t="s">
        <v>4040</v>
      </c>
      <c r="J1105" s="12">
        <v>0.31309999999999999</v>
      </c>
      <c r="K1105" s="13">
        <v>1</v>
      </c>
      <c r="L1105" s="14">
        <v>99</v>
      </c>
      <c r="M1105" s="10">
        <v>31</v>
      </c>
      <c r="N1105" s="10">
        <v>10940</v>
      </c>
      <c r="O1105" s="10">
        <v>2431</v>
      </c>
      <c r="P1105" s="10">
        <v>13371</v>
      </c>
    </row>
    <row r="1106" spans="1:16" ht="27" customHeight="1" x14ac:dyDescent="0.2">
      <c r="A1106" s="9" t="s">
        <v>3907</v>
      </c>
      <c r="B1106" s="10" t="s">
        <v>4021</v>
      </c>
      <c r="C1106" s="11" t="s">
        <v>4041</v>
      </c>
      <c r="D1106" s="11" t="s">
        <v>4042</v>
      </c>
      <c r="E1106" s="11" t="s">
        <v>26</v>
      </c>
      <c r="F1106" s="11" t="s">
        <v>4043</v>
      </c>
      <c r="G1106" s="11" t="s">
        <v>28</v>
      </c>
      <c r="H1106" s="11" t="s">
        <v>4043</v>
      </c>
      <c r="I1106" s="11" t="s">
        <v>4044</v>
      </c>
      <c r="J1106" s="12">
        <v>0.20100000000000001</v>
      </c>
      <c r="K1106" s="13">
        <v>1</v>
      </c>
      <c r="L1106" s="14">
        <v>582</v>
      </c>
      <c r="M1106" s="10">
        <v>117</v>
      </c>
      <c r="N1106" s="10">
        <v>64312</v>
      </c>
      <c r="O1106" s="10">
        <v>9175</v>
      </c>
      <c r="P1106" s="10">
        <v>73487</v>
      </c>
    </row>
    <row r="1107" spans="1:16" ht="27" customHeight="1" x14ac:dyDescent="0.2">
      <c r="A1107" s="9" t="s">
        <v>3907</v>
      </c>
      <c r="B1107" s="10" t="s">
        <v>4021</v>
      </c>
      <c r="C1107" s="11" t="s">
        <v>4045</v>
      </c>
      <c r="D1107" s="11" t="s">
        <v>4046</v>
      </c>
      <c r="E1107" s="11" t="s">
        <v>26</v>
      </c>
      <c r="F1107" s="11" t="s">
        <v>4047</v>
      </c>
      <c r="G1107" s="11" t="s">
        <v>28</v>
      </c>
      <c r="H1107" s="11" t="s">
        <v>3910</v>
      </c>
      <c r="I1107" s="11" t="s">
        <v>3911</v>
      </c>
      <c r="J1107" s="12">
        <v>0.97689999999999999</v>
      </c>
      <c r="K1107" s="13">
        <v>1</v>
      </c>
      <c r="L1107" s="14">
        <v>115</v>
      </c>
      <c r="M1107" s="10">
        <v>56</v>
      </c>
      <c r="N1107" s="10">
        <v>12708</v>
      </c>
      <c r="O1107" s="10">
        <v>4391</v>
      </c>
      <c r="P1107" s="10">
        <v>17099</v>
      </c>
    </row>
    <row r="1108" spans="1:16" ht="27" customHeight="1" x14ac:dyDescent="0.2">
      <c r="A1108" s="9" t="s">
        <v>3907</v>
      </c>
      <c r="B1108" s="10" t="s">
        <v>4048</v>
      </c>
      <c r="C1108" s="11" t="s">
        <v>18</v>
      </c>
      <c r="D1108" s="11" t="s">
        <v>19</v>
      </c>
      <c r="E1108" s="11" t="s">
        <v>19</v>
      </c>
      <c r="F1108" s="11" t="s">
        <v>4049</v>
      </c>
      <c r="G1108" s="11" t="s">
        <v>83</v>
      </c>
      <c r="H1108" s="11" t="s">
        <v>4050</v>
      </c>
      <c r="I1108" s="11" t="s">
        <v>4051</v>
      </c>
      <c r="J1108" s="12">
        <v>0.93779999999999997</v>
      </c>
      <c r="K1108" s="13">
        <v>9</v>
      </c>
      <c r="L1108" s="14">
        <v>4301</v>
      </c>
      <c r="M1108" s="10">
        <v>2828</v>
      </c>
      <c r="N1108" s="10">
        <v>475268</v>
      </c>
      <c r="O1108" s="10">
        <v>221769</v>
      </c>
      <c r="P1108" s="10">
        <v>697037</v>
      </c>
    </row>
    <row r="1109" spans="1:16" ht="27" customHeight="1" x14ac:dyDescent="0.2">
      <c r="A1109" s="9" t="s">
        <v>3907</v>
      </c>
      <c r="B1109" s="10" t="s">
        <v>4052</v>
      </c>
      <c r="C1109" s="11" t="s">
        <v>18</v>
      </c>
      <c r="D1109" s="11" t="s">
        <v>19</v>
      </c>
      <c r="E1109" s="11" t="s">
        <v>19</v>
      </c>
      <c r="F1109" s="11" t="s">
        <v>4053</v>
      </c>
      <c r="G1109" s="11" t="s">
        <v>83</v>
      </c>
      <c r="H1109" s="11" t="s">
        <v>4054</v>
      </c>
      <c r="I1109" s="11" t="s">
        <v>4055</v>
      </c>
      <c r="J1109" s="12">
        <v>0.68600000000000005</v>
      </c>
      <c r="K1109" s="13">
        <v>7</v>
      </c>
      <c r="L1109" s="14">
        <v>3432</v>
      </c>
      <c r="M1109" s="10">
        <v>1465</v>
      </c>
      <c r="N1109" s="10">
        <v>379242</v>
      </c>
      <c r="O1109" s="10">
        <v>114883</v>
      </c>
      <c r="P1109" s="10">
        <v>494125</v>
      </c>
    </row>
    <row r="1110" spans="1:16" ht="27" customHeight="1" x14ac:dyDescent="0.2">
      <c r="A1110" s="9" t="s">
        <v>3907</v>
      </c>
      <c r="B1110" s="10" t="s">
        <v>4056</v>
      </c>
      <c r="C1110" s="11" t="s">
        <v>18</v>
      </c>
      <c r="D1110" s="11" t="s">
        <v>19</v>
      </c>
      <c r="E1110" s="11" t="s">
        <v>19</v>
      </c>
      <c r="F1110" s="11" t="s">
        <v>4057</v>
      </c>
      <c r="G1110" s="11" t="s">
        <v>83</v>
      </c>
      <c r="H1110" s="11" t="s">
        <v>4058</v>
      </c>
      <c r="I1110" s="11" t="s">
        <v>4059</v>
      </c>
      <c r="J1110" s="12">
        <v>0.30580000000000002</v>
      </c>
      <c r="K1110" s="13">
        <v>11</v>
      </c>
      <c r="L1110" s="14">
        <v>6085</v>
      </c>
      <c r="M1110" s="10">
        <v>1444</v>
      </c>
      <c r="N1110" s="10">
        <v>672401</v>
      </c>
      <c r="O1110" s="10">
        <v>113238</v>
      </c>
      <c r="P1110" s="10">
        <v>785639</v>
      </c>
    </row>
    <row r="1111" spans="1:16" ht="27" customHeight="1" x14ac:dyDescent="0.2">
      <c r="A1111" s="9" t="s">
        <v>3907</v>
      </c>
      <c r="B1111" s="10" t="s">
        <v>4060</v>
      </c>
      <c r="C1111" s="11" t="s">
        <v>18</v>
      </c>
      <c r="D1111" s="11" t="s">
        <v>19</v>
      </c>
      <c r="E1111" s="11" t="s">
        <v>19</v>
      </c>
      <c r="F1111" s="11" t="s">
        <v>4061</v>
      </c>
      <c r="G1111" s="11" t="s">
        <v>83</v>
      </c>
      <c r="H1111" s="11" t="s">
        <v>4062</v>
      </c>
      <c r="I1111" s="11" t="s">
        <v>4063</v>
      </c>
      <c r="J1111" s="12">
        <v>0.92789999999999995</v>
      </c>
      <c r="K1111" s="13">
        <v>21</v>
      </c>
      <c r="L1111" s="14">
        <v>11991</v>
      </c>
      <c r="M1111" s="10">
        <v>6856</v>
      </c>
      <c r="N1111" s="10">
        <v>1325024</v>
      </c>
      <c r="O1111" s="10">
        <v>537641</v>
      </c>
      <c r="P1111" s="10">
        <v>1862665</v>
      </c>
    </row>
    <row r="1112" spans="1:16" ht="27" customHeight="1" x14ac:dyDescent="0.2">
      <c r="A1112" s="9" t="s">
        <v>3907</v>
      </c>
      <c r="B1112" s="10" t="s">
        <v>4064</v>
      </c>
      <c r="C1112" s="11" t="s">
        <v>18</v>
      </c>
      <c r="D1112" s="11" t="s">
        <v>19</v>
      </c>
      <c r="E1112" s="11" t="s">
        <v>19</v>
      </c>
      <c r="F1112" s="11" t="s">
        <v>4065</v>
      </c>
      <c r="G1112" s="11" t="s">
        <v>83</v>
      </c>
      <c r="H1112" s="11" t="s">
        <v>3910</v>
      </c>
      <c r="I1112" s="11" t="s">
        <v>3911</v>
      </c>
      <c r="J1112" s="12">
        <v>0.97689999999999999</v>
      </c>
      <c r="K1112" s="13">
        <v>9</v>
      </c>
      <c r="L1112" s="14">
        <v>13152</v>
      </c>
      <c r="M1112" s="10">
        <v>7641</v>
      </c>
      <c r="N1112" s="10">
        <v>1453318</v>
      </c>
      <c r="O1112" s="10">
        <v>599200</v>
      </c>
      <c r="P1112" s="10">
        <v>2052518</v>
      </c>
    </row>
    <row r="1113" spans="1:16" ht="27" customHeight="1" x14ac:dyDescent="0.2">
      <c r="A1113" s="9" t="s">
        <v>3907</v>
      </c>
      <c r="B1113" s="10" t="s">
        <v>4066</v>
      </c>
      <c r="C1113" s="11" t="s">
        <v>18</v>
      </c>
      <c r="D1113" s="11" t="s">
        <v>19</v>
      </c>
      <c r="E1113" s="11" t="s">
        <v>19</v>
      </c>
      <c r="F1113" s="11" t="s">
        <v>4067</v>
      </c>
      <c r="G1113" s="11" t="s">
        <v>83</v>
      </c>
      <c r="H1113" s="11" t="s">
        <v>4068</v>
      </c>
      <c r="I1113" s="11" t="s">
        <v>4069</v>
      </c>
      <c r="J1113" s="12">
        <v>0.93969999999999998</v>
      </c>
      <c r="K1113" s="13">
        <v>67</v>
      </c>
      <c r="L1113" s="14">
        <v>38847</v>
      </c>
      <c r="M1113" s="10">
        <v>30625</v>
      </c>
      <c r="N1113" s="10">
        <v>4292661</v>
      </c>
      <c r="O1113" s="10">
        <v>2401582</v>
      </c>
      <c r="P1113" s="10">
        <v>6694243</v>
      </c>
    </row>
    <row r="1114" spans="1:16" ht="27" customHeight="1" x14ac:dyDescent="0.2">
      <c r="A1114" s="9" t="s">
        <v>3907</v>
      </c>
      <c r="B1114" s="10" t="s">
        <v>4070</v>
      </c>
      <c r="C1114" s="11" t="s">
        <v>18</v>
      </c>
      <c r="D1114" s="11" t="s">
        <v>19</v>
      </c>
      <c r="E1114" s="11" t="s">
        <v>19</v>
      </c>
      <c r="F1114" s="11" t="s">
        <v>4071</v>
      </c>
      <c r="G1114" s="11" t="s">
        <v>83</v>
      </c>
      <c r="H1114" s="11" t="s">
        <v>4072</v>
      </c>
      <c r="I1114" s="11" t="s">
        <v>4073</v>
      </c>
      <c r="J1114" s="12">
        <v>0.4274</v>
      </c>
      <c r="K1114" s="13">
        <v>9</v>
      </c>
      <c r="L1114" s="14">
        <v>4818</v>
      </c>
      <c r="M1114" s="10">
        <v>1363</v>
      </c>
      <c r="N1114" s="10">
        <v>532397</v>
      </c>
      <c r="O1114" s="10">
        <v>106885</v>
      </c>
      <c r="P1114" s="10">
        <v>639282</v>
      </c>
    </row>
    <row r="1115" spans="1:16" ht="27" customHeight="1" x14ac:dyDescent="0.2">
      <c r="A1115" s="9" t="s">
        <v>3907</v>
      </c>
      <c r="B1115" s="10" t="s">
        <v>4070</v>
      </c>
      <c r="C1115" s="11" t="s">
        <v>4074</v>
      </c>
      <c r="D1115" s="11" t="s">
        <v>4075</v>
      </c>
      <c r="E1115" s="11" t="s">
        <v>26</v>
      </c>
      <c r="F1115" s="11" t="s">
        <v>4076</v>
      </c>
      <c r="G1115" s="11" t="s">
        <v>28</v>
      </c>
      <c r="H1115" s="11" t="s">
        <v>4076</v>
      </c>
      <c r="I1115" s="11" t="s">
        <v>4077</v>
      </c>
      <c r="J1115" s="12">
        <v>0.28749999999999998</v>
      </c>
      <c r="K1115" s="13">
        <v>1</v>
      </c>
      <c r="L1115" s="14">
        <v>327</v>
      </c>
      <c r="M1115" s="10">
        <v>94</v>
      </c>
      <c r="N1115" s="10">
        <v>36134</v>
      </c>
      <c r="O1115" s="10">
        <v>7371</v>
      </c>
      <c r="P1115" s="10">
        <v>43505</v>
      </c>
    </row>
    <row r="1116" spans="1:16" ht="27" customHeight="1" x14ac:dyDescent="0.2">
      <c r="A1116" s="9" t="s">
        <v>3907</v>
      </c>
      <c r="B1116" s="10" t="s">
        <v>4078</v>
      </c>
      <c r="C1116" s="11" t="s">
        <v>18</v>
      </c>
      <c r="D1116" s="11" t="s">
        <v>19</v>
      </c>
      <c r="E1116" s="11" t="s">
        <v>19</v>
      </c>
      <c r="F1116" s="11" t="s">
        <v>4079</v>
      </c>
      <c r="G1116" s="11" t="s">
        <v>83</v>
      </c>
      <c r="H1116" s="11" t="s">
        <v>3910</v>
      </c>
      <c r="I1116" s="11" t="s">
        <v>3911</v>
      </c>
      <c r="J1116" s="12">
        <v>0.97689999999999999</v>
      </c>
      <c r="K1116" s="13">
        <v>9</v>
      </c>
      <c r="L1116" s="14">
        <v>14509</v>
      </c>
      <c r="M1116" s="10">
        <v>7481</v>
      </c>
      <c r="N1116" s="10">
        <v>1603268</v>
      </c>
      <c r="O1116" s="10">
        <v>586652</v>
      </c>
      <c r="P1116" s="10">
        <v>2189920</v>
      </c>
    </row>
    <row r="1117" spans="1:16" ht="27" customHeight="1" x14ac:dyDescent="0.2">
      <c r="A1117" s="9" t="s">
        <v>3907</v>
      </c>
      <c r="B1117" s="10" t="s">
        <v>4080</v>
      </c>
      <c r="C1117" s="11" t="s">
        <v>18</v>
      </c>
      <c r="D1117" s="11" t="s">
        <v>19</v>
      </c>
      <c r="E1117" s="11" t="s">
        <v>19</v>
      </c>
      <c r="F1117" s="11" t="s">
        <v>4081</v>
      </c>
      <c r="G1117" s="11" t="s">
        <v>83</v>
      </c>
      <c r="H1117" s="11" t="s">
        <v>4082</v>
      </c>
      <c r="I1117" s="11" t="s">
        <v>4083</v>
      </c>
      <c r="J1117" s="12">
        <v>0.23319999999999999</v>
      </c>
      <c r="K1117" s="13">
        <v>5</v>
      </c>
      <c r="L1117" s="14">
        <v>2448</v>
      </c>
      <c r="M1117" s="10">
        <v>493</v>
      </c>
      <c r="N1117" s="10">
        <v>270509</v>
      </c>
      <c r="O1117" s="10">
        <v>38660</v>
      </c>
      <c r="P1117" s="10">
        <v>309169</v>
      </c>
    </row>
    <row r="1118" spans="1:16" ht="27" customHeight="1" x14ac:dyDescent="0.2">
      <c r="A1118" s="9" t="s">
        <v>3907</v>
      </c>
      <c r="B1118" s="10" t="s">
        <v>4084</v>
      </c>
      <c r="C1118" s="11" t="s">
        <v>18</v>
      </c>
      <c r="D1118" s="11" t="s">
        <v>19</v>
      </c>
      <c r="E1118" s="11" t="s">
        <v>19</v>
      </c>
      <c r="F1118" s="11" t="s">
        <v>4085</v>
      </c>
      <c r="G1118" s="11" t="s">
        <v>83</v>
      </c>
      <c r="H1118" s="11" t="s">
        <v>4086</v>
      </c>
      <c r="I1118" s="11" t="s">
        <v>4087</v>
      </c>
      <c r="J1118" s="12">
        <v>0.90849999999999997</v>
      </c>
      <c r="K1118" s="13">
        <v>10</v>
      </c>
      <c r="L1118" s="14">
        <v>4417</v>
      </c>
      <c r="M1118" s="10">
        <v>3520</v>
      </c>
      <c r="N1118" s="10">
        <v>488086</v>
      </c>
      <c r="O1118" s="10">
        <v>276036</v>
      </c>
      <c r="P1118" s="10">
        <v>764122</v>
      </c>
    </row>
    <row r="1119" spans="1:16" ht="27" customHeight="1" x14ac:dyDescent="0.2">
      <c r="A1119" s="9" t="s">
        <v>3907</v>
      </c>
      <c r="B1119" s="10" t="s">
        <v>4088</v>
      </c>
      <c r="C1119" s="11" t="s">
        <v>18</v>
      </c>
      <c r="D1119" s="11" t="s">
        <v>19</v>
      </c>
      <c r="E1119" s="11" t="s">
        <v>19</v>
      </c>
      <c r="F1119" s="11" t="s">
        <v>4089</v>
      </c>
      <c r="G1119" s="11" t="s">
        <v>83</v>
      </c>
      <c r="H1119" s="11" t="s">
        <v>4090</v>
      </c>
      <c r="I1119" s="11" t="s">
        <v>4091</v>
      </c>
      <c r="J1119" s="12">
        <v>0.90790000000000004</v>
      </c>
      <c r="K1119" s="13">
        <v>10</v>
      </c>
      <c r="L1119" s="14">
        <v>5369</v>
      </c>
      <c r="M1119" s="10">
        <v>4351</v>
      </c>
      <c r="N1119" s="10">
        <v>593283</v>
      </c>
      <c r="O1119" s="10">
        <v>341201</v>
      </c>
      <c r="P1119" s="10">
        <v>934484</v>
      </c>
    </row>
    <row r="1120" spans="1:16" ht="27" customHeight="1" x14ac:dyDescent="0.2">
      <c r="A1120" s="9" t="s">
        <v>3907</v>
      </c>
      <c r="B1120" s="10" t="s">
        <v>4092</v>
      </c>
      <c r="C1120" s="11" t="s">
        <v>18</v>
      </c>
      <c r="D1120" s="11" t="s">
        <v>19</v>
      </c>
      <c r="E1120" s="11" t="s">
        <v>19</v>
      </c>
      <c r="F1120" s="11" t="s">
        <v>4093</v>
      </c>
      <c r="G1120" s="11" t="s">
        <v>83</v>
      </c>
      <c r="H1120" s="11" t="s">
        <v>3910</v>
      </c>
      <c r="I1120" s="11" t="s">
        <v>3911</v>
      </c>
      <c r="J1120" s="12">
        <v>0.97689999999999999</v>
      </c>
      <c r="K1120" s="13">
        <v>33</v>
      </c>
      <c r="L1120" s="14">
        <v>18279</v>
      </c>
      <c r="M1120" s="10">
        <v>9677</v>
      </c>
      <c r="N1120" s="10">
        <v>2019861</v>
      </c>
      <c r="O1120" s="10">
        <v>758859</v>
      </c>
      <c r="P1120" s="10">
        <v>2778720</v>
      </c>
    </row>
    <row r="1121" spans="1:16" ht="27" customHeight="1" x14ac:dyDescent="0.2">
      <c r="A1121" s="9" t="s">
        <v>3907</v>
      </c>
      <c r="B1121" s="10" t="s">
        <v>4094</v>
      </c>
      <c r="C1121" s="11" t="s">
        <v>18</v>
      </c>
      <c r="D1121" s="11" t="s">
        <v>19</v>
      </c>
      <c r="E1121" s="11" t="s">
        <v>19</v>
      </c>
      <c r="F1121" s="11" t="s">
        <v>4095</v>
      </c>
      <c r="G1121" s="11" t="s">
        <v>83</v>
      </c>
      <c r="H1121" s="11" t="s">
        <v>4096</v>
      </c>
      <c r="I1121" s="11" t="s">
        <v>4097</v>
      </c>
      <c r="J1121" s="12">
        <v>0.97640000000000005</v>
      </c>
      <c r="K1121" s="13">
        <v>15</v>
      </c>
      <c r="L1121" s="14">
        <v>7022</v>
      </c>
      <c r="M1121" s="10">
        <v>4089</v>
      </c>
      <c r="N1121" s="10">
        <v>775944</v>
      </c>
      <c r="O1121" s="10">
        <v>320655</v>
      </c>
      <c r="P1121" s="10">
        <v>1096599</v>
      </c>
    </row>
    <row r="1122" spans="1:16" ht="27" customHeight="1" x14ac:dyDescent="0.2">
      <c r="A1122" s="9" t="s">
        <v>3907</v>
      </c>
      <c r="B1122" s="10" t="s">
        <v>4098</v>
      </c>
      <c r="C1122" s="11" t="s">
        <v>18</v>
      </c>
      <c r="D1122" s="11" t="s">
        <v>19</v>
      </c>
      <c r="E1122" s="11" t="s">
        <v>19</v>
      </c>
      <c r="F1122" s="11" t="s">
        <v>4099</v>
      </c>
      <c r="G1122" s="11" t="s">
        <v>83</v>
      </c>
      <c r="H1122" s="11" t="s">
        <v>4100</v>
      </c>
      <c r="I1122" s="11" t="s">
        <v>4101</v>
      </c>
      <c r="J1122" s="12">
        <v>0.93520000000000003</v>
      </c>
      <c r="K1122" s="13">
        <v>41</v>
      </c>
      <c r="L1122" s="14">
        <v>24090</v>
      </c>
      <c r="M1122" s="10">
        <v>14107</v>
      </c>
      <c r="N1122" s="10">
        <v>2661983</v>
      </c>
      <c r="O1122" s="10">
        <v>1106259</v>
      </c>
      <c r="P1122" s="10">
        <v>3768242</v>
      </c>
    </row>
    <row r="1123" spans="1:16" ht="27" customHeight="1" x14ac:dyDescent="0.2">
      <c r="A1123" s="9" t="s">
        <v>3907</v>
      </c>
      <c r="B1123" s="10" t="s">
        <v>4098</v>
      </c>
      <c r="C1123" s="11" t="s">
        <v>4102</v>
      </c>
      <c r="D1123" s="11" t="s">
        <v>4103</v>
      </c>
      <c r="E1123" s="11" t="s">
        <v>26</v>
      </c>
      <c r="F1123" s="11" t="s">
        <v>4104</v>
      </c>
      <c r="G1123" s="11" t="s">
        <v>28</v>
      </c>
      <c r="H1123" s="11" t="s">
        <v>3910</v>
      </c>
      <c r="I1123" s="11" t="s">
        <v>3911</v>
      </c>
      <c r="J1123" s="12">
        <v>0.97689999999999999</v>
      </c>
      <c r="K1123" s="13">
        <v>1</v>
      </c>
      <c r="L1123" s="14">
        <v>1079</v>
      </c>
      <c r="M1123" s="10">
        <v>713</v>
      </c>
      <c r="N1123" s="10">
        <v>119231</v>
      </c>
      <c r="O1123" s="10">
        <v>55913</v>
      </c>
      <c r="P1123" s="10">
        <v>175144</v>
      </c>
    </row>
    <row r="1124" spans="1:16" ht="27" customHeight="1" x14ac:dyDescent="0.2">
      <c r="A1124" s="9" t="s">
        <v>3907</v>
      </c>
      <c r="B1124" s="10" t="s">
        <v>4098</v>
      </c>
      <c r="C1124" s="11" t="s">
        <v>4105</v>
      </c>
      <c r="D1124" s="11" t="s">
        <v>4106</v>
      </c>
      <c r="E1124" s="11" t="s">
        <v>57</v>
      </c>
      <c r="F1124" s="11" t="s">
        <v>4107</v>
      </c>
      <c r="G1124" s="11" t="s">
        <v>28</v>
      </c>
      <c r="H1124" s="11" t="s">
        <v>3910</v>
      </c>
      <c r="I1124" s="11" t="s">
        <v>3911</v>
      </c>
      <c r="J1124" s="12">
        <v>0.97689999999999999</v>
      </c>
      <c r="K1124" s="13">
        <v>1</v>
      </c>
      <c r="L1124" s="14">
        <v>1108</v>
      </c>
      <c r="M1124" s="10">
        <v>330</v>
      </c>
      <c r="N1124" s="10">
        <v>122436</v>
      </c>
      <c r="O1124" s="10">
        <v>25878</v>
      </c>
      <c r="P1124" s="10">
        <v>148314</v>
      </c>
    </row>
    <row r="1125" spans="1:16" ht="27" customHeight="1" x14ac:dyDescent="0.2">
      <c r="A1125" s="9" t="s">
        <v>3907</v>
      </c>
      <c r="B1125" s="10" t="s">
        <v>4108</v>
      </c>
      <c r="C1125" s="11" t="s">
        <v>18</v>
      </c>
      <c r="D1125" s="11" t="s">
        <v>19</v>
      </c>
      <c r="E1125" s="11" t="s">
        <v>19</v>
      </c>
      <c r="F1125" s="11" t="s">
        <v>4109</v>
      </c>
      <c r="G1125" s="11" t="s">
        <v>83</v>
      </c>
      <c r="H1125" s="11" t="s">
        <v>4110</v>
      </c>
      <c r="I1125" s="11" t="s">
        <v>4111</v>
      </c>
      <c r="J1125" s="12">
        <v>0.96440000000000003</v>
      </c>
      <c r="K1125" s="13">
        <v>35</v>
      </c>
      <c r="L1125" s="14">
        <v>23435</v>
      </c>
      <c r="M1125" s="10">
        <v>10697</v>
      </c>
      <c r="N1125" s="10">
        <v>2589606</v>
      </c>
      <c r="O1125" s="10">
        <v>838847</v>
      </c>
      <c r="P1125" s="10">
        <v>3428453</v>
      </c>
    </row>
    <row r="1126" spans="1:16" ht="27" customHeight="1" x14ac:dyDescent="0.2">
      <c r="A1126" s="9" t="s">
        <v>3907</v>
      </c>
      <c r="B1126" s="10" t="s">
        <v>4112</v>
      </c>
      <c r="C1126" s="11" t="s">
        <v>18</v>
      </c>
      <c r="D1126" s="11" t="s">
        <v>19</v>
      </c>
      <c r="E1126" s="11" t="s">
        <v>19</v>
      </c>
      <c r="F1126" s="11" t="s">
        <v>4113</v>
      </c>
      <c r="G1126" s="11" t="s">
        <v>83</v>
      </c>
      <c r="H1126" s="11" t="s">
        <v>4114</v>
      </c>
      <c r="I1126" s="11" t="s">
        <v>4115</v>
      </c>
      <c r="J1126" s="12">
        <v>0.90139999999999998</v>
      </c>
      <c r="K1126" s="13">
        <v>52</v>
      </c>
      <c r="L1126" s="14">
        <v>40639</v>
      </c>
      <c r="M1126" s="10">
        <v>30089</v>
      </c>
      <c r="N1126" s="10">
        <v>4490676</v>
      </c>
      <c r="O1126" s="10">
        <v>2359554</v>
      </c>
      <c r="P1126" s="10">
        <v>6850230</v>
      </c>
    </row>
    <row r="1127" spans="1:16" ht="27" customHeight="1" x14ac:dyDescent="0.2">
      <c r="A1127" s="9" t="s">
        <v>3907</v>
      </c>
      <c r="B1127" s="10" t="s">
        <v>4112</v>
      </c>
      <c r="C1127" s="11" t="s">
        <v>4116</v>
      </c>
      <c r="D1127" s="11" t="s">
        <v>4117</v>
      </c>
      <c r="E1127" s="11" t="s">
        <v>26</v>
      </c>
      <c r="F1127" s="11" t="s">
        <v>4118</v>
      </c>
      <c r="G1127" s="11" t="s">
        <v>28</v>
      </c>
      <c r="H1127" s="11" t="s">
        <v>4118</v>
      </c>
      <c r="I1127" s="11" t="s">
        <v>4119</v>
      </c>
      <c r="J1127" s="12">
        <v>0.90869999999999995</v>
      </c>
      <c r="K1127" s="13">
        <v>1</v>
      </c>
      <c r="L1127" s="14">
        <v>438</v>
      </c>
      <c r="M1127" s="10">
        <v>398</v>
      </c>
      <c r="N1127" s="10">
        <v>48400</v>
      </c>
      <c r="O1127" s="10">
        <v>31211</v>
      </c>
      <c r="P1127" s="10">
        <v>79611</v>
      </c>
    </row>
    <row r="1128" spans="1:16" ht="27" customHeight="1" x14ac:dyDescent="0.2">
      <c r="A1128" s="9" t="s">
        <v>3907</v>
      </c>
      <c r="B1128" s="10" t="s">
        <v>4112</v>
      </c>
      <c r="C1128" s="11" t="s">
        <v>4120</v>
      </c>
      <c r="D1128" s="11" t="s">
        <v>4121</v>
      </c>
      <c r="E1128" s="11" t="s">
        <v>26</v>
      </c>
      <c r="F1128" s="11" t="s">
        <v>4122</v>
      </c>
      <c r="G1128" s="11" t="s">
        <v>28</v>
      </c>
      <c r="H1128" s="11" t="s">
        <v>3910</v>
      </c>
      <c r="I1128" s="11" t="s">
        <v>3911</v>
      </c>
      <c r="J1128" s="12">
        <v>0.97689999999999999</v>
      </c>
      <c r="K1128" s="13">
        <v>1</v>
      </c>
      <c r="L1128" s="14">
        <v>308</v>
      </c>
      <c r="M1128" s="10">
        <v>278</v>
      </c>
      <c r="N1128" s="10">
        <v>34035</v>
      </c>
      <c r="O1128" s="10">
        <v>21800</v>
      </c>
      <c r="P1128" s="10">
        <v>55835</v>
      </c>
    </row>
    <row r="1129" spans="1:16" ht="27" customHeight="1" x14ac:dyDescent="0.2">
      <c r="A1129" s="9" t="s">
        <v>3907</v>
      </c>
      <c r="B1129" s="10" t="s">
        <v>4112</v>
      </c>
      <c r="C1129" s="11" t="s">
        <v>4123</v>
      </c>
      <c r="D1129" s="11" t="s">
        <v>4124</v>
      </c>
      <c r="E1129" s="11" t="s">
        <v>26</v>
      </c>
      <c r="F1129" s="11" t="s">
        <v>4125</v>
      </c>
      <c r="G1129" s="11" t="s">
        <v>28</v>
      </c>
      <c r="H1129" s="11" t="s">
        <v>4125</v>
      </c>
      <c r="I1129" s="11" t="s">
        <v>4126</v>
      </c>
      <c r="J1129" s="12">
        <v>0.66390000000000005</v>
      </c>
      <c r="K1129" s="13">
        <v>1</v>
      </c>
      <c r="L1129" s="14">
        <v>610</v>
      </c>
      <c r="M1129" s="10">
        <v>405</v>
      </c>
      <c r="N1129" s="10">
        <v>67406</v>
      </c>
      <c r="O1129" s="10">
        <v>31760</v>
      </c>
      <c r="P1129" s="10">
        <v>99166</v>
      </c>
    </row>
    <row r="1130" spans="1:16" ht="27" customHeight="1" x14ac:dyDescent="0.2">
      <c r="A1130" s="9" t="s">
        <v>3907</v>
      </c>
      <c r="B1130" s="10" t="s">
        <v>4112</v>
      </c>
      <c r="C1130" s="11" t="s">
        <v>4127</v>
      </c>
      <c r="D1130" s="11" t="s">
        <v>4128</v>
      </c>
      <c r="E1130" s="11" t="s">
        <v>57</v>
      </c>
      <c r="F1130" s="11" t="s">
        <v>4129</v>
      </c>
      <c r="G1130" s="11" t="s">
        <v>28</v>
      </c>
      <c r="H1130" s="11" t="s">
        <v>4129</v>
      </c>
      <c r="I1130" s="11" t="s">
        <v>4130</v>
      </c>
      <c r="J1130" s="12">
        <v>0.69279999999999997</v>
      </c>
      <c r="K1130" s="13">
        <v>1</v>
      </c>
      <c r="L1130" s="14">
        <v>332</v>
      </c>
      <c r="M1130" s="10">
        <v>230</v>
      </c>
      <c r="N1130" s="10">
        <v>36687</v>
      </c>
      <c r="O1130" s="10">
        <v>18036</v>
      </c>
      <c r="P1130" s="10">
        <v>54723</v>
      </c>
    </row>
    <row r="1131" spans="1:16" ht="27" customHeight="1" x14ac:dyDescent="0.2">
      <c r="A1131" s="9" t="s">
        <v>3907</v>
      </c>
      <c r="B1131" s="10" t="s">
        <v>4112</v>
      </c>
      <c r="C1131" s="11" t="s">
        <v>4131</v>
      </c>
      <c r="D1131" s="11" t="s">
        <v>4132</v>
      </c>
      <c r="E1131" s="11" t="s">
        <v>26</v>
      </c>
      <c r="F1131" s="11" t="s">
        <v>4133</v>
      </c>
      <c r="G1131" s="11" t="s">
        <v>28</v>
      </c>
      <c r="H1131" s="11" t="s">
        <v>4133</v>
      </c>
      <c r="I1131" s="11" t="s">
        <v>4134</v>
      </c>
      <c r="J1131" s="12">
        <v>0.58160000000000001</v>
      </c>
      <c r="K1131" s="13">
        <v>1</v>
      </c>
      <c r="L1131" s="14">
        <v>956</v>
      </c>
      <c r="M1131" s="10">
        <v>556</v>
      </c>
      <c r="N1131" s="10">
        <v>105640</v>
      </c>
      <c r="O1131" s="10">
        <v>43601</v>
      </c>
      <c r="P1131" s="10">
        <v>149241</v>
      </c>
    </row>
    <row r="1132" spans="1:16" ht="27" customHeight="1" x14ac:dyDescent="0.2">
      <c r="A1132" s="9" t="s">
        <v>3907</v>
      </c>
      <c r="B1132" s="10" t="s">
        <v>4135</v>
      </c>
      <c r="C1132" s="11" t="s">
        <v>18</v>
      </c>
      <c r="D1132" s="11" t="s">
        <v>19</v>
      </c>
      <c r="E1132" s="11" t="s">
        <v>19</v>
      </c>
      <c r="F1132" s="11" t="s">
        <v>4136</v>
      </c>
      <c r="G1132" s="11" t="s">
        <v>83</v>
      </c>
      <c r="H1132" s="11" t="s">
        <v>4137</v>
      </c>
      <c r="I1132" s="11" t="s">
        <v>4138</v>
      </c>
      <c r="J1132" s="12">
        <v>0.85609999999999997</v>
      </c>
      <c r="K1132" s="13">
        <v>5</v>
      </c>
      <c r="L1132" s="14">
        <v>1838</v>
      </c>
      <c r="M1132" s="10">
        <v>1492</v>
      </c>
      <c r="N1132" s="10">
        <v>203102</v>
      </c>
      <c r="O1132" s="10">
        <v>117000</v>
      </c>
      <c r="P1132" s="10">
        <v>320102</v>
      </c>
    </row>
    <row r="1133" spans="1:16" ht="27" customHeight="1" x14ac:dyDescent="0.2">
      <c r="A1133" s="9" t="s">
        <v>3907</v>
      </c>
      <c r="B1133" s="10" t="s">
        <v>4139</v>
      </c>
      <c r="C1133" s="11" t="s">
        <v>18</v>
      </c>
      <c r="D1133" s="11" t="s">
        <v>19</v>
      </c>
      <c r="E1133" s="11" t="s">
        <v>19</v>
      </c>
      <c r="F1133" s="11" t="s">
        <v>4140</v>
      </c>
      <c r="G1133" s="11" t="s">
        <v>83</v>
      </c>
      <c r="H1133" s="11" t="s">
        <v>4141</v>
      </c>
      <c r="I1133" s="11" t="s">
        <v>4142</v>
      </c>
      <c r="J1133" s="12">
        <v>0.89129999999999998</v>
      </c>
      <c r="K1133" s="13">
        <v>18</v>
      </c>
      <c r="L1133" s="14">
        <v>8413</v>
      </c>
      <c r="M1133" s="10">
        <v>6219</v>
      </c>
      <c r="N1133" s="10">
        <v>929649</v>
      </c>
      <c r="O1133" s="10">
        <v>487689</v>
      </c>
      <c r="P1133" s="10">
        <v>1417338</v>
      </c>
    </row>
    <row r="1134" spans="1:16" ht="27" customHeight="1" x14ac:dyDescent="0.2">
      <c r="A1134" s="9" t="s">
        <v>3907</v>
      </c>
      <c r="B1134" s="10" t="s">
        <v>4143</v>
      </c>
      <c r="C1134" s="11" t="s">
        <v>18</v>
      </c>
      <c r="D1134" s="11" t="s">
        <v>19</v>
      </c>
      <c r="E1134" s="11" t="s">
        <v>19</v>
      </c>
      <c r="F1134" s="11" t="s">
        <v>4144</v>
      </c>
      <c r="G1134" s="11" t="s">
        <v>83</v>
      </c>
      <c r="H1134" s="11" t="s">
        <v>4145</v>
      </c>
      <c r="I1134" s="11" t="s">
        <v>4146</v>
      </c>
      <c r="J1134" s="12">
        <v>0.81020000000000003</v>
      </c>
      <c r="K1134" s="13">
        <v>35</v>
      </c>
      <c r="L1134" s="14">
        <v>23907</v>
      </c>
      <c r="M1134" s="10">
        <v>10448</v>
      </c>
      <c r="N1134" s="10">
        <v>2641761</v>
      </c>
      <c r="O1134" s="10">
        <v>819324</v>
      </c>
      <c r="P1134" s="10">
        <v>3461085</v>
      </c>
    </row>
    <row r="1135" spans="1:16" ht="27" customHeight="1" x14ac:dyDescent="0.2">
      <c r="A1135" s="9" t="s">
        <v>3907</v>
      </c>
      <c r="B1135" s="10" t="s">
        <v>4147</v>
      </c>
      <c r="C1135" s="11" t="s">
        <v>18</v>
      </c>
      <c r="D1135" s="11" t="s">
        <v>19</v>
      </c>
      <c r="E1135" s="11" t="s">
        <v>19</v>
      </c>
      <c r="F1135" s="11" t="s">
        <v>4148</v>
      </c>
      <c r="G1135" s="11" t="s">
        <v>83</v>
      </c>
      <c r="H1135" s="11" t="s">
        <v>4149</v>
      </c>
      <c r="I1135" s="11" t="s">
        <v>4150</v>
      </c>
      <c r="J1135" s="12">
        <v>0.92859999999999998</v>
      </c>
      <c r="K1135" s="13">
        <v>29</v>
      </c>
      <c r="L1135" s="14">
        <v>22230</v>
      </c>
      <c r="M1135" s="10">
        <v>9703</v>
      </c>
      <c r="N1135" s="10">
        <v>2456453</v>
      </c>
      <c r="O1135" s="10">
        <v>760904</v>
      </c>
      <c r="P1135" s="10">
        <v>3217357</v>
      </c>
    </row>
    <row r="1136" spans="1:16" ht="27" customHeight="1" x14ac:dyDescent="0.2">
      <c r="A1136" s="9" t="s">
        <v>3907</v>
      </c>
      <c r="B1136" s="10" t="s">
        <v>4151</v>
      </c>
      <c r="C1136" s="11" t="s">
        <v>18</v>
      </c>
      <c r="D1136" s="11" t="s">
        <v>19</v>
      </c>
      <c r="E1136" s="11" t="s">
        <v>19</v>
      </c>
      <c r="F1136" s="11" t="s">
        <v>4152</v>
      </c>
      <c r="G1136" s="11" t="s">
        <v>83</v>
      </c>
      <c r="H1136" s="11" t="s">
        <v>4153</v>
      </c>
      <c r="I1136" s="11" t="s">
        <v>4154</v>
      </c>
      <c r="J1136" s="12">
        <v>0.43830000000000002</v>
      </c>
      <c r="K1136" s="13">
        <v>46</v>
      </c>
      <c r="L1136" s="14">
        <v>36928</v>
      </c>
      <c r="M1136" s="10">
        <v>7296</v>
      </c>
      <c r="N1136" s="10">
        <v>4080605</v>
      </c>
      <c r="O1136" s="10">
        <v>572146</v>
      </c>
      <c r="P1136" s="10">
        <v>4652751</v>
      </c>
    </row>
    <row r="1137" spans="1:16" ht="27" customHeight="1" x14ac:dyDescent="0.2">
      <c r="A1137" s="9" t="s">
        <v>3907</v>
      </c>
      <c r="B1137" s="10" t="s">
        <v>4151</v>
      </c>
      <c r="C1137" s="11" t="s">
        <v>4155</v>
      </c>
      <c r="D1137" s="11" t="s">
        <v>4156</v>
      </c>
      <c r="E1137" s="11" t="s">
        <v>26</v>
      </c>
      <c r="F1137" s="11" t="s">
        <v>4157</v>
      </c>
      <c r="G1137" s="11" t="s">
        <v>28</v>
      </c>
      <c r="H1137" s="11" t="s">
        <v>4157</v>
      </c>
      <c r="I1137" s="11" t="s">
        <v>4158</v>
      </c>
      <c r="J1137" s="12">
        <v>0</v>
      </c>
      <c r="K1137" s="13">
        <v>1</v>
      </c>
      <c r="L1137" s="14">
        <v>0</v>
      </c>
      <c r="M1137" s="10">
        <v>0</v>
      </c>
      <c r="N1137" s="10">
        <v>0</v>
      </c>
      <c r="O1137" s="10">
        <v>0</v>
      </c>
      <c r="P1137" s="10">
        <v>0</v>
      </c>
    </row>
    <row r="1138" spans="1:16" ht="27" customHeight="1" x14ac:dyDescent="0.2">
      <c r="A1138" s="9" t="s">
        <v>3907</v>
      </c>
      <c r="B1138" s="10" t="s">
        <v>4159</v>
      </c>
      <c r="C1138" s="11" t="s">
        <v>18</v>
      </c>
      <c r="D1138" s="11" t="s">
        <v>19</v>
      </c>
      <c r="E1138" s="11" t="s">
        <v>19</v>
      </c>
      <c r="F1138" s="11" t="s">
        <v>4160</v>
      </c>
      <c r="G1138" s="11" t="s">
        <v>83</v>
      </c>
      <c r="H1138" s="11" t="s">
        <v>4161</v>
      </c>
      <c r="I1138" s="11" t="s">
        <v>4162</v>
      </c>
      <c r="J1138" s="12">
        <v>0.29060000000000002</v>
      </c>
      <c r="K1138" s="13">
        <v>10</v>
      </c>
      <c r="L1138" s="14">
        <v>8996</v>
      </c>
      <c r="M1138" s="10">
        <v>1398</v>
      </c>
      <c r="N1138" s="10">
        <v>994076</v>
      </c>
      <c r="O1138" s="10">
        <v>109630</v>
      </c>
      <c r="P1138" s="10">
        <v>1103706</v>
      </c>
    </row>
    <row r="1139" spans="1:16" ht="27" customHeight="1" x14ac:dyDescent="0.2">
      <c r="A1139" s="9" t="s">
        <v>3907</v>
      </c>
      <c r="B1139" s="10" t="s">
        <v>4163</v>
      </c>
      <c r="C1139" s="11" t="s">
        <v>4164</v>
      </c>
      <c r="D1139" s="11" t="s">
        <v>4165</v>
      </c>
      <c r="E1139" s="11" t="s">
        <v>26</v>
      </c>
      <c r="F1139" s="11" t="s">
        <v>4166</v>
      </c>
      <c r="G1139" s="11" t="s">
        <v>28</v>
      </c>
      <c r="H1139" s="11" t="s">
        <v>4166</v>
      </c>
      <c r="I1139" s="11" t="s">
        <v>4167</v>
      </c>
      <c r="J1139" s="12">
        <v>0.81669999999999998</v>
      </c>
      <c r="K1139" s="13">
        <v>1</v>
      </c>
      <c r="L1139" s="14">
        <v>502</v>
      </c>
      <c r="M1139" s="10">
        <v>410</v>
      </c>
      <c r="N1139" s="10">
        <v>55472</v>
      </c>
      <c r="O1139" s="10">
        <v>32152</v>
      </c>
      <c r="P1139" s="10">
        <v>87624</v>
      </c>
    </row>
    <row r="1140" spans="1:16" ht="27" customHeight="1" x14ac:dyDescent="0.2">
      <c r="A1140" s="9" t="s">
        <v>4168</v>
      </c>
      <c r="B1140" s="10" t="s">
        <v>4169</v>
      </c>
      <c r="C1140" s="11" t="s">
        <v>18</v>
      </c>
      <c r="D1140" s="11" t="s">
        <v>19</v>
      </c>
      <c r="E1140" s="11" t="s">
        <v>19</v>
      </c>
      <c r="F1140" s="11" t="s">
        <v>4170</v>
      </c>
      <c r="G1140" s="11" t="s">
        <v>21</v>
      </c>
      <c r="H1140" s="11" t="s">
        <v>4171</v>
      </c>
      <c r="I1140" s="11" t="s">
        <v>4172</v>
      </c>
      <c r="J1140" s="12">
        <v>0.87150000000000005</v>
      </c>
      <c r="K1140" s="13">
        <v>4</v>
      </c>
      <c r="L1140" s="14">
        <v>478</v>
      </c>
      <c r="M1140" s="10">
        <v>384</v>
      </c>
      <c r="N1140" s="10">
        <v>52821</v>
      </c>
      <c r="O1140" s="10">
        <v>30113</v>
      </c>
      <c r="P1140" s="10">
        <v>82934</v>
      </c>
    </row>
    <row r="1141" spans="1:16" ht="27" customHeight="1" x14ac:dyDescent="0.2">
      <c r="A1141" s="9" t="s">
        <v>4168</v>
      </c>
      <c r="B1141" s="10" t="s">
        <v>4169</v>
      </c>
      <c r="C1141" s="11" t="s">
        <v>4173</v>
      </c>
      <c r="D1141" s="11" t="s">
        <v>4174</v>
      </c>
      <c r="E1141" s="11" t="s">
        <v>57</v>
      </c>
      <c r="F1141" s="11" t="s">
        <v>4175</v>
      </c>
      <c r="G1141" s="11" t="s">
        <v>28</v>
      </c>
      <c r="H1141" s="11" t="s">
        <v>4171</v>
      </c>
      <c r="I1141" s="11" t="s">
        <v>4172</v>
      </c>
      <c r="J1141" s="12">
        <v>0.87150000000000005</v>
      </c>
      <c r="K1141" s="13">
        <v>1</v>
      </c>
      <c r="L1141" s="14">
        <v>292</v>
      </c>
      <c r="M1141" s="10">
        <v>143</v>
      </c>
      <c r="N1141" s="10">
        <v>32266</v>
      </c>
      <c r="O1141" s="10">
        <v>11214</v>
      </c>
      <c r="P1141" s="10">
        <v>43480</v>
      </c>
    </row>
    <row r="1142" spans="1:16" ht="27" customHeight="1" x14ac:dyDescent="0.2">
      <c r="A1142" s="9" t="s">
        <v>4168</v>
      </c>
      <c r="B1142" s="10" t="s">
        <v>4176</v>
      </c>
      <c r="C1142" s="11" t="s">
        <v>18</v>
      </c>
      <c r="D1142" s="11" t="s">
        <v>19</v>
      </c>
      <c r="E1142" s="11" t="s">
        <v>19</v>
      </c>
      <c r="F1142" s="11" t="s">
        <v>4177</v>
      </c>
      <c r="G1142" s="11" t="s">
        <v>83</v>
      </c>
      <c r="H1142" s="11" t="s">
        <v>4178</v>
      </c>
      <c r="I1142" s="11" t="s">
        <v>4179</v>
      </c>
      <c r="J1142" s="12">
        <v>0.25340000000000001</v>
      </c>
      <c r="K1142" s="13">
        <v>2</v>
      </c>
      <c r="L1142" s="14">
        <v>597</v>
      </c>
      <c r="M1142" s="10">
        <v>151</v>
      </c>
      <c r="N1142" s="10">
        <v>65969</v>
      </c>
      <c r="O1142" s="10">
        <v>11841</v>
      </c>
      <c r="P1142" s="10">
        <v>77810</v>
      </c>
    </row>
    <row r="1143" spans="1:16" ht="27" customHeight="1" x14ac:dyDescent="0.2">
      <c r="A1143" s="9" t="s">
        <v>4168</v>
      </c>
      <c r="B1143" s="10" t="s">
        <v>4180</v>
      </c>
      <c r="C1143" s="11" t="s">
        <v>18</v>
      </c>
      <c r="D1143" s="11" t="s">
        <v>19</v>
      </c>
      <c r="E1143" s="11" t="s">
        <v>19</v>
      </c>
      <c r="F1143" s="11" t="s">
        <v>4181</v>
      </c>
      <c r="G1143" s="11" t="s">
        <v>83</v>
      </c>
      <c r="H1143" s="11" t="s">
        <v>4182</v>
      </c>
      <c r="I1143" s="11" t="s">
        <v>4183</v>
      </c>
      <c r="J1143" s="12">
        <v>0.21110000000000001</v>
      </c>
      <c r="K1143" s="13">
        <v>2</v>
      </c>
      <c r="L1143" s="14">
        <v>91</v>
      </c>
      <c r="M1143" s="10">
        <v>19</v>
      </c>
      <c r="N1143" s="10">
        <v>10056</v>
      </c>
      <c r="O1143" s="10">
        <v>1490</v>
      </c>
      <c r="P1143" s="10">
        <v>11546</v>
      </c>
    </row>
    <row r="1144" spans="1:16" ht="27" customHeight="1" x14ac:dyDescent="0.2">
      <c r="A1144" s="9" t="s">
        <v>4168</v>
      </c>
      <c r="B1144" s="10" t="s">
        <v>4184</v>
      </c>
      <c r="C1144" s="11" t="s">
        <v>18</v>
      </c>
      <c r="D1144" s="11" t="s">
        <v>19</v>
      </c>
      <c r="E1144" s="11" t="s">
        <v>19</v>
      </c>
      <c r="F1144" s="11" t="s">
        <v>4185</v>
      </c>
      <c r="G1144" s="11" t="s">
        <v>83</v>
      </c>
      <c r="H1144" s="11" t="s">
        <v>4186</v>
      </c>
      <c r="I1144" s="11" t="s">
        <v>4187</v>
      </c>
      <c r="J1144" s="12">
        <v>0.46850000000000003</v>
      </c>
      <c r="K1144" s="13">
        <v>4</v>
      </c>
      <c r="L1144" s="14">
        <v>1172</v>
      </c>
      <c r="M1144" s="10">
        <v>522</v>
      </c>
      <c r="N1144" s="10">
        <v>129508</v>
      </c>
      <c r="O1144" s="10">
        <v>40935</v>
      </c>
      <c r="P1144" s="10">
        <v>170443</v>
      </c>
    </row>
    <row r="1145" spans="1:16" ht="27" customHeight="1" x14ac:dyDescent="0.2">
      <c r="A1145" s="9" t="s">
        <v>4168</v>
      </c>
      <c r="B1145" s="10" t="s">
        <v>4184</v>
      </c>
      <c r="C1145" s="11" t="s">
        <v>4188</v>
      </c>
      <c r="D1145" s="11" t="s">
        <v>4189</v>
      </c>
      <c r="E1145" s="11" t="s">
        <v>57</v>
      </c>
      <c r="F1145" s="11" t="s">
        <v>4190</v>
      </c>
      <c r="G1145" s="11" t="s">
        <v>28</v>
      </c>
      <c r="H1145" s="11" t="s">
        <v>4190</v>
      </c>
      <c r="I1145" s="11" t="s">
        <v>4191</v>
      </c>
      <c r="J1145" s="12">
        <v>0</v>
      </c>
      <c r="K1145" s="13">
        <v>1</v>
      </c>
      <c r="L1145" s="14">
        <v>0</v>
      </c>
      <c r="M1145" s="10">
        <v>0</v>
      </c>
      <c r="N1145" s="10">
        <v>0</v>
      </c>
      <c r="O1145" s="10">
        <v>0</v>
      </c>
      <c r="P1145" s="10">
        <v>0</v>
      </c>
    </row>
    <row r="1146" spans="1:16" ht="27" customHeight="1" x14ac:dyDescent="0.2">
      <c r="A1146" s="9" t="s">
        <v>4168</v>
      </c>
      <c r="B1146" s="10" t="s">
        <v>4192</v>
      </c>
      <c r="C1146" s="11" t="s">
        <v>18</v>
      </c>
      <c r="D1146" s="11" t="s">
        <v>19</v>
      </c>
      <c r="E1146" s="11" t="s">
        <v>19</v>
      </c>
      <c r="F1146" s="11" t="s">
        <v>4193</v>
      </c>
      <c r="G1146" s="11" t="s">
        <v>83</v>
      </c>
      <c r="H1146" s="11" t="s">
        <v>4193</v>
      </c>
      <c r="I1146" s="11" t="s">
        <v>4194</v>
      </c>
      <c r="J1146" s="12">
        <v>0.43269999999999997</v>
      </c>
      <c r="K1146" s="13">
        <v>2</v>
      </c>
      <c r="L1146" s="14">
        <v>351</v>
      </c>
      <c r="M1146" s="10">
        <v>152</v>
      </c>
      <c r="N1146" s="10">
        <v>38786</v>
      </c>
      <c r="O1146" s="10">
        <v>11920</v>
      </c>
      <c r="P1146" s="10">
        <v>50706</v>
      </c>
    </row>
    <row r="1147" spans="1:16" ht="27" customHeight="1" x14ac:dyDescent="0.2">
      <c r="A1147" s="9" t="s">
        <v>4168</v>
      </c>
      <c r="B1147" s="10" t="s">
        <v>4195</v>
      </c>
      <c r="C1147" s="11" t="s">
        <v>18</v>
      </c>
      <c r="D1147" s="11" t="s">
        <v>19</v>
      </c>
      <c r="E1147" s="11" t="s">
        <v>19</v>
      </c>
      <c r="F1147" s="11" t="s">
        <v>4196</v>
      </c>
      <c r="G1147" s="11" t="s">
        <v>83</v>
      </c>
      <c r="H1147" s="11" t="s">
        <v>4197</v>
      </c>
      <c r="I1147" s="11" t="s">
        <v>4198</v>
      </c>
      <c r="J1147" s="12">
        <v>0.61760000000000004</v>
      </c>
      <c r="K1147" s="13">
        <v>10</v>
      </c>
      <c r="L1147" s="14">
        <v>6390</v>
      </c>
      <c r="M1147" s="10">
        <v>2486</v>
      </c>
      <c r="N1147" s="10">
        <v>706106</v>
      </c>
      <c r="O1147" s="10">
        <v>194950</v>
      </c>
      <c r="P1147" s="10">
        <v>901056</v>
      </c>
    </row>
    <row r="1148" spans="1:16" ht="27" customHeight="1" x14ac:dyDescent="0.2">
      <c r="A1148" s="9" t="s">
        <v>4168</v>
      </c>
      <c r="B1148" s="10" t="s">
        <v>4199</v>
      </c>
      <c r="C1148" s="11" t="s">
        <v>18</v>
      </c>
      <c r="D1148" s="11" t="s">
        <v>19</v>
      </c>
      <c r="E1148" s="11" t="s">
        <v>19</v>
      </c>
      <c r="F1148" s="11" t="s">
        <v>4200</v>
      </c>
      <c r="G1148" s="11" t="s">
        <v>83</v>
      </c>
      <c r="H1148" s="11" t="s">
        <v>4201</v>
      </c>
      <c r="I1148" s="11" t="s">
        <v>4202</v>
      </c>
      <c r="J1148" s="12">
        <v>0.2258</v>
      </c>
      <c r="K1148" s="13">
        <v>8</v>
      </c>
      <c r="L1148" s="14">
        <v>3169</v>
      </c>
      <c r="M1148" s="10">
        <v>414</v>
      </c>
      <c r="N1148" s="10">
        <v>350180</v>
      </c>
      <c r="O1148" s="10">
        <v>32465</v>
      </c>
      <c r="P1148" s="10">
        <v>382645</v>
      </c>
    </row>
    <row r="1149" spans="1:16" ht="27" customHeight="1" x14ac:dyDescent="0.2">
      <c r="A1149" s="9" t="s">
        <v>4168</v>
      </c>
      <c r="B1149" s="10" t="s">
        <v>4203</v>
      </c>
      <c r="C1149" s="11" t="s">
        <v>18</v>
      </c>
      <c r="D1149" s="11" t="s">
        <v>19</v>
      </c>
      <c r="E1149" s="11" t="s">
        <v>19</v>
      </c>
      <c r="F1149" s="11" t="s">
        <v>4204</v>
      </c>
      <c r="G1149" s="11" t="s">
        <v>83</v>
      </c>
      <c r="H1149" s="11" t="s">
        <v>4205</v>
      </c>
      <c r="I1149" s="11" t="s">
        <v>4206</v>
      </c>
      <c r="J1149" s="12">
        <v>0.3901</v>
      </c>
      <c r="K1149" s="13">
        <v>2</v>
      </c>
      <c r="L1149" s="14">
        <v>454</v>
      </c>
      <c r="M1149" s="10">
        <v>177</v>
      </c>
      <c r="N1149" s="10">
        <v>50168</v>
      </c>
      <c r="O1149" s="10">
        <v>13880</v>
      </c>
      <c r="P1149" s="10">
        <v>64048</v>
      </c>
    </row>
    <row r="1150" spans="1:16" ht="27" customHeight="1" x14ac:dyDescent="0.2">
      <c r="A1150" s="9" t="s">
        <v>4168</v>
      </c>
      <c r="B1150" s="10" t="s">
        <v>4207</v>
      </c>
      <c r="C1150" s="11" t="s">
        <v>18</v>
      </c>
      <c r="D1150" s="11" t="s">
        <v>19</v>
      </c>
      <c r="E1150" s="11" t="s">
        <v>19</v>
      </c>
      <c r="F1150" s="11" t="s">
        <v>4208</v>
      </c>
      <c r="G1150" s="11" t="s">
        <v>83</v>
      </c>
      <c r="H1150" s="11" t="s">
        <v>4209</v>
      </c>
      <c r="I1150" s="11" t="s">
        <v>4210</v>
      </c>
      <c r="J1150" s="12">
        <v>0.27189999999999998</v>
      </c>
      <c r="K1150" s="13">
        <v>7</v>
      </c>
      <c r="L1150" s="14">
        <v>2405</v>
      </c>
      <c r="M1150" s="10">
        <v>348</v>
      </c>
      <c r="N1150" s="10">
        <v>265755</v>
      </c>
      <c r="O1150" s="10">
        <v>27291</v>
      </c>
      <c r="P1150" s="10">
        <v>293046</v>
      </c>
    </row>
    <row r="1151" spans="1:16" ht="27" customHeight="1" x14ac:dyDescent="0.2">
      <c r="A1151" s="9" t="s">
        <v>4168</v>
      </c>
      <c r="B1151" s="10" t="s">
        <v>4207</v>
      </c>
      <c r="C1151" s="11" t="s">
        <v>4211</v>
      </c>
      <c r="D1151" s="11" t="s">
        <v>4212</v>
      </c>
      <c r="E1151" s="11" t="s">
        <v>57</v>
      </c>
      <c r="F1151" s="11" t="s">
        <v>4213</v>
      </c>
      <c r="G1151" s="11" t="s">
        <v>28</v>
      </c>
      <c r="H1151" s="11" t="s">
        <v>4213</v>
      </c>
      <c r="I1151" s="11" t="s">
        <v>4214</v>
      </c>
      <c r="J1151" s="12">
        <v>8.43E-2</v>
      </c>
      <c r="K1151" s="13">
        <v>1</v>
      </c>
      <c r="L1151" s="14">
        <v>498</v>
      </c>
      <c r="M1151" s="10">
        <v>42</v>
      </c>
      <c r="N1151" s="10">
        <v>55030</v>
      </c>
      <c r="O1151" s="10">
        <v>3294</v>
      </c>
      <c r="P1151" s="10">
        <v>58324</v>
      </c>
    </row>
    <row r="1152" spans="1:16" ht="27" customHeight="1" x14ac:dyDescent="0.2">
      <c r="A1152" s="9" t="s">
        <v>4168</v>
      </c>
      <c r="B1152" s="10" t="s">
        <v>4215</v>
      </c>
      <c r="C1152" s="11" t="s">
        <v>18</v>
      </c>
      <c r="D1152" s="11" t="s">
        <v>19</v>
      </c>
      <c r="E1152" s="11" t="s">
        <v>19</v>
      </c>
      <c r="F1152" s="11" t="s">
        <v>4216</v>
      </c>
      <c r="G1152" s="11" t="s">
        <v>83</v>
      </c>
      <c r="H1152" s="11" t="s">
        <v>4216</v>
      </c>
      <c r="I1152" s="11" t="s">
        <v>4217</v>
      </c>
      <c r="J1152" s="12">
        <v>0.25169999999999998</v>
      </c>
      <c r="K1152" s="13">
        <v>2</v>
      </c>
      <c r="L1152" s="14">
        <v>152</v>
      </c>
      <c r="M1152" s="10">
        <v>38</v>
      </c>
      <c r="N1152" s="10">
        <v>16796</v>
      </c>
      <c r="O1152" s="10">
        <v>2980</v>
      </c>
      <c r="P1152" s="10">
        <v>19776</v>
      </c>
    </row>
    <row r="1153" spans="1:16" ht="27" customHeight="1" x14ac:dyDescent="0.2">
      <c r="A1153" s="9" t="s">
        <v>4168</v>
      </c>
      <c r="B1153" s="10" t="s">
        <v>4215</v>
      </c>
      <c r="C1153" s="11" t="s">
        <v>4218</v>
      </c>
      <c r="D1153" s="11" t="s">
        <v>4219</v>
      </c>
      <c r="E1153" s="11" t="s">
        <v>57</v>
      </c>
      <c r="F1153" s="11" t="s">
        <v>4220</v>
      </c>
      <c r="G1153" s="11" t="s">
        <v>28</v>
      </c>
      <c r="H1153" s="11" t="s">
        <v>4220</v>
      </c>
      <c r="I1153" s="11" t="s">
        <v>4221</v>
      </c>
      <c r="J1153" s="12">
        <v>0.2596</v>
      </c>
      <c r="K1153" s="13">
        <v>1</v>
      </c>
      <c r="L1153" s="14">
        <v>285</v>
      </c>
      <c r="M1153" s="10">
        <v>74</v>
      </c>
      <c r="N1153" s="10">
        <v>31493</v>
      </c>
      <c r="O1153" s="10">
        <v>5803</v>
      </c>
      <c r="P1153" s="10">
        <v>37296</v>
      </c>
    </row>
    <row r="1154" spans="1:16" ht="27" customHeight="1" x14ac:dyDescent="0.2">
      <c r="A1154" s="9" t="s">
        <v>4168</v>
      </c>
      <c r="B1154" s="10" t="s">
        <v>4215</v>
      </c>
      <c r="C1154" s="11" t="s">
        <v>4222</v>
      </c>
      <c r="D1154" s="11" t="s">
        <v>4223</v>
      </c>
      <c r="E1154" s="11" t="s">
        <v>26</v>
      </c>
      <c r="F1154" s="11" t="s">
        <v>4224</v>
      </c>
      <c r="G1154" s="11" t="s">
        <v>28</v>
      </c>
      <c r="H1154" s="11" t="s">
        <v>4224</v>
      </c>
      <c r="I1154" s="11" t="s">
        <v>4225</v>
      </c>
      <c r="J1154" s="12">
        <v>7.6600000000000001E-2</v>
      </c>
      <c r="K1154" s="13">
        <v>1</v>
      </c>
      <c r="L1154" s="14">
        <v>235</v>
      </c>
      <c r="M1154" s="10">
        <v>18</v>
      </c>
      <c r="N1154" s="10">
        <v>25968</v>
      </c>
      <c r="O1154" s="10">
        <v>1412</v>
      </c>
      <c r="P1154" s="10">
        <v>27380</v>
      </c>
    </row>
    <row r="1155" spans="1:16" ht="27" customHeight="1" x14ac:dyDescent="0.2">
      <c r="A1155" s="9" t="s">
        <v>4168</v>
      </c>
      <c r="B1155" s="10" t="s">
        <v>4215</v>
      </c>
      <c r="C1155" s="11" t="s">
        <v>4226</v>
      </c>
      <c r="D1155" s="11" t="s">
        <v>4227</v>
      </c>
      <c r="E1155" s="11" t="s">
        <v>26</v>
      </c>
      <c r="F1155" s="11" t="s">
        <v>4228</v>
      </c>
      <c r="G1155" s="11" t="s">
        <v>28</v>
      </c>
      <c r="H1155" s="11" t="s">
        <v>4228</v>
      </c>
      <c r="I1155" s="11" t="s">
        <v>4229</v>
      </c>
      <c r="J1155" s="12">
        <v>0.14099999999999999</v>
      </c>
      <c r="K1155" s="13">
        <v>1</v>
      </c>
      <c r="L1155" s="14">
        <v>305</v>
      </c>
      <c r="M1155" s="10">
        <v>43</v>
      </c>
      <c r="N1155" s="10">
        <v>33703</v>
      </c>
      <c r="O1155" s="10">
        <v>3372</v>
      </c>
      <c r="P1155" s="10">
        <v>37075</v>
      </c>
    </row>
    <row r="1156" spans="1:16" ht="27" customHeight="1" x14ac:dyDescent="0.2">
      <c r="A1156" s="9" t="s">
        <v>4168</v>
      </c>
      <c r="B1156" s="10" t="s">
        <v>4215</v>
      </c>
      <c r="C1156" s="11" t="s">
        <v>4230</v>
      </c>
      <c r="D1156" s="11" t="s">
        <v>4231</v>
      </c>
      <c r="E1156" s="11" t="s">
        <v>26</v>
      </c>
      <c r="F1156" s="11" t="s">
        <v>4232</v>
      </c>
      <c r="G1156" s="11" t="s">
        <v>28</v>
      </c>
      <c r="H1156" s="11" t="s">
        <v>4232</v>
      </c>
      <c r="I1156" s="11" t="s">
        <v>4233</v>
      </c>
      <c r="J1156" s="12">
        <v>0.11219999999999999</v>
      </c>
      <c r="K1156" s="13">
        <v>1</v>
      </c>
      <c r="L1156" s="14">
        <v>1176</v>
      </c>
      <c r="M1156" s="10">
        <v>132</v>
      </c>
      <c r="N1156" s="10">
        <v>129950</v>
      </c>
      <c r="O1156" s="10">
        <v>10351</v>
      </c>
      <c r="P1156" s="10">
        <v>140301</v>
      </c>
    </row>
    <row r="1157" spans="1:16" ht="27" customHeight="1" x14ac:dyDescent="0.2">
      <c r="A1157" s="9" t="s">
        <v>4168</v>
      </c>
      <c r="B1157" s="10" t="s">
        <v>4234</v>
      </c>
      <c r="C1157" s="11" t="s">
        <v>18</v>
      </c>
      <c r="D1157" s="11" t="s">
        <v>19</v>
      </c>
      <c r="E1157" s="11" t="s">
        <v>19</v>
      </c>
      <c r="F1157" s="11" t="s">
        <v>4235</v>
      </c>
      <c r="G1157" s="11" t="s">
        <v>83</v>
      </c>
      <c r="H1157" s="11" t="s">
        <v>4236</v>
      </c>
      <c r="I1157" s="11" t="s">
        <v>4237</v>
      </c>
      <c r="J1157" s="12">
        <v>0.28889999999999999</v>
      </c>
      <c r="K1157" s="13">
        <v>3</v>
      </c>
      <c r="L1157" s="14">
        <v>772</v>
      </c>
      <c r="M1157" s="10">
        <v>223</v>
      </c>
      <c r="N1157" s="10">
        <v>85308</v>
      </c>
      <c r="O1157" s="10">
        <v>17487</v>
      </c>
      <c r="P1157" s="10">
        <v>102795</v>
      </c>
    </row>
    <row r="1158" spans="1:16" ht="27" customHeight="1" x14ac:dyDescent="0.2">
      <c r="A1158" s="9" t="s">
        <v>4168</v>
      </c>
      <c r="B1158" s="10" t="s">
        <v>4238</v>
      </c>
      <c r="C1158" s="11" t="s">
        <v>18</v>
      </c>
      <c r="D1158" s="11" t="s">
        <v>19</v>
      </c>
      <c r="E1158" s="11" t="s">
        <v>19</v>
      </c>
      <c r="F1158" s="11" t="s">
        <v>4239</v>
      </c>
      <c r="G1158" s="11" t="s">
        <v>83</v>
      </c>
      <c r="H1158" s="11" t="s">
        <v>4171</v>
      </c>
      <c r="I1158" s="11" t="s">
        <v>4172</v>
      </c>
      <c r="J1158" s="12">
        <v>0.87150000000000005</v>
      </c>
      <c r="K1158" s="13">
        <v>6</v>
      </c>
      <c r="L1158" s="14">
        <v>3886</v>
      </c>
      <c r="M1158" s="10">
        <v>864</v>
      </c>
      <c r="N1158" s="10">
        <v>429409</v>
      </c>
      <c r="O1158" s="10">
        <v>67756</v>
      </c>
      <c r="P1158" s="10">
        <v>497165</v>
      </c>
    </row>
    <row r="1159" spans="1:16" ht="27" customHeight="1" x14ac:dyDescent="0.2">
      <c r="A1159" s="9" t="s">
        <v>4168</v>
      </c>
      <c r="B1159" s="10" t="s">
        <v>4238</v>
      </c>
      <c r="C1159" s="11" t="s">
        <v>4240</v>
      </c>
      <c r="D1159" s="11" t="s">
        <v>4241</v>
      </c>
      <c r="E1159" s="11" t="s">
        <v>57</v>
      </c>
      <c r="F1159" s="11" t="s">
        <v>4242</v>
      </c>
      <c r="G1159" s="11" t="s">
        <v>28</v>
      </c>
      <c r="H1159" s="11" t="s">
        <v>4171</v>
      </c>
      <c r="I1159" s="11" t="s">
        <v>4172</v>
      </c>
      <c r="J1159" s="12">
        <v>0.87150000000000005</v>
      </c>
      <c r="K1159" s="13">
        <v>1</v>
      </c>
      <c r="L1159" s="14">
        <v>115</v>
      </c>
      <c r="M1159" s="10">
        <v>42</v>
      </c>
      <c r="N1159" s="10">
        <v>12708</v>
      </c>
      <c r="O1159" s="10">
        <v>3294</v>
      </c>
      <c r="P1159" s="10">
        <v>16002</v>
      </c>
    </row>
    <row r="1160" spans="1:16" ht="27" customHeight="1" x14ac:dyDescent="0.2">
      <c r="A1160" s="9" t="s">
        <v>4168</v>
      </c>
      <c r="B1160" s="10" t="s">
        <v>4243</v>
      </c>
      <c r="C1160" s="11" t="s">
        <v>18</v>
      </c>
      <c r="D1160" s="11" t="s">
        <v>19</v>
      </c>
      <c r="E1160" s="11" t="s">
        <v>19</v>
      </c>
      <c r="F1160" s="11" t="s">
        <v>4244</v>
      </c>
      <c r="G1160" s="11" t="s">
        <v>83</v>
      </c>
      <c r="H1160" s="11" t="s">
        <v>4171</v>
      </c>
      <c r="I1160" s="11" t="s">
        <v>4172</v>
      </c>
      <c r="J1160" s="12">
        <v>0.87150000000000005</v>
      </c>
      <c r="K1160" s="13">
        <v>22</v>
      </c>
      <c r="L1160" s="14">
        <v>11735</v>
      </c>
      <c r="M1160" s="10">
        <v>5969</v>
      </c>
      <c r="N1160" s="10">
        <v>1296735</v>
      </c>
      <c r="O1160" s="10">
        <v>468086</v>
      </c>
      <c r="P1160" s="10">
        <v>1764821</v>
      </c>
    </row>
    <row r="1161" spans="1:16" ht="27" customHeight="1" x14ac:dyDescent="0.2">
      <c r="A1161" s="9" t="s">
        <v>4168</v>
      </c>
      <c r="B1161" s="10" t="s">
        <v>4245</v>
      </c>
      <c r="C1161" s="11" t="s">
        <v>18</v>
      </c>
      <c r="D1161" s="11" t="s">
        <v>19</v>
      </c>
      <c r="E1161" s="11" t="s">
        <v>19</v>
      </c>
      <c r="F1161" s="11" t="s">
        <v>4246</v>
      </c>
      <c r="G1161" s="11" t="s">
        <v>83</v>
      </c>
      <c r="H1161" s="11" t="s">
        <v>4171</v>
      </c>
      <c r="I1161" s="11" t="s">
        <v>4172</v>
      </c>
      <c r="J1161" s="12">
        <v>0.87150000000000005</v>
      </c>
      <c r="K1161" s="13">
        <v>9</v>
      </c>
      <c r="L1161" s="14">
        <v>10557</v>
      </c>
      <c r="M1161" s="10">
        <v>2537</v>
      </c>
      <c r="N1161" s="10">
        <v>1166564</v>
      </c>
      <c r="O1161" s="10">
        <v>198948</v>
      </c>
      <c r="P1161" s="10">
        <v>1365512</v>
      </c>
    </row>
    <row r="1162" spans="1:16" ht="27" customHeight="1" x14ac:dyDescent="0.2">
      <c r="A1162" s="9" t="s">
        <v>4168</v>
      </c>
      <c r="B1162" s="10" t="s">
        <v>4245</v>
      </c>
      <c r="C1162" s="11" t="s">
        <v>4247</v>
      </c>
      <c r="D1162" s="11" t="s">
        <v>4248</v>
      </c>
      <c r="E1162" s="11" t="s">
        <v>26</v>
      </c>
      <c r="F1162" s="11" t="s">
        <v>4249</v>
      </c>
      <c r="G1162" s="11" t="s">
        <v>28</v>
      </c>
      <c r="H1162" s="11" t="s">
        <v>4249</v>
      </c>
      <c r="I1162" s="11" t="s">
        <v>4250</v>
      </c>
      <c r="J1162" s="12">
        <v>0.3327</v>
      </c>
      <c r="K1162" s="13">
        <v>1</v>
      </c>
      <c r="L1162" s="14">
        <v>1590</v>
      </c>
      <c r="M1162" s="10">
        <v>529</v>
      </c>
      <c r="N1162" s="10">
        <v>175698</v>
      </c>
      <c r="O1162" s="10">
        <v>41484</v>
      </c>
      <c r="P1162" s="10">
        <v>217182</v>
      </c>
    </row>
    <row r="1163" spans="1:16" ht="27" customHeight="1" x14ac:dyDescent="0.2">
      <c r="A1163" s="9" t="s">
        <v>4168</v>
      </c>
      <c r="B1163" s="10" t="s">
        <v>4245</v>
      </c>
      <c r="C1163" s="11" t="s">
        <v>4251</v>
      </c>
      <c r="D1163" s="11" t="s">
        <v>4252</v>
      </c>
      <c r="E1163" s="11" t="s">
        <v>26</v>
      </c>
      <c r="F1163" s="11" t="s">
        <v>4253</v>
      </c>
      <c r="G1163" s="11" t="s">
        <v>28</v>
      </c>
      <c r="H1163" s="11" t="s">
        <v>4253</v>
      </c>
      <c r="I1163" s="11" t="s">
        <v>4254</v>
      </c>
      <c r="J1163" s="12">
        <v>0.51949999999999996</v>
      </c>
      <c r="K1163" s="13">
        <v>1</v>
      </c>
      <c r="L1163" s="14">
        <v>77</v>
      </c>
      <c r="M1163" s="10">
        <v>40</v>
      </c>
      <c r="N1163" s="10">
        <v>8509</v>
      </c>
      <c r="O1163" s="10">
        <v>3137</v>
      </c>
      <c r="P1163" s="10">
        <v>11646</v>
      </c>
    </row>
    <row r="1164" spans="1:16" ht="27" customHeight="1" x14ac:dyDescent="0.2">
      <c r="A1164" s="9" t="s">
        <v>4168</v>
      </c>
      <c r="B1164" s="10" t="s">
        <v>4255</v>
      </c>
      <c r="C1164" s="11" t="s">
        <v>18</v>
      </c>
      <c r="D1164" s="11" t="s">
        <v>19</v>
      </c>
      <c r="E1164" s="11" t="s">
        <v>19</v>
      </c>
      <c r="F1164" s="11" t="s">
        <v>4256</v>
      </c>
      <c r="G1164" s="11" t="s">
        <v>83</v>
      </c>
      <c r="H1164" s="11" t="s">
        <v>4257</v>
      </c>
      <c r="I1164" s="11" t="s">
        <v>4258</v>
      </c>
      <c r="J1164" s="12">
        <v>0.51659999999999995</v>
      </c>
      <c r="K1164" s="13">
        <v>12</v>
      </c>
      <c r="L1164" s="14">
        <v>4019</v>
      </c>
      <c r="M1164" s="10">
        <v>1181</v>
      </c>
      <c r="N1164" s="10">
        <v>444106</v>
      </c>
      <c r="O1164" s="10">
        <v>92613</v>
      </c>
      <c r="P1164" s="10">
        <v>536719</v>
      </c>
    </row>
    <row r="1165" spans="1:16" ht="27" customHeight="1" x14ac:dyDescent="0.2">
      <c r="A1165" s="9" t="s">
        <v>4168</v>
      </c>
      <c r="B1165" s="10" t="s">
        <v>4255</v>
      </c>
      <c r="C1165" s="11" t="s">
        <v>4259</v>
      </c>
      <c r="D1165" s="11" t="s">
        <v>4260</v>
      </c>
      <c r="E1165" s="11" t="s">
        <v>26</v>
      </c>
      <c r="F1165" s="11" t="s">
        <v>4261</v>
      </c>
      <c r="G1165" s="11" t="s">
        <v>28</v>
      </c>
      <c r="H1165" s="11" t="s">
        <v>4261</v>
      </c>
      <c r="I1165" s="11" t="s">
        <v>4262</v>
      </c>
      <c r="J1165" s="12">
        <v>0.27010000000000001</v>
      </c>
      <c r="K1165" s="13">
        <v>1</v>
      </c>
      <c r="L1165" s="14">
        <v>211</v>
      </c>
      <c r="M1165" s="10">
        <v>57</v>
      </c>
      <c r="N1165" s="10">
        <v>23316</v>
      </c>
      <c r="O1165" s="10">
        <v>4470</v>
      </c>
      <c r="P1165" s="10">
        <v>27786</v>
      </c>
    </row>
    <row r="1166" spans="1:16" ht="27" customHeight="1" x14ac:dyDescent="0.2">
      <c r="A1166" s="9" t="s">
        <v>4168</v>
      </c>
      <c r="B1166" s="10" t="s">
        <v>4263</v>
      </c>
      <c r="C1166" s="11" t="s">
        <v>18</v>
      </c>
      <c r="D1166" s="11" t="s">
        <v>19</v>
      </c>
      <c r="E1166" s="11" t="s">
        <v>19</v>
      </c>
      <c r="F1166" s="11" t="s">
        <v>4264</v>
      </c>
      <c r="G1166" s="11" t="s">
        <v>83</v>
      </c>
      <c r="H1166" s="11" t="s">
        <v>4265</v>
      </c>
      <c r="I1166" s="11" t="s">
        <v>4266</v>
      </c>
      <c r="J1166" s="12">
        <v>0.65539999999999998</v>
      </c>
      <c r="K1166" s="13">
        <v>15</v>
      </c>
      <c r="L1166" s="14">
        <v>7634</v>
      </c>
      <c r="M1166" s="10">
        <v>2271</v>
      </c>
      <c r="N1166" s="10">
        <v>843570</v>
      </c>
      <c r="O1166" s="10">
        <v>178089</v>
      </c>
      <c r="P1166" s="10">
        <v>1021659</v>
      </c>
    </row>
    <row r="1167" spans="1:16" ht="27" customHeight="1" x14ac:dyDescent="0.2">
      <c r="A1167" s="9" t="s">
        <v>4168</v>
      </c>
      <c r="B1167" s="10" t="s">
        <v>4263</v>
      </c>
      <c r="C1167" s="11" t="s">
        <v>4267</v>
      </c>
      <c r="D1167" s="11" t="s">
        <v>4268</v>
      </c>
      <c r="E1167" s="11" t="s">
        <v>26</v>
      </c>
      <c r="F1167" s="11" t="s">
        <v>4269</v>
      </c>
      <c r="G1167" s="11" t="s">
        <v>28</v>
      </c>
      <c r="H1167" s="11" t="s">
        <v>4269</v>
      </c>
      <c r="I1167" s="11" t="s">
        <v>4270</v>
      </c>
      <c r="J1167" s="12">
        <v>0.16639999999999999</v>
      </c>
      <c r="K1167" s="13">
        <v>1</v>
      </c>
      <c r="L1167" s="14">
        <v>1376</v>
      </c>
      <c r="M1167" s="10">
        <v>229</v>
      </c>
      <c r="N1167" s="10">
        <v>152050</v>
      </c>
      <c r="O1167" s="10">
        <v>17958</v>
      </c>
      <c r="P1167" s="10">
        <v>170008</v>
      </c>
    </row>
    <row r="1168" spans="1:16" ht="27" customHeight="1" x14ac:dyDescent="0.2">
      <c r="A1168" s="9" t="s">
        <v>4168</v>
      </c>
      <c r="B1168" s="10" t="s">
        <v>4263</v>
      </c>
      <c r="C1168" s="11" t="s">
        <v>4271</v>
      </c>
      <c r="D1168" s="11" t="s">
        <v>4272</v>
      </c>
      <c r="E1168" s="11" t="s">
        <v>26</v>
      </c>
      <c r="F1168" s="11" t="s">
        <v>4273</v>
      </c>
      <c r="G1168" s="11" t="s">
        <v>28</v>
      </c>
      <c r="H1168" s="11" t="s">
        <v>4273</v>
      </c>
      <c r="I1168" s="11" t="s">
        <v>4274</v>
      </c>
      <c r="J1168" s="12">
        <v>0.53510000000000002</v>
      </c>
      <c r="K1168" s="13">
        <v>1</v>
      </c>
      <c r="L1168" s="14">
        <v>1508</v>
      </c>
      <c r="M1168" s="10">
        <v>807</v>
      </c>
      <c r="N1168" s="10">
        <v>166636</v>
      </c>
      <c r="O1168" s="10">
        <v>63284</v>
      </c>
      <c r="P1168" s="10">
        <v>229920</v>
      </c>
    </row>
    <row r="1169" spans="1:16" ht="27" customHeight="1" x14ac:dyDescent="0.2">
      <c r="A1169" s="9" t="s">
        <v>4168</v>
      </c>
      <c r="B1169" s="10" t="s">
        <v>4275</v>
      </c>
      <c r="C1169" s="11" t="s">
        <v>18</v>
      </c>
      <c r="D1169" s="11" t="s">
        <v>19</v>
      </c>
      <c r="E1169" s="11" t="s">
        <v>19</v>
      </c>
      <c r="F1169" s="11" t="s">
        <v>4276</v>
      </c>
      <c r="G1169" s="11" t="s">
        <v>83</v>
      </c>
      <c r="H1169" s="11" t="s">
        <v>4277</v>
      </c>
      <c r="I1169" s="11" t="s">
        <v>4278</v>
      </c>
      <c r="J1169" s="12">
        <v>0.35170000000000001</v>
      </c>
      <c r="K1169" s="13">
        <v>19</v>
      </c>
      <c r="L1169" s="14">
        <v>11472</v>
      </c>
      <c r="M1169" s="10">
        <v>2160</v>
      </c>
      <c r="N1169" s="10">
        <v>1267676</v>
      </c>
      <c r="O1169" s="10">
        <v>169385</v>
      </c>
      <c r="P1169" s="10">
        <v>1437061</v>
      </c>
    </row>
    <row r="1170" spans="1:16" ht="27" customHeight="1" x14ac:dyDescent="0.2">
      <c r="A1170" s="9" t="s">
        <v>4168</v>
      </c>
      <c r="B1170" s="10" t="s">
        <v>4275</v>
      </c>
      <c r="C1170" s="11" t="s">
        <v>4279</v>
      </c>
      <c r="D1170" s="11" t="s">
        <v>4280</v>
      </c>
      <c r="E1170" s="11" t="s">
        <v>26</v>
      </c>
      <c r="F1170" s="11" t="s">
        <v>4281</v>
      </c>
      <c r="G1170" s="11" t="s">
        <v>28</v>
      </c>
      <c r="H1170" s="11" t="s">
        <v>4281</v>
      </c>
      <c r="I1170" s="11" t="s">
        <v>4282</v>
      </c>
      <c r="J1170" s="12">
        <v>0.1231</v>
      </c>
      <c r="K1170" s="13">
        <v>1</v>
      </c>
      <c r="L1170" s="14">
        <v>260</v>
      </c>
      <c r="M1170" s="10">
        <v>32</v>
      </c>
      <c r="N1170" s="10">
        <v>28730</v>
      </c>
      <c r="O1170" s="10">
        <v>2509</v>
      </c>
      <c r="P1170" s="10">
        <v>31239</v>
      </c>
    </row>
    <row r="1171" spans="1:16" ht="27" customHeight="1" x14ac:dyDescent="0.2">
      <c r="A1171" s="9" t="s">
        <v>4168</v>
      </c>
      <c r="B1171" s="10" t="s">
        <v>4275</v>
      </c>
      <c r="C1171" s="11" t="s">
        <v>4283</v>
      </c>
      <c r="D1171" s="11" t="s">
        <v>4284</v>
      </c>
      <c r="E1171" s="11" t="s">
        <v>26</v>
      </c>
      <c r="F1171" s="11" t="s">
        <v>4285</v>
      </c>
      <c r="G1171" s="11" t="s">
        <v>28</v>
      </c>
      <c r="H1171" s="11" t="s">
        <v>4285</v>
      </c>
      <c r="I1171" s="11" t="s">
        <v>4286</v>
      </c>
      <c r="J1171" s="12">
        <v>0.1371</v>
      </c>
      <c r="K1171" s="13">
        <v>1</v>
      </c>
      <c r="L1171" s="14">
        <v>773</v>
      </c>
      <c r="M1171" s="10">
        <v>106</v>
      </c>
      <c r="N1171" s="10">
        <v>85418</v>
      </c>
      <c r="O1171" s="10">
        <v>8312</v>
      </c>
      <c r="P1171" s="10">
        <v>93730</v>
      </c>
    </row>
    <row r="1172" spans="1:16" ht="27" customHeight="1" x14ac:dyDescent="0.2">
      <c r="A1172" s="9" t="s">
        <v>4168</v>
      </c>
      <c r="B1172" s="10" t="s">
        <v>4275</v>
      </c>
      <c r="C1172" s="11" t="s">
        <v>4287</v>
      </c>
      <c r="D1172" s="11" t="s">
        <v>4288</v>
      </c>
      <c r="E1172" s="11" t="s">
        <v>26</v>
      </c>
      <c r="F1172" s="11" t="s">
        <v>4289</v>
      </c>
      <c r="G1172" s="11" t="s">
        <v>28</v>
      </c>
      <c r="H1172" s="11" t="s">
        <v>4289</v>
      </c>
      <c r="I1172" s="11" t="s">
        <v>4290</v>
      </c>
      <c r="J1172" s="12">
        <v>0.1106</v>
      </c>
      <c r="K1172" s="13">
        <v>1</v>
      </c>
      <c r="L1172" s="14">
        <v>479</v>
      </c>
      <c r="M1172" s="10">
        <v>53</v>
      </c>
      <c r="N1172" s="10">
        <v>52930</v>
      </c>
      <c r="O1172" s="10">
        <v>4156</v>
      </c>
      <c r="P1172" s="10">
        <v>57086</v>
      </c>
    </row>
    <row r="1173" spans="1:16" ht="27" customHeight="1" x14ac:dyDescent="0.2">
      <c r="A1173" s="9" t="s">
        <v>4291</v>
      </c>
      <c r="B1173" s="10" t="s">
        <v>4292</v>
      </c>
      <c r="C1173" s="11" t="s">
        <v>18</v>
      </c>
      <c r="D1173" s="11" t="s">
        <v>19</v>
      </c>
      <c r="E1173" s="11" t="s">
        <v>19</v>
      </c>
      <c r="F1173" s="11" t="s">
        <v>4293</v>
      </c>
      <c r="G1173" s="11" t="s">
        <v>21</v>
      </c>
      <c r="H1173" s="11" t="s">
        <v>4294</v>
      </c>
      <c r="I1173" s="11" t="s">
        <v>4295</v>
      </c>
      <c r="J1173" s="12">
        <v>0.72540000000000004</v>
      </c>
      <c r="K1173" s="13">
        <v>4</v>
      </c>
      <c r="L1173" s="14">
        <v>9</v>
      </c>
      <c r="M1173" s="10">
        <v>9</v>
      </c>
      <c r="N1173" s="10">
        <v>996</v>
      </c>
      <c r="O1173" s="10">
        <v>705</v>
      </c>
      <c r="P1173" s="10">
        <v>1701</v>
      </c>
    </row>
    <row r="1174" spans="1:16" ht="27" customHeight="1" x14ac:dyDescent="0.2">
      <c r="A1174" s="9" t="s">
        <v>4291</v>
      </c>
      <c r="B1174" s="10" t="s">
        <v>4296</v>
      </c>
      <c r="C1174" s="11" t="s">
        <v>18</v>
      </c>
      <c r="D1174" s="11" t="s">
        <v>19</v>
      </c>
      <c r="E1174" s="11" t="s">
        <v>19</v>
      </c>
      <c r="F1174" s="11" t="s">
        <v>4297</v>
      </c>
      <c r="G1174" s="11" t="s">
        <v>83</v>
      </c>
      <c r="H1174" s="11" t="s">
        <v>4294</v>
      </c>
      <c r="I1174" s="11" t="s">
        <v>4295</v>
      </c>
      <c r="J1174" s="12">
        <v>0.72540000000000004</v>
      </c>
      <c r="K1174" s="13">
        <v>11</v>
      </c>
      <c r="L1174" s="14">
        <v>1769</v>
      </c>
      <c r="M1174" s="10">
        <v>1106</v>
      </c>
      <c r="N1174" s="10">
        <v>195479</v>
      </c>
      <c r="O1174" s="10">
        <v>86732</v>
      </c>
      <c r="P1174" s="10">
        <v>282211</v>
      </c>
    </row>
    <row r="1175" spans="1:16" ht="27" customHeight="1" x14ac:dyDescent="0.2">
      <c r="A1175" s="9" t="s">
        <v>4291</v>
      </c>
      <c r="B1175" s="10" t="s">
        <v>4296</v>
      </c>
      <c r="C1175" s="11" t="s">
        <v>4298</v>
      </c>
      <c r="D1175" s="11" t="s">
        <v>4299</v>
      </c>
      <c r="E1175" s="11" t="s">
        <v>26</v>
      </c>
      <c r="F1175" s="11" t="s">
        <v>4300</v>
      </c>
      <c r="G1175" s="11" t="s">
        <v>28</v>
      </c>
      <c r="H1175" s="11" t="s">
        <v>4300</v>
      </c>
      <c r="I1175" s="11" t="s">
        <v>4301</v>
      </c>
      <c r="J1175" s="12">
        <v>0.36709999999999998</v>
      </c>
      <c r="K1175" s="13">
        <v>1</v>
      </c>
      <c r="L1175" s="14">
        <v>346</v>
      </c>
      <c r="M1175" s="10">
        <v>127</v>
      </c>
      <c r="N1175" s="10">
        <v>38234</v>
      </c>
      <c r="O1175" s="10">
        <v>9959</v>
      </c>
      <c r="P1175" s="10">
        <v>48193</v>
      </c>
    </row>
    <row r="1176" spans="1:16" ht="27" customHeight="1" x14ac:dyDescent="0.2">
      <c r="A1176" s="9" t="s">
        <v>4302</v>
      </c>
      <c r="B1176" s="10" t="s">
        <v>4303</v>
      </c>
      <c r="C1176" s="11" t="s">
        <v>18</v>
      </c>
      <c r="D1176" s="11" t="s">
        <v>19</v>
      </c>
      <c r="E1176" s="11" t="s">
        <v>19</v>
      </c>
      <c r="F1176" s="11" t="s">
        <v>4304</v>
      </c>
      <c r="G1176" s="11" t="s">
        <v>21</v>
      </c>
      <c r="H1176" s="11" t="s">
        <v>4305</v>
      </c>
      <c r="I1176" s="11" t="s">
        <v>4306</v>
      </c>
      <c r="J1176" s="12">
        <v>0.98470000000000002</v>
      </c>
      <c r="K1176" s="13">
        <v>5</v>
      </c>
      <c r="L1176" s="14">
        <v>1681</v>
      </c>
      <c r="M1176" s="10">
        <v>1353</v>
      </c>
      <c r="N1176" s="10">
        <v>185753</v>
      </c>
      <c r="O1176" s="10">
        <v>106100</v>
      </c>
      <c r="P1176" s="10">
        <v>291853</v>
      </c>
    </row>
    <row r="1177" spans="1:16" ht="27" customHeight="1" x14ac:dyDescent="0.2">
      <c r="A1177" s="9" t="s">
        <v>4302</v>
      </c>
      <c r="B1177" s="10" t="s">
        <v>4303</v>
      </c>
      <c r="C1177" s="11" t="s">
        <v>4307</v>
      </c>
      <c r="D1177" s="11" t="s">
        <v>4308</v>
      </c>
      <c r="E1177" s="11" t="s">
        <v>26</v>
      </c>
      <c r="F1177" s="11" t="s">
        <v>4309</v>
      </c>
      <c r="G1177" s="11" t="s">
        <v>28</v>
      </c>
      <c r="H1177" s="11" t="s">
        <v>4309</v>
      </c>
      <c r="I1177" s="11" t="s">
        <v>4310</v>
      </c>
      <c r="J1177" s="12">
        <v>0.57779999999999998</v>
      </c>
      <c r="K1177" s="13">
        <v>1</v>
      </c>
      <c r="L1177" s="14">
        <v>6886</v>
      </c>
      <c r="M1177" s="10">
        <v>3979</v>
      </c>
      <c r="N1177" s="10">
        <v>760914</v>
      </c>
      <c r="O1177" s="10">
        <v>312029</v>
      </c>
      <c r="P1177" s="10">
        <v>1072943</v>
      </c>
    </row>
    <row r="1178" spans="1:16" ht="27" customHeight="1" x14ac:dyDescent="0.2">
      <c r="A1178" s="9" t="s">
        <v>4302</v>
      </c>
      <c r="B1178" s="10" t="s">
        <v>4303</v>
      </c>
      <c r="C1178" s="11" t="s">
        <v>4311</v>
      </c>
      <c r="D1178" s="11" t="s">
        <v>4312</v>
      </c>
      <c r="E1178" s="11" t="s">
        <v>26</v>
      </c>
      <c r="F1178" s="11" t="s">
        <v>4313</v>
      </c>
      <c r="G1178" s="11" t="s">
        <v>28</v>
      </c>
      <c r="H1178" s="11" t="s">
        <v>4305</v>
      </c>
      <c r="I1178" s="11" t="s">
        <v>4306</v>
      </c>
      <c r="J1178" s="12">
        <v>0.98470000000000002</v>
      </c>
      <c r="K1178" s="13">
        <v>1</v>
      </c>
      <c r="L1178" s="14">
        <v>143</v>
      </c>
      <c r="M1178" s="10">
        <v>108</v>
      </c>
      <c r="N1178" s="10">
        <v>15802</v>
      </c>
      <c r="O1178" s="10">
        <v>8469</v>
      </c>
      <c r="P1178" s="10">
        <v>24271</v>
      </c>
    </row>
    <row r="1179" spans="1:16" ht="27" customHeight="1" x14ac:dyDescent="0.2">
      <c r="A1179" s="9" t="s">
        <v>4302</v>
      </c>
      <c r="B1179" s="10" t="s">
        <v>4303</v>
      </c>
      <c r="C1179" s="11" t="s">
        <v>4314</v>
      </c>
      <c r="D1179" s="11" t="s">
        <v>4315</v>
      </c>
      <c r="E1179" s="11" t="s">
        <v>26</v>
      </c>
      <c r="F1179" s="11" t="s">
        <v>4316</v>
      </c>
      <c r="G1179" s="11" t="s">
        <v>28</v>
      </c>
      <c r="H1179" s="11" t="s">
        <v>4316</v>
      </c>
      <c r="I1179" s="11" t="s">
        <v>4317</v>
      </c>
      <c r="J1179" s="12">
        <v>0.5373</v>
      </c>
      <c r="K1179" s="13">
        <v>1</v>
      </c>
      <c r="L1179" s="14">
        <v>1312</v>
      </c>
      <c r="M1179" s="10">
        <v>705</v>
      </c>
      <c r="N1179" s="10">
        <v>144978</v>
      </c>
      <c r="O1179" s="10">
        <v>55285</v>
      </c>
      <c r="P1179" s="10">
        <v>200263</v>
      </c>
    </row>
    <row r="1180" spans="1:16" ht="27" customHeight="1" x14ac:dyDescent="0.2">
      <c r="A1180" s="9" t="s">
        <v>4302</v>
      </c>
      <c r="B1180" s="10" t="s">
        <v>4303</v>
      </c>
      <c r="C1180" s="11" t="s">
        <v>4318</v>
      </c>
      <c r="D1180" s="11" t="s">
        <v>4319</v>
      </c>
      <c r="E1180" s="11" t="s">
        <v>57</v>
      </c>
      <c r="F1180" s="11" t="s">
        <v>4320</v>
      </c>
      <c r="G1180" s="11" t="s">
        <v>28</v>
      </c>
      <c r="H1180" s="11" t="s">
        <v>4305</v>
      </c>
      <c r="I1180" s="11" t="s">
        <v>4306</v>
      </c>
      <c r="J1180" s="12">
        <v>0.98470000000000002</v>
      </c>
      <c r="K1180" s="13">
        <v>1</v>
      </c>
      <c r="L1180" s="14">
        <v>500</v>
      </c>
      <c r="M1180" s="10">
        <v>323</v>
      </c>
      <c r="N1180" s="10">
        <v>55251</v>
      </c>
      <c r="O1180" s="10">
        <v>25329</v>
      </c>
      <c r="P1180" s="10">
        <v>80580</v>
      </c>
    </row>
    <row r="1181" spans="1:16" ht="27" customHeight="1" x14ac:dyDescent="0.2">
      <c r="A1181" s="9" t="s">
        <v>4302</v>
      </c>
      <c r="B1181" s="10" t="s">
        <v>4303</v>
      </c>
      <c r="C1181" s="11" t="s">
        <v>4321</v>
      </c>
      <c r="D1181" s="11" t="s">
        <v>4322</v>
      </c>
      <c r="E1181" s="11" t="s">
        <v>26</v>
      </c>
      <c r="F1181" s="11" t="s">
        <v>4323</v>
      </c>
      <c r="G1181" s="11" t="s">
        <v>28</v>
      </c>
      <c r="H1181" s="11" t="s">
        <v>4305</v>
      </c>
      <c r="I1181" s="11" t="s">
        <v>4306</v>
      </c>
      <c r="J1181" s="12">
        <v>0.98470000000000002</v>
      </c>
      <c r="K1181" s="13">
        <v>1</v>
      </c>
      <c r="L1181" s="14">
        <v>128</v>
      </c>
      <c r="M1181" s="10">
        <v>67</v>
      </c>
      <c r="N1181" s="10">
        <v>14144</v>
      </c>
      <c r="O1181" s="10">
        <v>5254</v>
      </c>
      <c r="P1181" s="10">
        <v>19398</v>
      </c>
    </row>
    <row r="1182" spans="1:16" ht="27" customHeight="1" x14ac:dyDescent="0.2">
      <c r="A1182" s="9" t="s">
        <v>4302</v>
      </c>
      <c r="B1182" s="10" t="s">
        <v>4303</v>
      </c>
      <c r="C1182" s="11" t="s">
        <v>4324</v>
      </c>
      <c r="D1182" s="11" t="s">
        <v>4325</v>
      </c>
      <c r="E1182" s="11" t="s">
        <v>26</v>
      </c>
      <c r="F1182" s="11" t="s">
        <v>4326</v>
      </c>
      <c r="G1182" s="11" t="s">
        <v>28</v>
      </c>
      <c r="H1182" s="11" t="s">
        <v>4326</v>
      </c>
      <c r="I1182" s="11" t="s">
        <v>4327</v>
      </c>
      <c r="J1182" s="12">
        <v>0.1623</v>
      </c>
      <c r="K1182" s="13">
        <v>1</v>
      </c>
      <c r="L1182" s="14">
        <v>309</v>
      </c>
      <c r="M1182" s="10">
        <v>50</v>
      </c>
      <c r="N1182" s="10">
        <v>34145</v>
      </c>
      <c r="O1182" s="10">
        <v>3921</v>
      </c>
      <c r="P1182" s="10">
        <v>38066</v>
      </c>
    </row>
    <row r="1183" spans="1:16" ht="27" customHeight="1" x14ac:dyDescent="0.2">
      <c r="A1183" s="9" t="s">
        <v>4302</v>
      </c>
      <c r="B1183" s="10" t="s">
        <v>4303</v>
      </c>
      <c r="C1183" s="11" t="s">
        <v>4328</v>
      </c>
      <c r="D1183" s="11" t="s">
        <v>4329</v>
      </c>
      <c r="E1183" s="11" t="s">
        <v>26</v>
      </c>
      <c r="F1183" s="11" t="s">
        <v>4330</v>
      </c>
      <c r="G1183" s="11" t="s">
        <v>28</v>
      </c>
      <c r="H1183" s="11" t="s">
        <v>4330</v>
      </c>
      <c r="I1183" s="11" t="s">
        <v>4331</v>
      </c>
      <c r="J1183" s="12">
        <v>0.52480000000000004</v>
      </c>
      <c r="K1183" s="13">
        <v>1</v>
      </c>
      <c r="L1183" s="14">
        <v>141</v>
      </c>
      <c r="M1183" s="10">
        <v>74</v>
      </c>
      <c r="N1183" s="10">
        <v>15581</v>
      </c>
      <c r="O1183" s="10">
        <v>5803</v>
      </c>
      <c r="P1183" s="10">
        <v>21384</v>
      </c>
    </row>
    <row r="1184" spans="1:16" ht="27" customHeight="1" x14ac:dyDescent="0.2">
      <c r="A1184" s="9" t="s">
        <v>4302</v>
      </c>
      <c r="B1184" s="10" t="s">
        <v>4303</v>
      </c>
      <c r="C1184" s="11" t="s">
        <v>4332</v>
      </c>
      <c r="D1184" s="11" t="s">
        <v>4333</v>
      </c>
      <c r="E1184" s="11" t="s">
        <v>26</v>
      </c>
      <c r="F1184" s="11" t="s">
        <v>4334</v>
      </c>
      <c r="G1184" s="11" t="s">
        <v>28</v>
      </c>
      <c r="H1184" s="11" t="s">
        <v>4334</v>
      </c>
      <c r="I1184" s="11" t="s">
        <v>4335</v>
      </c>
      <c r="J1184" s="12">
        <v>0.58879999999999999</v>
      </c>
      <c r="K1184" s="13">
        <v>1</v>
      </c>
      <c r="L1184" s="14">
        <v>429</v>
      </c>
      <c r="M1184" s="10">
        <v>253</v>
      </c>
      <c r="N1184" s="10">
        <v>47405</v>
      </c>
      <c r="O1184" s="10">
        <v>19840</v>
      </c>
      <c r="P1184" s="10">
        <v>67245</v>
      </c>
    </row>
    <row r="1185" spans="1:16" ht="27" customHeight="1" x14ac:dyDescent="0.2">
      <c r="A1185" s="9" t="s">
        <v>4302</v>
      </c>
      <c r="B1185" s="10" t="s">
        <v>4303</v>
      </c>
      <c r="C1185" s="11" t="s">
        <v>4336</v>
      </c>
      <c r="D1185" s="11" t="s">
        <v>4337</v>
      </c>
      <c r="E1185" s="11" t="s">
        <v>26</v>
      </c>
      <c r="F1185" s="11" t="s">
        <v>4338</v>
      </c>
      <c r="G1185" s="11" t="s">
        <v>28</v>
      </c>
      <c r="H1185" s="11" t="s">
        <v>4305</v>
      </c>
      <c r="I1185" s="11" t="s">
        <v>4306</v>
      </c>
      <c r="J1185" s="12">
        <v>0.98470000000000002</v>
      </c>
      <c r="K1185" s="13">
        <v>1</v>
      </c>
      <c r="L1185" s="14">
        <v>129</v>
      </c>
      <c r="M1185" s="10">
        <v>54</v>
      </c>
      <c r="N1185" s="10">
        <v>14255</v>
      </c>
      <c r="O1185" s="10">
        <v>4235</v>
      </c>
      <c r="P1185" s="10">
        <v>18490</v>
      </c>
    </row>
    <row r="1186" spans="1:16" ht="27" customHeight="1" x14ac:dyDescent="0.2">
      <c r="A1186" s="9" t="s">
        <v>4302</v>
      </c>
      <c r="B1186" s="10" t="s">
        <v>4303</v>
      </c>
      <c r="C1186" s="11" t="s">
        <v>4339</v>
      </c>
      <c r="D1186" s="11" t="s">
        <v>4340</v>
      </c>
      <c r="E1186" s="11" t="s">
        <v>26</v>
      </c>
      <c r="F1186" s="11" t="s">
        <v>4043</v>
      </c>
      <c r="G1186" s="11" t="s">
        <v>28</v>
      </c>
      <c r="H1186" s="11" t="s">
        <v>4043</v>
      </c>
      <c r="I1186" s="11" t="s">
        <v>4341</v>
      </c>
      <c r="J1186" s="12">
        <v>0.80910000000000004</v>
      </c>
      <c r="K1186" s="13">
        <v>1</v>
      </c>
      <c r="L1186" s="14">
        <v>550</v>
      </c>
      <c r="M1186" s="10">
        <v>445</v>
      </c>
      <c r="N1186" s="10">
        <v>60776</v>
      </c>
      <c r="O1186" s="10">
        <v>34896</v>
      </c>
      <c r="P1186" s="10">
        <v>95672</v>
      </c>
    </row>
    <row r="1187" spans="1:16" ht="27" customHeight="1" x14ac:dyDescent="0.2">
      <c r="A1187" s="9" t="s">
        <v>4302</v>
      </c>
      <c r="B1187" s="10" t="s">
        <v>4303</v>
      </c>
      <c r="C1187" s="11" t="s">
        <v>4342</v>
      </c>
      <c r="D1187" s="11" t="s">
        <v>4343</v>
      </c>
      <c r="E1187" s="11" t="s">
        <v>26</v>
      </c>
      <c r="F1187" s="11" t="s">
        <v>4344</v>
      </c>
      <c r="G1187" s="11" t="s">
        <v>28</v>
      </c>
      <c r="H1187" s="11" t="s">
        <v>4344</v>
      </c>
      <c r="I1187" s="11" t="s">
        <v>4345</v>
      </c>
      <c r="J1187" s="12">
        <v>0.40260000000000001</v>
      </c>
      <c r="K1187" s="13">
        <v>1</v>
      </c>
      <c r="L1187" s="14">
        <v>755</v>
      </c>
      <c r="M1187" s="10">
        <v>304</v>
      </c>
      <c r="N1187" s="10">
        <v>83429</v>
      </c>
      <c r="O1187" s="10">
        <v>23839</v>
      </c>
      <c r="P1187" s="10">
        <v>107268</v>
      </c>
    </row>
    <row r="1188" spans="1:16" ht="27" customHeight="1" x14ac:dyDescent="0.2">
      <c r="A1188" s="9" t="s">
        <v>4302</v>
      </c>
      <c r="B1188" s="10" t="s">
        <v>4303</v>
      </c>
      <c r="C1188" s="11" t="s">
        <v>4346</v>
      </c>
      <c r="D1188" s="11" t="s">
        <v>4347</v>
      </c>
      <c r="E1188" s="11" t="s">
        <v>26</v>
      </c>
      <c r="F1188" s="11" t="s">
        <v>4348</v>
      </c>
      <c r="G1188" s="11" t="s">
        <v>28</v>
      </c>
      <c r="H1188" s="11" t="s">
        <v>4305</v>
      </c>
      <c r="I1188" s="11" t="s">
        <v>4306</v>
      </c>
      <c r="J1188" s="12">
        <v>0.98470000000000002</v>
      </c>
      <c r="K1188" s="13">
        <v>1</v>
      </c>
      <c r="L1188" s="14">
        <v>157</v>
      </c>
      <c r="M1188" s="10">
        <v>113</v>
      </c>
      <c r="N1188" s="10">
        <v>17349</v>
      </c>
      <c r="O1188" s="10">
        <v>8861</v>
      </c>
      <c r="P1188" s="10">
        <v>26210</v>
      </c>
    </row>
    <row r="1189" spans="1:16" ht="27" customHeight="1" x14ac:dyDescent="0.2">
      <c r="A1189" s="9" t="s">
        <v>4302</v>
      </c>
      <c r="B1189" s="10" t="s">
        <v>4303</v>
      </c>
      <c r="C1189" s="11" t="s">
        <v>4349</v>
      </c>
      <c r="D1189" s="11" t="s">
        <v>4350</v>
      </c>
      <c r="E1189" s="11" t="s">
        <v>26</v>
      </c>
      <c r="F1189" s="11" t="s">
        <v>4351</v>
      </c>
      <c r="G1189" s="11" t="s">
        <v>28</v>
      </c>
      <c r="H1189" s="11" t="s">
        <v>4351</v>
      </c>
      <c r="I1189" s="11" t="s">
        <v>4352</v>
      </c>
      <c r="J1189" s="12">
        <v>0.73219999999999996</v>
      </c>
      <c r="K1189" s="13">
        <v>1</v>
      </c>
      <c r="L1189" s="14">
        <v>239</v>
      </c>
      <c r="M1189" s="10">
        <v>175</v>
      </c>
      <c r="N1189" s="10">
        <v>26410</v>
      </c>
      <c r="O1189" s="10">
        <v>13723</v>
      </c>
      <c r="P1189" s="10">
        <v>40133</v>
      </c>
    </row>
    <row r="1190" spans="1:16" ht="27" customHeight="1" x14ac:dyDescent="0.2">
      <c r="A1190" s="9" t="s">
        <v>4302</v>
      </c>
      <c r="B1190" s="10" t="s">
        <v>4353</v>
      </c>
      <c r="C1190" s="11" t="s">
        <v>4354</v>
      </c>
      <c r="D1190" s="11" t="s">
        <v>19</v>
      </c>
      <c r="E1190" s="11" t="s">
        <v>19</v>
      </c>
      <c r="F1190" s="11" t="s">
        <v>4355</v>
      </c>
      <c r="G1190" s="11" t="s">
        <v>77</v>
      </c>
      <c r="H1190" s="11" t="s">
        <v>4305</v>
      </c>
      <c r="I1190" s="11" t="s">
        <v>4306</v>
      </c>
      <c r="J1190" s="12">
        <v>0.98470000000000002</v>
      </c>
      <c r="K1190" s="13">
        <v>1</v>
      </c>
      <c r="L1190" s="14">
        <v>319</v>
      </c>
      <c r="M1190" s="10">
        <v>138</v>
      </c>
      <c r="N1190" s="10">
        <v>35250</v>
      </c>
      <c r="O1190" s="10">
        <v>10822</v>
      </c>
      <c r="P1190" s="10">
        <v>46072</v>
      </c>
    </row>
    <row r="1191" spans="1:16" ht="27" customHeight="1" x14ac:dyDescent="0.2">
      <c r="A1191" s="9" t="s">
        <v>4302</v>
      </c>
      <c r="B1191" s="10" t="s">
        <v>4356</v>
      </c>
      <c r="C1191" s="11" t="s">
        <v>18</v>
      </c>
      <c r="D1191" s="11" t="s">
        <v>19</v>
      </c>
      <c r="E1191" s="11" t="s">
        <v>19</v>
      </c>
      <c r="F1191" s="11" t="s">
        <v>4357</v>
      </c>
      <c r="G1191" s="11" t="s">
        <v>83</v>
      </c>
      <c r="H1191" s="11" t="s">
        <v>4358</v>
      </c>
      <c r="I1191" s="11" t="s">
        <v>4359</v>
      </c>
      <c r="J1191" s="12">
        <v>0.97860000000000003</v>
      </c>
      <c r="K1191" s="13">
        <v>27</v>
      </c>
      <c r="L1191" s="14">
        <v>17160</v>
      </c>
      <c r="M1191" s="10">
        <v>14602</v>
      </c>
      <c r="N1191" s="10">
        <v>1896209</v>
      </c>
      <c r="O1191" s="10">
        <v>1145075</v>
      </c>
      <c r="P1191" s="10">
        <v>3041284</v>
      </c>
    </row>
    <row r="1192" spans="1:16" ht="27" customHeight="1" x14ac:dyDescent="0.2">
      <c r="A1192" s="9" t="s">
        <v>4302</v>
      </c>
      <c r="B1192" s="10" t="s">
        <v>4360</v>
      </c>
      <c r="C1192" s="11" t="s">
        <v>18</v>
      </c>
      <c r="D1192" s="11" t="s">
        <v>19</v>
      </c>
      <c r="E1192" s="11" t="s">
        <v>19</v>
      </c>
      <c r="F1192" s="11" t="s">
        <v>4361</v>
      </c>
      <c r="G1192" s="11" t="s">
        <v>83</v>
      </c>
      <c r="H1192" s="11" t="s">
        <v>4362</v>
      </c>
      <c r="I1192" s="11" t="s">
        <v>4363</v>
      </c>
      <c r="J1192" s="12">
        <v>0.91180000000000005</v>
      </c>
      <c r="K1192" s="13">
        <v>12</v>
      </c>
      <c r="L1192" s="14">
        <v>4448</v>
      </c>
      <c r="M1192" s="10">
        <v>3946</v>
      </c>
      <c r="N1192" s="10">
        <v>491512</v>
      </c>
      <c r="O1192" s="10">
        <v>309441</v>
      </c>
      <c r="P1192" s="10">
        <v>800953</v>
      </c>
    </row>
    <row r="1193" spans="1:16" ht="27" customHeight="1" x14ac:dyDescent="0.2">
      <c r="A1193" s="9" t="s">
        <v>4302</v>
      </c>
      <c r="B1193" s="10" t="s">
        <v>4364</v>
      </c>
      <c r="C1193" s="11" t="s">
        <v>18</v>
      </c>
      <c r="D1193" s="11" t="s">
        <v>19</v>
      </c>
      <c r="E1193" s="11" t="s">
        <v>19</v>
      </c>
      <c r="F1193" s="11" t="s">
        <v>4365</v>
      </c>
      <c r="G1193" s="11" t="s">
        <v>83</v>
      </c>
      <c r="H1193" s="11" t="s">
        <v>4366</v>
      </c>
      <c r="I1193" s="11" t="s">
        <v>4367</v>
      </c>
      <c r="J1193" s="12">
        <v>0.87450000000000006</v>
      </c>
      <c r="K1193" s="13">
        <v>16</v>
      </c>
      <c r="L1193" s="14">
        <v>11890</v>
      </c>
      <c r="M1193" s="10">
        <v>7614</v>
      </c>
      <c r="N1193" s="10">
        <v>1313868</v>
      </c>
      <c r="O1193" s="10">
        <v>597082</v>
      </c>
      <c r="P1193" s="10">
        <v>1910950</v>
      </c>
    </row>
    <row r="1194" spans="1:16" ht="27" customHeight="1" x14ac:dyDescent="0.2">
      <c r="A1194" s="9" t="s">
        <v>4302</v>
      </c>
      <c r="B1194" s="10" t="s">
        <v>4364</v>
      </c>
      <c r="C1194" s="11" t="s">
        <v>4368</v>
      </c>
      <c r="D1194" s="11" t="s">
        <v>4369</v>
      </c>
      <c r="E1194" s="11" t="s">
        <v>26</v>
      </c>
      <c r="F1194" s="11" t="s">
        <v>4370</v>
      </c>
      <c r="G1194" s="11" t="s">
        <v>28</v>
      </c>
      <c r="H1194" s="11" t="s">
        <v>4370</v>
      </c>
      <c r="I1194" s="11" t="s">
        <v>4371</v>
      </c>
      <c r="J1194" s="12">
        <v>0.39700000000000002</v>
      </c>
      <c r="K1194" s="13">
        <v>1</v>
      </c>
      <c r="L1194" s="14">
        <v>330</v>
      </c>
      <c r="M1194" s="10">
        <v>131</v>
      </c>
      <c r="N1194" s="10">
        <v>36466</v>
      </c>
      <c r="O1194" s="10">
        <v>10273</v>
      </c>
      <c r="P1194" s="10">
        <v>46739</v>
      </c>
    </row>
    <row r="1195" spans="1:16" ht="27" customHeight="1" x14ac:dyDescent="0.2">
      <c r="A1195" s="9" t="s">
        <v>4302</v>
      </c>
      <c r="B1195" s="10" t="s">
        <v>4364</v>
      </c>
      <c r="C1195" s="11" t="s">
        <v>4372</v>
      </c>
      <c r="D1195" s="11" t="s">
        <v>4373</v>
      </c>
      <c r="E1195" s="11" t="s">
        <v>26</v>
      </c>
      <c r="F1195" s="11" t="s">
        <v>4374</v>
      </c>
      <c r="G1195" s="11" t="s">
        <v>28</v>
      </c>
      <c r="H1195" s="11" t="s">
        <v>4374</v>
      </c>
      <c r="I1195" s="11" t="s">
        <v>4375</v>
      </c>
      <c r="J1195" s="12">
        <v>0.41199999999999998</v>
      </c>
      <c r="K1195" s="13">
        <v>1</v>
      </c>
      <c r="L1195" s="14">
        <v>4794</v>
      </c>
      <c r="M1195" s="10">
        <v>1975</v>
      </c>
      <c r="N1195" s="10">
        <v>529745</v>
      </c>
      <c r="O1195" s="10">
        <v>154877</v>
      </c>
      <c r="P1195" s="10">
        <v>684622</v>
      </c>
    </row>
    <row r="1196" spans="1:16" ht="27" customHeight="1" x14ac:dyDescent="0.2">
      <c r="A1196" s="9" t="s">
        <v>4302</v>
      </c>
      <c r="B1196" s="10" t="s">
        <v>4376</v>
      </c>
      <c r="C1196" s="11" t="s">
        <v>18</v>
      </c>
      <c r="D1196" s="11" t="s">
        <v>19</v>
      </c>
      <c r="E1196" s="11" t="s">
        <v>19</v>
      </c>
      <c r="F1196" s="11" t="s">
        <v>4377</v>
      </c>
      <c r="G1196" s="11" t="s">
        <v>83</v>
      </c>
      <c r="H1196" s="11" t="s">
        <v>4378</v>
      </c>
      <c r="I1196" s="11" t="s">
        <v>4379</v>
      </c>
      <c r="J1196" s="12">
        <v>0.95589999999999997</v>
      </c>
      <c r="K1196" s="13">
        <v>54</v>
      </c>
      <c r="L1196" s="14">
        <v>51060</v>
      </c>
      <c r="M1196" s="10">
        <v>36268</v>
      </c>
      <c r="N1196" s="10">
        <v>5642216</v>
      </c>
      <c r="O1196" s="10">
        <v>2844105</v>
      </c>
      <c r="P1196" s="10">
        <v>8486321</v>
      </c>
    </row>
    <row r="1197" spans="1:16" ht="27" customHeight="1" x14ac:dyDescent="0.2">
      <c r="A1197" s="9" t="s">
        <v>4302</v>
      </c>
      <c r="B1197" s="10" t="s">
        <v>4380</v>
      </c>
      <c r="C1197" s="11" t="s">
        <v>18</v>
      </c>
      <c r="D1197" s="11" t="s">
        <v>19</v>
      </c>
      <c r="E1197" s="11" t="s">
        <v>19</v>
      </c>
      <c r="F1197" s="11" t="s">
        <v>4381</v>
      </c>
      <c r="G1197" s="11" t="s">
        <v>83</v>
      </c>
      <c r="H1197" s="11" t="s">
        <v>4382</v>
      </c>
      <c r="I1197" s="11" t="s">
        <v>4383</v>
      </c>
      <c r="J1197" s="12">
        <v>0.68</v>
      </c>
      <c r="K1197" s="13">
        <v>2</v>
      </c>
      <c r="L1197" s="14">
        <v>26</v>
      </c>
      <c r="M1197" s="10">
        <v>18</v>
      </c>
      <c r="N1197" s="10">
        <v>2874</v>
      </c>
      <c r="O1197" s="10">
        <v>1411</v>
      </c>
      <c r="P1197" s="10">
        <v>4285</v>
      </c>
    </row>
    <row r="1198" spans="1:16" ht="27" customHeight="1" x14ac:dyDescent="0.2">
      <c r="A1198" s="9" t="s">
        <v>4302</v>
      </c>
      <c r="B1198" s="10" t="s">
        <v>4384</v>
      </c>
      <c r="C1198" s="11" t="s">
        <v>18</v>
      </c>
      <c r="D1198" s="11" t="s">
        <v>19</v>
      </c>
      <c r="E1198" s="11" t="s">
        <v>19</v>
      </c>
      <c r="F1198" s="11" t="s">
        <v>4385</v>
      </c>
      <c r="G1198" s="11" t="s">
        <v>83</v>
      </c>
      <c r="H1198" s="11" t="s">
        <v>4386</v>
      </c>
      <c r="I1198" s="11" t="s">
        <v>4387</v>
      </c>
      <c r="J1198" s="12">
        <v>0.91310000000000002</v>
      </c>
      <c r="K1198" s="13">
        <v>34</v>
      </c>
      <c r="L1198" s="14">
        <v>24616</v>
      </c>
      <c r="M1198" s="10">
        <v>18706</v>
      </c>
      <c r="N1198" s="10">
        <v>2720106</v>
      </c>
      <c r="O1198" s="10">
        <v>1466906</v>
      </c>
      <c r="P1198" s="10">
        <v>4187012</v>
      </c>
    </row>
    <row r="1199" spans="1:16" ht="27" customHeight="1" x14ac:dyDescent="0.2">
      <c r="A1199" s="9" t="s">
        <v>4302</v>
      </c>
      <c r="B1199" s="10" t="s">
        <v>4384</v>
      </c>
      <c r="C1199" s="11" t="s">
        <v>4388</v>
      </c>
      <c r="D1199" s="11" t="s">
        <v>4389</v>
      </c>
      <c r="E1199" s="11" t="s">
        <v>57</v>
      </c>
      <c r="F1199" s="11" t="s">
        <v>4390</v>
      </c>
      <c r="G1199" s="11" t="s">
        <v>28</v>
      </c>
      <c r="H1199" s="11" t="s">
        <v>4390</v>
      </c>
      <c r="I1199" s="11" t="s">
        <v>4391</v>
      </c>
      <c r="J1199" s="12">
        <v>0.49009999999999998</v>
      </c>
      <c r="K1199" s="13">
        <v>1</v>
      </c>
      <c r="L1199" s="14">
        <v>755</v>
      </c>
      <c r="M1199" s="10">
        <v>370</v>
      </c>
      <c r="N1199" s="10">
        <v>83429</v>
      </c>
      <c r="O1199" s="10">
        <v>29015</v>
      </c>
      <c r="P1199" s="10">
        <v>112444</v>
      </c>
    </row>
    <row r="1200" spans="1:16" ht="27" customHeight="1" x14ac:dyDescent="0.2">
      <c r="A1200" s="9" t="s">
        <v>4302</v>
      </c>
      <c r="B1200" s="10" t="s">
        <v>4384</v>
      </c>
      <c r="C1200" s="11" t="s">
        <v>4392</v>
      </c>
      <c r="D1200" s="11" t="s">
        <v>4393</v>
      </c>
      <c r="E1200" s="11" t="s">
        <v>57</v>
      </c>
      <c r="F1200" s="11" t="s">
        <v>4394</v>
      </c>
      <c r="G1200" s="11" t="s">
        <v>28</v>
      </c>
      <c r="H1200" s="11" t="s">
        <v>4305</v>
      </c>
      <c r="I1200" s="11" t="s">
        <v>4306</v>
      </c>
      <c r="J1200" s="12">
        <v>0.98470000000000002</v>
      </c>
      <c r="K1200" s="13">
        <v>1</v>
      </c>
      <c r="L1200" s="14">
        <v>1347</v>
      </c>
      <c r="M1200" s="10">
        <v>812</v>
      </c>
      <c r="N1200" s="10">
        <v>148846</v>
      </c>
      <c r="O1200" s="10">
        <v>63676</v>
      </c>
      <c r="P1200" s="10">
        <v>212522</v>
      </c>
    </row>
    <row r="1201" spans="1:16" ht="27" customHeight="1" x14ac:dyDescent="0.2">
      <c r="A1201" s="9" t="s">
        <v>4302</v>
      </c>
      <c r="B1201" s="10" t="s">
        <v>4395</v>
      </c>
      <c r="C1201" s="11" t="s">
        <v>18</v>
      </c>
      <c r="D1201" s="11" t="s">
        <v>19</v>
      </c>
      <c r="E1201" s="11" t="s">
        <v>19</v>
      </c>
      <c r="F1201" s="11" t="s">
        <v>4396</v>
      </c>
      <c r="G1201" s="11" t="s">
        <v>83</v>
      </c>
      <c r="H1201" s="11" t="s">
        <v>4397</v>
      </c>
      <c r="I1201" s="11" t="s">
        <v>4398</v>
      </c>
      <c r="J1201" s="12">
        <v>0.95479999999999998</v>
      </c>
      <c r="K1201" s="13">
        <v>27</v>
      </c>
      <c r="L1201" s="14">
        <v>21810</v>
      </c>
      <c r="M1201" s="10">
        <v>18821</v>
      </c>
      <c r="N1201" s="10">
        <v>2410043</v>
      </c>
      <c r="O1201" s="10">
        <v>1475927</v>
      </c>
      <c r="P1201" s="10">
        <v>3885970</v>
      </c>
    </row>
    <row r="1202" spans="1:16" ht="27" customHeight="1" x14ac:dyDescent="0.2">
      <c r="A1202" s="9" t="s">
        <v>4302</v>
      </c>
      <c r="B1202" s="10" t="s">
        <v>4395</v>
      </c>
      <c r="C1202" s="11" t="s">
        <v>4399</v>
      </c>
      <c r="D1202" s="11" t="s">
        <v>4400</v>
      </c>
      <c r="E1202" s="11" t="s">
        <v>57</v>
      </c>
      <c r="F1202" s="11" t="s">
        <v>4401</v>
      </c>
      <c r="G1202" s="11" t="s">
        <v>28</v>
      </c>
      <c r="H1202" s="11" t="s">
        <v>4401</v>
      </c>
      <c r="I1202" s="11" t="s">
        <v>4402</v>
      </c>
      <c r="J1202" s="12">
        <v>0.56299999999999994</v>
      </c>
      <c r="K1202" s="13">
        <v>1</v>
      </c>
      <c r="L1202" s="14">
        <v>746</v>
      </c>
      <c r="M1202" s="10">
        <v>420</v>
      </c>
      <c r="N1202" s="10">
        <v>82434</v>
      </c>
      <c r="O1202" s="10">
        <v>32936</v>
      </c>
      <c r="P1202" s="10">
        <v>115370</v>
      </c>
    </row>
    <row r="1203" spans="1:16" ht="27" customHeight="1" x14ac:dyDescent="0.2">
      <c r="A1203" s="9" t="s">
        <v>4302</v>
      </c>
      <c r="B1203" s="10" t="s">
        <v>4403</v>
      </c>
      <c r="C1203" s="11" t="s">
        <v>18</v>
      </c>
      <c r="D1203" s="11" t="s">
        <v>19</v>
      </c>
      <c r="E1203" s="11" t="s">
        <v>19</v>
      </c>
      <c r="F1203" s="11" t="s">
        <v>4404</v>
      </c>
      <c r="G1203" s="11" t="s">
        <v>83</v>
      </c>
      <c r="H1203" s="11" t="s">
        <v>4405</v>
      </c>
      <c r="I1203" s="11" t="s">
        <v>4406</v>
      </c>
      <c r="J1203" s="12">
        <v>0.95309999999999995</v>
      </c>
      <c r="K1203" s="13">
        <v>26</v>
      </c>
      <c r="L1203" s="14">
        <v>18539</v>
      </c>
      <c r="M1203" s="10">
        <v>14418</v>
      </c>
      <c r="N1203" s="10">
        <v>2048590</v>
      </c>
      <c r="O1203" s="10">
        <v>1130645</v>
      </c>
      <c r="P1203" s="10">
        <v>3179235</v>
      </c>
    </row>
    <row r="1204" spans="1:16" ht="27" customHeight="1" x14ac:dyDescent="0.2">
      <c r="A1204" s="9" t="s">
        <v>4302</v>
      </c>
      <c r="B1204" s="10" t="s">
        <v>4407</v>
      </c>
      <c r="C1204" s="11" t="s">
        <v>18</v>
      </c>
      <c r="D1204" s="11" t="s">
        <v>19</v>
      </c>
      <c r="E1204" s="11" t="s">
        <v>19</v>
      </c>
      <c r="F1204" s="11" t="s">
        <v>4408</v>
      </c>
      <c r="G1204" s="11" t="s">
        <v>83</v>
      </c>
      <c r="H1204" s="11" t="s">
        <v>4409</v>
      </c>
      <c r="I1204" s="11" t="s">
        <v>4410</v>
      </c>
      <c r="J1204" s="12">
        <v>0.81210000000000004</v>
      </c>
      <c r="K1204" s="13">
        <v>18</v>
      </c>
      <c r="L1204" s="14">
        <v>11986</v>
      </c>
      <c r="M1204" s="10">
        <v>7105</v>
      </c>
      <c r="N1204" s="10">
        <v>1324474</v>
      </c>
      <c r="O1204" s="10">
        <v>557168</v>
      </c>
      <c r="P1204" s="10">
        <v>1881642</v>
      </c>
    </row>
    <row r="1205" spans="1:16" ht="27" customHeight="1" x14ac:dyDescent="0.2">
      <c r="A1205" s="9" t="s">
        <v>4302</v>
      </c>
      <c r="B1205" s="10" t="s">
        <v>4407</v>
      </c>
      <c r="C1205" s="11" t="s">
        <v>4411</v>
      </c>
      <c r="D1205" s="11" t="s">
        <v>4412</v>
      </c>
      <c r="E1205" s="11" t="s">
        <v>26</v>
      </c>
      <c r="F1205" s="11" t="s">
        <v>4413</v>
      </c>
      <c r="G1205" s="11" t="s">
        <v>28</v>
      </c>
      <c r="H1205" s="11" t="s">
        <v>4413</v>
      </c>
      <c r="I1205" s="11" t="s">
        <v>4414</v>
      </c>
      <c r="J1205" s="12">
        <v>0.26829999999999998</v>
      </c>
      <c r="K1205" s="13">
        <v>1</v>
      </c>
      <c r="L1205" s="14">
        <v>1569</v>
      </c>
      <c r="M1205" s="10">
        <v>421</v>
      </c>
      <c r="N1205" s="10">
        <v>173377</v>
      </c>
      <c r="O1205" s="10">
        <v>33014</v>
      </c>
      <c r="P1205" s="10">
        <v>206391</v>
      </c>
    </row>
    <row r="1206" spans="1:16" ht="27" customHeight="1" x14ac:dyDescent="0.2">
      <c r="A1206" s="9" t="s">
        <v>4302</v>
      </c>
      <c r="B1206" s="10" t="s">
        <v>4415</v>
      </c>
      <c r="C1206" s="11" t="s">
        <v>18</v>
      </c>
      <c r="D1206" s="11" t="s">
        <v>19</v>
      </c>
      <c r="E1206" s="11" t="s">
        <v>19</v>
      </c>
      <c r="F1206" s="11" t="s">
        <v>4416</v>
      </c>
      <c r="G1206" s="11" t="s">
        <v>83</v>
      </c>
      <c r="H1206" s="11" t="s">
        <v>4417</v>
      </c>
      <c r="I1206" s="11" t="s">
        <v>4418</v>
      </c>
      <c r="J1206" s="12">
        <v>0.87429999999999997</v>
      </c>
      <c r="K1206" s="13">
        <v>40</v>
      </c>
      <c r="L1206" s="14">
        <v>31841</v>
      </c>
      <c r="M1206" s="10">
        <v>22340</v>
      </c>
      <c r="N1206" s="10">
        <v>3518485</v>
      </c>
      <c r="O1206" s="10">
        <v>1751881</v>
      </c>
      <c r="P1206" s="10">
        <v>5270366</v>
      </c>
    </row>
    <row r="1207" spans="1:16" ht="27" customHeight="1" x14ac:dyDescent="0.2">
      <c r="A1207" s="9" t="s">
        <v>4302</v>
      </c>
      <c r="B1207" s="10" t="s">
        <v>4419</v>
      </c>
      <c r="C1207" s="11" t="s">
        <v>18</v>
      </c>
      <c r="D1207" s="11" t="s">
        <v>19</v>
      </c>
      <c r="E1207" s="11" t="s">
        <v>19</v>
      </c>
      <c r="F1207" s="11" t="s">
        <v>4420</v>
      </c>
      <c r="G1207" s="11" t="s">
        <v>83</v>
      </c>
      <c r="H1207" s="11" t="s">
        <v>4421</v>
      </c>
      <c r="I1207" s="11" t="s">
        <v>4422</v>
      </c>
      <c r="J1207" s="12">
        <v>0.85150000000000003</v>
      </c>
      <c r="K1207" s="13">
        <v>4</v>
      </c>
      <c r="L1207" s="14">
        <v>1620</v>
      </c>
      <c r="M1207" s="10">
        <v>1300</v>
      </c>
      <c r="N1207" s="10">
        <v>179014</v>
      </c>
      <c r="O1207" s="10">
        <v>101945</v>
      </c>
      <c r="P1207" s="10">
        <v>280959</v>
      </c>
    </row>
    <row r="1208" spans="1:16" ht="27" customHeight="1" x14ac:dyDescent="0.2">
      <c r="A1208" s="9" t="s">
        <v>4302</v>
      </c>
      <c r="B1208" s="10" t="s">
        <v>4419</v>
      </c>
      <c r="C1208" s="11" t="s">
        <v>4423</v>
      </c>
      <c r="D1208" s="11" t="s">
        <v>4424</v>
      </c>
      <c r="E1208" s="11" t="s">
        <v>57</v>
      </c>
      <c r="F1208" s="11" t="s">
        <v>4425</v>
      </c>
      <c r="G1208" s="11" t="s">
        <v>28</v>
      </c>
      <c r="H1208" s="11" t="s">
        <v>4305</v>
      </c>
      <c r="I1208" s="11" t="s">
        <v>4306</v>
      </c>
      <c r="J1208" s="12">
        <v>0.98470000000000002</v>
      </c>
      <c r="K1208" s="13">
        <v>1</v>
      </c>
      <c r="L1208" s="14">
        <v>661</v>
      </c>
      <c r="M1208" s="10">
        <v>459</v>
      </c>
      <c r="N1208" s="10">
        <v>73042</v>
      </c>
      <c r="O1208" s="10">
        <v>35994</v>
      </c>
      <c r="P1208" s="10">
        <v>109036</v>
      </c>
    </row>
    <row r="1209" spans="1:16" ht="27" customHeight="1" x14ac:dyDescent="0.2">
      <c r="A1209" s="9" t="s">
        <v>4302</v>
      </c>
      <c r="B1209" s="10" t="s">
        <v>4426</v>
      </c>
      <c r="C1209" s="11" t="s">
        <v>18</v>
      </c>
      <c r="D1209" s="11" t="s">
        <v>19</v>
      </c>
      <c r="E1209" s="11" t="s">
        <v>19</v>
      </c>
      <c r="F1209" s="11" t="s">
        <v>4427</v>
      </c>
      <c r="G1209" s="11" t="s">
        <v>83</v>
      </c>
      <c r="H1209" s="11" t="s">
        <v>4305</v>
      </c>
      <c r="I1209" s="11" t="s">
        <v>4306</v>
      </c>
      <c r="J1209" s="12">
        <v>0.98470000000000002</v>
      </c>
      <c r="K1209" s="13">
        <v>28</v>
      </c>
      <c r="L1209" s="14">
        <v>20511</v>
      </c>
      <c r="M1209" s="10">
        <v>19918</v>
      </c>
      <c r="N1209" s="10">
        <v>2266503</v>
      </c>
      <c r="O1209" s="10">
        <v>1561951</v>
      </c>
      <c r="P1209" s="10">
        <v>3828454</v>
      </c>
    </row>
    <row r="1210" spans="1:16" ht="27" customHeight="1" x14ac:dyDescent="0.2">
      <c r="A1210" s="9" t="s">
        <v>4302</v>
      </c>
      <c r="B1210" s="10" t="s">
        <v>4426</v>
      </c>
      <c r="C1210" s="11" t="s">
        <v>4428</v>
      </c>
      <c r="D1210" s="11" t="s">
        <v>4429</v>
      </c>
      <c r="E1210" s="11" t="s">
        <v>57</v>
      </c>
      <c r="F1210" s="11" t="s">
        <v>4430</v>
      </c>
      <c r="G1210" s="11" t="s">
        <v>28</v>
      </c>
      <c r="H1210" s="11" t="s">
        <v>4430</v>
      </c>
      <c r="I1210" s="11" t="s">
        <v>4431</v>
      </c>
      <c r="J1210" s="12">
        <v>0.94269999999999998</v>
      </c>
      <c r="K1210" s="13">
        <v>1</v>
      </c>
      <c r="L1210" s="14">
        <v>872</v>
      </c>
      <c r="M1210" s="10">
        <v>822</v>
      </c>
      <c r="N1210" s="10">
        <v>96357</v>
      </c>
      <c r="O1210" s="10">
        <v>64460</v>
      </c>
      <c r="P1210" s="10">
        <v>160817</v>
      </c>
    </row>
    <row r="1211" spans="1:16" ht="27" customHeight="1" x14ac:dyDescent="0.2">
      <c r="A1211" s="9" t="s">
        <v>4302</v>
      </c>
      <c r="B1211" s="10" t="s">
        <v>4432</v>
      </c>
      <c r="C1211" s="11" t="s">
        <v>18</v>
      </c>
      <c r="D1211" s="11" t="s">
        <v>19</v>
      </c>
      <c r="E1211" s="11" t="s">
        <v>19</v>
      </c>
      <c r="F1211" s="11" t="s">
        <v>4433</v>
      </c>
      <c r="G1211" s="11" t="s">
        <v>83</v>
      </c>
      <c r="H1211" s="11" t="s">
        <v>4434</v>
      </c>
      <c r="I1211" s="11" t="s">
        <v>4435</v>
      </c>
      <c r="J1211" s="12">
        <v>0.87460000000000004</v>
      </c>
      <c r="K1211" s="13">
        <v>7</v>
      </c>
      <c r="L1211" s="14">
        <v>2834</v>
      </c>
      <c r="M1211" s="10">
        <v>2317</v>
      </c>
      <c r="N1211" s="10">
        <v>313162</v>
      </c>
      <c r="O1211" s="10">
        <v>181697</v>
      </c>
      <c r="P1211" s="10">
        <v>494859</v>
      </c>
    </row>
    <row r="1212" spans="1:16" ht="27" customHeight="1" x14ac:dyDescent="0.2">
      <c r="A1212" s="9" t="s">
        <v>4302</v>
      </c>
      <c r="B1212" s="10" t="s">
        <v>4432</v>
      </c>
      <c r="C1212" s="11" t="s">
        <v>4436</v>
      </c>
      <c r="D1212" s="11" t="s">
        <v>4437</v>
      </c>
      <c r="E1212" s="11" t="s">
        <v>26</v>
      </c>
      <c r="F1212" s="11" t="s">
        <v>4438</v>
      </c>
      <c r="G1212" s="11" t="s">
        <v>28</v>
      </c>
      <c r="H1212" s="11" t="s">
        <v>4438</v>
      </c>
      <c r="I1212" s="11" t="s">
        <v>4439</v>
      </c>
      <c r="J1212" s="12">
        <v>0.58789999999999998</v>
      </c>
      <c r="K1212" s="13">
        <v>1</v>
      </c>
      <c r="L1212" s="14">
        <v>956</v>
      </c>
      <c r="M1212" s="10">
        <v>562</v>
      </c>
      <c r="N1212" s="10">
        <v>105640</v>
      </c>
      <c r="O1212" s="10">
        <v>44071</v>
      </c>
      <c r="P1212" s="10">
        <v>149711</v>
      </c>
    </row>
    <row r="1213" spans="1:16" ht="27" customHeight="1" x14ac:dyDescent="0.2">
      <c r="A1213" s="9" t="s">
        <v>4302</v>
      </c>
      <c r="B1213" s="10" t="s">
        <v>4440</v>
      </c>
      <c r="C1213" s="11" t="s">
        <v>18</v>
      </c>
      <c r="D1213" s="11" t="s">
        <v>19</v>
      </c>
      <c r="E1213" s="11" t="s">
        <v>19</v>
      </c>
      <c r="F1213" s="11" t="s">
        <v>4441</v>
      </c>
      <c r="G1213" s="11" t="s">
        <v>83</v>
      </c>
      <c r="H1213" s="11" t="s">
        <v>4441</v>
      </c>
      <c r="I1213" s="11" t="s">
        <v>4442</v>
      </c>
      <c r="J1213" s="12">
        <v>0.86839999999999995</v>
      </c>
      <c r="K1213" s="13">
        <v>9</v>
      </c>
      <c r="L1213" s="14">
        <v>4904</v>
      </c>
      <c r="M1213" s="10">
        <v>4147</v>
      </c>
      <c r="N1213" s="10">
        <v>541899</v>
      </c>
      <c r="O1213" s="10">
        <v>325203</v>
      </c>
      <c r="P1213" s="10">
        <v>867102</v>
      </c>
    </row>
    <row r="1214" spans="1:16" ht="27" customHeight="1" x14ac:dyDescent="0.2">
      <c r="A1214" s="9" t="s">
        <v>4302</v>
      </c>
      <c r="B1214" s="10" t="s">
        <v>4440</v>
      </c>
      <c r="C1214" s="11" t="s">
        <v>4443</v>
      </c>
      <c r="D1214" s="11" t="s">
        <v>4444</v>
      </c>
      <c r="E1214" s="11" t="s">
        <v>57</v>
      </c>
      <c r="F1214" s="11" t="s">
        <v>4445</v>
      </c>
      <c r="G1214" s="11" t="s">
        <v>28</v>
      </c>
      <c r="H1214" s="11" t="s">
        <v>4445</v>
      </c>
      <c r="I1214" s="11" t="s">
        <v>4446</v>
      </c>
      <c r="J1214" s="12">
        <v>0.84179999999999999</v>
      </c>
      <c r="K1214" s="13">
        <v>1</v>
      </c>
      <c r="L1214" s="14">
        <v>904</v>
      </c>
      <c r="M1214" s="10">
        <v>761</v>
      </c>
      <c r="N1214" s="10">
        <v>99893</v>
      </c>
      <c r="O1214" s="10">
        <v>59677</v>
      </c>
      <c r="P1214" s="10">
        <v>159570</v>
      </c>
    </row>
    <row r="1215" spans="1:16" ht="27" customHeight="1" x14ac:dyDescent="0.2">
      <c r="A1215" s="9" t="s">
        <v>4302</v>
      </c>
      <c r="B1215" s="10" t="s">
        <v>4447</v>
      </c>
      <c r="C1215" s="11" t="s">
        <v>18</v>
      </c>
      <c r="D1215" s="11" t="s">
        <v>19</v>
      </c>
      <c r="E1215" s="11" t="s">
        <v>19</v>
      </c>
      <c r="F1215" s="11" t="s">
        <v>4448</v>
      </c>
      <c r="G1215" s="11" t="s">
        <v>83</v>
      </c>
      <c r="H1215" s="11" t="s">
        <v>4305</v>
      </c>
      <c r="I1215" s="11" t="s">
        <v>4306</v>
      </c>
      <c r="J1215" s="12">
        <v>0.98470000000000002</v>
      </c>
      <c r="K1215" s="13">
        <v>9</v>
      </c>
      <c r="L1215" s="14">
        <v>10706</v>
      </c>
      <c r="M1215" s="10">
        <v>7788</v>
      </c>
      <c r="N1215" s="10">
        <v>1183030</v>
      </c>
      <c r="O1215" s="10">
        <v>610727</v>
      </c>
      <c r="P1215" s="10">
        <v>1793757</v>
      </c>
    </row>
    <row r="1216" spans="1:16" ht="27" customHeight="1" x14ac:dyDescent="0.2">
      <c r="A1216" s="9" t="s">
        <v>4302</v>
      </c>
      <c r="B1216" s="10" t="s">
        <v>4447</v>
      </c>
      <c r="C1216" s="11" t="s">
        <v>4449</v>
      </c>
      <c r="D1216" s="11" t="s">
        <v>4450</v>
      </c>
      <c r="E1216" s="11" t="s">
        <v>57</v>
      </c>
      <c r="F1216" s="11" t="s">
        <v>4451</v>
      </c>
      <c r="G1216" s="11" t="s">
        <v>28</v>
      </c>
      <c r="H1216" s="11" t="s">
        <v>4451</v>
      </c>
      <c r="I1216" s="11" t="s">
        <v>4452</v>
      </c>
      <c r="J1216" s="12">
        <v>0.89259999999999995</v>
      </c>
      <c r="K1216" s="13">
        <v>1</v>
      </c>
      <c r="L1216" s="14">
        <v>1006</v>
      </c>
      <c r="M1216" s="10">
        <v>898</v>
      </c>
      <c r="N1216" s="10">
        <v>111165</v>
      </c>
      <c r="O1216" s="10">
        <v>70420</v>
      </c>
      <c r="P1216" s="10">
        <v>181585</v>
      </c>
    </row>
    <row r="1217" spans="1:16" ht="27" customHeight="1" x14ac:dyDescent="0.2">
      <c r="A1217" s="9" t="s">
        <v>4302</v>
      </c>
      <c r="B1217" s="10" t="s">
        <v>4453</v>
      </c>
      <c r="C1217" s="11" t="s">
        <v>18</v>
      </c>
      <c r="D1217" s="11" t="s">
        <v>19</v>
      </c>
      <c r="E1217" s="11" t="s">
        <v>19</v>
      </c>
      <c r="F1217" s="11" t="s">
        <v>4454</v>
      </c>
      <c r="G1217" s="11" t="s">
        <v>83</v>
      </c>
      <c r="H1217" s="11" t="s">
        <v>4455</v>
      </c>
      <c r="I1217" s="11" t="s">
        <v>4456</v>
      </c>
      <c r="J1217" s="12">
        <v>0.92669999999999997</v>
      </c>
      <c r="K1217" s="13">
        <v>50</v>
      </c>
      <c r="L1217" s="14">
        <v>40068</v>
      </c>
      <c r="M1217" s="10">
        <v>29123</v>
      </c>
      <c r="N1217" s="10">
        <v>4427579</v>
      </c>
      <c r="O1217" s="10">
        <v>2283796</v>
      </c>
      <c r="P1217" s="10">
        <v>6711375</v>
      </c>
    </row>
    <row r="1218" spans="1:16" ht="27" customHeight="1" x14ac:dyDescent="0.2">
      <c r="A1218" s="9" t="s">
        <v>4302</v>
      </c>
      <c r="B1218" s="10" t="s">
        <v>4453</v>
      </c>
      <c r="C1218" s="11" t="s">
        <v>4457</v>
      </c>
      <c r="D1218" s="11" t="s">
        <v>4458</v>
      </c>
      <c r="E1218" s="11" t="s">
        <v>26</v>
      </c>
      <c r="F1218" s="11" t="s">
        <v>4459</v>
      </c>
      <c r="G1218" s="11" t="s">
        <v>28</v>
      </c>
      <c r="H1218" s="11" t="s">
        <v>4459</v>
      </c>
      <c r="I1218" s="11" t="s">
        <v>4460</v>
      </c>
      <c r="J1218" s="12">
        <v>0.53039999999999998</v>
      </c>
      <c r="K1218" s="13">
        <v>1</v>
      </c>
      <c r="L1218" s="14">
        <v>624</v>
      </c>
      <c r="M1218" s="10">
        <v>331</v>
      </c>
      <c r="N1218" s="10">
        <v>68953</v>
      </c>
      <c r="O1218" s="10">
        <v>25957</v>
      </c>
      <c r="P1218" s="10">
        <v>94910</v>
      </c>
    </row>
    <row r="1219" spans="1:16" ht="27" customHeight="1" x14ac:dyDescent="0.2">
      <c r="A1219" s="9" t="s">
        <v>4302</v>
      </c>
      <c r="B1219" s="10" t="s">
        <v>4461</v>
      </c>
      <c r="C1219" s="11" t="s">
        <v>18</v>
      </c>
      <c r="D1219" s="11" t="s">
        <v>19</v>
      </c>
      <c r="E1219" s="11" t="s">
        <v>19</v>
      </c>
      <c r="F1219" s="11" t="s">
        <v>4462</v>
      </c>
      <c r="G1219" s="11" t="s">
        <v>83</v>
      </c>
      <c r="H1219" s="11" t="s">
        <v>4462</v>
      </c>
      <c r="I1219" s="11" t="s">
        <v>4463</v>
      </c>
      <c r="J1219" s="12">
        <v>0.91190000000000004</v>
      </c>
      <c r="K1219" s="13">
        <v>7</v>
      </c>
      <c r="L1219" s="14">
        <v>4577</v>
      </c>
      <c r="M1219" s="10">
        <v>3272</v>
      </c>
      <c r="N1219" s="10">
        <v>505767</v>
      </c>
      <c r="O1219" s="10">
        <v>256586</v>
      </c>
      <c r="P1219" s="10">
        <v>762353</v>
      </c>
    </row>
    <row r="1220" spans="1:16" ht="27" customHeight="1" x14ac:dyDescent="0.2">
      <c r="A1220" s="9" t="s">
        <v>4302</v>
      </c>
      <c r="B1220" s="10" t="s">
        <v>4464</v>
      </c>
      <c r="C1220" s="11" t="s">
        <v>18</v>
      </c>
      <c r="D1220" s="11" t="s">
        <v>19</v>
      </c>
      <c r="E1220" s="11" t="s">
        <v>19</v>
      </c>
      <c r="F1220" s="11" t="s">
        <v>4465</v>
      </c>
      <c r="G1220" s="11" t="s">
        <v>83</v>
      </c>
      <c r="H1220" s="11" t="s">
        <v>4466</v>
      </c>
      <c r="I1220" s="11" t="s">
        <v>4467</v>
      </c>
      <c r="J1220" s="12">
        <v>0.93100000000000005</v>
      </c>
      <c r="K1220" s="13">
        <v>17</v>
      </c>
      <c r="L1220" s="14">
        <v>10334</v>
      </c>
      <c r="M1220" s="10">
        <v>8779</v>
      </c>
      <c r="N1220" s="10">
        <v>1141922</v>
      </c>
      <c r="O1220" s="10">
        <v>688439</v>
      </c>
      <c r="P1220" s="10">
        <v>1830361</v>
      </c>
    </row>
    <row r="1221" spans="1:16" ht="27" customHeight="1" x14ac:dyDescent="0.2">
      <c r="A1221" s="9" t="s">
        <v>4302</v>
      </c>
      <c r="B1221" s="10" t="s">
        <v>4464</v>
      </c>
      <c r="C1221" s="11" t="s">
        <v>4468</v>
      </c>
      <c r="D1221" s="11" t="s">
        <v>4469</v>
      </c>
      <c r="E1221" s="11" t="s">
        <v>26</v>
      </c>
      <c r="F1221" s="11" t="s">
        <v>4470</v>
      </c>
      <c r="G1221" s="11" t="s">
        <v>28</v>
      </c>
      <c r="H1221" s="11" t="s">
        <v>4470</v>
      </c>
      <c r="I1221" s="11" t="s">
        <v>4471</v>
      </c>
      <c r="J1221" s="12">
        <v>0.58499999999999996</v>
      </c>
      <c r="K1221" s="13">
        <v>1</v>
      </c>
      <c r="L1221" s="14">
        <v>1571</v>
      </c>
      <c r="M1221" s="10">
        <v>919</v>
      </c>
      <c r="N1221" s="10">
        <v>173598</v>
      </c>
      <c r="O1221" s="10">
        <v>72067</v>
      </c>
      <c r="P1221" s="10">
        <v>245665</v>
      </c>
    </row>
    <row r="1222" spans="1:16" ht="27" customHeight="1" x14ac:dyDescent="0.2">
      <c r="A1222" s="9" t="s">
        <v>4302</v>
      </c>
      <c r="B1222" s="10" t="s">
        <v>4472</v>
      </c>
      <c r="C1222" s="11" t="s">
        <v>18</v>
      </c>
      <c r="D1222" s="11" t="s">
        <v>19</v>
      </c>
      <c r="E1222" s="11" t="s">
        <v>19</v>
      </c>
      <c r="F1222" s="11" t="s">
        <v>4473</v>
      </c>
      <c r="G1222" s="11" t="s">
        <v>83</v>
      </c>
      <c r="H1222" s="11" t="s">
        <v>4474</v>
      </c>
      <c r="I1222" s="11" t="s">
        <v>4475</v>
      </c>
      <c r="J1222" s="12">
        <v>0.96889999999999998</v>
      </c>
      <c r="K1222" s="13">
        <v>23</v>
      </c>
      <c r="L1222" s="14">
        <v>16611</v>
      </c>
      <c r="M1222" s="10">
        <v>15167</v>
      </c>
      <c r="N1222" s="10">
        <v>1835544</v>
      </c>
      <c r="O1222" s="10">
        <v>1189379</v>
      </c>
      <c r="P1222" s="10">
        <v>3024923</v>
      </c>
    </row>
    <row r="1223" spans="1:16" ht="27" customHeight="1" x14ac:dyDescent="0.2">
      <c r="A1223" s="9" t="s">
        <v>4302</v>
      </c>
      <c r="B1223" s="10" t="s">
        <v>4472</v>
      </c>
      <c r="C1223" s="11" t="s">
        <v>4476</v>
      </c>
      <c r="D1223" s="11" t="s">
        <v>4477</v>
      </c>
      <c r="E1223" s="11" t="s">
        <v>26</v>
      </c>
      <c r="F1223" s="11" t="s">
        <v>4478</v>
      </c>
      <c r="G1223" s="11" t="s">
        <v>28</v>
      </c>
      <c r="H1223" s="11" t="s">
        <v>4305</v>
      </c>
      <c r="I1223" s="11" t="s">
        <v>4306</v>
      </c>
      <c r="J1223" s="12">
        <v>0.98470000000000002</v>
      </c>
      <c r="K1223" s="13">
        <v>1</v>
      </c>
      <c r="L1223" s="14">
        <v>231</v>
      </c>
      <c r="M1223" s="10">
        <v>211</v>
      </c>
      <c r="N1223" s="10">
        <v>25526</v>
      </c>
      <c r="O1223" s="10">
        <v>16546</v>
      </c>
      <c r="P1223" s="10">
        <v>42072</v>
      </c>
    </row>
    <row r="1224" spans="1:16" ht="27" customHeight="1" x14ac:dyDescent="0.2">
      <c r="A1224" s="9" t="s">
        <v>4302</v>
      </c>
      <c r="B1224" s="10" t="s">
        <v>4479</v>
      </c>
      <c r="C1224" s="11" t="s">
        <v>18</v>
      </c>
      <c r="D1224" s="11" t="s">
        <v>19</v>
      </c>
      <c r="E1224" s="11" t="s">
        <v>19</v>
      </c>
      <c r="F1224" s="11" t="s">
        <v>4480</v>
      </c>
      <c r="G1224" s="11" t="s">
        <v>83</v>
      </c>
      <c r="H1224" s="11" t="s">
        <v>4481</v>
      </c>
      <c r="I1224" s="11" t="s">
        <v>4482</v>
      </c>
      <c r="J1224" s="12">
        <v>0.94789999999999996</v>
      </c>
      <c r="K1224" s="13">
        <v>26</v>
      </c>
      <c r="L1224" s="14">
        <v>21249</v>
      </c>
      <c r="M1224" s="10">
        <v>15153</v>
      </c>
      <c r="N1224" s="10">
        <v>2348052</v>
      </c>
      <c r="O1224" s="10">
        <v>1188282</v>
      </c>
      <c r="P1224" s="10">
        <v>3536334</v>
      </c>
    </row>
    <row r="1225" spans="1:16" ht="27" customHeight="1" x14ac:dyDescent="0.2">
      <c r="A1225" s="9" t="s">
        <v>4302</v>
      </c>
      <c r="B1225" s="10" t="s">
        <v>4479</v>
      </c>
      <c r="C1225" s="11" t="s">
        <v>4483</v>
      </c>
      <c r="D1225" s="11" t="s">
        <v>4484</v>
      </c>
      <c r="E1225" s="11" t="s">
        <v>26</v>
      </c>
      <c r="F1225" s="11" t="s">
        <v>4485</v>
      </c>
      <c r="G1225" s="11" t="s">
        <v>28</v>
      </c>
      <c r="H1225" s="11" t="s">
        <v>4485</v>
      </c>
      <c r="I1225" s="11" t="s">
        <v>4486</v>
      </c>
      <c r="J1225" s="12">
        <v>0.36880000000000002</v>
      </c>
      <c r="K1225" s="13">
        <v>1</v>
      </c>
      <c r="L1225" s="14">
        <v>507</v>
      </c>
      <c r="M1225" s="10">
        <v>187</v>
      </c>
      <c r="N1225" s="10">
        <v>56024</v>
      </c>
      <c r="O1225" s="10">
        <v>14664</v>
      </c>
      <c r="P1225" s="10">
        <v>70688</v>
      </c>
    </row>
    <row r="1226" spans="1:16" ht="27" customHeight="1" x14ac:dyDescent="0.2">
      <c r="A1226" s="9" t="s">
        <v>4302</v>
      </c>
      <c r="B1226" s="10" t="s">
        <v>4487</v>
      </c>
      <c r="C1226" s="11" t="s">
        <v>18</v>
      </c>
      <c r="D1226" s="11" t="s">
        <v>19</v>
      </c>
      <c r="E1226" s="11" t="s">
        <v>19</v>
      </c>
      <c r="F1226" s="11" t="s">
        <v>4488</v>
      </c>
      <c r="G1226" s="11" t="s">
        <v>83</v>
      </c>
      <c r="H1226" s="11" t="s">
        <v>4489</v>
      </c>
      <c r="I1226" s="11" t="s">
        <v>4490</v>
      </c>
      <c r="J1226" s="12">
        <v>0.64659999999999995</v>
      </c>
      <c r="K1226" s="13">
        <v>31</v>
      </c>
      <c r="L1226" s="14">
        <v>26704</v>
      </c>
      <c r="M1226" s="10">
        <v>7200</v>
      </c>
      <c r="N1226" s="10">
        <v>2950836</v>
      </c>
      <c r="O1226" s="10">
        <v>564615</v>
      </c>
      <c r="P1226" s="10">
        <v>3515451</v>
      </c>
    </row>
    <row r="1227" spans="1:16" ht="27" customHeight="1" x14ac:dyDescent="0.2">
      <c r="A1227" s="9" t="s">
        <v>4302</v>
      </c>
      <c r="B1227" s="10" t="s">
        <v>4487</v>
      </c>
      <c r="C1227" s="11" t="s">
        <v>4491</v>
      </c>
      <c r="D1227" s="11" t="s">
        <v>4492</v>
      </c>
      <c r="E1227" s="11" t="s">
        <v>26</v>
      </c>
      <c r="F1227" s="11" t="s">
        <v>4493</v>
      </c>
      <c r="G1227" s="11" t="s">
        <v>28</v>
      </c>
      <c r="H1227" s="11" t="s">
        <v>4493</v>
      </c>
      <c r="I1227" s="11" t="s">
        <v>4494</v>
      </c>
      <c r="J1227" s="12">
        <v>0.1668</v>
      </c>
      <c r="K1227" s="13">
        <v>1</v>
      </c>
      <c r="L1227" s="14">
        <v>1079</v>
      </c>
      <c r="M1227" s="10">
        <v>180</v>
      </c>
      <c r="N1227" s="10">
        <v>119231</v>
      </c>
      <c r="O1227" s="10">
        <v>14115</v>
      </c>
      <c r="P1227" s="10">
        <v>133346</v>
      </c>
    </row>
    <row r="1228" spans="1:16" ht="27" customHeight="1" x14ac:dyDescent="0.2">
      <c r="A1228" s="9" t="s">
        <v>4302</v>
      </c>
      <c r="B1228" s="10" t="s">
        <v>4487</v>
      </c>
      <c r="C1228" s="11" t="s">
        <v>4495</v>
      </c>
      <c r="D1228" s="11" t="s">
        <v>4496</v>
      </c>
      <c r="E1228" s="11" t="s">
        <v>26</v>
      </c>
      <c r="F1228" s="11" t="s">
        <v>4497</v>
      </c>
      <c r="G1228" s="11" t="s">
        <v>28</v>
      </c>
      <c r="H1228" s="11" t="s">
        <v>4497</v>
      </c>
      <c r="I1228" s="11" t="s">
        <v>4498</v>
      </c>
      <c r="J1228" s="12">
        <v>0.1585</v>
      </c>
      <c r="K1228" s="13">
        <v>1</v>
      </c>
      <c r="L1228" s="14">
        <v>530</v>
      </c>
      <c r="M1228" s="10">
        <v>84</v>
      </c>
      <c r="N1228" s="10">
        <v>58566</v>
      </c>
      <c r="O1228" s="10">
        <v>6587</v>
      </c>
      <c r="P1228" s="10">
        <v>65153</v>
      </c>
    </row>
    <row r="1229" spans="1:16" ht="27" customHeight="1" x14ac:dyDescent="0.2">
      <c r="A1229" s="9" t="s">
        <v>4302</v>
      </c>
      <c r="B1229" s="10" t="s">
        <v>4499</v>
      </c>
      <c r="C1229" s="11" t="s">
        <v>18</v>
      </c>
      <c r="D1229" s="11" t="s">
        <v>19</v>
      </c>
      <c r="E1229" s="11" t="s">
        <v>19</v>
      </c>
      <c r="F1229" s="11" t="s">
        <v>4500</v>
      </c>
      <c r="G1229" s="11" t="s">
        <v>83</v>
      </c>
      <c r="H1229" s="11" t="s">
        <v>4501</v>
      </c>
      <c r="I1229" s="11" t="s">
        <v>4502</v>
      </c>
      <c r="J1229" s="12">
        <v>0.64639999999999997</v>
      </c>
      <c r="K1229" s="13">
        <v>22</v>
      </c>
      <c r="L1229" s="14">
        <v>22722</v>
      </c>
      <c r="M1229" s="10">
        <v>11036</v>
      </c>
      <c r="N1229" s="10">
        <v>2510819</v>
      </c>
      <c r="O1229" s="10">
        <v>865429</v>
      </c>
      <c r="P1229" s="10">
        <v>3376248</v>
      </c>
    </row>
    <row r="1230" spans="1:16" ht="27" customHeight="1" x14ac:dyDescent="0.2">
      <c r="A1230" s="9" t="s">
        <v>4302</v>
      </c>
      <c r="B1230" s="10" t="s">
        <v>4503</v>
      </c>
      <c r="C1230" s="11" t="s">
        <v>18</v>
      </c>
      <c r="D1230" s="11" t="s">
        <v>19</v>
      </c>
      <c r="E1230" s="11" t="s">
        <v>19</v>
      </c>
      <c r="F1230" s="11" t="s">
        <v>4504</v>
      </c>
      <c r="G1230" s="11" t="s">
        <v>83</v>
      </c>
      <c r="H1230" s="11" t="s">
        <v>1879</v>
      </c>
      <c r="I1230" s="11" t="s">
        <v>4505</v>
      </c>
      <c r="J1230" s="12">
        <v>0.97270000000000001</v>
      </c>
      <c r="K1230" s="13">
        <v>24</v>
      </c>
      <c r="L1230" s="14">
        <v>19701</v>
      </c>
      <c r="M1230" s="10">
        <v>17240</v>
      </c>
      <c r="N1230" s="10">
        <v>2176993</v>
      </c>
      <c r="O1230" s="10">
        <v>1351943</v>
      </c>
      <c r="P1230" s="10">
        <v>3528936</v>
      </c>
    </row>
    <row r="1231" spans="1:16" ht="27" customHeight="1" x14ac:dyDescent="0.2">
      <c r="A1231" s="9" t="s">
        <v>4506</v>
      </c>
      <c r="B1231" s="10" t="s">
        <v>4507</v>
      </c>
      <c r="C1231" s="11" t="s">
        <v>18</v>
      </c>
      <c r="D1231" s="11" t="s">
        <v>19</v>
      </c>
      <c r="E1231" s="11" t="s">
        <v>19</v>
      </c>
      <c r="F1231" s="11" t="s">
        <v>4508</v>
      </c>
      <c r="G1231" s="11" t="s">
        <v>21</v>
      </c>
      <c r="H1231" s="11" t="s">
        <v>4509</v>
      </c>
      <c r="I1231" s="11" t="s">
        <v>4510</v>
      </c>
      <c r="J1231" s="12">
        <v>0.96040000000000003</v>
      </c>
      <c r="K1231" s="13">
        <v>7</v>
      </c>
      <c r="L1231" s="14">
        <v>961</v>
      </c>
      <c r="M1231" s="10">
        <v>606</v>
      </c>
      <c r="N1231" s="10">
        <v>106192</v>
      </c>
      <c r="O1231" s="10">
        <v>47521</v>
      </c>
      <c r="P1231" s="10">
        <v>153713</v>
      </c>
    </row>
    <row r="1232" spans="1:16" ht="27" customHeight="1" x14ac:dyDescent="0.2">
      <c r="A1232" s="9" t="s">
        <v>4506</v>
      </c>
      <c r="B1232" s="10" t="s">
        <v>4507</v>
      </c>
      <c r="C1232" s="11" t="s">
        <v>4511</v>
      </c>
      <c r="D1232" s="11" t="s">
        <v>4512</v>
      </c>
      <c r="E1232" s="11" t="s">
        <v>26</v>
      </c>
      <c r="F1232" s="11" t="s">
        <v>4513</v>
      </c>
      <c r="G1232" s="11" t="s">
        <v>28</v>
      </c>
      <c r="H1232" s="11" t="s">
        <v>4513</v>
      </c>
      <c r="I1232" s="11" t="s">
        <v>4514</v>
      </c>
      <c r="J1232" s="12">
        <v>0.72940000000000005</v>
      </c>
      <c r="K1232" s="13">
        <v>1</v>
      </c>
      <c r="L1232" s="14">
        <v>1866</v>
      </c>
      <c r="M1232" s="10">
        <v>1361</v>
      </c>
      <c r="N1232" s="10">
        <v>206196</v>
      </c>
      <c r="O1232" s="10">
        <v>106728</v>
      </c>
      <c r="P1232" s="10">
        <v>312924</v>
      </c>
    </row>
    <row r="1233" spans="1:16" ht="27" customHeight="1" x14ac:dyDescent="0.2">
      <c r="A1233" s="9" t="s">
        <v>4506</v>
      </c>
      <c r="B1233" s="10" t="s">
        <v>4507</v>
      </c>
      <c r="C1233" s="11" t="s">
        <v>4515</v>
      </c>
      <c r="D1233" s="11" t="s">
        <v>4516</v>
      </c>
      <c r="E1233" s="11" t="s">
        <v>26</v>
      </c>
      <c r="F1233" s="11" t="s">
        <v>4517</v>
      </c>
      <c r="G1233" s="11" t="s">
        <v>28</v>
      </c>
      <c r="H1233" s="11" t="s">
        <v>4517</v>
      </c>
      <c r="I1233" s="11" t="s">
        <v>4518</v>
      </c>
      <c r="J1233" s="12">
        <v>0.33750000000000002</v>
      </c>
      <c r="K1233" s="13">
        <v>1</v>
      </c>
      <c r="L1233" s="14">
        <v>80</v>
      </c>
      <c r="M1233" s="10">
        <v>27</v>
      </c>
      <c r="N1233" s="10">
        <v>8840</v>
      </c>
      <c r="O1233" s="10">
        <v>2117</v>
      </c>
      <c r="P1233" s="10">
        <v>10957</v>
      </c>
    </row>
    <row r="1234" spans="1:16" ht="27" customHeight="1" x14ac:dyDescent="0.2">
      <c r="A1234" s="9" t="s">
        <v>4506</v>
      </c>
      <c r="B1234" s="10" t="s">
        <v>4507</v>
      </c>
      <c r="C1234" s="11" t="s">
        <v>4519</v>
      </c>
      <c r="D1234" s="11" t="s">
        <v>4520</v>
      </c>
      <c r="E1234" s="11" t="s">
        <v>26</v>
      </c>
      <c r="F1234" s="11" t="s">
        <v>4521</v>
      </c>
      <c r="G1234" s="11" t="s">
        <v>28</v>
      </c>
      <c r="H1234" s="11" t="s">
        <v>4509</v>
      </c>
      <c r="I1234" s="11" t="s">
        <v>4510</v>
      </c>
      <c r="J1234" s="12">
        <v>0.96040000000000003</v>
      </c>
      <c r="K1234" s="13">
        <v>1</v>
      </c>
      <c r="L1234" s="14">
        <v>0</v>
      </c>
      <c r="M1234" s="10">
        <v>0</v>
      </c>
      <c r="N1234" s="10">
        <v>0</v>
      </c>
      <c r="O1234" s="10">
        <v>0</v>
      </c>
      <c r="P1234" s="10">
        <v>0</v>
      </c>
    </row>
    <row r="1235" spans="1:16" ht="27" customHeight="1" x14ac:dyDescent="0.2">
      <c r="A1235" s="9" t="s">
        <v>4506</v>
      </c>
      <c r="B1235" s="10" t="s">
        <v>4522</v>
      </c>
      <c r="C1235" s="11" t="s">
        <v>18</v>
      </c>
      <c r="D1235" s="11" t="s">
        <v>19</v>
      </c>
      <c r="E1235" s="11" t="s">
        <v>19</v>
      </c>
      <c r="F1235" s="11" t="s">
        <v>4523</v>
      </c>
      <c r="G1235" s="11" t="s">
        <v>83</v>
      </c>
      <c r="H1235" s="11" t="s">
        <v>4524</v>
      </c>
      <c r="I1235" s="11" t="s">
        <v>4525</v>
      </c>
      <c r="J1235" s="12">
        <v>0.36859999999999998</v>
      </c>
      <c r="K1235" s="13">
        <v>2</v>
      </c>
      <c r="L1235" s="14">
        <v>491</v>
      </c>
      <c r="M1235" s="10">
        <v>181</v>
      </c>
      <c r="N1235" s="10">
        <v>54256</v>
      </c>
      <c r="O1235" s="10">
        <v>14194</v>
      </c>
      <c r="P1235" s="10">
        <v>68450</v>
      </c>
    </row>
    <row r="1236" spans="1:16" ht="27" customHeight="1" x14ac:dyDescent="0.2">
      <c r="A1236" s="9" t="s">
        <v>4506</v>
      </c>
      <c r="B1236" s="10" t="s">
        <v>4526</v>
      </c>
      <c r="C1236" s="11" t="s">
        <v>18</v>
      </c>
      <c r="D1236" s="11" t="s">
        <v>19</v>
      </c>
      <c r="E1236" s="11" t="s">
        <v>19</v>
      </c>
      <c r="F1236" s="11" t="s">
        <v>4527</v>
      </c>
      <c r="G1236" s="11" t="s">
        <v>83</v>
      </c>
      <c r="H1236" s="11" t="s">
        <v>4528</v>
      </c>
      <c r="I1236" s="11" t="s">
        <v>4529</v>
      </c>
      <c r="J1236" s="12">
        <v>0.72460000000000002</v>
      </c>
      <c r="K1236" s="13">
        <v>67</v>
      </c>
      <c r="L1236" s="14">
        <v>62162</v>
      </c>
      <c r="M1236" s="10">
        <v>26401</v>
      </c>
      <c r="N1236" s="10">
        <v>6869007</v>
      </c>
      <c r="O1236" s="10">
        <v>2070342</v>
      </c>
      <c r="P1236" s="10">
        <v>8939349</v>
      </c>
    </row>
    <row r="1237" spans="1:16" ht="27" customHeight="1" x14ac:dyDescent="0.2">
      <c r="A1237" s="9" t="s">
        <v>4506</v>
      </c>
      <c r="B1237" s="10" t="s">
        <v>4526</v>
      </c>
      <c r="C1237" s="11" t="s">
        <v>4530</v>
      </c>
      <c r="D1237" s="11" t="s">
        <v>4531</v>
      </c>
      <c r="E1237" s="11" t="s">
        <v>26</v>
      </c>
      <c r="F1237" s="11" t="s">
        <v>4532</v>
      </c>
      <c r="G1237" s="11" t="s">
        <v>28</v>
      </c>
      <c r="H1237" s="11" t="s">
        <v>4532</v>
      </c>
      <c r="I1237" s="11" t="s">
        <v>4533</v>
      </c>
      <c r="J1237" s="12">
        <v>0.2407</v>
      </c>
      <c r="K1237" s="13">
        <v>1</v>
      </c>
      <c r="L1237" s="14">
        <v>536</v>
      </c>
      <c r="M1237" s="10">
        <v>129</v>
      </c>
      <c r="N1237" s="10">
        <v>59229</v>
      </c>
      <c r="O1237" s="10">
        <v>10116</v>
      </c>
      <c r="P1237" s="10">
        <v>69345</v>
      </c>
    </row>
    <row r="1238" spans="1:16" ht="27" customHeight="1" x14ac:dyDescent="0.2">
      <c r="A1238" s="9" t="s">
        <v>4506</v>
      </c>
      <c r="B1238" s="10" t="s">
        <v>4526</v>
      </c>
      <c r="C1238" s="11" t="s">
        <v>4534</v>
      </c>
      <c r="D1238" s="11" t="s">
        <v>4535</v>
      </c>
      <c r="E1238" s="11" t="s">
        <v>26</v>
      </c>
      <c r="F1238" s="11" t="s">
        <v>4536</v>
      </c>
      <c r="G1238" s="11" t="s">
        <v>28</v>
      </c>
      <c r="H1238" s="11" t="s">
        <v>4509</v>
      </c>
      <c r="I1238" s="11" t="s">
        <v>4510</v>
      </c>
      <c r="J1238" s="12">
        <v>0.96040000000000003</v>
      </c>
      <c r="K1238" s="13">
        <v>1</v>
      </c>
      <c r="L1238" s="14">
        <v>360</v>
      </c>
      <c r="M1238" s="10">
        <v>227</v>
      </c>
      <c r="N1238" s="10">
        <v>39781</v>
      </c>
      <c r="O1238" s="10">
        <v>17801</v>
      </c>
      <c r="P1238" s="10">
        <v>57582</v>
      </c>
    </row>
    <row r="1239" spans="1:16" ht="27" customHeight="1" x14ac:dyDescent="0.2">
      <c r="A1239" s="9" t="s">
        <v>4506</v>
      </c>
      <c r="B1239" s="10" t="s">
        <v>4526</v>
      </c>
      <c r="C1239" s="11" t="s">
        <v>4537</v>
      </c>
      <c r="D1239" s="11" t="s">
        <v>4538</v>
      </c>
      <c r="E1239" s="11" t="s">
        <v>57</v>
      </c>
      <c r="F1239" s="11" t="s">
        <v>4539</v>
      </c>
      <c r="G1239" s="11" t="s">
        <v>28</v>
      </c>
      <c r="H1239" s="11" t="s">
        <v>4509</v>
      </c>
      <c r="I1239" s="11" t="s">
        <v>4510</v>
      </c>
      <c r="J1239" s="12">
        <v>0.96040000000000003</v>
      </c>
      <c r="K1239" s="13">
        <v>1</v>
      </c>
      <c r="L1239" s="14">
        <v>295</v>
      </c>
      <c r="M1239" s="10">
        <v>136</v>
      </c>
      <c r="N1239" s="10">
        <v>32598</v>
      </c>
      <c r="O1239" s="10">
        <v>10665</v>
      </c>
      <c r="P1239" s="10">
        <v>43263</v>
      </c>
    </row>
    <row r="1240" spans="1:16" ht="27" customHeight="1" x14ac:dyDescent="0.2">
      <c r="A1240" s="9" t="s">
        <v>4506</v>
      </c>
      <c r="B1240" s="10" t="s">
        <v>4540</v>
      </c>
      <c r="C1240" s="11" t="s">
        <v>18</v>
      </c>
      <c r="D1240" s="11" t="s">
        <v>19</v>
      </c>
      <c r="E1240" s="11" t="s">
        <v>19</v>
      </c>
      <c r="F1240" s="11" t="s">
        <v>4541</v>
      </c>
      <c r="G1240" s="11" t="s">
        <v>83</v>
      </c>
      <c r="H1240" s="11" t="s">
        <v>4542</v>
      </c>
      <c r="I1240" s="11" t="s">
        <v>4543</v>
      </c>
      <c r="J1240" s="12">
        <v>0.6794</v>
      </c>
      <c r="K1240" s="13">
        <v>3</v>
      </c>
      <c r="L1240" s="14">
        <v>212</v>
      </c>
      <c r="M1240" s="10">
        <v>150</v>
      </c>
      <c r="N1240" s="10">
        <v>23427</v>
      </c>
      <c r="O1240" s="10">
        <v>11763</v>
      </c>
      <c r="P1240" s="10">
        <v>35190</v>
      </c>
    </row>
    <row r="1241" spans="1:16" ht="27" customHeight="1" x14ac:dyDescent="0.2">
      <c r="A1241" s="9" t="s">
        <v>4506</v>
      </c>
      <c r="B1241" s="10" t="s">
        <v>4544</v>
      </c>
      <c r="C1241" s="11" t="s">
        <v>18</v>
      </c>
      <c r="D1241" s="11" t="s">
        <v>19</v>
      </c>
      <c r="E1241" s="11" t="s">
        <v>19</v>
      </c>
      <c r="F1241" s="11" t="s">
        <v>4545</v>
      </c>
      <c r="G1241" s="11" t="s">
        <v>83</v>
      </c>
      <c r="H1241" s="11" t="s">
        <v>4546</v>
      </c>
      <c r="I1241" s="11" t="s">
        <v>4547</v>
      </c>
      <c r="J1241" s="12">
        <v>0.91610000000000003</v>
      </c>
      <c r="K1241" s="13">
        <v>36</v>
      </c>
      <c r="L1241" s="14">
        <v>20799</v>
      </c>
      <c r="M1241" s="10">
        <v>7100</v>
      </c>
      <c r="N1241" s="10">
        <v>2298326</v>
      </c>
      <c r="O1241" s="10">
        <v>556776</v>
      </c>
      <c r="P1241" s="10">
        <v>2855102</v>
      </c>
    </row>
    <row r="1242" spans="1:16" ht="27" customHeight="1" x14ac:dyDescent="0.2">
      <c r="A1242" s="9" t="s">
        <v>4506</v>
      </c>
      <c r="B1242" s="10" t="s">
        <v>4544</v>
      </c>
      <c r="C1242" s="11" t="s">
        <v>4548</v>
      </c>
      <c r="D1242" s="11" t="s">
        <v>4549</v>
      </c>
      <c r="E1242" s="11" t="s">
        <v>57</v>
      </c>
      <c r="F1242" s="11" t="s">
        <v>4550</v>
      </c>
      <c r="G1242" s="11" t="s">
        <v>28</v>
      </c>
      <c r="H1242" s="11" t="s">
        <v>4550</v>
      </c>
      <c r="I1242" s="11" t="s">
        <v>4551</v>
      </c>
      <c r="J1242" s="12">
        <v>0.26219999999999999</v>
      </c>
      <c r="K1242" s="13">
        <v>1</v>
      </c>
      <c r="L1242" s="14">
        <v>164</v>
      </c>
      <c r="M1242" s="10">
        <v>43</v>
      </c>
      <c r="N1242" s="10">
        <v>18122</v>
      </c>
      <c r="O1242" s="10">
        <v>3372</v>
      </c>
      <c r="P1242" s="10">
        <v>21494</v>
      </c>
    </row>
    <row r="1243" spans="1:16" ht="27" customHeight="1" x14ac:dyDescent="0.2">
      <c r="A1243" s="9" t="s">
        <v>4506</v>
      </c>
      <c r="B1243" s="10" t="s">
        <v>4544</v>
      </c>
      <c r="C1243" s="11" t="s">
        <v>4552</v>
      </c>
      <c r="D1243" s="11" t="s">
        <v>4553</v>
      </c>
      <c r="E1243" s="11" t="s">
        <v>26</v>
      </c>
      <c r="F1243" s="11" t="s">
        <v>4554</v>
      </c>
      <c r="G1243" s="11" t="s">
        <v>28</v>
      </c>
      <c r="H1243" s="11" t="s">
        <v>4554</v>
      </c>
      <c r="I1243" s="11" t="s">
        <v>4555</v>
      </c>
      <c r="J1243" s="12">
        <v>0</v>
      </c>
      <c r="K1243" s="13">
        <v>1</v>
      </c>
      <c r="L1243" s="14">
        <v>0</v>
      </c>
      <c r="M1243" s="10">
        <v>0</v>
      </c>
      <c r="N1243" s="10">
        <v>0</v>
      </c>
      <c r="O1243" s="10">
        <v>0</v>
      </c>
      <c r="P1243" s="10">
        <v>0</v>
      </c>
    </row>
    <row r="1244" spans="1:16" ht="27" customHeight="1" x14ac:dyDescent="0.2">
      <c r="A1244" s="9" t="s">
        <v>4506</v>
      </c>
      <c r="B1244" s="10" t="s">
        <v>4556</v>
      </c>
      <c r="C1244" s="11" t="s">
        <v>18</v>
      </c>
      <c r="D1244" s="11" t="s">
        <v>19</v>
      </c>
      <c r="E1244" s="11" t="s">
        <v>19</v>
      </c>
      <c r="F1244" s="11" t="s">
        <v>4557</v>
      </c>
      <c r="G1244" s="11" t="s">
        <v>83</v>
      </c>
      <c r="H1244" s="11" t="s">
        <v>4558</v>
      </c>
      <c r="I1244" s="11" t="s">
        <v>4559</v>
      </c>
      <c r="J1244" s="12">
        <v>0.79559999999999997</v>
      </c>
      <c r="K1244" s="13">
        <v>8</v>
      </c>
      <c r="L1244" s="14">
        <v>3505</v>
      </c>
      <c r="M1244" s="10">
        <v>2021</v>
      </c>
      <c r="N1244" s="10">
        <v>387307</v>
      </c>
      <c r="O1244" s="10">
        <v>158484</v>
      </c>
      <c r="P1244" s="10">
        <v>545791</v>
      </c>
    </row>
    <row r="1245" spans="1:16" ht="27" customHeight="1" x14ac:dyDescent="0.2">
      <c r="A1245" s="9" t="s">
        <v>4506</v>
      </c>
      <c r="B1245" s="10" t="s">
        <v>4560</v>
      </c>
      <c r="C1245" s="11" t="s">
        <v>18</v>
      </c>
      <c r="D1245" s="11" t="s">
        <v>19</v>
      </c>
      <c r="E1245" s="11" t="s">
        <v>19</v>
      </c>
      <c r="F1245" s="11" t="s">
        <v>4561</v>
      </c>
      <c r="G1245" s="11" t="s">
        <v>83</v>
      </c>
      <c r="H1245" s="11" t="s">
        <v>4509</v>
      </c>
      <c r="I1245" s="11" t="s">
        <v>4510</v>
      </c>
      <c r="J1245" s="12">
        <v>0.96040000000000003</v>
      </c>
      <c r="K1245" s="13">
        <v>4</v>
      </c>
      <c r="L1245" s="14">
        <v>2063</v>
      </c>
      <c r="M1245" s="10">
        <v>1086</v>
      </c>
      <c r="N1245" s="10">
        <v>227966</v>
      </c>
      <c r="O1245" s="10">
        <v>85163</v>
      </c>
      <c r="P1245" s="10">
        <v>313129</v>
      </c>
    </row>
    <row r="1246" spans="1:16" ht="27" customHeight="1" x14ac:dyDescent="0.2">
      <c r="A1246" s="9" t="s">
        <v>4506</v>
      </c>
      <c r="B1246" s="10" t="s">
        <v>4562</v>
      </c>
      <c r="C1246" s="11" t="s">
        <v>18</v>
      </c>
      <c r="D1246" s="11" t="s">
        <v>19</v>
      </c>
      <c r="E1246" s="11" t="s">
        <v>19</v>
      </c>
      <c r="F1246" s="11" t="s">
        <v>4563</v>
      </c>
      <c r="G1246" s="11" t="s">
        <v>83</v>
      </c>
      <c r="H1246" s="11" t="s">
        <v>4564</v>
      </c>
      <c r="I1246" s="11" t="s">
        <v>4565</v>
      </c>
      <c r="J1246" s="12">
        <v>0.79520000000000002</v>
      </c>
      <c r="K1246" s="13">
        <v>12</v>
      </c>
      <c r="L1246" s="14">
        <v>1806</v>
      </c>
      <c r="M1246" s="10">
        <v>1051</v>
      </c>
      <c r="N1246" s="10">
        <v>199566</v>
      </c>
      <c r="O1246" s="10">
        <v>82419</v>
      </c>
      <c r="P1246" s="10">
        <v>281985</v>
      </c>
    </row>
    <row r="1247" spans="1:16" ht="27" customHeight="1" x14ac:dyDescent="0.2">
      <c r="A1247" s="9" t="s">
        <v>4506</v>
      </c>
      <c r="B1247" s="10" t="s">
        <v>4562</v>
      </c>
      <c r="C1247" s="11" t="s">
        <v>4566</v>
      </c>
      <c r="D1247" s="11" t="s">
        <v>4567</v>
      </c>
      <c r="E1247" s="11" t="s">
        <v>26</v>
      </c>
      <c r="F1247" s="11" t="s">
        <v>4568</v>
      </c>
      <c r="G1247" s="11" t="s">
        <v>28</v>
      </c>
      <c r="H1247" s="11" t="s">
        <v>4568</v>
      </c>
      <c r="I1247" s="11" t="s">
        <v>4569</v>
      </c>
      <c r="J1247" s="12">
        <v>0.24529999999999999</v>
      </c>
      <c r="K1247" s="13">
        <v>1</v>
      </c>
      <c r="L1247" s="14">
        <v>371</v>
      </c>
      <c r="M1247" s="10">
        <v>91</v>
      </c>
      <c r="N1247" s="10">
        <v>40996</v>
      </c>
      <c r="O1247" s="10">
        <v>7136</v>
      </c>
      <c r="P1247" s="10">
        <v>48132</v>
      </c>
    </row>
    <row r="1248" spans="1:16" ht="27" customHeight="1" x14ac:dyDescent="0.2">
      <c r="A1248" s="9" t="s">
        <v>4506</v>
      </c>
      <c r="B1248" s="10" t="s">
        <v>4570</v>
      </c>
      <c r="C1248" s="11" t="s">
        <v>18</v>
      </c>
      <c r="D1248" s="11" t="s">
        <v>19</v>
      </c>
      <c r="E1248" s="11" t="s">
        <v>19</v>
      </c>
      <c r="F1248" s="11" t="s">
        <v>4571</v>
      </c>
      <c r="G1248" s="11" t="s">
        <v>83</v>
      </c>
      <c r="H1248" s="11" t="s">
        <v>4572</v>
      </c>
      <c r="I1248" s="11" t="s">
        <v>4573</v>
      </c>
      <c r="J1248" s="12">
        <v>0.92589999999999995</v>
      </c>
      <c r="K1248" s="13">
        <v>7</v>
      </c>
      <c r="L1248" s="14">
        <v>2116</v>
      </c>
      <c r="M1248" s="10">
        <v>1814</v>
      </c>
      <c r="N1248" s="10">
        <v>233823</v>
      </c>
      <c r="O1248" s="10">
        <v>142252</v>
      </c>
      <c r="P1248" s="10">
        <v>376075</v>
      </c>
    </row>
    <row r="1249" spans="1:16" ht="27" customHeight="1" x14ac:dyDescent="0.2">
      <c r="A1249" s="9" t="s">
        <v>4506</v>
      </c>
      <c r="B1249" s="10" t="s">
        <v>4570</v>
      </c>
      <c r="C1249" s="11" t="s">
        <v>4574</v>
      </c>
      <c r="D1249" s="11" t="s">
        <v>4575</v>
      </c>
      <c r="E1249" s="11" t="s">
        <v>26</v>
      </c>
      <c r="F1249" s="11" t="s">
        <v>4576</v>
      </c>
      <c r="G1249" s="11" t="s">
        <v>28</v>
      </c>
      <c r="H1249" s="11" t="s">
        <v>4576</v>
      </c>
      <c r="I1249" s="11" t="s">
        <v>4577</v>
      </c>
      <c r="J1249" s="12">
        <v>0.82609999999999995</v>
      </c>
      <c r="K1249" s="13">
        <v>1</v>
      </c>
      <c r="L1249" s="14">
        <v>46</v>
      </c>
      <c r="M1249" s="10">
        <v>38</v>
      </c>
      <c r="N1249" s="10">
        <v>5083</v>
      </c>
      <c r="O1249" s="10">
        <v>2980</v>
      </c>
      <c r="P1249" s="10">
        <v>8063</v>
      </c>
    </row>
    <row r="1250" spans="1:16" ht="27" customHeight="1" x14ac:dyDescent="0.2">
      <c r="A1250" s="9" t="s">
        <v>4506</v>
      </c>
      <c r="B1250" s="10" t="s">
        <v>4570</v>
      </c>
      <c r="C1250" s="11" t="s">
        <v>4578</v>
      </c>
      <c r="D1250" s="11" t="s">
        <v>4579</v>
      </c>
      <c r="E1250" s="11" t="s">
        <v>26</v>
      </c>
      <c r="F1250" s="11" t="s">
        <v>4580</v>
      </c>
      <c r="G1250" s="11" t="s">
        <v>28</v>
      </c>
      <c r="H1250" s="11" t="s">
        <v>4580</v>
      </c>
      <c r="I1250" s="11" t="s">
        <v>4581</v>
      </c>
      <c r="J1250" s="12">
        <v>0.85980000000000001</v>
      </c>
      <c r="K1250" s="13">
        <v>1</v>
      </c>
      <c r="L1250" s="14">
        <v>328</v>
      </c>
      <c r="M1250" s="10">
        <v>282</v>
      </c>
      <c r="N1250" s="10">
        <v>36245</v>
      </c>
      <c r="O1250" s="10">
        <v>22114</v>
      </c>
      <c r="P1250" s="10">
        <v>58359</v>
      </c>
    </row>
    <row r="1251" spans="1:16" ht="27" customHeight="1" x14ac:dyDescent="0.2">
      <c r="A1251" s="9" t="s">
        <v>4506</v>
      </c>
      <c r="B1251" s="10" t="s">
        <v>4570</v>
      </c>
      <c r="C1251" s="11" t="s">
        <v>4582</v>
      </c>
      <c r="D1251" s="11" t="s">
        <v>4583</v>
      </c>
      <c r="E1251" s="11" t="s">
        <v>26</v>
      </c>
      <c r="F1251" s="11" t="s">
        <v>4584</v>
      </c>
      <c r="G1251" s="11" t="s">
        <v>28</v>
      </c>
      <c r="H1251" s="11" t="s">
        <v>4584</v>
      </c>
      <c r="I1251" s="11" t="s">
        <v>4585</v>
      </c>
      <c r="J1251" s="12">
        <v>0.86470000000000002</v>
      </c>
      <c r="K1251" s="13">
        <v>1</v>
      </c>
      <c r="L1251" s="14">
        <v>207</v>
      </c>
      <c r="M1251" s="10">
        <v>179</v>
      </c>
      <c r="N1251" s="10">
        <v>22874</v>
      </c>
      <c r="O1251" s="10">
        <v>14037</v>
      </c>
      <c r="P1251" s="10">
        <v>36911</v>
      </c>
    </row>
    <row r="1252" spans="1:16" ht="27" customHeight="1" x14ac:dyDescent="0.2">
      <c r="A1252" s="9" t="s">
        <v>4506</v>
      </c>
      <c r="B1252" s="10" t="s">
        <v>4586</v>
      </c>
      <c r="C1252" s="11" t="s">
        <v>18</v>
      </c>
      <c r="D1252" s="11" t="s">
        <v>19</v>
      </c>
      <c r="E1252" s="11" t="s">
        <v>19</v>
      </c>
      <c r="F1252" s="11" t="s">
        <v>4587</v>
      </c>
      <c r="G1252" s="11" t="s">
        <v>83</v>
      </c>
      <c r="H1252" s="11" t="s">
        <v>4509</v>
      </c>
      <c r="I1252" s="11" t="s">
        <v>4510</v>
      </c>
      <c r="J1252" s="12">
        <v>0.96040000000000003</v>
      </c>
      <c r="K1252" s="13">
        <v>69</v>
      </c>
      <c r="L1252" s="14">
        <v>38130</v>
      </c>
      <c r="M1252" s="10">
        <v>26317</v>
      </c>
      <c r="N1252" s="10">
        <v>4213430</v>
      </c>
      <c r="O1252" s="10">
        <v>2063752</v>
      </c>
      <c r="P1252" s="10">
        <v>6277182</v>
      </c>
    </row>
    <row r="1253" spans="1:16" ht="27" customHeight="1" x14ac:dyDescent="0.2">
      <c r="A1253" s="9" t="s">
        <v>4506</v>
      </c>
      <c r="B1253" s="10" t="s">
        <v>4586</v>
      </c>
      <c r="C1253" s="11" t="s">
        <v>4588</v>
      </c>
      <c r="D1253" s="11" t="s">
        <v>4589</v>
      </c>
      <c r="E1253" s="11" t="s">
        <v>26</v>
      </c>
      <c r="F1253" s="11" t="s">
        <v>4590</v>
      </c>
      <c r="G1253" s="11" t="s">
        <v>28</v>
      </c>
      <c r="H1253" s="11" t="s">
        <v>4590</v>
      </c>
      <c r="I1253" s="11" t="s">
        <v>4591</v>
      </c>
      <c r="J1253" s="12">
        <v>0.82940000000000003</v>
      </c>
      <c r="K1253" s="13">
        <v>1</v>
      </c>
      <c r="L1253" s="14">
        <v>557</v>
      </c>
      <c r="M1253" s="10">
        <v>462</v>
      </c>
      <c r="N1253" s="10">
        <v>61549</v>
      </c>
      <c r="O1253" s="10">
        <v>36230</v>
      </c>
      <c r="P1253" s="10">
        <v>97779</v>
      </c>
    </row>
    <row r="1254" spans="1:16" ht="27" customHeight="1" x14ac:dyDescent="0.2">
      <c r="A1254" s="9" t="s">
        <v>4506</v>
      </c>
      <c r="B1254" s="10" t="s">
        <v>4586</v>
      </c>
      <c r="C1254" s="11" t="s">
        <v>4592</v>
      </c>
      <c r="D1254" s="11" t="s">
        <v>4593</v>
      </c>
      <c r="E1254" s="11" t="s">
        <v>26</v>
      </c>
      <c r="F1254" s="11" t="s">
        <v>4594</v>
      </c>
      <c r="G1254" s="11" t="s">
        <v>28</v>
      </c>
      <c r="H1254" s="11" t="s">
        <v>4594</v>
      </c>
      <c r="I1254" s="11" t="s">
        <v>4595</v>
      </c>
      <c r="J1254" s="12">
        <v>0.46200000000000002</v>
      </c>
      <c r="K1254" s="13">
        <v>1</v>
      </c>
      <c r="L1254" s="14">
        <v>355</v>
      </c>
      <c r="M1254" s="10">
        <v>164</v>
      </c>
      <c r="N1254" s="10">
        <v>39228</v>
      </c>
      <c r="O1254" s="10">
        <v>12861</v>
      </c>
      <c r="P1254" s="10">
        <v>52089</v>
      </c>
    </row>
    <row r="1255" spans="1:16" ht="27" customHeight="1" x14ac:dyDescent="0.2">
      <c r="A1255" s="9" t="s">
        <v>4506</v>
      </c>
      <c r="B1255" s="10" t="s">
        <v>4586</v>
      </c>
      <c r="C1255" s="11" t="s">
        <v>4596</v>
      </c>
      <c r="D1255" s="11" t="s">
        <v>4597</v>
      </c>
      <c r="E1255" s="11" t="s">
        <v>57</v>
      </c>
      <c r="F1255" s="11" t="s">
        <v>4598</v>
      </c>
      <c r="G1255" s="11" t="s">
        <v>28</v>
      </c>
      <c r="H1255" s="11" t="s">
        <v>4509</v>
      </c>
      <c r="I1255" s="11" t="s">
        <v>4510</v>
      </c>
      <c r="J1255" s="12">
        <v>0.96040000000000003</v>
      </c>
      <c r="K1255" s="13">
        <v>1</v>
      </c>
      <c r="L1255" s="14">
        <v>154</v>
      </c>
      <c r="M1255" s="10">
        <v>118</v>
      </c>
      <c r="N1255" s="10">
        <v>17017</v>
      </c>
      <c r="O1255" s="10">
        <v>9253</v>
      </c>
      <c r="P1255" s="10">
        <v>26270</v>
      </c>
    </row>
    <row r="1256" spans="1:16" ht="27" customHeight="1" x14ac:dyDescent="0.2">
      <c r="A1256" s="9" t="s">
        <v>4506</v>
      </c>
      <c r="B1256" s="10" t="s">
        <v>4586</v>
      </c>
      <c r="C1256" s="11" t="s">
        <v>4599</v>
      </c>
      <c r="D1256" s="11" t="s">
        <v>4600</v>
      </c>
      <c r="E1256" s="11" t="s">
        <v>57</v>
      </c>
      <c r="F1256" s="11" t="s">
        <v>4601</v>
      </c>
      <c r="G1256" s="11" t="s">
        <v>28</v>
      </c>
      <c r="H1256" s="11" t="s">
        <v>4509</v>
      </c>
      <c r="I1256" s="11" t="s">
        <v>4510</v>
      </c>
      <c r="J1256" s="12">
        <v>0.96040000000000003</v>
      </c>
      <c r="K1256" s="13">
        <v>1</v>
      </c>
      <c r="L1256" s="14">
        <v>195</v>
      </c>
      <c r="M1256" s="10">
        <v>85</v>
      </c>
      <c r="N1256" s="10">
        <v>21548</v>
      </c>
      <c r="O1256" s="10">
        <v>6666</v>
      </c>
      <c r="P1256" s="10">
        <v>28214</v>
      </c>
    </row>
    <row r="1257" spans="1:16" ht="27" customHeight="1" x14ac:dyDescent="0.2">
      <c r="A1257" s="9" t="s">
        <v>4506</v>
      </c>
      <c r="B1257" s="10" t="s">
        <v>4586</v>
      </c>
      <c r="C1257" s="11" t="s">
        <v>4602</v>
      </c>
      <c r="D1257" s="11" t="s">
        <v>4603</v>
      </c>
      <c r="E1257" s="11" t="s">
        <v>57</v>
      </c>
      <c r="F1257" s="11" t="s">
        <v>4604</v>
      </c>
      <c r="G1257" s="11" t="s">
        <v>28</v>
      </c>
      <c r="H1257" s="11" t="s">
        <v>4509</v>
      </c>
      <c r="I1257" s="11" t="s">
        <v>4510</v>
      </c>
      <c r="J1257" s="12">
        <v>0.96040000000000003</v>
      </c>
      <c r="K1257" s="13">
        <v>1</v>
      </c>
      <c r="L1257" s="14">
        <v>222</v>
      </c>
      <c r="M1257" s="10">
        <v>119</v>
      </c>
      <c r="N1257" s="10">
        <v>24531</v>
      </c>
      <c r="O1257" s="10">
        <v>9332</v>
      </c>
      <c r="P1257" s="10">
        <v>33863</v>
      </c>
    </row>
    <row r="1258" spans="1:16" ht="27" customHeight="1" x14ac:dyDescent="0.2">
      <c r="A1258" s="9" t="s">
        <v>4506</v>
      </c>
      <c r="B1258" s="10" t="s">
        <v>4586</v>
      </c>
      <c r="C1258" s="11" t="s">
        <v>4605</v>
      </c>
      <c r="D1258" s="11" t="s">
        <v>4606</v>
      </c>
      <c r="E1258" s="11" t="s">
        <v>26</v>
      </c>
      <c r="F1258" s="11" t="s">
        <v>4607</v>
      </c>
      <c r="G1258" s="11" t="s">
        <v>28</v>
      </c>
      <c r="H1258" s="11" t="s">
        <v>4509</v>
      </c>
      <c r="I1258" s="11" t="s">
        <v>4510</v>
      </c>
      <c r="J1258" s="12">
        <v>0.96040000000000003</v>
      </c>
      <c r="K1258" s="13">
        <v>1</v>
      </c>
      <c r="L1258" s="14">
        <v>365</v>
      </c>
      <c r="M1258" s="10">
        <v>257</v>
      </c>
      <c r="N1258" s="10">
        <v>40333</v>
      </c>
      <c r="O1258" s="10">
        <v>20154</v>
      </c>
      <c r="P1258" s="10">
        <v>60487</v>
      </c>
    </row>
    <row r="1259" spans="1:16" ht="27" customHeight="1" x14ac:dyDescent="0.2">
      <c r="A1259" s="9" t="s">
        <v>4506</v>
      </c>
      <c r="B1259" s="10" t="s">
        <v>4586</v>
      </c>
      <c r="C1259" s="11" t="s">
        <v>4608</v>
      </c>
      <c r="D1259" s="11" t="s">
        <v>4609</v>
      </c>
      <c r="E1259" s="11" t="s">
        <v>26</v>
      </c>
      <c r="F1259" s="11" t="s">
        <v>4610</v>
      </c>
      <c r="G1259" s="11" t="s">
        <v>28</v>
      </c>
      <c r="H1259" s="11" t="s">
        <v>4610</v>
      </c>
      <c r="I1259" s="11" t="s">
        <v>4611</v>
      </c>
      <c r="J1259" s="12">
        <v>0.88239999999999996</v>
      </c>
      <c r="K1259" s="13">
        <v>1</v>
      </c>
      <c r="L1259" s="14">
        <v>170</v>
      </c>
      <c r="M1259" s="10">
        <v>150</v>
      </c>
      <c r="N1259" s="10">
        <v>18785</v>
      </c>
      <c r="O1259" s="10">
        <v>11763</v>
      </c>
      <c r="P1259" s="10">
        <v>30548</v>
      </c>
    </row>
    <row r="1260" spans="1:16" ht="27" customHeight="1" x14ac:dyDescent="0.2">
      <c r="A1260" s="9" t="s">
        <v>4506</v>
      </c>
      <c r="B1260" s="10" t="s">
        <v>4586</v>
      </c>
      <c r="C1260" s="11" t="s">
        <v>4612</v>
      </c>
      <c r="D1260" s="11" t="s">
        <v>4613</v>
      </c>
      <c r="E1260" s="11" t="s">
        <v>26</v>
      </c>
      <c r="F1260" s="11" t="s">
        <v>4614</v>
      </c>
      <c r="G1260" s="11" t="s">
        <v>28</v>
      </c>
      <c r="H1260" s="11" t="s">
        <v>4614</v>
      </c>
      <c r="I1260" s="11" t="s">
        <v>4615</v>
      </c>
      <c r="J1260" s="12">
        <v>0.73860000000000003</v>
      </c>
      <c r="K1260" s="13">
        <v>1</v>
      </c>
      <c r="L1260" s="14">
        <v>616</v>
      </c>
      <c r="M1260" s="10">
        <v>455</v>
      </c>
      <c r="N1260" s="10">
        <v>68069</v>
      </c>
      <c r="O1260" s="10">
        <v>35681</v>
      </c>
      <c r="P1260" s="10">
        <v>103750</v>
      </c>
    </row>
    <row r="1261" spans="1:16" ht="27" customHeight="1" x14ac:dyDescent="0.2">
      <c r="A1261" s="9" t="s">
        <v>4506</v>
      </c>
      <c r="B1261" s="10" t="s">
        <v>4586</v>
      </c>
      <c r="C1261" s="11" t="s">
        <v>4616</v>
      </c>
      <c r="D1261" s="11" t="s">
        <v>4617</v>
      </c>
      <c r="E1261" s="11" t="s">
        <v>26</v>
      </c>
      <c r="F1261" s="11" t="s">
        <v>4618</v>
      </c>
      <c r="G1261" s="11" t="s">
        <v>28</v>
      </c>
      <c r="H1261" s="11" t="s">
        <v>4618</v>
      </c>
      <c r="I1261" s="11" t="s">
        <v>4619</v>
      </c>
      <c r="J1261" s="12">
        <v>0.21879999999999999</v>
      </c>
      <c r="K1261" s="13">
        <v>1</v>
      </c>
      <c r="L1261" s="14">
        <v>352</v>
      </c>
      <c r="M1261" s="10">
        <v>77</v>
      </c>
      <c r="N1261" s="10">
        <v>38897</v>
      </c>
      <c r="O1261" s="10">
        <v>6038</v>
      </c>
      <c r="P1261" s="10">
        <v>44935</v>
      </c>
    </row>
    <row r="1262" spans="1:16" ht="27" customHeight="1" x14ac:dyDescent="0.2">
      <c r="A1262" s="9" t="s">
        <v>4506</v>
      </c>
      <c r="B1262" s="10" t="s">
        <v>4586</v>
      </c>
      <c r="C1262" s="11" t="s">
        <v>4620</v>
      </c>
      <c r="D1262" s="11" t="s">
        <v>4621</v>
      </c>
      <c r="E1262" s="11" t="s">
        <v>26</v>
      </c>
      <c r="F1262" s="11" t="s">
        <v>4622</v>
      </c>
      <c r="G1262" s="11" t="s">
        <v>28</v>
      </c>
      <c r="H1262" s="11" t="s">
        <v>4622</v>
      </c>
      <c r="I1262" s="11" t="s">
        <v>4623</v>
      </c>
      <c r="J1262" s="12">
        <v>0.57509999999999994</v>
      </c>
      <c r="K1262" s="13">
        <v>1</v>
      </c>
      <c r="L1262" s="14">
        <v>426</v>
      </c>
      <c r="M1262" s="10">
        <v>245</v>
      </c>
      <c r="N1262" s="10">
        <v>47074</v>
      </c>
      <c r="O1262" s="10">
        <v>19213</v>
      </c>
      <c r="P1262" s="10">
        <v>66287</v>
      </c>
    </row>
    <row r="1263" spans="1:16" ht="27" customHeight="1" x14ac:dyDescent="0.2">
      <c r="A1263" s="9" t="s">
        <v>4506</v>
      </c>
      <c r="B1263" s="10" t="s">
        <v>4586</v>
      </c>
      <c r="C1263" s="11" t="s">
        <v>4624</v>
      </c>
      <c r="D1263" s="11" t="s">
        <v>4625</v>
      </c>
      <c r="E1263" s="11" t="s">
        <v>26</v>
      </c>
      <c r="F1263" s="11" t="s">
        <v>4626</v>
      </c>
      <c r="G1263" s="11" t="s">
        <v>28</v>
      </c>
      <c r="H1263" s="11" t="s">
        <v>4626</v>
      </c>
      <c r="I1263" s="11" t="s">
        <v>4627</v>
      </c>
      <c r="J1263" s="12">
        <v>0.83209999999999995</v>
      </c>
      <c r="K1263" s="13">
        <v>1</v>
      </c>
      <c r="L1263" s="14">
        <v>417</v>
      </c>
      <c r="M1263" s="10">
        <v>347</v>
      </c>
      <c r="N1263" s="10">
        <v>46079</v>
      </c>
      <c r="O1263" s="10">
        <v>27211</v>
      </c>
      <c r="P1263" s="10">
        <v>73290</v>
      </c>
    </row>
    <row r="1264" spans="1:16" ht="27" customHeight="1" x14ac:dyDescent="0.2">
      <c r="A1264" s="9" t="s">
        <v>4506</v>
      </c>
      <c r="B1264" s="10" t="s">
        <v>4586</v>
      </c>
      <c r="C1264" s="11" t="s">
        <v>4628</v>
      </c>
      <c r="D1264" s="11" t="s">
        <v>4629</v>
      </c>
      <c r="E1264" s="11" t="s">
        <v>57</v>
      </c>
      <c r="F1264" s="11" t="s">
        <v>4630</v>
      </c>
      <c r="G1264" s="11" t="s">
        <v>28</v>
      </c>
      <c r="H1264" s="11" t="s">
        <v>4630</v>
      </c>
      <c r="I1264" s="11" t="s">
        <v>4631</v>
      </c>
      <c r="J1264" s="12">
        <v>0.90129999999999999</v>
      </c>
      <c r="K1264" s="13">
        <v>1</v>
      </c>
      <c r="L1264" s="14">
        <v>233</v>
      </c>
      <c r="M1264" s="10">
        <v>210</v>
      </c>
      <c r="N1264" s="10">
        <v>25747</v>
      </c>
      <c r="O1264" s="10">
        <v>16468</v>
      </c>
      <c r="P1264" s="10">
        <v>42215</v>
      </c>
    </row>
    <row r="1265" spans="1:16" ht="27" customHeight="1" x14ac:dyDescent="0.2">
      <c r="A1265" s="9" t="s">
        <v>4506</v>
      </c>
      <c r="B1265" s="10" t="s">
        <v>4586</v>
      </c>
      <c r="C1265" s="11" t="s">
        <v>4632</v>
      </c>
      <c r="D1265" s="11" t="s">
        <v>4633</v>
      </c>
      <c r="E1265" s="11" t="s">
        <v>26</v>
      </c>
      <c r="F1265" s="11" t="s">
        <v>4634</v>
      </c>
      <c r="G1265" s="11" t="s">
        <v>28</v>
      </c>
      <c r="H1265" s="11" t="s">
        <v>4634</v>
      </c>
      <c r="I1265" s="11" t="s">
        <v>4635</v>
      </c>
      <c r="J1265" s="12">
        <v>0.57909999999999995</v>
      </c>
      <c r="K1265" s="13">
        <v>1</v>
      </c>
      <c r="L1265" s="14">
        <v>278</v>
      </c>
      <c r="M1265" s="10">
        <v>161</v>
      </c>
      <c r="N1265" s="10">
        <v>30719</v>
      </c>
      <c r="O1265" s="10">
        <v>12625</v>
      </c>
      <c r="P1265" s="10">
        <v>43344</v>
      </c>
    </row>
    <row r="1266" spans="1:16" ht="27" customHeight="1" x14ac:dyDescent="0.2">
      <c r="A1266" s="9" t="s">
        <v>4506</v>
      </c>
      <c r="B1266" s="10" t="s">
        <v>4586</v>
      </c>
      <c r="C1266" s="11" t="s">
        <v>4636</v>
      </c>
      <c r="D1266" s="11" t="s">
        <v>4637</v>
      </c>
      <c r="E1266" s="11" t="s">
        <v>26</v>
      </c>
      <c r="F1266" s="11" t="s">
        <v>4638</v>
      </c>
      <c r="G1266" s="11" t="s">
        <v>28</v>
      </c>
      <c r="H1266" s="11" t="s">
        <v>4509</v>
      </c>
      <c r="I1266" s="11" t="s">
        <v>4510</v>
      </c>
      <c r="J1266" s="12">
        <v>0.96040000000000003</v>
      </c>
      <c r="K1266" s="13">
        <v>1</v>
      </c>
      <c r="L1266" s="14">
        <v>709</v>
      </c>
      <c r="M1266" s="10">
        <v>624</v>
      </c>
      <c r="N1266" s="10">
        <v>78346</v>
      </c>
      <c r="O1266" s="10">
        <v>48933</v>
      </c>
      <c r="P1266" s="10">
        <v>127279</v>
      </c>
    </row>
    <row r="1267" spans="1:16" ht="27" customHeight="1" x14ac:dyDescent="0.2">
      <c r="A1267" s="9" t="s">
        <v>4506</v>
      </c>
      <c r="B1267" s="10" t="s">
        <v>4586</v>
      </c>
      <c r="C1267" s="11" t="s">
        <v>4639</v>
      </c>
      <c r="D1267" s="11" t="s">
        <v>4640</v>
      </c>
      <c r="E1267" s="11" t="s">
        <v>57</v>
      </c>
      <c r="F1267" s="11" t="s">
        <v>4641</v>
      </c>
      <c r="G1267" s="11" t="s">
        <v>28</v>
      </c>
      <c r="H1267" s="11" t="s">
        <v>4641</v>
      </c>
      <c r="I1267" s="11" t="s">
        <v>4642</v>
      </c>
      <c r="J1267" s="12">
        <v>0.89290000000000003</v>
      </c>
      <c r="K1267" s="13">
        <v>1</v>
      </c>
      <c r="L1267" s="14">
        <v>731</v>
      </c>
      <c r="M1267" s="10">
        <v>653</v>
      </c>
      <c r="N1267" s="10">
        <v>80777</v>
      </c>
      <c r="O1267" s="10">
        <v>51208</v>
      </c>
      <c r="P1267" s="10">
        <v>131985</v>
      </c>
    </row>
    <row r="1268" spans="1:16" ht="27" customHeight="1" x14ac:dyDescent="0.2">
      <c r="A1268" s="9" t="s">
        <v>4506</v>
      </c>
      <c r="B1268" s="10" t="s">
        <v>4643</v>
      </c>
      <c r="C1268" s="11" t="s">
        <v>18</v>
      </c>
      <c r="D1268" s="11" t="s">
        <v>19</v>
      </c>
      <c r="E1268" s="11" t="s">
        <v>19</v>
      </c>
      <c r="F1268" s="11" t="s">
        <v>4644</v>
      </c>
      <c r="G1268" s="11" t="s">
        <v>83</v>
      </c>
      <c r="H1268" s="11" t="s">
        <v>4645</v>
      </c>
      <c r="I1268" s="11" t="s">
        <v>4646</v>
      </c>
      <c r="J1268" s="12">
        <v>0.94269999999999998</v>
      </c>
      <c r="K1268" s="13">
        <v>69</v>
      </c>
      <c r="L1268" s="14">
        <v>38632</v>
      </c>
      <c r="M1268" s="10">
        <v>21099</v>
      </c>
      <c r="N1268" s="10">
        <v>4268899</v>
      </c>
      <c r="O1268" s="10">
        <v>1654566</v>
      </c>
      <c r="P1268" s="10">
        <v>5923465</v>
      </c>
    </row>
    <row r="1269" spans="1:16" ht="27" customHeight="1" x14ac:dyDescent="0.2">
      <c r="A1269" s="9" t="s">
        <v>4506</v>
      </c>
      <c r="B1269" s="10" t="s">
        <v>4643</v>
      </c>
      <c r="C1269" s="11" t="s">
        <v>4647</v>
      </c>
      <c r="D1269" s="11" t="s">
        <v>4648</v>
      </c>
      <c r="E1269" s="11" t="s">
        <v>26</v>
      </c>
      <c r="F1269" s="11" t="s">
        <v>4649</v>
      </c>
      <c r="G1269" s="11" t="s">
        <v>28</v>
      </c>
      <c r="H1269" s="11" t="s">
        <v>4649</v>
      </c>
      <c r="I1269" s="11" t="s">
        <v>4650</v>
      </c>
      <c r="J1269" s="12">
        <v>0.27839999999999998</v>
      </c>
      <c r="K1269" s="13">
        <v>1</v>
      </c>
      <c r="L1269" s="14">
        <v>1426</v>
      </c>
      <c r="M1269" s="10">
        <v>397</v>
      </c>
      <c r="N1269" s="10">
        <v>157575</v>
      </c>
      <c r="O1269" s="10">
        <v>31132</v>
      </c>
      <c r="P1269" s="10">
        <v>188707</v>
      </c>
    </row>
    <row r="1270" spans="1:16" ht="27" customHeight="1" x14ac:dyDescent="0.2">
      <c r="A1270" s="9" t="s">
        <v>4506</v>
      </c>
      <c r="B1270" s="10" t="s">
        <v>4643</v>
      </c>
      <c r="C1270" s="11" t="s">
        <v>4651</v>
      </c>
      <c r="D1270" s="11" t="s">
        <v>4652</v>
      </c>
      <c r="E1270" s="11" t="s">
        <v>26</v>
      </c>
      <c r="F1270" s="11" t="s">
        <v>4653</v>
      </c>
      <c r="G1270" s="11" t="s">
        <v>28</v>
      </c>
      <c r="H1270" s="11" t="s">
        <v>4653</v>
      </c>
      <c r="I1270" s="11" t="s">
        <v>4654</v>
      </c>
      <c r="J1270" s="12">
        <v>0.33119999999999999</v>
      </c>
      <c r="K1270" s="13">
        <v>1</v>
      </c>
      <c r="L1270" s="14">
        <v>314</v>
      </c>
      <c r="M1270" s="10">
        <v>104</v>
      </c>
      <c r="N1270" s="10">
        <v>34698</v>
      </c>
      <c r="O1270" s="10">
        <v>8156</v>
      </c>
      <c r="P1270" s="10">
        <v>42854</v>
      </c>
    </row>
    <row r="1271" spans="1:16" ht="27" customHeight="1" x14ac:dyDescent="0.2">
      <c r="A1271" s="9" t="s">
        <v>4506</v>
      </c>
      <c r="B1271" s="10" t="s">
        <v>4643</v>
      </c>
      <c r="C1271" s="11" t="s">
        <v>4655</v>
      </c>
      <c r="D1271" s="11" t="s">
        <v>4656</v>
      </c>
      <c r="E1271" s="11" t="s">
        <v>26</v>
      </c>
      <c r="F1271" s="11" t="s">
        <v>4657</v>
      </c>
      <c r="G1271" s="11" t="s">
        <v>28</v>
      </c>
      <c r="H1271" s="11" t="s">
        <v>4657</v>
      </c>
      <c r="I1271" s="11" t="s">
        <v>4658</v>
      </c>
      <c r="J1271" s="12">
        <v>0.83450000000000002</v>
      </c>
      <c r="K1271" s="13">
        <v>1</v>
      </c>
      <c r="L1271" s="14">
        <v>429</v>
      </c>
      <c r="M1271" s="10">
        <v>358</v>
      </c>
      <c r="N1271" s="10">
        <v>47405</v>
      </c>
      <c r="O1271" s="10">
        <v>28074</v>
      </c>
      <c r="P1271" s="10">
        <v>75479</v>
      </c>
    </row>
    <row r="1272" spans="1:16" ht="27" customHeight="1" x14ac:dyDescent="0.2">
      <c r="A1272" s="9" t="s">
        <v>4506</v>
      </c>
      <c r="B1272" s="10" t="s">
        <v>4643</v>
      </c>
      <c r="C1272" s="11" t="s">
        <v>4659</v>
      </c>
      <c r="D1272" s="11" t="s">
        <v>4660</v>
      </c>
      <c r="E1272" s="11" t="s">
        <v>26</v>
      </c>
      <c r="F1272" s="11" t="s">
        <v>4661</v>
      </c>
      <c r="G1272" s="11" t="s">
        <v>28</v>
      </c>
      <c r="H1272" s="11" t="s">
        <v>4661</v>
      </c>
      <c r="I1272" s="11" t="s">
        <v>4662</v>
      </c>
      <c r="J1272" s="12">
        <v>0.8911</v>
      </c>
      <c r="K1272" s="13">
        <v>1</v>
      </c>
      <c r="L1272" s="14">
        <v>505</v>
      </c>
      <c r="M1272" s="10">
        <v>450</v>
      </c>
      <c r="N1272" s="10">
        <v>55803</v>
      </c>
      <c r="O1272" s="10">
        <v>35289</v>
      </c>
      <c r="P1272" s="10">
        <v>91092</v>
      </c>
    </row>
    <row r="1273" spans="1:16" ht="27" customHeight="1" x14ac:dyDescent="0.2">
      <c r="A1273" s="9" t="s">
        <v>4506</v>
      </c>
      <c r="B1273" s="10" t="s">
        <v>4643</v>
      </c>
      <c r="C1273" s="11" t="s">
        <v>4663</v>
      </c>
      <c r="D1273" s="11" t="s">
        <v>4664</v>
      </c>
      <c r="E1273" s="11" t="s">
        <v>26</v>
      </c>
      <c r="F1273" s="11" t="s">
        <v>4665</v>
      </c>
      <c r="G1273" s="11" t="s">
        <v>28</v>
      </c>
      <c r="H1273" s="11" t="s">
        <v>4665</v>
      </c>
      <c r="I1273" s="11" t="s">
        <v>4666</v>
      </c>
      <c r="J1273" s="12">
        <v>0.77470000000000006</v>
      </c>
      <c r="K1273" s="13">
        <v>1</v>
      </c>
      <c r="L1273" s="14">
        <v>577</v>
      </c>
      <c r="M1273" s="10">
        <v>447</v>
      </c>
      <c r="N1273" s="10">
        <v>63759</v>
      </c>
      <c r="O1273" s="10">
        <v>35053</v>
      </c>
      <c r="P1273" s="10">
        <v>98812</v>
      </c>
    </row>
    <row r="1274" spans="1:16" ht="27" customHeight="1" x14ac:dyDescent="0.2">
      <c r="A1274" s="9" t="s">
        <v>4506</v>
      </c>
      <c r="B1274" s="10" t="s">
        <v>4643</v>
      </c>
      <c r="C1274" s="11" t="s">
        <v>4667</v>
      </c>
      <c r="D1274" s="11" t="s">
        <v>4668</v>
      </c>
      <c r="E1274" s="11" t="s">
        <v>26</v>
      </c>
      <c r="F1274" s="11" t="s">
        <v>4669</v>
      </c>
      <c r="G1274" s="11" t="s">
        <v>28</v>
      </c>
      <c r="H1274" s="11" t="s">
        <v>4669</v>
      </c>
      <c r="I1274" s="11" t="s">
        <v>4670</v>
      </c>
      <c r="J1274" s="12">
        <v>0.29749999999999999</v>
      </c>
      <c r="K1274" s="13">
        <v>1</v>
      </c>
      <c r="L1274" s="14">
        <v>279</v>
      </c>
      <c r="M1274" s="10">
        <v>83</v>
      </c>
      <c r="N1274" s="10">
        <v>30830</v>
      </c>
      <c r="O1274" s="10">
        <v>6509</v>
      </c>
      <c r="P1274" s="10">
        <v>37339</v>
      </c>
    </row>
    <row r="1275" spans="1:16" ht="27" customHeight="1" x14ac:dyDescent="0.2">
      <c r="A1275" s="9" t="s">
        <v>4506</v>
      </c>
      <c r="B1275" s="10" t="s">
        <v>4643</v>
      </c>
      <c r="C1275" s="11" t="s">
        <v>4671</v>
      </c>
      <c r="D1275" s="11" t="s">
        <v>4672</v>
      </c>
      <c r="E1275" s="11" t="s">
        <v>26</v>
      </c>
      <c r="F1275" s="11" t="s">
        <v>4673</v>
      </c>
      <c r="G1275" s="11" t="s">
        <v>28</v>
      </c>
      <c r="H1275" s="11" t="s">
        <v>4509</v>
      </c>
      <c r="I1275" s="11" t="s">
        <v>4510</v>
      </c>
      <c r="J1275" s="12">
        <v>0.96040000000000003</v>
      </c>
      <c r="K1275" s="13">
        <v>1</v>
      </c>
      <c r="L1275" s="14">
        <v>796</v>
      </c>
      <c r="M1275" s="10">
        <v>627</v>
      </c>
      <c r="N1275" s="10">
        <v>87959</v>
      </c>
      <c r="O1275" s="10">
        <v>49169</v>
      </c>
      <c r="P1275" s="10">
        <v>137128</v>
      </c>
    </row>
    <row r="1276" spans="1:16" ht="27" customHeight="1" x14ac:dyDescent="0.2">
      <c r="A1276" s="9" t="s">
        <v>4506</v>
      </c>
      <c r="B1276" s="10" t="s">
        <v>4643</v>
      </c>
      <c r="C1276" s="11" t="s">
        <v>4674</v>
      </c>
      <c r="D1276" s="11" t="s">
        <v>4675</v>
      </c>
      <c r="E1276" s="11" t="s">
        <v>26</v>
      </c>
      <c r="F1276" s="11" t="s">
        <v>4676</v>
      </c>
      <c r="G1276" s="11" t="s">
        <v>28</v>
      </c>
      <c r="H1276" s="11" t="s">
        <v>4676</v>
      </c>
      <c r="I1276" s="11" t="s">
        <v>4677</v>
      </c>
      <c r="J1276" s="12">
        <v>0.54920000000000002</v>
      </c>
      <c r="K1276" s="13">
        <v>1</v>
      </c>
      <c r="L1276" s="14">
        <v>6591</v>
      </c>
      <c r="M1276" s="10">
        <v>3620</v>
      </c>
      <c r="N1276" s="10">
        <v>728316</v>
      </c>
      <c r="O1276" s="10">
        <v>283877</v>
      </c>
      <c r="P1276" s="10">
        <v>1012193</v>
      </c>
    </row>
    <row r="1277" spans="1:16" ht="27" customHeight="1" x14ac:dyDescent="0.2">
      <c r="A1277" s="9" t="s">
        <v>4506</v>
      </c>
      <c r="B1277" s="10" t="s">
        <v>4643</v>
      </c>
      <c r="C1277" s="11" t="s">
        <v>4678</v>
      </c>
      <c r="D1277" s="11" t="s">
        <v>4679</v>
      </c>
      <c r="E1277" s="11" t="s">
        <v>57</v>
      </c>
      <c r="F1277" s="11" t="s">
        <v>4680</v>
      </c>
      <c r="G1277" s="11" t="s">
        <v>28</v>
      </c>
      <c r="H1277" s="11" t="s">
        <v>4680</v>
      </c>
      <c r="I1277" s="11" t="s">
        <v>4681</v>
      </c>
      <c r="J1277" s="12">
        <v>0.53920000000000001</v>
      </c>
      <c r="K1277" s="13">
        <v>1</v>
      </c>
      <c r="L1277" s="14">
        <v>217</v>
      </c>
      <c r="M1277" s="10">
        <v>117</v>
      </c>
      <c r="N1277" s="10">
        <v>23979</v>
      </c>
      <c r="O1277" s="10">
        <v>9175</v>
      </c>
      <c r="P1277" s="10">
        <v>33154</v>
      </c>
    </row>
    <row r="1278" spans="1:16" ht="27" customHeight="1" x14ac:dyDescent="0.2">
      <c r="A1278" s="9" t="s">
        <v>4506</v>
      </c>
      <c r="B1278" s="10" t="s">
        <v>4682</v>
      </c>
      <c r="C1278" s="11" t="s">
        <v>18</v>
      </c>
      <c r="D1278" s="11" t="s">
        <v>19</v>
      </c>
      <c r="E1278" s="11" t="s">
        <v>19</v>
      </c>
      <c r="F1278" s="11" t="s">
        <v>4683</v>
      </c>
      <c r="G1278" s="11" t="s">
        <v>83</v>
      </c>
      <c r="H1278" s="11" t="s">
        <v>4684</v>
      </c>
      <c r="I1278" s="11" t="s">
        <v>4685</v>
      </c>
      <c r="J1278" s="12">
        <v>0.70279999999999998</v>
      </c>
      <c r="K1278" s="13">
        <v>9</v>
      </c>
      <c r="L1278" s="14">
        <v>4233</v>
      </c>
      <c r="M1278" s="10">
        <v>2503</v>
      </c>
      <c r="N1278" s="10">
        <v>467754</v>
      </c>
      <c r="O1278" s="10">
        <v>196282</v>
      </c>
      <c r="P1278" s="10">
        <v>664036</v>
      </c>
    </row>
    <row r="1279" spans="1:16" ht="27" customHeight="1" x14ac:dyDescent="0.2">
      <c r="A1279" s="9" t="s">
        <v>4506</v>
      </c>
      <c r="B1279" s="10" t="s">
        <v>4686</v>
      </c>
      <c r="C1279" s="11" t="s">
        <v>18</v>
      </c>
      <c r="D1279" s="11" t="s">
        <v>19</v>
      </c>
      <c r="E1279" s="11" t="s">
        <v>19</v>
      </c>
      <c r="F1279" s="11" t="s">
        <v>4687</v>
      </c>
      <c r="G1279" s="11" t="s">
        <v>83</v>
      </c>
      <c r="H1279" s="11" t="s">
        <v>4688</v>
      </c>
      <c r="I1279" s="11" t="s">
        <v>4689</v>
      </c>
      <c r="J1279" s="12">
        <v>0.80089999999999995</v>
      </c>
      <c r="K1279" s="13">
        <v>16</v>
      </c>
      <c r="L1279" s="14">
        <v>11273</v>
      </c>
      <c r="M1279" s="10">
        <v>6179</v>
      </c>
      <c r="N1279" s="10">
        <v>1245685</v>
      </c>
      <c r="O1279" s="10">
        <v>484549</v>
      </c>
      <c r="P1279" s="10">
        <v>1730234</v>
      </c>
    </row>
    <row r="1280" spans="1:16" ht="27" customHeight="1" x14ac:dyDescent="0.2">
      <c r="A1280" s="9" t="s">
        <v>4506</v>
      </c>
      <c r="B1280" s="10" t="s">
        <v>4686</v>
      </c>
      <c r="C1280" s="11" t="s">
        <v>4690</v>
      </c>
      <c r="D1280" s="11" t="s">
        <v>4691</v>
      </c>
      <c r="E1280" s="11" t="s">
        <v>57</v>
      </c>
      <c r="F1280" s="11" t="s">
        <v>4692</v>
      </c>
      <c r="G1280" s="11" t="s">
        <v>28</v>
      </c>
      <c r="H1280" s="11" t="s">
        <v>4692</v>
      </c>
      <c r="I1280" s="11" t="s">
        <v>4693</v>
      </c>
      <c r="J1280" s="12">
        <v>0.33600000000000002</v>
      </c>
      <c r="K1280" s="13">
        <v>1</v>
      </c>
      <c r="L1280" s="14">
        <v>1247</v>
      </c>
      <c r="M1280" s="10">
        <v>419</v>
      </c>
      <c r="N1280" s="10">
        <v>137796</v>
      </c>
      <c r="O1280" s="10">
        <v>32858</v>
      </c>
      <c r="P1280" s="10">
        <v>170654</v>
      </c>
    </row>
    <row r="1281" spans="1:16" ht="27" customHeight="1" x14ac:dyDescent="0.2">
      <c r="A1281" s="9" t="s">
        <v>4506</v>
      </c>
      <c r="B1281" s="10" t="s">
        <v>4686</v>
      </c>
      <c r="C1281" s="11" t="s">
        <v>4694</v>
      </c>
      <c r="D1281" s="11" t="s">
        <v>4695</v>
      </c>
      <c r="E1281" s="11" t="s">
        <v>57</v>
      </c>
      <c r="F1281" s="11" t="s">
        <v>4696</v>
      </c>
      <c r="G1281" s="11" t="s">
        <v>28</v>
      </c>
      <c r="H1281" s="11" t="s">
        <v>4509</v>
      </c>
      <c r="I1281" s="11" t="s">
        <v>4510</v>
      </c>
      <c r="J1281" s="12">
        <v>0.96040000000000003</v>
      </c>
      <c r="K1281" s="13">
        <v>1</v>
      </c>
      <c r="L1281" s="14">
        <v>621</v>
      </c>
      <c r="M1281" s="10">
        <v>223</v>
      </c>
      <c r="N1281" s="10">
        <v>68622</v>
      </c>
      <c r="O1281" s="10">
        <v>17487</v>
      </c>
      <c r="P1281" s="10">
        <v>86109</v>
      </c>
    </row>
    <row r="1282" spans="1:16" ht="27" customHeight="1" x14ac:dyDescent="0.2">
      <c r="A1282" s="9" t="s">
        <v>4506</v>
      </c>
      <c r="B1282" s="10" t="s">
        <v>4686</v>
      </c>
      <c r="C1282" s="11" t="s">
        <v>4697</v>
      </c>
      <c r="D1282" s="11" t="s">
        <v>4698</v>
      </c>
      <c r="E1282" s="11" t="s">
        <v>57</v>
      </c>
      <c r="F1282" s="11" t="s">
        <v>4699</v>
      </c>
      <c r="G1282" s="11" t="s">
        <v>28</v>
      </c>
      <c r="H1282" s="11" t="s">
        <v>4509</v>
      </c>
      <c r="I1282" s="11" t="s">
        <v>4510</v>
      </c>
      <c r="J1282" s="12">
        <v>0.96040000000000003</v>
      </c>
      <c r="K1282" s="13">
        <v>1</v>
      </c>
      <c r="L1282" s="14">
        <v>513</v>
      </c>
      <c r="M1282" s="10">
        <v>196</v>
      </c>
      <c r="N1282" s="10">
        <v>56687</v>
      </c>
      <c r="O1282" s="10">
        <v>15370</v>
      </c>
      <c r="P1282" s="10">
        <v>72057</v>
      </c>
    </row>
    <row r="1283" spans="1:16" ht="27" customHeight="1" x14ac:dyDescent="0.2">
      <c r="A1283" s="9" t="s">
        <v>4506</v>
      </c>
      <c r="B1283" s="10" t="s">
        <v>4686</v>
      </c>
      <c r="C1283" s="11" t="s">
        <v>4700</v>
      </c>
      <c r="D1283" s="11" t="s">
        <v>4701</v>
      </c>
      <c r="E1283" s="11" t="s">
        <v>57</v>
      </c>
      <c r="F1283" s="11" t="s">
        <v>4702</v>
      </c>
      <c r="G1283" s="11" t="s">
        <v>28</v>
      </c>
      <c r="H1283" s="11" t="s">
        <v>4702</v>
      </c>
      <c r="I1283" s="11" t="s">
        <v>4703</v>
      </c>
      <c r="J1283" s="12">
        <v>0.44429999999999997</v>
      </c>
      <c r="K1283" s="13">
        <v>1</v>
      </c>
      <c r="L1283" s="14">
        <v>754</v>
      </c>
      <c r="M1283" s="10">
        <v>335</v>
      </c>
      <c r="N1283" s="10">
        <v>83318</v>
      </c>
      <c r="O1283" s="10">
        <v>26270</v>
      </c>
      <c r="P1283" s="10">
        <v>109588</v>
      </c>
    </row>
    <row r="1284" spans="1:16" ht="27" customHeight="1" x14ac:dyDescent="0.2">
      <c r="A1284" s="9" t="s">
        <v>4506</v>
      </c>
      <c r="B1284" s="10" t="s">
        <v>4686</v>
      </c>
      <c r="C1284" s="11" t="s">
        <v>4704</v>
      </c>
      <c r="D1284" s="11" t="s">
        <v>4705</v>
      </c>
      <c r="E1284" s="11" t="s">
        <v>57</v>
      </c>
      <c r="F1284" s="11" t="s">
        <v>4706</v>
      </c>
      <c r="G1284" s="11" t="s">
        <v>28</v>
      </c>
      <c r="H1284" s="11" t="s">
        <v>4706</v>
      </c>
      <c r="I1284" s="11" t="s">
        <v>4707</v>
      </c>
      <c r="J1284" s="12">
        <v>0.32269999999999999</v>
      </c>
      <c r="K1284" s="13">
        <v>1</v>
      </c>
      <c r="L1284" s="14">
        <v>440</v>
      </c>
      <c r="M1284" s="10">
        <v>142</v>
      </c>
      <c r="N1284" s="10">
        <v>48621</v>
      </c>
      <c r="O1284" s="10">
        <v>11135</v>
      </c>
      <c r="P1284" s="10">
        <v>59756</v>
      </c>
    </row>
    <row r="1285" spans="1:16" ht="27" customHeight="1" x14ac:dyDescent="0.2">
      <c r="A1285" s="9" t="s">
        <v>4506</v>
      </c>
      <c r="B1285" s="10" t="s">
        <v>4686</v>
      </c>
      <c r="C1285" s="11" t="s">
        <v>4708</v>
      </c>
      <c r="D1285" s="11" t="s">
        <v>4709</v>
      </c>
      <c r="E1285" s="11" t="s">
        <v>26</v>
      </c>
      <c r="F1285" s="11" t="s">
        <v>4710</v>
      </c>
      <c r="G1285" s="11" t="s">
        <v>28</v>
      </c>
      <c r="H1285" s="11" t="s">
        <v>4710</v>
      </c>
      <c r="I1285" s="11" t="s">
        <v>4711</v>
      </c>
      <c r="J1285" s="12">
        <v>0.21510000000000001</v>
      </c>
      <c r="K1285" s="13">
        <v>1</v>
      </c>
      <c r="L1285" s="14">
        <v>1869</v>
      </c>
      <c r="M1285" s="10">
        <v>402</v>
      </c>
      <c r="N1285" s="10">
        <v>206528</v>
      </c>
      <c r="O1285" s="10">
        <v>31524</v>
      </c>
      <c r="P1285" s="10">
        <v>238052</v>
      </c>
    </row>
    <row r="1286" spans="1:16" ht="27" customHeight="1" x14ac:dyDescent="0.2">
      <c r="A1286" s="9" t="s">
        <v>4506</v>
      </c>
      <c r="B1286" s="10" t="s">
        <v>4712</v>
      </c>
      <c r="C1286" s="11" t="s">
        <v>18</v>
      </c>
      <c r="D1286" s="11" t="s">
        <v>19</v>
      </c>
      <c r="E1286" s="11" t="s">
        <v>19</v>
      </c>
      <c r="F1286" s="11" t="s">
        <v>4713</v>
      </c>
      <c r="G1286" s="11" t="s">
        <v>83</v>
      </c>
      <c r="H1286" s="11" t="s">
        <v>3051</v>
      </c>
      <c r="I1286" s="11" t="s">
        <v>4714</v>
      </c>
      <c r="J1286" s="12">
        <v>0.95330000000000004</v>
      </c>
      <c r="K1286" s="13">
        <v>41</v>
      </c>
      <c r="L1286" s="14">
        <v>22497</v>
      </c>
      <c r="M1286" s="10">
        <v>19910</v>
      </c>
      <c r="N1286" s="10">
        <v>2485958</v>
      </c>
      <c r="O1286" s="10">
        <v>1561320</v>
      </c>
      <c r="P1286" s="10">
        <v>4047278</v>
      </c>
    </row>
    <row r="1287" spans="1:16" ht="27" customHeight="1" x14ac:dyDescent="0.2">
      <c r="A1287" s="9" t="s">
        <v>4506</v>
      </c>
      <c r="B1287" s="10" t="s">
        <v>4712</v>
      </c>
      <c r="C1287" s="11" t="s">
        <v>4715</v>
      </c>
      <c r="D1287" s="11" t="s">
        <v>4716</v>
      </c>
      <c r="E1287" s="11" t="s">
        <v>26</v>
      </c>
      <c r="F1287" s="11" t="s">
        <v>4717</v>
      </c>
      <c r="G1287" s="11" t="s">
        <v>28</v>
      </c>
      <c r="H1287" s="11" t="s">
        <v>4717</v>
      </c>
      <c r="I1287" s="11" t="s">
        <v>4718</v>
      </c>
      <c r="J1287" s="12">
        <v>0.82499999999999996</v>
      </c>
      <c r="K1287" s="13">
        <v>1</v>
      </c>
      <c r="L1287" s="14">
        <v>1714</v>
      </c>
      <c r="M1287" s="10">
        <v>1414</v>
      </c>
      <c r="N1287" s="10">
        <v>189400</v>
      </c>
      <c r="O1287" s="10">
        <v>110884</v>
      </c>
      <c r="P1287" s="10">
        <v>300284</v>
      </c>
    </row>
    <row r="1288" spans="1:16" ht="27" customHeight="1" x14ac:dyDescent="0.2">
      <c r="A1288" s="9" t="s">
        <v>4506</v>
      </c>
      <c r="B1288" s="10" t="s">
        <v>4712</v>
      </c>
      <c r="C1288" s="11" t="s">
        <v>4719</v>
      </c>
      <c r="D1288" s="11" t="s">
        <v>4720</v>
      </c>
      <c r="E1288" s="11" t="s">
        <v>26</v>
      </c>
      <c r="F1288" s="11" t="s">
        <v>4721</v>
      </c>
      <c r="G1288" s="11" t="s">
        <v>28</v>
      </c>
      <c r="H1288" s="11" t="s">
        <v>4509</v>
      </c>
      <c r="I1288" s="11" t="s">
        <v>4510</v>
      </c>
      <c r="J1288" s="12">
        <v>0.96040000000000003</v>
      </c>
      <c r="K1288" s="13">
        <v>1</v>
      </c>
      <c r="L1288" s="14">
        <v>459</v>
      </c>
      <c r="M1288" s="10">
        <v>422</v>
      </c>
      <c r="N1288" s="10">
        <v>50720</v>
      </c>
      <c r="O1288" s="10">
        <v>33093</v>
      </c>
      <c r="P1288" s="10">
        <v>83813</v>
      </c>
    </row>
    <row r="1289" spans="1:16" ht="27" customHeight="1" x14ac:dyDescent="0.2">
      <c r="A1289" s="9" t="s">
        <v>4506</v>
      </c>
      <c r="B1289" s="10" t="s">
        <v>4712</v>
      </c>
      <c r="C1289" s="11" t="s">
        <v>4722</v>
      </c>
      <c r="D1289" s="11" t="s">
        <v>4723</v>
      </c>
      <c r="E1289" s="11" t="s">
        <v>26</v>
      </c>
      <c r="F1289" s="11" t="s">
        <v>4724</v>
      </c>
      <c r="G1289" s="11" t="s">
        <v>28</v>
      </c>
      <c r="H1289" s="11" t="s">
        <v>4724</v>
      </c>
      <c r="I1289" s="11" t="s">
        <v>4725</v>
      </c>
      <c r="J1289" s="12">
        <v>0.4647</v>
      </c>
      <c r="K1289" s="13">
        <v>1</v>
      </c>
      <c r="L1289" s="14">
        <v>1106</v>
      </c>
      <c r="M1289" s="10">
        <v>514</v>
      </c>
      <c r="N1289" s="10">
        <v>122215</v>
      </c>
      <c r="O1289" s="10">
        <v>40307</v>
      </c>
      <c r="P1289" s="10">
        <v>162522</v>
      </c>
    </row>
    <row r="1290" spans="1:16" ht="27" customHeight="1" x14ac:dyDescent="0.2">
      <c r="A1290" s="9" t="s">
        <v>4506</v>
      </c>
      <c r="B1290" s="10" t="s">
        <v>4712</v>
      </c>
      <c r="C1290" s="11" t="s">
        <v>4726</v>
      </c>
      <c r="D1290" s="11" t="s">
        <v>4727</v>
      </c>
      <c r="E1290" s="11" t="s">
        <v>57</v>
      </c>
      <c r="F1290" s="11" t="s">
        <v>4728</v>
      </c>
      <c r="G1290" s="11" t="s">
        <v>28</v>
      </c>
      <c r="H1290" s="11" t="s">
        <v>4728</v>
      </c>
      <c r="I1290" s="11" t="s">
        <v>4729</v>
      </c>
      <c r="J1290" s="12">
        <v>0.75980000000000003</v>
      </c>
      <c r="K1290" s="13">
        <v>1</v>
      </c>
      <c r="L1290" s="14">
        <v>691</v>
      </c>
      <c r="M1290" s="10">
        <v>525</v>
      </c>
      <c r="N1290" s="10">
        <v>76357</v>
      </c>
      <c r="O1290" s="10">
        <v>41170</v>
      </c>
      <c r="P1290" s="10">
        <v>117527</v>
      </c>
    </row>
    <row r="1291" spans="1:16" ht="27" customHeight="1" x14ac:dyDescent="0.2">
      <c r="A1291" s="9" t="s">
        <v>4506</v>
      </c>
      <c r="B1291" s="10" t="s">
        <v>4712</v>
      </c>
      <c r="C1291" s="11" t="s">
        <v>4730</v>
      </c>
      <c r="D1291" s="11" t="s">
        <v>4731</v>
      </c>
      <c r="E1291" s="11" t="s">
        <v>26</v>
      </c>
      <c r="F1291" s="11" t="s">
        <v>4732</v>
      </c>
      <c r="G1291" s="11" t="s">
        <v>28</v>
      </c>
      <c r="H1291" s="11" t="s">
        <v>4732</v>
      </c>
      <c r="I1291" s="11" t="s">
        <v>4733</v>
      </c>
      <c r="J1291" s="12">
        <v>0.82840000000000003</v>
      </c>
      <c r="K1291" s="13">
        <v>1</v>
      </c>
      <c r="L1291" s="14">
        <v>606</v>
      </c>
      <c r="M1291" s="10">
        <v>502</v>
      </c>
      <c r="N1291" s="10">
        <v>66964</v>
      </c>
      <c r="O1291" s="10">
        <v>39366</v>
      </c>
      <c r="P1291" s="10">
        <v>106330</v>
      </c>
    </row>
    <row r="1292" spans="1:16" ht="27" customHeight="1" x14ac:dyDescent="0.2">
      <c r="A1292" s="9" t="s">
        <v>4506</v>
      </c>
      <c r="B1292" s="10" t="s">
        <v>4712</v>
      </c>
      <c r="C1292" s="11" t="s">
        <v>4734</v>
      </c>
      <c r="D1292" s="11" t="s">
        <v>4735</v>
      </c>
      <c r="E1292" s="11" t="s">
        <v>26</v>
      </c>
      <c r="F1292" s="11" t="s">
        <v>4736</v>
      </c>
      <c r="G1292" s="11" t="s">
        <v>28</v>
      </c>
      <c r="H1292" s="11" t="s">
        <v>4736</v>
      </c>
      <c r="I1292" s="11" t="s">
        <v>4737</v>
      </c>
      <c r="J1292" s="12">
        <v>0.86119999999999997</v>
      </c>
      <c r="K1292" s="13">
        <v>1</v>
      </c>
      <c r="L1292" s="14">
        <v>533</v>
      </c>
      <c r="M1292" s="10">
        <v>459</v>
      </c>
      <c r="N1292" s="10">
        <v>58897</v>
      </c>
      <c r="O1292" s="10">
        <v>35994</v>
      </c>
      <c r="P1292" s="10">
        <v>94891</v>
      </c>
    </row>
    <row r="1293" spans="1:16" ht="27" customHeight="1" x14ac:dyDescent="0.2">
      <c r="A1293" s="9" t="s">
        <v>4506</v>
      </c>
      <c r="B1293" s="10" t="s">
        <v>4712</v>
      </c>
      <c r="C1293" s="11" t="s">
        <v>4738</v>
      </c>
      <c r="D1293" s="11" t="s">
        <v>4739</v>
      </c>
      <c r="E1293" s="11" t="s">
        <v>26</v>
      </c>
      <c r="F1293" s="11" t="s">
        <v>4740</v>
      </c>
      <c r="G1293" s="11" t="s">
        <v>28</v>
      </c>
      <c r="H1293" s="11" t="s">
        <v>4509</v>
      </c>
      <c r="I1293" s="11" t="s">
        <v>4510</v>
      </c>
      <c r="J1293" s="12">
        <v>0.96040000000000003</v>
      </c>
      <c r="K1293" s="13">
        <v>1</v>
      </c>
      <c r="L1293" s="14">
        <v>176</v>
      </c>
      <c r="M1293" s="10">
        <v>142</v>
      </c>
      <c r="N1293" s="10">
        <v>19448</v>
      </c>
      <c r="O1293" s="10">
        <v>11135</v>
      </c>
      <c r="P1293" s="10">
        <v>30583</v>
      </c>
    </row>
    <row r="1294" spans="1:16" ht="27" customHeight="1" x14ac:dyDescent="0.2">
      <c r="A1294" s="9" t="s">
        <v>4506</v>
      </c>
      <c r="B1294" s="10" t="s">
        <v>4712</v>
      </c>
      <c r="C1294" s="11" t="s">
        <v>4741</v>
      </c>
      <c r="D1294" s="11" t="s">
        <v>4742</v>
      </c>
      <c r="E1294" s="11" t="s">
        <v>26</v>
      </c>
      <c r="F1294" s="11" t="s">
        <v>4743</v>
      </c>
      <c r="G1294" s="11" t="s">
        <v>28</v>
      </c>
      <c r="H1294" s="11" t="s">
        <v>4743</v>
      </c>
      <c r="I1294" s="11" t="s">
        <v>4744</v>
      </c>
      <c r="J1294" s="12">
        <v>0.85489999999999999</v>
      </c>
      <c r="K1294" s="13">
        <v>1</v>
      </c>
      <c r="L1294" s="14">
        <v>6749</v>
      </c>
      <c r="M1294" s="10">
        <v>5770</v>
      </c>
      <c r="N1294" s="10">
        <v>745776</v>
      </c>
      <c r="O1294" s="10">
        <v>452477</v>
      </c>
      <c r="P1294" s="10">
        <v>1198253</v>
      </c>
    </row>
    <row r="1295" spans="1:16" ht="27" customHeight="1" x14ac:dyDescent="0.2">
      <c r="A1295" s="9" t="s">
        <v>4506</v>
      </c>
      <c r="B1295" s="10" t="s">
        <v>4712</v>
      </c>
      <c r="C1295" s="11" t="s">
        <v>4745</v>
      </c>
      <c r="D1295" s="11" t="s">
        <v>4746</v>
      </c>
      <c r="E1295" s="11" t="s">
        <v>26</v>
      </c>
      <c r="F1295" s="11" t="s">
        <v>4747</v>
      </c>
      <c r="G1295" s="11" t="s">
        <v>28</v>
      </c>
      <c r="H1295" s="11" t="s">
        <v>4747</v>
      </c>
      <c r="I1295" s="11" t="s">
        <v>4748</v>
      </c>
      <c r="J1295" s="12">
        <v>0.84740000000000004</v>
      </c>
      <c r="K1295" s="13">
        <v>1</v>
      </c>
      <c r="L1295" s="14">
        <v>2202</v>
      </c>
      <c r="M1295" s="10">
        <v>1866</v>
      </c>
      <c r="N1295" s="10">
        <v>243325</v>
      </c>
      <c r="O1295" s="10">
        <v>146330</v>
      </c>
      <c r="P1295" s="10">
        <v>389655</v>
      </c>
    </row>
    <row r="1296" spans="1:16" ht="27" customHeight="1" x14ac:dyDescent="0.2">
      <c r="A1296" s="9" t="s">
        <v>4506</v>
      </c>
      <c r="B1296" s="10" t="s">
        <v>4712</v>
      </c>
      <c r="C1296" s="11" t="s">
        <v>4749</v>
      </c>
      <c r="D1296" s="11" t="s">
        <v>4750</v>
      </c>
      <c r="E1296" s="11" t="s">
        <v>57</v>
      </c>
      <c r="F1296" s="11" t="s">
        <v>4751</v>
      </c>
      <c r="G1296" s="11" t="s">
        <v>28</v>
      </c>
      <c r="H1296" s="11" t="s">
        <v>4751</v>
      </c>
      <c r="I1296" s="11" t="s">
        <v>4752</v>
      </c>
      <c r="J1296" s="12">
        <v>0.90339999999999998</v>
      </c>
      <c r="K1296" s="13">
        <v>1</v>
      </c>
      <c r="L1296" s="14">
        <v>1077</v>
      </c>
      <c r="M1296" s="10">
        <v>973</v>
      </c>
      <c r="N1296" s="10">
        <v>119010</v>
      </c>
      <c r="O1296" s="10">
        <v>76302</v>
      </c>
      <c r="P1296" s="10">
        <v>195312</v>
      </c>
    </row>
    <row r="1297" spans="1:16" ht="27" customHeight="1" x14ac:dyDescent="0.2">
      <c r="A1297" s="9" t="s">
        <v>4506</v>
      </c>
      <c r="B1297" s="10" t="s">
        <v>4712</v>
      </c>
      <c r="C1297" s="11" t="s">
        <v>4753</v>
      </c>
      <c r="D1297" s="11" t="s">
        <v>4754</v>
      </c>
      <c r="E1297" s="11" t="s">
        <v>57</v>
      </c>
      <c r="F1297" s="11" t="s">
        <v>4755</v>
      </c>
      <c r="G1297" s="11" t="s">
        <v>28</v>
      </c>
      <c r="H1297" s="11" t="s">
        <v>4509</v>
      </c>
      <c r="I1297" s="11" t="s">
        <v>4510</v>
      </c>
      <c r="J1297" s="12">
        <v>0.96040000000000003</v>
      </c>
      <c r="K1297" s="13">
        <v>1</v>
      </c>
      <c r="L1297" s="14">
        <v>392</v>
      </c>
      <c r="M1297" s="10">
        <v>294</v>
      </c>
      <c r="N1297" s="10">
        <v>43317</v>
      </c>
      <c r="O1297" s="10">
        <v>23055</v>
      </c>
      <c r="P1297" s="10">
        <v>66372</v>
      </c>
    </row>
    <row r="1298" spans="1:16" ht="27" customHeight="1" x14ac:dyDescent="0.2">
      <c r="A1298" s="9" t="s">
        <v>4756</v>
      </c>
      <c r="B1298" s="10" t="s">
        <v>4757</v>
      </c>
      <c r="C1298" s="11" t="s">
        <v>18</v>
      </c>
      <c r="D1298" s="11" t="s">
        <v>19</v>
      </c>
      <c r="E1298" s="11" t="s">
        <v>19</v>
      </c>
      <c r="F1298" s="11" t="s">
        <v>4758</v>
      </c>
      <c r="G1298" s="11" t="s">
        <v>21</v>
      </c>
      <c r="H1298" s="11" t="s">
        <v>1482</v>
      </c>
      <c r="I1298" s="11" t="s">
        <v>4759</v>
      </c>
      <c r="J1298" s="12">
        <v>1</v>
      </c>
      <c r="K1298" s="13">
        <v>5</v>
      </c>
      <c r="L1298" s="14">
        <v>134</v>
      </c>
      <c r="M1298" s="10">
        <v>130</v>
      </c>
      <c r="N1298" s="10">
        <v>14808</v>
      </c>
      <c r="O1298" s="10">
        <v>10195</v>
      </c>
      <c r="P1298" s="10">
        <v>25003</v>
      </c>
    </row>
    <row r="1299" spans="1:16" ht="27" customHeight="1" x14ac:dyDescent="0.2">
      <c r="A1299" s="9" t="s">
        <v>4756</v>
      </c>
      <c r="B1299" s="10" t="s">
        <v>4760</v>
      </c>
      <c r="C1299" s="11" t="s">
        <v>18</v>
      </c>
      <c r="D1299" s="11" t="s">
        <v>19</v>
      </c>
      <c r="E1299" s="11" t="s">
        <v>19</v>
      </c>
      <c r="F1299" s="11" t="s">
        <v>4761</v>
      </c>
      <c r="G1299" s="11" t="s">
        <v>83</v>
      </c>
      <c r="H1299" s="11" t="s">
        <v>4761</v>
      </c>
      <c r="I1299" s="11" t="s">
        <v>4762</v>
      </c>
      <c r="J1299" s="12">
        <v>0.36670000000000003</v>
      </c>
      <c r="K1299" s="13">
        <v>2</v>
      </c>
      <c r="L1299" s="14">
        <v>30</v>
      </c>
      <c r="M1299" s="10">
        <v>11</v>
      </c>
      <c r="N1299" s="10">
        <v>3315</v>
      </c>
      <c r="O1299" s="10">
        <v>863</v>
      </c>
      <c r="P1299" s="10">
        <v>4178</v>
      </c>
    </row>
    <row r="1300" spans="1:16" ht="27" customHeight="1" x14ac:dyDescent="0.2">
      <c r="A1300" s="9" t="s">
        <v>4756</v>
      </c>
      <c r="B1300" s="10" t="s">
        <v>4763</v>
      </c>
      <c r="C1300" s="11" t="s">
        <v>18</v>
      </c>
      <c r="D1300" s="11" t="s">
        <v>19</v>
      </c>
      <c r="E1300" s="11" t="s">
        <v>19</v>
      </c>
      <c r="F1300" s="11" t="s">
        <v>4764</v>
      </c>
      <c r="G1300" s="11" t="s">
        <v>83</v>
      </c>
      <c r="H1300" s="11" t="s">
        <v>4765</v>
      </c>
      <c r="I1300" s="11" t="s">
        <v>4766</v>
      </c>
      <c r="J1300" s="12">
        <v>0.52380000000000004</v>
      </c>
      <c r="K1300" s="13">
        <v>2</v>
      </c>
      <c r="L1300" s="14">
        <v>21</v>
      </c>
      <c r="M1300" s="10">
        <v>11</v>
      </c>
      <c r="N1300" s="10">
        <v>2321</v>
      </c>
      <c r="O1300" s="10">
        <v>863</v>
      </c>
      <c r="P1300" s="10">
        <v>3184</v>
      </c>
    </row>
    <row r="1301" spans="1:16" ht="27" customHeight="1" x14ac:dyDescent="0.2">
      <c r="A1301" s="9" t="s">
        <v>4756</v>
      </c>
      <c r="B1301" s="10" t="s">
        <v>4767</v>
      </c>
      <c r="C1301" s="11" t="s">
        <v>18</v>
      </c>
      <c r="D1301" s="11" t="s">
        <v>19</v>
      </c>
      <c r="E1301" s="11" t="s">
        <v>19</v>
      </c>
      <c r="F1301" s="11" t="s">
        <v>4768</v>
      </c>
      <c r="G1301" s="11" t="s">
        <v>83</v>
      </c>
      <c r="H1301" s="11" t="s">
        <v>4769</v>
      </c>
      <c r="I1301" s="11" t="s">
        <v>4770</v>
      </c>
      <c r="J1301" s="12">
        <v>0.73519999999999996</v>
      </c>
      <c r="K1301" s="13">
        <v>11</v>
      </c>
      <c r="L1301" s="14">
        <v>5670</v>
      </c>
      <c r="M1301" s="10">
        <v>2970</v>
      </c>
      <c r="N1301" s="10">
        <v>626543</v>
      </c>
      <c r="O1301" s="10">
        <v>232904</v>
      </c>
      <c r="P1301" s="10">
        <v>859447</v>
      </c>
    </row>
    <row r="1302" spans="1:16" ht="27" customHeight="1" x14ac:dyDescent="0.2">
      <c r="A1302" s="9" t="s">
        <v>4756</v>
      </c>
      <c r="B1302" s="10" t="s">
        <v>4767</v>
      </c>
      <c r="C1302" s="11" t="s">
        <v>4771</v>
      </c>
      <c r="D1302" s="11" t="s">
        <v>4772</v>
      </c>
      <c r="E1302" s="11" t="s">
        <v>26</v>
      </c>
      <c r="F1302" s="11" t="s">
        <v>4773</v>
      </c>
      <c r="G1302" s="11" t="s">
        <v>28</v>
      </c>
      <c r="H1302" s="11" t="s">
        <v>4773</v>
      </c>
      <c r="I1302" s="11" t="s">
        <v>4774</v>
      </c>
      <c r="J1302" s="12">
        <v>0.50090000000000001</v>
      </c>
      <c r="K1302" s="13">
        <v>1</v>
      </c>
      <c r="L1302" s="14">
        <v>539</v>
      </c>
      <c r="M1302" s="10">
        <v>270</v>
      </c>
      <c r="N1302" s="10">
        <v>59560</v>
      </c>
      <c r="O1302" s="10">
        <v>21173</v>
      </c>
      <c r="P1302" s="10">
        <v>80733</v>
      </c>
    </row>
    <row r="1303" spans="1:16" ht="27" customHeight="1" x14ac:dyDescent="0.2">
      <c r="A1303" s="9" t="s">
        <v>4756</v>
      </c>
      <c r="B1303" s="10" t="s">
        <v>4775</v>
      </c>
      <c r="C1303" s="11" t="s">
        <v>18</v>
      </c>
      <c r="D1303" s="11" t="s">
        <v>19</v>
      </c>
      <c r="E1303" s="11" t="s">
        <v>19</v>
      </c>
      <c r="F1303" s="11" t="s">
        <v>1482</v>
      </c>
      <c r="G1303" s="11" t="s">
        <v>83</v>
      </c>
      <c r="H1303" s="11" t="s">
        <v>1482</v>
      </c>
      <c r="I1303" s="11" t="s">
        <v>4759</v>
      </c>
      <c r="J1303" s="12">
        <v>1</v>
      </c>
      <c r="K1303" s="13">
        <v>2</v>
      </c>
      <c r="L1303" s="14">
        <v>3</v>
      </c>
      <c r="M1303" s="10">
        <v>3</v>
      </c>
      <c r="N1303" s="10">
        <v>332</v>
      </c>
      <c r="O1303" s="10">
        <v>235</v>
      </c>
      <c r="P1303" s="10">
        <v>567</v>
      </c>
    </row>
    <row r="1304" spans="1:16" ht="27" customHeight="1" x14ac:dyDescent="0.2">
      <c r="A1304" s="9" t="s">
        <v>4756</v>
      </c>
      <c r="B1304" s="10" t="s">
        <v>4776</v>
      </c>
      <c r="C1304" s="11" t="s">
        <v>18</v>
      </c>
      <c r="D1304" s="11" t="s">
        <v>19</v>
      </c>
      <c r="E1304" s="11" t="s">
        <v>19</v>
      </c>
      <c r="F1304" s="11" t="s">
        <v>4777</v>
      </c>
      <c r="G1304" s="11" t="s">
        <v>83</v>
      </c>
      <c r="H1304" s="11" t="s">
        <v>4778</v>
      </c>
      <c r="I1304" s="11" t="s">
        <v>4779</v>
      </c>
      <c r="J1304" s="12">
        <v>0.39700000000000002</v>
      </c>
      <c r="K1304" s="13">
        <v>2</v>
      </c>
      <c r="L1304" s="14">
        <v>743</v>
      </c>
      <c r="M1304" s="10">
        <v>295</v>
      </c>
      <c r="N1304" s="10">
        <v>82103</v>
      </c>
      <c r="O1304" s="10">
        <v>23134</v>
      </c>
      <c r="P1304" s="10">
        <v>105237</v>
      </c>
    </row>
    <row r="1305" spans="1:16" ht="27" customHeight="1" x14ac:dyDescent="0.2">
      <c r="A1305" s="9" t="s">
        <v>4756</v>
      </c>
      <c r="B1305" s="10" t="s">
        <v>4780</v>
      </c>
      <c r="C1305" s="11" t="s">
        <v>18</v>
      </c>
      <c r="D1305" s="11" t="s">
        <v>19</v>
      </c>
      <c r="E1305" s="11" t="s">
        <v>19</v>
      </c>
      <c r="F1305" s="11" t="s">
        <v>4781</v>
      </c>
      <c r="G1305" s="11" t="s">
        <v>83</v>
      </c>
      <c r="H1305" s="11" t="s">
        <v>4781</v>
      </c>
      <c r="I1305" s="11" t="s">
        <v>4782</v>
      </c>
      <c r="J1305" s="12">
        <v>0.75</v>
      </c>
      <c r="K1305" s="13">
        <v>2</v>
      </c>
      <c r="L1305" s="14">
        <v>8</v>
      </c>
      <c r="M1305" s="10">
        <v>6</v>
      </c>
      <c r="N1305" s="10">
        <v>884</v>
      </c>
      <c r="O1305" s="10">
        <v>471</v>
      </c>
      <c r="P1305" s="10">
        <v>1355</v>
      </c>
    </row>
    <row r="1306" spans="1:16" ht="27" customHeight="1" x14ac:dyDescent="0.2">
      <c r="A1306" s="9" t="s">
        <v>4756</v>
      </c>
      <c r="B1306" s="10" t="s">
        <v>4783</v>
      </c>
      <c r="C1306" s="11" t="s">
        <v>18</v>
      </c>
      <c r="D1306" s="11" t="s">
        <v>19</v>
      </c>
      <c r="E1306" s="11" t="s">
        <v>19</v>
      </c>
      <c r="F1306" s="11" t="s">
        <v>4784</v>
      </c>
      <c r="G1306" s="11" t="s">
        <v>83</v>
      </c>
      <c r="H1306" s="11" t="s">
        <v>1482</v>
      </c>
      <c r="I1306" s="11" t="s">
        <v>4759</v>
      </c>
      <c r="J1306" s="12">
        <v>1</v>
      </c>
      <c r="K1306" s="13">
        <v>3</v>
      </c>
      <c r="L1306" s="14">
        <v>3556</v>
      </c>
      <c r="M1306" s="10">
        <v>1604</v>
      </c>
      <c r="N1306" s="10">
        <v>392944</v>
      </c>
      <c r="O1306" s="10">
        <v>125784</v>
      </c>
      <c r="P1306" s="10">
        <v>518728</v>
      </c>
    </row>
    <row r="1307" spans="1:16" ht="27" customHeight="1" x14ac:dyDescent="0.2">
      <c r="A1307" s="9" t="s">
        <v>4756</v>
      </c>
      <c r="B1307" s="10" t="s">
        <v>4785</v>
      </c>
      <c r="C1307" s="11" t="s">
        <v>18</v>
      </c>
      <c r="D1307" s="11" t="s">
        <v>19</v>
      </c>
      <c r="E1307" s="11" t="s">
        <v>19</v>
      </c>
      <c r="F1307" s="11" t="s">
        <v>4786</v>
      </c>
      <c r="G1307" s="11" t="s">
        <v>83</v>
      </c>
      <c r="H1307" s="11" t="s">
        <v>4786</v>
      </c>
      <c r="I1307" s="11" t="s">
        <v>4787</v>
      </c>
      <c r="J1307" s="12">
        <v>0.42059999999999997</v>
      </c>
      <c r="K1307" s="13">
        <v>2</v>
      </c>
      <c r="L1307" s="14">
        <v>233</v>
      </c>
      <c r="M1307" s="10">
        <v>98</v>
      </c>
      <c r="N1307" s="10">
        <v>25747</v>
      </c>
      <c r="O1307" s="10">
        <v>7685</v>
      </c>
      <c r="P1307" s="10">
        <v>33432</v>
      </c>
    </row>
    <row r="1308" spans="1:16" ht="27" customHeight="1" x14ac:dyDescent="0.2">
      <c r="A1308" s="9" t="s">
        <v>4756</v>
      </c>
      <c r="B1308" s="10" t="s">
        <v>4788</v>
      </c>
      <c r="C1308" s="11" t="s">
        <v>18</v>
      </c>
      <c r="D1308" s="11" t="s">
        <v>19</v>
      </c>
      <c r="E1308" s="11" t="s">
        <v>19</v>
      </c>
      <c r="F1308" s="11" t="s">
        <v>4789</v>
      </c>
      <c r="G1308" s="11" t="s">
        <v>83</v>
      </c>
      <c r="H1308" s="11" t="s">
        <v>4790</v>
      </c>
      <c r="I1308" s="11" t="s">
        <v>4791</v>
      </c>
      <c r="J1308" s="12">
        <v>0.54900000000000004</v>
      </c>
      <c r="K1308" s="13">
        <v>2</v>
      </c>
      <c r="L1308" s="14">
        <v>51</v>
      </c>
      <c r="M1308" s="10">
        <v>28</v>
      </c>
      <c r="N1308" s="10">
        <v>5636</v>
      </c>
      <c r="O1308" s="10">
        <v>2196</v>
      </c>
      <c r="P1308" s="10">
        <v>7832</v>
      </c>
    </row>
    <row r="1309" spans="1:16" ht="27" customHeight="1" x14ac:dyDescent="0.2">
      <c r="A1309" s="9" t="s">
        <v>4756</v>
      </c>
      <c r="B1309" s="10" t="s">
        <v>4792</v>
      </c>
      <c r="C1309" s="11" t="s">
        <v>18</v>
      </c>
      <c r="D1309" s="11" t="s">
        <v>19</v>
      </c>
      <c r="E1309" s="11" t="s">
        <v>19</v>
      </c>
      <c r="F1309" s="11" t="s">
        <v>4793</v>
      </c>
      <c r="G1309" s="11" t="s">
        <v>83</v>
      </c>
      <c r="H1309" s="11" t="s">
        <v>4794</v>
      </c>
      <c r="I1309" s="11" t="s">
        <v>4795</v>
      </c>
      <c r="J1309" s="12">
        <v>0.85</v>
      </c>
      <c r="K1309" s="13">
        <v>2</v>
      </c>
      <c r="L1309" s="14">
        <v>20</v>
      </c>
      <c r="M1309" s="10">
        <v>17</v>
      </c>
      <c r="N1309" s="10">
        <v>2210</v>
      </c>
      <c r="O1309" s="10">
        <v>1333</v>
      </c>
      <c r="P1309" s="10">
        <v>3543</v>
      </c>
    </row>
    <row r="1310" spans="1:16" ht="27" customHeight="1" x14ac:dyDescent="0.2">
      <c r="A1310" s="9" t="s">
        <v>4756</v>
      </c>
      <c r="B1310" s="10" t="s">
        <v>4796</v>
      </c>
      <c r="C1310" s="11" t="s">
        <v>18</v>
      </c>
      <c r="D1310" s="11" t="s">
        <v>19</v>
      </c>
      <c r="E1310" s="11" t="s">
        <v>19</v>
      </c>
      <c r="F1310" s="11" t="s">
        <v>4797</v>
      </c>
      <c r="G1310" s="11" t="s">
        <v>83</v>
      </c>
      <c r="H1310" s="11" t="s">
        <v>4798</v>
      </c>
      <c r="I1310" s="11" t="s">
        <v>4799</v>
      </c>
      <c r="J1310" s="12">
        <v>0.48060000000000003</v>
      </c>
      <c r="K1310" s="13">
        <v>4</v>
      </c>
      <c r="L1310" s="14">
        <v>1032</v>
      </c>
      <c r="M1310" s="10">
        <v>503</v>
      </c>
      <c r="N1310" s="10">
        <v>114037</v>
      </c>
      <c r="O1310" s="10">
        <v>39444</v>
      </c>
      <c r="P1310" s="10">
        <v>153481</v>
      </c>
    </row>
    <row r="1311" spans="1:16" ht="27" customHeight="1" x14ac:dyDescent="0.2">
      <c r="A1311" s="9" t="s">
        <v>4800</v>
      </c>
      <c r="B1311" s="10" t="s">
        <v>4801</v>
      </c>
      <c r="C1311" s="11" t="s">
        <v>18</v>
      </c>
      <c r="D1311" s="11" t="s">
        <v>19</v>
      </c>
      <c r="E1311" s="11" t="s">
        <v>19</v>
      </c>
      <c r="F1311" s="11" t="s">
        <v>4802</v>
      </c>
      <c r="G1311" s="11" t="s">
        <v>21</v>
      </c>
      <c r="H1311" s="11" t="s">
        <v>4803</v>
      </c>
      <c r="I1311" s="11" t="s">
        <v>4804</v>
      </c>
      <c r="J1311" s="12">
        <v>0.98809999999999998</v>
      </c>
      <c r="K1311" s="13">
        <v>4</v>
      </c>
      <c r="L1311" s="14">
        <v>4054</v>
      </c>
      <c r="M1311" s="10">
        <v>3635</v>
      </c>
      <c r="N1311" s="10">
        <v>447974</v>
      </c>
      <c r="O1311" s="10">
        <v>285053</v>
      </c>
      <c r="P1311" s="10">
        <v>733027</v>
      </c>
    </row>
    <row r="1312" spans="1:16" ht="27" customHeight="1" x14ac:dyDescent="0.2">
      <c r="A1312" s="9" t="s">
        <v>4800</v>
      </c>
      <c r="B1312" s="10" t="s">
        <v>4801</v>
      </c>
      <c r="C1312" s="11" t="s">
        <v>4805</v>
      </c>
      <c r="D1312" s="11" t="s">
        <v>4806</v>
      </c>
      <c r="E1312" s="11" t="s">
        <v>26</v>
      </c>
      <c r="F1312" s="11" t="s">
        <v>4807</v>
      </c>
      <c r="G1312" s="11" t="s">
        <v>28</v>
      </c>
      <c r="H1312" s="11" t="s">
        <v>4807</v>
      </c>
      <c r="I1312" s="11" t="s">
        <v>4808</v>
      </c>
      <c r="J1312" s="12">
        <v>0.77400000000000002</v>
      </c>
      <c r="K1312" s="13">
        <v>1</v>
      </c>
      <c r="L1312" s="14">
        <v>1106</v>
      </c>
      <c r="M1312" s="10">
        <v>856</v>
      </c>
      <c r="N1312" s="10">
        <v>122215</v>
      </c>
      <c r="O1312" s="10">
        <v>67127</v>
      </c>
      <c r="P1312" s="10">
        <v>189342</v>
      </c>
    </row>
    <row r="1313" spans="1:16" ht="27" customHeight="1" x14ac:dyDescent="0.2">
      <c r="A1313" s="9" t="s">
        <v>4800</v>
      </c>
      <c r="B1313" s="10" t="s">
        <v>4801</v>
      </c>
      <c r="C1313" s="11" t="s">
        <v>4809</v>
      </c>
      <c r="D1313" s="11" t="s">
        <v>4810</v>
      </c>
      <c r="E1313" s="11" t="s">
        <v>26</v>
      </c>
      <c r="F1313" s="11" t="s">
        <v>4811</v>
      </c>
      <c r="G1313" s="11" t="s">
        <v>28</v>
      </c>
      <c r="H1313" s="11" t="s">
        <v>4811</v>
      </c>
      <c r="I1313" s="11" t="s">
        <v>4812</v>
      </c>
      <c r="J1313" s="12">
        <v>0.40839999999999999</v>
      </c>
      <c r="K1313" s="13">
        <v>1</v>
      </c>
      <c r="L1313" s="14">
        <v>311</v>
      </c>
      <c r="M1313" s="10">
        <v>127</v>
      </c>
      <c r="N1313" s="10">
        <v>34366</v>
      </c>
      <c r="O1313" s="10">
        <v>9959</v>
      </c>
      <c r="P1313" s="10">
        <v>44325</v>
      </c>
    </row>
    <row r="1314" spans="1:16" ht="27" customHeight="1" x14ac:dyDescent="0.2">
      <c r="A1314" s="9" t="s">
        <v>4800</v>
      </c>
      <c r="B1314" s="10" t="s">
        <v>4801</v>
      </c>
      <c r="C1314" s="11" t="s">
        <v>4813</v>
      </c>
      <c r="D1314" s="11" t="s">
        <v>4814</v>
      </c>
      <c r="E1314" s="11" t="s">
        <v>26</v>
      </c>
      <c r="F1314" s="11" t="s">
        <v>4815</v>
      </c>
      <c r="G1314" s="11" t="s">
        <v>28</v>
      </c>
      <c r="H1314" s="11" t="s">
        <v>4803</v>
      </c>
      <c r="I1314" s="11" t="s">
        <v>4804</v>
      </c>
      <c r="J1314" s="12">
        <v>0.98809999999999998</v>
      </c>
      <c r="K1314" s="13">
        <v>1</v>
      </c>
      <c r="L1314" s="14">
        <v>286</v>
      </c>
      <c r="M1314" s="10">
        <v>213</v>
      </c>
      <c r="N1314" s="10">
        <v>31603</v>
      </c>
      <c r="O1314" s="10">
        <v>16703</v>
      </c>
      <c r="P1314" s="10">
        <v>48306</v>
      </c>
    </row>
    <row r="1315" spans="1:16" ht="27" customHeight="1" x14ac:dyDescent="0.2">
      <c r="A1315" s="9" t="s">
        <v>4800</v>
      </c>
      <c r="B1315" s="10" t="s">
        <v>4801</v>
      </c>
      <c r="C1315" s="11" t="s">
        <v>4816</v>
      </c>
      <c r="D1315" s="11" t="s">
        <v>4817</v>
      </c>
      <c r="E1315" s="11" t="s">
        <v>26</v>
      </c>
      <c r="F1315" s="11" t="s">
        <v>4818</v>
      </c>
      <c r="G1315" s="11" t="s">
        <v>28</v>
      </c>
      <c r="H1315" s="11" t="s">
        <v>4803</v>
      </c>
      <c r="I1315" s="11" t="s">
        <v>4804</v>
      </c>
      <c r="J1315" s="12">
        <v>0.98809999999999998</v>
      </c>
      <c r="K1315" s="13">
        <v>1</v>
      </c>
      <c r="L1315" s="14">
        <v>2180</v>
      </c>
      <c r="M1315" s="10">
        <v>1376</v>
      </c>
      <c r="N1315" s="10">
        <v>240894</v>
      </c>
      <c r="O1315" s="10">
        <v>107905</v>
      </c>
      <c r="P1315" s="10">
        <v>348799</v>
      </c>
    </row>
    <row r="1316" spans="1:16" ht="27" customHeight="1" x14ac:dyDescent="0.2">
      <c r="A1316" s="9" t="s">
        <v>4800</v>
      </c>
      <c r="B1316" s="10" t="s">
        <v>4801</v>
      </c>
      <c r="C1316" s="11" t="s">
        <v>4819</v>
      </c>
      <c r="D1316" s="11" t="s">
        <v>4820</v>
      </c>
      <c r="E1316" s="11" t="s">
        <v>26</v>
      </c>
      <c r="F1316" s="11" t="s">
        <v>4821</v>
      </c>
      <c r="G1316" s="11" t="s">
        <v>28</v>
      </c>
      <c r="H1316" s="11" t="s">
        <v>4821</v>
      </c>
      <c r="I1316" s="11" t="s">
        <v>4822</v>
      </c>
      <c r="J1316" s="12">
        <v>0.80459999999999998</v>
      </c>
      <c r="K1316" s="13">
        <v>1</v>
      </c>
      <c r="L1316" s="14">
        <v>527</v>
      </c>
      <c r="M1316" s="15">
        <v>424</v>
      </c>
      <c r="N1316" s="15">
        <v>58234</v>
      </c>
      <c r="O1316" s="10">
        <v>33250</v>
      </c>
      <c r="P1316" s="15">
        <v>91484</v>
      </c>
    </row>
    <row r="1317" spans="1:16" ht="27" customHeight="1" x14ac:dyDescent="0.2">
      <c r="A1317" s="9" t="s">
        <v>4800</v>
      </c>
      <c r="B1317" s="10" t="s">
        <v>4823</v>
      </c>
      <c r="C1317" s="11" t="s">
        <v>18</v>
      </c>
      <c r="D1317" s="11" t="s">
        <v>19</v>
      </c>
      <c r="E1317" s="11" t="s">
        <v>19</v>
      </c>
      <c r="F1317" s="11" t="s">
        <v>4824</v>
      </c>
      <c r="G1317" s="11" t="s">
        <v>83</v>
      </c>
      <c r="H1317" s="11" t="s">
        <v>4824</v>
      </c>
      <c r="I1317" s="11" t="s">
        <v>4825</v>
      </c>
      <c r="J1317" s="12">
        <v>0.91290000000000004</v>
      </c>
      <c r="K1317" s="13">
        <v>16</v>
      </c>
      <c r="L1317" s="14">
        <v>7742</v>
      </c>
      <c r="M1317" s="10">
        <v>5915</v>
      </c>
      <c r="N1317" s="10">
        <v>855503</v>
      </c>
      <c r="O1317" s="10">
        <v>463848</v>
      </c>
      <c r="P1317" s="10">
        <v>1319351</v>
      </c>
    </row>
    <row r="1318" spans="1:16" ht="27" customHeight="1" x14ac:dyDescent="0.2">
      <c r="A1318" s="9" t="s">
        <v>4800</v>
      </c>
      <c r="B1318" s="10" t="s">
        <v>4823</v>
      </c>
      <c r="C1318" s="11" t="s">
        <v>4826</v>
      </c>
      <c r="D1318" s="11" t="s">
        <v>4827</v>
      </c>
      <c r="E1318" s="11" t="s">
        <v>26</v>
      </c>
      <c r="F1318" s="11" t="s">
        <v>4828</v>
      </c>
      <c r="G1318" s="11" t="s">
        <v>28</v>
      </c>
      <c r="H1318" s="11" t="s">
        <v>4828</v>
      </c>
      <c r="I1318" s="11" t="s">
        <v>4829</v>
      </c>
      <c r="J1318" s="12">
        <v>0.85350000000000004</v>
      </c>
      <c r="K1318" s="13">
        <v>1</v>
      </c>
      <c r="L1318" s="14">
        <v>471</v>
      </c>
      <c r="M1318" s="10">
        <v>402</v>
      </c>
      <c r="N1318" s="10">
        <v>52046</v>
      </c>
      <c r="O1318" s="10">
        <v>31524</v>
      </c>
      <c r="P1318" s="10">
        <v>83570</v>
      </c>
    </row>
    <row r="1319" spans="1:16" ht="27" customHeight="1" x14ac:dyDescent="0.2">
      <c r="A1319" s="9" t="s">
        <v>4800</v>
      </c>
      <c r="B1319" s="10" t="s">
        <v>4830</v>
      </c>
      <c r="C1319" s="11" t="s">
        <v>18</v>
      </c>
      <c r="D1319" s="11" t="s">
        <v>19</v>
      </c>
      <c r="E1319" s="11" t="s">
        <v>19</v>
      </c>
      <c r="F1319" s="11" t="s">
        <v>4831</v>
      </c>
      <c r="G1319" s="11" t="s">
        <v>83</v>
      </c>
      <c r="H1319" s="11" t="s">
        <v>4831</v>
      </c>
      <c r="I1319" s="11" t="s">
        <v>4832</v>
      </c>
      <c r="J1319" s="12">
        <v>0.50890000000000002</v>
      </c>
      <c r="K1319" s="13">
        <v>11</v>
      </c>
      <c r="L1319" s="14">
        <v>5528</v>
      </c>
      <c r="M1319" s="10">
        <v>2004</v>
      </c>
      <c r="N1319" s="10">
        <v>610852</v>
      </c>
      <c r="O1319" s="10">
        <v>157151</v>
      </c>
      <c r="P1319" s="10">
        <v>768003</v>
      </c>
    </row>
    <row r="1320" spans="1:16" ht="27" customHeight="1" x14ac:dyDescent="0.2">
      <c r="A1320" s="9" t="s">
        <v>4800</v>
      </c>
      <c r="B1320" s="10" t="s">
        <v>4833</v>
      </c>
      <c r="C1320" s="11" t="s">
        <v>18</v>
      </c>
      <c r="D1320" s="11" t="s">
        <v>19</v>
      </c>
      <c r="E1320" s="11" t="s">
        <v>19</v>
      </c>
      <c r="F1320" s="11" t="s">
        <v>4834</v>
      </c>
      <c r="G1320" s="11" t="s">
        <v>83</v>
      </c>
      <c r="H1320" s="11" t="s">
        <v>4835</v>
      </c>
      <c r="I1320" s="11" t="s">
        <v>4836</v>
      </c>
      <c r="J1320" s="12">
        <v>0.89490000000000003</v>
      </c>
      <c r="K1320" s="13">
        <v>15</v>
      </c>
      <c r="L1320" s="14">
        <v>6394</v>
      </c>
      <c r="M1320" s="10">
        <v>4792</v>
      </c>
      <c r="N1320" s="10">
        <v>706547</v>
      </c>
      <c r="O1320" s="10">
        <v>375785</v>
      </c>
      <c r="P1320" s="10">
        <v>1082332</v>
      </c>
    </row>
    <row r="1321" spans="1:16" ht="27" customHeight="1" x14ac:dyDescent="0.2">
      <c r="A1321" s="9" t="s">
        <v>4800</v>
      </c>
      <c r="B1321" s="10" t="s">
        <v>4837</v>
      </c>
      <c r="C1321" s="11" t="s">
        <v>18</v>
      </c>
      <c r="D1321" s="11" t="s">
        <v>19</v>
      </c>
      <c r="E1321" s="11" t="s">
        <v>19</v>
      </c>
      <c r="F1321" s="11" t="s">
        <v>4838</v>
      </c>
      <c r="G1321" s="11" t="s">
        <v>83</v>
      </c>
      <c r="H1321" s="11" t="s">
        <v>4839</v>
      </c>
      <c r="I1321" s="11" t="s">
        <v>4840</v>
      </c>
      <c r="J1321" s="12">
        <v>0.70940000000000003</v>
      </c>
      <c r="K1321" s="13">
        <v>7</v>
      </c>
      <c r="L1321" s="14">
        <v>2146</v>
      </c>
      <c r="M1321" s="10">
        <v>1476</v>
      </c>
      <c r="N1321" s="10">
        <v>237136</v>
      </c>
      <c r="O1321" s="10">
        <v>115747</v>
      </c>
      <c r="P1321" s="10">
        <v>352883</v>
      </c>
    </row>
    <row r="1322" spans="1:16" ht="27" customHeight="1" x14ac:dyDescent="0.2">
      <c r="A1322" s="9" t="s">
        <v>4800</v>
      </c>
      <c r="B1322" s="10" t="s">
        <v>4841</v>
      </c>
      <c r="C1322" s="11" t="s">
        <v>18</v>
      </c>
      <c r="D1322" s="11" t="s">
        <v>19</v>
      </c>
      <c r="E1322" s="11" t="s">
        <v>19</v>
      </c>
      <c r="F1322" s="11" t="s">
        <v>1806</v>
      </c>
      <c r="G1322" s="11" t="s">
        <v>83</v>
      </c>
      <c r="H1322" s="11" t="s">
        <v>4842</v>
      </c>
      <c r="I1322" s="11" t="s">
        <v>4843</v>
      </c>
      <c r="J1322" s="12">
        <v>0.81599999999999995</v>
      </c>
      <c r="K1322" s="13">
        <v>8</v>
      </c>
      <c r="L1322" s="14">
        <v>4269</v>
      </c>
      <c r="M1322" s="10">
        <v>2823</v>
      </c>
      <c r="N1322" s="10">
        <v>471732</v>
      </c>
      <c r="O1322" s="10">
        <v>221377</v>
      </c>
      <c r="P1322" s="10">
        <v>693109</v>
      </c>
    </row>
    <row r="1323" spans="1:16" ht="27" customHeight="1" x14ac:dyDescent="0.2">
      <c r="A1323" s="9" t="s">
        <v>4800</v>
      </c>
      <c r="B1323" s="10" t="s">
        <v>4844</v>
      </c>
      <c r="C1323" s="11" t="s">
        <v>18</v>
      </c>
      <c r="D1323" s="11" t="s">
        <v>19</v>
      </c>
      <c r="E1323" s="11" t="s">
        <v>19</v>
      </c>
      <c r="F1323" s="11" t="s">
        <v>4845</v>
      </c>
      <c r="G1323" s="11" t="s">
        <v>83</v>
      </c>
      <c r="H1323" s="11" t="s">
        <v>4803</v>
      </c>
      <c r="I1323" s="11" t="s">
        <v>4804</v>
      </c>
      <c r="J1323" s="12">
        <v>0.98809999999999998</v>
      </c>
      <c r="K1323" s="13">
        <v>12</v>
      </c>
      <c r="L1323" s="14">
        <v>23058</v>
      </c>
      <c r="M1323" s="10">
        <v>14078</v>
      </c>
      <c r="N1323" s="10">
        <v>2547948</v>
      </c>
      <c r="O1323" s="10">
        <v>1103980</v>
      </c>
      <c r="P1323" s="10">
        <v>3651928</v>
      </c>
    </row>
    <row r="1324" spans="1:16" ht="27" customHeight="1" x14ac:dyDescent="0.2">
      <c r="A1324" s="9" t="s">
        <v>4800</v>
      </c>
      <c r="B1324" s="10" t="s">
        <v>4846</v>
      </c>
      <c r="C1324" s="11" t="s">
        <v>18</v>
      </c>
      <c r="D1324" s="11" t="s">
        <v>19</v>
      </c>
      <c r="E1324" s="11" t="s">
        <v>19</v>
      </c>
      <c r="F1324" s="11" t="s">
        <v>4847</v>
      </c>
      <c r="G1324" s="11" t="s">
        <v>83</v>
      </c>
      <c r="H1324" s="11" t="s">
        <v>4848</v>
      </c>
      <c r="I1324" s="11" t="s">
        <v>4849</v>
      </c>
      <c r="J1324" s="12">
        <v>0.93310000000000004</v>
      </c>
      <c r="K1324" s="13">
        <v>35</v>
      </c>
      <c r="L1324" s="14">
        <v>25723</v>
      </c>
      <c r="M1324" s="10">
        <v>12375</v>
      </c>
      <c r="N1324" s="10">
        <v>2842436</v>
      </c>
      <c r="O1324" s="10">
        <v>970434</v>
      </c>
      <c r="P1324" s="10">
        <v>3812870</v>
      </c>
    </row>
    <row r="1325" spans="1:16" ht="27" customHeight="1" x14ac:dyDescent="0.2">
      <c r="A1325" s="9" t="s">
        <v>4800</v>
      </c>
      <c r="B1325" s="10" t="s">
        <v>4846</v>
      </c>
      <c r="C1325" s="11" t="s">
        <v>4850</v>
      </c>
      <c r="D1325" s="11" t="s">
        <v>4851</v>
      </c>
      <c r="E1325" s="11" t="s">
        <v>26</v>
      </c>
      <c r="F1325" s="11" t="s">
        <v>4852</v>
      </c>
      <c r="G1325" s="11" t="s">
        <v>28</v>
      </c>
      <c r="H1325" s="11" t="s">
        <v>4852</v>
      </c>
      <c r="I1325" s="11" t="s">
        <v>4853</v>
      </c>
      <c r="J1325" s="12">
        <v>0.32529999999999998</v>
      </c>
      <c r="K1325" s="13">
        <v>1</v>
      </c>
      <c r="L1325" s="14">
        <v>956</v>
      </c>
      <c r="M1325" s="10">
        <v>311</v>
      </c>
      <c r="N1325" s="10">
        <v>105640</v>
      </c>
      <c r="O1325" s="10">
        <v>24388</v>
      </c>
      <c r="P1325" s="10">
        <v>130028</v>
      </c>
    </row>
    <row r="1326" spans="1:16" ht="27" customHeight="1" x14ac:dyDescent="0.2">
      <c r="A1326" s="9" t="s">
        <v>4800</v>
      </c>
      <c r="B1326" s="10" t="s">
        <v>4854</v>
      </c>
      <c r="C1326" s="11" t="s">
        <v>18</v>
      </c>
      <c r="D1326" s="11" t="s">
        <v>19</v>
      </c>
      <c r="E1326" s="11" t="s">
        <v>19</v>
      </c>
      <c r="F1326" s="11" t="s">
        <v>4855</v>
      </c>
      <c r="G1326" s="11" t="s">
        <v>83</v>
      </c>
      <c r="H1326" s="11" t="s">
        <v>4856</v>
      </c>
      <c r="I1326" s="11" t="s">
        <v>4857</v>
      </c>
      <c r="J1326" s="12">
        <v>0.94989999999999997</v>
      </c>
      <c r="K1326" s="13">
        <v>29</v>
      </c>
      <c r="L1326" s="14">
        <v>19640</v>
      </c>
      <c r="M1326" s="10">
        <v>16291</v>
      </c>
      <c r="N1326" s="10">
        <v>2170251</v>
      </c>
      <c r="O1326" s="10">
        <v>1277525</v>
      </c>
      <c r="P1326" s="10">
        <v>3447776</v>
      </c>
    </row>
    <row r="1327" spans="1:16" ht="27" customHeight="1" x14ac:dyDescent="0.2">
      <c r="A1327" s="9" t="s">
        <v>4800</v>
      </c>
      <c r="B1327" s="10" t="s">
        <v>4858</v>
      </c>
      <c r="C1327" s="11" t="s">
        <v>18</v>
      </c>
      <c r="D1327" s="11" t="s">
        <v>19</v>
      </c>
      <c r="E1327" s="11" t="s">
        <v>19</v>
      </c>
      <c r="F1327" s="11" t="s">
        <v>4859</v>
      </c>
      <c r="G1327" s="11" t="s">
        <v>83</v>
      </c>
      <c r="H1327" s="11" t="s">
        <v>4859</v>
      </c>
      <c r="I1327" s="11" t="s">
        <v>4860</v>
      </c>
      <c r="J1327" s="12">
        <v>0.69440000000000002</v>
      </c>
      <c r="K1327" s="13">
        <v>5</v>
      </c>
      <c r="L1327" s="14">
        <v>2342</v>
      </c>
      <c r="M1327" s="10">
        <v>1536</v>
      </c>
      <c r="N1327" s="10">
        <v>258794</v>
      </c>
      <c r="O1327" s="10">
        <v>120451</v>
      </c>
      <c r="P1327" s="10">
        <v>379245</v>
      </c>
    </row>
    <row r="1328" spans="1:16" ht="27" customHeight="1" x14ac:dyDescent="0.2">
      <c r="A1328" s="9" t="s">
        <v>4800</v>
      </c>
      <c r="B1328" s="10" t="s">
        <v>4861</v>
      </c>
      <c r="C1328" s="11" t="s">
        <v>18</v>
      </c>
      <c r="D1328" s="11" t="s">
        <v>19</v>
      </c>
      <c r="E1328" s="11" t="s">
        <v>19</v>
      </c>
      <c r="F1328" s="11" t="s">
        <v>4862</v>
      </c>
      <c r="G1328" s="11" t="s">
        <v>83</v>
      </c>
      <c r="H1328" s="11" t="s">
        <v>4863</v>
      </c>
      <c r="I1328" s="11" t="s">
        <v>4864</v>
      </c>
      <c r="J1328" s="12">
        <v>0.66769999999999996</v>
      </c>
      <c r="K1328" s="13">
        <v>19</v>
      </c>
      <c r="L1328" s="14">
        <v>13476</v>
      </c>
      <c r="M1328" s="10">
        <v>6940</v>
      </c>
      <c r="N1328" s="10">
        <v>1489120</v>
      </c>
      <c r="O1328" s="10">
        <v>544227</v>
      </c>
      <c r="P1328" s="10">
        <v>2033347</v>
      </c>
    </row>
    <row r="1329" spans="1:16" ht="27" customHeight="1" x14ac:dyDescent="0.2">
      <c r="A1329" s="9" t="s">
        <v>4800</v>
      </c>
      <c r="B1329" s="10" t="s">
        <v>4865</v>
      </c>
      <c r="C1329" s="11" t="s">
        <v>18</v>
      </c>
      <c r="D1329" s="11" t="s">
        <v>19</v>
      </c>
      <c r="E1329" s="11" t="s">
        <v>19</v>
      </c>
      <c r="F1329" s="11" t="s">
        <v>4866</v>
      </c>
      <c r="G1329" s="11" t="s">
        <v>83</v>
      </c>
      <c r="H1329" s="11" t="s">
        <v>4867</v>
      </c>
      <c r="I1329" s="11" t="s">
        <v>4868</v>
      </c>
      <c r="J1329" s="12">
        <v>0.90810000000000002</v>
      </c>
      <c r="K1329" s="13">
        <v>45</v>
      </c>
      <c r="L1329" s="14">
        <v>35219</v>
      </c>
      <c r="M1329" s="10">
        <v>27398</v>
      </c>
      <c r="N1329" s="10">
        <v>3891759</v>
      </c>
      <c r="O1329" s="10">
        <v>2148526</v>
      </c>
      <c r="P1329" s="10">
        <v>6040285</v>
      </c>
    </row>
    <row r="1330" spans="1:16" ht="27" customHeight="1" x14ac:dyDescent="0.2">
      <c r="A1330" s="9" t="s">
        <v>4800</v>
      </c>
      <c r="B1330" s="10" t="s">
        <v>4865</v>
      </c>
      <c r="C1330" s="11" t="s">
        <v>4869</v>
      </c>
      <c r="D1330" s="11" t="s">
        <v>4870</v>
      </c>
      <c r="E1330" s="11" t="s">
        <v>26</v>
      </c>
      <c r="F1330" s="11" t="s">
        <v>4871</v>
      </c>
      <c r="G1330" s="11" t="s">
        <v>28</v>
      </c>
      <c r="H1330" s="11" t="s">
        <v>4871</v>
      </c>
      <c r="I1330" s="11" t="s">
        <v>4872</v>
      </c>
      <c r="J1330" s="12">
        <v>0</v>
      </c>
      <c r="K1330" s="13">
        <v>1</v>
      </c>
      <c r="L1330" s="14">
        <v>0</v>
      </c>
      <c r="M1330" s="10">
        <v>0</v>
      </c>
      <c r="N1330" s="10">
        <v>0</v>
      </c>
      <c r="O1330" s="10">
        <v>0</v>
      </c>
      <c r="P1330" s="10">
        <v>0</v>
      </c>
    </row>
    <row r="1331" spans="1:16" ht="27" customHeight="1" x14ac:dyDescent="0.2">
      <c r="A1331" s="9" t="s">
        <v>4800</v>
      </c>
      <c r="B1331" s="10" t="s">
        <v>4873</v>
      </c>
      <c r="C1331" s="11" t="s">
        <v>18</v>
      </c>
      <c r="D1331" s="11" t="s">
        <v>19</v>
      </c>
      <c r="E1331" s="11" t="s">
        <v>19</v>
      </c>
      <c r="F1331" s="11" t="s">
        <v>4874</v>
      </c>
      <c r="G1331" s="11" t="s">
        <v>83</v>
      </c>
      <c r="H1331" s="11" t="s">
        <v>4874</v>
      </c>
      <c r="I1331" s="11" t="s">
        <v>4875</v>
      </c>
      <c r="J1331" s="12">
        <v>0.55769999999999997</v>
      </c>
      <c r="K1331" s="13">
        <v>3</v>
      </c>
      <c r="L1331" s="14">
        <v>678</v>
      </c>
      <c r="M1331" s="10">
        <v>374</v>
      </c>
      <c r="N1331" s="10">
        <v>74920</v>
      </c>
      <c r="O1331" s="10">
        <v>29329</v>
      </c>
      <c r="P1331" s="10">
        <v>104249</v>
      </c>
    </row>
    <row r="1332" spans="1:16" ht="27" customHeight="1" x14ac:dyDescent="0.2">
      <c r="A1332" s="9" t="s">
        <v>4800</v>
      </c>
      <c r="B1332" s="10" t="s">
        <v>4873</v>
      </c>
      <c r="C1332" s="11" t="s">
        <v>4876</v>
      </c>
      <c r="D1332" s="11" t="s">
        <v>4877</v>
      </c>
      <c r="E1332" s="11" t="s">
        <v>57</v>
      </c>
      <c r="F1332" s="11" t="s">
        <v>4878</v>
      </c>
      <c r="G1332" s="11" t="s">
        <v>28</v>
      </c>
      <c r="H1332" s="11" t="s">
        <v>4803</v>
      </c>
      <c r="I1332" s="11" t="s">
        <v>4804</v>
      </c>
      <c r="J1332" s="12">
        <v>0.98809999999999998</v>
      </c>
      <c r="K1332" s="13">
        <v>1</v>
      </c>
      <c r="L1332" s="14">
        <v>294</v>
      </c>
      <c r="M1332" s="10">
        <v>137</v>
      </c>
      <c r="N1332" s="10">
        <v>32487</v>
      </c>
      <c r="O1332" s="10">
        <v>10743</v>
      </c>
      <c r="P1332" s="10">
        <v>43230</v>
      </c>
    </row>
    <row r="1333" spans="1:16" ht="27" customHeight="1" x14ac:dyDescent="0.2">
      <c r="A1333" s="9" t="s">
        <v>4800</v>
      </c>
      <c r="B1333" s="10" t="s">
        <v>4873</v>
      </c>
      <c r="C1333" s="11" t="s">
        <v>4879</v>
      </c>
      <c r="D1333" s="11" t="s">
        <v>4880</v>
      </c>
      <c r="E1333" s="11" t="s">
        <v>26</v>
      </c>
      <c r="F1333" s="11" t="s">
        <v>4881</v>
      </c>
      <c r="G1333" s="11" t="s">
        <v>28</v>
      </c>
      <c r="H1333" s="11" t="s">
        <v>4881</v>
      </c>
      <c r="I1333" s="11" t="s">
        <v>4882</v>
      </c>
      <c r="J1333" s="12">
        <v>0.51570000000000005</v>
      </c>
      <c r="K1333" s="13">
        <v>1</v>
      </c>
      <c r="L1333" s="14">
        <v>1497</v>
      </c>
      <c r="M1333" s="10">
        <v>772</v>
      </c>
      <c r="N1333" s="10">
        <v>165421</v>
      </c>
      <c r="O1333" s="10">
        <v>60539</v>
      </c>
      <c r="P1333" s="10">
        <v>225960</v>
      </c>
    </row>
    <row r="1334" spans="1:16" ht="27" customHeight="1" x14ac:dyDescent="0.2">
      <c r="A1334" s="9" t="s">
        <v>4800</v>
      </c>
      <c r="B1334" s="10" t="s">
        <v>4873</v>
      </c>
      <c r="C1334" s="11" t="s">
        <v>4883</v>
      </c>
      <c r="D1334" s="11" t="s">
        <v>4884</v>
      </c>
      <c r="E1334" s="11" t="s">
        <v>57</v>
      </c>
      <c r="F1334" s="11" t="s">
        <v>4885</v>
      </c>
      <c r="G1334" s="11" t="s">
        <v>28</v>
      </c>
      <c r="H1334" s="11" t="s">
        <v>4885</v>
      </c>
      <c r="I1334" s="11" t="s">
        <v>4886</v>
      </c>
      <c r="J1334" s="12">
        <v>0.68700000000000006</v>
      </c>
      <c r="K1334" s="13">
        <v>1</v>
      </c>
      <c r="L1334" s="14">
        <v>131</v>
      </c>
      <c r="M1334" s="10">
        <v>90</v>
      </c>
      <c r="N1334" s="10">
        <v>14476</v>
      </c>
      <c r="O1334" s="10">
        <v>7058</v>
      </c>
      <c r="P1334" s="10">
        <v>21534</v>
      </c>
    </row>
    <row r="1335" spans="1:16" ht="27" customHeight="1" x14ac:dyDescent="0.2">
      <c r="A1335" s="9" t="s">
        <v>4800</v>
      </c>
      <c r="B1335" s="10" t="s">
        <v>4873</v>
      </c>
      <c r="C1335" s="11" t="s">
        <v>4887</v>
      </c>
      <c r="D1335" s="11" t="s">
        <v>4888</v>
      </c>
      <c r="E1335" s="11" t="s">
        <v>26</v>
      </c>
      <c r="F1335" s="11" t="s">
        <v>4889</v>
      </c>
      <c r="G1335" s="11" t="s">
        <v>28</v>
      </c>
      <c r="H1335" s="11" t="s">
        <v>4889</v>
      </c>
      <c r="I1335" s="11" t="s">
        <v>4890</v>
      </c>
      <c r="J1335" s="12">
        <v>0.38119999999999998</v>
      </c>
      <c r="K1335" s="13">
        <v>1</v>
      </c>
      <c r="L1335" s="14">
        <v>3048</v>
      </c>
      <c r="M1335" s="10">
        <v>1162</v>
      </c>
      <c r="N1335" s="10">
        <v>336809</v>
      </c>
      <c r="O1335" s="10">
        <v>91123</v>
      </c>
      <c r="P1335" s="10">
        <v>427932</v>
      </c>
    </row>
    <row r="1336" spans="1:16" ht="27" customHeight="1" x14ac:dyDescent="0.2">
      <c r="A1336" s="9" t="s">
        <v>4800</v>
      </c>
      <c r="B1336" s="10" t="s">
        <v>4873</v>
      </c>
      <c r="C1336" s="11" t="s">
        <v>4891</v>
      </c>
      <c r="D1336" s="11" t="s">
        <v>4892</v>
      </c>
      <c r="E1336" s="11" t="s">
        <v>26</v>
      </c>
      <c r="F1336" s="11" t="s">
        <v>4893</v>
      </c>
      <c r="G1336" s="11" t="s">
        <v>28</v>
      </c>
      <c r="H1336" s="11" t="s">
        <v>4893</v>
      </c>
      <c r="I1336" s="11" t="s">
        <v>4894</v>
      </c>
      <c r="J1336" s="12">
        <v>0.76859999999999995</v>
      </c>
      <c r="K1336" s="13">
        <v>1</v>
      </c>
      <c r="L1336" s="14">
        <v>631</v>
      </c>
      <c r="M1336" s="10">
        <v>485</v>
      </c>
      <c r="N1336" s="10">
        <v>69727</v>
      </c>
      <c r="O1336" s="10">
        <v>38033</v>
      </c>
      <c r="P1336" s="10">
        <v>107760</v>
      </c>
    </row>
    <row r="1337" spans="1:16" ht="27" customHeight="1" x14ac:dyDescent="0.2">
      <c r="A1337" s="9" t="s">
        <v>4800</v>
      </c>
      <c r="B1337" s="10" t="s">
        <v>4873</v>
      </c>
      <c r="C1337" s="11" t="s">
        <v>4895</v>
      </c>
      <c r="D1337" s="11" t="s">
        <v>4896</v>
      </c>
      <c r="E1337" s="11" t="s">
        <v>26</v>
      </c>
      <c r="F1337" s="11" t="s">
        <v>4897</v>
      </c>
      <c r="G1337" s="11" t="s">
        <v>28</v>
      </c>
      <c r="H1337" s="11" t="s">
        <v>4897</v>
      </c>
      <c r="I1337" s="11" t="s">
        <v>4898</v>
      </c>
      <c r="J1337" s="12">
        <v>0.49719999999999998</v>
      </c>
      <c r="K1337" s="13">
        <v>1</v>
      </c>
      <c r="L1337" s="14">
        <v>545</v>
      </c>
      <c r="M1337" s="10">
        <v>271</v>
      </c>
      <c r="N1337" s="10">
        <v>60223</v>
      </c>
      <c r="O1337" s="10">
        <v>21252</v>
      </c>
      <c r="P1337" s="10">
        <v>81475</v>
      </c>
    </row>
    <row r="1338" spans="1:16" ht="27" customHeight="1" x14ac:dyDescent="0.2">
      <c r="A1338" s="9" t="s">
        <v>4800</v>
      </c>
      <c r="B1338" s="10" t="s">
        <v>4899</v>
      </c>
      <c r="C1338" s="11" t="s">
        <v>18</v>
      </c>
      <c r="D1338" s="11" t="s">
        <v>19</v>
      </c>
      <c r="E1338" s="11" t="s">
        <v>19</v>
      </c>
      <c r="F1338" s="11" t="s">
        <v>4900</v>
      </c>
      <c r="G1338" s="11" t="s">
        <v>83</v>
      </c>
      <c r="H1338" s="11" t="s">
        <v>4901</v>
      </c>
      <c r="I1338" s="11" t="s">
        <v>4902</v>
      </c>
      <c r="J1338" s="12">
        <v>0.80159999999999998</v>
      </c>
      <c r="K1338" s="13">
        <v>18</v>
      </c>
      <c r="L1338" s="14">
        <v>7464</v>
      </c>
      <c r="M1338" s="10">
        <v>4914</v>
      </c>
      <c r="N1338" s="10">
        <v>824786</v>
      </c>
      <c r="O1338" s="10">
        <v>385349</v>
      </c>
      <c r="P1338" s="10">
        <v>1210135</v>
      </c>
    </row>
    <row r="1339" spans="1:16" ht="27" customHeight="1" x14ac:dyDescent="0.2">
      <c r="A1339" s="9" t="s">
        <v>4800</v>
      </c>
      <c r="B1339" s="10" t="s">
        <v>4903</v>
      </c>
      <c r="C1339" s="11" t="s">
        <v>18</v>
      </c>
      <c r="D1339" s="11" t="s">
        <v>19</v>
      </c>
      <c r="E1339" s="11" t="s">
        <v>19</v>
      </c>
      <c r="F1339" s="11" t="s">
        <v>3014</v>
      </c>
      <c r="G1339" s="11" t="s">
        <v>83</v>
      </c>
      <c r="H1339" s="11" t="s">
        <v>3014</v>
      </c>
      <c r="I1339" s="11" t="s">
        <v>4904</v>
      </c>
      <c r="J1339" s="12">
        <v>0.63129999999999997</v>
      </c>
      <c r="K1339" s="13">
        <v>6</v>
      </c>
      <c r="L1339" s="14">
        <v>3046</v>
      </c>
      <c r="M1339" s="10">
        <v>1546</v>
      </c>
      <c r="N1339" s="10">
        <v>336587</v>
      </c>
      <c r="O1339" s="10">
        <v>121237</v>
      </c>
      <c r="P1339" s="10">
        <v>457824</v>
      </c>
    </row>
    <row r="1340" spans="1:16" ht="27" customHeight="1" x14ac:dyDescent="0.2">
      <c r="A1340" s="9" t="s">
        <v>4800</v>
      </c>
      <c r="B1340" s="10" t="s">
        <v>4905</v>
      </c>
      <c r="C1340" s="11" t="s">
        <v>18</v>
      </c>
      <c r="D1340" s="11" t="s">
        <v>19</v>
      </c>
      <c r="E1340" s="11" t="s">
        <v>19</v>
      </c>
      <c r="F1340" s="11" t="s">
        <v>4906</v>
      </c>
      <c r="G1340" s="11" t="s">
        <v>83</v>
      </c>
      <c r="H1340" s="11" t="s">
        <v>4906</v>
      </c>
      <c r="I1340" s="11" t="s">
        <v>4907</v>
      </c>
      <c r="J1340" s="12">
        <v>0.3871</v>
      </c>
      <c r="K1340" s="13">
        <v>2</v>
      </c>
      <c r="L1340" s="14">
        <v>93</v>
      </c>
      <c r="M1340" s="10">
        <v>36</v>
      </c>
      <c r="N1340" s="10">
        <v>10277</v>
      </c>
      <c r="O1340" s="10">
        <v>2823</v>
      </c>
      <c r="P1340" s="10">
        <v>13100</v>
      </c>
    </row>
    <row r="1341" spans="1:16" ht="27" customHeight="1" x14ac:dyDescent="0.2">
      <c r="A1341" s="9" t="s">
        <v>4800</v>
      </c>
      <c r="B1341" s="10" t="s">
        <v>4908</v>
      </c>
      <c r="C1341" s="11" t="s">
        <v>18</v>
      </c>
      <c r="D1341" s="11" t="s">
        <v>19</v>
      </c>
      <c r="E1341" s="11" t="s">
        <v>19</v>
      </c>
      <c r="F1341" s="11" t="s">
        <v>4909</v>
      </c>
      <c r="G1341" s="11" t="s">
        <v>83</v>
      </c>
      <c r="H1341" s="11" t="s">
        <v>4910</v>
      </c>
      <c r="I1341" s="11" t="s">
        <v>4911</v>
      </c>
      <c r="J1341" s="12">
        <v>0.85</v>
      </c>
      <c r="K1341" s="13">
        <v>8</v>
      </c>
      <c r="L1341" s="14">
        <v>955</v>
      </c>
      <c r="M1341" s="10">
        <v>754</v>
      </c>
      <c r="N1341" s="10">
        <v>105529</v>
      </c>
      <c r="O1341" s="10">
        <v>59128</v>
      </c>
      <c r="P1341" s="10">
        <v>164657</v>
      </c>
    </row>
    <row r="1342" spans="1:16" ht="27" customHeight="1" x14ac:dyDescent="0.2">
      <c r="A1342" s="9" t="s">
        <v>4800</v>
      </c>
      <c r="B1342" s="10" t="s">
        <v>4912</v>
      </c>
      <c r="C1342" s="11" t="s">
        <v>18</v>
      </c>
      <c r="D1342" s="11" t="s">
        <v>19</v>
      </c>
      <c r="E1342" s="11" t="s">
        <v>19</v>
      </c>
      <c r="F1342" s="11" t="s">
        <v>4913</v>
      </c>
      <c r="G1342" s="11" t="s">
        <v>83</v>
      </c>
      <c r="H1342" s="11" t="s">
        <v>4914</v>
      </c>
      <c r="I1342" s="11" t="s">
        <v>4915</v>
      </c>
      <c r="J1342" s="12">
        <v>0.93520000000000003</v>
      </c>
      <c r="K1342" s="13">
        <v>34</v>
      </c>
      <c r="L1342" s="14">
        <v>19266</v>
      </c>
      <c r="M1342" s="10">
        <v>16297</v>
      </c>
      <c r="N1342" s="10">
        <v>2128923</v>
      </c>
      <c r="O1342" s="10">
        <v>1277995</v>
      </c>
      <c r="P1342" s="10">
        <v>3406918</v>
      </c>
    </row>
    <row r="1343" spans="1:16" ht="27" customHeight="1" x14ac:dyDescent="0.2">
      <c r="A1343" s="9" t="s">
        <v>4800</v>
      </c>
      <c r="B1343" s="10" t="s">
        <v>4916</v>
      </c>
      <c r="C1343" s="11" t="s">
        <v>18</v>
      </c>
      <c r="D1343" s="11" t="s">
        <v>19</v>
      </c>
      <c r="E1343" s="11" t="s">
        <v>19</v>
      </c>
      <c r="F1343" s="11" t="s">
        <v>4917</v>
      </c>
      <c r="G1343" s="11" t="s">
        <v>83</v>
      </c>
      <c r="H1343" s="11" t="s">
        <v>4918</v>
      </c>
      <c r="I1343" s="11" t="s">
        <v>4919</v>
      </c>
      <c r="J1343" s="12">
        <v>0.91490000000000005</v>
      </c>
      <c r="K1343" s="13">
        <v>2</v>
      </c>
      <c r="L1343" s="14">
        <v>94</v>
      </c>
      <c r="M1343" s="10">
        <v>86</v>
      </c>
      <c r="N1343" s="10">
        <v>10387</v>
      </c>
      <c r="O1343" s="10">
        <v>6744</v>
      </c>
      <c r="P1343" s="10">
        <v>17131</v>
      </c>
    </row>
    <row r="1344" spans="1:16" ht="27" customHeight="1" x14ac:dyDescent="0.2">
      <c r="A1344" s="9" t="s">
        <v>4800</v>
      </c>
      <c r="B1344" s="10" t="s">
        <v>4916</v>
      </c>
      <c r="C1344" s="11" t="s">
        <v>4920</v>
      </c>
      <c r="D1344" s="11" t="s">
        <v>4921</v>
      </c>
      <c r="E1344" s="11" t="s">
        <v>26</v>
      </c>
      <c r="F1344" s="11" t="s">
        <v>4922</v>
      </c>
      <c r="G1344" s="11" t="s">
        <v>28</v>
      </c>
      <c r="H1344" s="11" t="s">
        <v>4922</v>
      </c>
      <c r="I1344" s="11" t="s">
        <v>4923</v>
      </c>
      <c r="J1344" s="12">
        <v>0.80820000000000003</v>
      </c>
      <c r="K1344" s="13">
        <v>1</v>
      </c>
      <c r="L1344" s="14">
        <v>2508</v>
      </c>
      <c r="M1344" s="10">
        <v>2027</v>
      </c>
      <c r="N1344" s="10">
        <v>277138</v>
      </c>
      <c r="O1344" s="10">
        <v>158955</v>
      </c>
      <c r="P1344" s="10">
        <v>436093</v>
      </c>
    </row>
    <row r="1345" spans="1:16" ht="27" customHeight="1" x14ac:dyDescent="0.2">
      <c r="A1345" s="9" t="s">
        <v>4800</v>
      </c>
      <c r="B1345" s="10" t="s">
        <v>4916</v>
      </c>
      <c r="C1345" s="11" t="s">
        <v>4924</v>
      </c>
      <c r="D1345" s="11" t="s">
        <v>4925</v>
      </c>
      <c r="E1345" s="11" t="s">
        <v>26</v>
      </c>
      <c r="F1345" s="11" t="s">
        <v>4926</v>
      </c>
      <c r="G1345" s="11" t="s">
        <v>28</v>
      </c>
      <c r="H1345" s="11" t="s">
        <v>4926</v>
      </c>
      <c r="I1345" s="11" t="s">
        <v>4927</v>
      </c>
      <c r="J1345" s="12">
        <v>0.88319999999999999</v>
      </c>
      <c r="K1345" s="13">
        <v>1</v>
      </c>
      <c r="L1345" s="14">
        <v>214</v>
      </c>
      <c r="M1345" s="10">
        <v>189</v>
      </c>
      <c r="N1345" s="10">
        <v>23647</v>
      </c>
      <c r="O1345" s="10">
        <v>14821</v>
      </c>
      <c r="P1345" s="10">
        <v>38468</v>
      </c>
    </row>
    <row r="1346" spans="1:16" ht="27" customHeight="1" x14ac:dyDescent="0.2">
      <c r="A1346" s="9" t="s">
        <v>4800</v>
      </c>
      <c r="B1346" s="10" t="s">
        <v>4916</v>
      </c>
      <c r="C1346" s="11" t="s">
        <v>4928</v>
      </c>
      <c r="D1346" s="11" t="s">
        <v>4929</v>
      </c>
      <c r="E1346" s="11" t="s">
        <v>26</v>
      </c>
      <c r="F1346" s="11" t="s">
        <v>4930</v>
      </c>
      <c r="G1346" s="11" t="s">
        <v>28</v>
      </c>
      <c r="H1346" s="11" t="s">
        <v>4930</v>
      </c>
      <c r="I1346" s="11" t="s">
        <v>4931</v>
      </c>
      <c r="J1346" s="12">
        <v>0.78320000000000001</v>
      </c>
      <c r="K1346" s="13">
        <v>1</v>
      </c>
      <c r="L1346" s="14">
        <v>655</v>
      </c>
      <c r="M1346" s="10">
        <v>513</v>
      </c>
      <c r="N1346" s="10">
        <v>72379</v>
      </c>
      <c r="O1346" s="10">
        <v>40229</v>
      </c>
      <c r="P1346" s="10">
        <v>112608</v>
      </c>
    </row>
    <row r="1347" spans="1:16" ht="27" customHeight="1" x14ac:dyDescent="0.2">
      <c r="A1347" s="9" t="s">
        <v>4800</v>
      </c>
      <c r="B1347" s="10" t="s">
        <v>4916</v>
      </c>
      <c r="C1347" s="11" t="s">
        <v>4932</v>
      </c>
      <c r="D1347" s="11" t="s">
        <v>4933</v>
      </c>
      <c r="E1347" s="11" t="s">
        <v>26</v>
      </c>
      <c r="F1347" s="11" t="s">
        <v>4934</v>
      </c>
      <c r="G1347" s="11" t="s">
        <v>28</v>
      </c>
      <c r="H1347" s="11" t="s">
        <v>4934</v>
      </c>
      <c r="I1347" s="11" t="s">
        <v>4935</v>
      </c>
      <c r="J1347" s="12">
        <v>0.84060000000000001</v>
      </c>
      <c r="K1347" s="13">
        <v>1</v>
      </c>
      <c r="L1347" s="14">
        <v>734</v>
      </c>
      <c r="M1347" s="10">
        <v>617</v>
      </c>
      <c r="N1347" s="10">
        <v>81108</v>
      </c>
      <c r="O1347" s="10">
        <v>48385</v>
      </c>
      <c r="P1347" s="10">
        <v>129493</v>
      </c>
    </row>
    <row r="1348" spans="1:16" ht="27" customHeight="1" x14ac:dyDescent="0.2">
      <c r="A1348" s="9" t="s">
        <v>4800</v>
      </c>
      <c r="B1348" s="10" t="s">
        <v>4916</v>
      </c>
      <c r="C1348" s="11" t="s">
        <v>4936</v>
      </c>
      <c r="D1348" s="11" t="s">
        <v>4937</v>
      </c>
      <c r="E1348" s="11" t="s">
        <v>26</v>
      </c>
      <c r="F1348" s="11" t="s">
        <v>4938</v>
      </c>
      <c r="G1348" s="11" t="s">
        <v>28</v>
      </c>
      <c r="H1348" s="11" t="s">
        <v>4938</v>
      </c>
      <c r="I1348" s="11" t="s">
        <v>4939</v>
      </c>
      <c r="J1348" s="12">
        <v>0.91579999999999995</v>
      </c>
      <c r="K1348" s="13">
        <v>1</v>
      </c>
      <c r="L1348" s="14">
        <v>368</v>
      </c>
      <c r="M1348" s="10">
        <v>337</v>
      </c>
      <c r="N1348" s="10">
        <v>40665</v>
      </c>
      <c r="O1348" s="10">
        <v>26427</v>
      </c>
      <c r="P1348" s="10">
        <v>67092</v>
      </c>
    </row>
    <row r="1349" spans="1:16" ht="27" customHeight="1" x14ac:dyDescent="0.2">
      <c r="A1349" s="9" t="s">
        <v>4800</v>
      </c>
      <c r="B1349" s="10" t="s">
        <v>4916</v>
      </c>
      <c r="C1349" s="11" t="s">
        <v>4940</v>
      </c>
      <c r="D1349" s="11" t="s">
        <v>4941</v>
      </c>
      <c r="E1349" s="11" t="s">
        <v>26</v>
      </c>
      <c r="F1349" s="11" t="s">
        <v>4942</v>
      </c>
      <c r="G1349" s="11" t="s">
        <v>28</v>
      </c>
      <c r="H1349" s="11" t="s">
        <v>4942</v>
      </c>
      <c r="I1349" s="11" t="s">
        <v>4943</v>
      </c>
      <c r="J1349" s="12">
        <v>0.8851</v>
      </c>
      <c r="K1349" s="13">
        <v>1</v>
      </c>
      <c r="L1349" s="14">
        <v>322</v>
      </c>
      <c r="M1349" s="10">
        <v>285</v>
      </c>
      <c r="N1349" s="10">
        <v>35582</v>
      </c>
      <c r="O1349" s="10">
        <v>22349</v>
      </c>
      <c r="P1349" s="10">
        <v>57931</v>
      </c>
    </row>
    <row r="1350" spans="1:16" ht="27" customHeight="1" x14ac:dyDescent="0.2">
      <c r="A1350" s="9" t="s">
        <v>4800</v>
      </c>
      <c r="B1350" s="10" t="s">
        <v>4916</v>
      </c>
      <c r="C1350" s="11" t="s">
        <v>4944</v>
      </c>
      <c r="D1350" s="11" t="s">
        <v>4945</v>
      </c>
      <c r="E1350" s="11" t="s">
        <v>26</v>
      </c>
      <c r="F1350" s="11" t="s">
        <v>4946</v>
      </c>
      <c r="G1350" s="11" t="s">
        <v>28</v>
      </c>
      <c r="H1350" s="11" t="s">
        <v>4946</v>
      </c>
      <c r="I1350" s="11" t="s">
        <v>4947</v>
      </c>
      <c r="J1350" s="12">
        <v>0.81599999999999995</v>
      </c>
      <c r="K1350" s="13">
        <v>1</v>
      </c>
      <c r="L1350" s="14">
        <v>538</v>
      </c>
      <c r="M1350" s="10">
        <v>439</v>
      </c>
      <c r="N1350" s="10">
        <v>59450</v>
      </c>
      <c r="O1350" s="10">
        <v>34426</v>
      </c>
      <c r="P1350" s="10">
        <v>93876</v>
      </c>
    </row>
    <row r="1351" spans="1:16" ht="27" customHeight="1" x14ac:dyDescent="0.2">
      <c r="A1351" s="9" t="s">
        <v>4800</v>
      </c>
      <c r="B1351" s="10" t="s">
        <v>4916</v>
      </c>
      <c r="C1351" s="11" t="s">
        <v>4948</v>
      </c>
      <c r="D1351" s="11" t="s">
        <v>4949</v>
      </c>
      <c r="E1351" s="11" t="s">
        <v>26</v>
      </c>
      <c r="F1351" s="11" t="s">
        <v>4950</v>
      </c>
      <c r="G1351" s="11" t="s">
        <v>28</v>
      </c>
      <c r="H1351" s="11" t="s">
        <v>4950</v>
      </c>
      <c r="I1351" s="11" t="s">
        <v>4951</v>
      </c>
      <c r="J1351" s="12">
        <v>0.8306</v>
      </c>
      <c r="K1351" s="13">
        <v>1</v>
      </c>
      <c r="L1351" s="14">
        <v>183</v>
      </c>
      <c r="M1351" s="10">
        <v>152</v>
      </c>
      <c r="N1351" s="10">
        <v>20222</v>
      </c>
      <c r="O1351" s="10">
        <v>11920</v>
      </c>
      <c r="P1351" s="10">
        <v>32142</v>
      </c>
    </row>
    <row r="1352" spans="1:16" ht="27" customHeight="1" x14ac:dyDescent="0.2">
      <c r="A1352" s="9" t="s">
        <v>4800</v>
      </c>
      <c r="B1352" s="10" t="s">
        <v>4952</v>
      </c>
      <c r="C1352" s="11" t="s">
        <v>18</v>
      </c>
      <c r="D1352" s="11" t="s">
        <v>19</v>
      </c>
      <c r="E1352" s="11" t="s">
        <v>19</v>
      </c>
      <c r="F1352" s="11" t="s">
        <v>4953</v>
      </c>
      <c r="G1352" s="11" t="s">
        <v>83</v>
      </c>
      <c r="H1352" s="11" t="s">
        <v>4954</v>
      </c>
      <c r="I1352" s="11" t="s">
        <v>4955</v>
      </c>
      <c r="J1352" s="12">
        <v>0.91449999999999998</v>
      </c>
      <c r="K1352" s="13">
        <v>26</v>
      </c>
      <c r="L1352" s="14">
        <v>19882</v>
      </c>
      <c r="M1352" s="10">
        <v>13368</v>
      </c>
      <c r="N1352" s="10">
        <v>2196994</v>
      </c>
      <c r="O1352" s="10">
        <v>1048305</v>
      </c>
      <c r="P1352" s="10">
        <v>3245299</v>
      </c>
    </row>
    <row r="1353" spans="1:16" ht="27" customHeight="1" x14ac:dyDescent="0.2">
      <c r="A1353" s="9" t="s">
        <v>4800</v>
      </c>
      <c r="B1353" s="10" t="s">
        <v>4952</v>
      </c>
      <c r="C1353" s="11" t="s">
        <v>4956</v>
      </c>
      <c r="D1353" s="11" t="s">
        <v>4957</v>
      </c>
      <c r="E1353" s="11" t="s">
        <v>26</v>
      </c>
      <c r="F1353" s="11" t="s">
        <v>4958</v>
      </c>
      <c r="G1353" s="11" t="s">
        <v>28</v>
      </c>
      <c r="H1353" s="11" t="s">
        <v>4803</v>
      </c>
      <c r="I1353" s="11" t="s">
        <v>4804</v>
      </c>
      <c r="J1353" s="12">
        <v>0.98809999999999998</v>
      </c>
      <c r="K1353" s="13">
        <v>1</v>
      </c>
      <c r="L1353" s="14">
        <v>246</v>
      </c>
      <c r="M1353" s="10">
        <v>53</v>
      </c>
      <c r="N1353" s="10">
        <v>27183</v>
      </c>
      <c r="O1353" s="10">
        <v>4156</v>
      </c>
      <c r="P1353" s="10">
        <v>31339</v>
      </c>
    </row>
    <row r="1354" spans="1:16" ht="27" customHeight="1" x14ac:dyDescent="0.2">
      <c r="A1354" s="9" t="s">
        <v>4800</v>
      </c>
      <c r="B1354" s="10" t="s">
        <v>4959</v>
      </c>
      <c r="C1354" s="11" t="s">
        <v>18</v>
      </c>
      <c r="D1354" s="11" t="s">
        <v>19</v>
      </c>
      <c r="E1354" s="11" t="s">
        <v>19</v>
      </c>
      <c r="F1354" s="11" t="s">
        <v>4960</v>
      </c>
      <c r="G1354" s="11" t="s">
        <v>83</v>
      </c>
      <c r="H1354" s="11" t="s">
        <v>4961</v>
      </c>
      <c r="I1354" s="11" t="s">
        <v>4962</v>
      </c>
      <c r="J1354" s="12">
        <v>0.89859999999999995</v>
      </c>
      <c r="K1354" s="13">
        <v>31</v>
      </c>
      <c r="L1354" s="14">
        <v>24930</v>
      </c>
      <c r="M1354" s="10">
        <v>20338</v>
      </c>
      <c r="N1354" s="10">
        <v>2754806</v>
      </c>
      <c r="O1354" s="10">
        <v>1594884</v>
      </c>
      <c r="P1354" s="10">
        <v>4349690</v>
      </c>
    </row>
    <row r="1355" spans="1:16" ht="27" customHeight="1" x14ac:dyDescent="0.2">
      <c r="A1355" s="9" t="s">
        <v>4800</v>
      </c>
      <c r="B1355" s="10" t="s">
        <v>4963</v>
      </c>
      <c r="C1355" s="11" t="s">
        <v>18</v>
      </c>
      <c r="D1355" s="11" t="s">
        <v>19</v>
      </c>
      <c r="E1355" s="11" t="s">
        <v>19</v>
      </c>
      <c r="F1355" s="11" t="s">
        <v>4964</v>
      </c>
      <c r="G1355" s="11" t="s">
        <v>83</v>
      </c>
      <c r="H1355" s="11" t="s">
        <v>4965</v>
      </c>
      <c r="I1355" s="11" t="s">
        <v>4966</v>
      </c>
      <c r="J1355" s="12">
        <v>0.66969999999999996</v>
      </c>
      <c r="K1355" s="13">
        <v>8</v>
      </c>
      <c r="L1355" s="14">
        <v>2885</v>
      </c>
      <c r="M1355" s="10">
        <v>1647</v>
      </c>
      <c r="N1355" s="10">
        <v>318797</v>
      </c>
      <c r="O1355" s="10">
        <v>129156</v>
      </c>
      <c r="P1355" s="10">
        <v>447953</v>
      </c>
    </row>
    <row r="1356" spans="1:16" ht="27" customHeight="1" x14ac:dyDescent="0.2">
      <c r="A1356" s="9" t="s">
        <v>4800</v>
      </c>
      <c r="B1356" s="10" t="s">
        <v>4967</v>
      </c>
      <c r="C1356" s="11" t="s">
        <v>18</v>
      </c>
      <c r="D1356" s="11" t="s">
        <v>19</v>
      </c>
      <c r="E1356" s="11" t="s">
        <v>19</v>
      </c>
      <c r="F1356" s="11" t="s">
        <v>4968</v>
      </c>
      <c r="G1356" s="11" t="s">
        <v>83</v>
      </c>
      <c r="H1356" s="11" t="s">
        <v>4969</v>
      </c>
      <c r="I1356" s="11" t="s">
        <v>4970</v>
      </c>
      <c r="J1356" s="12">
        <v>0.95740000000000003</v>
      </c>
      <c r="K1356" s="13">
        <v>77</v>
      </c>
      <c r="L1356" s="14">
        <v>47072</v>
      </c>
      <c r="M1356" s="10">
        <v>41772</v>
      </c>
      <c r="N1356" s="10">
        <v>5201534</v>
      </c>
      <c r="O1356" s="10">
        <v>3275713</v>
      </c>
      <c r="P1356" s="10">
        <v>8477247</v>
      </c>
    </row>
    <row r="1357" spans="1:16" ht="27" customHeight="1" x14ac:dyDescent="0.2">
      <c r="A1357" s="9" t="s">
        <v>4800</v>
      </c>
      <c r="B1357" s="10" t="s">
        <v>4967</v>
      </c>
      <c r="C1357" s="11" t="s">
        <v>4971</v>
      </c>
      <c r="D1357" s="11" t="s">
        <v>4972</v>
      </c>
      <c r="E1357" s="11" t="s">
        <v>26</v>
      </c>
      <c r="F1357" s="11" t="s">
        <v>4973</v>
      </c>
      <c r="G1357" s="11" t="s">
        <v>28</v>
      </c>
      <c r="H1357" s="11" t="s">
        <v>4973</v>
      </c>
      <c r="I1357" s="11" t="s">
        <v>4974</v>
      </c>
      <c r="J1357" s="12">
        <v>0.90910000000000002</v>
      </c>
      <c r="K1357" s="13">
        <v>1</v>
      </c>
      <c r="L1357" s="14">
        <v>319</v>
      </c>
      <c r="M1357" s="10">
        <v>290</v>
      </c>
      <c r="N1357" s="10">
        <v>35250</v>
      </c>
      <c r="O1357" s="10">
        <v>22742</v>
      </c>
      <c r="P1357" s="10">
        <v>57992</v>
      </c>
    </row>
    <row r="1358" spans="1:16" ht="27" customHeight="1" x14ac:dyDescent="0.2">
      <c r="A1358" s="9" t="s">
        <v>4800</v>
      </c>
      <c r="B1358" s="10" t="s">
        <v>4967</v>
      </c>
      <c r="C1358" s="11" t="s">
        <v>4975</v>
      </c>
      <c r="D1358" s="11" t="s">
        <v>4976</v>
      </c>
      <c r="E1358" s="11" t="s">
        <v>26</v>
      </c>
      <c r="F1358" s="11" t="s">
        <v>4977</v>
      </c>
      <c r="G1358" s="11" t="s">
        <v>28</v>
      </c>
      <c r="H1358" s="11" t="s">
        <v>4977</v>
      </c>
      <c r="I1358" s="11" t="s">
        <v>4978</v>
      </c>
      <c r="J1358" s="12">
        <v>0.96879999999999999</v>
      </c>
      <c r="K1358" s="13">
        <v>1</v>
      </c>
      <c r="L1358" s="14">
        <v>385</v>
      </c>
      <c r="M1358" s="10">
        <v>373</v>
      </c>
      <c r="N1358" s="10">
        <v>42543</v>
      </c>
      <c r="O1358" s="10">
        <v>29250</v>
      </c>
      <c r="P1358" s="10">
        <v>71793</v>
      </c>
    </row>
    <row r="1359" spans="1:16" ht="27" customHeight="1" x14ac:dyDescent="0.2">
      <c r="A1359" s="9" t="s">
        <v>4800</v>
      </c>
      <c r="B1359" s="10" t="s">
        <v>4967</v>
      </c>
      <c r="C1359" s="11" t="s">
        <v>4979</v>
      </c>
      <c r="D1359" s="11" t="s">
        <v>4980</v>
      </c>
      <c r="E1359" s="11" t="s">
        <v>26</v>
      </c>
      <c r="F1359" s="11" t="s">
        <v>4981</v>
      </c>
      <c r="G1359" s="11" t="s">
        <v>28</v>
      </c>
      <c r="H1359" s="11" t="s">
        <v>4981</v>
      </c>
      <c r="I1359" s="11" t="s">
        <v>4982</v>
      </c>
      <c r="J1359" s="12">
        <v>0.85609999999999997</v>
      </c>
      <c r="K1359" s="13">
        <v>1</v>
      </c>
      <c r="L1359" s="14">
        <v>431</v>
      </c>
      <c r="M1359" s="10">
        <v>369</v>
      </c>
      <c r="N1359" s="10">
        <v>47626</v>
      </c>
      <c r="O1359" s="10">
        <v>28937</v>
      </c>
      <c r="P1359" s="10">
        <v>76563</v>
      </c>
    </row>
    <row r="1360" spans="1:16" ht="27" customHeight="1" x14ac:dyDescent="0.2">
      <c r="A1360" s="9" t="s">
        <v>4800</v>
      </c>
      <c r="B1360" s="10" t="s">
        <v>4967</v>
      </c>
      <c r="C1360" s="11" t="s">
        <v>4983</v>
      </c>
      <c r="D1360" s="11" t="s">
        <v>4984</v>
      </c>
      <c r="E1360" s="11" t="s">
        <v>26</v>
      </c>
      <c r="F1360" s="11" t="s">
        <v>4985</v>
      </c>
      <c r="G1360" s="11" t="s">
        <v>28</v>
      </c>
      <c r="H1360" s="11" t="s">
        <v>4803</v>
      </c>
      <c r="I1360" s="11" t="s">
        <v>4804</v>
      </c>
      <c r="J1360" s="12">
        <v>0.98809999999999998</v>
      </c>
      <c r="K1360" s="13">
        <v>1</v>
      </c>
      <c r="L1360" s="14">
        <v>363</v>
      </c>
      <c r="M1360" s="10">
        <v>338</v>
      </c>
      <c r="N1360" s="10">
        <v>40112</v>
      </c>
      <c r="O1360" s="10">
        <v>26506</v>
      </c>
      <c r="P1360" s="10">
        <v>66618</v>
      </c>
    </row>
    <row r="1361" spans="1:16" ht="27" customHeight="1" x14ac:dyDescent="0.2">
      <c r="A1361" s="9" t="s">
        <v>4800</v>
      </c>
      <c r="B1361" s="10" t="s">
        <v>4967</v>
      </c>
      <c r="C1361" s="11" t="s">
        <v>4986</v>
      </c>
      <c r="D1361" s="11" t="s">
        <v>4987</v>
      </c>
      <c r="E1361" s="11" t="s">
        <v>26</v>
      </c>
      <c r="F1361" s="11" t="s">
        <v>4988</v>
      </c>
      <c r="G1361" s="11" t="s">
        <v>28</v>
      </c>
      <c r="H1361" s="11" t="s">
        <v>4803</v>
      </c>
      <c r="I1361" s="11" t="s">
        <v>4804</v>
      </c>
      <c r="J1361" s="12">
        <v>0.98809999999999998</v>
      </c>
      <c r="K1361" s="13">
        <v>1</v>
      </c>
      <c r="L1361" s="14">
        <v>910</v>
      </c>
      <c r="M1361" s="10">
        <v>810</v>
      </c>
      <c r="N1361" s="10">
        <v>100557</v>
      </c>
      <c r="O1361" s="10">
        <v>63519</v>
      </c>
      <c r="P1361" s="10">
        <v>164076</v>
      </c>
    </row>
    <row r="1362" spans="1:16" ht="27" customHeight="1" x14ac:dyDescent="0.2">
      <c r="A1362" s="9" t="s">
        <v>4800</v>
      </c>
      <c r="B1362" s="10" t="s">
        <v>4967</v>
      </c>
      <c r="C1362" s="11" t="s">
        <v>4989</v>
      </c>
      <c r="D1362" s="11" t="s">
        <v>4990</v>
      </c>
      <c r="E1362" s="11" t="s">
        <v>26</v>
      </c>
      <c r="F1362" s="11" t="s">
        <v>4991</v>
      </c>
      <c r="G1362" s="11" t="s">
        <v>28</v>
      </c>
      <c r="H1362" s="11" t="s">
        <v>4991</v>
      </c>
      <c r="I1362" s="11" t="s">
        <v>4992</v>
      </c>
      <c r="J1362" s="12">
        <v>0.93169999999999997</v>
      </c>
      <c r="K1362" s="13">
        <v>1</v>
      </c>
      <c r="L1362" s="14">
        <v>454</v>
      </c>
      <c r="M1362" s="10">
        <v>423</v>
      </c>
      <c r="N1362" s="10">
        <v>50168</v>
      </c>
      <c r="O1362" s="10">
        <v>33171</v>
      </c>
      <c r="P1362" s="10">
        <v>83339</v>
      </c>
    </row>
    <row r="1363" spans="1:16" ht="27" customHeight="1" x14ac:dyDescent="0.2">
      <c r="A1363" s="9" t="s">
        <v>4800</v>
      </c>
      <c r="B1363" s="10" t="s">
        <v>4967</v>
      </c>
      <c r="C1363" s="11" t="s">
        <v>4993</v>
      </c>
      <c r="D1363" s="11" t="s">
        <v>4994</v>
      </c>
      <c r="E1363" s="11" t="s">
        <v>26</v>
      </c>
      <c r="F1363" s="11" t="s">
        <v>4995</v>
      </c>
      <c r="G1363" s="11" t="s">
        <v>28</v>
      </c>
      <c r="H1363" s="11" t="s">
        <v>4995</v>
      </c>
      <c r="I1363" s="11" t="s">
        <v>4996</v>
      </c>
      <c r="J1363" s="12">
        <v>0.86750000000000005</v>
      </c>
      <c r="K1363" s="13">
        <v>1</v>
      </c>
      <c r="L1363" s="14">
        <v>317</v>
      </c>
      <c r="M1363" s="10">
        <v>275</v>
      </c>
      <c r="N1363" s="10">
        <v>35029</v>
      </c>
      <c r="O1363" s="10">
        <v>21565</v>
      </c>
      <c r="P1363" s="10">
        <v>56594</v>
      </c>
    </row>
    <row r="1364" spans="1:16" ht="27" customHeight="1" x14ac:dyDescent="0.2">
      <c r="A1364" s="9" t="s">
        <v>4800</v>
      </c>
      <c r="B1364" s="10" t="s">
        <v>4967</v>
      </c>
      <c r="C1364" s="11" t="s">
        <v>4997</v>
      </c>
      <c r="D1364" s="11" t="s">
        <v>4998</v>
      </c>
      <c r="E1364" s="11" t="s">
        <v>26</v>
      </c>
      <c r="F1364" s="11" t="s">
        <v>4803</v>
      </c>
      <c r="G1364" s="11" t="s">
        <v>28</v>
      </c>
      <c r="H1364" s="11" t="s">
        <v>4803</v>
      </c>
      <c r="I1364" s="11" t="s">
        <v>4804</v>
      </c>
      <c r="J1364" s="12">
        <v>0.98809999999999998</v>
      </c>
      <c r="K1364" s="13">
        <v>1</v>
      </c>
      <c r="L1364" s="14">
        <v>84</v>
      </c>
      <c r="M1364" s="10">
        <v>83</v>
      </c>
      <c r="N1364" s="10">
        <v>9282</v>
      </c>
      <c r="O1364" s="10">
        <v>6509</v>
      </c>
      <c r="P1364" s="10">
        <v>15791</v>
      </c>
    </row>
    <row r="1365" spans="1:16" ht="27" customHeight="1" x14ac:dyDescent="0.2">
      <c r="A1365" s="9" t="s">
        <v>4800</v>
      </c>
      <c r="B1365" s="10" t="s">
        <v>4967</v>
      </c>
      <c r="C1365" s="11" t="s">
        <v>4999</v>
      </c>
      <c r="D1365" s="11" t="s">
        <v>5000</v>
      </c>
      <c r="E1365" s="11" t="s">
        <v>26</v>
      </c>
      <c r="F1365" s="11" t="s">
        <v>5001</v>
      </c>
      <c r="G1365" s="11" t="s">
        <v>28</v>
      </c>
      <c r="H1365" s="11" t="s">
        <v>5001</v>
      </c>
      <c r="I1365" s="11" t="s">
        <v>5002</v>
      </c>
      <c r="J1365" s="12">
        <v>0.85709999999999997</v>
      </c>
      <c r="K1365" s="13">
        <v>1</v>
      </c>
      <c r="L1365" s="14">
        <v>168</v>
      </c>
      <c r="M1365" s="10">
        <v>144</v>
      </c>
      <c r="N1365" s="10">
        <v>18564</v>
      </c>
      <c r="O1365" s="10">
        <v>11292</v>
      </c>
      <c r="P1365" s="10">
        <v>29856</v>
      </c>
    </row>
    <row r="1366" spans="1:16" ht="27" customHeight="1" x14ac:dyDescent="0.2">
      <c r="A1366" s="9" t="s">
        <v>4800</v>
      </c>
      <c r="B1366" s="10" t="s">
        <v>4967</v>
      </c>
      <c r="C1366" s="11" t="s">
        <v>5003</v>
      </c>
      <c r="D1366" s="11" t="s">
        <v>5004</v>
      </c>
      <c r="E1366" s="11" t="s">
        <v>26</v>
      </c>
      <c r="F1366" s="11" t="s">
        <v>5005</v>
      </c>
      <c r="G1366" s="11" t="s">
        <v>28</v>
      </c>
      <c r="H1366" s="11" t="s">
        <v>4803</v>
      </c>
      <c r="I1366" s="11" t="s">
        <v>4804</v>
      </c>
      <c r="J1366" s="12">
        <v>0.98809999999999998</v>
      </c>
      <c r="K1366" s="13">
        <v>1</v>
      </c>
      <c r="L1366" s="14">
        <v>579</v>
      </c>
      <c r="M1366" s="10">
        <v>458</v>
      </c>
      <c r="N1366" s="10">
        <v>63980</v>
      </c>
      <c r="O1366" s="10">
        <v>35916</v>
      </c>
      <c r="P1366" s="10">
        <v>99896</v>
      </c>
    </row>
    <row r="1367" spans="1:16" ht="27" customHeight="1" x14ac:dyDescent="0.2">
      <c r="A1367" s="9" t="s">
        <v>4800</v>
      </c>
      <c r="B1367" s="10" t="s">
        <v>4967</v>
      </c>
      <c r="C1367" s="11" t="s">
        <v>5006</v>
      </c>
      <c r="D1367" s="11" t="s">
        <v>5007</v>
      </c>
      <c r="E1367" s="11" t="s">
        <v>26</v>
      </c>
      <c r="F1367" s="11" t="s">
        <v>5008</v>
      </c>
      <c r="G1367" s="11" t="s">
        <v>28</v>
      </c>
      <c r="H1367" s="11" t="s">
        <v>5008</v>
      </c>
      <c r="I1367" s="11" t="s">
        <v>5009</v>
      </c>
      <c r="J1367" s="12">
        <v>0.77249999999999996</v>
      </c>
      <c r="K1367" s="13">
        <v>1</v>
      </c>
      <c r="L1367" s="14">
        <v>212</v>
      </c>
      <c r="M1367" s="10">
        <v>164</v>
      </c>
      <c r="N1367" s="10">
        <v>23426</v>
      </c>
      <c r="O1367" s="10">
        <v>12861</v>
      </c>
      <c r="P1367" s="10">
        <v>36287</v>
      </c>
    </row>
    <row r="1368" spans="1:16" ht="27" customHeight="1" x14ac:dyDescent="0.2">
      <c r="A1368" s="9" t="s">
        <v>4800</v>
      </c>
      <c r="B1368" s="10" t="s">
        <v>4967</v>
      </c>
      <c r="C1368" s="11" t="s">
        <v>5010</v>
      </c>
      <c r="D1368" s="11" t="s">
        <v>5011</v>
      </c>
      <c r="E1368" s="11" t="s">
        <v>26</v>
      </c>
      <c r="F1368" s="11" t="s">
        <v>5012</v>
      </c>
      <c r="G1368" s="11" t="s">
        <v>28</v>
      </c>
      <c r="H1368" s="11" t="s">
        <v>5012</v>
      </c>
      <c r="I1368" s="11" t="s">
        <v>5013</v>
      </c>
      <c r="J1368" s="12">
        <v>0.80579999999999996</v>
      </c>
      <c r="K1368" s="13">
        <v>1</v>
      </c>
      <c r="L1368" s="14">
        <v>242</v>
      </c>
      <c r="M1368" s="10">
        <v>195</v>
      </c>
      <c r="N1368" s="10">
        <v>26741</v>
      </c>
      <c r="O1368" s="10">
        <v>15292</v>
      </c>
      <c r="P1368" s="10">
        <v>42033</v>
      </c>
    </row>
    <row r="1369" spans="1:16" ht="27" customHeight="1" x14ac:dyDescent="0.2">
      <c r="A1369" s="9" t="s">
        <v>4800</v>
      </c>
      <c r="B1369" s="10" t="s">
        <v>5014</v>
      </c>
      <c r="C1369" s="11" t="s">
        <v>18</v>
      </c>
      <c r="D1369" s="11" t="s">
        <v>19</v>
      </c>
      <c r="E1369" s="11" t="s">
        <v>19</v>
      </c>
      <c r="F1369" s="11" t="s">
        <v>5015</v>
      </c>
      <c r="G1369" s="11" t="s">
        <v>83</v>
      </c>
      <c r="H1369" s="11" t="s">
        <v>5016</v>
      </c>
      <c r="I1369" s="11" t="s">
        <v>5017</v>
      </c>
      <c r="J1369" s="12">
        <v>0.70989999999999998</v>
      </c>
      <c r="K1369" s="13">
        <v>3</v>
      </c>
      <c r="L1369" s="14">
        <v>248</v>
      </c>
      <c r="M1369" s="10">
        <v>182</v>
      </c>
      <c r="N1369" s="10">
        <v>27404</v>
      </c>
      <c r="O1369" s="10">
        <v>14272</v>
      </c>
      <c r="P1369" s="10">
        <v>41676</v>
      </c>
    </row>
    <row r="1370" spans="1:16" ht="27" customHeight="1" x14ac:dyDescent="0.2">
      <c r="A1370" s="9" t="s">
        <v>4800</v>
      </c>
      <c r="B1370" s="10" t="s">
        <v>5018</v>
      </c>
      <c r="C1370" s="11" t="s">
        <v>18</v>
      </c>
      <c r="D1370" s="11" t="s">
        <v>19</v>
      </c>
      <c r="E1370" s="11" t="s">
        <v>19</v>
      </c>
      <c r="F1370" s="11" t="s">
        <v>5019</v>
      </c>
      <c r="G1370" s="11" t="s">
        <v>83</v>
      </c>
      <c r="H1370" s="11" t="s">
        <v>5020</v>
      </c>
      <c r="I1370" s="11" t="s">
        <v>5021</v>
      </c>
      <c r="J1370" s="12">
        <v>0.96799999999999997</v>
      </c>
      <c r="K1370" s="13">
        <v>18</v>
      </c>
      <c r="L1370" s="14">
        <v>11961</v>
      </c>
      <c r="M1370" s="10">
        <v>10201</v>
      </c>
      <c r="N1370" s="10">
        <v>1321710</v>
      </c>
      <c r="O1370" s="10">
        <v>799952</v>
      </c>
      <c r="P1370" s="10">
        <v>2121662</v>
      </c>
    </row>
    <row r="1371" spans="1:16" ht="27" customHeight="1" x14ac:dyDescent="0.2">
      <c r="A1371" s="9" t="s">
        <v>4800</v>
      </c>
      <c r="B1371" s="10" t="s">
        <v>5018</v>
      </c>
      <c r="C1371" s="11" t="s">
        <v>5022</v>
      </c>
      <c r="D1371" s="11" t="s">
        <v>5023</v>
      </c>
      <c r="E1371" s="11" t="s">
        <v>57</v>
      </c>
      <c r="F1371" s="11" t="s">
        <v>5024</v>
      </c>
      <c r="G1371" s="11" t="s">
        <v>28</v>
      </c>
      <c r="H1371" s="11" t="s">
        <v>5024</v>
      </c>
      <c r="I1371" s="11" t="s">
        <v>5025</v>
      </c>
      <c r="J1371" s="12">
        <v>0.74570000000000003</v>
      </c>
      <c r="K1371" s="13">
        <v>1</v>
      </c>
      <c r="L1371" s="14">
        <v>232</v>
      </c>
      <c r="M1371" s="10">
        <v>173</v>
      </c>
      <c r="N1371" s="10">
        <v>25636</v>
      </c>
      <c r="O1371" s="10">
        <v>13566</v>
      </c>
      <c r="P1371" s="10">
        <v>39202</v>
      </c>
    </row>
    <row r="1372" spans="1:16" ht="27" customHeight="1" x14ac:dyDescent="0.2">
      <c r="A1372" s="9" t="s">
        <v>4800</v>
      </c>
      <c r="B1372" s="10" t="s">
        <v>5018</v>
      </c>
      <c r="C1372" s="11" t="s">
        <v>5026</v>
      </c>
      <c r="D1372" s="11" t="s">
        <v>5027</v>
      </c>
      <c r="E1372" s="11" t="s">
        <v>57</v>
      </c>
      <c r="F1372" s="11" t="s">
        <v>5028</v>
      </c>
      <c r="G1372" s="11" t="s">
        <v>28</v>
      </c>
      <c r="H1372" s="11" t="s">
        <v>5028</v>
      </c>
      <c r="I1372" s="11" t="s">
        <v>5029</v>
      </c>
      <c r="J1372" s="12">
        <v>0.47299999999999998</v>
      </c>
      <c r="K1372" s="13">
        <v>1</v>
      </c>
      <c r="L1372" s="14">
        <v>222</v>
      </c>
      <c r="M1372" s="10">
        <v>105</v>
      </c>
      <c r="N1372" s="10">
        <v>24531</v>
      </c>
      <c r="O1372" s="10">
        <v>8234</v>
      </c>
      <c r="P1372" s="10">
        <v>32765</v>
      </c>
    </row>
    <row r="1373" spans="1:16" ht="27" customHeight="1" x14ac:dyDescent="0.2">
      <c r="A1373" s="9" t="s">
        <v>4800</v>
      </c>
      <c r="B1373" s="10" t="s">
        <v>5030</v>
      </c>
      <c r="C1373" s="11" t="s">
        <v>18</v>
      </c>
      <c r="D1373" s="11" t="s">
        <v>19</v>
      </c>
      <c r="E1373" s="11" t="s">
        <v>19</v>
      </c>
      <c r="F1373" s="11" t="s">
        <v>5031</v>
      </c>
      <c r="G1373" s="11" t="s">
        <v>83</v>
      </c>
      <c r="H1373" s="11" t="s">
        <v>4803</v>
      </c>
      <c r="I1373" s="11" t="s">
        <v>4804</v>
      </c>
      <c r="J1373" s="12">
        <v>0.98809999999999998</v>
      </c>
      <c r="K1373" s="13">
        <v>12</v>
      </c>
      <c r="L1373" s="14">
        <v>11340</v>
      </c>
      <c r="M1373" s="10">
        <v>7381</v>
      </c>
      <c r="N1373" s="10">
        <v>1253088</v>
      </c>
      <c r="O1373" s="10">
        <v>578811</v>
      </c>
      <c r="P1373" s="10">
        <v>1831899</v>
      </c>
    </row>
    <row r="1374" spans="1:16" ht="27" customHeight="1" x14ac:dyDescent="0.2">
      <c r="A1374" s="9" t="s">
        <v>4800</v>
      </c>
      <c r="B1374" s="10" t="s">
        <v>5030</v>
      </c>
      <c r="C1374" s="11" t="s">
        <v>5032</v>
      </c>
      <c r="D1374" s="11" t="s">
        <v>5033</v>
      </c>
      <c r="E1374" s="11" t="s">
        <v>26</v>
      </c>
      <c r="F1374" s="11" t="s">
        <v>5034</v>
      </c>
      <c r="G1374" s="11" t="s">
        <v>28</v>
      </c>
      <c r="H1374" s="11" t="s">
        <v>4803</v>
      </c>
      <c r="I1374" s="11" t="s">
        <v>4804</v>
      </c>
      <c r="J1374" s="12">
        <v>0.98809999999999998</v>
      </c>
      <c r="K1374" s="13">
        <v>1</v>
      </c>
      <c r="L1374" s="14">
        <v>748</v>
      </c>
      <c r="M1374" s="10">
        <v>665</v>
      </c>
      <c r="N1374" s="10">
        <v>82655</v>
      </c>
      <c r="O1374" s="10">
        <v>52149</v>
      </c>
      <c r="P1374" s="10">
        <v>134804</v>
      </c>
    </row>
    <row r="1375" spans="1:16" ht="27" customHeight="1" x14ac:dyDescent="0.2">
      <c r="A1375" s="9" t="s">
        <v>4800</v>
      </c>
      <c r="B1375" s="10" t="s">
        <v>5035</v>
      </c>
      <c r="C1375" s="11" t="s">
        <v>18</v>
      </c>
      <c r="D1375" s="11" t="s">
        <v>19</v>
      </c>
      <c r="E1375" s="11" t="s">
        <v>19</v>
      </c>
      <c r="F1375" s="11" t="s">
        <v>5036</v>
      </c>
      <c r="G1375" s="11" t="s">
        <v>83</v>
      </c>
      <c r="H1375" s="11" t="s">
        <v>5037</v>
      </c>
      <c r="I1375" s="11" t="s">
        <v>5038</v>
      </c>
      <c r="J1375" s="12">
        <v>0.80600000000000005</v>
      </c>
      <c r="K1375" s="13">
        <v>14</v>
      </c>
      <c r="L1375" s="14">
        <v>7915</v>
      </c>
      <c r="M1375" s="10">
        <v>5048</v>
      </c>
      <c r="N1375" s="10">
        <v>874622</v>
      </c>
      <c r="O1375" s="10">
        <v>395860</v>
      </c>
      <c r="P1375" s="10">
        <v>1270482</v>
      </c>
    </row>
    <row r="1376" spans="1:16" ht="27" customHeight="1" x14ac:dyDescent="0.2">
      <c r="A1376" s="9" t="s">
        <v>4800</v>
      </c>
      <c r="B1376" s="10" t="s">
        <v>5035</v>
      </c>
      <c r="C1376" s="11" t="s">
        <v>5039</v>
      </c>
      <c r="D1376" s="11" t="s">
        <v>5040</v>
      </c>
      <c r="E1376" s="11" t="s">
        <v>26</v>
      </c>
      <c r="F1376" s="11" t="s">
        <v>5041</v>
      </c>
      <c r="G1376" s="11" t="s">
        <v>28</v>
      </c>
      <c r="H1376" s="11" t="s">
        <v>5041</v>
      </c>
      <c r="I1376" s="11" t="s">
        <v>5042</v>
      </c>
      <c r="J1376" s="12">
        <v>0.26829999999999998</v>
      </c>
      <c r="K1376" s="13">
        <v>1</v>
      </c>
      <c r="L1376" s="14">
        <v>984</v>
      </c>
      <c r="M1376" s="10">
        <v>264</v>
      </c>
      <c r="N1376" s="10">
        <v>108734</v>
      </c>
      <c r="O1376" s="10">
        <v>20703</v>
      </c>
      <c r="P1376" s="10">
        <v>129437</v>
      </c>
    </row>
    <row r="1377" spans="1:16" ht="27" customHeight="1" x14ac:dyDescent="0.2">
      <c r="A1377" s="9" t="s">
        <v>4800</v>
      </c>
      <c r="B1377" s="10" t="s">
        <v>5035</v>
      </c>
      <c r="C1377" s="11" t="s">
        <v>5043</v>
      </c>
      <c r="D1377" s="11" t="s">
        <v>5044</v>
      </c>
      <c r="E1377" s="11" t="s">
        <v>57</v>
      </c>
      <c r="F1377" s="11" t="s">
        <v>5045</v>
      </c>
      <c r="G1377" s="11" t="s">
        <v>28</v>
      </c>
      <c r="H1377" s="11" t="s">
        <v>5045</v>
      </c>
      <c r="I1377" s="11" t="s">
        <v>5046</v>
      </c>
      <c r="J1377" s="12">
        <v>0.35010000000000002</v>
      </c>
      <c r="K1377" s="13">
        <v>1</v>
      </c>
      <c r="L1377" s="14">
        <v>697</v>
      </c>
      <c r="M1377" s="10">
        <v>244</v>
      </c>
      <c r="N1377" s="10">
        <v>77020</v>
      </c>
      <c r="O1377" s="10">
        <v>19134</v>
      </c>
      <c r="P1377" s="10">
        <v>96154</v>
      </c>
    </row>
    <row r="1378" spans="1:16" ht="27" customHeight="1" x14ac:dyDescent="0.2">
      <c r="A1378" s="9" t="s">
        <v>4800</v>
      </c>
      <c r="B1378" s="10" t="s">
        <v>5047</v>
      </c>
      <c r="C1378" s="11" t="s">
        <v>18</v>
      </c>
      <c r="D1378" s="11" t="s">
        <v>19</v>
      </c>
      <c r="E1378" s="11" t="s">
        <v>19</v>
      </c>
      <c r="F1378" s="11" t="s">
        <v>5048</v>
      </c>
      <c r="G1378" s="11" t="s">
        <v>83</v>
      </c>
      <c r="H1378" s="11" t="s">
        <v>5049</v>
      </c>
      <c r="I1378" s="11" t="s">
        <v>5050</v>
      </c>
      <c r="J1378" s="12">
        <v>0.67159999999999997</v>
      </c>
      <c r="K1378" s="13">
        <v>4</v>
      </c>
      <c r="L1378" s="14">
        <v>134</v>
      </c>
      <c r="M1378" s="10">
        <v>75</v>
      </c>
      <c r="N1378" s="10">
        <v>14808</v>
      </c>
      <c r="O1378" s="10">
        <v>5882</v>
      </c>
      <c r="P1378" s="10">
        <v>20690</v>
      </c>
    </row>
    <row r="1379" spans="1:16" ht="27" customHeight="1" x14ac:dyDescent="0.2">
      <c r="A1379" s="9" t="s">
        <v>4800</v>
      </c>
      <c r="B1379" s="10" t="s">
        <v>5051</v>
      </c>
      <c r="C1379" s="11" t="s">
        <v>18</v>
      </c>
      <c r="D1379" s="11" t="s">
        <v>19</v>
      </c>
      <c r="E1379" s="11" t="s">
        <v>19</v>
      </c>
      <c r="F1379" s="11" t="s">
        <v>5052</v>
      </c>
      <c r="G1379" s="11" t="s">
        <v>83</v>
      </c>
      <c r="H1379" s="11" t="s">
        <v>5053</v>
      </c>
      <c r="I1379" s="11" t="s">
        <v>5054</v>
      </c>
      <c r="J1379" s="12">
        <v>0.91510000000000002</v>
      </c>
      <c r="K1379" s="13">
        <v>10</v>
      </c>
      <c r="L1379" s="14">
        <v>1965</v>
      </c>
      <c r="M1379" s="10">
        <v>1141</v>
      </c>
      <c r="N1379" s="10">
        <v>217137</v>
      </c>
      <c r="O1379" s="10">
        <v>89477</v>
      </c>
      <c r="P1379" s="10">
        <v>306614</v>
      </c>
    </row>
    <row r="1380" spans="1:16" ht="27" customHeight="1" x14ac:dyDescent="0.2">
      <c r="A1380" s="9" t="s">
        <v>4800</v>
      </c>
      <c r="B1380" s="10" t="s">
        <v>5055</v>
      </c>
      <c r="C1380" s="11" t="s">
        <v>18</v>
      </c>
      <c r="D1380" s="11" t="s">
        <v>19</v>
      </c>
      <c r="E1380" s="11" t="s">
        <v>19</v>
      </c>
      <c r="F1380" s="11" t="s">
        <v>5056</v>
      </c>
      <c r="G1380" s="11" t="s">
        <v>83</v>
      </c>
      <c r="H1380" s="11" t="s">
        <v>5057</v>
      </c>
      <c r="I1380" s="11" t="s">
        <v>5058</v>
      </c>
      <c r="J1380" s="12">
        <v>0.84599999999999997</v>
      </c>
      <c r="K1380" s="13">
        <v>13</v>
      </c>
      <c r="L1380" s="14">
        <v>7962</v>
      </c>
      <c r="M1380" s="10">
        <v>5427</v>
      </c>
      <c r="N1380" s="10">
        <v>879815</v>
      </c>
      <c r="O1380" s="10">
        <v>425580</v>
      </c>
      <c r="P1380" s="10">
        <v>1305395</v>
      </c>
    </row>
    <row r="1381" spans="1:16" ht="27" customHeight="1" x14ac:dyDescent="0.2">
      <c r="A1381" s="9" t="s">
        <v>4800</v>
      </c>
      <c r="B1381" s="10" t="s">
        <v>5059</v>
      </c>
      <c r="C1381" s="11" t="s">
        <v>18</v>
      </c>
      <c r="D1381" s="11" t="s">
        <v>19</v>
      </c>
      <c r="E1381" s="11" t="s">
        <v>19</v>
      </c>
      <c r="F1381" s="11" t="s">
        <v>5060</v>
      </c>
      <c r="G1381" s="11" t="s">
        <v>83</v>
      </c>
      <c r="H1381" s="11" t="s">
        <v>5061</v>
      </c>
      <c r="I1381" s="11" t="s">
        <v>5062</v>
      </c>
      <c r="J1381" s="12">
        <v>0.77790000000000004</v>
      </c>
      <c r="K1381" s="13">
        <v>26</v>
      </c>
      <c r="L1381" s="14">
        <v>23015</v>
      </c>
      <c r="M1381" s="10">
        <v>13360</v>
      </c>
      <c r="N1381" s="10">
        <v>2543194</v>
      </c>
      <c r="O1381" s="10">
        <v>1047679</v>
      </c>
      <c r="P1381" s="10">
        <v>3590873</v>
      </c>
    </row>
    <row r="1382" spans="1:16" ht="27" customHeight="1" x14ac:dyDescent="0.2">
      <c r="A1382" s="9" t="s">
        <v>4800</v>
      </c>
      <c r="B1382" s="10" t="s">
        <v>5059</v>
      </c>
      <c r="C1382" s="11" t="s">
        <v>5063</v>
      </c>
      <c r="D1382" s="11" t="s">
        <v>5064</v>
      </c>
      <c r="E1382" s="11" t="s">
        <v>26</v>
      </c>
      <c r="F1382" s="11" t="s">
        <v>5065</v>
      </c>
      <c r="G1382" s="11" t="s">
        <v>28</v>
      </c>
      <c r="H1382" s="11" t="s">
        <v>4803</v>
      </c>
      <c r="I1382" s="11" t="s">
        <v>4804</v>
      </c>
      <c r="J1382" s="12">
        <v>0.98809999999999998</v>
      </c>
      <c r="K1382" s="13">
        <v>1</v>
      </c>
      <c r="L1382" s="14">
        <v>224</v>
      </c>
      <c r="M1382" s="10">
        <v>183</v>
      </c>
      <c r="N1382" s="10">
        <v>24752</v>
      </c>
      <c r="O1382" s="10">
        <v>14351</v>
      </c>
      <c r="P1382" s="10">
        <v>39103</v>
      </c>
    </row>
    <row r="1383" spans="1:16" ht="27" customHeight="1" x14ac:dyDescent="0.2">
      <c r="A1383" s="9" t="s">
        <v>4800</v>
      </c>
      <c r="B1383" s="10" t="s">
        <v>5059</v>
      </c>
      <c r="C1383" s="11" t="s">
        <v>5066</v>
      </c>
      <c r="D1383" s="11" t="s">
        <v>5067</v>
      </c>
      <c r="E1383" s="11" t="s">
        <v>26</v>
      </c>
      <c r="F1383" s="11" t="s">
        <v>5068</v>
      </c>
      <c r="G1383" s="11" t="s">
        <v>28</v>
      </c>
      <c r="H1383" s="11" t="s">
        <v>5068</v>
      </c>
      <c r="I1383" s="11" t="s">
        <v>5069</v>
      </c>
      <c r="J1383" s="12">
        <v>0.59950000000000003</v>
      </c>
      <c r="K1383" s="13">
        <v>1</v>
      </c>
      <c r="L1383" s="14">
        <v>372</v>
      </c>
      <c r="M1383" s="10">
        <v>223</v>
      </c>
      <c r="N1383" s="10">
        <v>41107</v>
      </c>
      <c r="O1383" s="10">
        <v>17487</v>
      </c>
      <c r="P1383" s="10">
        <v>58594</v>
      </c>
    </row>
    <row r="1384" spans="1:16" ht="27" customHeight="1" x14ac:dyDescent="0.2">
      <c r="A1384" s="9" t="s">
        <v>4800</v>
      </c>
      <c r="B1384" s="10" t="s">
        <v>5059</v>
      </c>
      <c r="C1384" s="11" t="s">
        <v>5070</v>
      </c>
      <c r="D1384" s="11" t="s">
        <v>5071</v>
      </c>
      <c r="E1384" s="11" t="s">
        <v>26</v>
      </c>
      <c r="F1384" s="11" t="s">
        <v>5072</v>
      </c>
      <c r="G1384" s="11" t="s">
        <v>28</v>
      </c>
      <c r="H1384" s="11" t="s">
        <v>4803</v>
      </c>
      <c r="I1384" s="11" t="s">
        <v>4804</v>
      </c>
      <c r="J1384" s="12">
        <v>0.98809999999999998</v>
      </c>
      <c r="K1384" s="13">
        <v>1</v>
      </c>
      <c r="L1384" s="14">
        <v>287</v>
      </c>
      <c r="M1384" s="10">
        <v>215</v>
      </c>
      <c r="N1384" s="10">
        <v>31714</v>
      </c>
      <c r="O1384" s="10">
        <v>16860</v>
      </c>
      <c r="P1384" s="10">
        <v>48574</v>
      </c>
    </row>
    <row r="1385" spans="1:16" ht="27" customHeight="1" x14ac:dyDescent="0.2">
      <c r="A1385" s="9" t="s">
        <v>4800</v>
      </c>
      <c r="B1385" s="10" t="s">
        <v>5059</v>
      </c>
      <c r="C1385" s="11" t="s">
        <v>5073</v>
      </c>
      <c r="D1385" s="11" t="s">
        <v>5074</v>
      </c>
      <c r="E1385" s="11" t="s">
        <v>26</v>
      </c>
      <c r="F1385" s="11" t="s">
        <v>5075</v>
      </c>
      <c r="G1385" s="11" t="s">
        <v>28</v>
      </c>
      <c r="H1385" s="11" t="s">
        <v>4803</v>
      </c>
      <c r="I1385" s="11" t="s">
        <v>4804</v>
      </c>
      <c r="J1385" s="12">
        <v>0.98809999999999998</v>
      </c>
      <c r="K1385" s="13">
        <v>1</v>
      </c>
      <c r="L1385" s="14">
        <v>630</v>
      </c>
      <c r="M1385" s="10">
        <v>326</v>
      </c>
      <c r="N1385" s="10">
        <v>69616</v>
      </c>
      <c r="O1385" s="10">
        <v>25565</v>
      </c>
      <c r="P1385" s="10">
        <v>95181</v>
      </c>
    </row>
    <row r="1386" spans="1:16" ht="27" customHeight="1" x14ac:dyDescent="0.2">
      <c r="A1386" s="9" t="s">
        <v>4800</v>
      </c>
      <c r="B1386" s="10" t="s">
        <v>5059</v>
      </c>
      <c r="C1386" s="11" t="s">
        <v>5076</v>
      </c>
      <c r="D1386" s="11" t="s">
        <v>5077</v>
      </c>
      <c r="E1386" s="11" t="s">
        <v>26</v>
      </c>
      <c r="F1386" s="11" t="s">
        <v>5078</v>
      </c>
      <c r="G1386" s="11" t="s">
        <v>28</v>
      </c>
      <c r="H1386" s="11" t="s">
        <v>5078</v>
      </c>
      <c r="I1386" s="11" t="s">
        <v>5079</v>
      </c>
      <c r="J1386" s="12">
        <v>0.64600000000000002</v>
      </c>
      <c r="K1386" s="13">
        <v>1</v>
      </c>
      <c r="L1386" s="14">
        <v>531</v>
      </c>
      <c r="M1386" s="10">
        <v>343</v>
      </c>
      <c r="N1386" s="10">
        <v>58676</v>
      </c>
      <c r="O1386" s="10">
        <v>26898</v>
      </c>
      <c r="P1386" s="10">
        <v>85574</v>
      </c>
    </row>
    <row r="1387" spans="1:16" ht="27" customHeight="1" x14ac:dyDescent="0.2">
      <c r="A1387" s="9" t="s">
        <v>4800</v>
      </c>
      <c r="B1387" s="10" t="s">
        <v>5080</v>
      </c>
      <c r="C1387" s="11" t="s">
        <v>18</v>
      </c>
      <c r="D1387" s="11" t="s">
        <v>19</v>
      </c>
      <c r="E1387" s="11" t="s">
        <v>19</v>
      </c>
      <c r="F1387" s="11" t="s">
        <v>5081</v>
      </c>
      <c r="G1387" s="11" t="s">
        <v>83</v>
      </c>
      <c r="H1387" s="11" t="s">
        <v>5082</v>
      </c>
      <c r="I1387" s="11" t="s">
        <v>5083</v>
      </c>
      <c r="J1387" s="12">
        <v>0.91279999999999994</v>
      </c>
      <c r="K1387" s="13">
        <v>5</v>
      </c>
      <c r="L1387" s="14">
        <v>1029</v>
      </c>
      <c r="M1387" s="10">
        <v>934</v>
      </c>
      <c r="N1387" s="10">
        <v>113707</v>
      </c>
      <c r="O1387" s="10">
        <v>73244</v>
      </c>
      <c r="P1387" s="10">
        <v>186951</v>
      </c>
    </row>
    <row r="1388" spans="1:16" ht="27" customHeight="1" x14ac:dyDescent="0.2">
      <c r="A1388" s="9" t="s">
        <v>4800</v>
      </c>
      <c r="B1388" s="10" t="s">
        <v>5080</v>
      </c>
      <c r="C1388" s="11" t="s">
        <v>5084</v>
      </c>
      <c r="D1388" s="11" t="s">
        <v>5085</v>
      </c>
      <c r="E1388" s="11" t="s">
        <v>26</v>
      </c>
      <c r="F1388" s="11" t="s">
        <v>5086</v>
      </c>
      <c r="G1388" s="11" t="s">
        <v>28</v>
      </c>
      <c r="H1388" s="11" t="s">
        <v>5086</v>
      </c>
      <c r="I1388" s="11" t="s">
        <v>5087</v>
      </c>
      <c r="J1388" s="12">
        <v>0.34889999999999999</v>
      </c>
      <c r="K1388" s="13">
        <v>1</v>
      </c>
      <c r="L1388" s="14">
        <v>2138</v>
      </c>
      <c r="M1388" s="10">
        <v>746</v>
      </c>
      <c r="N1388" s="10">
        <v>236253</v>
      </c>
      <c r="O1388" s="10">
        <v>58501</v>
      </c>
      <c r="P1388" s="10">
        <v>294754</v>
      </c>
    </row>
    <row r="1389" spans="1:16" ht="27" customHeight="1" x14ac:dyDescent="0.2">
      <c r="A1389" s="9" t="s">
        <v>4800</v>
      </c>
      <c r="B1389" s="10" t="s">
        <v>5080</v>
      </c>
      <c r="C1389" s="11" t="s">
        <v>5088</v>
      </c>
      <c r="D1389" s="11" t="s">
        <v>5089</v>
      </c>
      <c r="E1389" s="11" t="s">
        <v>26</v>
      </c>
      <c r="F1389" s="11" t="s">
        <v>5090</v>
      </c>
      <c r="G1389" s="11" t="s">
        <v>28</v>
      </c>
      <c r="H1389" s="11" t="s">
        <v>4803</v>
      </c>
      <c r="I1389" s="11" t="s">
        <v>4804</v>
      </c>
      <c r="J1389" s="12">
        <v>0.98809999999999998</v>
      </c>
      <c r="K1389" s="13">
        <v>1</v>
      </c>
      <c r="L1389" s="14">
        <v>2023</v>
      </c>
      <c r="M1389" s="10">
        <v>1763</v>
      </c>
      <c r="N1389" s="10">
        <v>223545</v>
      </c>
      <c r="O1389" s="10">
        <v>138253</v>
      </c>
      <c r="P1389" s="10">
        <v>361798</v>
      </c>
    </row>
    <row r="1390" spans="1:16" ht="27" customHeight="1" x14ac:dyDescent="0.2">
      <c r="A1390" s="9" t="s">
        <v>4800</v>
      </c>
      <c r="B1390" s="10" t="s">
        <v>5080</v>
      </c>
      <c r="C1390" s="11" t="s">
        <v>5091</v>
      </c>
      <c r="D1390" s="11" t="s">
        <v>5092</v>
      </c>
      <c r="E1390" s="11" t="s">
        <v>26</v>
      </c>
      <c r="F1390" s="11" t="s">
        <v>5093</v>
      </c>
      <c r="G1390" s="11" t="s">
        <v>28</v>
      </c>
      <c r="H1390" s="11" t="s">
        <v>5093</v>
      </c>
      <c r="I1390" s="11" t="s">
        <v>5094</v>
      </c>
      <c r="J1390" s="12">
        <v>0.51229999999999998</v>
      </c>
      <c r="K1390" s="13">
        <v>1</v>
      </c>
      <c r="L1390" s="14">
        <v>693</v>
      </c>
      <c r="M1390" s="10">
        <v>355</v>
      </c>
      <c r="N1390" s="10">
        <v>76578</v>
      </c>
      <c r="O1390" s="10">
        <v>27839</v>
      </c>
      <c r="P1390" s="10">
        <v>104417</v>
      </c>
    </row>
    <row r="1391" spans="1:16" ht="27" customHeight="1" x14ac:dyDescent="0.2">
      <c r="A1391" s="9" t="s">
        <v>4800</v>
      </c>
      <c r="B1391" s="10" t="s">
        <v>5080</v>
      </c>
      <c r="C1391" s="11" t="s">
        <v>5095</v>
      </c>
      <c r="D1391" s="11" t="s">
        <v>5096</v>
      </c>
      <c r="E1391" s="11" t="s">
        <v>26</v>
      </c>
      <c r="F1391" s="11" t="s">
        <v>5097</v>
      </c>
      <c r="G1391" s="11" t="s">
        <v>28</v>
      </c>
      <c r="H1391" s="11" t="s">
        <v>5097</v>
      </c>
      <c r="I1391" s="11" t="s">
        <v>5098</v>
      </c>
      <c r="J1391" s="12">
        <v>0.40239999999999998</v>
      </c>
      <c r="K1391" s="13">
        <v>1</v>
      </c>
      <c r="L1391" s="14">
        <v>1260</v>
      </c>
      <c r="M1391" s="10">
        <v>507</v>
      </c>
      <c r="N1391" s="10">
        <v>139232</v>
      </c>
      <c r="O1391" s="10">
        <v>39758</v>
      </c>
      <c r="P1391" s="10">
        <v>178990</v>
      </c>
    </row>
    <row r="1392" spans="1:16" ht="27" customHeight="1" x14ac:dyDescent="0.2">
      <c r="A1392" s="9" t="s">
        <v>4800</v>
      </c>
      <c r="B1392" s="10" t="s">
        <v>5080</v>
      </c>
      <c r="C1392" s="11" t="s">
        <v>5099</v>
      </c>
      <c r="D1392" s="11" t="s">
        <v>5100</v>
      </c>
      <c r="E1392" s="11" t="s">
        <v>26</v>
      </c>
      <c r="F1392" s="11" t="s">
        <v>5101</v>
      </c>
      <c r="G1392" s="11" t="s">
        <v>28</v>
      </c>
      <c r="H1392" s="11" t="s">
        <v>5101</v>
      </c>
      <c r="I1392" s="11" t="s">
        <v>5102</v>
      </c>
      <c r="J1392" s="12">
        <v>0.58169999999999999</v>
      </c>
      <c r="K1392" s="13">
        <v>1</v>
      </c>
      <c r="L1392" s="14">
        <v>569</v>
      </c>
      <c r="M1392" s="10">
        <v>331</v>
      </c>
      <c r="N1392" s="10">
        <v>62875</v>
      </c>
      <c r="O1392" s="10">
        <v>25957</v>
      </c>
      <c r="P1392" s="10">
        <v>88832</v>
      </c>
    </row>
    <row r="1393" spans="1:16" ht="27" customHeight="1" x14ac:dyDescent="0.2">
      <c r="A1393" s="9" t="s">
        <v>4800</v>
      </c>
      <c r="B1393" s="10" t="s">
        <v>5080</v>
      </c>
      <c r="C1393" s="11" t="s">
        <v>5103</v>
      </c>
      <c r="D1393" s="11" t="s">
        <v>5104</v>
      </c>
      <c r="E1393" s="11" t="s">
        <v>26</v>
      </c>
      <c r="F1393" s="11" t="s">
        <v>5105</v>
      </c>
      <c r="G1393" s="11" t="s">
        <v>28</v>
      </c>
      <c r="H1393" s="11" t="s">
        <v>5105</v>
      </c>
      <c r="I1393" s="11" t="s">
        <v>5106</v>
      </c>
      <c r="J1393" s="12">
        <v>0.441</v>
      </c>
      <c r="K1393" s="13">
        <v>1</v>
      </c>
      <c r="L1393" s="14">
        <v>3433</v>
      </c>
      <c r="M1393" s="10">
        <v>1514</v>
      </c>
      <c r="N1393" s="10">
        <v>379352</v>
      </c>
      <c r="O1393" s="10">
        <v>118726</v>
      </c>
      <c r="P1393" s="10">
        <v>498078</v>
      </c>
    </row>
    <row r="1394" spans="1:16" ht="27" customHeight="1" x14ac:dyDescent="0.2">
      <c r="A1394" s="9" t="s">
        <v>4800</v>
      </c>
      <c r="B1394" s="10" t="s">
        <v>5107</v>
      </c>
      <c r="C1394" s="11" t="s">
        <v>18</v>
      </c>
      <c r="D1394" s="11" t="s">
        <v>19</v>
      </c>
      <c r="E1394" s="11" t="s">
        <v>19</v>
      </c>
      <c r="F1394" s="11" t="s">
        <v>5108</v>
      </c>
      <c r="G1394" s="11" t="s">
        <v>83</v>
      </c>
      <c r="H1394" s="11" t="s">
        <v>5109</v>
      </c>
      <c r="I1394" s="11" t="s">
        <v>5110</v>
      </c>
      <c r="J1394" s="12">
        <v>0.87109999999999999</v>
      </c>
      <c r="K1394" s="13">
        <v>15</v>
      </c>
      <c r="L1394" s="14">
        <v>10125</v>
      </c>
      <c r="M1394" s="10">
        <v>6835</v>
      </c>
      <c r="N1394" s="10">
        <v>1118828</v>
      </c>
      <c r="O1394" s="10">
        <v>535993</v>
      </c>
      <c r="P1394" s="10">
        <v>1654821</v>
      </c>
    </row>
    <row r="1395" spans="1:16" ht="27" customHeight="1" x14ac:dyDescent="0.2">
      <c r="A1395" s="9" t="s">
        <v>4800</v>
      </c>
      <c r="B1395" s="10" t="s">
        <v>5111</v>
      </c>
      <c r="C1395" s="11" t="s">
        <v>18</v>
      </c>
      <c r="D1395" s="11" t="s">
        <v>19</v>
      </c>
      <c r="E1395" s="11" t="s">
        <v>19</v>
      </c>
      <c r="F1395" s="11" t="s">
        <v>5112</v>
      </c>
      <c r="G1395" s="11" t="s">
        <v>83</v>
      </c>
      <c r="H1395" s="11" t="s">
        <v>5113</v>
      </c>
      <c r="I1395" s="11" t="s">
        <v>5114</v>
      </c>
      <c r="J1395" s="12">
        <v>0.85699999999999998</v>
      </c>
      <c r="K1395" s="13">
        <v>16</v>
      </c>
      <c r="L1395" s="14">
        <v>13961</v>
      </c>
      <c r="M1395" s="10">
        <v>10143</v>
      </c>
      <c r="N1395" s="10">
        <v>1542713</v>
      </c>
      <c r="O1395" s="10">
        <v>795405</v>
      </c>
      <c r="P1395" s="10">
        <v>2338118</v>
      </c>
    </row>
    <row r="1396" spans="1:16" ht="27" customHeight="1" x14ac:dyDescent="0.2">
      <c r="A1396" s="9" t="s">
        <v>4800</v>
      </c>
      <c r="B1396" s="10" t="s">
        <v>5111</v>
      </c>
      <c r="C1396" s="11" t="s">
        <v>5115</v>
      </c>
      <c r="D1396" s="11" t="s">
        <v>5116</v>
      </c>
      <c r="E1396" s="11" t="s">
        <v>26</v>
      </c>
      <c r="F1396" s="11" t="s">
        <v>5117</v>
      </c>
      <c r="G1396" s="11" t="s">
        <v>28</v>
      </c>
      <c r="H1396" s="11" t="s">
        <v>5117</v>
      </c>
      <c r="I1396" s="11" t="s">
        <v>5118</v>
      </c>
      <c r="J1396" s="12">
        <v>0.43130000000000002</v>
      </c>
      <c r="K1396" s="13">
        <v>1</v>
      </c>
      <c r="L1396" s="14">
        <v>1484</v>
      </c>
      <c r="M1396" s="10">
        <v>640</v>
      </c>
      <c r="N1396" s="10">
        <v>163984</v>
      </c>
      <c r="O1396" s="10">
        <v>50188</v>
      </c>
      <c r="P1396" s="10">
        <v>214172</v>
      </c>
    </row>
    <row r="1397" spans="1:16" ht="27" customHeight="1" x14ac:dyDescent="0.2">
      <c r="A1397" s="9" t="s">
        <v>5119</v>
      </c>
      <c r="B1397" s="10" t="s">
        <v>5120</v>
      </c>
      <c r="C1397" s="11" t="s">
        <v>18</v>
      </c>
      <c r="D1397" s="11" t="s">
        <v>19</v>
      </c>
      <c r="E1397" s="11" t="s">
        <v>19</v>
      </c>
      <c r="F1397" s="11" t="s">
        <v>5121</v>
      </c>
      <c r="G1397" s="11" t="s">
        <v>21</v>
      </c>
      <c r="H1397" s="11" t="s">
        <v>5122</v>
      </c>
      <c r="I1397" s="11" t="s">
        <v>5123</v>
      </c>
      <c r="J1397" s="12">
        <v>1</v>
      </c>
      <c r="K1397" s="13">
        <v>9</v>
      </c>
      <c r="L1397" s="14">
        <v>1110</v>
      </c>
      <c r="M1397" s="10">
        <v>1001</v>
      </c>
      <c r="N1397" s="10">
        <v>122658</v>
      </c>
      <c r="O1397" s="10">
        <v>78497</v>
      </c>
      <c r="P1397" s="10">
        <v>201155</v>
      </c>
    </row>
    <row r="1398" spans="1:16" ht="27" customHeight="1" x14ac:dyDescent="0.2">
      <c r="A1398" s="9" t="s">
        <v>5119</v>
      </c>
      <c r="B1398" s="10" t="s">
        <v>5120</v>
      </c>
      <c r="C1398" s="11" t="s">
        <v>5124</v>
      </c>
      <c r="D1398" s="11" t="s">
        <v>5125</v>
      </c>
      <c r="E1398" s="11" t="s">
        <v>26</v>
      </c>
      <c r="F1398" s="11" t="s">
        <v>5126</v>
      </c>
      <c r="G1398" s="11" t="s">
        <v>28</v>
      </c>
      <c r="H1398" s="11" t="s">
        <v>5126</v>
      </c>
      <c r="I1398" s="11" t="s">
        <v>5127</v>
      </c>
      <c r="J1398" s="12">
        <v>0.85140000000000005</v>
      </c>
      <c r="K1398" s="13">
        <v>1</v>
      </c>
      <c r="L1398" s="14">
        <v>424</v>
      </c>
      <c r="M1398" s="10">
        <v>361</v>
      </c>
      <c r="N1398" s="10">
        <v>46853</v>
      </c>
      <c r="O1398" s="10">
        <v>28309</v>
      </c>
      <c r="P1398" s="10">
        <v>75162</v>
      </c>
    </row>
    <row r="1399" spans="1:16" ht="27" customHeight="1" x14ac:dyDescent="0.2">
      <c r="A1399" s="9" t="s">
        <v>5119</v>
      </c>
      <c r="B1399" s="10" t="s">
        <v>5120</v>
      </c>
      <c r="C1399" s="11" t="s">
        <v>5128</v>
      </c>
      <c r="D1399" s="11" t="s">
        <v>5129</v>
      </c>
      <c r="E1399" s="11" t="s">
        <v>26</v>
      </c>
      <c r="F1399" s="11" t="s">
        <v>5130</v>
      </c>
      <c r="G1399" s="11" t="s">
        <v>28</v>
      </c>
      <c r="H1399" s="11" t="s">
        <v>5130</v>
      </c>
      <c r="I1399" s="11" t="s">
        <v>5131</v>
      </c>
      <c r="J1399" s="12">
        <v>0.83260000000000001</v>
      </c>
      <c r="K1399" s="13">
        <v>1</v>
      </c>
      <c r="L1399" s="14">
        <v>239</v>
      </c>
      <c r="M1399" s="10">
        <v>199</v>
      </c>
      <c r="N1399" s="10">
        <v>26410</v>
      </c>
      <c r="O1399" s="10">
        <v>15605</v>
      </c>
      <c r="P1399" s="10">
        <v>42015</v>
      </c>
    </row>
    <row r="1400" spans="1:16" ht="27" customHeight="1" x14ac:dyDescent="0.2">
      <c r="A1400" s="9" t="s">
        <v>5119</v>
      </c>
      <c r="B1400" s="10" t="s">
        <v>5120</v>
      </c>
      <c r="C1400" s="11" t="s">
        <v>5132</v>
      </c>
      <c r="D1400" s="11" t="s">
        <v>5133</v>
      </c>
      <c r="E1400" s="11" t="s">
        <v>26</v>
      </c>
      <c r="F1400" s="11" t="s">
        <v>5134</v>
      </c>
      <c r="G1400" s="11" t="s">
        <v>28</v>
      </c>
      <c r="H1400" s="11" t="s">
        <v>5134</v>
      </c>
      <c r="I1400" s="11" t="s">
        <v>5135</v>
      </c>
      <c r="J1400" s="12">
        <v>0.55249999999999999</v>
      </c>
      <c r="K1400" s="13">
        <v>1</v>
      </c>
      <c r="L1400" s="14">
        <v>219</v>
      </c>
      <c r="M1400" s="10">
        <v>121</v>
      </c>
      <c r="N1400" s="10">
        <v>24200</v>
      </c>
      <c r="O1400" s="10">
        <v>9489</v>
      </c>
      <c r="P1400" s="10">
        <v>33689</v>
      </c>
    </row>
    <row r="1401" spans="1:16" ht="27" customHeight="1" x14ac:dyDescent="0.2">
      <c r="A1401" s="9" t="s">
        <v>5119</v>
      </c>
      <c r="B1401" s="10" t="s">
        <v>5120</v>
      </c>
      <c r="C1401" s="11" t="s">
        <v>5136</v>
      </c>
      <c r="D1401" s="11" t="s">
        <v>5137</v>
      </c>
      <c r="E1401" s="11" t="s">
        <v>26</v>
      </c>
      <c r="F1401" s="11" t="s">
        <v>5138</v>
      </c>
      <c r="G1401" s="11" t="s">
        <v>28</v>
      </c>
      <c r="H1401" s="11" t="s">
        <v>5138</v>
      </c>
      <c r="I1401" s="11" t="s">
        <v>5139</v>
      </c>
      <c r="J1401" s="12">
        <v>0.73660000000000003</v>
      </c>
      <c r="K1401" s="13">
        <v>1</v>
      </c>
      <c r="L1401" s="14">
        <v>543</v>
      </c>
      <c r="M1401" s="10">
        <v>400</v>
      </c>
      <c r="N1401" s="10">
        <v>60002</v>
      </c>
      <c r="O1401" s="10">
        <v>31368</v>
      </c>
      <c r="P1401" s="10">
        <v>91370</v>
      </c>
    </row>
    <row r="1402" spans="1:16" ht="27" customHeight="1" x14ac:dyDescent="0.2">
      <c r="A1402" s="9" t="s">
        <v>5119</v>
      </c>
      <c r="B1402" s="10" t="s">
        <v>5120</v>
      </c>
      <c r="C1402" s="11" t="s">
        <v>5140</v>
      </c>
      <c r="D1402" s="11" t="s">
        <v>5141</v>
      </c>
      <c r="E1402" s="11" t="s">
        <v>26</v>
      </c>
      <c r="F1402" s="11" t="s">
        <v>5142</v>
      </c>
      <c r="G1402" s="11" t="s">
        <v>28</v>
      </c>
      <c r="H1402" s="11" t="s">
        <v>5142</v>
      </c>
      <c r="I1402" s="11" t="s">
        <v>5143</v>
      </c>
      <c r="J1402" s="12">
        <v>0.27029999999999998</v>
      </c>
      <c r="K1402" s="13">
        <v>1</v>
      </c>
      <c r="L1402" s="14">
        <v>762</v>
      </c>
      <c r="M1402" s="10">
        <v>206</v>
      </c>
      <c r="N1402" s="10">
        <v>84202</v>
      </c>
      <c r="O1402" s="10">
        <v>16154</v>
      </c>
      <c r="P1402" s="10">
        <v>100356</v>
      </c>
    </row>
    <row r="1403" spans="1:16" ht="27" customHeight="1" x14ac:dyDescent="0.2">
      <c r="A1403" s="9" t="s">
        <v>5119</v>
      </c>
      <c r="B1403" s="10" t="s">
        <v>5120</v>
      </c>
      <c r="C1403" s="11" t="s">
        <v>5144</v>
      </c>
      <c r="D1403" s="11" t="s">
        <v>5145</v>
      </c>
      <c r="E1403" s="11" t="s">
        <v>26</v>
      </c>
      <c r="F1403" s="11" t="s">
        <v>5146</v>
      </c>
      <c r="G1403" s="11" t="s">
        <v>28</v>
      </c>
      <c r="H1403" s="11" t="s">
        <v>5146</v>
      </c>
      <c r="I1403" s="11" t="s">
        <v>5147</v>
      </c>
      <c r="J1403" s="12">
        <v>0.51919999999999999</v>
      </c>
      <c r="K1403" s="13">
        <v>1</v>
      </c>
      <c r="L1403" s="14">
        <v>468</v>
      </c>
      <c r="M1403" s="10">
        <v>243</v>
      </c>
      <c r="N1403" s="10">
        <v>51715</v>
      </c>
      <c r="O1403" s="10">
        <v>19056</v>
      </c>
      <c r="P1403" s="10">
        <v>70771</v>
      </c>
    </row>
    <row r="1404" spans="1:16" ht="27" customHeight="1" x14ac:dyDescent="0.2">
      <c r="A1404" s="9" t="s">
        <v>5119</v>
      </c>
      <c r="B1404" s="10" t="s">
        <v>5120</v>
      </c>
      <c r="C1404" s="11" t="s">
        <v>5148</v>
      </c>
      <c r="D1404" s="11" t="s">
        <v>5149</v>
      </c>
      <c r="E1404" s="11" t="s">
        <v>26</v>
      </c>
      <c r="F1404" s="11" t="s">
        <v>5150</v>
      </c>
      <c r="G1404" s="11" t="s">
        <v>28</v>
      </c>
      <c r="H1404" s="11" t="s">
        <v>5150</v>
      </c>
      <c r="I1404" s="11" t="s">
        <v>5151</v>
      </c>
      <c r="J1404" s="12">
        <v>0.43969999999999998</v>
      </c>
      <c r="K1404" s="13">
        <v>1</v>
      </c>
      <c r="L1404" s="14">
        <v>514</v>
      </c>
      <c r="M1404" s="10">
        <v>226</v>
      </c>
      <c r="N1404" s="10">
        <v>56798</v>
      </c>
      <c r="O1404" s="10">
        <v>17723</v>
      </c>
      <c r="P1404" s="10">
        <v>74521</v>
      </c>
    </row>
    <row r="1405" spans="1:16" ht="27" customHeight="1" x14ac:dyDescent="0.2">
      <c r="A1405" s="9" t="s">
        <v>5119</v>
      </c>
      <c r="B1405" s="10" t="s">
        <v>5120</v>
      </c>
      <c r="C1405" s="11" t="s">
        <v>5152</v>
      </c>
      <c r="D1405" s="11" t="s">
        <v>5153</v>
      </c>
      <c r="E1405" s="11" t="s">
        <v>26</v>
      </c>
      <c r="F1405" s="11" t="s">
        <v>5154</v>
      </c>
      <c r="G1405" s="11" t="s">
        <v>28</v>
      </c>
      <c r="H1405" s="11" t="s">
        <v>5154</v>
      </c>
      <c r="I1405" s="11" t="s">
        <v>5155</v>
      </c>
      <c r="J1405" s="12">
        <v>0.25829999999999997</v>
      </c>
      <c r="K1405" s="13">
        <v>1</v>
      </c>
      <c r="L1405" s="14">
        <v>573</v>
      </c>
      <c r="M1405" s="10">
        <v>148</v>
      </c>
      <c r="N1405" s="10">
        <v>63317</v>
      </c>
      <c r="O1405" s="10">
        <v>11606</v>
      </c>
      <c r="P1405" s="10">
        <v>74923</v>
      </c>
    </row>
    <row r="1406" spans="1:16" ht="27" customHeight="1" x14ac:dyDescent="0.2">
      <c r="A1406" s="9" t="s">
        <v>5119</v>
      </c>
      <c r="B1406" s="10" t="s">
        <v>5120</v>
      </c>
      <c r="C1406" s="11" t="s">
        <v>5156</v>
      </c>
      <c r="D1406" s="11" t="s">
        <v>5157</v>
      </c>
      <c r="E1406" s="11" t="s">
        <v>26</v>
      </c>
      <c r="F1406" s="11" t="s">
        <v>5158</v>
      </c>
      <c r="G1406" s="11" t="s">
        <v>28</v>
      </c>
      <c r="H1406" s="11" t="s">
        <v>5158</v>
      </c>
      <c r="I1406" s="11" t="s">
        <v>5159</v>
      </c>
      <c r="J1406" s="12">
        <v>0.4667</v>
      </c>
      <c r="K1406" s="13">
        <v>1</v>
      </c>
      <c r="L1406" s="14">
        <v>240</v>
      </c>
      <c r="M1406" s="10">
        <v>112</v>
      </c>
      <c r="N1406" s="10">
        <v>26520</v>
      </c>
      <c r="O1406" s="10">
        <v>8783</v>
      </c>
      <c r="P1406" s="10">
        <v>35303</v>
      </c>
    </row>
    <row r="1407" spans="1:16" ht="27" customHeight="1" x14ac:dyDescent="0.2">
      <c r="A1407" s="9" t="s">
        <v>5119</v>
      </c>
      <c r="B1407" s="10" t="s">
        <v>5120</v>
      </c>
      <c r="C1407" s="11" t="s">
        <v>5160</v>
      </c>
      <c r="D1407" s="11" t="s">
        <v>5161</v>
      </c>
      <c r="E1407" s="11" t="s">
        <v>26</v>
      </c>
      <c r="F1407" s="11" t="s">
        <v>5162</v>
      </c>
      <c r="G1407" s="11" t="s">
        <v>28</v>
      </c>
      <c r="H1407" s="11" t="s">
        <v>5162</v>
      </c>
      <c r="I1407" s="11" t="s">
        <v>5163</v>
      </c>
      <c r="J1407" s="12">
        <v>0.56579999999999997</v>
      </c>
      <c r="K1407" s="13">
        <v>1</v>
      </c>
      <c r="L1407" s="14">
        <v>228</v>
      </c>
      <c r="M1407" s="10">
        <v>129</v>
      </c>
      <c r="N1407" s="10">
        <v>25194</v>
      </c>
      <c r="O1407" s="10">
        <v>10116</v>
      </c>
      <c r="P1407" s="10">
        <v>35310</v>
      </c>
    </row>
    <row r="1408" spans="1:16" ht="27" customHeight="1" x14ac:dyDescent="0.2">
      <c r="A1408" s="9" t="s">
        <v>5119</v>
      </c>
      <c r="B1408" s="10" t="s">
        <v>5120</v>
      </c>
      <c r="C1408" s="11" t="s">
        <v>5164</v>
      </c>
      <c r="D1408" s="11" t="s">
        <v>5165</v>
      </c>
      <c r="E1408" s="11" t="s">
        <v>26</v>
      </c>
      <c r="F1408" s="11" t="s">
        <v>5166</v>
      </c>
      <c r="G1408" s="11" t="s">
        <v>28</v>
      </c>
      <c r="H1408" s="11" t="s">
        <v>5166</v>
      </c>
      <c r="I1408" s="11" t="s">
        <v>5167</v>
      </c>
      <c r="J1408" s="12">
        <v>0.51980000000000004</v>
      </c>
      <c r="K1408" s="13">
        <v>1</v>
      </c>
      <c r="L1408" s="14">
        <v>1972</v>
      </c>
      <c r="M1408" s="10">
        <v>1025</v>
      </c>
      <c r="N1408" s="10">
        <v>217909</v>
      </c>
      <c r="O1408" s="10">
        <v>80379</v>
      </c>
      <c r="P1408" s="10">
        <v>298288</v>
      </c>
    </row>
    <row r="1409" spans="1:16" ht="27" customHeight="1" x14ac:dyDescent="0.2">
      <c r="A1409" s="9" t="s">
        <v>5119</v>
      </c>
      <c r="B1409" s="10" t="s">
        <v>5168</v>
      </c>
      <c r="C1409" s="11" t="s">
        <v>18</v>
      </c>
      <c r="D1409" s="11" t="s">
        <v>19</v>
      </c>
      <c r="E1409" s="11" t="s">
        <v>19</v>
      </c>
      <c r="F1409" s="11" t="s">
        <v>5169</v>
      </c>
      <c r="G1409" s="11" t="s">
        <v>83</v>
      </c>
      <c r="H1409" s="11" t="s">
        <v>5170</v>
      </c>
      <c r="I1409" s="11" t="s">
        <v>5171</v>
      </c>
      <c r="J1409" s="12">
        <v>0.45779999999999998</v>
      </c>
      <c r="K1409" s="13">
        <v>6</v>
      </c>
      <c r="L1409" s="14">
        <v>1546</v>
      </c>
      <c r="M1409" s="10">
        <v>611</v>
      </c>
      <c r="N1409" s="10">
        <v>170836</v>
      </c>
      <c r="O1409" s="10">
        <v>47914</v>
      </c>
      <c r="P1409" s="10">
        <v>218750</v>
      </c>
    </row>
    <row r="1410" spans="1:16" ht="27" customHeight="1" x14ac:dyDescent="0.2">
      <c r="A1410" s="9" t="s">
        <v>5119</v>
      </c>
      <c r="B1410" s="10" t="s">
        <v>5172</v>
      </c>
      <c r="C1410" s="11" t="s">
        <v>18</v>
      </c>
      <c r="D1410" s="11" t="s">
        <v>19</v>
      </c>
      <c r="E1410" s="11" t="s">
        <v>19</v>
      </c>
      <c r="F1410" s="11" t="s">
        <v>5173</v>
      </c>
      <c r="G1410" s="11" t="s">
        <v>83</v>
      </c>
      <c r="H1410" s="11" t="s">
        <v>5174</v>
      </c>
      <c r="I1410" s="11" t="s">
        <v>5175</v>
      </c>
      <c r="J1410" s="12">
        <v>0.8377</v>
      </c>
      <c r="K1410" s="13">
        <v>4</v>
      </c>
      <c r="L1410" s="14">
        <v>376</v>
      </c>
      <c r="M1410" s="10">
        <v>326</v>
      </c>
      <c r="N1410" s="10">
        <v>41549</v>
      </c>
      <c r="O1410" s="10">
        <v>25564</v>
      </c>
      <c r="P1410" s="10">
        <v>67113</v>
      </c>
    </row>
    <row r="1411" spans="1:16" ht="27" customHeight="1" x14ac:dyDescent="0.2">
      <c r="A1411" s="9" t="s">
        <v>5119</v>
      </c>
      <c r="B1411" s="10" t="s">
        <v>5172</v>
      </c>
      <c r="C1411" s="11" t="s">
        <v>5176</v>
      </c>
      <c r="D1411" s="11" t="s">
        <v>5177</v>
      </c>
      <c r="E1411" s="11" t="s">
        <v>26</v>
      </c>
      <c r="F1411" s="11" t="s">
        <v>5178</v>
      </c>
      <c r="G1411" s="11" t="s">
        <v>28</v>
      </c>
      <c r="H1411" s="11" t="s">
        <v>5122</v>
      </c>
      <c r="I1411" s="11" t="s">
        <v>5123</v>
      </c>
      <c r="J1411" s="12">
        <v>1</v>
      </c>
      <c r="K1411" s="13">
        <v>1</v>
      </c>
      <c r="L1411" s="14">
        <v>2332</v>
      </c>
      <c r="M1411" s="10">
        <v>1760</v>
      </c>
      <c r="N1411" s="10">
        <v>257690</v>
      </c>
      <c r="O1411" s="10">
        <v>138017</v>
      </c>
      <c r="P1411" s="10">
        <v>395707</v>
      </c>
    </row>
    <row r="1412" spans="1:16" ht="27" customHeight="1" x14ac:dyDescent="0.2">
      <c r="A1412" s="9" t="s">
        <v>5119</v>
      </c>
      <c r="B1412" s="10" t="s">
        <v>5179</v>
      </c>
      <c r="C1412" s="11" t="s">
        <v>18</v>
      </c>
      <c r="D1412" s="11" t="s">
        <v>19</v>
      </c>
      <c r="E1412" s="11" t="s">
        <v>19</v>
      </c>
      <c r="F1412" s="11" t="s">
        <v>5180</v>
      </c>
      <c r="G1412" s="11" t="s">
        <v>83</v>
      </c>
      <c r="H1412" s="11" t="s">
        <v>5181</v>
      </c>
      <c r="I1412" s="11" t="s">
        <v>5182</v>
      </c>
      <c r="J1412" s="12">
        <v>0.89349999999999996</v>
      </c>
      <c r="K1412" s="13">
        <v>27</v>
      </c>
      <c r="L1412" s="14">
        <v>16014</v>
      </c>
      <c r="M1412" s="10">
        <v>11580</v>
      </c>
      <c r="N1412" s="10">
        <v>1769574</v>
      </c>
      <c r="O1412" s="10">
        <v>908091</v>
      </c>
      <c r="P1412" s="10">
        <v>2677665</v>
      </c>
    </row>
    <row r="1413" spans="1:16" ht="27" customHeight="1" x14ac:dyDescent="0.2">
      <c r="A1413" s="9" t="s">
        <v>5119</v>
      </c>
      <c r="B1413" s="10" t="s">
        <v>5179</v>
      </c>
      <c r="C1413" s="11" t="s">
        <v>5183</v>
      </c>
      <c r="D1413" s="11" t="s">
        <v>5184</v>
      </c>
      <c r="E1413" s="11" t="s">
        <v>26</v>
      </c>
      <c r="F1413" s="11" t="s">
        <v>5185</v>
      </c>
      <c r="G1413" s="11" t="s">
        <v>28</v>
      </c>
      <c r="H1413" s="11" t="s">
        <v>5185</v>
      </c>
      <c r="I1413" s="11" t="s">
        <v>5186</v>
      </c>
      <c r="J1413" s="12">
        <v>0.65429999999999999</v>
      </c>
      <c r="K1413" s="13">
        <v>1</v>
      </c>
      <c r="L1413" s="14">
        <v>564</v>
      </c>
      <c r="M1413" s="10">
        <v>369</v>
      </c>
      <c r="N1413" s="10">
        <v>62323</v>
      </c>
      <c r="O1413" s="10">
        <v>28937</v>
      </c>
      <c r="P1413" s="10">
        <v>91260</v>
      </c>
    </row>
    <row r="1414" spans="1:16" ht="27" customHeight="1" x14ac:dyDescent="0.2">
      <c r="A1414" s="9" t="s">
        <v>5119</v>
      </c>
      <c r="B1414" s="10" t="s">
        <v>5179</v>
      </c>
      <c r="C1414" s="11" t="s">
        <v>5187</v>
      </c>
      <c r="D1414" s="11" t="s">
        <v>5188</v>
      </c>
      <c r="E1414" s="11" t="s">
        <v>26</v>
      </c>
      <c r="F1414" s="11" t="s">
        <v>5189</v>
      </c>
      <c r="G1414" s="11" t="s">
        <v>28</v>
      </c>
      <c r="H1414" s="11" t="s">
        <v>5122</v>
      </c>
      <c r="I1414" s="11" t="s">
        <v>5123</v>
      </c>
      <c r="J1414" s="12">
        <v>1</v>
      </c>
      <c r="K1414" s="13">
        <v>1</v>
      </c>
      <c r="L1414" s="14">
        <v>254</v>
      </c>
      <c r="M1414" s="10">
        <v>170</v>
      </c>
      <c r="N1414" s="10">
        <v>28067</v>
      </c>
      <c r="O1414" s="10">
        <v>13331</v>
      </c>
      <c r="P1414" s="10">
        <v>41398</v>
      </c>
    </row>
    <row r="1415" spans="1:16" ht="27" customHeight="1" x14ac:dyDescent="0.2">
      <c r="A1415" s="9" t="s">
        <v>5119</v>
      </c>
      <c r="B1415" s="10" t="s">
        <v>5179</v>
      </c>
      <c r="C1415" s="11" t="s">
        <v>5190</v>
      </c>
      <c r="D1415" s="11" t="s">
        <v>5191</v>
      </c>
      <c r="E1415" s="11" t="s">
        <v>26</v>
      </c>
      <c r="F1415" s="11" t="s">
        <v>5192</v>
      </c>
      <c r="G1415" s="11" t="s">
        <v>28</v>
      </c>
      <c r="H1415" s="11" t="s">
        <v>5192</v>
      </c>
      <c r="I1415" s="11" t="s">
        <v>5193</v>
      </c>
      <c r="J1415" s="12">
        <v>0.89429999999999998</v>
      </c>
      <c r="K1415" s="13">
        <v>1</v>
      </c>
      <c r="L1415" s="14">
        <v>227</v>
      </c>
      <c r="M1415" s="10">
        <v>203</v>
      </c>
      <c r="N1415" s="10">
        <v>25084</v>
      </c>
      <c r="O1415" s="10">
        <v>15919</v>
      </c>
      <c r="P1415" s="10">
        <v>41003</v>
      </c>
    </row>
    <row r="1416" spans="1:16" ht="27" customHeight="1" x14ac:dyDescent="0.2">
      <c r="A1416" s="9" t="s">
        <v>5119</v>
      </c>
      <c r="B1416" s="10" t="s">
        <v>5179</v>
      </c>
      <c r="C1416" s="11" t="s">
        <v>5194</v>
      </c>
      <c r="D1416" s="11" t="s">
        <v>5195</v>
      </c>
      <c r="E1416" s="11" t="s">
        <v>26</v>
      </c>
      <c r="F1416" s="11" t="s">
        <v>5196</v>
      </c>
      <c r="G1416" s="11" t="s">
        <v>28</v>
      </c>
      <c r="H1416" s="11" t="s">
        <v>5196</v>
      </c>
      <c r="I1416" s="11" t="s">
        <v>5197</v>
      </c>
      <c r="J1416" s="12">
        <v>0.63639999999999997</v>
      </c>
      <c r="K1416" s="13">
        <v>1</v>
      </c>
      <c r="L1416" s="14">
        <v>1144</v>
      </c>
      <c r="M1416" s="10">
        <v>728</v>
      </c>
      <c r="N1416" s="10">
        <v>126414</v>
      </c>
      <c r="O1416" s="10">
        <v>57089</v>
      </c>
      <c r="P1416" s="10">
        <v>183503</v>
      </c>
    </row>
    <row r="1417" spans="1:16" ht="27" customHeight="1" x14ac:dyDescent="0.2">
      <c r="A1417" s="9" t="s">
        <v>5119</v>
      </c>
      <c r="B1417" s="10" t="s">
        <v>5198</v>
      </c>
      <c r="C1417" s="11" t="s">
        <v>18</v>
      </c>
      <c r="D1417" s="11" t="s">
        <v>19</v>
      </c>
      <c r="E1417" s="11" t="s">
        <v>19</v>
      </c>
      <c r="F1417" s="11" t="s">
        <v>5199</v>
      </c>
      <c r="G1417" s="11" t="s">
        <v>83</v>
      </c>
      <c r="H1417" s="11" t="s">
        <v>5200</v>
      </c>
      <c r="I1417" s="11" t="s">
        <v>5201</v>
      </c>
      <c r="J1417" s="12">
        <v>0.14799999999999999</v>
      </c>
      <c r="K1417" s="13">
        <v>3</v>
      </c>
      <c r="L1417" s="14">
        <v>654</v>
      </c>
      <c r="M1417" s="10">
        <v>87</v>
      </c>
      <c r="N1417" s="10">
        <v>72269</v>
      </c>
      <c r="O1417" s="10">
        <v>6822</v>
      </c>
      <c r="P1417" s="10">
        <v>79091</v>
      </c>
    </row>
    <row r="1418" spans="1:16" ht="27" customHeight="1" x14ac:dyDescent="0.2">
      <c r="A1418" s="9" t="s">
        <v>5119</v>
      </c>
      <c r="B1418" s="10" t="s">
        <v>5202</v>
      </c>
      <c r="C1418" s="11" t="s">
        <v>18</v>
      </c>
      <c r="D1418" s="11" t="s">
        <v>19</v>
      </c>
      <c r="E1418" s="11" t="s">
        <v>19</v>
      </c>
      <c r="F1418" s="11" t="s">
        <v>5203</v>
      </c>
      <c r="G1418" s="11" t="s">
        <v>83</v>
      </c>
      <c r="H1418" s="11" t="s">
        <v>5204</v>
      </c>
      <c r="I1418" s="11" t="s">
        <v>5205</v>
      </c>
      <c r="J1418" s="12">
        <v>0.90159999999999996</v>
      </c>
      <c r="K1418" s="13">
        <v>44</v>
      </c>
      <c r="L1418" s="14">
        <v>23237</v>
      </c>
      <c r="M1418" s="10">
        <v>11493</v>
      </c>
      <c r="N1418" s="10">
        <v>2567726</v>
      </c>
      <c r="O1418" s="10">
        <v>901268</v>
      </c>
      <c r="P1418" s="10">
        <v>3468994</v>
      </c>
    </row>
    <row r="1419" spans="1:16" ht="27" customHeight="1" x14ac:dyDescent="0.2">
      <c r="A1419" s="9" t="s">
        <v>5119</v>
      </c>
      <c r="B1419" s="10" t="s">
        <v>5202</v>
      </c>
      <c r="C1419" s="11" t="s">
        <v>5206</v>
      </c>
      <c r="D1419" s="11" t="s">
        <v>5207</v>
      </c>
      <c r="E1419" s="11" t="s">
        <v>26</v>
      </c>
      <c r="F1419" s="11" t="s">
        <v>5208</v>
      </c>
      <c r="G1419" s="11" t="s">
        <v>28</v>
      </c>
      <c r="H1419" s="11" t="s">
        <v>5208</v>
      </c>
      <c r="I1419" s="11" t="s">
        <v>5209</v>
      </c>
      <c r="J1419" s="12">
        <v>0.55430000000000001</v>
      </c>
      <c r="K1419" s="13">
        <v>1</v>
      </c>
      <c r="L1419" s="14">
        <v>258</v>
      </c>
      <c r="M1419" s="10">
        <v>143</v>
      </c>
      <c r="N1419" s="10">
        <v>28509</v>
      </c>
      <c r="O1419" s="10">
        <v>11214</v>
      </c>
      <c r="P1419" s="10">
        <v>39723</v>
      </c>
    </row>
    <row r="1420" spans="1:16" ht="27" customHeight="1" x14ac:dyDescent="0.2">
      <c r="A1420" s="9" t="s">
        <v>5119</v>
      </c>
      <c r="B1420" s="10" t="s">
        <v>5202</v>
      </c>
      <c r="C1420" s="11" t="s">
        <v>5210</v>
      </c>
      <c r="D1420" s="11" t="s">
        <v>5211</v>
      </c>
      <c r="E1420" s="11" t="s">
        <v>26</v>
      </c>
      <c r="F1420" s="11" t="s">
        <v>5212</v>
      </c>
      <c r="G1420" s="11" t="s">
        <v>28</v>
      </c>
      <c r="H1420" s="11" t="s">
        <v>5212</v>
      </c>
      <c r="I1420" s="11" t="s">
        <v>5213</v>
      </c>
      <c r="J1420" s="12">
        <v>0.48089999999999999</v>
      </c>
      <c r="K1420" s="13">
        <v>1</v>
      </c>
      <c r="L1420" s="14">
        <v>393</v>
      </c>
      <c r="M1420" s="10">
        <v>189</v>
      </c>
      <c r="N1420" s="10">
        <v>43427</v>
      </c>
      <c r="O1420" s="10">
        <v>14821</v>
      </c>
      <c r="P1420" s="10">
        <v>58248</v>
      </c>
    </row>
    <row r="1421" spans="1:16" ht="27" customHeight="1" x14ac:dyDescent="0.2">
      <c r="A1421" s="9" t="s">
        <v>5119</v>
      </c>
      <c r="B1421" s="10" t="s">
        <v>5202</v>
      </c>
      <c r="C1421" s="11" t="s">
        <v>5214</v>
      </c>
      <c r="D1421" s="11" t="s">
        <v>5215</v>
      </c>
      <c r="E1421" s="11" t="s">
        <v>26</v>
      </c>
      <c r="F1421" s="11" t="s">
        <v>5216</v>
      </c>
      <c r="G1421" s="11" t="s">
        <v>28</v>
      </c>
      <c r="H1421" s="11" t="s">
        <v>5216</v>
      </c>
      <c r="I1421" s="11" t="s">
        <v>5217</v>
      </c>
      <c r="J1421" s="12">
        <v>0.7984</v>
      </c>
      <c r="K1421" s="13">
        <v>1</v>
      </c>
      <c r="L1421" s="14">
        <v>1121</v>
      </c>
      <c r="M1421" s="10">
        <v>895</v>
      </c>
      <c r="N1421" s="10">
        <v>123872</v>
      </c>
      <c r="O1421" s="10">
        <v>70185</v>
      </c>
      <c r="P1421" s="10">
        <v>194057</v>
      </c>
    </row>
    <row r="1422" spans="1:16" ht="27" customHeight="1" x14ac:dyDescent="0.2">
      <c r="A1422" s="9" t="s">
        <v>5119</v>
      </c>
      <c r="B1422" s="10" t="s">
        <v>5202</v>
      </c>
      <c r="C1422" s="11" t="s">
        <v>5218</v>
      </c>
      <c r="D1422" s="11" t="s">
        <v>5219</v>
      </c>
      <c r="E1422" s="11" t="s">
        <v>26</v>
      </c>
      <c r="F1422" s="11" t="s">
        <v>5220</v>
      </c>
      <c r="G1422" s="11" t="s">
        <v>28</v>
      </c>
      <c r="H1422" s="11" t="s">
        <v>5220</v>
      </c>
      <c r="I1422" s="11" t="s">
        <v>5221</v>
      </c>
      <c r="J1422" s="12">
        <v>0.7702</v>
      </c>
      <c r="K1422" s="13">
        <v>1</v>
      </c>
      <c r="L1422" s="14">
        <v>1607</v>
      </c>
      <c r="M1422" s="10">
        <v>1238</v>
      </c>
      <c r="N1422" s="10">
        <v>177576</v>
      </c>
      <c r="O1422" s="10">
        <v>97083</v>
      </c>
      <c r="P1422" s="10">
        <v>274659</v>
      </c>
    </row>
    <row r="1423" spans="1:16" ht="27" customHeight="1" x14ac:dyDescent="0.2">
      <c r="A1423" s="9" t="s">
        <v>5119</v>
      </c>
      <c r="B1423" s="10" t="s">
        <v>5202</v>
      </c>
      <c r="C1423" s="11" t="s">
        <v>5222</v>
      </c>
      <c r="D1423" s="11" t="s">
        <v>5223</v>
      </c>
      <c r="E1423" s="11" t="s">
        <v>26</v>
      </c>
      <c r="F1423" s="11" t="s">
        <v>5224</v>
      </c>
      <c r="G1423" s="11" t="s">
        <v>28</v>
      </c>
      <c r="H1423" s="11" t="s">
        <v>5224</v>
      </c>
      <c r="I1423" s="11" t="s">
        <v>5225</v>
      </c>
      <c r="J1423" s="12">
        <v>0.33500000000000002</v>
      </c>
      <c r="K1423" s="13">
        <v>1</v>
      </c>
      <c r="L1423" s="14">
        <v>982</v>
      </c>
      <c r="M1423" s="10">
        <v>329</v>
      </c>
      <c r="N1423" s="10">
        <v>108513</v>
      </c>
      <c r="O1423" s="10">
        <v>25800</v>
      </c>
      <c r="P1423" s="10">
        <v>134313</v>
      </c>
    </row>
    <row r="1424" spans="1:16" ht="27" customHeight="1" x14ac:dyDescent="0.2">
      <c r="A1424" s="9" t="s">
        <v>5119</v>
      </c>
      <c r="B1424" s="10" t="s">
        <v>5202</v>
      </c>
      <c r="C1424" s="11" t="s">
        <v>5226</v>
      </c>
      <c r="D1424" s="11" t="s">
        <v>5227</v>
      </c>
      <c r="E1424" s="11" t="s">
        <v>26</v>
      </c>
      <c r="F1424" s="11" t="s">
        <v>5228</v>
      </c>
      <c r="G1424" s="11" t="s">
        <v>28</v>
      </c>
      <c r="H1424" s="11" t="s">
        <v>5228</v>
      </c>
      <c r="I1424" s="11" t="s">
        <v>5229</v>
      </c>
      <c r="J1424" s="12">
        <v>0.59289999999999998</v>
      </c>
      <c r="K1424" s="13">
        <v>1</v>
      </c>
      <c r="L1424" s="14">
        <v>1429</v>
      </c>
      <c r="M1424" s="10">
        <v>847</v>
      </c>
      <c r="N1424" s="10">
        <v>157907</v>
      </c>
      <c r="O1424" s="10">
        <v>66421</v>
      </c>
      <c r="P1424" s="10">
        <v>224328</v>
      </c>
    </row>
    <row r="1425" spans="1:16" ht="27" customHeight="1" x14ac:dyDescent="0.2">
      <c r="A1425" s="9" t="s">
        <v>5119</v>
      </c>
      <c r="B1425" s="10" t="s">
        <v>5202</v>
      </c>
      <c r="C1425" s="11" t="s">
        <v>5230</v>
      </c>
      <c r="D1425" s="11" t="s">
        <v>5231</v>
      </c>
      <c r="E1425" s="11" t="s">
        <v>26</v>
      </c>
      <c r="F1425" s="11" t="s">
        <v>5232</v>
      </c>
      <c r="G1425" s="11" t="s">
        <v>28</v>
      </c>
      <c r="H1425" s="11" t="s">
        <v>5232</v>
      </c>
      <c r="I1425" s="11" t="s">
        <v>5233</v>
      </c>
      <c r="J1425" s="12">
        <v>0.20019999999999999</v>
      </c>
      <c r="K1425" s="13">
        <v>1</v>
      </c>
      <c r="L1425" s="14">
        <v>939</v>
      </c>
      <c r="M1425" s="10">
        <v>188</v>
      </c>
      <c r="N1425" s="10">
        <v>103761</v>
      </c>
      <c r="O1425" s="10">
        <v>14743</v>
      </c>
      <c r="P1425" s="10">
        <v>118504</v>
      </c>
    </row>
    <row r="1426" spans="1:16" ht="27" customHeight="1" x14ac:dyDescent="0.2">
      <c r="A1426" s="9" t="s">
        <v>5119</v>
      </c>
      <c r="B1426" s="10" t="s">
        <v>5234</v>
      </c>
      <c r="C1426" s="11" t="s">
        <v>18</v>
      </c>
      <c r="D1426" s="11" t="s">
        <v>19</v>
      </c>
      <c r="E1426" s="11" t="s">
        <v>19</v>
      </c>
      <c r="F1426" s="11" t="s">
        <v>5235</v>
      </c>
      <c r="G1426" s="11" t="s">
        <v>83</v>
      </c>
      <c r="H1426" s="11" t="s">
        <v>5236</v>
      </c>
      <c r="I1426" s="11" t="s">
        <v>5237</v>
      </c>
      <c r="J1426" s="12">
        <v>0.21299999999999999</v>
      </c>
      <c r="K1426" s="13">
        <v>6</v>
      </c>
      <c r="L1426" s="14">
        <v>2863</v>
      </c>
      <c r="M1426" s="10">
        <v>463</v>
      </c>
      <c r="N1426" s="10">
        <v>316367</v>
      </c>
      <c r="O1426" s="10">
        <v>36308</v>
      </c>
      <c r="P1426" s="10">
        <v>352675</v>
      </c>
    </row>
    <row r="1427" spans="1:16" ht="27" customHeight="1" x14ac:dyDescent="0.2">
      <c r="A1427" s="9" t="s">
        <v>5119</v>
      </c>
      <c r="B1427" s="10" t="s">
        <v>5238</v>
      </c>
      <c r="C1427" s="11" t="s">
        <v>18</v>
      </c>
      <c r="D1427" s="11" t="s">
        <v>19</v>
      </c>
      <c r="E1427" s="11" t="s">
        <v>19</v>
      </c>
      <c r="F1427" s="11" t="s">
        <v>5239</v>
      </c>
      <c r="G1427" s="11" t="s">
        <v>83</v>
      </c>
      <c r="H1427" s="11" t="s">
        <v>5239</v>
      </c>
      <c r="I1427" s="11" t="s">
        <v>5240</v>
      </c>
      <c r="J1427" s="12">
        <v>0.36899999999999999</v>
      </c>
      <c r="K1427" s="13">
        <v>2</v>
      </c>
      <c r="L1427" s="14">
        <v>84</v>
      </c>
      <c r="M1427" s="10">
        <v>31</v>
      </c>
      <c r="N1427" s="10">
        <v>9282</v>
      </c>
      <c r="O1427" s="10">
        <v>2431</v>
      </c>
      <c r="P1427" s="10">
        <v>11713</v>
      </c>
    </row>
    <row r="1428" spans="1:16" ht="27" customHeight="1" x14ac:dyDescent="0.2">
      <c r="A1428" s="9" t="s">
        <v>5119</v>
      </c>
      <c r="B1428" s="10" t="s">
        <v>5238</v>
      </c>
      <c r="C1428" s="11" t="s">
        <v>5241</v>
      </c>
      <c r="D1428" s="11" t="s">
        <v>5242</v>
      </c>
      <c r="E1428" s="11" t="s">
        <v>26</v>
      </c>
      <c r="F1428" s="11" t="s">
        <v>5243</v>
      </c>
      <c r="G1428" s="11" t="s">
        <v>28</v>
      </c>
      <c r="H1428" s="11" t="s">
        <v>5243</v>
      </c>
      <c r="I1428" s="11" t="s">
        <v>5244</v>
      </c>
      <c r="J1428" s="12">
        <v>0.1358</v>
      </c>
      <c r="K1428" s="13">
        <v>1</v>
      </c>
      <c r="L1428" s="14">
        <v>265</v>
      </c>
      <c r="M1428" s="10">
        <v>36</v>
      </c>
      <c r="N1428" s="10">
        <v>29283</v>
      </c>
      <c r="O1428" s="10">
        <v>2823</v>
      </c>
      <c r="P1428" s="10">
        <v>32106</v>
      </c>
    </row>
    <row r="1429" spans="1:16" ht="27" customHeight="1" x14ac:dyDescent="0.2">
      <c r="A1429" s="9" t="s">
        <v>5119</v>
      </c>
      <c r="B1429" s="10" t="s">
        <v>5238</v>
      </c>
      <c r="C1429" s="11" t="s">
        <v>5245</v>
      </c>
      <c r="D1429" s="11" t="s">
        <v>5246</v>
      </c>
      <c r="E1429" s="11" t="s">
        <v>26</v>
      </c>
      <c r="F1429" s="11" t="s">
        <v>5247</v>
      </c>
      <c r="G1429" s="11" t="s">
        <v>28</v>
      </c>
      <c r="H1429" s="11" t="s">
        <v>5247</v>
      </c>
      <c r="I1429" s="11" t="s">
        <v>5248</v>
      </c>
      <c r="J1429" s="12">
        <v>0.3977</v>
      </c>
      <c r="K1429" s="13">
        <v>1</v>
      </c>
      <c r="L1429" s="14">
        <v>342</v>
      </c>
      <c r="M1429" s="10">
        <v>136</v>
      </c>
      <c r="N1429" s="10">
        <v>37792</v>
      </c>
      <c r="O1429" s="10">
        <v>10665</v>
      </c>
      <c r="P1429" s="10">
        <v>48457</v>
      </c>
    </row>
    <row r="1430" spans="1:16" ht="27" customHeight="1" x14ac:dyDescent="0.2">
      <c r="A1430" s="9" t="s">
        <v>5119</v>
      </c>
      <c r="B1430" s="10" t="s">
        <v>5238</v>
      </c>
      <c r="C1430" s="11" t="s">
        <v>5249</v>
      </c>
      <c r="D1430" s="11" t="s">
        <v>5250</v>
      </c>
      <c r="E1430" s="11" t="s">
        <v>26</v>
      </c>
      <c r="F1430" s="11" t="s">
        <v>5251</v>
      </c>
      <c r="G1430" s="11" t="s">
        <v>28</v>
      </c>
      <c r="H1430" s="11" t="s">
        <v>5251</v>
      </c>
      <c r="I1430" s="11" t="s">
        <v>5252</v>
      </c>
      <c r="J1430" s="12">
        <v>0.34200000000000003</v>
      </c>
      <c r="K1430" s="13">
        <v>1</v>
      </c>
      <c r="L1430" s="14">
        <v>4283</v>
      </c>
      <c r="M1430" s="10">
        <v>1465</v>
      </c>
      <c r="N1430" s="10">
        <v>473279</v>
      </c>
      <c r="O1430" s="10">
        <v>114884</v>
      </c>
      <c r="P1430" s="10">
        <v>588163</v>
      </c>
    </row>
    <row r="1431" spans="1:16" ht="27" customHeight="1" x14ac:dyDescent="0.2">
      <c r="A1431" s="9" t="s">
        <v>5119</v>
      </c>
      <c r="B1431" s="10" t="s">
        <v>5238</v>
      </c>
      <c r="C1431" s="11" t="s">
        <v>5253</v>
      </c>
      <c r="D1431" s="11" t="s">
        <v>5254</v>
      </c>
      <c r="E1431" s="11" t="s">
        <v>26</v>
      </c>
      <c r="F1431" s="11" t="s">
        <v>5255</v>
      </c>
      <c r="G1431" s="11" t="s">
        <v>28</v>
      </c>
      <c r="H1431" s="11" t="s">
        <v>5255</v>
      </c>
      <c r="I1431" s="11" t="s">
        <v>5256</v>
      </c>
      <c r="J1431" s="12">
        <v>0.37780000000000002</v>
      </c>
      <c r="K1431" s="13">
        <v>1</v>
      </c>
      <c r="L1431" s="14">
        <v>4891</v>
      </c>
      <c r="M1431" s="10">
        <v>1848</v>
      </c>
      <c r="N1431" s="10">
        <v>540464</v>
      </c>
      <c r="O1431" s="10">
        <v>144918</v>
      </c>
      <c r="P1431" s="10">
        <v>685382</v>
      </c>
    </row>
    <row r="1432" spans="1:16" ht="27" customHeight="1" x14ac:dyDescent="0.2">
      <c r="A1432" s="9" t="s">
        <v>5119</v>
      </c>
      <c r="B1432" s="10" t="s">
        <v>5238</v>
      </c>
      <c r="C1432" s="11" t="s">
        <v>5257</v>
      </c>
      <c r="D1432" s="11" t="s">
        <v>5258</v>
      </c>
      <c r="E1432" s="11" t="s">
        <v>26</v>
      </c>
      <c r="F1432" s="11" t="s">
        <v>5259</v>
      </c>
      <c r="G1432" s="11" t="s">
        <v>28</v>
      </c>
      <c r="H1432" s="11" t="s">
        <v>5259</v>
      </c>
      <c r="I1432" s="11" t="s">
        <v>5260</v>
      </c>
      <c r="J1432" s="12">
        <v>0.87170000000000003</v>
      </c>
      <c r="K1432" s="13">
        <v>1</v>
      </c>
      <c r="L1432" s="14">
        <v>304</v>
      </c>
      <c r="M1432" s="10">
        <v>265</v>
      </c>
      <c r="N1432" s="10">
        <v>33593</v>
      </c>
      <c r="O1432" s="10">
        <v>20781</v>
      </c>
      <c r="P1432" s="10">
        <v>54374</v>
      </c>
    </row>
    <row r="1433" spans="1:16" ht="27" customHeight="1" x14ac:dyDescent="0.2">
      <c r="A1433" s="9" t="s">
        <v>5119</v>
      </c>
      <c r="B1433" s="10" t="s">
        <v>5261</v>
      </c>
      <c r="C1433" s="11" t="s">
        <v>18</v>
      </c>
      <c r="D1433" s="11" t="s">
        <v>19</v>
      </c>
      <c r="E1433" s="11" t="s">
        <v>19</v>
      </c>
      <c r="F1433" s="11" t="s">
        <v>5262</v>
      </c>
      <c r="G1433" s="11" t="s">
        <v>83</v>
      </c>
      <c r="H1433" s="11" t="s">
        <v>5263</v>
      </c>
      <c r="I1433" s="11" t="s">
        <v>5264</v>
      </c>
      <c r="J1433" s="12">
        <v>0.21959999999999999</v>
      </c>
      <c r="K1433" s="13">
        <v>10</v>
      </c>
      <c r="L1433" s="14">
        <v>3791</v>
      </c>
      <c r="M1433" s="10">
        <v>315</v>
      </c>
      <c r="N1433" s="10">
        <v>418912</v>
      </c>
      <c r="O1433" s="10">
        <v>24702</v>
      </c>
      <c r="P1433" s="10">
        <v>443614</v>
      </c>
    </row>
    <row r="1434" spans="1:16" ht="27" customHeight="1" x14ac:dyDescent="0.2">
      <c r="A1434" s="9" t="s">
        <v>5119</v>
      </c>
      <c r="B1434" s="10" t="s">
        <v>5265</v>
      </c>
      <c r="C1434" s="11" t="s">
        <v>18</v>
      </c>
      <c r="D1434" s="11" t="s">
        <v>19</v>
      </c>
      <c r="E1434" s="11" t="s">
        <v>19</v>
      </c>
      <c r="F1434" s="11" t="s">
        <v>5266</v>
      </c>
      <c r="G1434" s="11" t="s">
        <v>83</v>
      </c>
      <c r="H1434" s="11" t="s">
        <v>5267</v>
      </c>
      <c r="I1434" s="11" t="s">
        <v>5268</v>
      </c>
      <c r="J1434" s="12">
        <v>0.31169999999999998</v>
      </c>
      <c r="K1434" s="13">
        <v>10</v>
      </c>
      <c r="L1434" s="14">
        <v>4695</v>
      </c>
      <c r="M1434" s="10">
        <v>851</v>
      </c>
      <c r="N1434" s="10">
        <v>518805</v>
      </c>
      <c r="O1434" s="10">
        <v>66733</v>
      </c>
      <c r="P1434" s="10">
        <v>585538</v>
      </c>
    </row>
    <row r="1435" spans="1:16" ht="27" customHeight="1" x14ac:dyDescent="0.2">
      <c r="A1435" s="9" t="s">
        <v>5119</v>
      </c>
      <c r="B1435" s="10" t="s">
        <v>5269</v>
      </c>
      <c r="C1435" s="11" t="s">
        <v>18</v>
      </c>
      <c r="D1435" s="11" t="s">
        <v>19</v>
      </c>
      <c r="E1435" s="11" t="s">
        <v>19</v>
      </c>
      <c r="F1435" s="11" t="s">
        <v>5270</v>
      </c>
      <c r="G1435" s="11" t="s">
        <v>83</v>
      </c>
      <c r="H1435" s="11" t="s">
        <v>1587</v>
      </c>
      <c r="I1435" s="11" t="s">
        <v>5271</v>
      </c>
      <c r="J1435" s="12">
        <v>0.91320000000000001</v>
      </c>
      <c r="K1435" s="13">
        <v>25</v>
      </c>
      <c r="L1435" s="14">
        <v>14779</v>
      </c>
      <c r="M1435" s="10">
        <v>11363</v>
      </c>
      <c r="N1435" s="10">
        <v>1633104</v>
      </c>
      <c r="O1435" s="10">
        <v>891074</v>
      </c>
      <c r="P1435" s="10">
        <v>2524178</v>
      </c>
    </row>
    <row r="1436" spans="1:16" ht="27" customHeight="1" x14ac:dyDescent="0.2">
      <c r="A1436" s="9" t="s">
        <v>5119</v>
      </c>
      <c r="B1436" s="10" t="s">
        <v>5269</v>
      </c>
      <c r="C1436" s="11" t="s">
        <v>5272</v>
      </c>
      <c r="D1436" s="11" t="s">
        <v>5273</v>
      </c>
      <c r="E1436" s="11" t="s">
        <v>26</v>
      </c>
      <c r="F1436" s="11" t="s">
        <v>5274</v>
      </c>
      <c r="G1436" s="11" t="s">
        <v>28</v>
      </c>
      <c r="H1436" s="11" t="s">
        <v>5274</v>
      </c>
      <c r="I1436" s="11" t="s">
        <v>5275</v>
      </c>
      <c r="J1436" s="12">
        <v>0.41039999999999999</v>
      </c>
      <c r="K1436" s="13">
        <v>1</v>
      </c>
      <c r="L1436" s="14">
        <v>1328</v>
      </c>
      <c r="M1436" s="10">
        <v>545</v>
      </c>
      <c r="N1436" s="10">
        <v>146746</v>
      </c>
      <c r="O1436" s="10">
        <v>42738</v>
      </c>
      <c r="P1436" s="10">
        <v>189484</v>
      </c>
    </row>
    <row r="1437" spans="1:16" ht="27" customHeight="1" x14ac:dyDescent="0.2">
      <c r="A1437" s="9" t="s">
        <v>5119</v>
      </c>
      <c r="B1437" s="10" t="s">
        <v>5269</v>
      </c>
      <c r="C1437" s="11" t="s">
        <v>5276</v>
      </c>
      <c r="D1437" s="11" t="s">
        <v>5277</v>
      </c>
      <c r="E1437" s="11" t="s">
        <v>26</v>
      </c>
      <c r="F1437" s="11" t="s">
        <v>5278</v>
      </c>
      <c r="G1437" s="11" t="s">
        <v>28</v>
      </c>
      <c r="H1437" s="11" t="s">
        <v>5278</v>
      </c>
      <c r="I1437" s="11" t="s">
        <v>5279</v>
      </c>
      <c r="J1437" s="12">
        <v>0.24099999999999999</v>
      </c>
      <c r="K1437" s="13">
        <v>1</v>
      </c>
      <c r="L1437" s="14">
        <v>1531</v>
      </c>
      <c r="M1437" s="10">
        <v>369</v>
      </c>
      <c r="N1437" s="10">
        <v>169178</v>
      </c>
      <c r="O1437" s="10">
        <v>28937</v>
      </c>
      <c r="P1437" s="10">
        <v>198115</v>
      </c>
    </row>
    <row r="1438" spans="1:16" ht="27" customHeight="1" x14ac:dyDescent="0.2">
      <c r="A1438" s="9" t="s">
        <v>5119</v>
      </c>
      <c r="B1438" s="10" t="s">
        <v>5280</v>
      </c>
      <c r="C1438" s="11" t="s">
        <v>18</v>
      </c>
      <c r="D1438" s="11" t="s">
        <v>19</v>
      </c>
      <c r="E1438" s="11" t="s">
        <v>19</v>
      </c>
      <c r="F1438" s="11" t="s">
        <v>5281</v>
      </c>
      <c r="G1438" s="11" t="s">
        <v>83</v>
      </c>
      <c r="H1438" s="11" t="s">
        <v>5122</v>
      </c>
      <c r="I1438" s="11" t="s">
        <v>5123</v>
      </c>
      <c r="J1438" s="12">
        <v>1</v>
      </c>
      <c r="K1438" s="13">
        <v>6</v>
      </c>
      <c r="L1438" s="14">
        <v>6862</v>
      </c>
      <c r="M1438" s="10">
        <v>5567</v>
      </c>
      <c r="N1438" s="10">
        <v>758262</v>
      </c>
      <c r="O1438" s="10">
        <v>436558</v>
      </c>
      <c r="P1438" s="10">
        <v>1194820</v>
      </c>
    </row>
    <row r="1439" spans="1:16" ht="27" customHeight="1" x14ac:dyDescent="0.2">
      <c r="A1439" s="9" t="s">
        <v>5119</v>
      </c>
      <c r="B1439" s="10" t="s">
        <v>5280</v>
      </c>
      <c r="C1439" s="11" t="s">
        <v>5282</v>
      </c>
      <c r="D1439" s="11" t="s">
        <v>5283</v>
      </c>
      <c r="E1439" s="11" t="s">
        <v>26</v>
      </c>
      <c r="F1439" s="11" t="s">
        <v>5284</v>
      </c>
      <c r="G1439" s="11" t="s">
        <v>28</v>
      </c>
      <c r="H1439" s="11" t="s">
        <v>5122</v>
      </c>
      <c r="I1439" s="11" t="s">
        <v>5123</v>
      </c>
      <c r="J1439" s="12">
        <v>1</v>
      </c>
      <c r="K1439" s="13">
        <v>1</v>
      </c>
      <c r="L1439" s="14">
        <v>1283</v>
      </c>
      <c r="M1439" s="10">
        <v>274</v>
      </c>
      <c r="N1439" s="10">
        <v>141774</v>
      </c>
      <c r="O1439" s="10">
        <v>21487</v>
      </c>
      <c r="P1439" s="10">
        <v>163261</v>
      </c>
    </row>
    <row r="1440" spans="1:16" ht="27" customHeight="1" x14ac:dyDescent="0.2">
      <c r="A1440" s="9" t="s">
        <v>5119</v>
      </c>
      <c r="B1440" s="10" t="s">
        <v>5280</v>
      </c>
      <c r="C1440" s="11" t="s">
        <v>5285</v>
      </c>
      <c r="D1440" s="11" t="s">
        <v>5286</v>
      </c>
      <c r="E1440" s="11" t="s">
        <v>26</v>
      </c>
      <c r="F1440" s="11" t="s">
        <v>5287</v>
      </c>
      <c r="G1440" s="11" t="s">
        <v>28</v>
      </c>
      <c r="H1440" s="11" t="s">
        <v>5287</v>
      </c>
      <c r="I1440" s="11" t="s">
        <v>5288</v>
      </c>
      <c r="J1440" s="12">
        <v>0.60360000000000003</v>
      </c>
      <c r="K1440" s="13">
        <v>1</v>
      </c>
      <c r="L1440" s="14">
        <v>111</v>
      </c>
      <c r="M1440" s="10">
        <v>67</v>
      </c>
      <c r="N1440" s="10">
        <v>12266</v>
      </c>
      <c r="O1440" s="10">
        <v>5254</v>
      </c>
      <c r="P1440" s="10">
        <v>17520</v>
      </c>
    </row>
    <row r="1441" spans="1:16" ht="27" customHeight="1" x14ac:dyDescent="0.2">
      <c r="A1441" s="9" t="s">
        <v>5119</v>
      </c>
      <c r="B1441" s="10" t="s">
        <v>5280</v>
      </c>
      <c r="C1441" s="11" t="s">
        <v>5289</v>
      </c>
      <c r="D1441" s="11" t="s">
        <v>5290</v>
      </c>
      <c r="E1441" s="11" t="s">
        <v>26</v>
      </c>
      <c r="F1441" s="11" t="s">
        <v>5291</v>
      </c>
      <c r="G1441" s="11" t="s">
        <v>28</v>
      </c>
      <c r="H1441" s="11" t="s">
        <v>5122</v>
      </c>
      <c r="I1441" s="11" t="s">
        <v>5123</v>
      </c>
      <c r="J1441" s="12">
        <v>1</v>
      </c>
      <c r="K1441" s="13">
        <v>1</v>
      </c>
      <c r="L1441" s="14">
        <v>927</v>
      </c>
      <c r="M1441" s="10">
        <v>435</v>
      </c>
      <c r="N1441" s="10">
        <v>102435</v>
      </c>
      <c r="O1441" s="10">
        <v>34112</v>
      </c>
      <c r="P1441" s="10">
        <v>136547</v>
      </c>
    </row>
    <row r="1442" spans="1:16" ht="27" customHeight="1" x14ac:dyDescent="0.2">
      <c r="A1442" s="9" t="s">
        <v>5119</v>
      </c>
      <c r="B1442" s="10" t="s">
        <v>5292</v>
      </c>
      <c r="C1442" s="11" t="s">
        <v>18</v>
      </c>
      <c r="D1442" s="11" t="s">
        <v>19</v>
      </c>
      <c r="E1442" s="11" t="s">
        <v>19</v>
      </c>
      <c r="F1442" s="11" t="s">
        <v>5293</v>
      </c>
      <c r="G1442" s="11" t="s">
        <v>83</v>
      </c>
      <c r="H1442" s="11" t="s">
        <v>5294</v>
      </c>
      <c r="I1442" s="11" t="s">
        <v>5295</v>
      </c>
      <c r="J1442" s="12">
        <v>0.89259999999999995</v>
      </c>
      <c r="K1442" s="13">
        <v>12</v>
      </c>
      <c r="L1442" s="14">
        <v>5186</v>
      </c>
      <c r="M1442" s="10">
        <v>3889</v>
      </c>
      <c r="N1442" s="10">
        <v>573062</v>
      </c>
      <c r="O1442" s="10">
        <v>304971</v>
      </c>
      <c r="P1442" s="10">
        <v>878033</v>
      </c>
    </row>
    <row r="1443" spans="1:16" ht="27" customHeight="1" x14ac:dyDescent="0.2">
      <c r="A1443" s="9" t="s">
        <v>5119</v>
      </c>
      <c r="B1443" s="10" t="s">
        <v>5296</v>
      </c>
      <c r="C1443" s="11" t="s">
        <v>18</v>
      </c>
      <c r="D1443" s="11" t="s">
        <v>19</v>
      </c>
      <c r="E1443" s="11" t="s">
        <v>19</v>
      </c>
      <c r="F1443" s="11" t="s">
        <v>5297</v>
      </c>
      <c r="G1443" s="11" t="s">
        <v>83</v>
      </c>
      <c r="H1443" s="11" t="s">
        <v>5122</v>
      </c>
      <c r="I1443" s="11" t="s">
        <v>5123</v>
      </c>
      <c r="J1443" s="12">
        <v>1</v>
      </c>
      <c r="K1443" s="13">
        <v>4</v>
      </c>
      <c r="L1443" s="14">
        <v>2093</v>
      </c>
      <c r="M1443" s="10">
        <v>1498</v>
      </c>
      <c r="N1443" s="10">
        <v>231280</v>
      </c>
      <c r="O1443" s="10">
        <v>117471</v>
      </c>
      <c r="P1443" s="10">
        <v>348751</v>
      </c>
    </row>
    <row r="1444" spans="1:16" ht="27" customHeight="1" x14ac:dyDescent="0.2">
      <c r="A1444" s="9" t="s">
        <v>5119</v>
      </c>
      <c r="B1444" s="10" t="s">
        <v>5298</v>
      </c>
      <c r="C1444" s="11" t="s">
        <v>18</v>
      </c>
      <c r="D1444" s="11" t="s">
        <v>19</v>
      </c>
      <c r="E1444" s="11" t="s">
        <v>19</v>
      </c>
      <c r="F1444" s="11" t="s">
        <v>5299</v>
      </c>
      <c r="G1444" s="11" t="s">
        <v>83</v>
      </c>
      <c r="H1444" s="11" t="s">
        <v>5122</v>
      </c>
      <c r="I1444" s="11" t="s">
        <v>5123</v>
      </c>
      <c r="J1444" s="12">
        <v>1</v>
      </c>
      <c r="K1444" s="13">
        <v>16</v>
      </c>
      <c r="L1444" s="14">
        <v>16675</v>
      </c>
      <c r="M1444" s="10">
        <v>10445</v>
      </c>
      <c r="N1444" s="10">
        <v>1842617</v>
      </c>
      <c r="O1444" s="10">
        <v>819087</v>
      </c>
      <c r="P1444" s="10">
        <v>2661704</v>
      </c>
    </row>
    <row r="1445" spans="1:16" ht="27" customHeight="1" x14ac:dyDescent="0.2">
      <c r="A1445" s="9" t="s">
        <v>5119</v>
      </c>
      <c r="B1445" s="10" t="s">
        <v>5298</v>
      </c>
      <c r="C1445" s="11" t="s">
        <v>5300</v>
      </c>
      <c r="D1445" s="11" t="s">
        <v>5301</v>
      </c>
      <c r="E1445" s="11" t="s">
        <v>26</v>
      </c>
      <c r="F1445" s="11" t="s">
        <v>5302</v>
      </c>
      <c r="G1445" s="11" t="s">
        <v>28</v>
      </c>
      <c r="H1445" s="11" t="s">
        <v>5302</v>
      </c>
      <c r="I1445" s="11" t="s">
        <v>5303</v>
      </c>
      <c r="J1445" s="12">
        <v>0.59460000000000002</v>
      </c>
      <c r="K1445" s="13">
        <v>1</v>
      </c>
      <c r="L1445" s="14">
        <v>407</v>
      </c>
      <c r="M1445" s="10">
        <v>242</v>
      </c>
      <c r="N1445" s="10">
        <v>44974</v>
      </c>
      <c r="O1445" s="10">
        <v>18977</v>
      </c>
      <c r="P1445" s="10">
        <v>63951</v>
      </c>
    </row>
    <row r="1446" spans="1:16" ht="27" customHeight="1" x14ac:dyDescent="0.2">
      <c r="A1446" s="9" t="s">
        <v>5119</v>
      </c>
      <c r="B1446" s="10" t="s">
        <v>5298</v>
      </c>
      <c r="C1446" s="11" t="s">
        <v>5304</v>
      </c>
      <c r="D1446" s="11" t="s">
        <v>5305</v>
      </c>
      <c r="E1446" s="11" t="s">
        <v>26</v>
      </c>
      <c r="F1446" s="11" t="s">
        <v>5306</v>
      </c>
      <c r="G1446" s="11" t="s">
        <v>28</v>
      </c>
      <c r="H1446" s="11" t="s">
        <v>5122</v>
      </c>
      <c r="I1446" s="11" t="s">
        <v>5123</v>
      </c>
      <c r="J1446" s="12">
        <v>1</v>
      </c>
      <c r="K1446" s="13">
        <v>1</v>
      </c>
      <c r="L1446" s="14">
        <v>2168</v>
      </c>
      <c r="M1446" s="10">
        <v>1009</v>
      </c>
      <c r="N1446" s="10">
        <v>239568</v>
      </c>
      <c r="O1446" s="10">
        <v>79125</v>
      </c>
      <c r="P1446" s="10">
        <v>318693</v>
      </c>
    </row>
    <row r="1447" spans="1:16" ht="27" customHeight="1" x14ac:dyDescent="0.2">
      <c r="A1447" s="9" t="s">
        <v>5119</v>
      </c>
      <c r="B1447" s="10" t="s">
        <v>5298</v>
      </c>
      <c r="C1447" s="11" t="s">
        <v>5307</v>
      </c>
      <c r="D1447" s="11" t="s">
        <v>5308</v>
      </c>
      <c r="E1447" s="11" t="s">
        <v>26</v>
      </c>
      <c r="F1447" s="11" t="s">
        <v>5309</v>
      </c>
      <c r="G1447" s="11" t="s">
        <v>28</v>
      </c>
      <c r="H1447" s="11" t="s">
        <v>5122</v>
      </c>
      <c r="I1447" s="11" t="s">
        <v>5123</v>
      </c>
      <c r="J1447" s="12">
        <v>1</v>
      </c>
      <c r="K1447" s="13">
        <v>1</v>
      </c>
      <c r="L1447" s="14">
        <v>2502</v>
      </c>
      <c r="M1447" s="10">
        <v>1538</v>
      </c>
      <c r="N1447" s="10">
        <v>276475</v>
      </c>
      <c r="O1447" s="10">
        <v>120608</v>
      </c>
      <c r="P1447" s="10">
        <v>397083</v>
      </c>
    </row>
    <row r="1448" spans="1:16" ht="27" customHeight="1" x14ac:dyDescent="0.2">
      <c r="A1448" s="9" t="s">
        <v>5119</v>
      </c>
      <c r="B1448" s="10" t="s">
        <v>5310</v>
      </c>
      <c r="C1448" s="11" t="s">
        <v>18</v>
      </c>
      <c r="D1448" s="11" t="s">
        <v>19</v>
      </c>
      <c r="E1448" s="11" t="s">
        <v>19</v>
      </c>
      <c r="F1448" s="11" t="s">
        <v>5311</v>
      </c>
      <c r="G1448" s="11" t="s">
        <v>83</v>
      </c>
      <c r="H1448" s="11" t="s">
        <v>5312</v>
      </c>
      <c r="I1448" s="11" t="s">
        <v>5313</v>
      </c>
      <c r="J1448" s="12">
        <v>0.58899999999999997</v>
      </c>
      <c r="K1448" s="13">
        <v>3</v>
      </c>
      <c r="L1448" s="14">
        <v>571</v>
      </c>
      <c r="M1448" s="10">
        <v>320</v>
      </c>
      <c r="N1448" s="10">
        <v>63096</v>
      </c>
      <c r="O1448" s="10">
        <v>25095</v>
      </c>
      <c r="P1448" s="10">
        <v>88191</v>
      </c>
    </row>
    <row r="1449" spans="1:16" ht="27" customHeight="1" x14ac:dyDescent="0.2">
      <c r="A1449" s="9" t="s">
        <v>5119</v>
      </c>
      <c r="B1449" s="10" t="s">
        <v>5310</v>
      </c>
      <c r="C1449" s="11" t="s">
        <v>5314</v>
      </c>
      <c r="D1449" s="11" t="s">
        <v>5315</v>
      </c>
      <c r="E1449" s="11" t="s">
        <v>26</v>
      </c>
      <c r="F1449" s="11" t="s">
        <v>5316</v>
      </c>
      <c r="G1449" s="11" t="s">
        <v>28</v>
      </c>
      <c r="H1449" s="11" t="s">
        <v>5316</v>
      </c>
      <c r="I1449" s="11" t="s">
        <v>5317</v>
      </c>
      <c r="J1449" s="12">
        <v>0.4481</v>
      </c>
      <c r="K1449" s="13">
        <v>1</v>
      </c>
      <c r="L1449" s="14">
        <v>183</v>
      </c>
      <c r="M1449" s="10">
        <v>82</v>
      </c>
      <c r="N1449" s="10">
        <v>20222</v>
      </c>
      <c r="O1449" s="10">
        <v>6430</v>
      </c>
      <c r="P1449" s="10">
        <v>26652</v>
      </c>
    </row>
    <row r="1450" spans="1:16" ht="27" customHeight="1" x14ac:dyDescent="0.2">
      <c r="A1450" s="9" t="s">
        <v>5119</v>
      </c>
      <c r="B1450" s="10" t="s">
        <v>5318</v>
      </c>
      <c r="C1450" s="11" t="s">
        <v>18</v>
      </c>
      <c r="D1450" s="11" t="s">
        <v>19</v>
      </c>
      <c r="E1450" s="11" t="s">
        <v>19</v>
      </c>
      <c r="F1450" s="11" t="s">
        <v>5319</v>
      </c>
      <c r="G1450" s="11" t="s">
        <v>83</v>
      </c>
      <c r="H1450" s="11" t="s">
        <v>5320</v>
      </c>
      <c r="I1450" s="11" t="s">
        <v>5321</v>
      </c>
      <c r="J1450" s="12">
        <v>0.64710000000000001</v>
      </c>
      <c r="K1450" s="13">
        <v>3</v>
      </c>
      <c r="L1450" s="14">
        <v>279</v>
      </c>
      <c r="M1450" s="10">
        <v>183</v>
      </c>
      <c r="N1450" s="10">
        <v>30830</v>
      </c>
      <c r="O1450" s="10">
        <v>14351</v>
      </c>
      <c r="P1450" s="10">
        <v>45181</v>
      </c>
    </row>
    <row r="1451" spans="1:16" ht="27" customHeight="1" x14ac:dyDescent="0.2">
      <c r="A1451" s="9" t="s">
        <v>5119</v>
      </c>
      <c r="B1451" s="10" t="s">
        <v>5318</v>
      </c>
      <c r="C1451" s="11" t="s">
        <v>5322</v>
      </c>
      <c r="D1451" s="11" t="s">
        <v>5323</v>
      </c>
      <c r="E1451" s="11" t="s">
        <v>26</v>
      </c>
      <c r="F1451" s="11" t="s">
        <v>5324</v>
      </c>
      <c r="G1451" s="11" t="s">
        <v>28</v>
      </c>
      <c r="H1451" s="11" t="s">
        <v>5324</v>
      </c>
      <c r="I1451" s="11" t="s">
        <v>5325</v>
      </c>
      <c r="J1451" s="12">
        <v>0.53790000000000004</v>
      </c>
      <c r="K1451" s="13">
        <v>1</v>
      </c>
      <c r="L1451" s="14">
        <v>277</v>
      </c>
      <c r="M1451" s="10">
        <v>149</v>
      </c>
      <c r="N1451" s="10">
        <v>30609</v>
      </c>
      <c r="O1451" s="10">
        <v>11684</v>
      </c>
      <c r="P1451" s="10">
        <v>42293</v>
      </c>
    </row>
    <row r="1452" spans="1:16" ht="27" customHeight="1" x14ac:dyDescent="0.2">
      <c r="A1452" s="9" t="s">
        <v>5119</v>
      </c>
      <c r="B1452" s="10" t="s">
        <v>5318</v>
      </c>
      <c r="C1452" s="11" t="s">
        <v>5326</v>
      </c>
      <c r="D1452" s="11" t="s">
        <v>5327</v>
      </c>
      <c r="E1452" s="11" t="s">
        <v>26</v>
      </c>
      <c r="F1452" s="11" t="s">
        <v>5328</v>
      </c>
      <c r="G1452" s="11" t="s">
        <v>28</v>
      </c>
      <c r="H1452" s="11" t="s">
        <v>5328</v>
      </c>
      <c r="I1452" s="11" t="s">
        <v>5329</v>
      </c>
      <c r="J1452" s="12">
        <v>0.82479999999999998</v>
      </c>
      <c r="K1452" s="13">
        <v>1</v>
      </c>
      <c r="L1452" s="14">
        <v>411</v>
      </c>
      <c r="M1452" s="10">
        <v>339</v>
      </c>
      <c r="N1452" s="10">
        <v>45416</v>
      </c>
      <c r="O1452" s="10">
        <v>26584</v>
      </c>
      <c r="P1452" s="10">
        <v>72000</v>
      </c>
    </row>
    <row r="1453" spans="1:16" ht="27" customHeight="1" x14ac:dyDescent="0.2">
      <c r="A1453" s="9" t="s">
        <v>5119</v>
      </c>
      <c r="B1453" s="10" t="s">
        <v>5318</v>
      </c>
      <c r="C1453" s="11" t="s">
        <v>5330</v>
      </c>
      <c r="D1453" s="11" t="s">
        <v>5331</v>
      </c>
      <c r="E1453" s="11" t="s">
        <v>26</v>
      </c>
      <c r="F1453" s="11" t="s">
        <v>5332</v>
      </c>
      <c r="G1453" s="11" t="s">
        <v>28</v>
      </c>
      <c r="H1453" s="11" t="s">
        <v>5332</v>
      </c>
      <c r="I1453" s="11" t="s">
        <v>5333</v>
      </c>
      <c r="J1453" s="12">
        <v>0.14349999999999999</v>
      </c>
      <c r="K1453" s="13">
        <v>1</v>
      </c>
      <c r="L1453" s="14">
        <v>237</v>
      </c>
      <c r="M1453" s="10">
        <v>34</v>
      </c>
      <c r="N1453" s="10">
        <v>26189</v>
      </c>
      <c r="O1453" s="10">
        <v>2666</v>
      </c>
      <c r="P1453" s="10">
        <v>28855</v>
      </c>
    </row>
    <row r="1454" spans="1:16" ht="27" customHeight="1" x14ac:dyDescent="0.2">
      <c r="A1454" s="9" t="s">
        <v>5119</v>
      </c>
      <c r="B1454" s="10" t="s">
        <v>5318</v>
      </c>
      <c r="C1454" s="11" t="s">
        <v>5334</v>
      </c>
      <c r="D1454" s="11" t="s">
        <v>5335</v>
      </c>
      <c r="E1454" s="11" t="s">
        <v>26</v>
      </c>
      <c r="F1454" s="11" t="s">
        <v>5336</v>
      </c>
      <c r="G1454" s="11" t="s">
        <v>28</v>
      </c>
      <c r="H1454" s="11" t="s">
        <v>5336</v>
      </c>
      <c r="I1454" s="11" t="s">
        <v>5337</v>
      </c>
      <c r="J1454" s="12">
        <v>0.375</v>
      </c>
      <c r="K1454" s="13">
        <v>1</v>
      </c>
      <c r="L1454" s="14">
        <v>136</v>
      </c>
      <c r="M1454" s="10">
        <v>51</v>
      </c>
      <c r="N1454" s="10">
        <v>15028</v>
      </c>
      <c r="O1454" s="10">
        <v>3999</v>
      </c>
      <c r="P1454" s="10">
        <v>19027</v>
      </c>
    </row>
    <row r="1455" spans="1:16" ht="27" customHeight="1" x14ac:dyDescent="0.2">
      <c r="A1455" s="9" t="s">
        <v>5119</v>
      </c>
      <c r="B1455" s="10" t="s">
        <v>5318</v>
      </c>
      <c r="C1455" s="11" t="s">
        <v>5338</v>
      </c>
      <c r="D1455" s="11" t="s">
        <v>5339</v>
      </c>
      <c r="E1455" s="11" t="s">
        <v>26</v>
      </c>
      <c r="F1455" s="11" t="s">
        <v>5340</v>
      </c>
      <c r="G1455" s="11" t="s">
        <v>28</v>
      </c>
      <c r="H1455" s="11" t="s">
        <v>5340</v>
      </c>
      <c r="I1455" s="11" t="s">
        <v>5341</v>
      </c>
      <c r="J1455" s="12">
        <v>0.70450000000000002</v>
      </c>
      <c r="K1455" s="13">
        <v>1</v>
      </c>
      <c r="L1455" s="14">
        <v>379</v>
      </c>
      <c r="M1455" s="10">
        <v>267</v>
      </c>
      <c r="N1455" s="10">
        <v>41880</v>
      </c>
      <c r="O1455" s="10">
        <v>20938</v>
      </c>
      <c r="P1455" s="10">
        <v>62818</v>
      </c>
    </row>
    <row r="1456" spans="1:16" ht="27" customHeight="1" x14ac:dyDescent="0.2">
      <c r="A1456" s="9" t="s">
        <v>5119</v>
      </c>
      <c r="B1456" s="10" t="s">
        <v>5318</v>
      </c>
      <c r="C1456" s="11" t="s">
        <v>5342</v>
      </c>
      <c r="D1456" s="11" t="s">
        <v>5343</v>
      </c>
      <c r="E1456" s="11" t="s">
        <v>26</v>
      </c>
      <c r="F1456" s="11" t="s">
        <v>5344</v>
      </c>
      <c r="G1456" s="11" t="s">
        <v>28</v>
      </c>
      <c r="H1456" s="11" t="s">
        <v>5344</v>
      </c>
      <c r="I1456" s="11" t="s">
        <v>5345</v>
      </c>
      <c r="J1456" s="12">
        <v>0.38419999999999999</v>
      </c>
      <c r="K1456" s="13">
        <v>1</v>
      </c>
      <c r="L1456" s="14">
        <v>203</v>
      </c>
      <c r="M1456" s="10">
        <v>78</v>
      </c>
      <c r="N1456" s="10">
        <v>22432</v>
      </c>
      <c r="O1456" s="10">
        <v>6117</v>
      </c>
      <c r="P1456" s="10">
        <v>28549</v>
      </c>
    </row>
    <row r="1457" spans="1:16" ht="27" customHeight="1" x14ac:dyDescent="0.2">
      <c r="A1457" s="9" t="s">
        <v>5119</v>
      </c>
      <c r="B1457" s="10" t="s">
        <v>5346</v>
      </c>
      <c r="C1457" s="11" t="s">
        <v>18</v>
      </c>
      <c r="D1457" s="11" t="s">
        <v>19</v>
      </c>
      <c r="E1457" s="11" t="s">
        <v>19</v>
      </c>
      <c r="F1457" s="11" t="s">
        <v>5347</v>
      </c>
      <c r="G1457" s="11" t="s">
        <v>83</v>
      </c>
      <c r="H1457" s="11" t="s">
        <v>5122</v>
      </c>
      <c r="I1457" s="11" t="s">
        <v>5123</v>
      </c>
      <c r="J1457" s="12">
        <v>1</v>
      </c>
      <c r="K1457" s="13">
        <v>2</v>
      </c>
      <c r="L1457" s="14">
        <v>100</v>
      </c>
      <c r="M1457" s="10">
        <v>53</v>
      </c>
      <c r="N1457" s="10">
        <v>11050</v>
      </c>
      <c r="O1457" s="10">
        <v>4156</v>
      </c>
      <c r="P1457" s="10">
        <v>15206</v>
      </c>
    </row>
    <row r="1458" spans="1:16" ht="27" customHeight="1" x14ac:dyDescent="0.2">
      <c r="A1458" s="9" t="s">
        <v>5119</v>
      </c>
      <c r="B1458" s="10" t="s">
        <v>5348</v>
      </c>
      <c r="C1458" s="11" t="s">
        <v>18</v>
      </c>
      <c r="D1458" s="11" t="s">
        <v>19</v>
      </c>
      <c r="E1458" s="11" t="s">
        <v>19</v>
      </c>
      <c r="F1458" s="11" t="s">
        <v>1568</v>
      </c>
      <c r="G1458" s="11" t="s">
        <v>83</v>
      </c>
      <c r="H1458" s="11" t="s">
        <v>5349</v>
      </c>
      <c r="I1458" s="11" t="s">
        <v>5350</v>
      </c>
      <c r="J1458" s="12">
        <v>0.66890000000000005</v>
      </c>
      <c r="K1458" s="13">
        <v>11</v>
      </c>
      <c r="L1458" s="14">
        <v>4640</v>
      </c>
      <c r="M1458" s="10">
        <v>1637</v>
      </c>
      <c r="N1458" s="10">
        <v>512730</v>
      </c>
      <c r="O1458" s="10">
        <v>128372</v>
      </c>
      <c r="P1458" s="10">
        <v>641102</v>
      </c>
    </row>
    <row r="1459" spans="1:16" ht="27" customHeight="1" x14ac:dyDescent="0.2">
      <c r="A1459" s="9" t="s">
        <v>5119</v>
      </c>
      <c r="B1459" s="10" t="s">
        <v>5348</v>
      </c>
      <c r="C1459" s="11" t="s">
        <v>5351</v>
      </c>
      <c r="D1459" s="11" t="s">
        <v>5352</v>
      </c>
      <c r="E1459" s="11" t="s">
        <v>26</v>
      </c>
      <c r="F1459" s="11" t="s">
        <v>5353</v>
      </c>
      <c r="G1459" s="11" t="s">
        <v>28</v>
      </c>
      <c r="H1459" s="11" t="s">
        <v>5122</v>
      </c>
      <c r="I1459" s="11" t="s">
        <v>5123</v>
      </c>
      <c r="J1459" s="12">
        <v>1</v>
      </c>
      <c r="K1459" s="13">
        <v>1</v>
      </c>
      <c r="L1459" s="14">
        <v>228</v>
      </c>
      <c r="M1459" s="10">
        <v>37</v>
      </c>
      <c r="N1459" s="10">
        <v>25194</v>
      </c>
      <c r="O1459" s="10">
        <v>2902</v>
      </c>
      <c r="P1459" s="10">
        <v>28096</v>
      </c>
    </row>
    <row r="1460" spans="1:16" ht="27" customHeight="1" x14ac:dyDescent="0.2">
      <c r="A1460" s="9" t="s">
        <v>5119</v>
      </c>
      <c r="B1460" s="10" t="s">
        <v>5348</v>
      </c>
      <c r="C1460" s="11" t="s">
        <v>5354</v>
      </c>
      <c r="D1460" s="11" t="s">
        <v>5355</v>
      </c>
      <c r="E1460" s="11" t="s">
        <v>26</v>
      </c>
      <c r="F1460" s="11" t="s">
        <v>5356</v>
      </c>
      <c r="G1460" s="11" t="s">
        <v>28</v>
      </c>
      <c r="H1460" s="11" t="s">
        <v>5356</v>
      </c>
      <c r="I1460" s="11" t="s">
        <v>5357</v>
      </c>
      <c r="J1460" s="12">
        <v>0.46910000000000002</v>
      </c>
      <c r="K1460" s="13">
        <v>1</v>
      </c>
      <c r="L1460" s="14">
        <v>81</v>
      </c>
      <c r="M1460" s="10">
        <v>38</v>
      </c>
      <c r="N1460" s="10">
        <v>8951</v>
      </c>
      <c r="O1460" s="10">
        <v>2980</v>
      </c>
      <c r="P1460" s="10">
        <v>11931</v>
      </c>
    </row>
    <row r="1461" spans="1:16" ht="27" customHeight="1" x14ac:dyDescent="0.2">
      <c r="A1461" s="9" t="s">
        <v>5119</v>
      </c>
      <c r="B1461" s="10" t="s">
        <v>5358</v>
      </c>
      <c r="C1461" s="11" t="s">
        <v>18</v>
      </c>
      <c r="D1461" s="11" t="s">
        <v>19</v>
      </c>
      <c r="E1461" s="11" t="s">
        <v>19</v>
      </c>
      <c r="F1461" s="11" t="s">
        <v>5359</v>
      </c>
      <c r="G1461" s="11" t="s">
        <v>83</v>
      </c>
      <c r="H1461" s="11" t="s">
        <v>5360</v>
      </c>
      <c r="I1461" s="11" t="s">
        <v>5361</v>
      </c>
      <c r="J1461" s="12">
        <v>0.89249999999999996</v>
      </c>
      <c r="K1461" s="13">
        <v>23</v>
      </c>
      <c r="L1461" s="14">
        <v>10990</v>
      </c>
      <c r="M1461" s="10">
        <v>7094</v>
      </c>
      <c r="N1461" s="10">
        <v>1214412</v>
      </c>
      <c r="O1461" s="10">
        <v>556302</v>
      </c>
      <c r="P1461" s="10">
        <v>1770714</v>
      </c>
    </row>
    <row r="1462" spans="1:16" ht="27" customHeight="1" x14ac:dyDescent="0.2">
      <c r="A1462" s="9" t="s">
        <v>5119</v>
      </c>
      <c r="B1462" s="10" t="s">
        <v>5358</v>
      </c>
      <c r="C1462" s="11" t="s">
        <v>5362</v>
      </c>
      <c r="D1462" s="11" t="s">
        <v>5363</v>
      </c>
      <c r="E1462" s="11" t="s">
        <v>26</v>
      </c>
      <c r="F1462" s="11" t="s">
        <v>5364</v>
      </c>
      <c r="G1462" s="11" t="s">
        <v>28</v>
      </c>
      <c r="H1462" s="11" t="s">
        <v>5364</v>
      </c>
      <c r="I1462" s="11" t="s">
        <v>5365</v>
      </c>
      <c r="J1462" s="12">
        <v>0.28820000000000001</v>
      </c>
      <c r="K1462" s="13">
        <v>1</v>
      </c>
      <c r="L1462" s="14">
        <v>399</v>
      </c>
      <c r="M1462" s="10">
        <v>115</v>
      </c>
      <c r="N1462" s="10">
        <v>44090</v>
      </c>
      <c r="O1462" s="10">
        <v>9018</v>
      </c>
      <c r="P1462" s="10">
        <v>53108</v>
      </c>
    </row>
    <row r="1463" spans="1:16" ht="27" customHeight="1" x14ac:dyDescent="0.2">
      <c r="A1463" s="9" t="s">
        <v>5119</v>
      </c>
      <c r="B1463" s="10" t="s">
        <v>5366</v>
      </c>
      <c r="C1463" s="11" t="s">
        <v>18</v>
      </c>
      <c r="D1463" s="11" t="s">
        <v>19</v>
      </c>
      <c r="E1463" s="11" t="s">
        <v>19</v>
      </c>
      <c r="F1463" s="11" t="s">
        <v>5367</v>
      </c>
      <c r="G1463" s="11" t="s">
        <v>83</v>
      </c>
      <c r="H1463" s="11" t="s">
        <v>5368</v>
      </c>
      <c r="I1463" s="11" t="s">
        <v>5369</v>
      </c>
      <c r="J1463" s="12">
        <v>0.66739999999999999</v>
      </c>
      <c r="K1463" s="13">
        <v>9</v>
      </c>
      <c r="L1463" s="14">
        <v>3301</v>
      </c>
      <c r="M1463" s="10">
        <v>1901</v>
      </c>
      <c r="N1463" s="10">
        <v>364767</v>
      </c>
      <c r="O1463" s="10">
        <v>149076</v>
      </c>
      <c r="P1463" s="10">
        <v>513843</v>
      </c>
    </row>
    <row r="1464" spans="1:16" ht="27" customHeight="1" x14ac:dyDescent="0.2">
      <c r="A1464" s="9" t="s">
        <v>5119</v>
      </c>
      <c r="B1464" s="10" t="s">
        <v>5370</v>
      </c>
      <c r="C1464" s="11" t="s">
        <v>18</v>
      </c>
      <c r="D1464" s="11" t="s">
        <v>19</v>
      </c>
      <c r="E1464" s="11" t="s">
        <v>19</v>
      </c>
      <c r="F1464" s="11" t="s">
        <v>5371</v>
      </c>
      <c r="G1464" s="11" t="s">
        <v>83</v>
      </c>
      <c r="H1464" s="11" t="s">
        <v>1887</v>
      </c>
      <c r="I1464" s="11" t="s">
        <v>5372</v>
      </c>
      <c r="J1464" s="12">
        <v>0.72729999999999995</v>
      </c>
      <c r="K1464" s="13">
        <v>11</v>
      </c>
      <c r="L1464" s="14">
        <v>1728</v>
      </c>
      <c r="M1464" s="10">
        <v>990</v>
      </c>
      <c r="N1464" s="10">
        <v>190948</v>
      </c>
      <c r="O1464" s="10">
        <v>77635</v>
      </c>
      <c r="P1464" s="10">
        <v>268583</v>
      </c>
    </row>
    <row r="1465" spans="1:16" ht="27" customHeight="1" x14ac:dyDescent="0.2">
      <c r="A1465" s="9" t="s">
        <v>5119</v>
      </c>
      <c r="B1465" s="10" t="s">
        <v>5370</v>
      </c>
      <c r="C1465" s="11" t="s">
        <v>5373</v>
      </c>
      <c r="D1465" s="11" t="s">
        <v>5374</v>
      </c>
      <c r="E1465" s="11" t="s">
        <v>26</v>
      </c>
      <c r="F1465" s="11" t="s">
        <v>5375</v>
      </c>
      <c r="G1465" s="11" t="s">
        <v>28</v>
      </c>
      <c r="H1465" s="11" t="s">
        <v>5375</v>
      </c>
      <c r="I1465" s="11" t="s">
        <v>5376</v>
      </c>
      <c r="J1465" s="12">
        <v>0.6482</v>
      </c>
      <c r="K1465" s="13">
        <v>1</v>
      </c>
      <c r="L1465" s="14">
        <v>398</v>
      </c>
      <c r="M1465" s="10">
        <v>258</v>
      </c>
      <c r="N1465" s="10">
        <v>43980</v>
      </c>
      <c r="O1465" s="10">
        <v>20232</v>
      </c>
      <c r="P1465" s="10">
        <v>64212</v>
      </c>
    </row>
    <row r="1466" spans="1:16" ht="27" customHeight="1" x14ac:dyDescent="0.2">
      <c r="A1466" s="9" t="s">
        <v>5119</v>
      </c>
      <c r="B1466" s="10" t="s">
        <v>5370</v>
      </c>
      <c r="C1466" s="11" t="s">
        <v>5377</v>
      </c>
      <c r="D1466" s="11" t="s">
        <v>5378</v>
      </c>
      <c r="E1466" s="11" t="s">
        <v>26</v>
      </c>
      <c r="F1466" s="11" t="s">
        <v>5379</v>
      </c>
      <c r="G1466" s="11" t="s">
        <v>28</v>
      </c>
      <c r="H1466" s="11" t="s">
        <v>5379</v>
      </c>
      <c r="I1466" s="11" t="s">
        <v>5380</v>
      </c>
      <c r="J1466" s="12">
        <v>0.51280000000000003</v>
      </c>
      <c r="K1466" s="13">
        <v>1</v>
      </c>
      <c r="L1466" s="14">
        <v>819</v>
      </c>
      <c r="M1466" s="10">
        <v>420</v>
      </c>
      <c r="N1466" s="10">
        <v>90501</v>
      </c>
      <c r="O1466" s="10">
        <v>32936</v>
      </c>
      <c r="P1466" s="10">
        <v>123437</v>
      </c>
    </row>
    <row r="1467" spans="1:16" ht="27" customHeight="1" x14ac:dyDescent="0.2">
      <c r="A1467" s="9" t="s">
        <v>5119</v>
      </c>
      <c r="B1467" s="10" t="s">
        <v>5370</v>
      </c>
      <c r="C1467" s="11" t="s">
        <v>5381</v>
      </c>
      <c r="D1467" s="11" t="s">
        <v>5382</v>
      </c>
      <c r="E1467" s="11" t="s">
        <v>26</v>
      </c>
      <c r="F1467" s="11" t="s">
        <v>5383</v>
      </c>
      <c r="G1467" s="11" t="s">
        <v>28</v>
      </c>
      <c r="H1467" s="11" t="s">
        <v>5383</v>
      </c>
      <c r="I1467" s="11" t="s">
        <v>5384</v>
      </c>
      <c r="J1467" s="12">
        <v>0.73199999999999998</v>
      </c>
      <c r="K1467" s="13">
        <v>1</v>
      </c>
      <c r="L1467" s="14">
        <v>194</v>
      </c>
      <c r="M1467" s="10">
        <v>142</v>
      </c>
      <c r="N1467" s="10">
        <v>21437</v>
      </c>
      <c r="O1467" s="10">
        <v>11135</v>
      </c>
      <c r="P1467" s="10">
        <v>32572</v>
      </c>
    </row>
    <row r="1468" spans="1:16" ht="27" customHeight="1" x14ac:dyDescent="0.2">
      <c r="A1468" s="9" t="s">
        <v>5119</v>
      </c>
      <c r="B1468" s="10" t="s">
        <v>5370</v>
      </c>
      <c r="C1468" s="11" t="s">
        <v>5385</v>
      </c>
      <c r="D1468" s="11" t="s">
        <v>5386</v>
      </c>
      <c r="E1468" s="11" t="s">
        <v>26</v>
      </c>
      <c r="F1468" s="11" t="s">
        <v>5387</v>
      </c>
      <c r="G1468" s="11" t="s">
        <v>28</v>
      </c>
      <c r="H1468" s="11" t="s">
        <v>5387</v>
      </c>
      <c r="I1468" s="11" t="s">
        <v>5388</v>
      </c>
      <c r="J1468" s="12">
        <v>0.41</v>
      </c>
      <c r="K1468" s="13">
        <v>1</v>
      </c>
      <c r="L1468" s="14">
        <v>817</v>
      </c>
      <c r="M1468" s="10">
        <v>335</v>
      </c>
      <c r="N1468" s="10">
        <v>90280</v>
      </c>
      <c r="O1468" s="10">
        <v>26270</v>
      </c>
      <c r="P1468" s="10">
        <v>116550</v>
      </c>
    </row>
    <row r="1469" spans="1:16" ht="27" customHeight="1" x14ac:dyDescent="0.2">
      <c r="A1469" s="9" t="s">
        <v>5119</v>
      </c>
      <c r="B1469" s="10" t="s">
        <v>5370</v>
      </c>
      <c r="C1469" s="11" t="s">
        <v>5389</v>
      </c>
      <c r="D1469" s="11" t="s">
        <v>5390</v>
      </c>
      <c r="E1469" s="11" t="s">
        <v>26</v>
      </c>
      <c r="F1469" s="11" t="s">
        <v>5391</v>
      </c>
      <c r="G1469" s="11" t="s">
        <v>28</v>
      </c>
      <c r="H1469" s="11" t="s">
        <v>5391</v>
      </c>
      <c r="I1469" s="11" t="s">
        <v>5392</v>
      </c>
      <c r="J1469" s="12">
        <v>0.56640000000000001</v>
      </c>
      <c r="K1469" s="13">
        <v>1</v>
      </c>
      <c r="L1469" s="14">
        <v>143</v>
      </c>
      <c r="M1469" s="10">
        <v>81</v>
      </c>
      <c r="N1469" s="10">
        <v>15802</v>
      </c>
      <c r="O1469" s="10">
        <v>6352</v>
      </c>
      <c r="P1469" s="10">
        <v>22154</v>
      </c>
    </row>
    <row r="1470" spans="1:16" ht="27" customHeight="1" x14ac:dyDescent="0.2">
      <c r="A1470" s="9" t="s">
        <v>5119</v>
      </c>
      <c r="B1470" s="10" t="s">
        <v>5393</v>
      </c>
      <c r="C1470" s="11" t="s">
        <v>18</v>
      </c>
      <c r="D1470" s="11" t="s">
        <v>19</v>
      </c>
      <c r="E1470" s="11" t="s">
        <v>19</v>
      </c>
      <c r="F1470" s="11" t="s">
        <v>5394</v>
      </c>
      <c r="G1470" s="11" t="s">
        <v>83</v>
      </c>
      <c r="H1470" s="11" t="s">
        <v>5395</v>
      </c>
      <c r="I1470" s="11" t="s">
        <v>5396</v>
      </c>
      <c r="J1470" s="12">
        <v>0.88360000000000005</v>
      </c>
      <c r="K1470" s="13">
        <v>12</v>
      </c>
      <c r="L1470" s="14">
        <v>4492</v>
      </c>
      <c r="M1470" s="10">
        <v>3456</v>
      </c>
      <c r="N1470" s="10">
        <v>496373</v>
      </c>
      <c r="O1470" s="10">
        <v>271017</v>
      </c>
      <c r="P1470" s="10">
        <v>767390</v>
      </c>
    </row>
    <row r="1471" spans="1:16" ht="27" customHeight="1" x14ac:dyDescent="0.2">
      <c r="A1471" s="9" t="s">
        <v>5119</v>
      </c>
      <c r="B1471" s="10" t="s">
        <v>5393</v>
      </c>
      <c r="C1471" s="11" t="s">
        <v>5397</v>
      </c>
      <c r="D1471" s="11" t="s">
        <v>5398</v>
      </c>
      <c r="E1471" s="11" t="s">
        <v>26</v>
      </c>
      <c r="F1471" s="11" t="s">
        <v>5399</v>
      </c>
      <c r="G1471" s="11" t="s">
        <v>28</v>
      </c>
      <c r="H1471" s="11" t="s">
        <v>5399</v>
      </c>
      <c r="I1471" s="11" t="s">
        <v>5400</v>
      </c>
      <c r="J1471" s="12">
        <v>0.84860000000000002</v>
      </c>
      <c r="K1471" s="13">
        <v>1</v>
      </c>
      <c r="L1471" s="14">
        <v>383</v>
      </c>
      <c r="M1471" s="10">
        <v>325</v>
      </c>
      <c r="N1471" s="10">
        <v>42322</v>
      </c>
      <c r="O1471" s="10">
        <v>25486</v>
      </c>
      <c r="P1471" s="10">
        <v>67808</v>
      </c>
    </row>
    <row r="1472" spans="1:16" ht="27" customHeight="1" x14ac:dyDescent="0.2">
      <c r="A1472" s="9" t="s">
        <v>5119</v>
      </c>
      <c r="B1472" s="10" t="s">
        <v>5401</v>
      </c>
      <c r="C1472" s="11" t="s">
        <v>18</v>
      </c>
      <c r="D1472" s="11" t="s">
        <v>19</v>
      </c>
      <c r="E1472" s="11" t="s">
        <v>19</v>
      </c>
      <c r="F1472" s="11" t="s">
        <v>5402</v>
      </c>
      <c r="G1472" s="11" t="s">
        <v>83</v>
      </c>
      <c r="H1472" s="11" t="s">
        <v>5037</v>
      </c>
      <c r="I1472" s="11" t="s">
        <v>5403</v>
      </c>
      <c r="J1472" s="12">
        <v>0.40720000000000001</v>
      </c>
      <c r="K1472" s="13">
        <v>40</v>
      </c>
      <c r="L1472" s="14">
        <v>35229</v>
      </c>
      <c r="M1472" s="10">
        <v>5353</v>
      </c>
      <c r="N1472" s="10">
        <v>3892866</v>
      </c>
      <c r="O1472" s="10">
        <v>419775</v>
      </c>
      <c r="P1472" s="10">
        <v>4312641</v>
      </c>
    </row>
    <row r="1473" spans="1:16" ht="27" customHeight="1" x14ac:dyDescent="0.2">
      <c r="A1473" s="9" t="s">
        <v>5119</v>
      </c>
      <c r="B1473" s="10" t="s">
        <v>5404</v>
      </c>
      <c r="C1473" s="11" t="s">
        <v>18</v>
      </c>
      <c r="D1473" s="11" t="s">
        <v>19</v>
      </c>
      <c r="E1473" s="11" t="s">
        <v>19</v>
      </c>
      <c r="F1473" s="11" t="s">
        <v>5405</v>
      </c>
      <c r="G1473" s="11" t="s">
        <v>83</v>
      </c>
      <c r="H1473" s="11" t="s">
        <v>5406</v>
      </c>
      <c r="I1473" s="11" t="s">
        <v>5407</v>
      </c>
      <c r="J1473" s="12">
        <v>0.85640000000000005</v>
      </c>
      <c r="K1473" s="13">
        <v>12</v>
      </c>
      <c r="L1473" s="14">
        <v>5103</v>
      </c>
      <c r="M1473" s="10">
        <v>3019</v>
      </c>
      <c r="N1473" s="10">
        <v>563890</v>
      </c>
      <c r="O1473" s="10">
        <v>236747</v>
      </c>
      <c r="P1473" s="10">
        <v>800637</v>
      </c>
    </row>
    <row r="1474" spans="1:16" ht="27" customHeight="1" x14ac:dyDescent="0.2">
      <c r="A1474" s="9" t="s">
        <v>5119</v>
      </c>
      <c r="B1474" s="10" t="s">
        <v>5408</v>
      </c>
      <c r="C1474" s="11" t="s">
        <v>18</v>
      </c>
      <c r="D1474" s="11" t="s">
        <v>19</v>
      </c>
      <c r="E1474" s="11" t="s">
        <v>19</v>
      </c>
      <c r="F1474" s="11" t="s">
        <v>5409</v>
      </c>
      <c r="G1474" s="11" t="s">
        <v>83</v>
      </c>
      <c r="H1474" s="11" t="s">
        <v>5410</v>
      </c>
      <c r="I1474" s="11" t="s">
        <v>5411</v>
      </c>
      <c r="J1474" s="12">
        <v>4.8599999999999997E-2</v>
      </c>
      <c r="K1474" s="13">
        <v>3</v>
      </c>
      <c r="L1474" s="14">
        <v>580</v>
      </c>
      <c r="M1474" s="10">
        <v>24</v>
      </c>
      <c r="N1474" s="10">
        <v>64091</v>
      </c>
      <c r="O1474" s="10">
        <v>1882</v>
      </c>
      <c r="P1474" s="10">
        <v>65973</v>
      </c>
    </row>
    <row r="1475" spans="1:16" ht="27" customHeight="1" x14ac:dyDescent="0.2">
      <c r="A1475" s="9" t="s">
        <v>5119</v>
      </c>
      <c r="B1475" s="10" t="s">
        <v>5412</v>
      </c>
      <c r="C1475" s="11" t="s">
        <v>18</v>
      </c>
      <c r="D1475" s="11" t="s">
        <v>19</v>
      </c>
      <c r="E1475" s="11" t="s">
        <v>19</v>
      </c>
      <c r="F1475" s="11" t="s">
        <v>5413</v>
      </c>
      <c r="G1475" s="11" t="s">
        <v>83</v>
      </c>
      <c r="H1475" s="11" t="s">
        <v>5414</v>
      </c>
      <c r="I1475" s="11" t="s">
        <v>5415</v>
      </c>
      <c r="J1475" s="12">
        <v>0.98709999999999998</v>
      </c>
      <c r="K1475" s="13">
        <v>176</v>
      </c>
      <c r="L1475" s="14">
        <v>95250</v>
      </c>
      <c r="M1475" s="10">
        <v>54190</v>
      </c>
      <c r="N1475" s="10">
        <v>10525289</v>
      </c>
      <c r="O1475" s="10">
        <v>4249529</v>
      </c>
      <c r="P1475" s="10">
        <v>14774818</v>
      </c>
    </row>
    <row r="1476" spans="1:16" ht="27" customHeight="1" x14ac:dyDescent="0.2">
      <c r="A1476" s="9" t="s">
        <v>5119</v>
      </c>
      <c r="B1476" s="10" t="s">
        <v>5412</v>
      </c>
      <c r="C1476" s="11" t="s">
        <v>5416</v>
      </c>
      <c r="D1476" s="11" t="s">
        <v>5417</v>
      </c>
      <c r="E1476" s="11" t="s">
        <v>26</v>
      </c>
      <c r="F1476" s="11" t="s">
        <v>5418</v>
      </c>
      <c r="G1476" s="11" t="s">
        <v>28</v>
      </c>
      <c r="H1476" s="11" t="s">
        <v>5122</v>
      </c>
      <c r="I1476" s="11" t="s">
        <v>5123</v>
      </c>
      <c r="J1476" s="12">
        <v>1</v>
      </c>
      <c r="K1476" s="13">
        <v>1</v>
      </c>
      <c r="L1476" s="14">
        <v>330</v>
      </c>
      <c r="M1476" s="10">
        <v>146</v>
      </c>
      <c r="N1476" s="10">
        <v>36466</v>
      </c>
      <c r="O1476" s="10">
        <v>11449</v>
      </c>
      <c r="P1476" s="10">
        <v>47915</v>
      </c>
    </row>
    <row r="1477" spans="1:16" ht="27" customHeight="1" x14ac:dyDescent="0.2">
      <c r="A1477" s="9" t="s">
        <v>5119</v>
      </c>
      <c r="B1477" s="10" t="s">
        <v>5412</v>
      </c>
      <c r="C1477" s="11" t="s">
        <v>5419</v>
      </c>
      <c r="D1477" s="11" t="s">
        <v>5420</v>
      </c>
      <c r="E1477" s="11" t="s">
        <v>26</v>
      </c>
      <c r="F1477" s="11" t="s">
        <v>5421</v>
      </c>
      <c r="G1477" s="11" t="s">
        <v>28</v>
      </c>
      <c r="H1477" s="11" t="s">
        <v>5122</v>
      </c>
      <c r="I1477" s="11" t="s">
        <v>5123</v>
      </c>
      <c r="J1477" s="12">
        <v>1</v>
      </c>
      <c r="K1477" s="13">
        <v>1</v>
      </c>
      <c r="L1477" s="14">
        <v>352</v>
      </c>
      <c r="M1477" s="10">
        <v>319</v>
      </c>
      <c r="N1477" s="10">
        <v>38897</v>
      </c>
      <c r="O1477" s="10">
        <v>25016</v>
      </c>
      <c r="P1477" s="10">
        <v>63913</v>
      </c>
    </row>
    <row r="1478" spans="1:16" ht="27" customHeight="1" x14ac:dyDescent="0.2">
      <c r="A1478" s="9" t="s">
        <v>5119</v>
      </c>
      <c r="B1478" s="10" t="s">
        <v>5412</v>
      </c>
      <c r="C1478" s="11" t="s">
        <v>5422</v>
      </c>
      <c r="D1478" s="11" t="s">
        <v>5423</v>
      </c>
      <c r="E1478" s="11" t="s">
        <v>26</v>
      </c>
      <c r="F1478" s="11" t="s">
        <v>5424</v>
      </c>
      <c r="G1478" s="11" t="s">
        <v>28</v>
      </c>
      <c r="H1478" s="11" t="s">
        <v>5122</v>
      </c>
      <c r="I1478" s="11" t="s">
        <v>5123</v>
      </c>
      <c r="J1478" s="12">
        <v>1</v>
      </c>
      <c r="K1478" s="13">
        <v>1</v>
      </c>
      <c r="L1478" s="14">
        <v>396</v>
      </c>
      <c r="M1478" s="10">
        <v>141</v>
      </c>
      <c r="N1478" s="10">
        <v>43759</v>
      </c>
      <c r="O1478" s="10">
        <v>11057</v>
      </c>
      <c r="P1478" s="10">
        <v>54816</v>
      </c>
    </row>
    <row r="1479" spans="1:16" ht="27" customHeight="1" x14ac:dyDescent="0.2">
      <c r="A1479" s="9" t="s">
        <v>5119</v>
      </c>
      <c r="B1479" s="10" t="s">
        <v>5412</v>
      </c>
      <c r="C1479" s="11" t="s">
        <v>5425</v>
      </c>
      <c r="D1479" s="11" t="s">
        <v>5426</v>
      </c>
      <c r="E1479" s="11" t="s">
        <v>26</v>
      </c>
      <c r="F1479" s="11" t="s">
        <v>5427</v>
      </c>
      <c r="G1479" s="11" t="s">
        <v>28</v>
      </c>
      <c r="H1479" s="11" t="s">
        <v>5427</v>
      </c>
      <c r="I1479" s="11" t="s">
        <v>5428</v>
      </c>
      <c r="J1479" s="12">
        <v>0.3</v>
      </c>
      <c r="K1479" s="13">
        <v>1</v>
      </c>
      <c r="L1479" s="14">
        <v>170</v>
      </c>
      <c r="M1479" s="10">
        <v>51</v>
      </c>
      <c r="N1479" s="10">
        <v>18785</v>
      </c>
      <c r="O1479" s="10">
        <v>3999</v>
      </c>
      <c r="P1479" s="10">
        <v>22784</v>
      </c>
    </row>
    <row r="1480" spans="1:16" ht="27" customHeight="1" x14ac:dyDescent="0.2">
      <c r="A1480" s="9" t="s">
        <v>5119</v>
      </c>
      <c r="B1480" s="10" t="s">
        <v>5412</v>
      </c>
      <c r="C1480" s="11" t="s">
        <v>5429</v>
      </c>
      <c r="D1480" s="11" t="s">
        <v>5430</v>
      </c>
      <c r="E1480" s="11" t="s">
        <v>26</v>
      </c>
      <c r="F1480" s="11" t="s">
        <v>5431</v>
      </c>
      <c r="G1480" s="11" t="s">
        <v>28</v>
      </c>
      <c r="H1480" s="11" t="s">
        <v>5122</v>
      </c>
      <c r="I1480" s="11" t="s">
        <v>5123</v>
      </c>
      <c r="J1480" s="12">
        <v>1</v>
      </c>
      <c r="K1480" s="13">
        <v>1</v>
      </c>
      <c r="L1480" s="14">
        <v>341</v>
      </c>
      <c r="M1480" s="10">
        <v>128</v>
      </c>
      <c r="N1480" s="10">
        <v>37681</v>
      </c>
      <c r="O1480" s="10">
        <v>10038</v>
      </c>
      <c r="P1480" s="10">
        <v>47719</v>
      </c>
    </row>
    <row r="1481" spans="1:16" ht="27" customHeight="1" x14ac:dyDescent="0.2">
      <c r="A1481" s="9" t="s">
        <v>5119</v>
      </c>
      <c r="B1481" s="10" t="s">
        <v>5412</v>
      </c>
      <c r="C1481" s="11" t="s">
        <v>5432</v>
      </c>
      <c r="D1481" s="11" t="s">
        <v>5433</v>
      </c>
      <c r="E1481" s="11" t="s">
        <v>26</v>
      </c>
      <c r="F1481" s="11" t="s">
        <v>5434</v>
      </c>
      <c r="G1481" s="11" t="s">
        <v>28</v>
      </c>
      <c r="H1481" s="11" t="s">
        <v>5122</v>
      </c>
      <c r="I1481" s="11" t="s">
        <v>5123</v>
      </c>
      <c r="J1481" s="12">
        <v>1</v>
      </c>
      <c r="K1481" s="13">
        <v>1</v>
      </c>
      <c r="L1481" s="14">
        <v>389</v>
      </c>
      <c r="M1481" s="10">
        <v>135</v>
      </c>
      <c r="N1481" s="10">
        <v>42985</v>
      </c>
      <c r="O1481" s="10">
        <v>10587</v>
      </c>
      <c r="P1481" s="10">
        <v>53572</v>
      </c>
    </row>
    <row r="1482" spans="1:16" ht="27" customHeight="1" x14ac:dyDescent="0.2">
      <c r="A1482" s="9" t="s">
        <v>5119</v>
      </c>
      <c r="B1482" s="10" t="s">
        <v>5412</v>
      </c>
      <c r="C1482" s="11" t="s">
        <v>5435</v>
      </c>
      <c r="D1482" s="11" t="s">
        <v>5436</v>
      </c>
      <c r="E1482" s="11" t="s">
        <v>26</v>
      </c>
      <c r="F1482" s="11" t="s">
        <v>5437</v>
      </c>
      <c r="G1482" s="11" t="s">
        <v>28</v>
      </c>
      <c r="H1482" s="11" t="s">
        <v>5437</v>
      </c>
      <c r="I1482" s="11" t="s">
        <v>5438</v>
      </c>
      <c r="J1482" s="12">
        <v>0.93920000000000003</v>
      </c>
      <c r="K1482" s="13">
        <v>1</v>
      </c>
      <c r="L1482" s="14">
        <v>181</v>
      </c>
      <c r="M1482" s="10">
        <v>170</v>
      </c>
      <c r="N1482" s="10">
        <v>20001</v>
      </c>
      <c r="O1482" s="10">
        <v>13331</v>
      </c>
      <c r="P1482" s="10">
        <v>33332</v>
      </c>
    </row>
    <row r="1483" spans="1:16" ht="27" customHeight="1" x14ac:dyDescent="0.2">
      <c r="A1483" s="9" t="s">
        <v>5119</v>
      </c>
      <c r="B1483" s="10" t="s">
        <v>5412</v>
      </c>
      <c r="C1483" s="11" t="s">
        <v>5439</v>
      </c>
      <c r="D1483" s="11" t="s">
        <v>5440</v>
      </c>
      <c r="E1483" s="11" t="s">
        <v>26</v>
      </c>
      <c r="F1483" s="11" t="s">
        <v>5441</v>
      </c>
      <c r="G1483" s="11" t="s">
        <v>28</v>
      </c>
      <c r="H1483" s="11" t="s">
        <v>5122</v>
      </c>
      <c r="I1483" s="11" t="s">
        <v>5123</v>
      </c>
      <c r="J1483" s="12">
        <v>1</v>
      </c>
      <c r="K1483" s="13">
        <v>1</v>
      </c>
      <c r="L1483" s="14">
        <v>422</v>
      </c>
      <c r="M1483" s="10">
        <v>149</v>
      </c>
      <c r="N1483" s="10">
        <v>46632</v>
      </c>
      <c r="O1483" s="10">
        <v>11684</v>
      </c>
      <c r="P1483" s="10">
        <v>58316</v>
      </c>
    </row>
    <row r="1484" spans="1:16" ht="27" customHeight="1" x14ac:dyDescent="0.2">
      <c r="A1484" s="9" t="s">
        <v>5119</v>
      </c>
      <c r="B1484" s="10" t="s">
        <v>5412</v>
      </c>
      <c r="C1484" s="11" t="s">
        <v>5442</v>
      </c>
      <c r="D1484" s="11" t="s">
        <v>5443</v>
      </c>
      <c r="E1484" s="11" t="s">
        <v>26</v>
      </c>
      <c r="F1484" s="11" t="s">
        <v>5444</v>
      </c>
      <c r="G1484" s="11" t="s">
        <v>28</v>
      </c>
      <c r="H1484" s="11" t="s">
        <v>5444</v>
      </c>
      <c r="I1484" s="11" t="s">
        <v>5445</v>
      </c>
      <c r="J1484" s="12">
        <v>0.36809999999999998</v>
      </c>
      <c r="K1484" s="13">
        <v>1</v>
      </c>
      <c r="L1484" s="14">
        <v>1440</v>
      </c>
      <c r="M1484" s="10">
        <v>530</v>
      </c>
      <c r="N1484" s="10">
        <v>159122</v>
      </c>
      <c r="O1484" s="10">
        <v>41562</v>
      </c>
      <c r="P1484" s="10">
        <v>200684</v>
      </c>
    </row>
    <row r="1485" spans="1:16" ht="27" customHeight="1" x14ac:dyDescent="0.2">
      <c r="A1485" s="9" t="s">
        <v>5119</v>
      </c>
      <c r="B1485" s="10" t="s">
        <v>5412</v>
      </c>
      <c r="C1485" s="11" t="s">
        <v>5446</v>
      </c>
      <c r="D1485" s="11" t="s">
        <v>5447</v>
      </c>
      <c r="E1485" s="11" t="s">
        <v>26</v>
      </c>
      <c r="F1485" s="11" t="s">
        <v>5448</v>
      </c>
      <c r="G1485" s="11" t="s">
        <v>28</v>
      </c>
      <c r="H1485" s="11" t="s">
        <v>5122</v>
      </c>
      <c r="I1485" s="11" t="s">
        <v>5123</v>
      </c>
      <c r="J1485" s="12">
        <v>1</v>
      </c>
      <c r="K1485" s="13">
        <v>1</v>
      </c>
      <c r="L1485" s="14">
        <v>262</v>
      </c>
      <c r="M1485" s="10">
        <v>254</v>
      </c>
      <c r="N1485" s="10">
        <v>28951</v>
      </c>
      <c r="O1485" s="10">
        <v>19918</v>
      </c>
      <c r="P1485" s="10">
        <v>48869</v>
      </c>
    </row>
    <row r="1486" spans="1:16" ht="27" customHeight="1" x14ac:dyDescent="0.2">
      <c r="A1486" s="9" t="s">
        <v>5119</v>
      </c>
      <c r="B1486" s="10" t="s">
        <v>5412</v>
      </c>
      <c r="C1486" s="11" t="s">
        <v>5449</v>
      </c>
      <c r="D1486" s="11" t="s">
        <v>5450</v>
      </c>
      <c r="E1486" s="11" t="s">
        <v>26</v>
      </c>
      <c r="F1486" s="11" t="s">
        <v>5451</v>
      </c>
      <c r="G1486" s="11" t="s">
        <v>28</v>
      </c>
      <c r="H1486" s="11" t="s">
        <v>5122</v>
      </c>
      <c r="I1486" s="11" t="s">
        <v>5123</v>
      </c>
      <c r="J1486" s="12">
        <v>1</v>
      </c>
      <c r="K1486" s="13">
        <v>1</v>
      </c>
      <c r="L1486" s="14">
        <v>525</v>
      </c>
      <c r="M1486" s="10">
        <v>412</v>
      </c>
      <c r="N1486" s="10">
        <v>58013</v>
      </c>
      <c r="O1486" s="10">
        <v>32309</v>
      </c>
      <c r="P1486" s="10">
        <v>90322</v>
      </c>
    </row>
    <row r="1487" spans="1:16" ht="27" customHeight="1" x14ac:dyDescent="0.2">
      <c r="A1487" s="9" t="s">
        <v>5119</v>
      </c>
      <c r="B1487" s="10" t="s">
        <v>5412</v>
      </c>
      <c r="C1487" s="11" t="s">
        <v>5452</v>
      </c>
      <c r="D1487" s="11" t="s">
        <v>5453</v>
      </c>
      <c r="E1487" s="11" t="s">
        <v>26</v>
      </c>
      <c r="F1487" s="11" t="s">
        <v>5454</v>
      </c>
      <c r="G1487" s="11" t="s">
        <v>28</v>
      </c>
      <c r="H1487" s="11" t="s">
        <v>5454</v>
      </c>
      <c r="I1487" s="11" t="s">
        <v>5455</v>
      </c>
      <c r="J1487" s="12">
        <v>0.19700000000000001</v>
      </c>
      <c r="K1487" s="13">
        <v>1</v>
      </c>
      <c r="L1487" s="14">
        <v>467</v>
      </c>
      <c r="M1487" s="10">
        <v>92</v>
      </c>
      <c r="N1487" s="10">
        <v>51604</v>
      </c>
      <c r="O1487" s="10">
        <v>7215</v>
      </c>
      <c r="P1487" s="10">
        <v>58819</v>
      </c>
    </row>
    <row r="1488" spans="1:16" ht="27" customHeight="1" x14ac:dyDescent="0.2">
      <c r="A1488" s="9" t="s">
        <v>5119</v>
      </c>
      <c r="B1488" s="10" t="s">
        <v>5412</v>
      </c>
      <c r="C1488" s="11" t="s">
        <v>5456</v>
      </c>
      <c r="D1488" s="11" t="s">
        <v>5457</v>
      </c>
      <c r="E1488" s="11" t="s">
        <v>26</v>
      </c>
      <c r="F1488" s="11" t="s">
        <v>5458</v>
      </c>
      <c r="G1488" s="11" t="s">
        <v>28</v>
      </c>
      <c r="H1488" s="11" t="s">
        <v>5122</v>
      </c>
      <c r="I1488" s="11" t="s">
        <v>5123</v>
      </c>
      <c r="J1488" s="12">
        <v>1</v>
      </c>
      <c r="K1488" s="13">
        <v>1</v>
      </c>
      <c r="L1488" s="14">
        <v>258</v>
      </c>
      <c r="M1488" s="10">
        <v>246</v>
      </c>
      <c r="N1488" s="10">
        <v>28509</v>
      </c>
      <c r="O1488" s="10">
        <v>19291</v>
      </c>
      <c r="P1488" s="10">
        <v>47800</v>
      </c>
    </row>
    <row r="1489" spans="1:16" ht="27" customHeight="1" x14ac:dyDescent="0.2">
      <c r="A1489" s="9" t="s">
        <v>5119</v>
      </c>
      <c r="B1489" s="10" t="s">
        <v>5412</v>
      </c>
      <c r="C1489" s="11" t="s">
        <v>5459</v>
      </c>
      <c r="D1489" s="11" t="s">
        <v>5460</v>
      </c>
      <c r="E1489" s="11" t="s">
        <v>26</v>
      </c>
      <c r="F1489" s="11" t="s">
        <v>5461</v>
      </c>
      <c r="G1489" s="11" t="s">
        <v>28</v>
      </c>
      <c r="H1489" s="11" t="s">
        <v>5461</v>
      </c>
      <c r="I1489" s="11" t="s">
        <v>5462</v>
      </c>
      <c r="J1489" s="12">
        <v>0.83740000000000003</v>
      </c>
      <c r="K1489" s="13">
        <v>1</v>
      </c>
      <c r="L1489" s="14">
        <v>1279</v>
      </c>
      <c r="M1489" s="10">
        <v>1071</v>
      </c>
      <c r="N1489" s="10">
        <v>141332</v>
      </c>
      <c r="O1489" s="10">
        <v>83987</v>
      </c>
      <c r="P1489" s="10">
        <v>225319</v>
      </c>
    </row>
    <row r="1490" spans="1:16" ht="27" customHeight="1" x14ac:dyDescent="0.2">
      <c r="A1490" s="9" t="s">
        <v>5119</v>
      </c>
      <c r="B1490" s="10" t="s">
        <v>5412</v>
      </c>
      <c r="C1490" s="11" t="s">
        <v>5463</v>
      </c>
      <c r="D1490" s="11" t="s">
        <v>5464</v>
      </c>
      <c r="E1490" s="11" t="s">
        <v>26</v>
      </c>
      <c r="F1490" s="11" t="s">
        <v>5465</v>
      </c>
      <c r="G1490" s="11" t="s">
        <v>28</v>
      </c>
      <c r="H1490" s="11" t="s">
        <v>5465</v>
      </c>
      <c r="I1490" s="11" t="s">
        <v>5466</v>
      </c>
      <c r="J1490" s="12">
        <v>0.6139</v>
      </c>
      <c r="K1490" s="13">
        <v>1</v>
      </c>
      <c r="L1490" s="14">
        <v>417</v>
      </c>
      <c r="M1490" s="10">
        <v>256</v>
      </c>
      <c r="N1490" s="10">
        <v>46079</v>
      </c>
      <c r="O1490" s="10">
        <v>20075</v>
      </c>
      <c r="P1490" s="10">
        <v>66154</v>
      </c>
    </row>
    <row r="1491" spans="1:16" ht="27" customHeight="1" x14ac:dyDescent="0.2">
      <c r="A1491" s="9" t="s">
        <v>5119</v>
      </c>
      <c r="B1491" s="10" t="s">
        <v>5412</v>
      </c>
      <c r="C1491" s="11" t="s">
        <v>5467</v>
      </c>
      <c r="D1491" s="11" t="s">
        <v>5468</v>
      </c>
      <c r="E1491" s="11" t="s">
        <v>26</v>
      </c>
      <c r="F1491" s="11" t="s">
        <v>5469</v>
      </c>
      <c r="G1491" s="11" t="s">
        <v>28</v>
      </c>
      <c r="H1491" s="11" t="s">
        <v>5122</v>
      </c>
      <c r="I1491" s="11" t="s">
        <v>5123</v>
      </c>
      <c r="J1491" s="12">
        <v>1</v>
      </c>
      <c r="K1491" s="13">
        <v>1</v>
      </c>
      <c r="L1491" s="14">
        <v>228</v>
      </c>
      <c r="M1491" s="10">
        <v>56</v>
      </c>
      <c r="N1491" s="10">
        <v>25194</v>
      </c>
      <c r="O1491" s="10">
        <v>4391</v>
      </c>
      <c r="P1491" s="10">
        <v>29585</v>
      </c>
    </row>
    <row r="1492" spans="1:16" ht="27" customHeight="1" x14ac:dyDescent="0.2">
      <c r="A1492" s="9" t="s">
        <v>5119</v>
      </c>
      <c r="B1492" s="10" t="s">
        <v>5412</v>
      </c>
      <c r="C1492" s="11" t="s">
        <v>5470</v>
      </c>
      <c r="D1492" s="11" t="s">
        <v>5471</v>
      </c>
      <c r="E1492" s="11" t="s">
        <v>26</v>
      </c>
      <c r="F1492" s="11" t="s">
        <v>5472</v>
      </c>
      <c r="G1492" s="11" t="s">
        <v>28</v>
      </c>
      <c r="H1492" s="11" t="s">
        <v>5472</v>
      </c>
      <c r="I1492" s="11" t="s">
        <v>5473</v>
      </c>
      <c r="J1492" s="12">
        <v>0.1757</v>
      </c>
      <c r="K1492" s="13">
        <v>1</v>
      </c>
      <c r="L1492" s="14">
        <v>240</v>
      </c>
      <c r="M1492" s="10">
        <v>42</v>
      </c>
      <c r="N1492" s="10">
        <v>26520</v>
      </c>
      <c r="O1492" s="10">
        <v>3294</v>
      </c>
      <c r="P1492" s="10">
        <v>29814</v>
      </c>
    </row>
    <row r="1493" spans="1:16" ht="27" customHeight="1" x14ac:dyDescent="0.2">
      <c r="A1493" s="9" t="s">
        <v>5119</v>
      </c>
      <c r="B1493" s="10" t="s">
        <v>5412</v>
      </c>
      <c r="C1493" s="11" t="s">
        <v>5474</v>
      </c>
      <c r="D1493" s="11" t="s">
        <v>5475</v>
      </c>
      <c r="E1493" s="11" t="s">
        <v>26</v>
      </c>
      <c r="F1493" s="11" t="s">
        <v>5476</v>
      </c>
      <c r="G1493" s="11" t="s">
        <v>28</v>
      </c>
      <c r="H1493" s="11" t="s">
        <v>5476</v>
      </c>
      <c r="I1493" s="11" t="s">
        <v>5477</v>
      </c>
      <c r="J1493" s="12">
        <v>0.92910000000000004</v>
      </c>
      <c r="K1493" s="13">
        <v>1</v>
      </c>
      <c r="L1493" s="14">
        <v>141</v>
      </c>
      <c r="M1493" s="10">
        <v>131</v>
      </c>
      <c r="N1493" s="10">
        <v>15581</v>
      </c>
      <c r="O1493" s="10">
        <v>10273</v>
      </c>
      <c r="P1493" s="10">
        <v>25854</v>
      </c>
    </row>
    <row r="1494" spans="1:16" ht="27" customHeight="1" x14ac:dyDescent="0.2">
      <c r="A1494" s="9" t="s">
        <v>5119</v>
      </c>
      <c r="B1494" s="10" t="s">
        <v>5412</v>
      </c>
      <c r="C1494" s="11" t="s">
        <v>5478</v>
      </c>
      <c r="D1494" s="11" t="s">
        <v>5479</v>
      </c>
      <c r="E1494" s="11" t="s">
        <v>26</v>
      </c>
      <c r="F1494" s="11" t="s">
        <v>5480</v>
      </c>
      <c r="G1494" s="11" t="s">
        <v>28</v>
      </c>
      <c r="H1494" s="11" t="s">
        <v>5480</v>
      </c>
      <c r="I1494" s="11" t="s">
        <v>5481</v>
      </c>
      <c r="J1494" s="12">
        <v>0.29580000000000001</v>
      </c>
      <c r="K1494" s="13">
        <v>1</v>
      </c>
      <c r="L1494" s="14">
        <v>382</v>
      </c>
      <c r="M1494" s="10">
        <v>113</v>
      </c>
      <c r="N1494" s="10">
        <v>42212</v>
      </c>
      <c r="O1494" s="10">
        <v>8861</v>
      </c>
      <c r="P1494" s="10">
        <v>51073</v>
      </c>
    </row>
    <row r="1495" spans="1:16" ht="27" customHeight="1" x14ac:dyDescent="0.2">
      <c r="A1495" s="9" t="s">
        <v>5119</v>
      </c>
      <c r="B1495" s="10" t="s">
        <v>5412</v>
      </c>
      <c r="C1495" s="11" t="s">
        <v>5482</v>
      </c>
      <c r="D1495" s="11" t="s">
        <v>5483</v>
      </c>
      <c r="E1495" s="11" t="s">
        <v>26</v>
      </c>
      <c r="F1495" s="11" t="s">
        <v>5484</v>
      </c>
      <c r="G1495" s="11" t="s">
        <v>28</v>
      </c>
      <c r="H1495" s="11" t="s">
        <v>5122</v>
      </c>
      <c r="I1495" s="11" t="s">
        <v>5123</v>
      </c>
      <c r="J1495" s="12">
        <v>1</v>
      </c>
      <c r="K1495" s="13">
        <v>1</v>
      </c>
      <c r="L1495" s="14">
        <v>398</v>
      </c>
      <c r="M1495" s="10">
        <v>278</v>
      </c>
      <c r="N1495" s="10">
        <v>43980</v>
      </c>
      <c r="O1495" s="10">
        <v>21800</v>
      </c>
      <c r="P1495" s="10">
        <v>65780</v>
      </c>
    </row>
    <row r="1496" spans="1:16" ht="27" customHeight="1" x14ac:dyDescent="0.2">
      <c r="A1496" s="9" t="s">
        <v>5119</v>
      </c>
      <c r="B1496" s="10" t="s">
        <v>5412</v>
      </c>
      <c r="C1496" s="11" t="s">
        <v>5485</v>
      </c>
      <c r="D1496" s="11" t="s">
        <v>5486</v>
      </c>
      <c r="E1496" s="11" t="s">
        <v>26</v>
      </c>
      <c r="F1496" s="11" t="s">
        <v>5487</v>
      </c>
      <c r="G1496" s="11" t="s">
        <v>28</v>
      </c>
      <c r="H1496" s="11" t="s">
        <v>5487</v>
      </c>
      <c r="I1496" s="11" t="s">
        <v>5488</v>
      </c>
      <c r="J1496" s="12">
        <v>0.65069999999999995</v>
      </c>
      <c r="K1496" s="13">
        <v>1</v>
      </c>
      <c r="L1496" s="14">
        <v>146</v>
      </c>
      <c r="M1496" s="10">
        <v>95</v>
      </c>
      <c r="N1496" s="10">
        <v>16133</v>
      </c>
      <c r="O1496" s="10">
        <v>7450</v>
      </c>
      <c r="P1496" s="10">
        <v>23583</v>
      </c>
    </row>
    <row r="1497" spans="1:16" ht="27" customHeight="1" x14ac:dyDescent="0.2">
      <c r="A1497" s="9" t="s">
        <v>5119</v>
      </c>
      <c r="B1497" s="10" t="s">
        <v>5412</v>
      </c>
      <c r="C1497" s="11" t="s">
        <v>5489</v>
      </c>
      <c r="D1497" s="11" t="s">
        <v>5490</v>
      </c>
      <c r="E1497" s="11" t="s">
        <v>26</v>
      </c>
      <c r="F1497" s="11" t="s">
        <v>5491</v>
      </c>
      <c r="G1497" s="11" t="s">
        <v>28</v>
      </c>
      <c r="H1497" s="11" t="s">
        <v>5491</v>
      </c>
      <c r="I1497" s="11" t="s">
        <v>5492</v>
      </c>
      <c r="J1497" s="12">
        <v>0.34060000000000001</v>
      </c>
      <c r="K1497" s="13">
        <v>1</v>
      </c>
      <c r="L1497" s="14">
        <v>461</v>
      </c>
      <c r="M1497" s="10">
        <v>157</v>
      </c>
      <c r="N1497" s="10">
        <v>50941</v>
      </c>
      <c r="O1497" s="10">
        <v>12312</v>
      </c>
      <c r="P1497" s="10">
        <v>63253</v>
      </c>
    </row>
    <row r="1498" spans="1:16" ht="27" customHeight="1" x14ac:dyDescent="0.2">
      <c r="A1498" s="9" t="s">
        <v>5119</v>
      </c>
      <c r="B1498" s="10" t="s">
        <v>5412</v>
      </c>
      <c r="C1498" s="11" t="s">
        <v>5493</v>
      </c>
      <c r="D1498" s="11" t="s">
        <v>5494</v>
      </c>
      <c r="E1498" s="11" t="s">
        <v>26</v>
      </c>
      <c r="F1498" s="11" t="s">
        <v>5495</v>
      </c>
      <c r="G1498" s="11" t="s">
        <v>28</v>
      </c>
      <c r="H1498" s="11" t="s">
        <v>5495</v>
      </c>
      <c r="I1498" s="11" t="s">
        <v>5496</v>
      </c>
      <c r="J1498" s="12">
        <v>0.46529999999999999</v>
      </c>
      <c r="K1498" s="13">
        <v>1</v>
      </c>
      <c r="L1498" s="14">
        <v>432</v>
      </c>
      <c r="M1498" s="10">
        <v>201</v>
      </c>
      <c r="N1498" s="10">
        <v>47737</v>
      </c>
      <c r="O1498" s="10">
        <v>15762</v>
      </c>
      <c r="P1498" s="10">
        <v>63499</v>
      </c>
    </row>
    <row r="1499" spans="1:16" ht="27" customHeight="1" x14ac:dyDescent="0.2">
      <c r="A1499" s="9" t="s">
        <v>5119</v>
      </c>
      <c r="B1499" s="10" t="s">
        <v>5412</v>
      </c>
      <c r="C1499" s="11" t="s">
        <v>5497</v>
      </c>
      <c r="D1499" s="11" t="s">
        <v>5498</v>
      </c>
      <c r="E1499" s="11" t="s">
        <v>26</v>
      </c>
      <c r="F1499" s="11" t="s">
        <v>5499</v>
      </c>
      <c r="G1499" s="11" t="s">
        <v>28</v>
      </c>
      <c r="H1499" s="11" t="s">
        <v>5499</v>
      </c>
      <c r="I1499" s="11" t="s">
        <v>5500</v>
      </c>
      <c r="J1499" s="12">
        <v>0.90259999999999996</v>
      </c>
      <c r="K1499" s="13">
        <v>1</v>
      </c>
      <c r="L1499" s="14">
        <v>154</v>
      </c>
      <c r="M1499" s="10">
        <v>139</v>
      </c>
      <c r="N1499" s="10">
        <v>17017</v>
      </c>
      <c r="O1499" s="10">
        <v>10900</v>
      </c>
      <c r="P1499" s="10">
        <v>27917</v>
      </c>
    </row>
    <row r="1500" spans="1:16" ht="27" customHeight="1" x14ac:dyDescent="0.2">
      <c r="A1500" s="9" t="s">
        <v>5119</v>
      </c>
      <c r="B1500" s="10" t="s">
        <v>5412</v>
      </c>
      <c r="C1500" s="11" t="s">
        <v>5501</v>
      </c>
      <c r="D1500" s="11" t="s">
        <v>5502</v>
      </c>
      <c r="E1500" s="11" t="s">
        <v>26</v>
      </c>
      <c r="F1500" s="11" t="s">
        <v>5503</v>
      </c>
      <c r="G1500" s="11" t="s">
        <v>28</v>
      </c>
      <c r="H1500" s="11" t="s">
        <v>5503</v>
      </c>
      <c r="I1500" s="11" t="s">
        <v>5504</v>
      </c>
      <c r="J1500" s="12">
        <v>0.49740000000000001</v>
      </c>
      <c r="K1500" s="13">
        <v>1</v>
      </c>
      <c r="L1500" s="14">
        <v>382</v>
      </c>
      <c r="M1500" s="10">
        <v>190</v>
      </c>
      <c r="N1500" s="10">
        <v>42212</v>
      </c>
      <c r="O1500" s="10">
        <v>14900</v>
      </c>
      <c r="P1500" s="10">
        <v>57112</v>
      </c>
    </row>
    <row r="1501" spans="1:16" ht="27" customHeight="1" x14ac:dyDescent="0.2">
      <c r="A1501" s="9" t="s">
        <v>5119</v>
      </c>
      <c r="B1501" s="10" t="s">
        <v>5412</v>
      </c>
      <c r="C1501" s="11" t="s">
        <v>5505</v>
      </c>
      <c r="D1501" s="11" t="s">
        <v>5506</v>
      </c>
      <c r="E1501" s="11" t="s">
        <v>26</v>
      </c>
      <c r="F1501" s="11" t="s">
        <v>5507</v>
      </c>
      <c r="G1501" s="11" t="s">
        <v>28</v>
      </c>
      <c r="H1501" s="11" t="s">
        <v>5507</v>
      </c>
      <c r="I1501" s="11" t="s">
        <v>5508</v>
      </c>
      <c r="J1501" s="12">
        <v>0.95050000000000001</v>
      </c>
      <c r="K1501" s="13">
        <v>1</v>
      </c>
      <c r="L1501" s="14">
        <v>444</v>
      </c>
      <c r="M1501" s="10">
        <v>422</v>
      </c>
      <c r="N1501" s="10">
        <v>49063</v>
      </c>
      <c r="O1501" s="10">
        <v>33093</v>
      </c>
      <c r="P1501" s="10">
        <v>82156</v>
      </c>
    </row>
    <row r="1502" spans="1:16" ht="27" customHeight="1" x14ac:dyDescent="0.2">
      <c r="A1502" s="9" t="s">
        <v>5119</v>
      </c>
      <c r="B1502" s="10" t="s">
        <v>5412</v>
      </c>
      <c r="C1502" s="11" t="s">
        <v>5509</v>
      </c>
      <c r="D1502" s="11" t="s">
        <v>5510</v>
      </c>
      <c r="E1502" s="11" t="s">
        <v>26</v>
      </c>
      <c r="F1502" s="11" t="s">
        <v>5511</v>
      </c>
      <c r="G1502" s="11" t="s">
        <v>28</v>
      </c>
      <c r="H1502" s="11" t="s">
        <v>5511</v>
      </c>
      <c r="I1502" s="11" t="s">
        <v>5512</v>
      </c>
      <c r="J1502" s="12">
        <v>0.72440000000000004</v>
      </c>
      <c r="K1502" s="13">
        <v>1</v>
      </c>
      <c r="L1502" s="14">
        <v>1415</v>
      </c>
      <c r="M1502" s="10">
        <v>1025</v>
      </c>
      <c r="N1502" s="10">
        <v>156360</v>
      </c>
      <c r="O1502" s="10">
        <v>80379</v>
      </c>
      <c r="P1502" s="10">
        <v>236739</v>
      </c>
    </row>
    <row r="1503" spans="1:16" ht="27" customHeight="1" x14ac:dyDescent="0.2">
      <c r="A1503" s="9" t="s">
        <v>5119</v>
      </c>
      <c r="B1503" s="10" t="s">
        <v>5412</v>
      </c>
      <c r="C1503" s="11" t="s">
        <v>5513</v>
      </c>
      <c r="D1503" s="11" t="s">
        <v>5514</v>
      </c>
      <c r="E1503" s="11" t="s">
        <v>26</v>
      </c>
      <c r="F1503" s="11" t="s">
        <v>5515</v>
      </c>
      <c r="G1503" s="11" t="s">
        <v>28</v>
      </c>
      <c r="H1503" s="11" t="s">
        <v>5515</v>
      </c>
      <c r="I1503" s="11" t="s">
        <v>5516</v>
      </c>
      <c r="J1503" s="12">
        <v>0.90820000000000001</v>
      </c>
      <c r="K1503" s="13">
        <v>1</v>
      </c>
      <c r="L1503" s="14">
        <v>839</v>
      </c>
      <c r="M1503" s="10">
        <v>762</v>
      </c>
      <c r="N1503" s="10">
        <v>92711</v>
      </c>
      <c r="O1503" s="10">
        <v>59755</v>
      </c>
      <c r="P1503" s="10">
        <v>152466</v>
      </c>
    </row>
    <row r="1504" spans="1:16" ht="27" customHeight="1" x14ac:dyDescent="0.2">
      <c r="A1504" s="9" t="s">
        <v>5119</v>
      </c>
      <c r="B1504" s="10" t="s">
        <v>5412</v>
      </c>
      <c r="C1504" s="11" t="s">
        <v>5517</v>
      </c>
      <c r="D1504" s="11" t="s">
        <v>5518</v>
      </c>
      <c r="E1504" s="11" t="s">
        <v>26</v>
      </c>
      <c r="F1504" s="11" t="s">
        <v>5519</v>
      </c>
      <c r="G1504" s="11" t="s">
        <v>28</v>
      </c>
      <c r="H1504" s="11" t="s">
        <v>5122</v>
      </c>
      <c r="I1504" s="11" t="s">
        <v>5123</v>
      </c>
      <c r="J1504" s="12">
        <v>1</v>
      </c>
      <c r="K1504" s="13">
        <v>1</v>
      </c>
      <c r="L1504" s="14">
        <v>521</v>
      </c>
      <c r="M1504" s="10">
        <v>188</v>
      </c>
      <c r="N1504" s="10">
        <v>57571</v>
      </c>
      <c r="O1504" s="10">
        <v>14743</v>
      </c>
      <c r="P1504" s="10">
        <v>72314</v>
      </c>
    </row>
    <row r="1505" spans="1:16" ht="27" customHeight="1" x14ac:dyDescent="0.2">
      <c r="A1505" s="9" t="s">
        <v>5119</v>
      </c>
      <c r="B1505" s="10" t="s">
        <v>5412</v>
      </c>
      <c r="C1505" s="11" t="s">
        <v>5520</v>
      </c>
      <c r="D1505" s="11" t="s">
        <v>5521</v>
      </c>
      <c r="E1505" s="11" t="s">
        <v>26</v>
      </c>
      <c r="F1505" s="11" t="s">
        <v>5522</v>
      </c>
      <c r="G1505" s="11" t="s">
        <v>28</v>
      </c>
      <c r="H1505" s="11" t="s">
        <v>5522</v>
      </c>
      <c r="I1505" s="11" t="s">
        <v>5523</v>
      </c>
      <c r="J1505" s="12">
        <v>0.62780000000000002</v>
      </c>
      <c r="K1505" s="13">
        <v>1</v>
      </c>
      <c r="L1505" s="14">
        <v>309</v>
      </c>
      <c r="M1505" s="10">
        <v>194</v>
      </c>
      <c r="N1505" s="10">
        <v>34145</v>
      </c>
      <c r="O1505" s="10">
        <v>15213</v>
      </c>
      <c r="P1505" s="10">
        <v>49358</v>
      </c>
    </row>
    <row r="1506" spans="1:16" ht="27" customHeight="1" x14ac:dyDescent="0.2">
      <c r="A1506" s="9" t="s">
        <v>5119</v>
      </c>
      <c r="B1506" s="10" t="s">
        <v>5412</v>
      </c>
      <c r="C1506" s="11" t="s">
        <v>5524</v>
      </c>
      <c r="D1506" s="11" t="s">
        <v>5525</v>
      </c>
      <c r="E1506" s="11" t="s">
        <v>26</v>
      </c>
      <c r="F1506" s="11" t="s">
        <v>5526</v>
      </c>
      <c r="G1506" s="11" t="s">
        <v>28</v>
      </c>
      <c r="H1506" s="11" t="s">
        <v>5526</v>
      </c>
      <c r="I1506" s="11" t="s">
        <v>5527</v>
      </c>
      <c r="J1506" s="12">
        <v>0.7752</v>
      </c>
      <c r="K1506" s="13">
        <v>1</v>
      </c>
      <c r="L1506" s="14">
        <v>467</v>
      </c>
      <c r="M1506" s="10">
        <v>362</v>
      </c>
      <c r="N1506" s="10">
        <v>51604</v>
      </c>
      <c r="O1506" s="10">
        <v>28388</v>
      </c>
      <c r="P1506" s="10">
        <v>79992</v>
      </c>
    </row>
    <row r="1507" spans="1:16" ht="27" customHeight="1" x14ac:dyDescent="0.2">
      <c r="A1507" s="9" t="s">
        <v>5119</v>
      </c>
      <c r="B1507" s="10" t="s">
        <v>5412</v>
      </c>
      <c r="C1507" s="11" t="s">
        <v>5528</v>
      </c>
      <c r="D1507" s="11" t="s">
        <v>5529</v>
      </c>
      <c r="E1507" s="11" t="s">
        <v>26</v>
      </c>
      <c r="F1507" s="11" t="s">
        <v>5530</v>
      </c>
      <c r="G1507" s="11" t="s">
        <v>28</v>
      </c>
      <c r="H1507" s="11" t="s">
        <v>5530</v>
      </c>
      <c r="I1507" s="11" t="s">
        <v>5531</v>
      </c>
      <c r="J1507" s="12">
        <v>0.84250000000000003</v>
      </c>
      <c r="K1507" s="13">
        <v>1</v>
      </c>
      <c r="L1507" s="14">
        <v>603</v>
      </c>
      <c r="M1507" s="10">
        <v>508</v>
      </c>
      <c r="N1507" s="10">
        <v>66632</v>
      </c>
      <c r="O1507" s="10">
        <v>39837</v>
      </c>
      <c r="P1507" s="10">
        <v>106469</v>
      </c>
    </row>
    <row r="1508" spans="1:16" ht="27" customHeight="1" x14ac:dyDescent="0.2">
      <c r="A1508" s="9" t="s">
        <v>5119</v>
      </c>
      <c r="B1508" s="10" t="s">
        <v>5412</v>
      </c>
      <c r="C1508" s="11" t="s">
        <v>5532</v>
      </c>
      <c r="D1508" s="11" t="s">
        <v>5533</v>
      </c>
      <c r="E1508" s="11" t="s">
        <v>26</v>
      </c>
      <c r="F1508" s="11" t="s">
        <v>5534</v>
      </c>
      <c r="G1508" s="11" t="s">
        <v>28</v>
      </c>
      <c r="H1508" s="11" t="s">
        <v>5534</v>
      </c>
      <c r="I1508" s="11" t="s">
        <v>5535</v>
      </c>
      <c r="J1508" s="12">
        <v>0.8841</v>
      </c>
      <c r="K1508" s="13">
        <v>1</v>
      </c>
      <c r="L1508" s="14">
        <v>440</v>
      </c>
      <c r="M1508" s="10">
        <v>389</v>
      </c>
      <c r="N1508" s="10">
        <v>48621</v>
      </c>
      <c r="O1508" s="10">
        <v>30505</v>
      </c>
      <c r="P1508" s="10">
        <v>79126</v>
      </c>
    </row>
    <row r="1509" spans="1:16" ht="27" customHeight="1" x14ac:dyDescent="0.2">
      <c r="A1509" s="9" t="s">
        <v>5119</v>
      </c>
      <c r="B1509" s="10" t="s">
        <v>5412</v>
      </c>
      <c r="C1509" s="11" t="s">
        <v>5536</v>
      </c>
      <c r="D1509" s="11" t="s">
        <v>5537</v>
      </c>
      <c r="E1509" s="11" t="s">
        <v>26</v>
      </c>
      <c r="F1509" s="11" t="s">
        <v>5538</v>
      </c>
      <c r="G1509" s="11" t="s">
        <v>28</v>
      </c>
      <c r="H1509" s="11" t="s">
        <v>5538</v>
      </c>
      <c r="I1509" s="11" t="s">
        <v>5539</v>
      </c>
      <c r="J1509" s="12">
        <v>0.96540000000000004</v>
      </c>
      <c r="K1509" s="13">
        <v>1</v>
      </c>
      <c r="L1509" s="14">
        <v>347</v>
      </c>
      <c r="M1509" s="10">
        <v>335</v>
      </c>
      <c r="N1509" s="10">
        <v>38344</v>
      </c>
      <c r="O1509" s="10">
        <v>26270</v>
      </c>
      <c r="P1509" s="10">
        <v>64614</v>
      </c>
    </row>
    <row r="1510" spans="1:16" ht="27" customHeight="1" x14ac:dyDescent="0.2">
      <c r="A1510" s="9" t="s">
        <v>5119</v>
      </c>
      <c r="B1510" s="10" t="s">
        <v>5412</v>
      </c>
      <c r="C1510" s="11" t="s">
        <v>5540</v>
      </c>
      <c r="D1510" s="11" t="s">
        <v>5541</v>
      </c>
      <c r="E1510" s="11" t="s">
        <v>26</v>
      </c>
      <c r="F1510" s="11" t="s">
        <v>5542</v>
      </c>
      <c r="G1510" s="11" t="s">
        <v>28</v>
      </c>
      <c r="H1510" s="11" t="s">
        <v>5542</v>
      </c>
      <c r="I1510" s="11" t="s">
        <v>5543</v>
      </c>
      <c r="J1510" s="12">
        <v>0.50719999999999998</v>
      </c>
      <c r="K1510" s="13">
        <v>1</v>
      </c>
      <c r="L1510" s="14">
        <v>1818</v>
      </c>
      <c r="M1510" s="10">
        <v>922</v>
      </c>
      <c r="N1510" s="10">
        <v>200892</v>
      </c>
      <c r="O1510" s="10">
        <v>72302</v>
      </c>
      <c r="P1510" s="10">
        <v>273194</v>
      </c>
    </row>
    <row r="1511" spans="1:16" ht="27" customHeight="1" x14ac:dyDescent="0.2">
      <c r="A1511" s="9" t="s">
        <v>5119</v>
      </c>
      <c r="B1511" s="10" t="s">
        <v>5412</v>
      </c>
      <c r="C1511" s="11" t="s">
        <v>5544</v>
      </c>
      <c r="D1511" s="11" t="s">
        <v>5545</v>
      </c>
      <c r="E1511" s="11" t="s">
        <v>26</v>
      </c>
      <c r="F1511" s="11" t="s">
        <v>5546</v>
      </c>
      <c r="G1511" s="11" t="s">
        <v>28</v>
      </c>
      <c r="H1511" s="11" t="s">
        <v>5546</v>
      </c>
      <c r="I1511" s="11" t="s">
        <v>5547</v>
      </c>
      <c r="J1511" s="12">
        <v>0.76</v>
      </c>
      <c r="K1511" s="13">
        <v>1</v>
      </c>
      <c r="L1511" s="14">
        <v>125</v>
      </c>
      <c r="M1511" s="10">
        <v>95</v>
      </c>
      <c r="N1511" s="10">
        <v>13813</v>
      </c>
      <c r="O1511" s="10">
        <v>7450</v>
      </c>
      <c r="P1511" s="10">
        <v>21263</v>
      </c>
    </row>
    <row r="1512" spans="1:16" ht="27" customHeight="1" x14ac:dyDescent="0.2">
      <c r="A1512" s="9" t="s">
        <v>5119</v>
      </c>
      <c r="B1512" s="10" t="s">
        <v>5412</v>
      </c>
      <c r="C1512" s="11" t="s">
        <v>5548</v>
      </c>
      <c r="D1512" s="11" t="s">
        <v>5549</v>
      </c>
      <c r="E1512" s="11" t="s">
        <v>26</v>
      </c>
      <c r="F1512" s="11" t="s">
        <v>5550</v>
      </c>
      <c r="G1512" s="11" t="s">
        <v>28</v>
      </c>
      <c r="H1512" s="11" t="s">
        <v>5550</v>
      </c>
      <c r="I1512" s="11" t="s">
        <v>5551</v>
      </c>
      <c r="J1512" s="12">
        <v>0.30180000000000001</v>
      </c>
      <c r="K1512" s="13">
        <v>1</v>
      </c>
      <c r="L1512" s="14">
        <v>222</v>
      </c>
      <c r="M1512" s="10">
        <v>67</v>
      </c>
      <c r="N1512" s="10">
        <v>24531</v>
      </c>
      <c r="O1512" s="10">
        <v>5254</v>
      </c>
      <c r="P1512" s="10">
        <v>29785</v>
      </c>
    </row>
    <row r="1513" spans="1:16" ht="27" customHeight="1" x14ac:dyDescent="0.2">
      <c r="A1513" s="9" t="s">
        <v>5119</v>
      </c>
      <c r="B1513" s="10" t="s">
        <v>5412</v>
      </c>
      <c r="C1513" s="11" t="s">
        <v>5552</v>
      </c>
      <c r="D1513" s="11" t="s">
        <v>5553</v>
      </c>
      <c r="E1513" s="11" t="s">
        <v>26</v>
      </c>
      <c r="F1513" s="11" t="s">
        <v>5554</v>
      </c>
      <c r="G1513" s="11" t="s">
        <v>28</v>
      </c>
      <c r="H1513" s="11" t="s">
        <v>5554</v>
      </c>
      <c r="I1513" s="11" t="s">
        <v>5555</v>
      </c>
      <c r="J1513" s="12">
        <v>0.89900000000000002</v>
      </c>
      <c r="K1513" s="13">
        <v>1</v>
      </c>
      <c r="L1513" s="14">
        <v>99</v>
      </c>
      <c r="M1513" s="10">
        <v>89</v>
      </c>
      <c r="N1513" s="10">
        <v>10940</v>
      </c>
      <c r="O1513" s="10">
        <v>6979</v>
      </c>
      <c r="P1513" s="10">
        <v>17919</v>
      </c>
    </row>
    <row r="1514" spans="1:16" ht="27" customHeight="1" x14ac:dyDescent="0.2">
      <c r="A1514" s="9" t="s">
        <v>5119</v>
      </c>
      <c r="B1514" s="10" t="s">
        <v>5412</v>
      </c>
      <c r="C1514" s="11" t="s">
        <v>5556</v>
      </c>
      <c r="D1514" s="11" t="s">
        <v>5557</v>
      </c>
      <c r="E1514" s="11" t="s">
        <v>26</v>
      </c>
      <c r="F1514" s="11" t="s">
        <v>5558</v>
      </c>
      <c r="G1514" s="11" t="s">
        <v>28</v>
      </c>
      <c r="H1514" s="11" t="s">
        <v>5558</v>
      </c>
      <c r="I1514" s="11" t="s">
        <v>5559</v>
      </c>
      <c r="J1514" s="12">
        <v>0.40960000000000002</v>
      </c>
      <c r="K1514" s="13">
        <v>1</v>
      </c>
      <c r="L1514" s="14">
        <v>376</v>
      </c>
      <c r="M1514" s="10">
        <v>154</v>
      </c>
      <c r="N1514" s="10">
        <v>41549</v>
      </c>
      <c r="O1514" s="10">
        <v>12077</v>
      </c>
      <c r="P1514" s="10">
        <v>53626</v>
      </c>
    </row>
    <row r="1515" spans="1:16" ht="27" customHeight="1" x14ac:dyDescent="0.2">
      <c r="A1515" s="9" t="s">
        <v>5119</v>
      </c>
      <c r="B1515" s="10" t="s">
        <v>5412</v>
      </c>
      <c r="C1515" s="11" t="s">
        <v>5560</v>
      </c>
      <c r="D1515" s="11" t="s">
        <v>5561</v>
      </c>
      <c r="E1515" s="11" t="s">
        <v>26</v>
      </c>
      <c r="F1515" s="11" t="s">
        <v>5562</v>
      </c>
      <c r="G1515" s="11" t="s">
        <v>28</v>
      </c>
      <c r="H1515" s="11" t="s">
        <v>5562</v>
      </c>
      <c r="I1515" s="11" t="s">
        <v>5563</v>
      </c>
      <c r="J1515" s="12">
        <v>0.50229999999999997</v>
      </c>
      <c r="K1515" s="13">
        <v>1</v>
      </c>
      <c r="L1515" s="14">
        <v>428</v>
      </c>
      <c r="M1515" s="10">
        <v>215</v>
      </c>
      <c r="N1515" s="10">
        <v>47295</v>
      </c>
      <c r="O1515" s="10">
        <v>16860</v>
      </c>
      <c r="P1515" s="10">
        <v>64155</v>
      </c>
    </row>
    <row r="1516" spans="1:16" ht="27" customHeight="1" x14ac:dyDescent="0.2">
      <c r="A1516" s="9" t="s">
        <v>5119</v>
      </c>
      <c r="B1516" s="10" t="s">
        <v>5412</v>
      </c>
      <c r="C1516" s="11" t="s">
        <v>5564</v>
      </c>
      <c r="D1516" s="11" t="s">
        <v>5565</v>
      </c>
      <c r="E1516" s="11" t="s">
        <v>26</v>
      </c>
      <c r="F1516" s="11" t="s">
        <v>5566</v>
      </c>
      <c r="G1516" s="11" t="s">
        <v>28</v>
      </c>
      <c r="H1516" s="11" t="s">
        <v>5566</v>
      </c>
      <c r="I1516" s="11" t="s">
        <v>5567</v>
      </c>
      <c r="J1516" s="12">
        <v>0.96340000000000003</v>
      </c>
      <c r="K1516" s="13">
        <v>1</v>
      </c>
      <c r="L1516" s="14">
        <v>246</v>
      </c>
      <c r="M1516" s="10">
        <v>237</v>
      </c>
      <c r="N1516" s="10">
        <v>27183</v>
      </c>
      <c r="O1516" s="10">
        <v>18585</v>
      </c>
      <c r="P1516" s="10">
        <v>45768</v>
      </c>
    </row>
    <row r="1517" spans="1:16" ht="27" customHeight="1" x14ac:dyDescent="0.2">
      <c r="A1517" s="9" t="s">
        <v>5119</v>
      </c>
      <c r="B1517" s="10" t="s">
        <v>5568</v>
      </c>
      <c r="C1517" s="11" t="s">
        <v>18</v>
      </c>
      <c r="D1517" s="11" t="s">
        <v>19</v>
      </c>
      <c r="E1517" s="11" t="s">
        <v>19</v>
      </c>
      <c r="F1517" s="11" t="s">
        <v>5569</v>
      </c>
      <c r="G1517" s="11" t="s">
        <v>83</v>
      </c>
      <c r="H1517" s="11" t="s">
        <v>5122</v>
      </c>
      <c r="I1517" s="11" t="s">
        <v>5123</v>
      </c>
      <c r="J1517" s="12">
        <v>1</v>
      </c>
      <c r="K1517" s="13">
        <v>11</v>
      </c>
      <c r="L1517" s="14">
        <v>12593</v>
      </c>
      <c r="M1517" s="10">
        <v>2046</v>
      </c>
      <c r="N1517" s="10">
        <v>1391546</v>
      </c>
      <c r="O1517" s="10">
        <v>160445</v>
      </c>
      <c r="P1517" s="10">
        <v>1551991</v>
      </c>
    </row>
    <row r="1518" spans="1:16" ht="27" customHeight="1" x14ac:dyDescent="0.2">
      <c r="A1518" s="9" t="s">
        <v>5119</v>
      </c>
      <c r="B1518" s="10" t="s">
        <v>5570</v>
      </c>
      <c r="C1518" s="11" t="s">
        <v>18</v>
      </c>
      <c r="D1518" s="11" t="s">
        <v>19</v>
      </c>
      <c r="E1518" s="11" t="s">
        <v>19</v>
      </c>
      <c r="F1518" s="11" t="s">
        <v>5571</v>
      </c>
      <c r="G1518" s="11" t="s">
        <v>83</v>
      </c>
      <c r="H1518" s="11" t="s">
        <v>5571</v>
      </c>
      <c r="I1518" s="11" t="s">
        <v>5572</v>
      </c>
      <c r="J1518" s="12">
        <v>0.23250000000000001</v>
      </c>
      <c r="K1518" s="13">
        <v>2</v>
      </c>
      <c r="L1518" s="14">
        <v>488</v>
      </c>
      <c r="M1518" s="10">
        <v>113</v>
      </c>
      <c r="N1518" s="10">
        <v>53925</v>
      </c>
      <c r="O1518" s="10">
        <v>8861</v>
      </c>
      <c r="P1518" s="10">
        <v>62786</v>
      </c>
    </row>
    <row r="1519" spans="1:16" ht="27" customHeight="1" x14ac:dyDescent="0.2">
      <c r="A1519" s="9" t="s">
        <v>5119</v>
      </c>
      <c r="B1519" s="10" t="s">
        <v>5573</v>
      </c>
      <c r="C1519" s="11" t="s">
        <v>18</v>
      </c>
      <c r="D1519" s="11" t="s">
        <v>19</v>
      </c>
      <c r="E1519" s="11" t="s">
        <v>19</v>
      </c>
      <c r="F1519" s="11" t="s">
        <v>5574</v>
      </c>
      <c r="G1519" s="11" t="s">
        <v>83</v>
      </c>
      <c r="H1519" s="11" t="s">
        <v>5575</v>
      </c>
      <c r="I1519" s="11" t="s">
        <v>5576</v>
      </c>
      <c r="J1519" s="12">
        <v>0.55900000000000005</v>
      </c>
      <c r="K1519" s="13">
        <v>12</v>
      </c>
      <c r="L1519" s="14">
        <v>6315</v>
      </c>
      <c r="M1519" s="10">
        <v>2421</v>
      </c>
      <c r="N1519" s="10">
        <v>697818</v>
      </c>
      <c r="O1519" s="10">
        <v>189852</v>
      </c>
      <c r="P1519" s="10">
        <v>887670</v>
      </c>
    </row>
    <row r="1520" spans="1:16" ht="27" customHeight="1" x14ac:dyDescent="0.2">
      <c r="A1520" s="9" t="s">
        <v>5119</v>
      </c>
      <c r="B1520" s="10" t="s">
        <v>5577</v>
      </c>
      <c r="C1520" s="11" t="s">
        <v>18</v>
      </c>
      <c r="D1520" s="11" t="s">
        <v>19</v>
      </c>
      <c r="E1520" s="11" t="s">
        <v>19</v>
      </c>
      <c r="F1520" s="11" t="s">
        <v>5578</v>
      </c>
      <c r="G1520" s="11" t="s">
        <v>83</v>
      </c>
      <c r="H1520" s="11" t="s">
        <v>5579</v>
      </c>
      <c r="I1520" s="11" t="s">
        <v>5580</v>
      </c>
      <c r="J1520" s="12">
        <v>0.67130000000000001</v>
      </c>
      <c r="K1520" s="13">
        <v>8</v>
      </c>
      <c r="L1520" s="14">
        <v>4514</v>
      </c>
      <c r="M1520" s="10">
        <v>2445</v>
      </c>
      <c r="N1520" s="10">
        <v>498804</v>
      </c>
      <c r="O1520" s="10">
        <v>191736</v>
      </c>
      <c r="P1520" s="10">
        <v>690540</v>
      </c>
    </row>
    <row r="1521" spans="1:16" ht="27" customHeight="1" x14ac:dyDescent="0.2">
      <c r="A1521" s="9" t="s">
        <v>5119</v>
      </c>
      <c r="B1521" s="10" t="s">
        <v>5581</v>
      </c>
      <c r="C1521" s="11" t="s">
        <v>18</v>
      </c>
      <c r="D1521" s="11" t="s">
        <v>19</v>
      </c>
      <c r="E1521" s="11" t="s">
        <v>19</v>
      </c>
      <c r="F1521" s="11" t="s">
        <v>5582</v>
      </c>
      <c r="G1521" s="11" t="s">
        <v>83</v>
      </c>
      <c r="H1521" s="11" t="s">
        <v>5583</v>
      </c>
      <c r="I1521" s="11" t="s">
        <v>5584</v>
      </c>
      <c r="J1521" s="12">
        <v>0.25979999999999998</v>
      </c>
      <c r="K1521" s="13">
        <v>8</v>
      </c>
      <c r="L1521" s="14">
        <v>2752</v>
      </c>
      <c r="M1521" s="10">
        <v>351</v>
      </c>
      <c r="N1521" s="10">
        <v>304100</v>
      </c>
      <c r="O1521" s="10">
        <v>27525</v>
      </c>
      <c r="P1521" s="10">
        <v>331625</v>
      </c>
    </row>
    <row r="1522" spans="1:16" ht="27" customHeight="1" x14ac:dyDescent="0.2">
      <c r="A1522" s="9" t="s">
        <v>5119</v>
      </c>
      <c r="B1522" s="10" t="s">
        <v>5585</v>
      </c>
      <c r="C1522" s="11" t="s">
        <v>18</v>
      </c>
      <c r="D1522" s="11" t="s">
        <v>19</v>
      </c>
      <c r="E1522" s="11" t="s">
        <v>19</v>
      </c>
      <c r="F1522" s="11" t="s">
        <v>5586</v>
      </c>
      <c r="G1522" s="11" t="s">
        <v>83</v>
      </c>
      <c r="H1522" s="11" t="s">
        <v>5587</v>
      </c>
      <c r="I1522" s="11" t="s">
        <v>5588</v>
      </c>
      <c r="J1522" s="12">
        <v>0.75449999999999995</v>
      </c>
      <c r="K1522" s="13">
        <v>12</v>
      </c>
      <c r="L1522" s="14">
        <v>4349</v>
      </c>
      <c r="M1522" s="10">
        <v>3019</v>
      </c>
      <c r="N1522" s="10">
        <v>480572</v>
      </c>
      <c r="O1522" s="10">
        <v>236747</v>
      </c>
      <c r="P1522" s="10">
        <v>717319</v>
      </c>
    </row>
    <row r="1523" spans="1:16" ht="27" customHeight="1" x14ac:dyDescent="0.2">
      <c r="A1523" s="9" t="s">
        <v>5119</v>
      </c>
      <c r="B1523" s="10" t="s">
        <v>5585</v>
      </c>
      <c r="C1523" s="11" t="s">
        <v>5589</v>
      </c>
      <c r="D1523" s="11" t="s">
        <v>5590</v>
      </c>
      <c r="E1523" s="11" t="s">
        <v>57</v>
      </c>
      <c r="F1523" s="11" t="s">
        <v>5591</v>
      </c>
      <c r="G1523" s="11" t="s">
        <v>28</v>
      </c>
      <c r="H1523" s="11" t="s">
        <v>5591</v>
      </c>
      <c r="I1523" s="11" t="s">
        <v>5592</v>
      </c>
      <c r="J1523" s="12">
        <v>0.56089999999999995</v>
      </c>
      <c r="K1523" s="13">
        <v>1</v>
      </c>
      <c r="L1523" s="14">
        <v>792</v>
      </c>
      <c r="M1523" s="10">
        <v>444</v>
      </c>
      <c r="N1523" s="10">
        <v>87517</v>
      </c>
      <c r="O1523" s="10">
        <v>34818</v>
      </c>
      <c r="P1523" s="10">
        <v>122335</v>
      </c>
    </row>
    <row r="1524" spans="1:16" ht="27" customHeight="1" x14ac:dyDescent="0.2">
      <c r="A1524" s="9" t="s">
        <v>5119</v>
      </c>
      <c r="B1524" s="10" t="s">
        <v>5585</v>
      </c>
      <c r="C1524" s="11" t="s">
        <v>5593</v>
      </c>
      <c r="D1524" s="11" t="s">
        <v>5594</v>
      </c>
      <c r="E1524" s="11" t="s">
        <v>57</v>
      </c>
      <c r="F1524" s="11" t="s">
        <v>5595</v>
      </c>
      <c r="G1524" s="11" t="s">
        <v>28</v>
      </c>
      <c r="H1524" s="11" t="s">
        <v>5595</v>
      </c>
      <c r="I1524" s="11" t="s">
        <v>5596</v>
      </c>
      <c r="J1524" s="12">
        <v>0.52990000000000004</v>
      </c>
      <c r="K1524" s="13">
        <v>1</v>
      </c>
      <c r="L1524" s="14">
        <v>1036</v>
      </c>
      <c r="M1524" s="10">
        <v>549</v>
      </c>
      <c r="N1524" s="10">
        <v>114480</v>
      </c>
      <c r="O1524" s="10">
        <v>43052</v>
      </c>
      <c r="P1524" s="10">
        <v>157532</v>
      </c>
    </row>
    <row r="1525" spans="1:16" ht="27" customHeight="1" x14ac:dyDescent="0.2">
      <c r="A1525" s="9" t="s">
        <v>5119</v>
      </c>
      <c r="B1525" s="10" t="s">
        <v>5597</v>
      </c>
      <c r="C1525" s="11" t="s">
        <v>18</v>
      </c>
      <c r="D1525" s="11" t="s">
        <v>19</v>
      </c>
      <c r="E1525" s="11" t="s">
        <v>19</v>
      </c>
      <c r="F1525" s="11" t="s">
        <v>5598</v>
      </c>
      <c r="G1525" s="11" t="s">
        <v>83</v>
      </c>
      <c r="H1525" s="11" t="s">
        <v>5598</v>
      </c>
      <c r="I1525" s="11" t="s">
        <v>5599</v>
      </c>
      <c r="J1525" s="12">
        <v>0.43180000000000002</v>
      </c>
      <c r="K1525" s="13">
        <v>2</v>
      </c>
      <c r="L1525" s="14">
        <v>44</v>
      </c>
      <c r="M1525" s="10">
        <v>19</v>
      </c>
      <c r="N1525" s="10">
        <v>4862</v>
      </c>
      <c r="O1525" s="10">
        <v>1490</v>
      </c>
      <c r="P1525" s="10">
        <v>6352</v>
      </c>
    </row>
    <row r="1526" spans="1:16" ht="27" customHeight="1" x14ac:dyDescent="0.2">
      <c r="A1526" s="9" t="s">
        <v>5119</v>
      </c>
      <c r="B1526" s="10" t="s">
        <v>5597</v>
      </c>
      <c r="C1526" s="11" t="s">
        <v>5600</v>
      </c>
      <c r="D1526" s="11" t="s">
        <v>5601</v>
      </c>
      <c r="E1526" s="11" t="s">
        <v>26</v>
      </c>
      <c r="F1526" s="11" t="s">
        <v>5602</v>
      </c>
      <c r="G1526" s="11" t="s">
        <v>28</v>
      </c>
      <c r="H1526" s="11" t="s">
        <v>5602</v>
      </c>
      <c r="I1526" s="11" t="s">
        <v>5603</v>
      </c>
      <c r="J1526" s="12">
        <v>0.65029999999999999</v>
      </c>
      <c r="K1526" s="13">
        <v>1</v>
      </c>
      <c r="L1526" s="14">
        <v>143</v>
      </c>
      <c r="M1526" s="10">
        <v>93</v>
      </c>
      <c r="N1526" s="10">
        <v>15802</v>
      </c>
      <c r="O1526" s="10">
        <v>7293</v>
      </c>
      <c r="P1526" s="10">
        <v>23095</v>
      </c>
    </row>
    <row r="1527" spans="1:16" ht="27" customHeight="1" x14ac:dyDescent="0.2">
      <c r="A1527" s="9" t="s">
        <v>5119</v>
      </c>
      <c r="B1527" s="10" t="s">
        <v>5597</v>
      </c>
      <c r="C1527" s="11" t="s">
        <v>5604</v>
      </c>
      <c r="D1527" s="11" t="s">
        <v>5605</v>
      </c>
      <c r="E1527" s="11" t="s">
        <v>26</v>
      </c>
      <c r="F1527" s="11" t="s">
        <v>5606</v>
      </c>
      <c r="G1527" s="11" t="s">
        <v>28</v>
      </c>
      <c r="H1527" s="11" t="s">
        <v>5606</v>
      </c>
      <c r="I1527" s="11" t="s">
        <v>5607</v>
      </c>
      <c r="J1527" s="12">
        <v>0.63749999999999996</v>
      </c>
      <c r="K1527" s="13">
        <v>1</v>
      </c>
      <c r="L1527" s="14">
        <v>3294</v>
      </c>
      <c r="M1527" s="10">
        <v>2100</v>
      </c>
      <c r="N1527" s="10">
        <v>363992</v>
      </c>
      <c r="O1527" s="10">
        <v>164680</v>
      </c>
      <c r="P1527" s="10">
        <v>528672</v>
      </c>
    </row>
    <row r="1528" spans="1:16" ht="27" customHeight="1" x14ac:dyDescent="0.2">
      <c r="A1528" s="9" t="s">
        <v>5119</v>
      </c>
      <c r="B1528" s="10" t="s">
        <v>5608</v>
      </c>
      <c r="C1528" s="11" t="s">
        <v>18</v>
      </c>
      <c r="D1528" s="11" t="s">
        <v>19</v>
      </c>
      <c r="E1528" s="11" t="s">
        <v>19</v>
      </c>
      <c r="F1528" s="11" t="s">
        <v>5609</v>
      </c>
      <c r="G1528" s="11" t="s">
        <v>83</v>
      </c>
      <c r="H1528" s="11" t="s">
        <v>5122</v>
      </c>
      <c r="I1528" s="11" t="s">
        <v>5123</v>
      </c>
      <c r="J1528" s="12">
        <v>1</v>
      </c>
      <c r="K1528" s="13">
        <v>30</v>
      </c>
      <c r="L1528" s="14">
        <v>36040</v>
      </c>
      <c r="M1528" s="10">
        <v>21404</v>
      </c>
      <c r="N1528" s="10">
        <v>3982479</v>
      </c>
      <c r="O1528" s="10">
        <v>1678477</v>
      </c>
      <c r="P1528" s="10">
        <v>5660956</v>
      </c>
    </row>
    <row r="1529" spans="1:16" ht="27" customHeight="1" x14ac:dyDescent="0.2">
      <c r="A1529" s="9" t="s">
        <v>5119</v>
      </c>
      <c r="B1529" s="10" t="s">
        <v>5608</v>
      </c>
      <c r="C1529" s="11" t="s">
        <v>5610</v>
      </c>
      <c r="D1529" s="11" t="s">
        <v>5611</v>
      </c>
      <c r="E1529" s="11" t="s">
        <v>26</v>
      </c>
      <c r="F1529" s="11" t="s">
        <v>5612</v>
      </c>
      <c r="G1529" s="11" t="s">
        <v>28</v>
      </c>
      <c r="H1529" s="11" t="s">
        <v>5612</v>
      </c>
      <c r="I1529" s="11" t="s">
        <v>5613</v>
      </c>
      <c r="J1529" s="12">
        <v>0.66769999999999996</v>
      </c>
      <c r="K1529" s="13">
        <v>1</v>
      </c>
      <c r="L1529" s="14">
        <v>1297</v>
      </c>
      <c r="M1529" s="10">
        <v>866</v>
      </c>
      <c r="N1529" s="10">
        <v>143321</v>
      </c>
      <c r="O1529" s="10">
        <v>67911</v>
      </c>
      <c r="P1529" s="10">
        <v>211232</v>
      </c>
    </row>
    <row r="1530" spans="1:16" ht="27" customHeight="1" x14ac:dyDescent="0.2">
      <c r="A1530" s="9" t="s">
        <v>5119</v>
      </c>
      <c r="B1530" s="10" t="s">
        <v>5608</v>
      </c>
      <c r="C1530" s="11" t="s">
        <v>5614</v>
      </c>
      <c r="D1530" s="11" t="s">
        <v>5615</v>
      </c>
      <c r="E1530" s="11" t="s">
        <v>26</v>
      </c>
      <c r="F1530" s="11" t="s">
        <v>5616</v>
      </c>
      <c r="G1530" s="11" t="s">
        <v>28</v>
      </c>
      <c r="H1530" s="11" t="s">
        <v>5122</v>
      </c>
      <c r="I1530" s="11" t="s">
        <v>5123</v>
      </c>
      <c r="J1530" s="12">
        <v>1</v>
      </c>
      <c r="K1530" s="13">
        <v>1</v>
      </c>
      <c r="L1530" s="14">
        <v>236</v>
      </c>
      <c r="M1530" s="10">
        <v>209</v>
      </c>
      <c r="N1530" s="10">
        <v>26078</v>
      </c>
      <c r="O1530" s="10">
        <v>16390</v>
      </c>
      <c r="P1530" s="10">
        <v>42468</v>
      </c>
    </row>
    <row r="1531" spans="1:16" ht="27" customHeight="1" x14ac:dyDescent="0.2">
      <c r="A1531" s="9" t="s">
        <v>5119</v>
      </c>
      <c r="B1531" s="10" t="s">
        <v>5617</v>
      </c>
      <c r="C1531" s="11" t="s">
        <v>18</v>
      </c>
      <c r="D1531" s="11" t="s">
        <v>19</v>
      </c>
      <c r="E1531" s="11" t="s">
        <v>19</v>
      </c>
      <c r="F1531" s="11" t="s">
        <v>5618</v>
      </c>
      <c r="G1531" s="11" t="s">
        <v>83</v>
      </c>
      <c r="H1531" s="11" t="s">
        <v>5618</v>
      </c>
      <c r="I1531" s="11" t="s">
        <v>5619</v>
      </c>
      <c r="J1531" s="12">
        <v>0.80320000000000003</v>
      </c>
      <c r="K1531" s="13">
        <v>2</v>
      </c>
      <c r="L1531" s="14">
        <v>188</v>
      </c>
      <c r="M1531" s="10">
        <v>151</v>
      </c>
      <c r="N1531" s="10">
        <v>20774</v>
      </c>
      <c r="O1531" s="10">
        <v>11841</v>
      </c>
      <c r="P1531" s="10">
        <v>32615</v>
      </c>
    </row>
    <row r="1532" spans="1:16" ht="27" customHeight="1" x14ac:dyDescent="0.2">
      <c r="A1532" s="9" t="s">
        <v>5119</v>
      </c>
      <c r="B1532" s="10" t="s">
        <v>5620</v>
      </c>
      <c r="C1532" s="11" t="s">
        <v>18</v>
      </c>
      <c r="D1532" s="11" t="s">
        <v>19</v>
      </c>
      <c r="E1532" s="11" t="s">
        <v>19</v>
      </c>
      <c r="F1532" s="11" t="s">
        <v>5621</v>
      </c>
      <c r="G1532" s="11" t="s">
        <v>83</v>
      </c>
      <c r="H1532" s="11" t="s">
        <v>5622</v>
      </c>
      <c r="I1532" s="11" t="s">
        <v>5623</v>
      </c>
      <c r="J1532" s="12">
        <v>0.89959999999999996</v>
      </c>
      <c r="K1532" s="13">
        <v>29</v>
      </c>
      <c r="L1532" s="14">
        <v>19020</v>
      </c>
      <c r="M1532" s="10">
        <v>11949</v>
      </c>
      <c r="N1532" s="10">
        <v>2101741</v>
      </c>
      <c r="O1532" s="10">
        <v>937029</v>
      </c>
      <c r="P1532" s="10">
        <v>3038770</v>
      </c>
    </row>
    <row r="1533" spans="1:16" ht="27" customHeight="1" x14ac:dyDescent="0.2">
      <c r="A1533" s="9" t="s">
        <v>5119</v>
      </c>
      <c r="B1533" s="10" t="s">
        <v>5620</v>
      </c>
      <c r="C1533" s="11" t="s">
        <v>5624</v>
      </c>
      <c r="D1533" s="11" t="s">
        <v>5625</v>
      </c>
      <c r="E1533" s="11" t="s">
        <v>26</v>
      </c>
      <c r="F1533" s="11" t="s">
        <v>5626</v>
      </c>
      <c r="G1533" s="11" t="s">
        <v>28</v>
      </c>
      <c r="H1533" s="11" t="s">
        <v>5122</v>
      </c>
      <c r="I1533" s="11" t="s">
        <v>5123</v>
      </c>
      <c r="J1533" s="12">
        <v>1</v>
      </c>
      <c r="K1533" s="13">
        <v>1</v>
      </c>
      <c r="L1533" s="14">
        <v>743</v>
      </c>
      <c r="M1533" s="10">
        <v>672</v>
      </c>
      <c r="N1533" s="10">
        <v>82103</v>
      </c>
      <c r="O1533" s="10">
        <v>52698</v>
      </c>
      <c r="P1533" s="10">
        <v>134801</v>
      </c>
    </row>
    <row r="1534" spans="1:16" ht="27" customHeight="1" x14ac:dyDescent="0.2">
      <c r="A1534" s="9" t="s">
        <v>5119</v>
      </c>
      <c r="B1534" s="10" t="s">
        <v>5620</v>
      </c>
      <c r="C1534" s="11" t="s">
        <v>5627</v>
      </c>
      <c r="D1534" s="11" t="s">
        <v>5628</v>
      </c>
      <c r="E1534" s="11" t="s">
        <v>26</v>
      </c>
      <c r="F1534" s="11" t="s">
        <v>5629</v>
      </c>
      <c r="G1534" s="11" t="s">
        <v>28</v>
      </c>
      <c r="H1534" s="11" t="s">
        <v>5122</v>
      </c>
      <c r="I1534" s="11" t="s">
        <v>5123</v>
      </c>
      <c r="J1534" s="12">
        <v>1</v>
      </c>
      <c r="K1534" s="13">
        <v>1</v>
      </c>
      <c r="L1534" s="14">
        <v>173</v>
      </c>
      <c r="M1534" s="10">
        <v>86</v>
      </c>
      <c r="N1534" s="10">
        <v>19117</v>
      </c>
      <c r="O1534" s="10">
        <v>6744</v>
      </c>
      <c r="P1534" s="10">
        <v>25861</v>
      </c>
    </row>
    <row r="1535" spans="1:16" ht="27" customHeight="1" x14ac:dyDescent="0.2">
      <c r="A1535" s="9" t="s">
        <v>5119</v>
      </c>
      <c r="B1535" s="10" t="s">
        <v>5620</v>
      </c>
      <c r="C1535" s="11" t="s">
        <v>5630</v>
      </c>
      <c r="D1535" s="11" t="s">
        <v>5631</v>
      </c>
      <c r="E1535" s="11" t="s">
        <v>26</v>
      </c>
      <c r="F1535" s="11" t="s">
        <v>5632</v>
      </c>
      <c r="G1535" s="11" t="s">
        <v>28</v>
      </c>
      <c r="H1535" s="11" t="s">
        <v>5632</v>
      </c>
      <c r="I1535" s="11" t="s">
        <v>5633</v>
      </c>
      <c r="J1535" s="12">
        <v>0.36359999999999998</v>
      </c>
      <c r="K1535" s="13">
        <v>1</v>
      </c>
      <c r="L1535" s="14">
        <v>55</v>
      </c>
      <c r="M1535" s="10">
        <v>20</v>
      </c>
      <c r="N1535" s="10">
        <v>6078</v>
      </c>
      <c r="O1535" s="10">
        <v>1568</v>
      </c>
      <c r="P1535" s="10">
        <v>7646</v>
      </c>
    </row>
    <row r="1536" spans="1:16" ht="27" customHeight="1" x14ac:dyDescent="0.2">
      <c r="A1536" s="9" t="s">
        <v>5119</v>
      </c>
      <c r="B1536" s="10" t="s">
        <v>5620</v>
      </c>
      <c r="C1536" s="11" t="s">
        <v>5634</v>
      </c>
      <c r="D1536" s="11" t="s">
        <v>5635</v>
      </c>
      <c r="E1536" s="11" t="s">
        <v>26</v>
      </c>
      <c r="F1536" s="11" t="s">
        <v>5636</v>
      </c>
      <c r="G1536" s="11" t="s">
        <v>28</v>
      </c>
      <c r="H1536" s="11" t="s">
        <v>5636</v>
      </c>
      <c r="I1536" s="11" t="s">
        <v>5637</v>
      </c>
      <c r="J1536" s="12">
        <v>0.55530000000000002</v>
      </c>
      <c r="K1536" s="13">
        <v>1</v>
      </c>
      <c r="L1536" s="14">
        <v>398</v>
      </c>
      <c r="M1536" s="10">
        <v>221</v>
      </c>
      <c r="N1536" s="10">
        <v>43980</v>
      </c>
      <c r="O1536" s="10">
        <v>17331</v>
      </c>
      <c r="P1536" s="10">
        <v>61311</v>
      </c>
    </row>
    <row r="1537" spans="1:16" ht="27" customHeight="1" x14ac:dyDescent="0.2">
      <c r="A1537" s="9" t="s">
        <v>5119</v>
      </c>
      <c r="B1537" s="10" t="s">
        <v>5620</v>
      </c>
      <c r="C1537" s="11" t="s">
        <v>5638</v>
      </c>
      <c r="D1537" s="11" t="s">
        <v>5639</v>
      </c>
      <c r="E1537" s="11" t="s">
        <v>26</v>
      </c>
      <c r="F1537" s="11" t="s">
        <v>5640</v>
      </c>
      <c r="G1537" s="11" t="s">
        <v>28</v>
      </c>
      <c r="H1537" s="11" t="s">
        <v>5640</v>
      </c>
      <c r="I1537" s="11" t="s">
        <v>5641</v>
      </c>
      <c r="J1537" s="12">
        <v>0.57430000000000003</v>
      </c>
      <c r="K1537" s="13">
        <v>1</v>
      </c>
      <c r="L1537" s="14">
        <v>1346</v>
      </c>
      <c r="M1537" s="10">
        <v>773</v>
      </c>
      <c r="N1537" s="10">
        <v>148735</v>
      </c>
      <c r="O1537" s="10">
        <v>60618</v>
      </c>
      <c r="P1537" s="10">
        <v>209353</v>
      </c>
    </row>
    <row r="1538" spans="1:16" ht="27" customHeight="1" x14ac:dyDescent="0.2">
      <c r="A1538" s="9" t="s">
        <v>5119</v>
      </c>
      <c r="B1538" s="10" t="s">
        <v>5642</v>
      </c>
      <c r="C1538" s="11" t="s">
        <v>18</v>
      </c>
      <c r="D1538" s="11" t="s">
        <v>19</v>
      </c>
      <c r="E1538" s="11" t="s">
        <v>19</v>
      </c>
      <c r="F1538" s="11" t="s">
        <v>5643</v>
      </c>
      <c r="G1538" s="11" t="s">
        <v>83</v>
      </c>
      <c r="H1538" s="11" t="s">
        <v>1482</v>
      </c>
      <c r="I1538" s="11" t="s">
        <v>5644</v>
      </c>
      <c r="J1538" s="12">
        <v>0.48270000000000002</v>
      </c>
      <c r="K1538" s="13">
        <v>17</v>
      </c>
      <c r="L1538" s="14">
        <v>11029</v>
      </c>
      <c r="M1538" s="10">
        <v>2361</v>
      </c>
      <c r="N1538" s="10">
        <v>1218724</v>
      </c>
      <c r="O1538" s="10">
        <v>185147</v>
      </c>
      <c r="P1538" s="10">
        <v>1403871</v>
      </c>
    </row>
    <row r="1539" spans="1:16" ht="27" customHeight="1" x14ac:dyDescent="0.2">
      <c r="A1539" s="9" t="s">
        <v>5119</v>
      </c>
      <c r="B1539" s="10" t="s">
        <v>5645</v>
      </c>
      <c r="C1539" s="11" t="s">
        <v>18</v>
      </c>
      <c r="D1539" s="11" t="s">
        <v>19</v>
      </c>
      <c r="E1539" s="11" t="s">
        <v>19</v>
      </c>
      <c r="F1539" s="11" t="s">
        <v>5646</v>
      </c>
      <c r="G1539" s="11" t="s">
        <v>83</v>
      </c>
      <c r="H1539" s="11" t="s">
        <v>5647</v>
      </c>
      <c r="I1539" s="11" t="s">
        <v>5648</v>
      </c>
      <c r="J1539" s="12">
        <v>0.94989999999999997</v>
      </c>
      <c r="K1539" s="13">
        <v>24</v>
      </c>
      <c r="L1539" s="14">
        <v>15560</v>
      </c>
      <c r="M1539" s="10">
        <v>11141</v>
      </c>
      <c r="N1539" s="10">
        <v>1719406</v>
      </c>
      <c r="O1539" s="10">
        <v>873666</v>
      </c>
      <c r="P1539" s="10">
        <v>2593072</v>
      </c>
    </row>
    <row r="1540" spans="1:16" ht="27" customHeight="1" x14ac:dyDescent="0.2">
      <c r="A1540" s="9" t="s">
        <v>5119</v>
      </c>
      <c r="B1540" s="10" t="s">
        <v>5645</v>
      </c>
      <c r="C1540" s="11" t="s">
        <v>5649</v>
      </c>
      <c r="D1540" s="11" t="s">
        <v>5650</v>
      </c>
      <c r="E1540" s="11" t="s">
        <v>26</v>
      </c>
      <c r="F1540" s="11" t="s">
        <v>5651</v>
      </c>
      <c r="G1540" s="11" t="s">
        <v>28</v>
      </c>
      <c r="H1540" s="11" t="s">
        <v>5651</v>
      </c>
      <c r="I1540" s="11" t="s">
        <v>5652</v>
      </c>
      <c r="J1540" s="12">
        <v>0.28170000000000001</v>
      </c>
      <c r="K1540" s="13">
        <v>1</v>
      </c>
      <c r="L1540" s="14">
        <v>1789</v>
      </c>
      <c r="M1540" s="10">
        <v>504</v>
      </c>
      <c r="N1540" s="10">
        <v>197687</v>
      </c>
      <c r="O1540" s="10">
        <v>39523</v>
      </c>
      <c r="P1540" s="10">
        <v>237210</v>
      </c>
    </row>
    <row r="1541" spans="1:16" ht="27" customHeight="1" x14ac:dyDescent="0.2">
      <c r="A1541" s="9" t="s">
        <v>5119</v>
      </c>
      <c r="B1541" s="10" t="s">
        <v>5645</v>
      </c>
      <c r="C1541" s="11" t="s">
        <v>5653</v>
      </c>
      <c r="D1541" s="11" t="s">
        <v>5654</v>
      </c>
      <c r="E1541" s="11" t="s">
        <v>26</v>
      </c>
      <c r="F1541" s="11" t="s">
        <v>5655</v>
      </c>
      <c r="G1541" s="11" t="s">
        <v>28</v>
      </c>
      <c r="H1541" s="11" t="s">
        <v>5655</v>
      </c>
      <c r="I1541" s="11" t="s">
        <v>5656</v>
      </c>
      <c r="J1541" s="12">
        <v>0.7077</v>
      </c>
      <c r="K1541" s="13">
        <v>1</v>
      </c>
      <c r="L1541" s="14">
        <v>633</v>
      </c>
      <c r="M1541" s="10">
        <v>448</v>
      </c>
      <c r="N1541" s="10">
        <v>69948</v>
      </c>
      <c r="O1541" s="10">
        <v>35132</v>
      </c>
      <c r="P1541" s="10">
        <v>105080</v>
      </c>
    </row>
    <row r="1542" spans="1:16" ht="27" customHeight="1" x14ac:dyDescent="0.2">
      <c r="A1542" s="9" t="s">
        <v>5119</v>
      </c>
      <c r="B1542" s="10" t="s">
        <v>5657</v>
      </c>
      <c r="C1542" s="11" t="s">
        <v>18</v>
      </c>
      <c r="D1542" s="11" t="s">
        <v>19</v>
      </c>
      <c r="E1542" s="11" t="s">
        <v>19</v>
      </c>
      <c r="F1542" s="11" t="s">
        <v>5658</v>
      </c>
      <c r="G1542" s="11" t="s">
        <v>83</v>
      </c>
      <c r="H1542" s="11" t="s">
        <v>5659</v>
      </c>
      <c r="I1542" s="11" t="s">
        <v>5660</v>
      </c>
      <c r="J1542" s="12">
        <v>0.76919999999999999</v>
      </c>
      <c r="K1542" s="13">
        <v>20</v>
      </c>
      <c r="L1542" s="14">
        <v>19668</v>
      </c>
      <c r="M1542" s="10">
        <v>7346</v>
      </c>
      <c r="N1542" s="10">
        <v>2173347</v>
      </c>
      <c r="O1542" s="10">
        <v>576066</v>
      </c>
      <c r="P1542" s="10">
        <v>2749413</v>
      </c>
    </row>
    <row r="1543" spans="1:16" ht="27" customHeight="1" x14ac:dyDescent="0.2">
      <c r="A1543" s="9" t="s">
        <v>5119</v>
      </c>
      <c r="B1543" s="10" t="s">
        <v>5657</v>
      </c>
      <c r="C1543" s="11" t="s">
        <v>5661</v>
      </c>
      <c r="D1543" s="11" t="s">
        <v>5662</v>
      </c>
      <c r="E1543" s="11" t="s">
        <v>26</v>
      </c>
      <c r="F1543" s="11" t="s">
        <v>5663</v>
      </c>
      <c r="G1543" s="11" t="s">
        <v>28</v>
      </c>
      <c r="H1543" s="11" t="s">
        <v>5663</v>
      </c>
      <c r="I1543" s="11" t="s">
        <v>5664</v>
      </c>
      <c r="J1543" s="12">
        <v>0.45779999999999998</v>
      </c>
      <c r="K1543" s="13">
        <v>1</v>
      </c>
      <c r="L1543" s="14">
        <v>83</v>
      </c>
      <c r="M1543" s="10">
        <v>38</v>
      </c>
      <c r="N1543" s="10">
        <v>9172</v>
      </c>
      <c r="O1543" s="10">
        <v>2980</v>
      </c>
      <c r="P1543" s="10">
        <v>12152</v>
      </c>
    </row>
    <row r="1544" spans="1:16" ht="27" customHeight="1" x14ac:dyDescent="0.2">
      <c r="A1544" s="9" t="s">
        <v>5119</v>
      </c>
      <c r="B1544" s="10" t="s">
        <v>5665</v>
      </c>
      <c r="C1544" s="11" t="s">
        <v>18</v>
      </c>
      <c r="D1544" s="11" t="s">
        <v>19</v>
      </c>
      <c r="E1544" s="11" t="s">
        <v>19</v>
      </c>
      <c r="F1544" s="11" t="s">
        <v>5666</v>
      </c>
      <c r="G1544" s="11" t="s">
        <v>83</v>
      </c>
      <c r="H1544" s="11" t="s">
        <v>5667</v>
      </c>
      <c r="I1544" s="11" t="s">
        <v>5668</v>
      </c>
      <c r="J1544" s="12">
        <v>0.76149999999999995</v>
      </c>
      <c r="K1544" s="13">
        <v>4</v>
      </c>
      <c r="L1544" s="14">
        <v>217</v>
      </c>
      <c r="M1544" s="10">
        <v>159</v>
      </c>
      <c r="N1544" s="10">
        <v>23979</v>
      </c>
      <c r="O1544" s="10">
        <v>12469</v>
      </c>
      <c r="P1544" s="10">
        <v>36448</v>
      </c>
    </row>
    <row r="1545" spans="1:16" ht="27" customHeight="1" x14ac:dyDescent="0.2">
      <c r="A1545" s="9" t="s">
        <v>5119</v>
      </c>
      <c r="B1545" s="10" t="s">
        <v>5665</v>
      </c>
      <c r="C1545" s="11" t="s">
        <v>5669</v>
      </c>
      <c r="D1545" s="11" t="s">
        <v>5670</v>
      </c>
      <c r="E1545" s="11" t="s">
        <v>26</v>
      </c>
      <c r="F1545" s="11" t="s">
        <v>5122</v>
      </c>
      <c r="G1545" s="11" t="s">
        <v>28</v>
      </c>
      <c r="H1545" s="11" t="s">
        <v>5122</v>
      </c>
      <c r="I1545" s="11" t="s">
        <v>5123</v>
      </c>
      <c r="J1545" s="12">
        <v>1</v>
      </c>
      <c r="K1545" s="13">
        <v>1</v>
      </c>
      <c r="L1545" s="14">
        <v>51</v>
      </c>
      <c r="M1545" s="10">
        <v>51</v>
      </c>
      <c r="N1545" s="10">
        <v>5636</v>
      </c>
      <c r="O1545" s="10">
        <v>3999</v>
      </c>
      <c r="P1545" s="10">
        <v>9635</v>
      </c>
    </row>
    <row r="1546" spans="1:16" ht="27" customHeight="1" x14ac:dyDescent="0.2">
      <c r="A1546" s="9" t="s">
        <v>5119</v>
      </c>
      <c r="B1546" s="10" t="s">
        <v>5665</v>
      </c>
      <c r="C1546" s="11" t="s">
        <v>5671</v>
      </c>
      <c r="D1546" s="11" t="s">
        <v>5672</v>
      </c>
      <c r="E1546" s="11" t="s">
        <v>26</v>
      </c>
      <c r="F1546" s="11" t="s">
        <v>5673</v>
      </c>
      <c r="G1546" s="11" t="s">
        <v>28</v>
      </c>
      <c r="H1546" s="11" t="s">
        <v>5673</v>
      </c>
      <c r="I1546" s="11" t="s">
        <v>5674</v>
      </c>
      <c r="J1546" s="12">
        <v>0.5837</v>
      </c>
      <c r="K1546" s="13">
        <v>1</v>
      </c>
      <c r="L1546" s="14">
        <v>245</v>
      </c>
      <c r="M1546" s="10">
        <v>143</v>
      </c>
      <c r="N1546" s="10">
        <v>27073</v>
      </c>
      <c r="O1546" s="10">
        <v>11214</v>
      </c>
      <c r="P1546" s="10">
        <v>38287</v>
      </c>
    </row>
    <row r="1547" spans="1:16" ht="27" customHeight="1" x14ac:dyDescent="0.2">
      <c r="A1547" s="9" t="s">
        <v>5119</v>
      </c>
      <c r="B1547" s="10" t="s">
        <v>5665</v>
      </c>
      <c r="C1547" s="11" t="s">
        <v>5675</v>
      </c>
      <c r="D1547" s="11" t="s">
        <v>5676</v>
      </c>
      <c r="E1547" s="11" t="s">
        <v>26</v>
      </c>
      <c r="F1547" s="11" t="s">
        <v>5677</v>
      </c>
      <c r="G1547" s="11" t="s">
        <v>28</v>
      </c>
      <c r="H1547" s="11" t="s">
        <v>5677</v>
      </c>
      <c r="I1547" s="11" t="s">
        <v>5678</v>
      </c>
      <c r="J1547" s="12">
        <v>0.63580000000000003</v>
      </c>
      <c r="K1547" s="13">
        <v>1</v>
      </c>
      <c r="L1547" s="14">
        <v>151</v>
      </c>
      <c r="M1547" s="10">
        <v>96</v>
      </c>
      <c r="N1547" s="10">
        <v>16686</v>
      </c>
      <c r="O1547" s="10">
        <v>7528</v>
      </c>
      <c r="P1547" s="10">
        <v>24214</v>
      </c>
    </row>
    <row r="1548" spans="1:16" ht="27" customHeight="1" x14ac:dyDescent="0.2">
      <c r="A1548" s="9" t="s">
        <v>5119</v>
      </c>
      <c r="B1548" s="10" t="s">
        <v>5665</v>
      </c>
      <c r="C1548" s="11" t="s">
        <v>5679</v>
      </c>
      <c r="D1548" s="11" t="s">
        <v>5680</v>
      </c>
      <c r="E1548" s="11" t="s">
        <v>26</v>
      </c>
      <c r="F1548" s="11" t="s">
        <v>5681</v>
      </c>
      <c r="G1548" s="11" t="s">
        <v>28</v>
      </c>
      <c r="H1548" s="11" t="s">
        <v>5681</v>
      </c>
      <c r="I1548" s="11" t="s">
        <v>5682</v>
      </c>
      <c r="J1548" s="12">
        <v>0.31809999999999999</v>
      </c>
      <c r="K1548" s="13">
        <v>1</v>
      </c>
      <c r="L1548" s="14">
        <v>371</v>
      </c>
      <c r="M1548" s="10">
        <v>118</v>
      </c>
      <c r="N1548" s="10">
        <v>40996</v>
      </c>
      <c r="O1548" s="10">
        <v>9253</v>
      </c>
      <c r="P1548" s="10">
        <v>50249</v>
      </c>
    </row>
    <row r="1549" spans="1:16" ht="27" customHeight="1" x14ac:dyDescent="0.2">
      <c r="A1549" s="9" t="s">
        <v>5119</v>
      </c>
      <c r="B1549" s="10" t="s">
        <v>5665</v>
      </c>
      <c r="C1549" s="11" t="s">
        <v>5683</v>
      </c>
      <c r="D1549" s="11" t="s">
        <v>5684</v>
      </c>
      <c r="E1549" s="11" t="s">
        <v>26</v>
      </c>
      <c r="F1549" s="11" t="s">
        <v>4897</v>
      </c>
      <c r="G1549" s="11" t="s">
        <v>28</v>
      </c>
      <c r="H1549" s="11" t="s">
        <v>4897</v>
      </c>
      <c r="I1549" s="11" t="s">
        <v>5685</v>
      </c>
      <c r="J1549" s="12">
        <v>0.39029999999999998</v>
      </c>
      <c r="K1549" s="13">
        <v>1</v>
      </c>
      <c r="L1549" s="14">
        <v>1048</v>
      </c>
      <c r="M1549" s="10">
        <v>409</v>
      </c>
      <c r="N1549" s="10">
        <v>115806</v>
      </c>
      <c r="O1549" s="10">
        <v>32073</v>
      </c>
      <c r="P1549" s="10">
        <v>147879</v>
      </c>
    </row>
    <row r="1550" spans="1:16" ht="27" customHeight="1" x14ac:dyDescent="0.2">
      <c r="A1550" s="9" t="s">
        <v>5119</v>
      </c>
      <c r="B1550" s="10" t="s">
        <v>5665</v>
      </c>
      <c r="C1550" s="11" t="s">
        <v>5686</v>
      </c>
      <c r="D1550" s="11" t="s">
        <v>5687</v>
      </c>
      <c r="E1550" s="11" t="s">
        <v>26</v>
      </c>
      <c r="F1550" s="11" t="s">
        <v>5688</v>
      </c>
      <c r="G1550" s="11" t="s">
        <v>28</v>
      </c>
      <c r="H1550" s="11" t="s">
        <v>5122</v>
      </c>
      <c r="I1550" s="11" t="s">
        <v>5123</v>
      </c>
      <c r="J1550" s="12">
        <v>1</v>
      </c>
      <c r="K1550" s="13">
        <v>1</v>
      </c>
      <c r="L1550" s="14">
        <v>179</v>
      </c>
      <c r="M1550" s="10">
        <v>59</v>
      </c>
      <c r="N1550" s="10">
        <v>19780</v>
      </c>
      <c r="O1550" s="10">
        <v>4627</v>
      </c>
      <c r="P1550" s="10">
        <v>24407</v>
      </c>
    </row>
    <row r="1551" spans="1:16" ht="27" customHeight="1" x14ac:dyDescent="0.2">
      <c r="A1551" s="9" t="s">
        <v>5119</v>
      </c>
      <c r="B1551" s="10" t="s">
        <v>5665</v>
      </c>
      <c r="C1551" s="11" t="s">
        <v>5689</v>
      </c>
      <c r="D1551" s="11" t="s">
        <v>5690</v>
      </c>
      <c r="E1551" s="11" t="s">
        <v>26</v>
      </c>
      <c r="F1551" s="11" t="s">
        <v>5691</v>
      </c>
      <c r="G1551" s="11" t="s">
        <v>28</v>
      </c>
      <c r="H1551" s="11" t="s">
        <v>5691</v>
      </c>
      <c r="I1551" s="11" t="s">
        <v>5692</v>
      </c>
      <c r="J1551" s="12">
        <v>1</v>
      </c>
      <c r="K1551" s="13">
        <v>1</v>
      </c>
      <c r="L1551" s="14">
        <v>59</v>
      </c>
      <c r="M1551" s="10">
        <v>59</v>
      </c>
      <c r="N1551" s="10">
        <v>6520</v>
      </c>
      <c r="O1551" s="10">
        <v>4627</v>
      </c>
      <c r="P1551" s="10">
        <v>11147</v>
      </c>
    </row>
    <row r="1552" spans="1:16" ht="27" customHeight="1" x14ac:dyDescent="0.2">
      <c r="A1552" s="9" t="s">
        <v>5119</v>
      </c>
      <c r="B1552" s="10" t="s">
        <v>5693</v>
      </c>
      <c r="C1552" s="11" t="s">
        <v>18</v>
      </c>
      <c r="D1552" s="11" t="s">
        <v>19</v>
      </c>
      <c r="E1552" s="11" t="s">
        <v>19</v>
      </c>
      <c r="F1552" s="11" t="s">
        <v>5694</v>
      </c>
      <c r="G1552" s="11" t="s">
        <v>83</v>
      </c>
      <c r="H1552" s="11" t="s">
        <v>5695</v>
      </c>
      <c r="I1552" s="11" t="s">
        <v>5696</v>
      </c>
      <c r="J1552" s="12">
        <v>0.76949999999999996</v>
      </c>
      <c r="K1552" s="13">
        <v>9</v>
      </c>
      <c r="L1552" s="14">
        <v>3798</v>
      </c>
      <c r="M1552" s="10">
        <v>1897</v>
      </c>
      <c r="N1552" s="10">
        <v>419684</v>
      </c>
      <c r="O1552" s="10">
        <v>148763</v>
      </c>
      <c r="P1552" s="10">
        <v>568447</v>
      </c>
    </row>
    <row r="1553" spans="1:16" ht="27" customHeight="1" x14ac:dyDescent="0.2">
      <c r="A1553" s="9" t="s">
        <v>5119</v>
      </c>
      <c r="B1553" s="10" t="s">
        <v>5697</v>
      </c>
      <c r="C1553" s="11" t="s">
        <v>5698</v>
      </c>
      <c r="D1553" s="11" t="s">
        <v>5699</v>
      </c>
      <c r="E1553" s="11" t="s">
        <v>26</v>
      </c>
      <c r="F1553" s="11" t="s">
        <v>5700</v>
      </c>
      <c r="G1553" s="11" t="s">
        <v>28</v>
      </c>
      <c r="H1553" s="11" t="s">
        <v>5122</v>
      </c>
      <c r="I1553" s="11" t="s">
        <v>5123</v>
      </c>
      <c r="J1553" s="12">
        <v>1</v>
      </c>
      <c r="K1553" s="13">
        <v>1</v>
      </c>
      <c r="L1553" s="14">
        <v>639</v>
      </c>
      <c r="M1553" s="10">
        <v>237</v>
      </c>
      <c r="N1553" s="10">
        <v>70611</v>
      </c>
      <c r="O1553" s="10">
        <v>18585</v>
      </c>
      <c r="P1553" s="10">
        <v>89196</v>
      </c>
    </row>
    <row r="1554" spans="1:16" ht="27" customHeight="1" x14ac:dyDescent="0.2">
      <c r="A1554" s="9" t="s">
        <v>5119</v>
      </c>
      <c r="B1554" s="10" t="s">
        <v>5697</v>
      </c>
      <c r="C1554" s="11" t="s">
        <v>5701</v>
      </c>
      <c r="D1554" s="11" t="s">
        <v>5699</v>
      </c>
      <c r="E1554" s="11" t="s">
        <v>26</v>
      </c>
      <c r="F1554" s="11" t="s">
        <v>5702</v>
      </c>
      <c r="G1554" s="11" t="s">
        <v>28</v>
      </c>
      <c r="H1554" s="11" t="s">
        <v>5122</v>
      </c>
      <c r="I1554" s="11" t="s">
        <v>5123</v>
      </c>
      <c r="J1554" s="12">
        <v>1</v>
      </c>
      <c r="K1554" s="13">
        <v>1</v>
      </c>
      <c r="L1554" s="14">
        <v>418</v>
      </c>
      <c r="M1554" s="10">
        <v>164</v>
      </c>
      <c r="N1554" s="10">
        <v>46190</v>
      </c>
      <c r="O1554" s="10">
        <v>12861</v>
      </c>
      <c r="P1554" s="10">
        <v>59051</v>
      </c>
    </row>
    <row r="1555" spans="1:16" ht="27" customHeight="1" x14ac:dyDescent="0.2">
      <c r="A1555" s="9" t="s">
        <v>5119</v>
      </c>
      <c r="B1555" s="10" t="s">
        <v>5697</v>
      </c>
      <c r="C1555" s="11" t="s">
        <v>5703</v>
      </c>
      <c r="D1555" s="11" t="s">
        <v>5699</v>
      </c>
      <c r="E1555" s="11" t="s">
        <v>26</v>
      </c>
      <c r="F1555" s="11" t="s">
        <v>5704</v>
      </c>
      <c r="G1555" s="11" t="s">
        <v>28</v>
      </c>
      <c r="H1555" s="11" t="s">
        <v>5122</v>
      </c>
      <c r="I1555" s="11" t="s">
        <v>5123</v>
      </c>
      <c r="J1555" s="12">
        <v>1</v>
      </c>
      <c r="K1555" s="13">
        <v>1</v>
      </c>
      <c r="L1555" s="14">
        <v>336</v>
      </c>
      <c r="M1555" s="10">
        <v>155</v>
      </c>
      <c r="N1555" s="10">
        <v>37129</v>
      </c>
      <c r="O1555" s="10">
        <v>12155</v>
      </c>
      <c r="P1555" s="10">
        <v>49284</v>
      </c>
    </row>
    <row r="1556" spans="1:16" ht="27" customHeight="1" x14ac:dyDescent="0.2">
      <c r="A1556" s="9" t="s">
        <v>5119</v>
      </c>
      <c r="B1556" s="10" t="s">
        <v>5697</v>
      </c>
      <c r="C1556" s="11" t="s">
        <v>5705</v>
      </c>
      <c r="D1556" s="11" t="s">
        <v>5699</v>
      </c>
      <c r="E1556" s="11" t="s">
        <v>26</v>
      </c>
      <c r="F1556" s="11" t="s">
        <v>5706</v>
      </c>
      <c r="G1556" s="11" t="s">
        <v>28</v>
      </c>
      <c r="H1556" s="11" t="s">
        <v>5122</v>
      </c>
      <c r="I1556" s="11" t="s">
        <v>5123</v>
      </c>
      <c r="J1556" s="12">
        <v>1</v>
      </c>
      <c r="K1556" s="13">
        <v>1</v>
      </c>
      <c r="L1556" s="14">
        <v>334</v>
      </c>
      <c r="M1556" s="10">
        <v>140</v>
      </c>
      <c r="N1556" s="10">
        <v>36908</v>
      </c>
      <c r="O1556" s="10">
        <v>10979</v>
      </c>
      <c r="P1556" s="10">
        <v>47887</v>
      </c>
    </row>
    <row r="1557" spans="1:16" ht="27" customHeight="1" x14ac:dyDescent="0.2">
      <c r="A1557" s="9" t="s">
        <v>5119</v>
      </c>
      <c r="B1557" s="10" t="s">
        <v>5697</v>
      </c>
      <c r="C1557" s="11" t="s">
        <v>5707</v>
      </c>
      <c r="D1557" s="11" t="s">
        <v>5699</v>
      </c>
      <c r="E1557" s="11" t="s">
        <v>26</v>
      </c>
      <c r="F1557" s="11" t="s">
        <v>5708</v>
      </c>
      <c r="G1557" s="11" t="s">
        <v>28</v>
      </c>
      <c r="H1557" s="11" t="s">
        <v>5708</v>
      </c>
      <c r="I1557" s="11" t="s">
        <v>5709</v>
      </c>
      <c r="J1557" s="12">
        <v>0.53600000000000003</v>
      </c>
      <c r="K1557" s="13">
        <v>1</v>
      </c>
      <c r="L1557" s="14">
        <v>431</v>
      </c>
      <c r="M1557" s="10">
        <v>231</v>
      </c>
      <c r="N1557" s="10">
        <v>47626</v>
      </c>
      <c r="O1557" s="10">
        <v>18115</v>
      </c>
      <c r="P1557" s="10">
        <v>65741</v>
      </c>
    </row>
    <row r="1558" spans="1:16" ht="27" customHeight="1" x14ac:dyDescent="0.2">
      <c r="A1558" s="9" t="s">
        <v>5119</v>
      </c>
      <c r="B1558" s="10" t="s">
        <v>5697</v>
      </c>
      <c r="C1558" s="11" t="s">
        <v>5710</v>
      </c>
      <c r="D1558" s="11" t="s">
        <v>5699</v>
      </c>
      <c r="E1558" s="11" t="s">
        <v>26</v>
      </c>
      <c r="F1558" s="11" t="s">
        <v>5711</v>
      </c>
      <c r="G1558" s="11" t="s">
        <v>28</v>
      </c>
      <c r="H1558" s="11" t="s">
        <v>5711</v>
      </c>
      <c r="I1558" s="11" t="s">
        <v>5712</v>
      </c>
      <c r="J1558" s="12">
        <v>0.50229999999999997</v>
      </c>
      <c r="K1558" s="13">
        <v>1</v>
      </c>
      <c r="L1558" s="14">
        <v>442</v>
      </c>
      <c r="M1558" s="10">
        <v>222</v>
      </c>
      <c r="N1558" s="10">
        <v>48842</v>
      </c>
      <c r="O1558" s="10">
        <v>17409</v>
      </c>
      <c r="P1558" s="10">
        <v>66251</v>
      </c>
    </row>
    <row r="1559" spans="1:16" ht="27" customHeight="1" x14ac:dyDescent="0.2">
      <c r="A1559" s="9" t="s">
        <v>5119</v>
      </c>
      <c r="B1559" s="10" t="s">
        <v>5697</v>
      </c>
      <c r="C1559" s="11" t="s">
        <v>5713</v>
      </c>
      <c r="D1559" s="11" t="s">
        <v>5699</v>
      </c>
      <c r="E1559" s="11" t="s">
        <v>26</v>
      </c>
      <c r="F1559" s="11" t="s">
        <v>5714</v>
      </c>
      <c r="G1559" s="11" t="s">
        <v>28</v>
      </c>
      <c r="H1559" s="11" t="s">
        <v>5122</v>
      </c>
      <c r="I1559" s="11" t="s">
        <v>5123</v>
      </c>
      <c r="J1559" s="12">
        <v>1</v>
      </c>
      <c r="K1559" s="13">
        <v>1</v>
      </c>
      <c r="L1559" s="14">
        <v>434</v>
      </c>
      <c r="M1559" s="10">
        <v>143</v>
      </c>
      <c r="N1559" s="10">
        <v>47958</v>
      </c>
      <c r="O1559" s="10">
        <v>11214</v>
      </c>
      <c r="P1559" s="10">
        <v>59172</v>
      </c>
    </row>
    <row r="1560" spans="1:16" ht="27" customHeight="1" x14ac:dyDescent="0.2">
      <c r="A1560" s="9" t="s">
        <v>5119</v>
      </c>
      <c r="B1560" s="10" t="s">
        <v>5697</v>
      </c>
      <c r="C1560" s="11" t="s">
        <v>5715</v>
      </c>
      <c r="D1560" s="11" t="s">
        <v>5699</v>
      </c>
      <c r="E1560" s="11" t="s">
        <v>26</v>
      </c>
      <c r="F1560" s="11" t="s">
        <v>5716</v>
      </c>
      <c r="G1560" s="11" t="s">
        <v>28</v>
      </c>
      <c r="H1560" s="11" t="s">
        <v>5122</v>
      </c>
      <c r="I1560" s="11" t="s">
        <v>5123</v>
      </c>
      <c r="J1560" s="12">
        <v>1</v>
      </c>
      <c r="K1560" s="13">
        <v>1</v>
      </c>
      <c r="L1560" s="14">
        <v>337</v>
      </c>
      <c r="M1560" s="10">
        <v>121</v>
      </c>
      <c r="N1560" s="10">
        <v>37239</v>
      </c>
      <c r="O1560" s="10">
        <v>9489</v>
      </c>
      <c r="P1560" s="10">
        <v>46728</v>
      </c>
    </row>
    <row r="1561" spans="1:16" ht="27" customHeight="1" x14ac:dyDescent="0.2">
      <c r="A1561" s="9" t="s">
        <v>5119</v>
      </c>
      <c r="B1561" s="10" t="s">
        <v>5697</v>
      </c>
      <c r="C1561" s="11" t="s">
        <v>5717</v>
      </c>
      <c r="D1561" s="11" t="s">
        <v>5699</v>
      </c>
      <c r="E1561" s="11" t="s">
        <v>26</v>
      </c>
      <c r="F1561" s="11" t="s">
        <v>5718</v>
      </c>
      <c r="G1561" s="11" t="s">
        <v>28</v>
      </c>
      <c r="H1561" s="11" t="s">
        <v>5718</v>
      </c>
      <c r="I1561" s="11" t="s">
        <v>5719</v>
      </c>
      <c r="J1561" s="12">
        <v>0.36359999999999998</v>
      </c>
      <c r="K1561" s="13">
        <v>1</v>
      </c>
      <c r="L1561" s="14">
        <v>440</v>
      </c>
      <c r="M1561" s="10">
        <v>160</v>
      </c>
      <c r="N1561" s="10">
        <v>48621</v>
      </c>
      <c r="O1561" s="10">
        <v>12547</v>
      </c>
      <c r="P1561" s="10">
        <v>61168</v>
      </c>
    </row>
    <row r="1562" spans="1:16" ht="27" customHeight="1" x14ac:dyDescent="0.2">
      <c r="A1562" s="9" t="s">
        <v>5119</v>
      </c>
      <c r="B1562" s="10" t="s">
        <v>5720</v>
      </c>
      <c r="C1562" s="11" t="s">
        <v>18</v>
      </c>
      <c r="D1562" s="11" t="s">
        <v>19</v>
      </c>
      <c r="E1562" s="11" t="s">
        <v>19</v>
      </c>
      <c r="F1562" s="11" t="s">
        <v>5721</v>
      </c>
      <c r="G1562" s="11" t="s">
        <v>83</v>
      </c>
      <c r="H1562" s="11" t="s">
        <v>5722</v>
      </c>
      <c r="I1562" s="11" t="s">
        <v>5723</v>
      </c>
      <c r="J1562" s="12">
        <v>0.35349999999999998</v>
      </c>
      <c r="K1562" s="13">
        <v>5</v>
      </c>
      <c r="L1562" s="14">
        <v>2089</v>
      </c>
      <c r="M1562" s="10">
        <v>765</v>
      </c>
      <c r="N1562" s="10">
        <v>230838</v>
      </c>
      <c r="O1562" s="10">
        <v>59990</v>
      </c>
      <c r="P1562" s="10">
        <v>290828</v>
      </c>
    </row>
    <row r="1563" spans="1:16" ht="27" customHeight="1" x14ac:dyDescent="0.2">
      <c r="A1563" s="9" t="s">
        <v>5119</v>
      </c>
      <c r="B1563" s="10" t="s">
        <v>5720</v>
      </c>
      <c r="C1563" s="11" t="s">
        <v>5724</v>
      </c>
      <c r="D1563" s="11" t="s">
        <v>5725</v>
      </c>
      <c r="E1563" s="11" t="s">
        <v>57</v>
      </c>
      <c r="F1563" s="11" t="s">
        <v>5726</v>
      </c>
      <c r="G1563" s="11" t="s">
        <v>28</v>
      </c>
      <c r="H1563" s="11" t="s">
        <v>5726</v>
      </c>
      <c r="I1563" s="11" t="s">
        <v>5727</v>
      </c>
      <c r="J1563" s="12">
        <v>0.59550000000000003</v>
      </c>
      <c r="K1563" s="13">
        <v>1</v>
      </c>
      <c r="L1563" s="14">
        <v>89</v>
      </c>
      <c r="M1563" s="10">
        <v>53</v>
      </c>
      <c r="N1563" s="10">
        <v>9835</v>
      </c>
      <c r="O1563" s="10">
        <v>4156</v>
      </c>
      <c r="P1563" s="10">
        <v>13991</v>
      </c>
    </row>
    <row r="1564" spans="1:16" ht="27" customHeight="1" x14ac:dyDescent="0.2">
      <c r="A1564" s="9" t="s">
        <v>5119</v>
      </c>
      <c r="B1564" s="10" t="s">
        <v>5728</v>
      </c>
      <c r="C1564" s="11" t="s">
        <v>5729</v>
      </c>
      <c r="D1564" s="11" t="s">
        <v>5730</v>
      </c>
      <c r="E1564" s="11" t="s">
        <v>26</v>
      </c>
      <c r="F1564" s="11" t="s">
        <v>5731</v>
      </c>
      <c r="G1564" s="11" t="s">
        <v>28</v>
      </c>
      <c r="H1564" s="11" t="s">
        <v>5122</v>
      </c>
      <c r="I1564" s="11" t="s">
        <v>5123</v>
      </c>
      <c r="J1564" s="12">
        <v>1</v>
      </c>
      <c r="K1564" s="13">
        <v>1</v>
      </c>
      <c r="L1564" s="14">
        <v>257</v>
      </c>
      <c r="M1564" s="10">
        <v>178</v>
      </c>
      <c r="N1564" s="10">
        <v>28399</v>
      </c>
      <c r="O1564" s="10">
        <v>13959</v>
      </c>
      <c r="P1564" s="10">
        <v>42358</v>
      </c>
    </row>
    <row r="1565" spans="1:16" ht="27" customHeight="1" x14ac:dyDescent="0.2">
      <c r="A1565" s="9" t="s">
        <v>5119</v>
      </c>
      <c r="B1565" s="10" t="s">
        <v>5732</v>
      </c>
      <c r="C1565" s="11" t="s">
        <v>5733</v>
      </c>
      <c r="D1565" s="11" t="s">
        <v>5734</v>
      </c>
      <c r="E1565" s="11" t="s">
        <v>26</v>
      </c>
      <c r="F1565" s="11" t="s">
        <v>5735</v>
      </c>
      <c r="G1565" s="11" t="s">
        <v>28</v>
      </c>
      <c r="H1565" s="11" t="s">
        <v>5122</v>
      </c>
      <c r="I1565" s="11" t="s">
        <v>5123</v>
      </c>
      <c r="J1565" s="12">
        <v>1</v>
      </c>
      <c r="K1565" s="13">
        <v>1</v>
      </c>
      <c r="L1565" s="14">
        <v>369</v>
      </c>
      <c r="M1565" s="10">
        <v>270</v>
      </c>
      <c r="N1565" s="10">
        <v>40775</v>
      </c>
      <c r="O1565" s="10">
        <v>21173</v>
      </c>
      <c r="P1565" s="10">
        <v>61948</v>
      </c>
    </row>
    <row r="1566" spans="1:16" ht="27" customHeight="1" x14ac:dyDescent="0.2">
      <c r="A1566" s="9" t="s">
        <v>5119</v>
      </c>
      <c r="B1566" s="10" t="s">
        <v>5736</v>
      </c>
      <c r="C1566" s="11" t="s">
        <v>5737</v>
      </c>
      <c r="D1566" s="11" t="s">
        <v>5738</v>
      </c>
      <c r="E1566" s="11" t="s">
        <v>26</v>
      </c>
      <c r="F1566" s="11" t="s">
        <v>5739</v>
      </c>
      <c r="G1566" s="11" t="s">
        <v>28</v>
      </c>
      <c r="H1566" s="11" t="s">
        <v>5739</v>
      </c>
      <c r="I1566" s="11" t="s">
        <v>5740</v>
      </c>
      <c r="J1566" s="12">
        <v>0.68289999999999995</v>
      </c>
      <c r="K1566" s="13">
        <v>1</v>
      </c>
      <c r="L1566" s="14">
        <v>246</v>
      </c>
      <c r="M1566" s="10">
        <v>168</v>
      </c>
      <c r="N1566" s="10">
        <v>27183</v>
      </c>
      <c r="O1566" s="10">
        <v>13174</v>
      </c>
      <c r="P1566" s="10">
        <v>40357</v>
      </c>
    </row>
    <row r="1567" spans="1:16" ht="27" customHeight="1" x14ac:dyDescent="0.2">
      <c r="A1567" s="9" t="s">
        <v>5119</v>
      </c>
      <c r="B1567" s="10" t="s">
        <v>5741</v>
      </c>
      <c r="C1567" s="11" t="s">
        <v>5742</v>
      </c>
      <c r="D1567" s="11" t="s">
        <v>5743</v>
      </c>
      <c r="E1567" s="11" t="s">
        <v>26</v>
      </c>
      <c r="F1567" s="11" t="s">
        <v>5744</v>
      </c>
      <c r="G1567" s="11" t="s">
        <v>28</v>
      </c>
      <c r="H1567" s="11" t="s">
        <v>5122</v>
      </c>
      <c r="I1567" s="11" t="s">
        <v>5123</v>
      </c>
      <c r="J1567" s="12">
        <v>1</v>
      </c>
      <c r="K1567" s="13">
        <v>1</v>
      </c>
      <c r="L1567" s="14">
        <v>394</v>
      </c>
      <c r="M1567" s="10">
        <v>132</v>
      </c>
      <c r="N1567" s="10">
        <v>43538</v>
      </c>
      <c r="O1567" s="10">
        <v>10351</v>
      </c>
      <c r="P1567" s="10">
        <v>53889</v>
      </c>
    </row>
    <row r="1568" spans="1:16" ht="27" customHeight="1" x14ac:dyDescent="0.2">
      <c r="A1568" s="9" t="s">
        <v>5119</v>
      </c>
      <c r="B1568" s="10" t="s">
        <v>5745</v>
      </c>
      <c r="C1568" s="11" t="s">
        <v>5746</v>
      </c>
      <c r="D1568" s="11" t="s">
        <v>5747</v>
      </c>
      <c r="E1568" s="11" t="s">
        <v>26</v>
      </c>
      <c r="F1568" s="11" t="s">
        <v>5748</v>
      </c>
      <c r="G1568" s="11" t="s">
        <v>28</v>
      </c>
      <c r="H1568" s="11" t="s">
        <v>5748</v>
      </c>
      <c r="I1568" s="11" t="s">
        <v>5749</v>
      </c>
      <c r="J1568" s="12">
        <v>0.41710000000000003</v>
      </c>
      <c r="K1568" s="13">
        <v>1</v>
      </c>
      <c r="L1568" s="14">
        <v>199</v>
      </c>
      <c r="M1568" s="10">
        <v>83</v>
      </c>
      <c r="N1568" s="10">
        <v>21990</v>
      </c>
      <c r="O1568" s="10">
        <v>6509</v>
      </c>
      <c r="P1568" s="10">
        <v>28499</v>
      </c>
    </row>
    <row r="1569" spans="1:16" ht="27" customHeight="1" x14ac:dyDescent="0.2">
      <c r="A1569" s="9" t="s">
        <v>5750</v>
      </c>
      <c r="B1569" s="10" t="s">
        <v>5751</v>
      </c>
      <c r="C1569" s="11" t="s">
        <v>18</v>
      </c>
      <c r="D1569" s="11" t="s">
        <v>19</v>
      </c>
      <c r="E1569" s="11" t="s">
        <v>19</v>
      </c>
      <c r="F1569" s="11" t="s">
        <v>5752</v>
      </c>
      <c r="G1569" s="11" t="s">
        <v>21</v>
      </c>
      <c r="H1569" s="11" t="s">
        <v>5753</v>
      </c>
      <c r="I1569" s="11" t="s">
        <v>5754</v>
      </c>
      <c r="J1569" s="12">
        <v>1</v>
      </c>
      <c r="K1569" s="13">
        <v>5</v>
      </c>
      <c r="L1569" s="14">
        <v>276</v>
      </c>
      <c r="M1569" s="10">
        <v>166</v>
      </c>
      <c r="N1569" s="10">
        <v>30499</v>
      </c>
      <c r="O1569" s="10">
        <v>13018</v>
      </c>
      <c r="P1569" s="10">
        <v>43517</v>
      </c>
    </row>
    <row r="1570" spans="1:16" ht="27" customHeight="1" x14ac:dyDescent="0.2">
      <c r="A1570" s="9" t="s">
        <v>5750</v>
      </c>
      <c r="B1570" s="10" t="s">
        <v>5755</v>
      </c>
      <c r="C1570" s="11" t="s">
        <v>18</v>
      </c>
      <c r="D1570" s="11" t="s">
        <v>19</v>
      </c>
      <c r="E1570" s="11" t="s">
        <v>19</v>
      </c>
      <c r="F1570" s="11" t="s">
        <v>5756</v>
      </c>
      <c r="G1570" s="11" t="s">
        <v>83</v>
      </c>
      <c r="H1570" s="11" t="s">
        <v>5753</v>
      </c>
      <c r="I1570" s="11" t="s">
        <v>5754</v>
      </c>
      <c r="J1570" s="12">
        <v>1</v>
      </c>
      <c r="K1570" s="13">
        <v>114</v>
      </c>
      <c r="L1570" s="14">
        <v>49816</v>
      </c>
      <c r="M1570" s="10">
        <v>26271</v>
      </c>
      <c r="N1570" s="10">
        <v>5504752</v>
      </c>
      <c r="O1570" s="10">
        <v>2060146</v>
      </c>
      <c r="P1570" s="10">
        <v>7564898</v>
      </c>
    </row>
    <row r="1571" spans="1:16" ht="27" customHeight="1" x14ac:dyDescent="0.2">
      <c r="A1571" s="9" t="s">
        <v>5750</v>
      </c>
      <c r="B1571" s="10" t="s">
        <v>5755</v>
      </c>
      <c r="C1571" s="11" t="s">
        <v>5757</v>
      </c>
      <c r="D1571" s="11" t="s">
        <v>5758</v>
      </c>
      <c r="E1571" s="11" t="s">
        <v>26</v>
      </c>
      <c r="F1571" s="11" t="s">
        <v>5759</v>
      </c>
      <c r="G1571" s="11" t="s">
        <v>28</v>
      </c>
      <c r="H1571" s="11" t="s">
        <v>5753</v>
      </c>
      <c r="I1571" s="11" t="s">
        <v>5754</v>
      </c>
      <c r="J1571" s="12">
        <v>1</v>
      </c>
      <c r="K1571" s="13">
        <v>1</v>
      </c>
      <c r="L1571" s="14">
        <v>199</v>
      </c>
      <c r="M1571" s="10">
        <v>176</v>
      </c>
      <c r="N1571" s="10">
        <v>21990</v>
      </c>
      <c r="O1571" s="10">
        <v>13802</v>
      </c>
      <c r="P1571" s="10">
        <v>35792</v>
      </c>
    </row>
    <row r="1572" spans="1:16" ht="27" customHeight="1" x14ac:dyDescent="0.2">
      <c r="A1572" s="9" t="s">
        <v>5750</v>
      </c>
      <c r="B1572" s="10" t="s">
        <v>5755</v>
      </c>
      <c r="C1572" s="11" t="s">
        <v>5760</v>
      </c>
      <c r="D1572" s="11" t="s">
        <v>5761</v>
      </c>
      <c r="E1572" s="11" t="s">
        <v>26</v>
      </c>
      <c r="F1572" s="11" t="s">
        <v>5762</v>
      </c>
      <c r="G1572" s="11" t="s">
        <v>28</v>
      </c>
      <c r="H1572" s="11" t="s">
        <v>5753</v>
      </c>
      <c r="I1572" s="11" t="s">
        <v>5754</v>
      </c>
      <c r="J1572" s="12">
        <v>1</v>
      </c>
      <c r="K1572" s="13">
        <v>1</v>
      </c>
      <c r="L1572" s="14">
        <v>278</v>
      </c>
      <c r="M1572" s="10">
        <v>264</v>
      </c>
      <c r="N1572" s="10">
        <v>30719</v>
      </c>
      <c r="O1572" s="10">
        <v>20703</v>
      </c>
      <c r="P1572" s="10">
        <v>51422</v>
      </c>
    </row>
    <row r="1573" spans="1:16" ht="27" customHeight="1" x14ac:dyDescent="0.2">
      <c r="A1573" s="9" t="s">
        <v>5750</v>
      </c>
      <c r="B1573" s="10" t="s">
        <v>5755</v>
      </c>
      <c r="C1573" s="11" t="s">
        <v>5763</v>
      </c>
      <c r="D1573" s="11" t="s">
        <v>5764</v>
      </c>
      <c r="E1573" s="11" t="s">
        <v>26</v>
      </c>
      <c r="F1573" s="11" t="s">
        <v>5765</v>
      </c>
      <c r="G1573" s="11" t="s">
        <v>28</v>
      </c>
      <c r="H1573" s="11" t="s">
        <v>5753</v>
      </c>
      <c r="I1573" s="11" t="s">
        <v>5754</v>
      </c>
      <c r="J1573" s="12">
        <v>1</v>
      </c>
      <c r="K1573" s="13">
        <v>1</v>
      </c>
      <c r="L1573" s="14">
        <v>135</v>
      </c>
      <c r="M1573" s="10">
        <v>40</v>
      </c>
      <c r="N1573" s="10">
        <v>14918</v>
      </c>
      <c r="O1573" s="10">
        <v>3137</v>
      </c>
      <c r="P1573" s="10">
        <v>18055</v>
      </c>
    </row>
    <row r="1574" spans="1:16" ht="27" customHeight="1" x14ac:dyDescent="0.2">
      <c r="A1574" s="9" t="s">
        <v>5750</v>
      </c>
      <c r="B1574" s="10" t="s">
        <v>5755</v>
      </c>
      <c r="C1574" s="11" t="s">
        <v>5766</v>
      </c>
      <c r="D1574" s="11" t="s">
        <v>5767</v>
      </c>
      <c r="E1574" s="11" t="s">
        <v>26</v>
      </c>
      <c r="F1574" s="11" t="s">
        <v>5768</v>
      </c>
      <c r="G1574" s="11" t="s">
        <v>28</v>
      </c>
      <c r="H1574" s="11" t="s">
        <v>5753</v>
      </c>
      <c r="I1574" s="11" t="s">
        <v>5754</v>
      </c>
      <c r="J1574" s="12">
        <v>1</v>
      </c>
      <c r="K1574" s="13">
        <v>1</v>
      </c>
      <c r="L1574" s="14">
        <v>473</v>
      </c>
      <c r="M1574" s="10">
        <v>324</v>
      </c>
      <c r="N1574" s="10">
        <v>52267</v>
      </c>
      <c r="O1574" s="10">
        <v>25408</v>
      </c>
      <c r="P1574" s="10">
        <v>77675</v>
      </c>
    </row>
    <row r="1575" spans="1:16" ht="27" customHeight="1" x14ac:dyDescent="0.2">
      <c r="A1575" s="9" t="s">
        <v>5750</v>
      </c>
      <c r="B1575" s="10" t="s">
        <v>5755</v>
      </c>
      <c r="C1575" s="11" t="s">
        <v>5769</v>
      </c>
      <c r="D1575" s="11" t="s">
        <v>5770</v>
      </c>
      <c r="E1575" s="11" t="s">
        <v>26</v>
      </c>
      <c r="F1575" s="11" t="s">
        <v>5771</v>
      </c>
      <c r="G1575" s="11" t="s">
        <v>28</v>
      </c>
      <c r="H1575" s="11" t="s">
        <v>5753</v>
      </c>
      <c r="I1575" s="11" t="s">
        <v>5754</v>
      </c>
      <c r="J1575" s="12">
        <v>1</v>
      </c>
      <c r="K1575" s="13">
        <v>1</v>
      </c>
      <c r="L1575" s="14">
        <v>3019</v>
      </c>
      <c r="M1575" s="10">
        <v>766</v>
      </c>
      <c r="N1575" s="10">
        <v>333604</v>
      </c>
      <c r="O1575" s="10">
        <v>60069</v>
      </c>
      <c r="P1575" s="10">
        <v>393673</v>
      </c>
    </row>
    <row r="1576" spans="1:16" ht="27" customHeight="1" x14ac:dyDescent="0.2">
      <c r="A1576" s="9" t="s">
        <v>5750</v>
      </c>
      <c r="B1576" s="10" t="s">
        <v>5755</v>
      </c>
      <c r="C1576" s="11" t="s">
        <v>5772</v>
      </c>
      <c r="D1576" s="11" t="s">
        <v>5773</v>
      </c>
      <c r="E1576" s="11" t="s">
        <v>26</v>
      </c>
      <c r="F1576" s="11" t="s">
        <v>5774</v>
      </c>
      <c r="G1576" s="11" t="s">
        <v>28</v>
      </c>
      <c r="H1576" s="11" t="s">
        <v>5753</v>
      </c>
      <c r="I1576" s="11" t="s">
        <v>5754</v>
      </c>
      <c r="J1576" s="12">
        <v>1</v>
      </c>
      <c r="K1576" s="13">
        <v>1</v>
      </c>
      <c r="L1576" s="14">
        <v>302</v>
      </c>
      <c r="M1576" s="10">
        <v>145</v>
      </c>
      <c r="N1576" s="10">
        <v>33371</v>
      </c>
      <c r="O1576" s="10">
        <v>11371</v>
      </c>
      <c r="P1576" s="10">
        <v>44742</v>
      </c>
    </row>
    <row r="1577" spans="1:16" ht="27" customHeight="1" x14ac:dyDescent="0.2">
      <c r="A1577" s="9" t="s">
        <v>5750</v>
      </c>
      <c r="B1577" s="10" t="s">
        <v>5755</v>
      </c>
      <c r="C1577" s="11" t="s">
        <v>5775</v>
      </c>
      <c r="D1577" s="11" t="s">
        <v>5776</v>
      </c>
      <c r="E1577" s="11" t="s">
        <v>26</v>
      </c>
      <c r="F1577" s="11" t="s">
        <v>5777</v>
      </c>
      <c r="G1577" s="11" t="s">
        <v>28</v>
      </c>
      <c r="H1577" s="11" t="s">
        <v>5777</v>
      </c>
      <c r="I1577" s="11" t="s">
        <v>5778</v>
      </c>
      <c r="J1577" s="12">
        <v>0.68440000000000001</v>
      </c>
      <c r="K1577" s="13">
        <v>1</v>
      </c>
      <c r="L1577" s="14">
        <v>469</v>
      </c>
      <c r="M1577" s="10">
        <v>321</v>
      </c>
      <c r="N1577" s="10">
        <v>51825</v>
      </c>
      <c r="O1577" s="10">
        <v>25172</v>
      </c>
      <c r="P1577" s="10">
        <v>76997</v>
      </c>
    </row>
    <row r="1578" spans="1:16" ht="27" customHeight="1" x14ac:dyDescent="0.2">
      <c r="A1578" s="9" t="s">
        <v>5750</v>
      </c>
      <c r="B1578" s="10" t="s">
        <v>5755</v>
      </c>
      <c r="C1578" s="11" t="s">
        <v>5779</v>
      </c>
      <c r="D1578" s="11" t="s">
        <v>5780</v>
      </c>
      <c r="E1578" s="11" t="s">
        <v>26</v>
      </c>
      <c r="F1578" s="11" t="s">
        <v>5781</v>
      </c>
      <c r="G1578" s="11" t="s">
        <v>28</v>
      </c>
      <c r="H1578" s="11" t="s">
        <v>5753</v>
      </c>
      <c r="I1578" s="11" t="s">
        <v>5754</v>
      </c>
      <c r="J1578" s="12">
        <v>1</v>
      </c>
      <c r="K1578" s="13">
        <v>1</v>
      </c>
      <c r="L1578" s="14">
        <v>316</v>
      </c>
      <c r="M1578" s="10">
        <v>258</v>
      </c>
      <c r="N1578" s="10">
        <v>34919</v>
      </c>
      <c r="O1578" s="10">
        <v>20232</v>
      </c>
      <c r="P1578" s="10">
        <v>55151</v>
      </c>
    </row>
    <row r="1579" spans="1:16" ht="27" customHeight="1" x14ac:dyDescent="0.2">
      <c r="A1579" s="9" t="s">
        <v>5750</v>
      </c>
      <c r="B1579" s="10" t="s">
        <v>5755</v>
      </c>
      <c r="C1579" s="11" t="s">
        <v>5782</v>
      </c>
      <c r="D1579" s="11" t="s">
        <v>5783</v>
      </c>
      <c r="E1579" s="11" t="s">
        <v>26</v>
      </c>
      <c r="F1579" s="11" t="s">
        <v>5784</v>
      </c>
      <c r="G1579" s="11" t="s">
        <v>28</v>
      </c>
      <c r="H1579" s="11" t="s">
        <v>5753</v>
      </c>
      <c r="I1579" s="11" t="s">
        <v>5754</v>
      </c>
      <c r="J1579" s="12">
        <v>1</v>
      </c>
      <c r="K1579" s="13">
        <v>1</v>
      </c>
      <c r="L1579" s="14">
        <v>41</v>
      </c>
      <c r="M1579" s="10">
        <v>36</v>
      </c>
      <c r="N1579" s="10">
        <v>4531</v>
      </c>
      <c r="O1579" s="10">
        <v>2823</v>
      </c>
      <c r="P1579" s="10">
        <v>7354</v>
      </c>
    </row>
    <row r="1580" spans="1:16" ht="27" customHeight="1" x14ac:dyDescent="0.2">
      <c r="A1580" s="9" t="s">
        <v>5750</v>
      </c>
      <c r="B1580" s="10" t="s">
        <v>5755</v>
      </c>
      <c r="C1580" s="11" t="s">
        <v>5785</v>
      </c>
      <c r="D1580" s="11" t="s">
        <v>5786</v>
      </c>
      <c r="E1580" s="11" t="s">
        <v>26</v>
      </c>
      <c r="F1580" s="11" t="s">
        <v>5787</v>
      </c>
      <c r="G1580" s="11" t="s">
        <v>28</v>
      </c>
      <c r="H1580" s="11" t="s">
        <v>5753</v>
      </c>
      <c r="I1580" s="11" t="s">
        <v>5754</v>
      </c>
      <c r="J1580" s="12">
        <v>1</v>
      </c>
      <c r="K1580" s="13">
        <v>1</v>
      </c>
      <c r="L1580" s="14">
        <v>489</v>
      </c>
      <c r="M1580" s="10">
        <v>240</v>
      </c>
      <c r="N1580" s="10">
        <v>54035</v>
      </c>
      <c r="O1580" s="10">
        <v>18821</v>
      </c>
      <c r="P1580" s="10">
        <v>72856</v>
      </c>
    </row>
    <row r="1581" spans="1:16" ht="27" customHeight="1" x14ac:dyDescent="0.2">
      <c r="A1581" s="9" t="s">
        <v>5750</v>
      </c>
      <c r="B1581" s="10" t="s">
        <v>5755</v>
      </c>
      <c r="C1581" s="11" t="s">
        <v>5788</v>
      </c>
      <c r="D1581" s="11" t="s">
        <v>5789</v>
      </c>
      <c r="E1581" s="11" t="s">
        <v>26</v>
      </c>
      <c r="F1581" s="11" t="s">
        <v>5790</v>
      </c>
      <c r="G1581" s="11" t="s">
        <v>28</v>
      </c>
      <c r="H1581" s="11" t="s">
        <v>5790</v>
      </c>
      <c r="I1581" s="11" t="s">
        <v>5791</v>
      </c>
      <c r="J1581" s="12">
        <v>0.35759999999999997</v>
      </c>
      <c r="K1581" s="13">
        <v>1</v>
      </c>
      <c r="L1581" s="14">
        <v>590</v>
      </c>
      <c r="M1581" s="10">
        <v>211</v>
      </c>
      <c r="N1581" s="10">
        <v>65196</v>
      </c>
      <c r="O1581" s="10">
        <v>16546</v>
      </c>
      <c r="P1581" s="10">
        <v>81742</v>
      </c>
    </row>
    <row r="1582" spans="1:16" ht="27" customHeight="1" x14ac:dyDescent="0.2">
      <c r="A1582" s="9" t="s">
        <v>5750</v>
      </c>
      <c r="B1582" s="10" t="s">
        <v>5755</v>
      </c>
      <c r="C1582" s="11" t="s">
        <v>5792</v>
      </c>
      <c r="D1582" s="11" t="s">
        <v>5793</v>
      </c>
      <c r="E1582" s="11" t="s">
        <v>26</v>
      </c>
      <c r="F1582" s="11" t="s">
        <v>5794</v>
      </c>
      <c r="G1582" s="11" t="s">
        <v>28</v>
      </c>
      <c r="H1582" s="11" t="s">
        <v>5794</v>
      </c>
      <c r="I1582" s="11" t="s">
        <v>5795</v>
      </c>
      <c r="J1582" s="12">
        <v>0.1837</v>
      </c>
      <c r="K1582" s="13">
        <v>1</v>
      </c>
      <c r="L1582" s="14">
        <v>441</v>
      </c>
      <c r="M1582" s="10">
        <v>81</v>
      </c>
      <c r="N1582" s="10">
        <v>48731</v>
      </c>
      <c r="O1582" s="10">
        <v>6352</v>
      </c>
      <c r="P1582" s="10">
        <v>55083</v>
      </c>
    </row>
    <row r="1583" spans="1:16" ht="27" customHeight="1" x14ac:dyDescent="0.2">
      <c r="A1583" s="9" t="s">
        <v>5750</v>
      </c>
      <c r="B1583" s="10" t="s">
        <v>5796</v>
      </c>
      <c r="C1583" s="11" t="s">
        <v>5797</v>
      </c>
      <c r="D1583" s="11" t="s">
        <v>5798</v>
      </c>
      <c r="E1583" s="11" t="s">
        <v>26</v>
      </c>
      <c r="F1583" s="11" t="s">
        <v>5799</v>
      </c>
      <c r="G1583" s="11" t="s">
        <v>28</v>
      </c>
      <c r="H1583" s="11" t="s">
        <v>5799</v>
      </c>
      <c r="I1583" s="11" t="s">
        <v>5800</v>
      </c>
      <c r="J1583" s="12">
        <v>0.33710000000000001</v>
      </c>
      <c r="K1583" s="13">
        <v>1</v>
      </c>
      <c r="L1583" s="14">
        <v>439</v>
      </c>
      <c r="M1583" s="10">
        <v>148</v>
      </c>
      <c r="N1583" s="10">
        <v>48510</v>
      </c>
      <c r="O1583" s="10">
        <v>11606</v>
      </c>
      <c r="P1583" s="10">
        <v>60116</v>
      </c>
    </row>
    <row r="1584" spans="1:16" ht="27" customHeight="1" x14ac:dyDescent="0.2">
      <c r="A1584" s="9" t="s">
        <v>5750</v>
      </c>
      <c r="B1584" s="10" t="s">
        <v>5801</v>
      </c>
      <c r="C1584" s="11" t="s">
        <v>5802</v>
      </c>
      <c r="D1584" s="11" t="s">
        <v>5803</v>
      </c>
      <c r="E1584" s="11" t="s">
        <v>26</v>
      </c>
      <c r="F1584" s="11" t="s">
        <v>5804</v>
      </c>
      <c r="G1584" s="11" t="s">
        <v>28</v>
      </c>
      <c r="H1584" s="11" t="s">
        <v>5804</v>
      </c>
      <c r="I1584" s="11" t="s">
        <v>5805</v>
      </c>
      <c r="J1584" s="12">
        <v>0.92549999999999999</v>
      </c>
      <c r="K1584" s="13">
        <v>1</v>
      </c>
      <c r="L1584" s="14">
        <v>161</v>
      </c>
      <c r="M1584" s="10">
        <v>149</v>
      </c>
      <c r="N1584" s="10">
        <v>17791</v>
      </c>
      <c r="O1584" s="10">
        <v>11684</v>
      </c>
      <c r="P1584" s="10">
        <v>29475</v>
      </c>
    </row>
    <row r="1585" spans="1:16" ht="27" customHeight="1" x14ac:dyDescent="0.2">
      <c r="A1585" s="9" t="s">
        <v>5806</v>
      </c>
      <c r="B1585" s="10" t="s">
        <v>5807</v>
      </c>
      <c r="C1585" s="11" t="s">
        <v>18</v>
      </c>
      <c r="D1585" s="11" t="s">
        <v>19</v>
      </c>
      <c r="E1585" s="11" t="s">
        <v>19</v>
      </c>
      <c r="F1585" s="11" t="s">
        <v>5808</v>
      </c>
      <c r="G1585" s="11" t="s">
        <v>21</v>
      </c>
      <c r="H1585" s="11" t="s">
        <v>5809</v>
      </c>
      <c r="I1585" s="11" t="s">
        <v>5810</v>
      </c>
      <c r="J1585" s="12">
        <v>0.96760000000000002</v>
      </c>
      <c r="K1585" s="13">
        <v>4</v>
      </c>
      <c r="L1585" s="14">
        <v>2609</v>
      </c>
      <c r="M1585" s="10">
        <v>1922</v>
      </c>
      <c r="N1585" s="10">
        <v>288300</v>
      </c>
      <c r="O1585" s="10">
        <v>150722</v>
      </c>
      <c r="P1585" s="10">
        <v>439022</v>
      </c>
    </row>
    <row r="1586" spans="1:16" ht="27" customHeight="1" x14ac:dyDescent="0.2">
      <c r="A1586" s="9" t="s">
        <v>5806</v>
      </c>
      <c r="B1586" s="10" t="s">
        <v>5807</v>
      </c>
      <c r="C1586" s="11" t="s">
        <v>5811</v>
      </c>
      <c r="D1586" s="11" t="s">
        <v>5812</v>
      </c>
      <c r="E1586" s="11" t="s">
        <v>26</v>
      </c>
      <c r="F1586" s="11" t="s">
        <v>5813</v>
      </c>
      <c r="G1586" s="11" t="s">
        <v>28</v>
      </c>
      <c r="H1586" s="11" t="s">
        <v>5809</v>
      </c>
      <c r="I1586" s="11" t="s">
        <v>5810</v>
      </c>
      <c r="J1586" s="12">
        <v>0.96760000000000002</v>
      </c>
      <c r="K1586" s="13">
        <v>1</v>
      </c>
      <c r="L1586" s="14">
        <v>846</v>
      </c>
      <c r="M1586" s="10">
        <v>637</v>
      </c>
      <c r="N1586" s="10">
        <v>93484</v>
      </c>
      <c r="O1586" s="10">
        <v>49953</v>
      </c>
      <c r="P1586" s="10">
        <v>143437</v>
      </c>
    </row>
    <row r="1587" spans="1:16" ht="27" customHeight="1" x14ac:dyDescent="0.2">
      <c r="A1587" s="9" t="s">
        <v>5806</v>
      </c>
      <c r="B1587" s="10" t="s">
        <v>5807</v>
      </c>
      <c r="C1587" s="11" t="s">
        <v>5814</v>
      </c>
      <c r="D1587" s="11" t="s">
        <v>5815</v>
      </c>
      <c r="E1587" s="11" t="s">
        <v>26</v>
      </c>
      <c r="F1587" s="11" t="s">
        <v>5816</v>
      </c>
      <c r="G1587" s="11" t="s">
        <v>28</v>
      </c>
      <c r="H1587" s="11" t="s">
        <v>5816</v>
      </c>
      <c r="I1587" s="11" t="s">
        <v>5817</v>
      </c>
      <c r="J1587" s="12">
        <v>0.77359999999999995</v>
      </c>
      <c r="K1587" s="13">
        <v>1</v>
      </c>
      <c r="L1587" s="14">
        <v>596</v>
      </c>
      <c r="M1587" s="10">
        <v>461</v>
      </c>
      <c r="N1587" s="10">
        <v>65859</v>
      </c>
      <c r="O1587" s="10">
        <v>36151</v>
      </c>
      <c r="P1587" s="10">
        <v>102010</v>
      </c>
    </row>
    <row r="1588" spans="1:16" ht="27" customHeight="1" x14ac:dyDescent="0.2">
      <c r="A1588" s="9" t="s">
        <v>5806</v>
      </c>
      <c r="B1588" s="10" t="s">
        <v>5807</v>
      </c>
      <c r="C1588" s="11" t="s">
        <v>5818</v>
      </c>
      <c r="D1588" s="11" t="s">
        <v>5819</v>
      </c>
      <c r="E1588" s="11" t="s">
        <v>26</v>
      </c>
      <c r="F1588" s="11" t="s">
        <v>5820</v>
      </c>
      <c r="G1588" s="11" t="s">
        <v>28</v>
      </c>
      <c r="H1588" s="11" t="s">
        <v>5809</v>
      </c>
      <c r="I1588" s="11" t="s">
        <v>5810</v>
      </c>
      <c r="J1588" s="12">
        <v>0.96760000000000002</v>
      </c>
      <c r="K1588" s="13">
        <v>1</v>
      </c>
      <c r="L1588" s="14">
        <v>1644</v>
      </c>
      <c r="M1588" s="10">
        <v>1063</v>
      </c>
      <c r="N1588" s="10">
        <v>181665</v>
      </c>
      <c r="O1588" s="10">
        <v>83359</v>
      </c>
      <c r="P1588" s="10">
        <v>265024</v>
      </c>
    </row>
    <row r="1589" spans="1:16" ht="27" customHeight="1" x14ac:dyDescent="0.2">
      <c r="A1589" s="9" t="s">
        <v>5806</v>
      </c>
      <c r="B1589" s="10" t="s">
        <v>5821</v>
      </c>
      <c r="C1589" s="11" t="s">
        <v>18</v>
      </c>
      <c r="D1589" s="11" t="s">
        <v>19</v>
      </c>
      <c r="E1589" s="11" t="s">
        <v>19</v>
      </c>
      <c r="F1589" s="11" t="s">
        <v>5822</v>
      </c>
      <c r="G1589" s="11" t="s">
        <v>83</v>
      </c>
      <c r="H1589" s="11" t="s">
        <v>5823</v>
      </c>
      <c r="I1589" s="11" t="s">
        <v>5824</v>
      </c>
      <c r="J1589" s="12">
        <v>0.71719999999999995</v>
      </c>
      <c r="K1589" s="13">
        <v>8</v>
      </c>
      <c r="L1589" s="14">
        <v>2670</v>
      </c>
      <c r="M1589" s="10">
        <v>1197</v>
      </c>
      <c r="N1589" s="10">
        <v>295041</v>
      </c>
      <c r="O1589" s="10">
        <v>93867</v>
      </c>
      <c r="P1589" s="10">
        <v>388908</v>
      </c>
    </row>
    <row r="1590" spans="1:16" ht="27" customHeight="1" x14ac:dyDescent="0.2">
      <c r="A1590" s="9" t="s">
        <v>5806</v>
      </c>
      <c r="B1590" s="10" t="s">
        <v>5821</v>
      </c>
      <c r="C1590" s="11" t="s">
        <v>5825</v>
      </c>
      <c r="D1590" s="11" t="s">
        <v>5826</v>
      </c>
      <c r="E1590" s="11" t="s">
        <v>26</v>
      </c>
      <c r="F1590" s="11" t="s">
        <v>5827</v>
      </c>
      <c r="G1590" s="11" t="s">
        <v>28</v>
      </c>
      <c r="H1590" s="11" t="s">
        <v>5827</v>
      </c>
      <c r="I1590" s="11" t="s">
        <v>5828</v>
      </c>
      <c r="J1590" s="12">
        <v>0.22539999999999999</v>
      </c>
      <c r="K1590" s="13">
        <v>1</v>
      </c>
      <c r="L1590" s="14">
        <v>315</v>
      </c>
      <c r="M1590" s="10">
        <v>71</v>
      </c>
      <c r="N1590" s="10">
        <v>34808</v>
      </c>
      <c r="O1590" s="10">
        <v>5568</v>
      </c>
      <c r="P1590" s="10">
        <v>40376</v>
      </c>
    </row>
    <row r="1591" spans="1:16" ht="27" customHeight="1" x14ac:dyDescent="0.2">
      <c r="A1591" s="9" t="s">
        <v>5806</v>
      </c>
      <c r="B1591" s="10" t="s">
        <v>5829</v>
      </c>
      <c r="C1591" s="11" t="s">
        <v>18</v>
      </c>
      <c r="D1591" s="11" t="s">
        <v>19</v>
      </c>
      <c r="E1591" s="11" t="s">
        <v>19</v>
      </c>
      <c r="F1591" s="11" t="s">
        <v>1482</v>
      </c>
      <c r="G1591" s="11" t="s">
        <v>83</v>
      </c>
      <c r="H1591" s="11" t="s">
        <v>5830</v>
      </c>
      <c r="I1591" s="11" t="s">
        <v>5831</v>
      </c>
      <c r="J1591" s="12">
        <v>0.34189999999999998</v>
      </c>
      <c r="K1591" s="13">
        <v>5</v>
      </c>
      <c r="L1591" s="14">
        <v>2638</v>
      </c>
      <c r="M1591" s="10">
        <v>635</v>
      </c>
      <c r="N1591" s="10">
        <v>291504</v>
      </c>
      <c r="O1591" s="10">
        <v>49797</v>
      </c>
      <c r="P1591" s="10">
        <v>341301</v>
      </c>
    </row>
    <row r="1592" spans="1:16" ht="27" customHeight="1" x14ac:dyDescent="0.2">
      <c r="A1592" s="9" t="s">
        <v>5806</v>
      </c>
      <c r="B1592" s="10" t="s">
        <v>5832</v>
      </c>
      <c r="C1592" s="11" t="s">
        <v>18</v>
      </c>
      <c r="D1592" s="11" t="s">
        <v>19</v>
      </c>
      <c r="E1592" s="11" t="s">
        <v>19</v>
      </c>
      <c r="F1592" s="11" t="s">
        <v>5833</v>
      </c>
      <c r="G1592" s="11" t="s">
        <v>83</v>
      </c>
      <c r="H1592" s="11" t="s">
        <v>5834</v>
      </c>
      <c r="I1592" s="11" t="s">
        <v>5835</v>
      </c>
      <c r="J1592" s="12">
        <v>0.77329999999999999</v>
      </c>
      <c r="K1592" s="13">
        <v>14</v>
      </c>
      <c r="L1592" s="14">
        <v>8613</v>
      </c>
      <c r="M1592" s="10">
        <v>5423</v>
      </c>
      <c r="N1592" s="10">
        <v>951751</v>
      </c>
      <c r="O1592" s="10">
        <v>425267</v>
      </c>
      <c r="P1592" s="10">
        <v>1377018</v>
      </c>
    </row>
    <row r="1593" spans="1:16" ht="27" customHeight="1" x14ac:dyDescent="0.2">
      <c r="A1593" s="9" t="s">
        <v>5806</v>
      </c>
      <c r="B1593" s="10" t="s">
        <v>5832</v>
      </c>
      <c r="C1593" s="11" t="s">
        <v>5836</v>
      </c>
      <c r="D1593" s="11" t="s">
        <v>5837</v>
      </c>
      <c r="E1593" s="11" t="s">
        <v>57</v>
      </c>
      <c r="F1593" s="11" t="s">
        <v>5838</v>
      </c>
      <c r="G1593" s="11" t="s">
        <v>28</v>
      </c>
      <c r="H1593" s="11" t="s">
        <v>5838</v>
      </c>
      <c r="I1593" s="11" t="s">
        <v>5839</v>
      </c>
      <c r="J1593" s="12">
        <v>0.50439999999999996</v>
      </c>
      <c r="K1593" s="13">
        <v>1</v>
      </c>
      <c r="L1593" s="14">
        <v>458</v>
      </c>
      <c r="M1593" s="10">
        <v>231</v>
      </c>
      <c r="N1593" s="10">
        <v>50610</v>
      </c>
      <c r="O1593" s="10">
        <v>18115</v>
      </c>
      <c r="P1593" s="10">
        <v>68725</v>
      </c>
    </row>
    <row r="1594" spans="1:16" ht="27" customHeight="1" x14ac:dyDescent="0.2">
      <c r="A1594" s="9" t="s">
        <v>5806</v>
      </c>
      <c r="B1594" s="10" t="s">
        <v>5840</v>
      </c>
      <c r="C1594" s="11" t="s">
        <v>18</v>
      </c>
      <c r="D1594" s="11" t="s">
        <v>19</v>
      </c>
      <c r="E1594" s="11" t="s">
        <v>19</v>
      </c>
      <c r="F1594" s="11" t="s">
        <v>5841</v>
      </c>
      <c r="G1594" s="11" t="s">
        <v>83</v>
      </c>
      <c r="H1594" s="11" t="s">
        <v>5842</v>
      </c>
      <c r="I1594" s="11" t="s">
        <v>5843</v>
      </c>
      <c r="J1594" s="12">
        <v>0.76829999999999998</v>
      </c>
      <c r="K1594" s="13">
        <v>7</v>
      </c>
      <c r="L1594" s="14">
        <v>2284</v>
      </c>
      <c r="M1594" s="10">
        <v>1530</v>
      </c>
      <c r="N1594" s="10">
        <v>252388</v>
      </c>
      <c r="O1594" s="10">
        <v>119981</v>
      </c>
      <c r="P1594" s="10">
        <v>372369</v>
      </c>
    </row>
    <row r="1595" spans="1:16" ht="27" customHeight="1" x14ac:dyDescent="0.2">
      <c r="A1595" s="9" t="s">
        <v>5806</v>
      </c>
      <c r="B1595" s="10" t="s">
        <v>5844</v>
      </c>
      <c r="C1595" s="11" t="s">
        <v>18</v>
      </c>
      <c r="D1595" s="11" t="s">
        <v>19</v>
      </c>
      <c r="E1595" s="11" t="s">
        <v>19</v>
      </c>
      <c r="F1595" s="11" t="s">
        <v>5845</v>
      </c>
      <c r="G1595" s="11" t="s">
        <v>83</v>
      </c>
      <c r="H1595" s="11" t="s">
        <v>5809</v>
      </c>
      <c r="I1595" s="11" t="s">
        <v>5810</v>
      </c>
      <c r="J1595" s="12">
        <v>0.96760000000000002</v>
      </c>
      <c r="K1595" s="13">
        <v>49</v>
      </c>
      <c r="L1595" s="14">
        <v>27293</v>
      </c>
      <c r="M1595" s="10">
        <v>20221</v>
      </c>
      <c r="N1595" s="10">
        <v>3015920</v>
      </c>
      <c r="O1595" s="10">
        <v>1585712</v>
      </c>
      <c r="P1595" s="10">
        <v>4601632</v>
      </c>
    </row>
    <row r="1596" spans="1:16" ht="27" customHeight="1" x14ac:dyDescent="0.2">
      <c r="A1596" s="9" t="s">
        <v>5806</v>
      </c>
      <c r="B1596" s="10" t="s">
        <v>5844</v>
      </c>
      <c r="C1596" s="11" t="s">
        <v>5846</v>
      </c>
      <c r="D1596" s="11" t="s">
        <v>5847</v>
      </c>
      <c r="E1596" s="11" t="s">
        <v>26</v>
      </c>
      <c r="F1596" s="11" t="s">
        <v>5848</v>
      </c>
      <c r="G1596" s="11" t="s">
        <v>28</v>
      </c>
      <c r="H1596" s="11" t="s">
        <v>5809</v>
      </c>
      <c r="I1596" s="11" t="s">
        <v>5810</v>
      </c>
      <c r="J1596" s="12">
        <v>0.96760000000000002</v>
      </c>
      <c r="K1596" s="13">
        <v>1</v>
      </c>
      <c r="L1596" s="14">
        <v>685</v>
      </c>
      <c r="M1596" s="10">
        <v>338</v>
      </c>
      <c r="N1596" s="10">
        <v>75694</v>
      </c>
      <c r="O1596" s="10">
        <v>26506</v>
      </c>
      <c r="P1596" s="10">
        <v>102200</v>
      </c>
    </row>
    <row r="1597" spans="1:16" ht="27" customHeight="1" x14ac:dyDescent="0.2">
      <c r="A1597" s="9" t="s">
        <v>5806</v>
      </c>
      <c r="B1597" s="10" t="s">
        <v>5844</v>
      </c>
      <c r="C1597" s="11" t="s">
        <v>5849</v>
      </c>
      <c r="D1597" s="11" t="s">
        <v>5850</v>
      </c>
      <c r="E1597" s="11" t="s">
        <v>26</v>
      </c>
      <c r="F1597" s="11" t="s">
        <v>5851</v>
      </c>
      <c r="G1597" s="11" t="s">
        <v>28</v>
      </c>
      <c r="H1597" s="11" t="s">
        <v>5851</v>
      </c>
      <c r="I1597" s="11" t="s">
        <v>5852</v>
      </c>
      <c r="J1597" s="12">
        <v>0.54510000000000003</v>
      </c>
      <c r="K1597" s="13">
        <v>1</v>
      </c>
      <c r="L1597" s="14">
        <v>787</v>
      </c>
      <c r="M1597" s="10">
        <v>429</v>
      </c>
      <c r="N1597" s="10">
        <v>86965</v>
      </c>
      <c r="O1597" s="10">
        <v>33642</v>
      </c>
      <c r="P1597" s="10">
        <v>120607</v>
      </c>
    </row>
    <row r="1598" spans="1:16" ht="27" customHeight="1" x14ac:dyDescent="0.2">
      <c r="A1598" s="9" t="s">
        <v>5806</v>
      </c>
      <c r="B1598" s="10" t="s">
        <v>5844</v>
      </c>
      <c r="C1598" s="11" t="s">
        <v>5853</v>
      </c>
      <c r="D1598" s="11" t="s">
        <v>5854</v>
      </c>
      <c r="E1598" s="11" t="s">
        <v>26</v>
      </c>
      <c r="F1598" s="11" t="s">
        <v>5855</v>
      </c>
      <c r="G1598" s="11" t="s">
        <v>28</v>
      </c>
      <c r="H1598" s="11" t="s">
        <v>5809</v>
      </c>
      <c r="I1598" s="11" t="s">
        <v>5810</v>
      </c>
      <c r="J1598" s="12">
        <v>0.96760000000000002</v>
      </c>
      <c r="K1598" s="13">
        <v>1</v>
      </c>
      <c r="L1598" s="14">
        <v>567</v>
      </c>
      <c r="M1598" s="10">
        <v>326</v>
      </c>
      <c r="N1598" s="10">
        <v>62654</v>
      </c>
      <c r="O1598" s="10">
        <v>25565</v>
      </c>
      <c r="P1598" s="10">
        <v>88219</v>
      </c>
    </row>
    <row r="1599" spans="1:16" ht="27" customHeight="1" x14ac:dyDescent="0.2">
      <c r="A1599" s="9" t="s">
        <v>5806</v>
      </c>
      <c r="B1599" s="10" t="s">
        <v>5844</v>
      </c>
      <c r="C1599" s="11" t="s">
        <v>5856</v>
      </c>
      <c r="D1599" s="11" t="s">
        <v>5857</v>
      </c>
      <c r="E1599" s="11" t="s">
        <v>26</v>
      </c>
      <c r="F1599" s="11" t="s">
        <v>5858</v>
      </c>
      <c r="G1599" s="11" t="s">
        <v>28</v>
      </c>
      <c r="H1599" s="11" t="s">
        <v>5858</v>
      </c>
      <c r="I1599" s="11" t="s">
        <v>5859</v>
      </c>
      <c r="J1599" s="12">
        <v>0.54039999999999999</v>
      </c>
      <c r="K1599" s="13">
        <v>1</v>
      </c>
      <c r="L1599" s="14">
        <v>446</v>
      </c>
      <c r="M1599" s="10">
        <v>241</v>
      </c>
      <c r="N1599" s="10">
        <v>49284</v>
      </c>
      <c r="O1599" s="10">
        <v>18899</v>
      </c>
      <c r="P1599" s="10">
        <v>68183</v>
      </c>
    </row>
    <row r="1600" spans="1:16" ht="27" customHeight="1" x14ac:dyDescent="0.2">
      <c r="A1600" s="9" t="s">
        <v>5806</v>
      </c>
      <c r="B1600" s="10" t="s">
        <v>5844</v>
      </c>
      <c r="C1600" s="11" t="s">
        <v>5860</v>
      </c>
      <c r="D1600" s="11" t="s">
        <v>5861</v>
      </c>
      <c r="E1600" s="11" t="s">
        <v>57</v>
      </c>
      <c r="F1600" s="11" t="s">
        <v>5862</v>
      </c>
      <c r="G1600" s="11" t="s">
        <v>28</v>
      </c>
      <c r="H1600" s="11" t="s">
        <v>5862</v>
      </c>
      <c r="I1600" s="11" t="s">
        <v>5863</v>
      </c>
      <c r="J1600" s="12">
        <v>0.63590000000000002</v>
      </c>
      <c r="K1600" s="13">
        <v>1</v>
      </c>
      <c r="L1600" s="14">
        <v>358</v>
      </c>
      <c r="M1600" s="10">
        <v>228</v>
      </c>
      <c r="N1600" s="10">
        <v>39560</v>
      </c>
      <c r="O1600" s="10">
        <v>17880</v>
      </c>
      <c r="P1600" s="10">
        <v>57440</v>
      </c>
    </row>
    <row r="1601" spans="1:16" ht="27" customHeight="1" x14ac:dyDescent="0.2">
      <c r="A1601" s="9" t="s">
        <v>5806</v>
      </c>
      <c r="B1601" s="10" t="s">
        <v>5844</v>
      </c>
      <c r="C1601" s="11" t="s">
        <v>5864</v>
      </c>
      <c r="D1601" s="11" t="s">
        <v>5865</v>
      </c>
      <c r="E1601" s="11" t="s">
        <v>26</v>
      </c>
      <c r="F1601" s="11" t="s">
        <v>5866</v>
      </c>
      <c r="G1601" s="11" t="s">
        <v>28</v>
      </c>
      <c r="H1601" s="11" t="s">
        <v>5866</v>
      </c>
      <c r="I1601" s="11" t="s">
        <v>5867</v>
      </c>
      <c r="J1601" s="12">
        <v>0.75719999999999998</v>
      </c>
      <c r="K1601" s="13">
        <v>1</v>
      </c>
      <c r="L1601" s="14">
        <v>453</v>
      </c>
      <c r="M1601" s="10">
        <v>343</v>
      </c>
      <c r="N1601" s="10">
        <v>50057</v>
      </c>
      <c r="O1601" s="10">
        <v>26898</v>
      </c>
      <c r="P1601" s="10">
        <v>76955</v>
      </c>
    </row>
    <row r="1602" spans="1:16" ht="27" customHeight="1" x14ac:dyDescent="0.2">
      <c r="A1602" s="9" t="s">
        <v>5806</v>
      </c>
      <c r="B1602" s="10" t="s">
        <v>5868</v>
      </c>
      <c r="C1602" s="11" t="s">
        <v>18</v>
      </c>
      <c r="D1602" s="11" t="s">
        <v>19</v>
      </c>
      <c r="E1602" s="11" t="s">
        <v>19</v>
      </c>
      <c r="F1602" s="11" t="s">
        <v>5869</v>
      </c>
      <c r="G1602" s="11" t="s">
        <v>83</v>
      </c>
      <c r="H1602" s="11" t="s">
        <v>5870</v>
      </c>
      <c r="I1602" s="11" t="s">
        <v>5871</v>
      </c>
      <c r="J1602" s="12">
        <v>0.79139999999999999</v>
      </c>
      <c r="K1602" s="13">
        <v>31</v>
      </c>
      <c r="L1602" s="14">
        <v>24964</v>
      </c>
      <c r="M1602" s="10">
        <v>13632</v>
      </c>
      <c r="N1602" s="10">
        <v>2758563</v>
      </c>
      <c r="O1602" s="10">
        <v>1069009</v>
      </c>
      <c r="P1602" s="10">
        <v>3827572</v>
      </c>
    </row>
    <row r="1603" spans="1:16" ht="27" customHeight="1" x14ac:dyDescent="0.2">
      <c r="A1603" s="9" t="s">
        <v>5806</v>
      </c>
      <c r="B1603" s="10" t="s">
        <v>5872</v>
      </c>
      <c r="C1603" s="11" t="s">
        <v>18</v>
      </c>
      <c r="D1603" s="11" t="s">
        <v>19</v>
      </c>
      <c r="E1603" s="11" t="s">
        <v>19</v>
      </c>
      <c r="F1603" s="11" t="s">
        <v>5873</v>
      </c>
      <c r="G1603" s="11" t="s">
        <v>83</v>
      </c>
      <c r="H1603" s="11" t="s">
        <v>5873</v>
      </c>
      <c r="I1603" s="11" t="s">
        <v>5874</v>
      </c>
      <c r="J1603" s="12">
        <v>0.7571</v>
      </c>
      <c r="K1603" s="13">
        <v>2</v>
      </c>
      <c r="L1603" s="14">
        <v>179</v>
      </c>
      <c r="M1603" s="10">
        <v>136</v>
      </c>
      <c r="N1603" s="10">
        <v>19780</v>
      </c>
      <c r="O1603" s="10">
        <v>10665</v>
      </c>
      <c r="P1603" s="10">
        <v>30445</v>
      </c>
    </row>
    <row r="1604" spans="1:16" ht="27" customHeight="1" x14ac:dyDescent="0.2">
      <c r="A1604" s="9" t="s">
        <v>5806</v>
      </c>
      <c r="B1604" s="10" t="s">
        <v>5875</v>
      </c>
      <c r="C1604" s="11" t="s">
        <v>18</v>
      </c>
      <c r="D1604" s="11" t="s">
        <v>19</v>
      </c>
      <c r="E1604" s="11" t="s">
        <v>19</v>
      </c>
      <c r="F1604" s="11" t="s">
        <v>5876</v>
      </c>
      <c r="G1604" s="11" t="s">
        <v>83</v>
      </c>
      <c r="H1604" s="11" t="s">
        <v>5876</v>
      </c>
      <c r="I1604" s="11" t="s">
        <v>5877</v>
      </c>
      <c r="J1604" s="12">
        <v>0.56520000000000004</v>
      </c>
      <c r="K1604" s="13">
        <v>2</v>
      </c>
      <c r="L1604" s="14">
        <v>23</v>
      </c>
      <c r="M1604" s="10">
        <v>13</v>
      </c>
      <c r="N1604" s="10">
        <v>2542</v>
      </c>
      <c r="O1604" s="10">
        <v>1019</v>
      </c>
      <c r="P1604" s="10">
        <v>3561</v>
      </c>
    </row>
    <row r="1605" spans="1:16" ht="27" customHeight="1" x14ac:dyDescent="0.2">
      <c r="A1605" s="9" t="s">
        <v>5806</v>
      </c>
      <c r="B1605" s="10" t="s">
        <v>5875</v>
      </c>
      <c r="C1605" s="11" t="s">
        <v>5878</v>
      </c>
      <c r="D1605" s="11" t="s">
        <v>5879</v>
      </c>
      <c r="E1605" s="11" t="s">
        <v>57</v>
      </c>
      <c r="F1605" s="11" t="s">
        <v>5880</v>
      </c>
      <c r="G1605" s="11" t="s">
        <v>28</v>
      </c>
      <c r="H1605" s="11" t="s">
        <v>5880</v>
      </c>
      <c r="I1605" s="11" t="s">
        <v>5881</v>
      </c>
      <c r="J1605" s="12">
        <v>0.61370000000000002</v>
      </c>
      <c r="K1605" s="13">
        <v>1</v>
      </c>
      <c r="L1605" s="14">
        <v>233</v>
      </c>
      <c r="M1605" s="10">
        <v>143</v>
      </c>
      <c r="N1605" s="10">
        <v>25747</v>
      </c>
      <c r="O1605" s="10">
        <v>11214</v>
      </c>
      <c r="P1605" s="10">
        <v>36961</v>
      </c>
    </row>
    <row r="1606" spans="1:16" ht="27" customHeight="1" x14ac:dyDescent="0.2">
      <c r="A1606" s="9" t="s">
        <v>5806</v>
      </c>
      <c r="B1606" s="10" t="s">
        <v>5875</v>
      </c>
      <c r="C1606" s="11" t="s">
        <v>5882</v>
      </c>
      <c r="D1606" s="11" t="s">
        <v>5883</v>
      </c>
      <c r="E1606" s="11" t="s">
        <v>26</v>
      </c>
      <c r="F1606" s="11" t="s">
        <v>5884</v>
      </c>
      <c r="G1606" s="11" t="s">
        <v>28</v>
      </c>
      <c r="H1606" s="11" t="s">
        <v>5884</v>
      </c>
      <c r="I1606" s="11" t="s">
        <v>5885</v>
      </c>
      <c r="J1606" s="12">
        <v>0.72330000000000005</v>
      </c>
      <c r="K1606" s="13">
        <v>1</v>
      </c>
      <c r="L1606" s="14">
        <v>1189</v>
      </c>
      <c r="M1606" s="10">
        <v>860</v>
      </c>
      <c r="N1606" s="10">
        <v>131386</v>
      </c>
      <c r="O1606" s="10">
        <v>67440</v>
      </c>
      <c r="P1606" s="10">
        <v>198826</v>
      </c>
    </row>
    <row r="1607" spans="1:16" ht="27" customHeight="1" x14ac:dyDescent="0.2">
      <c r="A1607" s="9" t="s">
        <v>5806</v>
      </c>
      <c r="B1607" s="10" t="s">
        <v>5875</v>
      </c>
      <c r="C1607" s="11" t="s">
        <v>5886</v>
      </c>
      <c r="D1607" s="11" t="s">
        <v>5887</v>
      </c>
      <c r="E1607" s="11" t="s">
        <v>26</v>
      </c>
      <c r="F1607" s="11" t="s">
        <v>5888</v>
      </c>
      <c r="G1607" s="11" t="s">
        <v>28</v>
      </c>
      <c r="H1607" s="11" t="s">
        <v>5888</v>
      </c>
      <c r="I1607" s="11" t="s">
        <v>5889</v>
      </c>
      <c r="J1607" s="12">
        <v>0.63880000000000003</v>
      </c>
      <c r="K1607" s="13">
        <v>1</v>
      </c>
      <c r="L1607" s="14">
        <v>2561</v>
      </c>
      <c r="M1607" s="10">
        <v>1636</v>
      </c>
      <c r="N1607" s="10">
        <v>282995</v>
      </c>
      <c r="O1607" s="10">
        <v>128293</v>
      </c>
      <c r="P1607" s="10">
        <v>411288</v>
      </c>
    </row>
    <row r="1608" spans="1:16" ht="27" customHeight="1" x14ac:dyDescent="0.2">
      <c r="A1608" s="9" t="s">
        <v>5806</v>
      </c>
      <c r="B1608" s="10" t="s">
        <v>5875</v>
      </c>
      <c r="C1608" s="11" t="s">
        <v>5890</v>
      </c>
      <c r="D1608" s="11" t="s">
        <v>5891</v>
      </c>
      <c r="E1608" s="11" t="s">
        <v>57</v>
      </c>
      <c r="F1608" s="11" t="s">
        <v>5892</v>
      </c>
      <c r="G1608" s="11" t="s">
        <v>28</v>
      </c>
      <c r="H1608" s="11" t="s">
        <v>5892</v>
      </c>
      <c r="I1608" s="11" t="s">
        <v>5893</v>
      </c>
      <c r="J1608" s="12">
        <v>0.48959999999999998</v>
      </c>
      <c r="K1608" s="13">
        <v>1</v>
      </c>
      <c r="L1608" s="14">
        <v>241</v>
      </c>
      <c r="M1608" s="10">
        <v>118</v>
      </c>
      <c r="N1608" s="10">
        <v>26631</v>
      </c>
      <c r="O1608" s="10">
        <v>9253</v>
      </c>
      <c r="P1608" s="10">
        <v>35884</v>
      </c>
    </row>
    <row r="1609" spans="1:16" ht="27" customHeight="1" x14ac:dyDescent="0.2">
      <c r="A1609" s="9" t="s">
        <v>5806</v>
      </c>
      <c r="B1609" s="10" t="s">
        <v>5875</v>
      </c>
      <c r="C1609" s="11" t="s">
        <v>5894</v>
      </c>
      <c r="D1609" s="11" t="s">
        <v>5895</v>
      </c>
      <c r="E1609" s="11" t="s">
        <v>26</v>
      </c>
      <c r="F1609" s="11" t="s">
        <v>5896</v>
      </c>
      <c r="G1609" s="11" t="s">
        <v>28</v>
      </c>
      <c r="H1609" s="11" t="s">
        <v>5896</v>
      </c>
      <c r="I1609" s="11" t="s">
        <v>5897</v>
      </c>
      <c r="J1609" s="12">
        <v>0.26100000000000001</v>
      </c>
      <c r="K1609" s="13">
        <v>1</v>
      </c>
      <c r="L1609" s="14">
        <v>613</v>
      </c>
      <c r="M1609" s="10">
        <v>160</v>
      </c>
      <c r="N1609" s="10">
        <v>67738</v>
      </c>
      <c r="O1609" s="10">
        <v>12547</v>
      </c>
      <c r="P1609" s="10">
        <v>80285</v>
      </c>
    </row>
    <row r="1610" spans="1:16" ht="27" customHeight="1" x14ac:dyDescent="0.2">
      <c r="A1610" s="9" t="s">
        <v>5806</v>
      </c>
      <c r="B1610" s="10" t="s">
        <v>5875</v>
      </c>
      <c r="C1610" s="11" t="s">
        <v>5898</v>
      </c>
      <c r="D1610" s="11" t="s">
        <v>5899</v>
      </c>
      <c r="E1610" s="11" t="s">
        <v>26</v>
      </c>
      <c r="F1610" s="11" t="s">
        <v>5900</v>
      </c>
      <c r="G1610" s="11" t="s">
        <v>28</v>
      </c>
      <c r="H1610" s="11" t="s">
        <v>5900</v>
      </c>
      <c r="I1610" s="11" t="s">
        <v>5901</v>
      </c>
      <c r="J1610" s="12">
        <v>0.77569999999999995</v>
      </c>
      <c r="K1610" s="13">
        <v>1</v>
      </c>
      <c r="L1610" s="14">
        <v>214</v>
      </c>
      <c r="M1610" s="10">
        <v>166</v>
      </c>
      <c r="N1610" s="10">
        <v>23647</v>
      </c>
      <c r="O1610" s="10">
        <v>13018</v>
      </c>
      <c r="P1610" s="10">
        <v>36665</v>
      </c>
    </row>
    <row r="1611" spans="1:16" ht="27" customHeight="1" x14ac:dyDescent="0.2">
      <c r="A1611" s="9" t="s">
        <v>5806</v>
      </c>
      <c r="B1611" s="10" t="s">
        <v>5875</v>
      </c>
      <c r="C1611" s="11" t="s">
        <v>5902</v>
      </c>
      <c r="D1611" s="11" t="s">
        <v>5903</v>
      </c>
      <c r="E1611" s="11" t="s">
        <v>26</v>
      </c>
      <c r="F1611" s="11" t="s">
        <v>5904</v>
      </c>
      <c r="G1611" s="11" t="s">
        <v>28</v>
      </c>
      <c r="H1611" s="11" t="s">
        <v>5904</v>
      </c>
      <c r="I1611" s="11" t="s">
        <v>5905</v>
      </c>
      <c r="J1611" s="12">
        <v>0.58509999999999995</v>
      </c>
      <c r="K1611" s="13">
        <v>1</v>
      </c>
      <c r="L1611" s="14">
        <v>188</v>
      </c>
      <c r="M1611" s="10">
        <v>110</v>
      </c>
      <c r="N1611" s="10">
        <v>20774</v>
      </c>
      <c r="O1611" s="10">
        <v>8626</v>
      </c>
      <c r="P1611" s="10">
        <v>29400</v>
      </c>
    </row>
    <row r="1612" spans="1:16" ht="27" customHeight="1" x14ac:dyDescent="0.2">
      <c r="A1612" s="9" t="s">
        <v>5806</v>
      </c>
      <c r="B1612" s="10" t="s">
        <v>5875</v>
      </c>
      <c r="C1612" s="11" t="s">
        <v>5906</v>
      </c>
      <c r="D1612" s="11" t="s">
        <v>5907</v>
      </c>
      <c r="E1612" s="11" t="s">
        <v>57</v>
      </c>
      <c r="F1612" s="11" t="s">
        <v>5908</v>
      </c>
      <c r="G1612" s="11" t="s">
        <v>28</v>
      </c>
      <c r="H1612" s="11" t="s">
        <v>5908</v>
      </c>
      <c r="I1612" s="11" t="s">
        <v>5909</v>
      </c>
      <c r="J1612" s="12">
        <v>0.70730000000000004</v>
      </c>
      <c r="K1612" s="13">
        <v>1</v>
      </c>
      <c r="L1612" s="14">
        <v>123</v>
      </c>
      <c r="M1612" s="10">
        <v>87</v>
      </c>
      <c r="N1612" s="10">
        <v>13592</v>
      </c>
      <c r="O1612" s="10">
        <v>6822</v>
      </c>
      <c r="P1612" s="10">
        <v>20414</v>
      </c>
    </row>
    <row r="1613" spans="1:16" ht="27" customHeight="1" x14ac:dyDescent="0.2">
      <c r="A1613" s="9" t="s">
        <v>5806</v>
      </c>
      <c r="B1613" s="10" t="s">
        <v>5875</v>
      </c>
      <c r="C1613" s="11" t="s">
        <v>5910</v>
      </c>
      <c r="D1613" s="11" t="s">
        <v>5911</v>
      </c>
      <c r="E1613" s="11" t="s">
        <v>57</v>
      </c>
      <c r="F1613" s="11" t="s">
        <v>5912</v>
      </c>
      <c r="G1613" s="11" t="s">
        <v>28</v>
      </c>
      <c r="H1613" s="11" t="s">
        <v>5912</v>
      </c>
      <c r="I1613" s="11" t="s">
        <v>5913</v>
      </c>
      <c r="J1613" s="12">
        <v>0.49569999999999997</v>
      </c>
      <c r="K1613" s="13">
        <v>1</v>
      </c>
      <c r="L1613" s="14">
        <v>232</v>
      </c>
      <c r="M1613" s="10">
        <v>115</v>
      </c>
      <c r="N1613" s="10">
        <v>25636</v>
      </c>
      <c r="O1613" s="10">
        <v>9018</v>
      </c>
      <c r="P1613" s="10">
        <v>34654</v>
      </c>
    </row>
    <row r="1614" spans="1:16" ht="27" customHeight="1" x14ac:dyDescent="0.2">
      <c r="A1614" s="9" t="s">
        <v>5806</v>
      </c>
      <c r="B1614" s="10" t="s">
        <v>5875</v>
      </c>
      <c r="C1614" s="11" t="s">
        <v>5914</v>
      </c>
      <c r="D1614" s="11" t="s">
        <v>5915</v>
      </c>
      <c r="E1614" s="11" t="s">
        <v>57</v>
      </c>
      <c r="F1614" s="11" t="s">
        <v>5916</v>
      </c>
      <c r="G1614" s="11" t="s">
        <v>28</v>
      </c>
      <c r="H1614" s="11" t="s">
        <v>5916</v>
      </c>
      <c r="I1614" s="11" t="s">
        <v>5917</v>
      </c>
      <c r="J1614" s="12">
        <v>0.48749999999999999</v>
      </c>
      <c r="K1614" s="13">
        <v>1</v>
      </c>
      <c r="L1614" s="14">
        <v>798</v>
      </c>
      <c r="M1614" s="10">
        <v>389</v>
      </c>
      <c r="N1614" s="10">
        <v>88180</v>
      </c>
      <c r="O1614" s="10">
        <v>30505</v>
      </c>
      <c r="P1614" s="10">
        <v>118685</v>
      </c>
    </row>
    <row r="1615" spans="1:16" ht="27" customHeight="1" x14ac:dyDescent="0.2">
      <c r="A1615" s="9" t="s">
        <v>5806</v>
      </c>
      <c r="B1615" s="10" t="s">
        <v>5918</v>
      </c>
      <c r="C1615" s="11" t="s">
        <v>18</v>
      </c>
      <c r="D1615" s="11" t="s">
        <v>19</v>
      </c>
      <c r="E1615" s="11" t="s">
        <v>19</v>
      </c>
      <c r="F1615" s="11" t="s">
        <v>5919</v>
      </c>
      <c r="G1615" s="11" t="s">
        <v>83</v>
      </c>
      <c r="H1615" s="11" t="s">
        <v>4096</v>
      </c>
      <c r="I1615" s="11" t="s">
        <v>5920</v>
      </c>
      <c r="J1615" s="12">
        <v>0.42480000000000001</v>
      </c>
      <c r="K1615" s="13">
        <v>2</v>
      </c>
      <c r="L1615" s="14">
        <v>382</v>
      </c>
      <c r="M1615" s="10">
        <v>162</v>
      </c>
      <c r="N1615" s="10">
        <v>42212</v>
      </c>
      <c r="O1615" s="10">
        <v>12704</v>
      </c>
      <c r="P1615" s="10">
        <v>54916</v>
      </c>
    </row>
    <row r="1616" spans="1:16" ht="27" customHeight="1" x14ac:dyDescent="0.2">
      <c r="A1616" s="9" t="s">
        <v>5806</v>
      </c>
      <c r="B1616" s="10" t="s">
        <v>5921</v>
      </c>
      <c r="C1616" s="11" t="s">
        <v>18</v>
      </c>
      <c r="D1616" s="11" t="s">
        <v>19</v>
      </c>
      <c r="E1616" s="11" t="s">
        <v>19</v>
      </c>
      <c r="F1616" s="11" t="s">
        <v>5922</v>
      </c>
      <c r="G1616" s="11" t="s">
        <v>83</v>
      </c>
      <c r="H1616" s="11" t="s">
        <v>5923</v>
      </c>
      <c r="I1616" s="11" t="s">
        <v>5924</v>
      </c>
      <c r="J1616" s="12">
        <v>0.47710000000000002</v>
      </c>
      <c r="K1616" s="13">
        <v>8</v>
      </c>
      <c r="L1616" s="14">
        <v>3322</v>
      </c>
      <c r="M1616" s="10">
        <v>1041</v>
      </c>
      <c r="N1616" s="10">
        <v>367088</v>
      </c>
      <c r="O1616" s="10">
        <v>81634</v>
      </c>
      <c r="P1616" s="10">
        <v>448722</v>
      </c>
    </row>
    <row r="1617" spans="1:16" ht="27" customHeight="1" x14ac:dyDescent="0.2">
      <c r="A1617" s="9" t="s">
        <v>5806</v>
      </c>
      <c r="B1617" s="10" t="s">
        <v>5921</v>
      </c>
      <c r="C1617" s="11" t="s">
        <v>5925</v>
      </c>
      <c r="D1617" s="11" t="s">
        <v>5926</v>
      </c>
      <c r="E1617" s="11" t="s">
        <v>26</v>
      </c>
      <c r="F1617" s="11" t="s">
        <v>5927</v>
      </c>
      <c r="G1617" s="11" t="s">
        <v>28</v>
      </c>
      <c r="H1617" s="11" t="s">
        <v>5927</v>
      </c>
      <c r="I1617" s="11" t="s">
        <v>5928</v>
      </c>
      <c r="J1617" s="12">
        <v>0.48070000000000002</v>
      </c>
      <c r="K1617" s="13">
        <v>1</v>
      </c>
      <c r="L1617" s="14">
        <v>1766</v>
      </c>
      <c r="M1617" s="10">
        <v>849</v>
      </c>
      <c r="N1617" s="10">
        <v>195146</v>
      </c>
      <c r="O1617" s="10">
        <v>66578</v>
      </c>
      <c r="P1617" s="10">
        <v>261724</v>
      </c>
    </row>
    <row r="1618" spans="1:16" ht="27" customHeight="1" x14ac:dyDescent="0.2">
      <c r="A1618" s="9" t="s">
        <v>5806</v>
      </c>
      <c r="B1618" s="10" t="s">
        <v>5929</v>
      </c>
      <c r="C1618" s="11" t="s">
        <v>18</v>
      </c>
      <c r="D1618" s="11" t="s">
        <v>19</v>
      </c>
      <c r="E1618" s="11" t="s">
        <v>19</v>
      </c>
      <c r="F1618" s="11" t="s">
        <v>5930</v>
      </c>
      <c r="G1618" s="11" t="s">
        <v>83</v>
      </c>
      <c r="H1618" s="11" t="s">
        <v>5931</v>
      </c>
      <c r="I1618" s="11" t="s">
        <v>5932</v>
      </c>
      <c r="J1618" s="12">
        <v>0.92359999999999998</v>
      </c>
      <c r="K1618" s="13">
        <v>50</v>
      </c>
      <c r="L1618" s="14">
        <v>34453</v>
      </c>
      <c r="M1618" s="10">
        <v>26482</v>
      </c>
      <c r="N1618" s="10">
        <v>3807113</v>
      </c>
      <c r="O1618" s="10">
        <v>2076689</v>
      </c>
      <c r="P1618" s="10">
        <v>5883802</v>
      </c>
    </row>
    <row r="1619" spans="1:16" ht="27" customHeight="1" x14ac:dyDescent="0.2">
      <c r="A1619" s="9" t="s">
        <v>5806</v>
      </c>
      <c r="B1619" s="10" t="s">
        <v>5929</v>
      </c>
      <c r="C1619" s="11" t="s">
        <v>5933</v>
      </c>
      <c r="D1619" s="11" t="s">
        <v>5934</v>
      </c>
      <c r="E1619" s="11" t="s">
        <v>26</v>
      </c>
      <c r="F1619" s="11" t="s">
        <v>5935</v>
      </c>
      <c r="G1619" s="11" t="s">
        <v>28</v>
      </c>
      <c r="H1619" s="11" t="s">
        <v>5935</v>
      </c>
      <c r="I1619" s="11" t="s">
        <v>5936</v>
      </c>
      <c r="J1619" s="12">
        <v>0.84260000000000002</v>
      </c>
      <c r="K1619" s="13">
        <v>1</v>
      </c>
      <c r="L1619" s="14">
        <v>394</v>
      </c>
      <c r="M1619" s="10">
        <v>332</v>
      </c>
      <c r="N1619" s="10">
        <v>43538</v>
      </c>
      <c r="O1619" s="10">
        <v>26035</v>
      </c>
      <c r="P1619" s="10">
        <v>69573</v>
      </c>
    </row>
    <row r="1620" spans="1:16" ht="27" customHeight="1" x14ac:dyDescent="0.2">
      <c r="A1620" s="9" t="s">
        <v>5806</v>
      </c>
      <c r="B1620" s="10" t="s">
        <v>5929</v>
      </c>
      <c r="C1620" s="11" t="s">
        <v>5937</v>
      </c>
      <c r="D1620" s="11" t="s">
        <v>5938</v>
      </c>
      <c r="E1620" s="11" t="s">
        <v>57</v>
      </c>
      <c r="F1620" s="11" t="s">
        <v>5939</v>
      </c>
      <c r="G1620" s="11" t="s">
        <v>28</v>
      </c>
      <c r="H1620" s="11" t="s">
        <v>5939</v>
      </c>
      <c r="I1620" s="11" t="s">
        <v>5940</v>
      </c>
      <c r="J1620" s="12">
        <v>0.81589999999999996</v>
      </c>
      <c r="K1620" s="13">
        <v>1</v>
      </c>
      <c r="L1620" s="14">
        <v>682</v>
      </c>
      <c r="M1620" s="10">
        <v>556</v>
      </c>
      <c r="N1620" s="10">
        <v>75362</v>
      </c>
      <c r="O1620" s="10">
        <v>43601</v>
      </c>
      <c r="P1620" s="10">
        <v>118963</v>
      </c>
    </row>
    <row r="1621" spans="1:16" ht="27" customHeight="1" x14ac:dyDescent="0.2">
      <c r="A1621" s="9" t="s">
        <v>5806</v>
      </c>
      <c r="B1621" s="10" t="s">
        <v>5929</v>
      </c>
      <c r="C1621" s="11" t="s">
        <v>5941</v>
      </c>
      <c r="D1621" s="11" t="s">
        <v>5942</v>
      </c>
      <c r="E1621" s="11" t="s">
        <v>26</v>
      </c>
      <c r="F1621" s="11" t="s">
        <v>5943</v>
      </c>
      <c r="G1621" s="11" t="s">
        <v>28</v>
      </c>
      <c r="H1621" s="11" t="s">
        <v>5943</v>
      </c>
      <c r="I1621" s="11" t="s">
        <v>5944</v>
      </c>
      <c r="J1621" s="12">
        <v>0.76229999999999998</v>
      </c>
      <c r="K1621" s="13">
        <v>1</v>
      </c>
      <c r="L1621" s="14">
        <v>446</v>
      </c>
      <c r="M1621" s="10">
        <v>340</v>
      </c>
      <c r="N1621" s="10">
        <v>49284</v>
      </c>
      <c r="O1621" s="10">
        <v>26662</v>
      </c>
      <c r="P1621" s="10">
        <v>75946</v>
      </c>
    </row>
    <row r="1622" spans="1:16" ht="27" customHeight="1" x14ac:dyDescent="0.2">
      <c r="A1622" s="9" t="s">
        <v>5806</v>
      </c>
      <c r="B1622" s="10" t="s">
        <v>5929</v>
      </c>
      <c r="C1622" s="11" t="s">
        <v>5945</v>
      </c>
      <c r="D1622" s="11" t="s">
        <v>5946</v>
      </c>
      <c r="E1622" s="11" t="s">
        <v>26</v>
      </c>
      <c r="F1622" s="11" t="s">
        <v>5947</v>
      </c>
      <c r="G1622" s="11" t="s">
        <v>28</v>
      </c>
      <c r="H1622" s="11" t="s">
        <v>5947</v>
      </c>
      <c r="I1622" s="11" t="s">
        <v>5948</v>
      </c>
      <c r="J1622" s="12">
        <v>0.96150000000000002</v>
      </c>
      <c r="K1622" s="13">
        <v>1</v>
      </c>
      <c r="L1622" s="14">
        <v>260</v>
      </c>
      <c r="M1622" s="10">
        <v>250</v>
      </c>
      <c r="N1622" s="10">
        <v>28730</v>
      </c>
      <c r="O1622" s="10">
        <v>19605</v>
      </c>
      <c r="P1622" s="10">
        <v>48335</v>
      </c>
    </row>
    <row r="1623" spans="1:16" ht="27" customHeight="1" x14ac:dyDescent="0.2">
      <c r="A1623" s="9" t="s">
        <v>5806</v>
      </c>
      <c r="B1623" s="10" t="s">
        <v>5929</v>
      </c>
      <c r="C1623" s="11" t="s">
        <v>5949</v>
      </c>
      <c r="D1623" s="11" t="s">
        <v>5950</v>
      </c>
      <c r="E1623" s="11" t="s">
        <v>26</v>
      </c>
      <c r="F1623" s="11" t="s">
        <v>5951</v>
      </c>
      <c r="G1623" s="11" t="s">
        <v>28</v>
      </c>
      <c r="H1623" s="11" t="s">
        <v>5951</v>
      </c>
      <c r="I1623" s="11" t="s">
        <v>5952</v>
      </c>
      <c r="J1623" s="12">
        <v>0.65839999999999999</v>
      </c>
      <c r="K1623" s="13">
        <v>1</v>
      </c>
      <c r="L1623" s="14">
        <v>770</v>
      </c>
      <c r="M1623" s="10">
        <v>507</v>
      </c>
      <c r="N1623" s="10">
        <v>85086</v>
      </c>
      <c r="O1623" s="10">
        <v>39758</v>
      </c>
      <c r="P1623" s="10">
        <v>124844</v>
      </c>
    </row>
    <row r="1624" spans="1:16" ht="27" customHeight="1" x14ac:dyDescent="0.2">
      <c r="A1624" s="9" t="s">
        <v>5806</v>
      </c>
      <c r="B1624" s="10" t="s">
        <v>5929</v>
      </c>
      <c r="C1624" s="11" t="s">
        <v>5953</v>
      </c>
      <c r="D1624" s="11" t="s">
        <v>5954</v>
      </c>
      <c r="E1624" s="11" t="s">
        <v>57</v>
      </c>
      <c r="F1624" s="11" t="s">
        <v>5955</v>
      </c>
      <c r="G1624" s="11" t="s">
        <v>28</v>
      </c>
      <c r="H1624" s="11" t="s">
        <v>5809</v>
      </c>
      <c r="I1624" s="11" t="s">
        <v>5810</v>
      </c>
      <c r="J1624" s="12">
        <v>0.96760000000000002</v>
      </c>
      <c r="K1624" s="13">
        <v>1</v>
      </c>
      <c r="L1624" s="14">
        <v>428</v>
      </c>
      <c r="M1624" s="10">
        <v>255</v>
      </c>
      <c r="N1624" s="10">
        <v>47295</v>
      </c>
      <c r="O1624" s="10">
        <v>19997</v>
      </c>
      <c r="P1624" s="10">
        <v>67292</v>
      </c>
    </row>
    <row r="1625" spans="1:16" ht="27" customHeight="1" x14ac:dyDescent="0.2">
      <c r="A1625" s="9" t="s">
        <v>5806</v>
      </c>
      <c r="B1625" s="10" t="s">
        <v>5929</v>
      </c>
      <c r="C1625" s="11" t="s">
        <v>5956</v>
      </c>
      <c r="D1625" s="11" t="s">
        <v>5957</v>
      </c>
      <c r="E1625" s="11" t="s">
        <v>26</v>
      </c>
      <c r="F1625" s="11" t="s">
        <v>5958</v>
      </c>
      <c r="G1625" s="11" t="s">
        <v>28</v>
      </c>
      <c r="H1625" s="11" t="s">
        <v>5958</v>
      </c>
      <c r="I1625" s="11" t="s">
        <v>5959</v>
      </c>
      <c r="J1625" s="12">
        <v>0.5181</v>
      </c>
      <c r="K1625" s="13">
        <v>1</v>
      </c>
      <c r="L1625" s="14">
        <v>386</v>
      </c>
      <c r="M1625" s="10">
        <v>200</v>
      </c>
      <c r="N1625" s="10">
        <v>42654</v>
      </c>
      <c r="O1625" s="10">
        <v>15684</v>
      </c>
      <c r="P1625" s="10">
        <v>58338</v>
      </c>
    </row>
    <row r="1626" spans="1:16" ht="27" customHeight="1" x14ac:dyDescent="0.2">
      <c r="A1626" s="9" t="s">
        <v>5806</v>
      </c>
      <c r="B1626" s="10" t="s">
        <v>5929</v>
      </c>
      <c r="C1626" s="11" t="s">
        <v>5960</v>
      </c>
      <c r="D1626" s="11" t="s">
        <v>5961</v>
      </c>
      <c r="E1626" s="11" t="s">
        <v>26</v>
      </c>
      <c r="F1626" s="11" t="s">
        <v>5962</v>
      </c>
      <c r="G1626" s="11" t="s">
        <v>28</v>
      </c>
      <c r="H1626" s="11" t="s">
        <v>5962</v>
      </c>
      <c r="I1626" s="11" t="s">
        <v>5963</v>
      </c>
      <c r="J1626" s="12">
        <v>0.32290000000000002</v>
      </c>
      <c r="K1626" s="13">
        <v>1</v>
      </c>
      <c r="L1626" s="14">
        <v>449</v>
      </c>
      <c r="M1626" s="10">
        <v>145</v>
      </c>
      <c r="N1626" s="10">
        <v>49615</v>
      </c>
      <c r="O1626" s="10">
        <v>11371</v>
      </c>
      <c r="P1626" s="10">
        <v>60986</v>
      </c>
    </row>
    <row r="1627" spans="1:16" ht="27" customHeight="1" x14ac:dyDescent="0.2">
      <c r="A1627" s="9" t="s">
        <v>5806</v>
      </c>
      <c r="B1627" s="10" t="s">
        <v>5929</v>
      </c>
      <c r="C1627" s="11" t="s">
        <v>5964</v>
      </c>
      <c r="D1627" s="11" t="s">
        <v>5965</v>
      </c>
      <c r="E1627" s="11" t="s">
        <v>26</v>
      </c>
      <c r="F1627" s="11" t="s">
        <v>5966</v>
      </c>
      <c r="G1627" s="11" t="s">
        <v>28</v>
      </c>
      <c r="H1627" s="11" t="s">
        <v>5966</v>
      </c>
      <c r="I1627" s="11" t="s">
        <v>5967</v>
      </c>
      <c r="J1627" s="12">
        <v>0.76870000000000005</v>
      </c>
      <c r="K1627" s="13">
        <v>1</v>
      </c>
      <c r="L1627" s="14">
        <v>307</v>
      </c>
      <c r="M1627" s="10">
        <v>236</v>
      </c>
      <c r="N1627" s="10">
        <v>33924</v>
      </c>
      <c r="O1627" s="10">
        <v>18507</v>
      </c>
      <c r="P1627" s="10">
        <v>52431</v>
      </c>
    </row>
    <row r="1628" spans="1:16" ht="27" customHeight="1" x14ac:dyDescent="0.2">
      <c r="A1628" s="9" t="s">
        <v>5806</v>
      </c>
      <c r="B1628" s="10" t="s">
        <v>5929</v>
      </c>
      <c r="C1628" s="11" t="s">
        <v>5968</v>
      </c>
      <c r="D1628" s="11" t="s">
        <v>5969</v>
      </c>
      <c r="E1628" s="11" t="s">
        <v>57</v>
      </c>
      <c r="F1628" s="11" t="s">
        <v>5970</v>
      </c>
      <c r="G1628" s="11" t="s">
        <v>28</v>
      </c>
      <c r="H1628" s="11" t="s">
        <v>5809</v>
      </c>
      <c r="I1628" s="11" t="s">
        <v>5810</v>
      </c>
      <c r="J1628" s="12">
        <v>0.96760000000000002</v>
      </c>
      <c r="K1628" s="13">
        <v>1</v>
      </c>
      <c r="L1628" s="14">
        <v>407</v>
      </c>
      <c r="M1628" s="10">
        <v>296</v>
      </c>
      <c r="N1628" s="10">
        <v>44974</v>
      </c>
      <c r="O1628" s="10">
        <v>23212</v>
      </c>
      <c r="P1628" s="10">
        <v>68186</v>
      </c>
    </row>
    <row r="1629" spans="1:16" ht="27" customHeight="1" x14ac:dyDescent="0.2">
      <c r="A1629" s="9" t="s">
        <v>5806</v>
      </c>
      <c r="B1629" s="10" t="s">
        <v>5929</v>
      </c>
      <c r="C1629" s="11" t="s">
        <v>5971</v>
      </c>
      <c r="D1629" s="11" t="s">
        <v>5972</v>
      </c>
      <c r="E1629" s="11" t="s">
        <v>57</v>
      </c>
      <c r="F1629" s="11" t="s">
        <v>5973</v>
      </c>
      <c r="G1629" s="11" t="s">
        <v>28</v>
      </c>
      <c r="H1629" s="11" t="s">
        <v>5809</v>
      </c>
      <c r="I1629" s="11" t="s">
        <v>5810</v>
      </c>
      <c r="J1629" s="12">
        <v>0.96760000000000002</v>
      </c>
      <c r="K1629" s="13">
        <v>1</v>
      </c>
      <c r="L1629" s="14">
        <v>184</v>
      </c>
      <c r="M1629" s="10">
        <v>100</v>
      </c>
      <c r="N1629" s="10">
        <v>20332</v>
      </c>
      <c r="O1629" s="10">
        <v>7842</v>
      </c>
      <c r="P1629" s="10">
        <v>28174</v>
      </c>
    </row>
    <row r="1630" spans="1:16" ht="27" customHeight="1" x14ac:dyDescent="0.2">
      <c r="A1630" s="9" t="s">
        <v>5806</v>
      </c>
      <c r="B1630" s="10" t="s">
        <v>5929</v>
      </c>
      <c r="C1630" s="11" t="s">
        <v>5974</v>
      </c>
      <c r="D1630" s="11" t="s">
        <v>5975</v>
      </c>
      <c r="E1630" s="11" t="s">
        <v>26</v>
      </c>
      <c r="F1630" s="11" t="s">
        <v>5976</v>
      </c>
      <c r="G1630" s="11" t="s">
        <v>28</v>
      </c>
      <c r="H1630" s="11" t="s">
        <v>5809</v>
      </c>
      <c r="I1630" s="11" t="s">
        <v>5810</v>
      </c>
      <c r="J1630" s="12">
        <v>0.96760000000000002</v>
      </c>
      <c r="K1630" s="13">
        <v>1</v>
      </c>
      <c r="L1630" s="14">
        <v>195</v>
      </c>
      <c r="M1630" s="10">
        <v>160</v>
      </c>
      <c r="N1630" s="10">
        <v>21548</v>
      </c>
      <c r="O1630" s="10">
        <v>12547</v>
      </c>
      <c r="P1630" s="10">
        <v>34095</v>
      </c>
    </row>
    <row r="1631" spans="1:16" ht="27" customHeight="1" x14ac:dyDescent="0.2">
      <c r="A1631" s="9" t="s">
        <v>5806</v>
      </c>
      <c r="B1631" s="10" t="s">
        <v>5929</v>
      </c>
      <c r="C1631" s="11" t="s">
        <v>5977</v>
      </c>
      <c r="D1631" s="11" t="s">
        <v>5978</v>
      </c>
      <c r="E1631" s="11" t="s">
        <v>26</v>
      </c>
      <c r="F1631" s="11" t="s">
        <v>5979</v>
      </c>
      <c r="G1631" s="11" t="s">
        <v>28</v>
      </c>
      <c r="H1631" s="11" t="s">
        <v>5979</v>
      </c>
      <c r="I1631" s="11" t="s">
        <v>5980</v>
      </c>
      <c r="J1631" s="12">
        <v>0.90849999999999997</v>
      </c>
      <c r="K1631" s="13">
        <v>1</v>
      </c>
      <c r="L1631" s="14">
        <v>142</v>
      </c>
      <c r="M1631" s="10">
        <v>129</v>
      </c>
      <c r="N1631" s="10">
        <v>15691</v>
      </c>
      <c r="O1631" s="10">
        <v>10116</v>
      </c>
      <c r="P1631" s="10">
        <v>25807</v>
      </c>
    </row>
    <row r="1632" spans="1:16" ht="27" customHeight="1" x14ac:dyDescent="0.2">
      <c r="A1632" s="9" t="s">
        <v>5806</v>
      </c>
      <c r="B1632" s="10" t="s">
        <v>5929</v>
      </c>
      <c r="C1632" s="11" t="s">
        <v>5981</v>
      </c>
      <c r="D1632" s="11" t="s">
        <v>5982</v>
      </c>
      <c r="E1632" s="11" t="s">
        <v>26</v>
      </c>
      <c r="F1632" s="11" t="s">
        <v>5983</v>
      </c>
      <c r="G1632" s="11" t="s">
        <v>28</v>
      </c>
      <c r="H1632" s="11" t="s">
        <v>5983</v>
      </c>
      <c r="I1632" s="11" t="s">
        <v>5984</v>
      </c>
      <c r="J1632" s="12">
        <v>0.62139999999999995</v>
      </c>
      <c r="K1632" s="13">
        <v>1</v>
      </c>
      <c r="L1632" s="14">
        <v>103</v>
      </c>
      <c r="M1632" s="10">
        <v>64</v>
      </c>
      <c r="N1632" s="10">
        <v>11382</v>
      </c>
      <c r="O1632" s="10">
        <v>5019</v>
      </c>
      <c r="P1632" s="10">
        <v>16401</v>
      </c>
    </row>
    <row r="1633" spans="1:16" ht="27" customHeight="1" x14ac:dyDescent="0.2">
      <c r="A1633" s="9" t="s">
        <v>5806</v>
      </c>
      <c r="B1633" s="10" t="s">
        <v>5929</v>
      </c>
      <c r="C1633" s="11" t="s">
        <v>5985</v>
      </c>
      <c r="D1633" s="11" t="s">
        <v>5986</v>
      </c>
      <c r="E1633" s="11" t="s">
        <v>26</v>
      </c>
      <c r="F1633" s="11" t="s">
        <v>5987</v>
      </c>
      <c r="G1633" s="11" t="s">
        <v>28</v>
      </c>
      <c r="H1633" s="11" t="s">
        <v>5987</v>
      </c>
      <c r="I1633" s="11" t="s">
        <v>5988</v>
      </c>
      <c r="J1633" s="12">
        <v>0.68510000000000004</v>
      </c>
      <c r="K1633" s="13">
        <v>1</v>
      </c>
      <c r="L1633" s="14">
        <v>181</v>
      </c>
      <c r="M1633" s="10">
        <v>124</v>
      </c>
      <c r="N1633" s="10">
        <v>20001</v>
      </c>
      <c r="O1633" s="10">
        <v>9724</v>
      </c>
      <c r="P1633" s="10">
        <v>29725</v>
      </c>
    </row>
    <row r="1634" spans="1:16" ht="27" customHeight="1" x14ac:dyDescent="0.2">
      <c r="A1634" s="9" t="s">
        <v>5806</v>
      </c>
      <c r="B1634" s="10" t="s">
        <v>5929</v>
      </c>
      <c r="C1634" s="11" t="s">
        <v>5989</v>
      </c>
      <c r="D1634" s="11" t="s">
        <v>5990</v>
      </c>
      <c r="E1634" s="11" t="s">
        <v>26</v>
      </c>
      <c r="F1634" s="11" t="s">
        <v>5991</v>
      </c>
      <c r="G1634" s="11" t="s">
        <v>28</v>
      </c>
      <c r="H1634" s="11" t="s">
        <v>5991</v>
      </c>
      <c r="I1634" s="11" t="s">
        <v>5992</v>
      </c>
      <c r="J1634" s="12">
        <v>0.89870000000000005</v>
      </c>
      <c r="K1634" s="13">
        <v>1</v>
      </c>
      <c r="L1634" s="14">
        <v>79</v>
      </c>
      <c r="M1634" s="10">
        <v>71</v>
      </c>
      <c r="N1634" s="10">
        <v>8730</v>
      </c>
      <c r="O1634" s="10">
        <v>5568</v>
      </c>
      <c r="P1634" s="10">
        <v>14298</v>
      </c>
    </row>
    <row r="1635" spans="1:16" ht="27" customHeight="1" x14ac:dyDescent="0.2">
      <c r="A1635" s="9" t="s">
        <v>5806</v>
      </c>
      <c r="B1635" s="10" t="s">
        <v>5929</v>
      </c>
      <c r="C1635" s="11" t="s">
        <v>5993</v>
      </c>
      <c r="D1635" s="11" t="s">
        <v>5994</v>
      </c>
      <c r="E1635" s="11" t="s">
        <v>26</v>
      </c>
      <c r="F1635" s="11" t="s">
        <v>5995</v>
      </c>
      <c r="G1635" s="11" t="s">
        <v>28</v>
      </c>
      <c r="H1635" s="11" t="s">
        <v>5995</v>
      </c>
      <c r="I1635" s="11" t="s">
        <v>5996</v>
      </c>
      <c r="J1635" s="12">
        <v>0.90910000000000002</v>
      </c>
      <c r="K1635" s="13">
        <v>1</v>
      </c>
      <c r="L1635" s="14">
        <v>33</v>
      </c>
      <c r="M1635" s="10">
        <v>30</v>
      </c>
      <c r="N1635" s="10">
        <v>3647</v>
      </c>
      <c r="O1635" s="10">
        <v>2353</v>
      </c>
      <c r="P1635" s="10">
        <v>6000</v>
      </c>
    </row>
    <row r="1636" spans="1:16" ht="27" customHeight="1" x14ac:dyDescent="0.2">
      <c r="A1636" s="9" t="s">
        <v>5806</v>
      </c>
      <c r="B1636" s="10" t="s">
        <v>5929</v>
      </c>
      <c r="C1636" s="11" t="s">
        <v>5997</v>
      </c>
      <c r="D1636" s="11" t="s">
        <v>5998</v>
      </c>
      <c r="E1636" s="11" t="s">
        <v>57</v>
      </c>
      <c r="F1636" s="11" t="s">
        <v>5999</v>
      </c>
      <c r="G1636" s="11" t="s">
        <v>28</v>
      </c>
      <c r="H1636" s="11" t="s">
        <v>5999</v>
      </c>
      <c r="I1636" s="11" t="s">
        <v>6000</v>
      </c>
      <c r="J1636" s="12">
        <v>0.77480000000000004</v>
      </c>
      <c r="K1636" s="13">
        <v>1</v>
      </c>
      <c r="L1636" s="14">
        <v>417</v>
      </c>
      <c r="M1636" s="10">
        <v>323</v>
      </c>
      <c r="N1636" s="10">
        <v>46079</v>
      </c>
      <c r="O1636" s="10">
        <v>25329</v>
      </c>
      <c r="P1636" s="10">
        <v>71408</v>
      </c>
    </row>
    <row r="1637" spans="1:16" ht="27" customHeight="1" x14ac:dyDescent="0.2">
      <c r="A1637" s="9" t="s">
        <v>5806</v>
      </c>
      <c r="B1637" s="10" t="s">
        <v>6001</v>
      </c>
      <c r="C1637" s="11" t="s">
        <v>18</v>
      </c>
      <c r="D1637" s="11" t="s">
        <v>19</v>
      </c>
      <c r="E1637" s="11" t="s">
        <v>19</v>
      </c>
      <c r="F1637" s="11" t="s">
        <v>6002</v>
      </c>
      <c r="G1637" s="11" t="s">
        <v>83</v>
      </c>
      <c r="H1637" s="11" t="s">
        <v>1806</v>
      </c>
      <c r="I1637" s="11" t="s">
        <v>6003</v>
      </c>
      <c r="J1637" s="12">
        <v>0.85499999999999998</v>
      </c>
      <c r="K1637" s="13">
        <v>20</v>
      </c>
      <c r="L1637" s="14">
        <v>13749</v>
      </c>
      <c r="M1637" s="10">
        <v>7674</v>
      </c>
      <c r="N1637" s="10">
        <v>1519288</v>
      </c>
      <c r="O1637" s="10">
        <v>601788</v>
      </c>
      <c r="P1637" s="10">
        <v>2121076</v>
      </c>
    </row>
    <row r="1638" spans="1:16" ht="27" customHeight="1" x14ac:dyDescent="0.2">
      <c r="A1638" s="9" t="s">
        <v>5806</v>
      </c>
      <c r="B1638" s="10" t="s">
        <v>6001</v>
      </c>
      <c r="C1638" s="11" t="s">
        <v>6004</v>
      </c>
      <c r="D1638" s="11" t="s">
        <v>6005</v>
      </c>
      <c r="E1638" s="11" t="s">
        <v>26</v>
      </c>
      <c r="F1638" s="11" t="s">
        <v>6006</v>
      </c>
      <c r="G1638" s="11" t="s">
        <v>28</v>
      </c>
      <c r="H1638" s="11" t="s">
        <v>6006</v>
      </c>
      <c r="I1638" s="11" t="s">
        <v>6007</v>
      </c>
      <c r="J1638" s="12">
        <v>0.1915</v>
      </c>
      <c r="K1638" s="13">
        <v>1</v>
      </c>
      <c r="L1638" s="14">
        <v>402</v>
      </c>
      <c r="M1638" s="10">
        <v>77</v>
      </c>
      <c r="N1638" s="10">
        <v>44422</v>
      </c>
      <c r="O1638" s="10">
        <v>6038</v>
      </c>
      <c r="P1638" s="10">
        <v>50460</v>
      </c>
    </row>
    <row r="1639" spans="1:16" ht="27" customHeight="1" x14ac:dyDescent="0.2">
      <c r="A1639" s="9" t="s">
        <v>5806</v>
      </c>
      <c r="B1639" s="10" t="s">
        <v>6001</v>
      </c>
      <c r="C1639" s="11" t="s">
        <v>6008</v>
      </c>
      <c r="D1639" s="11" t="s">
        <v>6009</v>
      </c>
      <c r="E1639" s="11" t="s">
        <v>26</v>
      </c>
      <c r="F1639" s="11" t="s">
        <v>6010</v>
      </c>
      <c r="G1639" s="11" t="s">
        <v>28</v>
      </c>
      <c r="H1639" s="11" t="s">
        <v>5809</v>
      </c>
      <c r="I1639" s="11" t="s">
        <v>5810</v>
      </c>
      <c r="J1639" s="12">
        <v>0.96760000000000002</v>
      </c>
      <c r="K1639" s="13">
        <v>1</v>
      </c>
      <c r="L1639" s="14">
        <v>478</v>
      </c>
      <c r="M1639" s="10">
        <v>160</v>
      </c>
      <c r="N1639" s="10">
        <v>52820</v>
      </c>
      <c r="O1639" s="10">
        <v>12547</v>
      </c>
      <c r="P1639" s="10">
        <v>65367</v>
      </c>
    </row>
    <row r="1640" spans="1:16" ht="27" customHeight="1" x14ac:dyDescent="0.2">
      <c r="A1640" s="9" t="s">
        <v>5806</v>
      </c>
      <c r="B1640" s="10" t="s">
        <v>6001</v>
      </c>
      <c r="C1640" s="11" t="s">
        <v>6011</v>
      </c>
      <c r="D1640" s="11" t="s">
        <v>6012</v>
      </c>
      <c r="E1640" s="11" t="s">
        <v>57</v>
      </c>
      <c r="F1640" s="11" t="s">
        <v>6013</v>
      </c>
      <c r="G1640" s="11" t="s">
        <v>28</v>
      </c>
      <c r="H1640" s="11" t="s">
        <v>6013</v>
      </c>
      <c r="I1640" s="11" t="s">
        <v>6014</v>
      </c>
      <c r="J1640" s="12">
        <v>0.63</v>
      </c>
      <c r="K1640" s="13">
        <v>1</v>
      </c>
      <c r="L1640" s="14">
        <v>300</v>
      </c>
      <c r="M1640" s="10">
        <v>189</v>
      </c>
      <c r="N1640" s="10">
        <v>33150</v>
      </c>
      <c r="O1640" s="10">
        <v>14821</v>
      </c>
      <c r="P1640" s="10">
        <v>47971</v>
      </c>
    </row>
    <row r="1641" spans="1:16" ht="27" customHeight="1" x14ac:dyDescent="0.2">
      <c r="A1641" s="9" t="s">
        <v>5806</v>
      </c>
      <c r="B1641" s="10" t="s">
        <v>6001</v>
      </c>
      <c r="C1641" s="11" t="s">
        <v>6015</v>
      </c>
      <c r="D1641" s="11" t="s">
        <v>6016</v>
      </c>
      <c r="E1641" s="11" t="s">
        <v>26</v>
      </c>
      <c r="F1641" s="11" t="s">
        <v>5224</v>
      </c>
      <c r="G1641" s="11" t="s">
        <v>28</v>
      </c>
      <c r="H1641" s="11" t="s">
        <v>5809</v>
      </c>
      <c r="I1641" s="11" t="s">
        <v>5810</v>
      </c>
      <c r="J1641" s="12">
        <v>0.96760000000000002</v>
      </c>
      <c r="K1641" s="13">
        <v>1</v>
      </c>
      <c r="L1641" s="14">
        <v>365</v>
      </c>
      <c r="M1641" s="10">
        <v>84</v>
      </c>
      <c r="N1641" s="10">
        <v>40333</v>
      </c>
      <c r="O1641" s="10">
        <v>6587</v>
      </c>
      <c r="P1641" s="10">
        <v>46920</v>
      </c>
    </row>
    <row r="1642" spans="1:16" ht="27" customHeight="1" x14ac:dyDescent="0.2">
      <c r="A1642" s="9" t="s">
        <v>5806</v>
      </c>
      <c r="B1642" s="10" t="s">
        <v>6017</v>
      </c>
      <c r="C1642" s="11" t="s">
        <v>18</v>
      </c>
      <c r="D1642" s="11" t="s">
        <v>19</v>
      </c>
      <c r="E1642" s="11" t="s">
        <v>19</v>
      </c>
      <c r="F1642" s="11" t="s">
        <v>6018</v>
      </c>
      <c r="G1642" s="11" t="s">
        <v>83</v>
      </c>
      <c r="H1642" s="11" t="s">
        <v>6019</v>
      </c>
      <c r="I1642" s="11" t="s">
        <v>6020</v>
      </c>
      <c r="J1642" s="12">
        <v>0.31580000000000003</v>
      </c>
      <c r="K1642" s="13">
        <v>10</v>
      </c>
      <c r="L1642" s="14">
        <v>7539</v>
      </c>
      <c r="M1642" s="10">
        <v>922</v>
      </c>
      <c r="N1642" s="10">
        <v>833073</v>
      </c>
      <c r="O1642" s="10">
        <v>72303</v>
      </c>
      <c r="P1642" s="10">
        <v>905376</v>
      </c>
    </row>
    <row r="1643" spans="1:16" ht="27" customHeight="1" x14ac:dyDescent="0.2">
      <c r="A1643" s="9" t="s">
        <v>5806</v>
      </c>
      <c r="B1643" s="10" t="s">
        <v>6021</v>
      </c>
      <c r="C1643" s="11" t="s">
        <v>18</v>
      </c>
      <c r="D1643" s="11" t="s">
        <v>19</v>
      </c>
      <c r="E1643" s="11" t="s">
        <v>19</v>
      </c>
      <c r="F1643" s="11" t="s">
        <v>6022</v>
      </c>
      <c r="G1643" s="11" t="s">
        <v>83</v>
      </c>
      <c r="H1643" s="11" t="s">
        <v>6023</v>
      </c>
      <c r="I1643" s="11" t="s">
        <v>6024</v>
      </c>
      <c r="J1643" s="12">
        <v>0.77390000000000003</v>
      </c>
      <c r="K1643" s="13">
        <v>2</v>
      </c>
      <c r="L1643" s="14">
        <v>204</v>
      </c>
      <c r="M1643" s="10">
        <v>158</v>
      </c>
      <c r="N1643" s="10">
        <v>22542</v>
      </c>
      <c r="O1643" s="10">
        <v>12390</v>
      </c>
      <c r="P1643" s="10">
        <v>34932</v>
      </c>
    </row>
    <row r="1644" spans="1:16" ht="27" customHeight="1" x14ac:dyDescent="0.2">
      <c r="A1644" s="9" t="s">
        <v>5806</v>
      </c>
      <c r="B1644" s="10" t="s">
        <v>6021</v>
      </c>
      <c r="C1644" s="11" t="s">
        <v>6025</v>
      </c>
      <c r="D1644" s="11" t="s">
        <v>6026</v>
      </c>
      <c r="E1644" s="11" t="s">
        <v>26</v>
      </c>
      <c r="F1644" s="11" t="s">
        <v>6027</v>
      </c>
      <c r="G1644" s="11" t="s">
        <v>28</v>
      </c>
      <c r="H1644" s="11" t="s">
        <v>6027</v>
      </c>
      <c r="I1644" s="11" t="s">
        <v>6028</v>
      </c>
      <c r="J1644" s="12">
        <v>0.34039999999999998</v>
      </c>
      <c r="K1644" s="13">
        <v>1</v>
      </c>
      <c r="L1644" s="14">
        <v>993</v>
      </c>
      <c r="M1644" s="10">
        <v>338</v>
      </c>
      <c r="N1644" s="10">
        <v>109728</v>
      </c>
      <c r="O1644" s="10">
        <v>26506</v>
      </c>
      <c r="P1644" s="10">
        <v>136234</v>
      </c>
    </row>
    <row r="1645" spans="1:16" ht="27" customHeight="1" x14ac:dyDescent="0.2">
      <c r="A1645" s="9" t="s">
        <v>5806</v>
      </c>
      <c r="B1645" s="10" t="s">
        <v>6021</v>
      </c>
      <c r="C1645" s="11" t="s">
        <v>6029</v>
      </c>
      <c r="D1645" s="11" t="s">
        <v>6030</v>
      </c>
      <c r="E1645" s="11" t="s">
        <v>26</v>
      </c>
      <c r="F1645" s="11" t="s">
        <v>6031</v>
      </c>
      <c r="G1645" s="11" t="s">
        <v>28</v>
      </c>
      <c r="H1645" s="11" t="s">
        <v>6031</v>
      </c>
      <c r="I1645" s="11" t="s">
        <v>6032</v>
      </c>
      <c r="J1645" s="12">
        <v>0.36299999999999999</v>
      </c>
      <c r="K1645" s="13">
        <v>1</v>
      </c>
      <c r="L1645" s="14">
        <v>765</v>
      </c>
      <c r="M1645" s="10">
        <v>278</v>
      </c>
      <c r="N1645" s="10">
        <v>84534</v>
      </c>
      <c r="O1645" s="10">
        <v>21800</v>
      </c>
      <c r="P1645" s="10">
        <v>106334</v>
      </c>
    </row>
    <row r="1646" spans="1:16" ht="27" customHeight="1" x14ac:dyDescent="0.2">
      <c r="A1646" s="9" t="s">
        <v>5806</v>
      </c>
      <c r="B1646" s="10" t="s">
        <v>6021</v>
      </c>
      <c r="C1646" s="11" t="s">
        <v>6033</v>
      </c>
      <c r="D1646" s="11" t="s">
        <v>6034</v>
      </c>
      <c r="E1646" s="11" t="s">
        <v>26</v>
      </c>
      <c r="F1646" s="11" t="s">
        <v>6035</v>
      </c>
      <c r="G1646" s="11" t="s">
        <v>28</v>
      </c>
      <c r="H1646" s="11" t="s">
        <v>6035</v>
      </c>
      <c r="I1646" s="11" t="s">
        <v>6036</v>
      </c>
      <c r="J1646" s="12">
        <v>0.77610000000000001</v>
      </c>
      <c r="K1646" s="13">
        <v>1</v>
      </c>
      <c r="L1646" s="14">
        <v>67</v>
      </c>
      <c r="M1646" s="10">
        <v>52</v>
      </c>
      <c r="N1646" s="10">
        <v>7404</v>
      </c>
      <c r="O1646" s="10">
        <v>4078</v>
      </c>
      <c r="P1646" s="10">
        <v>11482</v>
      </c>
    </row>
    <row r="1647" spans="1:16" ht="27" customHeight="1" x14ac:dyDescent="0.2">
      <c r="A1647" s="9" t="s">
        <v>5806</v>
      </c>
      <c r="B1647" s="10" t="s">
        <v>6021</v>
      </c>
      <c r="C1647" s="11" t="s">
        <v>6037</v>
      </c>
      <c r="D1647" s="11" t="s">
        <v>6038</v>
      </c>
      <c r="E1647" s="11" t="s">
        <v>26</v>
      </c>
      <c r="F1647" s="11" t="s">
        <v>6039</v>
      </c>
      <c r="G1647" s="11" t="s">
        <v>28</v>
      </c>
      <c r="H1647" s="11" t="s">
        <v>6039</v>
      </c>
      <c r="I1647" s="11" t="s">
        <v>6040</v>
      </c>
      <c r="J1647" s="12">
        <v>0.30790000000000001</v>
      </c>
      <c r="K1647" s="13">
        <v>1</v>
      </c>
      <c r="L1647" s="14">
        <v>458</v>
      </c>
      <c r="M1647" s="10">
        <v>141</v>
      </c>
      <c r="N1647" s="10">
        <v>50610</v>
      </c>
      <c r="O1647" s="10">
        <v>11057</v>
      </c>
      <c r="P1647" s="10">
        <v>61667</v>
      </c>
    </row>
    <row r="1648" spans="1:16" ht="27" customHeight="1" x14ac:dyDescent="0.2">
      <c r="A1648" s="9" t="s">
        <v>5806</v>
      </c>
      <c r="B1648" s="10" t="s">
        <v>6021</v>
      </c>
      <c r="C1648" s="11" t="s">
        <v>6041</v>
      </c>
      <c r="D1648" s="11" t="s">
        <v>6042</v>
      </c>
      <c r="E1648" s="11" t="s">
        <v>26</v>
      </c>
      <c r="F1648" s="11" t="s">
        <v>6043</v>
      </c>
      <c r="G1648" s="11" t="s">
        <v>28</v>
      </c>
      <c r="H1648" s="11" t="s">
        <v>5809</v>
      </c>
      <c r="I1648" s="11" t="s">
        <v>5810</v>
      </c>
      <c r="J1648" s="12">
        <v>0.96760000000000002</v>
      </c>
      <c r="K1648" s="13">
        <v>1</v>
      </c>
      <c r="L1648" s="14">
        <v>108</v>
      </c>
      <c r="M1648" s="10">
        <v>42</v>
      </c>
      <c r="N1648" s="10">
        <v>11934</v>
      </c>
      <c r="O1648" s="10">
        <v>3294</v>
      </c>
      <c r="P1648" s="10">
        <v>15228</v>
      </c>
    </row>
    <row r="1649" spans="1:16" ht="27" customHeight="1" x14ac:dyDescent="0.2">
      <c r="A1649" s="9" t="s">
        <v>6044</v>
      </c>
      <c r="B1649" s="10" t="s">
        <v>6045</v>
      </c>
      <c r="C1649" s="11" t="s">
        <v>18</v>
      </c>
      <c r="D1649" s="11" t="s">
        <v>19</v>
      </c>
      <c r="E1649" s="11" t="s">
        <v>19</v>
      </c>
      <c r="F1649" s="11" t="s">
        <v>6046</v>
      </c>
      <c r="G1649" s="11" t="s">
        <v>21</v>
      </c>
      <c r="H1649" s="11" t="s">
        <v>6047</v>
      </c>
      <c r="I1649" s="11" t="s">
        <v>6048</v>
      </c>
      <c r="J1649" s="12">
        <v>0.9</v>
      </c>
      <c r="K1649" s="13">
        <v>4</v>
      </c>
      <c r="L1649" s="14">
        <v>245</v>
      </c>
      <c r="M1649" s="10">
        <v>226</v>
      </c>
      <c r="N1649" s="10">
        <v>27074</v>
      </c>
      <c r="O1649" s="10">
        <v>17723</v>
      </c>
      <c r="P1649" s="10">
        <v>44797</v>
      </c>
    </row>
    <row r="1650" spans="1:16" ht="27" customHeight="1" x14ac:dyDescent="0.2">
      <c r="A1650" s="9" t="s">
        <v>6044</v>
      </c>
      <c r="B1650" s="10" t="s">
        <v>6045</v>
      </c>
      <c r="C1650" s="11" t="s">
        <v>6049</v>
      </c>
      <c r="D1650" s="11" t="s">
        <v>6050</v>
      </c>
      <c r="E1650" s="11" t="s">
        <v>57</v>
      </c>
      <c r="F1650" s="11" t="s">
        <v>6051</v>
      </c>
      <c r="G1650" s="11" t="s">
        <v>28</v>
      </c>
      <c r="H1650" s="11" t="s">
        <v>6047</v>
      </c>
      <c r="I1650" s="11" t="s">
        <v>6048</v>
      </c>
      <c r="J1650" s="12">
        <v>0.9</v>
      </c>
      <c r="K1650" s="13">
        <v>1</v>
      </c>
      <c r="L1650" s="14">
        <v>212</v>
      </c>
      <c r="M1650" s="10">
        <v>169</v>
      </c>
      <c r="N1650" s="10">
        <v>23426</v>
      </c>
      <c r="O1650" s="10">
        <v>13253</v>
      </c>
      <c r="P1650" s="10">
        <v>36679</v>
      </c>
    </row>
    <row r="1651" spans="1:16" ht="27" customHeight="1" x14ac:dyDescent="0.2">
      <c r="A1651" s="9" t="s">
        <v>6044</v>
      </c>
      <c r="B1651" s="10" t="s">
        <v>6045</v>
      </c>
      <c r="C1651" s="11" t="s">
        <v>6052</v>
      </c>
      <c r="D1651" s="11" t="s">
        <v>6053</v>
      </c>
      <c r="E1651" s="11" t="s">
        <v>26</v>
      </c>
      <c r="F1651" s="11" t="s">
        <v>6054</v>
      </c>
      <c r="G1651" s="11" t="s">
        <v>28</v>
      </c>
      <c r="H1651" s="11" t="s">
        <v>6054</v>
      </c>
      <c r="I1651" s="11" t="s">
        <v>6055</v>
      </c>
      <c r="J1651" s="12">
        <v>0.34200000000000003</v>
      </c>
      <c r="K1651" s="13">
        <v>1</v>
      </c>
      <c r="L1651" s="14">
        <v>462</v>
      </c>
      <c r="M1651" s="10">
        <v>158</v>
      </c>
      <c r="N1651" s="10">
        <v>51052</v>
      </c>
      <c r="O1651" s="10">
        <v>12390</v>
      </c>
      <c r="P1651" s="10">
        <v>63442</v>
      </c>
    </row>
    <row r="1652" spans="1:16" ht="27" customHeight="1" x14ac:dyDescent="0.2">
      <c r="A1652" s="9" t="s">
        <v>6044</v>
      </c>
      <c r="B1652" s="10" t="s">
        <v>6056</v>
      </c>
      <c r="C1652" s="11" t="s">
        <v>18</v>
      </c>
      <c r="D1652" s="11" t="s">
        <v>19</v>
      </c>
      <c r="E1652" s="11" t="s">
        <v>19</v>
      </c>
      <c r="F1652" s="11" t="s">
        <v>6057</v>
      </c>
      <c r="G1652" s="11" t="s">
        <v>83</v>
      </c>
      <c r="H1652" s="11" t="s">
        <v>6047</v>
      </c>
      <c r="I1652" s="11" t="s">
        <v>6048</v>
      </c>
      <c r="J1652" s="12">
        <v>0.9</v>
      </c>
      <c r="K1652" s="13">
        <v>13</v>
      </c>
      <c r="L1652" s="14">
        <v>4333</v>
      </c>
      <c r="M1652" s="10">
        <v>2067</v>
      </c>
      <c r="N1652" s="10">
        <v>478804</v>
      </c>
      <c r="O1652" s="10">
        <v>162092</v>
      </c>
      <c r="P1652" s="10">
        <v>640896</v>
      </c>
    </row>
    <row r="1653" spans="1:16" ht="27" customHeight="1" x14ac:dyDescent="0.2">
      <c r="A1653" s="9" t="s">
        <v>6044</v>
      </c>
      <c r="B1653" s="10" t="s">
        <v>6058</v>
      </c>
      <c r="C1653" s="11" t="s">
        <v>18</v>
      </c>
      <c r="D1653" s="11" t="s">
        <v>19</v>
      </c>
      <c r="E1653" s="11" t="s">
        <v>19</v>
      </c>
      <c r="F1653" s="11" t="s">
        <v>6059</v>
      </c>
      <c r="G1653" s="11" t="s">
        <v>83</v>
      </c>
      <c r="H1653" s="11" t="s">
        <v>6059</v>
      </c>
      <c r="I1653" s="11" t="s">
        <v>6060</v>
      </c>
      <c r="J1653" s="12">
        <v>0.39179999999999998</v>
      </c>
      <c r="K1653" s="13">
        <v>2</v>
      </c>
      <c r="L1653" s="14">
        <v>172</v>
      </c>
      <c r="M1653" s="10">
        <v>67</v>
      </c>
      <c r="N1653" s="10">
        <v>19006</v>
      </c>
      <c r="O1653" s="10">
        <v>5254</v>
      </c>
      <c r="P1653" s="10">
        <v>24260</v>
      </c>
    </row>
    <row r="1654" spans="1:16" ht="27" customHeight="1" x14ac:dyDescent="0.2">
      <c r="A1654" s="9" t="s">
        <v>6044</v>
      </c>
      <c r="B1654" s="10" t="s">
        <v>6061</v>
      </c>
      <c r="C1654" s="11" t="s">
        <v>18</v>
      </c>
      <c r="D1654" s="11" t="s">
        <v>19</v>
      </c>
      <c r="E1654" s="11" t="s">
        <v>19</v>
      </c>
      <c r="F1654" s="11" t="s">
        <v>6062</v>
      </c>
      <c r="G1654" s="11" t="s">
        <v>83</v>
      </c>
      <c r="H1654" s="11" t="s">
        <v>6063</v>
      </c>
      <c r="I1654" s="11" t="s">
        <v>6064</v>
      </c>
      <c r="J1654" s="12">
        <v>0.85240000000000005</v>
      </c>
      <c r="K1654" s="13">
        <v>20</v>
      </c>
      <c r="L1654" s="14">
        <v>9693</v>
      </c>
      <c r="M1654" s="10">
        <v>5738</v>
      </c>
      <c r="N1654" s="10">
        <v>1071092</v>
      </c>
      <c r="O1654" s="10">
        <v>449967</v>
      </c>
      <c r="P1654" s="10">
        <v>1521059</v>
      </c>
    </row>
    <row r="1655" spans="1:16" ht="27" customHeight="1" x14ac:dyDescent="0.2">
      <c r="A1655" s="9" t="s">
        <v>6044</v>
      </c>
      <c r="B1655" s="10" t="s">
        <v>6065</v>
      </c>
      <c r="C1655" s="11" t="s">
        <v>18</v>
      </c>
      <c r="D1655" s="11" t="s">
        <v>19</v>
      </c>
      <c r="E1655" s="11" t="s">
        <v>19</v>
      </c>
      <c r="F1655" s="11" t="s">
        <v>6066</v>
      </c>
      <c r="G1655" s="11" t="s">
        <v>83</v>
      </c>
      <c r="H1655" s="11" t="s">
        <v>6067</v>
      </c>
      <c r="I1655" s="11" t="s">
        <v>6068</v>
      </c>
      <c r="J1655" s="12">
        <v>0.30909999999999999</v>
      </c>
      <c r="K1655" s="13">
        <v>2</v>
      </c>
      <c r="L1655" s="14">
        <v>56</v>
      </c>
      <c r="M1655" s="10">
        <v>17</v>
      </c>
      <c r="N1655" s="10">
        <v>6188</v>
      </c>
      <c r="O1655" s="10">
        <v>1333</v>
      </c>
      <c r="P1655" s="10">
        <v>7521</v>
      </c>
    </row>
    <row r="1656" spans="1:16" ht="27" customHeight="1" x14ac:dyDescent="0.2">
      <c r="A1656" s="9" t="s">
        <v>6044</v>
      </c>
      <c r="B1656" s="10" t="s">
        <v>6069</v>
      </c>
      <c r="C1656" s="11" t="s">
        <v>18</v>
      </c>
      <c r="D1656" s="11" t="s">
        <v>19</v>
      </c>
      <c r="E1656" s="11" t="s">
        <v>19</v>
      </c>
      <c r="F1656" s="11" t="s">
        <v>6070</v>
      </c>
      <c r="G1656" s="11" t="s">
        <v>83</v>
      </c>
      <c r="H1656" s="11" t="s">
        <v>6071</v>
      </c>
      <c r="I1656" s="11" t="s">
        <v>6072</v>
      </c>
      <c r="J1656" s="12">
        <v>0.50690000000000002</v>
      </c>
      <c r="K1656" s="13">
        <v>17</v>
      </c>
      <c r="L1656" s="14">
        <v>7629</v>
      </c>
      <c r="M1656" s="10">
        <v>2599</v>
      </c>
      <c r="N1656" s="10">
        <v>843017</v>
      </c>
      <c r="O1656" s="10">
        <v>203812</v>
      </c>
      <c r="P1656" s="10">
        <v>1046829</v>
      </c>
    </row>
    <row r="1657" spans="1:16" ht="27" customHeight="1" x14ac:dyDescent="0.2">
      <c r="A1657" s="9" t="s">
        <v>6044</v>
      </c>
      <c r="B1657" s="10" t="s">
        <v>6069</v>
      </c>
      <c r="C1657" s="11" t="s">
        <v>6073</v>
      </c>
      <c r="D1657" s="11" t="s">
        <v>6074</v>
      </c>
      <c r="E1657" s="11" t="s">
        <v>26</v>
      </c>
      <c r="F1657" s="11" t="s">
        <v>6075</v>
      </c>
      <c r="G1657" s="11" t="s">
        <v>28</v>
      </c>
      <c r="H1657" s="11" t="s">
        <v>6075</v>
      </c>
      <c r="I1657" s="11" t="s">
        <v>6076</v>
      </c>
      <c r="J1657" s="12">
        <v>0.14810000000000001</v>
      </c>
      <c r="K1657" s="13">
        <v>1</v>
      </c>
      <c r="L1657" s="14">
        <v>162</v>
      </c>
      <c r="M1657" s="10">
        <v>24</v>
      </c>
      <c r="N1657" s="10">
        <v>17901</v>
      </c>
      <c r="O1657" s="10">
        <v>1882</v>
      </c>
      <c r="P1657" s="10">
        <v>19783</v>
      </c>
    </row>
    <row r="1658" spans="1:16" ht="27" customHeight="1" x14ac:dyDescent="0.2">
      <c r="A1658" s="9" t="s">
        <v>6044</v>
      </c>
      <c r="B1658" s="10" t="s">
        <v>6077</v>
      </c>
      <c r="C1658" s="11" t="s">
        <v>18</v>
      </c>
      <c r="D1658" s="11" t="s">
        <v>19</v>
      </c>
      <c r="E1658" s="11" t="s">
        <v>19</v>
      </c>
      <c r="F1658" s="11" t="s">
        <v>6078</v>
      </c>
      <c r="G1658" s="11" t="s">
        <v>83</v>
      </c>
      <c r="H1658" s="11" t="s">
        <v>6079</v>
      </c>
      <c r="I1658" s="11" t="s">
        <v>6080</v>
      </c>
      <c r="J1658" s="12">
        <v>0.76939999999999997</v>
      </c>
      <c r="K1658" s="13">
        <v>3</v>
      </c>
      <c r="L1658" s="14">
        <v>661</v>
      </c>
      <c r="M1658" s="10">
        <v>424</v>
      </c>
      <c r="N1658" s="10">
        <v>73041</v>
      </c>
      <c r="O1658" s="10">
        <v>33250</v>
      </c>
      <c r="P1658" s="10">
        <v>106291</v>
      </c>
    </row>
    <row r="1659" spans="1:16" ht="27" customHeight="1" x14ac:dyDescent="0.2">
      <c r="A1659" s="9" t="s">
        <v>6044</v>
      </c>
      <c r="B1659" s="10" t="s">
        <v>6081</v>
      </c>
      <c r="C1659" s="11" t="s">
        <v>18</v>
      </c>
      <c r="D1659" s="11" t="s">
        <v>19</v>
      </c>
      <c r="E1659" s="11" t="s">
        <v>19</v>
      </c>
      <c r="F1659" s="11" t="s">
        <v>6082</v>
      </c>
      <c r="G1659" s="11" t="s">
        <v>83</v>
      </c>
      <c r="H1659" s="11" t="s">
        <v>6083</v>
      </c>
      <c r="I1659" s="11" t="s">
        <v>6084</v>
      </c>
      <c r="J1659" s="12">
        <v>0.76570000000000005</v>
      </c>
      <c r="K1659" s="13">
        <v>4</v>
      </c>
      <c r="L1659" s="14">
        <v>272</v>
      </c>
      <c r="M1659" s="10">
        <v>191</v>
      </c>
      <c r="N1659" s="10">
        <v>30056</v>
      </c>
      <c r="O1659" s="10">
        <v>14978</v>
      </c>
      <c r="P1659" s="10">
        <v>45034</v>
      </c>
    </row>
    <row r="1660" spans="1:16" ht="27" customHeight="1" x14ac:dyDescent="0.2">
      <c r="A1660" s="9" t="s">
        <v>6044</v>
      </c>
      <c r="B1660" s="10" t="s">
        <v>6085</v>
      </c>
      <c r="C1660" s="11" t="s">
        <v>18</v>
      </c>
      <c r="D1660" s="11" t="s">
        <v>19</v>
      </c>
      <c r="E1660" s="11" t="s">
        <v>19</v>
      </c>
      <c r="F1660" s="11" t="s">
        <v>6086</v>
      </c>
      <c r="G1660" s="11" t="s">
        <v>83</v>
      </c>
      <c r="H1660" s="11" t="s">
        <v>6087</v>
      </c>
      <c r="I1660" s="11" t="s">
        <v>6088</v>
      </c>
      <c r="J1660" s="12">
        <v>0.23499999999999999</v>
      </c>
      <c r="K1660" s="13">
        <v>8</v>
      </c>
      <c r="L1660" s="14">
        <v>2270</v>
      </c>
      <c r="M1660" s="10">
        <v>474</v>
      </c>
      <c r="N1660" s="10">
        <v>250839</v>
      </c>
      <c r="O1660" s="10">
        <v>37171</v>
      </c>
      <c r="P1660" s="10">
        <v>288010</v>
      </c>
    </row>
    <row r="1661" spans="1:16" ht="27" customHeight="1" x14ac:dyDescent="0.2">
      <c r="A1661" s="9" t="s">
        <v>6044</v>
      </c>
      <c r="B1661" s="10" t="s">
        <v>6089</v>
      </c>
      <c r="C1661" s="11" t="s">
        <v>18</v>
      </c>
      <c r="D1661" s="11" t="s">
        <v>19</v>
      </c>
      <c r="E1661" s="11" t="s">
        <v>19</v>
      </c>
      <c r="F1661" s="11" t="s">
        <v>6090</v>
      </c>
      <c r="G1661" s="11" t="s">
        <v>83</v>
      </c>
      <c r="H1661" s="11" t="s">
        <v>6091</v>
      </c>
      <c r="I1661" s="11" t="s">
        <v>6092</v>
      </c>
      <c r="J1661" s="12">
        <v>0.79479999999999995</v>
      </c>
      <c r="K1661" s="13">
        <v>14</v>
      </c>
      <c r="L1661" s="14">
        <v>6393</v>
      </c>
      <c r="M1661" s="10">
        <v>4061</v>
      </c>
      <c r="N1661" s="10">
        <v>706438</v>
      </c>
      <c r="O1661" s="10">
        <v>318458</v>
      </c>
      <c r="P1661" s="10">
        <v>1024896</v>
      </c>
    </row>
    <row r="1662" spans="1:16" ht="27" customHeight="1" x14ac:dyDescent="0.2">
      <c r="A1662" s="9" t="s">
        <v>6044</v>
      </c>
      <c r="B1662" s="10" t="s">
        <v>6093</v>
      </c>
      <c r="C1662" s="11" t="s">
        <v>18</v>
      </c>
      <c r="D1662" s="11" t="s">
        <v>19</v>
      </c>
      <c r="E1662" s="11" t="s">
        <v>19</v>
      </c>
      <c r="F1662" s="11" t="s">
        <v>6094</v>
      </c>
      <c r="G1662" s="11" t="s">
        <v>83</v>
      </c>
      <c r="H1662" s="11" t="s">
        <v>6095</v>
      </c>
      <c r="I1662" s="11" t="s">
        <v>6096</v>
      </c>
      <c r="J1662" s="12">
        <v>0.64249999999999996</v>
      </c>
      <c r="K1662" s="13">
        <v>5</v>
      </c>
      <c r="L1662" s="14">
        <v>494</v>
      </c>
      <c r="M1662" s="10">
        <v>328</v>
      </c>
      <c r="N1662" s="10">
        <v>54589</v>
      </c>
      <c r="O1662" s="10">
        <v>25721</v>
      </c>
      <c r="P1662" s="10">
        <v>80310</v>
      </c>
    </row>
    <row r="1663" spans="1:16" ht="27" customHeight="1" x14ac:dyDescent="0.2">
      <c r="A1663" s="9" t="s">
        <v>6097</v>
      </c>
      <c r="B1663" s="10" t="s">
        <v>6098</v>
      </c>
      <c r="C1663" s="11" t="s">
        <v>18</v>
      </c>
      <c r="D1663" s="11" t="s">
        <v>19</v>
      </c>
      <c r="E1663" s="11" t="s">
        <v>19</v>
      </c>
      <c r="F1663" s="11" t="s">
        <v>6099</v>
      </c>
      <c r="G1663" s="11" t="s">
        <v>21</v>
      </c>
      <c r="H1663" s="11" t="s">
        <v>6100</v>
      </c>
      <c r="I1663" s="11" t="s">
        <v>6101</v>
      </c>
      <c r="J1663" s="12">
        <v>0.91410000000000002</v>
      </c>
      <c r="K1663" s="13">
        <v>6</v>
      </c>
      <c r="L1663" s="14">
        <v>705</v>
      </c>
      <c r="M1663" s="10">
        <v>617</v>
      </c>
      <c r="N1663" s="10">
        <v>77905</v>
      </c>
      <c r="O1663" s="10">
        <v>48384</v>
      </c>
      <c r="P1663" s="10">
        <v>126289</v>
      </c>
    </row>
    <row r="1664" spans="1:16" ht="27" customHeight="1" x14ac:dyDescent="0.2">
      <c r="A1664" s="9" t="s">
        <v>6097</v>
      </c>
      <c r="B1664" s="10" t="s">
        <v>6098</v>
      </c>
      <c r="C1664" s="11" t="s">
        <v>6102</v>
      </c>
      <c r="D1664" s="11" t="s">
        <v>6103</v>
      </c>
      <c r="E1664" s="11" t="s">
        <v>26</v>
      </c>
      <c r="F1664" s="11" t="s">
        <v>6104</v>
      </c>
      <c r="G1664" s="11" t="s">
        <v>28</v>
      </c>
      <c r="H1664" s="11" t="s">
        <v>6100</v>
      </c>
      <c r="I1664" s="11" t="s">
        <v>6101</v>
      </c>
      <c r="J1664" s="12">
        <v>0.91410000000000002</v>
      </c>
      <c r="K1664" s="13">
        <v>1</v>
      </c>
      <c r="L1664" s="14">
        <v>92</v>
      </c>
      <c r="M1664" s="10">
        <v>68</v>
      </c>
      <c r="N1664" s="10">
        <v>10166</v>
      </c>
      <c r="O1664" s="10">
        <v>5332</v>
      </c>
      <c r="P1664" s="10">
        <v>15498</v>
      </c>
    </row>
    <row r="1665" spans="1:16" ht="27" customHeight="1" x14ac:dyDescent="0.2">
      <c r="A1665" s="9" t="s">
        <v>6097</v>
      </c>
      <c r="B1665" s="10" t="s">
        <v>6105</v>
      </c>
      <c r="C1665" s="11" t="s">
        <v>18</v>
      </c>
      <c r="D1665" s="11" t="s">
        <v>19</v>
      </c>
      <c r="E1665" s="11" t="s">
        <v>19</v>
      </c>
      <c r="F1665" s="11" t="s">
        <v>6106</v>
      </c>
      <c r="G1665" s="11" t="s">
        <v>83</v>
      </c>
      <c r="H1665" s="11" t="s">
        <v>6107</v>
      </c>
      <c r="I1665" s="11" t="s">
        <v>6108</v>
      </c>
      <c r="J1665" s="12">
        <v>0.53420000000000001</v>
      </c>
      <c r="K1665" s="13">
        <v>2</v>
      </c>
      <c r="L1665" s="14">
        <v>326</v>
      </c>
      <c r="M1665" s="10">
        <v>174</v>
      </c>
      <c r="N1665" s="10">
        <v>36024</v>
      </c>
      <c r="O1665" s="10">
        <v>13645</v>
      </c>
      <c r="P1665" s="10">
        <v>49669</v>
      </c>
    </row>
    <row r="1666" spans="1:16" ht="27" customHeight="1" x14ac:dyDescent="0.2">
      <c r="A1666" s="9" t="s">
        <v>6097</v>
      </c>
      <c r="B1666" s="10" t="s">
        <v>6109</v>
      </c>
      <c r="C1666" s="11" t="s">
        <v>18</v>
      </c>
      <c r="D1666" s="11" t="s">
        <v>19</v>
      </c>
      <c r="E1666" s="11" t="s">
        <v>19</v>
      </c>
      <c r="F1666" s="11" t="s">
        <v>6110</v>
      </c>
      <c r="G1666" s="11" t="s">
        <v>83</v>
      </c>
      <c r="H1666" s="11" t="s">
        <v>6111</v>
      </c>
      <c r="I1666" s="11" t="s">
        <v>6112</v>
      </c>
      <c r="J1666" s="12">
        <v>0.17430000000000001</v>
      </c>
      <c r="K1666" s="13">
        <v>8</v>
      </c>
      <c r="L1666" s="14">
        <v>3964</v>
      </c>
      <c r="M1666" s="10">
        <v>288</v>
      </c>
      <c r="N1666" s="10">
        <v>438028</v>
      </c>
      <c r="O1666" s="10">
        <v>22584</v>
      </c>
      <c r="P1666" s="10">
        <v>460612</v>
      </c>
    </row>
    <row r="1667" spans="1:16" ht="27" customHeight="1" x14ac:dyDescent="0.2">
      <c r="A1667" s="9" t="s">
        <v>6097</v>
      </c>
      <c r="B1667" s="10" t="s">
        <v>6113</v>
      </c>
      <c r="C1667" s="11" t="s">
        <v>18</v>
      </c>
      <c r="D1667" s="11" t="s">
        <v>19</v>
      </c>
      <c r="E1667" s="11" t="s">
        <v>19</v>
      </c>
      <c r="F1667" s="11" t="s">
        <v>6114</v>
      </c>
      <c r="G1667" s="11" t="s">
        <v>83</v>
      </c>
      <c r="H1667" s="11" t="s">
        <v>6115</v>
      </c>
      <c r="I1667" s="11" t="s">
        <v>6116</v>
      </c>
      <c r="J1667" s="12">
        <v>0.29909999999999998</v>
      </c>
      <c r="K1667" s="13">
        <v>4</v>
      </c>
      <c r="L1667" s="14">
        <v>463</v>
      </c>
      <c r="M1667" s="10">
        <v>91</v>
      </c>
      <c r="N1667" s="10">
        <v>51163</v>
      </c>
      <c r="O1667" s="10">
        <v>7136</v>
      </c>
      <c r="P1667" s="10">
        <v>58299</v>
      </c>
    </row>
    <row r="1668" spans="1:16" ht="27" customHeight="1" x14ac:dyDescent="0.2">
      <c r="A1668" s="9" t="s">
        <v>6097</v>
      </c>
      <c r="B1668" s="10" t="s">
        <v>6117</v>
      </c>
      <c r="C1668" s="11" t="s">
        <v>18</v>
      </c>
      <c r="D1668" s="11" t="s">
        <v>19</v>
      </c>
      <c r="E1668" s="11" t="s">
        <v>19</v>
      </c>
      <c r="F1668" s="11" t="s">
        <v>6118</v>
      </c>
      <c r="G1668" s="11" t="s">
        <v>83</v>
      </c>
      <c r="H1668" s="11" t="s">
        <v>3215</v>
      </c>
      <c r="I1668" s="11" t="s">
        <v>6119</v>
      </c>
      <c r="J1668" s="12">
        <v>0.25719999999999998</v>
      </c>
      <c r="K1668" s="13">
        <v>9</v>
      </c>
      <c r="L1668" s="14">
        <v>3289</v>
      </c>
      <c r="M1668" s="10">
        <v>524</v>
      </c>
      <c r="N1668" s="10">
        <v>363441</v>
      </c>
      <c r="O1668" s="10">
        <v>41091</v>
      </c>
      <c r="P1668" s="10">
        <v>404532</v>
      </c>
    </row>
    <row r="1669" spans="1:16" ht="27" customHeight="1" x14ac:dyDescent="0.2">
      <c r="A1669" s="9" t="s">
        <v>6097</v>
      </c>
      <c r="B1669" s="10" t="s">
        <v>6120</v>
      </c>
      <c r="C1669" s="11" t="s">
        <v>18</v>
      </c>
      <c r="D1669" s="11" t="s">
        <v>19</v>
      </c>
      <c r="E1669" s="11" t="s">
        <v>19</v>
      </c>
      <c r="F1669" s="11" t="s">
        <v>6121</v>
      </c>
      <c r="G1669" s="11" t="s">
        <v>83</v>
      </c>
      <c r="H1669" s="11" t="s">
        <v>6122</v>
      </c>
      <c r="I1669" s="11" t="s">
        <v>6123</v>
      </c>
      <c r="J1669" s="12">
        <v>0.46489999999999998</v>
      </c>
      <c r="K1669" s="13">
        <v>8</v>
      </c>
      <c r="L1669" s="14">
        <v>2760</v>
      </c>
      <c r="M1669" s="10">
        <v>1004</v>
      </c>
      <c r="N1669" s="10">
        <v>304986</v>
      </c>
      <c r="O1669" s="10">
        <v>78732</v>
      </c>
      <c r="P1669" s="10">
        <v>383718</v>
      </c>
    </row>
    <row r="1670" spans="1:16" ht="27" customHeight="1" x14ac:dyDescent="0.2">
      <c r="A1670" s="9" t="s">
        <v>6097</v>
      </c>
      <c r="B1670" s="10" t="s">
        <v>6124</v>
      </c>
      <c r="C1670" s="11" t="s">
        <v>18</v>
      </c>
      <c r="D1670" s="11" t="s">
        <v>19</v>
      </c>
      <c r="E1670" s="11" t="s">
        <v>19</v>
      </c>
      <c r="F1670" s="11" t="s">
        <v>6125</v>
      </c>
      <c r="G1670" s="11" t="s">
        <v>83</v>
      </c>
      <c r="H1670" s="11" t="s">
        <v>6126</v>
      </c>
      <c r="I1670" s="11" t="s">
        <v>6127</v>
      </c>
      <c r="J1670" s="12">
        <v>3.04E-2</v>
      </c>
      <c r="K1670" s="13">
        <v>5</v>
      </c>
      <c r="L1670" s="14">
        <v>1297</v>
      </c>
      <c r="M1670" s="10">
        <v>34</v>
      </c>
      <c r="N1670" s="10">
        <v>143320</v>
      </c>
      <c r="O1670" s="10">
        <v>2666</v>
      </c>
      <c r="P1670" s="10">
        <v>145986</v>
      </c>
    </row>
    <row r="1671" spans="1:16" ht="27" customHeight="1" x14ac:dyDescent="0.2">
      <c r="A1671" s="9" t="s">
        <v>6097</v>
      </c>
      <c r="B1671" s="10" t="s">
        <v>6128</v>
      </c>
      <c r="C1671" s="11" t="s">
        <v>18</v>
      </c>
      <c r="D1671" s="11" t="s">
        <v>19</v>
      </c>
      <c r="E1671" s="11" t="s">
        <v>19</v>
      </c>
      <c r="F1671" s="11" t="s">
        <v>1482</v>
      </c>
      <c r="G1671" s="11" t="s">
        <v>83</v>
      </c>
      <c r="H1671" s="11" t="s">
        <v>6129</v>
      </c>
      <c r="I1671" s="11" t="s">
        <v>6130</v>
      </c>
      <c r="J1671" s="12">
        <v>0.61539999999999995</v>
      </c>
      <c r="K1671" s="13">
        <v>15</v>
      </c>
      <c r="L1671" s="14">
        <v>5123</v>
      </c>
      <c r="M1671" s="10">
        <v>2531</v>
      </c>
      <c r="N1671" s="10">
        <v>566102</v>
      </c>
      <c r="O1671" s="10">
        <v>198479</v>
      </c>
      <c r="P1671" s="10">
        <v>764581</v>
      </c>
    </row>
    <row r="1672" spans="1:16" ht="27" customHeight="1" x14ac:dyDescent="0.2">
      <c r="A1672" s="9" t="s">
        <v>6097</v>
      </c>
      <c r="B1672" s="10" t="s">
        <v>6128</v>
      </c>
      <c r="C1672" s="11" t="s">
        <v>6131</v>
      </c>
      <c r="D1672" s="11" t="s">
        <v>6132</v>
      </c>
      <c r="E1672" s="11" t="s">
        <v>26</v>
      </c>
      <c r="F1672" s="11" t="s">
        <v>6133</v>
      </c>
      <c r="G1672" s="11" t="s">
        <v>28</v>
      </c>
      <c r="H1672" s="11" t="s">
        <v>6133</v>
      </c>
      <c r="I1672" s="11" t="s">
        <v>6134</v>
      </c>
      <c r="J1672" s="12">
        <v>0.50839999999999996</v>
      </c>
      <c r="K1672" s="13">
        <v>1</v>
      </c>
      <c r="L1672" s="14">
        <v>1009</v>
      </c>
      <c r="M1672" s="10">
        <v>513</v>
      </c>
      <c r="N1672" s="10">
        <v>111496</v>
      </c>
      <c r="O1672" s="10">
        <v>40229</v>
      </c>
      <c r="P1672" s="10">
        <v>151725</v>
      </c>
    </row>
    <row r="1673" spans="1:16" ht="27" customHeight="1" x14ac:dyDescent="0.2">
      <c r="A1673" s="9" t="s">
        <v>6097</v>
      </c>
      <c r="B1673" s="10" t="s">
        <v>6135</v>
      </c>
      <c r="C1673" s="11" t="s">
        <v>18</v>
      </c>
      <c r="D1673" s="11" t="s">
        <v>19</v>
      </c>
      <c r="E1673" s="11" t="s">
        <v>19</v>
      </c>
      <c r="F1673" s="11" t="s">
        <v>6136</v>
      </c>
      <c r="G1673" s="11" t="s">
        <v>83</v>
      </c>
      <c r="H1673" s="11" t="s">
        <v>6100</v>
      </c>
      <c r="I1673" s="11" t="s">
        <v>6101</v>
      </c>
      <c r="J1673" s="12">
        <v>0.91410000000000002</v>
      </c>
      <c r="K1673" s="13">
        <v>6</v>
      </c>
      <c r="L1673" s="14">
        <v>3866</v>
      </c>
      <c r="M1673" s="10">
        <v>1131</v>
      </c>
      <c r="N1673" s="10">
        <v>427199</v>
      </c>
      <c r="O1673" s="10">
        <v>88691</v>
      </c>
      <c r="P1673" s="10">
        <v>515890</v>
      </c>
    </row>
    <row r="1674" spans="1:16" ht="27" customHeight="1" x14ac:dyDescent="0.2">
      <c r="A1674" s="9" t="s">
        <v>6097</v>
      </c>
      <c r="B1674" s="10" t="s">
        <v>6135</v>
      </c>
      <c r="C1674" s="11" t="s">
        <v>6137</v>
      </c>
      <c r="D1674" s="11" t="s">
        <v>6138</v>
      </c>
      <c r="E1674" s="11" t="s">
        <v>26</v>
      </c>
      <c r="F1674" s="11" t="s">
        <v>6139</v>
      </c>
      <c r="G1674" s="11" t="s">
        <v>28</v>
      </c>
      <c r="H1674" s="11" t="s">
        <v>6100</v>
      </c>
      <c r="I1674" s="11" t="s">
        <v>6101</v>
      </c>
      <c r="J1674" s="12">
        <v>0.91410000000000002</v>
      </c>
      <c r="K1674" s="13">
        <v>1</v>
      </c>
      <c r="L1674" s="14">
        <v>442</v>
      </c>
      <c r="M1674" s="10">
        <v>115</v>
      </c>
      <c r="N1674" s="10">
        <v>48842</v>
      </c>
      <c r="O1674" s="10">
        <v>9018</v>
      </c>
      <c r="P1674" s="10">
        <v>57860</v>
      </c>
    </row>
    <row r="1675" spans="1:16" ht="27" customHeight="1" x14ac:dyDescent="0.2">
      <c r="A1675" s="9" t="s">
        <v>6097</v>
      </c>
      <c r="B1675" s="10" t="s">
        <v>6140</v>
      </c>
      <c r="C1675" s="11" t="s">
        <v>18</v>
      </c>
      <c r="D1675" s="11" t="s">
        <v>19</v>
      </c>
      <c r="E1675" s="11" t="s">
        <v>19</v>
      </c>
      <c r="F1675" s="11" t="s">
        <v>6141</v>
      </c>
      <c r="G1675" s="11" t="s">
        <v>83</v>
      </c>
      <c r="H1675" s="11" t="s">
        <v>6142</v>
      </c>
      <c r="I1675" s="11" t="s">
        <v>6143</v>
      </c>
      <c r="J1675" s="12">
        <v>0.36549999999999999</v>
      </c>
      <c r="K1675" s="13">
        <v>9</v>
      </c>
      <c r="L1675" s="14">
        <v>2756</v>
      </c>
      <c r="M1675" s="10">
        <v>515</v>
      </c>
      <c r="N1675" s="10">
        <v>304543</v>
      </c>
      <c r="O1675" s="10">
        <v>40386</v>
      </c>
      <c r="P1675" s="10">
        <v>344929</v>
      </c>
    </row>
    <row r="1676" spans="1:16" ht="27" customHeight="1" x14ac:dyDescent="0.2">
      <c r="A1676" s="9" t="s">
        <v>6097</v>
      </c>
      <c r="B1676" s="10" t="s">
        <v>6144</v>
      </c>
      <c r="C1676" s="11" t="s">
        <v>18</v>
      </c>
      <c r="D1676" s="11" t="s">
        <v>19</v>
      </c>
      <c r="E1676" s="11" t="s">
        <v>19</v>
      </c>
      <c r="F1676" s="11" t="s">
        <v>6145</v>
      </c>
      <c r="G1676" s="11" t="s">
        <v>83</v>
      </c>
      <c r="H1676" s="11" t="s">
        <v>6146</v>
      </c>
      <c r="I1676" s="11" t="s">
        <v>6147</v>
      </c>
      <c r="J1676" s="12">
        <v>0.42280000000000001</v>
      </c>
      <c r="K1676" s="13">
        <v>4</v>
      </c>
      <c r="L1676" s="14">
        <v>262</v>
      </c>
      <c r="M1676" s="10">
        <v>96</v>
      </c>
      <c r="N1676" s="10">
        <v>28951</v>
      </c>
      <c r="O1676" s="10">
        <v>7528</v>
      </c>
      <c r="P1676" s="10">
        <v>36479</v>
      </c>
    </row>
    <row r="1677" spans="1:16" ht="27" customHeight="1" x14ac:dyDescent="0.2">
      <c r="A1677" s="9" t="s">
        <v>6097</v>
      </c>
      <c r="B1677" s="10" t="s">
        <v>6148</v>
      </c>
      <c r="C1677" s="11" t="s">
        <v>18</v>
      </c>
      <c r="D1677" s="11" t="s">
        <v>19</v>
      </c>
      <c r="E1677" s="11" t="s">
        <v>19</v>
      </c>
      <c r="F1677" s="11" t="s">
        <v>6149</v>
      </c>
      <c r="G1677" s="11" t="s">
        <v>83</v>
      </c>
      <c r="H1677" s="11" t="s">
        <v>6149</v>
      </c>
      <c r="I1677" s="11" t="s">
        <v>6150</v>
      </c>
      <c r="J1677" s="12">
        <v>6.1699999999999998E-2</v>
      </c>
      <c r="K1677" s="13">
        <v>3</v>
      </c>
      <c r="L1677" s="14">
        <v>1148</v>
      </c>
      <c r="M1677" s="10">
        <v>71</v>
      </c>
      <c r="N1677" s="10">
        <v>126855</v>
      </c>
      <c r="O1677" s="10">
        <v>5568</v>
      </c>
      <c r="P1677" s="10">
        <v>132423</v>
      </c>
    </row>
    <row r="1678" spans="1:16" ht="27" customHeight="1" x14ac:dyDescent="0.2">
      <c r="A1678" s="9" t="s">
        <v>6097</v>
      </c>
      <c r="B1678" s="10" t="s">
        <v>6151</v>
      </c>
      <c r="C1678" s="11" t="s">
        <v>18</v>
      </c>
      <c r="D1678" s="11" t="s">
        <v>19</v>
      </c>
      <c r="E1678" s="11" t="s">
        <v>19</v>
      </c>
      <c r="F1678" s="11" t="s">
        <v>6152</v>
      </c>
      <c r="G1678" s="11" t="s">
        <v>83</v>
      </c>
      <c r="H1678" s="11" t="s">
        <v>6153</v>
      </c>
      <c r="I1678" s="11" t="s">
        <v>6154</v>
      </c>
      <c r="J1678" s="12">
        <v>0.1196</v>
      </c>
      <c r="K1678" s="13">
        <v>5</v>
      </c>
      <c r="L1678" s="14">
        <v>2719</v>
      </c>
      <c r="M1678" s="10">
        <v>262</v>
      </c>
      <c r="N1678" s="10">
        <v>300454</v>
      </c>
      <c r="O1678" s="10">
        <v>20546</v>
      </c>
      <c r="P1678" s="10">
        <v>321000</v>
      </c>
    </row>
    <row r="1679" spans="1:16" ht="27" customHeight="1" x14ac:dyDescent="0.2">
      <c r="A1679" s="9" t="s">
        <v>6097</v>
      </c>
      <c r="B1679" s="10" t="s">
        <v>6155</v>
      </c>
      <c r="C1679" s="11" t="s">
        <v>18</v>
      </c>
      <c r="D1679" s="11" t="s">
        <v>19</v>
      </c>
      <c r="E1679" s="11" t="s">
        <v>19</v>
      </c>
      <c r="F1679" s="11" t="s">
        <v>6156</v>
      </c>
      <c r="G1679" s="11" t="s">
        <v>83</v>
      </c>
      <c r="H1679" s="11" t="s">
        <v>6157</v>
      </c>
      <c r="I1679" s="11" t="s">
        <v>6158</v>
      </c>
      <c r="J1679" s="12">
        <v>0.45729999999999998</v>
      </c>
      <c r="K1679" s="13">
        <v>6</v>
      </c>
      <c r="L1679" s="14">
        <v>2092</v>
      </c>
      <c r="M1679" s="10">
        <v>502</v>
      </c>
      <c r="N1679" s="10">
        <v>231170</v>
      </c>
      <c r="O1679" s="10">
        <v>39366</v>
      </c>
      <c r="P1679" s="10">
        <v>270536</v>
      </c>
    </row>
    <row r="1680" spans="1:16" ht="27" customHeight="1" x14ac:dyDescent="0.2">
      <c r="A1680" s="9" t="s">
        <v>6097</v>
      </c>
      <c r="B1680" s="10" t="s">
        <v>6159</v>
      </c>
      <c r="C1680" s="11" t="s">
        <v>18</v>
      </c>
      <c r="D1680" s="11" t="s">
        <v>19</v>
      </c>
      <c r="E1680" s="11" t="s">
        <v>19</v>
      </c>
      <c r="F1680" s="11" t="s">
        <v>6160</v>
      </c>
      <c r="G1680" s="11" t="s">
        <v>83</v>
      </c>
      <c r="H1680" s="11" t="s">
        <v>6161</v>
      </c>
      <c r="I1680" s="11" t="s">
        <v>6162</v>
      </c>
      <c r="J1680" s="12">
        <v>0.05</v>
      </c>
      <c r="K1680" s="13">
        <v>3</v>
      </c>
      <c r="L1680" s="14">
        <v>514</v>
      </c>
      <c r="M1680" s="10">
        <v>30</v>
      </c>
      <c r="N1680" s="10">
        <v>56798</v>
      </c>
      <c r="O1680" s="10">
        <v>2353</v>
      </c>
      <c r="P1680" s="10">
        <v>59151</v>
      </c>
    </row>
    <row r="1681" spans="1:16" ht="27" customHeight="1" x14ac:dyDescent="0.2">
      <c r="A1681" s="9" t="s">
        <v>6097</v>
      </c>
      <c r="B1681" s="10" t="s">
        <v>6163</v>
      </c>
      <c r="C1681" s="11" t="s">
        <v>18</v>
      </c>
      <c r="D1681" s="11" t="s">
        <v>19</v>
      </c>
      <c r="E1681" s="11" t="s">
        <v>19</v>
      </c>
      <c r="F1681" s="11" t="s">
        <v>6164</v>
      </c>
      <c r="G1681" s="11" t="s">
        <v>83</v>
      </c>
      <c r="H1681" s="11" t="s">
        <v>6165</v>
      </c>
      <c r="I1681" s="11" t="s">
        <v>6166</v>
      </c>
      <c r="J1681" s="12">
        <v>0.86799999999999999</v>
      </c>
      <c r="K1681" s="13">
        <v>5</v>
      </c>
      <c r="L1681" s="14">
        <v>1524</v>
      </c>
      <c r="M1681" s="10">
        <v>1251</v>
      </c>
      <c r="N1681" s="10">
        <v>168405</v>
      </c>
      <c r="O1681" s="10">
        <v>98102</v>
      </c>
      <c r="P1681" s="10">
        <v>266507</v>
      </c>
    </row>
    <row r="1682" spans="1:16" ht="27" customHeight="1" x14ac:dyDescent="0.2">
      <c r="A1682" s="9" t="s">
        <v>6097</v>
      </c>
      <c r="B1682" s="10" t="s">
        <v>6163</v>
      </c>
      <c r="C1682" s="11" t="s">
        <v>6167</v>
      </c>
      <c r="D1682" s="11" t="s">
        <v>6168</v>
      </c>
      <c r="E1682" s="11" t="s">
        <v>26</v>
      </c>
      <c r="F1682" s="11" t="s">
        <v>6169</v>
      </c>
      <c r="G1682" s="11" t="s">
        <v>28</v>
      </c>
      <c r="H1682" s="11" t="s">
        <v>6169</v>
      </c>
      <c r="I1682" s="11" t="s">
        <v>6170</v>
      </c>
      <c r="J1682" s="12">
        <v>0.74250000000000005</v>
      </c>
      <c r="K1682" s="13">
        <v>1</v>
      </c>
      <c r="L1682" s="14">
        <v>532</v>
      </c>
      <c r="M1682" s="10">
        <v>395</v>
      </c>
      <c r="N1682" s="10">
        <v>58787</v>
      </c>
      <c r="O1682" s="10">
        <v>30975</v>
      </c>
      <c r="P1682" s="10">
        <v>89762</v>
      </c>
    </row>
    <row r="1683" spans="1:16" ht="27" customHeight="1" x14ac:dyDescent="0.2">
      <c r="A1683" s="9" t="s">
        <v>6097</v>
      </c>
      <c r="B1683" s="10" t="s">
        <v>6163</v>
      </c>
      <c r="C1683" s="11" t="s">
        <v>6171</v>
      </c>
      <c r="D1683" s="11" t="s">
        <v>6172</v>
      </c>
      <c r="E1683" s="11" t="s">
        <v>26</v>
      </c>
      <c r="F1683" s="11" t="s">
        <v>6173</v>
      </c>
      <c r="G1683" s="11" t="s">
        <v>28</v>
      </c>
      <c r="H1683" s="11" t="s">
        <v>6173</v>
      </c>
      <c r="I1683" s="11" t="s">
        <v>6174</v>
      </c>
      <c r="J1683" s="12">
        <v>0.90790000000000004</v>
      </c>
      <c r="K1683" s="13">
        <v>1</v>
      </c>
      <c r="L1683" s="14">
        <v>619</v>
      </c>
      <c r="M1683" s="10">
        <v>562</v>
      </c>
      <c r="N1683" s="10">
        <v>68401</v>
      </c>
      <c r="O1683" s="10">
        <v>44071</v>
      </c>
      <c r="P1683" s="10">
        <v>112472</v>
      </c>
    </row>
    <row r="1684" spans="1:16" ht="27" customHeight="1" x14ac:dyDescent="0.2">
      <c r="A1684" s="9" t="s">
        <v>6097</v>
      </c>
      <c r="B1684" s="10" t="s">
        <v>6175</v>
      </c>
      <c r="C1684" s="11" t="s">
        <v>18</v>
      </c>
      <c r="D1684" s="11" t="s">
        <v>19</v>
      </c>
      <c r="E1684" s="11" t="s">
        <v>19</v>
      </c>
      <c r="F1684" s="11" t="s">
        <v>6176</v>
      </c>
      <c r="G1684" s="11" t="s">
        <v>83</v>
      </c>
      <c r="H1684" s="11" t="s">
        <v>6177</v>
      </c>
      <c r="I1684" s="11" t="s">
        <v>6178</v>
      </c>
      <c r="J1684" s="12">
        <v>0.88980000000000004</v>
      </c>
      <c r="K1684" s="13">
        <v>13</v>
      </c>
      <c r="L1684" s="14">
        <v>6757</v>
      </c>
      <c r="M1684" s="10">
        <v>3917</v>
      </c>
      <c r="N1684" s="10">
        <v>746660</v>
      </c>
      <c r="O1684" s="10">
        <v>307169</v>
      </c>
      <c r="P1684" s="10">
        <v>1053829</v>
      </c>
    </row>
    <row r="1685" spans="1:16" ht="27" customHeight="1" x14ac:dyDescent="0.2">
      <c r="A1685" s="9" t="s">
        <v>6097</v>
      </c>
      <c r="B1685" s="10" t="s">
        <v>6175</v>
      </c>
      <c r="C1685" s="11" t="s">
        <v>6179</v>
      </c>
      <c r="D1685" s="11" t="s">
        <v>6180</v>
      </c>
      <c r="E1685" s="11" t="s">
        <v>26</v>
      </c>
      <c r="F1685" s="11" t="s">
        <v>6181</v>
      </c>
      <c r="G1685" s="11" t="s">
        <v>28</v>
      </c>
      <c r="H1685" s="11" t="s">
        <v>6181</v>
      </c>
      <c r="I1685" s="11" t="s">
        <v>6182</v>
      </c>
      <c r="J1685" s="12">
        <v>0.62839999999999996</v>
      </c>
      <c r="K1685" s="13">
        <v>1</v>
      </c>
      <c r="L1685" s="14">
        <v>148</v>
      </c>
      <c r="M1685" s="10">
        <v>93</v>
      </c>
      <c r="N1685" s="10">
        <v>16354</v>
      </c>
      <c r="O1685" s="10">
        <v>7293</v>
      </c>
      <c r="P1685" s="10">
        <v>23647</v>
      </c>
    </row>
    <row r="1686" spans="1:16" ht="27" customHeight="1" x14ac:dyDescent="0.2">
      <c r="A1686" s="9" t="s">
        <v>6097</v>
      </c>
      <c r="B1686" s="10" t="s">
        <v>6175</v>
      </c>
      <c r="C1686" s="11" t="s">
        <v>6183</v>
      </c>
      <c r="D1686" s="11" t="s">
        <v>6184</v>
      </c>
      <c r="E1686" s="11" t="s">
        <v>26</v>
      </c>
      <c r="F1686" s="11" t="s">
        <v>6100</v>
      </c>
      <c r="G1686" s="11" t="s">
        <v>28</v>
      </c>
      <c r="H1686" s="11" t="s">
        <v>6100</v>
      </c>
      <c r="I1686" s="11" t="s">
        <v>6101</v>
      </c>
      <c r="J1686" s="12">
        <v>0.91410000000000002</v>
      </c>
      <c r="K1686" s="13">
        <v>1</v>
      </c>
      <c r="L1686" s="14">
        <v>733</v>
      </c>
      <c r="M1686" s="10">
        <v>670</v>
      </c>
      <c r="N1686" s="10">
        <v>80998</v>
      </c>
      <c r="O1686" s="10">
        <v>52541</v>
      </c>
      <c r="P1686" s="10">
        <v>133539</v>
      </c>
    </row>
    <row r="1687" spans="1:16" ht="27" customHeight="1" x14ac:dyDescent="0.2">
      <c r="A1687" s="9" t="s">
        <v>6097</v>
      </c>
      <c r="B1687" s="10" t="s">
        <v>6175</v>
      </c>
      <c r="C1687" s="11" t="s">
        <v>6185</v>
      </c>
      <c r="D1687" s="11" t="s">
        <v>6186</v>
      </c>
      <c r="E1687" s="11" t="s">
        <v>26</v>
      </c>
      <c r="F1687" s="11" t="s">
        <v>6187</v>
      </c>
      <c r="G1687" s="11" t="s">
        <v>28</v>
      </c>
      <c r="H1687" s="11" t="s">
        <v>6187</v>
      </c>
      <c r="I1687" s="11" t="s">
        <v>6188</v>
      </c>
      <c r="J1687" s="12">
        <v>0.83650000000000002</v>
      </c>
      <c r="K1687" s="13">
        <v>1</v>
      </c>
      <c r="L1687" s="14">
        <v>312</v>
      </c>
      <c r="M1687" s="10">
        <v>261</v>
      </c>
      <c r="N1687" s="10">
        <v>34477</v>
      </c>
      <c r="O1687" s="10">
        <v>20467</v>
      </c>
      <c r="P1687" s="10">
        <v>54944</v>
      </c>
    </row>
    <row r="1688" spans="1:16" ht="27" customHeight="1" x14ac:dyDescent="0.2">
      <c r="A1688" s="9" t="s">
        <v>6097</v>
      </c>
      <c r="B1688" s="10" t="s">
        <v>6189</v>
      </c>
      <c r="C1688" s="11" t="s">
        <v>18</v>
      </c>
      <c r="D1688" s="11" t="s">
        <v>19</v>
      </c>
      <c r="E1688" s="11" t="s">
        <v>19</v>
      </c>
      <c r="F1688" s="11" t="s">
        <v>6190</v>
      </c>
      <c r="G1688" s="11" t="s">
        <v>83</v>
      </c>
      <c r="H1688" s="11" t="s">
        <v>6191</v>
      </c>
      <c r="I1688" s="11" t="s">
        <v>6192</v>
      </c>
      <c r="J1688" s="12">
        <v>0.61309999999999998</v>
      </c>
      <c r="K1688" s="13">
        <v>6</v>
      </c>
      <c r="L1688" s="14">
        <v>1840</v>
      </c>
      <c r="M1688" s="10">
        <v>748</v>
      </c>
      <c r="N1688" s="10">
        <v>203323</v>
      </c>
      <c r="O1688" s="10">
        <v>58658</v>
      </c>
      <c r="P1688" s="10">
        <v>261981</v>
      </c>
    </row>
    <row r="1689" spans="1:16" ht="27" customHeight="1" x14ac:dyDescent="0.2">
      <c r="A1689" s="9" t="s">
        <v>6097</v>
      </c>
      <c r="B1689" s="10" t="s">
        <v>6193</v>
      </c>
      <c r="C1689" s="11" t="s">
        <v>18</v>
      </c>
      <c r="D1689" s="11" t="s">
        <v>19</v>
      </c>
      <c r="E1689" s="11" t="s">
        <v>19</v>
      </c>
      <c r="F1689" s="11" t="s">
        <v>6194</v>
      </c>
      <c r="G1689" s="11" t="s">
        <v>83</v>
      </c>
      <c r="H1689" s="11" t="s">
        <v>6195</v>
      </c>
      <c r="I1689" s="11" t="s">
        <v>6196</v>
      </c>
      <c r="J1689" s="12">
        <v>0.1227</v>
      </c>
      <c r="K1689" s="13">
        <v>10</v>
      </c>
      <c r="L1689" s="14">
        <v>2713</v>
      </c>
      <c r="M1689" s="10">
        <v>270</v>
      </c>
      <c r="N1689" s="10">
        <v>299792</v>
      </c>
      <c r="O1689" s="10">
        <v>21173</v>
      </c>
      <c r="P1689" s="10">
        <v>320965</v>
      </c>
    </row>
    <row r="1690" spans="1:16" ht="27" customHeight="1" x14ac:dyDescent="0.2">
      <c r="A1690" s="9" t="s">
        <v>6097</v>
      </c>
      <c r="B1690" s="10" t="s">
        <v>6193</v>
      </c>
      <c r="C1690" s="11" t="s">
        <v>6197</v>
      </c>
      <c r="D1690" s="11" t="s">
        <v>6198</v>
      </c>
      <c r="E1690" s="11" t="s">
        <v>26</v>
      </c>
      <c r="F1690" s="11" t="s">
        <v>6199</v>
      </c>
      <c r="G1690" s="11" t="s">
        <v>28</v>
      </c>
      <c r="H1690" s="11" t="s">
        <v>6199</v>
      </c>
      <c r="I1690" s="11" t="s">
        <v>6200</v>
      </c>
      <c r="J1690" s="12">
        <v>3.09E-2</v>
      </c>
      <c r="K1690" s="13">
        <v>1</v>
      </c>
      <c r="L1690" s="14">
        <v>356</v>
      </c>
      <c r="M1690" s="10">
        <v>11</v>
      </c>
      <c r="N1690" s="10">
        <v>39339</v>
      </c>
      <c r="O1690" s="10">
        <v>863</v>
      </c>
      <c r="P1690" s="10">
        <v>40202</v>
      </c>
    </row>
    <row r="1691" spans="1:16" ht="27" customHeight="1" x14ac:dyDescent="0.2">
      <c r="A1691" s="9" t="s">
        <v>6097</v>
      </c>
      <c r="B1691" s="10" t="s">
        <v>6201</v>
      </c>
      <c r="C1691" s="11" t="s">
        <v>18</v>
      </c>
      <c r="D1691" s="11" t="s">
        <v>19</v>
      </c>
      <c r="E1691" s="11" t="s">
        <v>19</v>
      </c>
      <c r="F1691" s="11" t="s">
        <v>6202</v>
      </c>
      <c r="G1691" s="11" t="s">
        <v>83</v>
      </c>
      <c r="H1691" s="11" t="s">
        <v>6203</v>
      </c>
      <c r="I1691" s="11" t="s">
        <v>6204</v>
      </c>
      <c r="J1691" s="12">
        <v>0.62749999999999995</v>
      </c>
      <c r="K1691" s="13">
        <v>23</v>
      </c>
      <c r="L1691" s="14">
        <v>10300</v>
      </c>
      <c r="M1691" s="10">
        <v>2932</v>
      </c>
      <c r="N1691" s="10">
        <v>1138168</v>
      </c>
      <c r="O1691" s="10">
        <v>229923</v>
      </c>
      <c r="P1691" s="10">
        <v>1368091</v>
      </c>
    </row>
    <row r="1692" spans="1:16" ht="27" customHeight="1" x14ac:dyDescent="0.2">
      <c r="A1692" s="9" t="s">
        <v>6097</v>
      </c>
      <c r="B1692" s="10" t="s">
        <v>6205</v>
      </c>
      <c r="C1692" s="11" t="s">
        <v>18</v>
      </c>
      <c r="D1692" s="11" t="s">
        <v>19</v>
      </c>
      <c r="E1692" s="11" t="s">
        <v>19</v>
      </c>
      <c r="F1692" s="11" t="s">
        <v>6206</v>
      </c>
      <c r="G1692" s="11" t="s">
        <v>83</v>
      </c>
      <c r="H1692" s="11" t="s">
        <v>6100</v>
      </c>
      <c r="I1692" s="11" t="s">
        <v>6101</v>
      </c>
      <c r="J1692" s="12">
        <v>0.91410000000000002</v>
      </c>
      <c r="K1692" s="13">
        <v>8</v>
      </c>
      <c r="L1692" s="14">
        <v>8899</v>
      </c>
      <c r="M1692" s="10">
        <v>1825</v>
      </c>
      <c r="N1692" s="10">
        <v>983353</v>
      </c>
      <c r="O1692" s="10">
        <v>143116</v>
      </c>
      <c r="P1692" s="10">
        <v>1126469</v>
      </c>
    </row>
    <row r="1693" spans="1:16" ht="27" customHeight="1" x14ac:dyDescent="0.2">
      <c r="A1693" s="9" t="s">
        <v>6097</v>
      </c>
      <c r="B1693" s="10" t="s">
        <v>6205</v>
      </c>
      <c r="C1693" s="11" t="s">
        <v>6207</v>
      </c>
      <c r="D1693" s="11" t="s">
        <v>6208</v>
      </c>
      <c r="E1693" s="11" t="s">
        <v>26</v>
      </c>
      <c r="F1693" s="11" t="s">
        <v>6209</v>
      </c>
      <c r="G1693" s="11" t="s">
        <v>28</v>
      </c>
      <c r="H1693" s="11" t="s">
        <v>6100</v>
      </c>
      <c r="I1693" s="11" t="s">
        <v>6101</v>
      </c>
      <c r="J1693" s="12">
        <v>0.91410000000000002</v>
      </c>
      <c r="K1693" s="13">
        <v>1</v>
      </c>
      <c r="L1693" s="14">
        <v>545</v>
      </c>
      <c r="M1693" s="10">
        <v>33</v>
      </c>
      <c r="N1693" s="10">
        <v>60223</v>
      </c>
      <c r="O1693" s="10">
        <v>2588</v>
      </c>
      <c r="P1693" s="10">
        <v>62811</v>
      </c>
    </row>
    <row r="1694" spans="1:16" ht="27" customHeight="1" x14ac:dyDescent="0.2">
      <c r="A1694" s="9" t="s">
        <v>6097</v>
      </c>
      <c r="B1694" s="10" t="s">
        <v>6210</v>
      </c>
      <c r="C1694" s="11" t="s">
        <v>18</v>
      </c>
      <c r="D1694" s="11" t="s">
        <v>19</v>
      </c>
      <c r="E1694" s="11" t="s">
        <v>19</v>
      </c>
      <c r="F1694" s="11" t="s">
        <v>6211</v>
      </c>
      <c r="G1694" s="11" t="s">
        <v>83</v>
      </c>
      <c r="H1694" s="11" t="s">
        <v>6100</v>
      </c>
      <c r="I1694" s="11" t="s">
        <v>6101</v>
      </c>
      <c r="J1694" s="12">
        <v>0.91410000000000002</v>
      </c>
      <c r="K1694" s="13">
        <v>7</v>
      </c>
      <c r="L1694" s="14">
        <v>8565</v>
      </c>
      <c r="M1694" s="10">
        <v>2159</v>
      </c>
      <c r="N1694" s="10">
        <v>946447</v>
      </c>
      <c r="O1694" s="10">
        <v>169306</v>
      </c>
      <c r="P1694" s="10">
        <v>1115753</v>
      </c>
    </row>
    <row r="1695" spans="1:16" ht="27" customHeight="1" x14ac:dyDescent="0.2">
      <c r="A1695" s="9" t="s">
        <v>6097</v>
      </c>
      <c r="B1695" s="10" t="s">
        <v>6210</v>
      </c>
      <c r="C1695" s="11" t="s">
        <v>6212</v>
      </c>
      <c r="D1695" s="11" t="s">
        <v>6213</v>
      </c>
      <c r="E1695" s="11" t="s">
        <v>26</v>
      </c>
      <c r="F1695" s="11" t="s">
        <v>6214</v>
      </c>
      <c r="G1695" s="11" t="s">
        <v>28</v>
      </c>
      <c r="H1695" s="11" t="s">
        <v>6100</v>
      </c>
      <c r="I1695" s="11" t="s">
        <v>6101</v>
      </c>
      <c r="J1695" s="12">
        <v>0.91410000000000002</v>
      </c>
      <c r="K1695" s="13">
        <v>1</v>
      </c>
      <c r="L1695" s="14">
        <v>389</v>
      </c>
      <c r="M1695" s="10">
        <v>234</v>
      </c>
      <c r="N1695" s="10">
        <v>42985</v>
      </c>
      <c r="O1695" s="10">
        <v>18350</v>
      </c>
      <c r="P1695" s="10">
        <v>61335</v>
      </c>
    </row>
    <row r="1696" spans="1:16" ht="27" customHeight="1" x14ac:dyDescent="0.2">
      <c r="A1696" s="9" t="s">
        <v>6097</v>
      </c>
      <c r="B1696" s="10" t="s">
        <v>6210</v>
      </c>
      <c r="C1696" s="11" t="s">
        <v>6215</v>
      </c>
      <c r="D1696" s="11" t="s">
        <v>6216</v>
      </c>
      <c r="E1696" s="11" t="s">
        <v>26</v>
      </c>
      <c r="F1696" s="11" t="s">
        <v>6217</v>
      </c>
      <c r="G1696" s="11" t="s">
        <v>28</v>
      </c>
      <c r="H1696" s="11" t="s">
        <v>6100</v>
      </c>
      <c r="I1696" s="11" t="s">
        <v>6101</v>
      </c>
      <c r="J1696" s="12">
        <v>0.91410000000000002</v>
      </c>
      <c r="K1696" s="13">
        <v>1</v>
      </c>
      <c r="L1696" s="14">
        <v>295</v>
      </c>
      <c r="M1696" s="10">
        <v>214</v>
      </c>
      <c r="N1696" s="10">
        <v>32598</v>
      </c>
      <c r="O1696" s="10">
        <v>16782</v>
      </c>
      <c r="P1696" s="10">
        <v>49380</v>
      </c>
    </row>
    <row r="1697" spans="1:16" ht="27" customHeight="1" x14ac:dyDescent="0.2">
      <c r="A1697" s="9" t="s">
        <v>6097</v>
      </c>
      <c r="B1697" s="10" t="s">
        <v>6210</v>
      </c>
      <c r="C1697" s="11" t="s">
        <v>6218</v>
      </c>
      <c r="D1697" s="11" t="s">
        <v>6219</v>
      </c>
      <c r="E1697" s="11" t="s">
        <v>26</v>
      </c>
      <c r="F1697" s="11" t="s">
        <v>6220</v>
      </c>
      <c r="G1697" s="11" t="s">
        <v>28</v>
      </c>
      <c r="H1697" s="11" t="s">
        <v>6100</v>
      </c>
      <c r="I1697" s="11" t="s">
        <v>6101</v>
      </c>
      <c r="J1697" s="12">
        <v>0.91410000000000002</v>
      </c>
      <c r="K1697" s="13">
        <v>1</v>
      </c>
      <c r="L1697" s="14">
        <v>299</v>
      </c>
      <c r="M1697" s="10">
        <v>205</v>
      </c>
      <c r="N1697" s="10">
        <v>33040</v>
      </c>
      <c r="O1697" s="10">
        <v>16076</v>
      </c>
      <c r="P1697" s="10">
        <v>49116</v>
      </c>
    </row>
    <row r="1698" spans="1:16" ht="27" customHeight="1" x14ac:dyDescent="0.2">
      <c r="A1698" s="9" t="s">
        <v>6097</v>
      </c>
      <c r="B1698" s="10" t="s">
        <v>6210</v>
      </c>
      <c r="C1698" s="11" t="s">
        <v>6221</v>
      </c>
      <c r="D1698" s="11" t="s">
        <v>6222</v>
      </c>
      <c r="E1698" s="11" t="s">
        <v>26</v>
      </c>
      <c r="F1698" s="11" t="s">
        <v>6223</v>
      </c>
      <c r="G1698" s="11" t="s">
        <v>28</v>
      </c>
      <c r="H1698" s="11" t="s">
        <v>6100</v>
      </c>
      <c r="I1698" s="11" t="s">
        <v>6101</v>
      </c>
      <c r="J1698" s="12">
        <v>0.91410000000000002</v>
      </c>
      <c r="K1698" s="13">
        <v>1</v>
      </c>
      <c r="L1698" s="14">
        <v>220</v>
      </c>
      <c r="M1698" s="10">
        <v>193</v>
      </c>
      <c r="N1698" s="10">
        <v>24310</v>
      </c>
      <c r="O1698" s="10">
        <v>15135</v>
      </c>
      <c r="P1698" s="10">
        <v>39445</v>
      </c>
    </row>
    <row r="1699" spans="1:16" ht="27" customHeight="1" x14ac:dyDescent="0.2">
      <c r="A1699" s="9" t="s">
        <v>6097</v>
      </c>
      <c r="B1699" s="10" t="s">
        <v>6224</v>
      </c>
      <c r="C1699" s="11" t="s">
        <v>18</v>
      </c>
      <c r="D1699" s="11" t="s">
        <v>19</v>
      </c>
      <c r="E1699" s="11" t="s">
        <v>19</v>
      </c>
      <c r="F1699" s="11" t="s">
        <v>6225</v>
      </c>
      <c r="G1699" s="11" t="s">
        <v>83</v>
      </c>
      <c r="H1699" s="11" t="s">
        <v>6226</v>
      </c>
      <c r="I1699" s="11" t="s">
        <v>6227</v>
      </c>
      <c r="J1699" s="12">
        <v>0.61270000000000002</v>
      </c>
      <c r="K1699" s="13">
        <v>18</v>
      </c>
      <c r="L1699" s="14">
        <v>8001</v>
      </c>
      <c r="M1699" s="10">
        <v>2917</v>
      </c>
      <c r="N1699" s="10">
        <v>884123</v>
      </c>
      <c r="O1699" s="10">
        <v>228750</v>
      </c>
      <c r="P1699" s="10">
        <v>1112873</v>
      </c>
    </row>
    <row r="1700" spans="1:16" ht="27" customHeight="1" x14ac:dyDescent="0.2">
      <c r="A1700" s="9" t="s">
        <v>6097</v>
      </c>
      <c r="B1700" s="10" t="s">
        <v>6228</v>
      </c>
      <c r="C1700" s="11" t="s">
        <v>18</v>
      </c>
      <c r="D1700" s="11" t="s">
        <v>19</v>
      </c>
      <c r="E1700" s="11" t="s">
        <v>19</v>
      </c>
      <c r="F1700" s="11" t="s">
        <v>6229</v>
      </c>
      <c r="G1700" s="11" t="s">
        <v>83</v>
      </c>
      <c r="H1700" s="11" t="s">
        <v>6229</v>
      </c>
      <c r="I1700" s="11" t="s">
        <v>6230</v>
      </c>
      <c r="J1700" s="12">
        <v>7.8200000000000006E-2</v>
      </c>
      <c r="K1700" s="13">
        <v>2</v>
      </c>
      <c r="L1700" s="14">
        <v>373</v>
      </c>
      <c r="M1700" s="10">
        <v>29</v>
      </c>
      <c r="N1700" s="10">
        <v>41218</v>
      </c>
      <c r="O1700" s="10">
        <v>2274</v>
      </c>
      <c r="P1700" s="10">
        <v>43492</v>
      </c>
    </row>
    <row r="1701" spans="1:16" ht="27" customHeight="1" x14ac:dyDescent="0.2">
      <c r="A1701" s="9" t="s">
        <v>6231</v>
      </c>
      <c r="B1701" s="10" t="s">
        <v>6232</v>
      </c>
      <c r="C1701" s="11" t="s">
        <v>18</v>
      </c>
      <c r="D1701" s="11" t="s">
        <v>19</v>
      </c>
      <c r="E1701" s="11" t="s">
        <v>19</v>
      </c>
      <c r="F1701" s="11" t="s">
        <v>6233</v>
      </c>
      <c r="G1701" s="11" t="s">
        <v>21</v>
      </c>
      <c r="H1701" s="11" t="s">
        <v>430</v>
      </c>
      <c r="I1701" s="11" t="s">
        <v>6234</v>
      </c>
      <c r="J1701" s="12">
        <v>0.93389999999999995</v>
      </c>
      <c r="K1701" s="13">
        <v>4</v>
      </c>
      <c r="L1701" s="14">
        <v>728</v>
      </c>
      <c r="M1701" s="10">
        <v>671</v>
      </c>
      <c r="N1701" s="10">
        <v>80446</v>
      </c>
      <c r="O1701" s="10">
        <v>52619</v>
      </c>
      <c r="P1701" s="10">
        <v>133065</v>
      </c>
    </row>
    <row r="1702" spans="1:16" ht="27" customHeight="1" x14ac:dyDescent="0.2">
      <c r="A1702" s="9" t="s">
        <v>6231</v>
      </c>
      <c r="B1702" s="10" t="s">
        <v>6235</v>
      </c>
      <c r="C1702" s="11" t="s">
        <v>18</v>
      </c>
      <c r="D1702" s="11" t="s">
        <v>19</v>
      </c>
      <c r="E1702" s="11" t="s">
        <v>19</v>
      </c>
      <c r="F1702" s="11" t="s">
        <v>6236</v>
      </c>
      <c r="G1702" s="11" t="s">
        <v>83</v>
      </c>
      <c r="H1702" s="11" t="s">
        <v>6236</v>
      </c>
      <c r="I1702" s="11" t="s">
        <v>6237</v>
      </c>
      <c r="J1702" s="12">
        <v>0.1017</v>
      </c>
      <c r="K1702" s="13">
        <v>2</v>
      </c>
      <c r="L1702" s="14">
        <v>118</v>
      </c>
      <c r="M1702" s="10">
        <v>12</v>
      </c>
      <c r="N1702" s="10">
        <v>13039</v>
      </c>
      <c r="O1702" s="10">
        <v>941</v>
      </c>
      <c r="P1702" s="10">
        <v>13980</v>
      </c>
    </row>
    <row r="1703" spans="1:16" ht="27" customHeight="1" x14ac:dyDescent="0.2">
      <c r="A1703" s="9" t="s">
        <v>6231</v>
      </c>
      <c r="B1703" s="10" t="s">
        <v>6238</v>
      </c>
      <c r="C1703" s="11" t="s">
        <v>18</v>
      </c>
      <c r="D1703" s="11" t="s">
        <v>19</v>
      </c>
      <c r="E1703" s="11" t="s">
        <v>19</v>
      </c>
      <c r="F1703" s="11" t="s">
        <v>6239</v>
      </c>
      <c r="G1703" s="11" t="s">
        <v>83</v>
      </c>
      <c r="H1703" s="11" t="s">
        <v>6240</v>
      </c>
      <c r="I1703" s="11" t="s">
        <v>6241</v>
      </c>
      <c r="J1703" s="12">
        <v>0.48149999999999998</v>
      </c>
      <c r="K1703" s="13">
        <v>2</v>
      </c>
      <c r="L1703" s="14">
        <v>189</v>
      </c>
      <c r="M1703" s="10">
        <v>91</v>
      </c>
      <c r="N1703" s="10">
        <v>20885</v>
      </c>
      <c r="O1703" s="10">
        <v>7136</v>
      </c>
      <c r="P1703" s="10">
        <v>28021</v>
      </c>
    </row>
    <row r="1704" spans="1:16" ht="27" customHeight="1" x14ac:dyDescent="0.2">
      <c r="A1704" s="9" t="s">
        <v>6231</v>
      </c>
      <c r="B1704" s="10" t="s">
        <v>6238</v>
      </c>
      <c r="C1704" s="11" t="s">
        <v>6242</v>
      </c>
      <c r="D1704" s="11" t="s">
        <v>6243</v>
      </c>
      <c r="E1704" s="11" t="s">
        <v>26</v>
      </c>
      <c r="F1704" s="11" t="s">
        <v>6244</v>
      </c>
      <c r="G1704" s="11" t="s">
        <v>28</v>
      </c>
      <c r="H1704" s="11" t="s">
        <v>6244</v>
      </c>
      <c r="I1704" s="11" t="s">
        <v>6245</v>
      </c>
      <c r="J1704" s="12">
        <v>0.38319999999999999</v>
      </c>
      <c r="K1704" s="13">
        <v>1</v>
      </c>
      <c r="L1704" s="14">
        <v>368</v>
      </c>
      <c r="M1704" s="10">
        <v>141</v>
      </c>
      <c r="N1704" s="10">
        <v>40665</v>
      </c>
      <c r="O1704" s="10">
        <v>11057</v>
      </c>
      <c r="P1704" s="10">
        <v>51722</v>
      </c>
    </row>
    <row r="1705" spans="1:16" ht="27" customHeight="1" x14ac:dyDescent="0.2">
      <c r="A1705" s="9" t="s">
        <v>6231</v>
      </c>
      <c r="B1705" s="10" t="s">
        <v>6238</v>
      </c>
      <c r="C1705" s="11" t="s">
        <v>6246</v>
      </c>
      <c r="D1705" s="11" t="s">
        <v>6247</v>
      </c>
      <c r="E1705" s="11" t="s">
        <v>26</v>
      </c>
      <c r="F1705" s="11" t="s">
        <v>6248</v>
      </c>
      <c r="G1705" s="11" t="s">
        <v>28</v>
      </c>
      <c r="H1705" s="11" t="s">
        <v>6248</v>
      </c>
      <c r="I1705" s="11" t="s">
        <v>6249</v>
      </c>
      <c r="J1705" s="12">
        <v>0.23680000000000001</v>
      </c>
      <c r="K1705" s="13">
        <v>1</v>
      </c>
      <c r="L1705" s="14">
        <v>321</v>
      </c>
      <c r="M1705" s="10">
        <v>76</v>
      </c>
      <c r="N1705" s="10">
        <v>35471</v>
      </c>
      <c r="O1705" s="10">
        <v>5960</v>
      </c>
      <c r="P1705" s="10">
        <v>41431</v>
      </c>
    </row>
    <row r="1706" spans="1:16" ht="27" customHeight="1" x14ac:dyDescent="0.2">
      <c r="A1706" s="9" t="s">
        <v>6231</v>
      </c>
      <c r="B1706" s="10" t="s">
        <v>6238</v>
      </c>
      <c r="C1706" s="11" t="s">
        <v>6250</v>
      </c>
      <c r="D1706" s="11" t="s">
        <v>6251</v>
      </c>
      <c r="E1706" s="11" t="s">
        <v>26</v>
      </c>
      <c r="F1706" s="11" t="s">
        <v>6252</v>
      </c>
      <c r="G1706" s="11" t="s">
        <v>28</v>
      </c>
      <c r="H1706" s="11" t="s">
        <v>6252</v>
      </c>
      <c r="I1706" s="11" t="s">
        <v>6253</v>
      </c>
      <c r="J1706" s="12">
        <v>0.2</v>
      </c>
      <c r="K1706" s="13">
        <v>1</v>
      </c>
      <c r="L1706" s="14">
        <v>240</v>
      </c>
      <c r="M1706" s="10">
        <v>48</v>
      </c>
      <c r="N1706" s="10">
        <v>26520</v>
      </c>
      <c r="O1706" s="10">
        <v>3764</v>
      </c>
      <c r="P1706" s="10">
        <v>30284</v>
      </c>
    </row>
    <row r="1707" spans="1:16" ht="27" customHeight="1" x14ac:dyDescent="0.2">
      <c r="A1707" s="9" t="s">
        <v>6231</v>
      </c>
      <c r="B1707" s="10" t="s">
        <v>6238</v>
      </c>
      <c r="C1707" s="11" t="s">
        <v>6254</v>
      </c>
      <c r="D1707" s="11" t="s">
        <v>6255</v>
      </c>
      <c r="E1707" s="11" t="s">
        <v>26</v>
      </c>
      <c r="F1707" s="11" t="s">
        <v>6256</v>
      </c>
      <c r="G1707" s="11" t="s">
        <v>28</v>
      </c>
      <c r="H1707" s="11" t="s">
        <v>6256</v>
      </c>
      <c r="I1707" s="11" t="s">
        <v>6257</v>
      </c>
      <c r="J1707" s="12">
        <v>0.18179999999999999</v>
      </c>
      <c r="K1707" s="13">
        <v>1</v>
      </c>
      <c r="L1707" s="14">
        <v>297</v>
      </c>
      <c r="M1707" s="10">
        <v>54</v>
      </c>
      <c r="N1707" s="10">
        <v>32819</v>
      </c>
      <c r="O1707" s="10">
        <v>4235</v>
      </c>
      <c r="P1707" s="10">
        <v>37054</v>
      </c>
    </row>
    <row r="1708" spans="1:16" ht="27" customHeight="1" x14ac:dyDescent="0.2">
      <c r="A1708" s="9" t="s">
        <v>6231</v>
      </c>
      <c r="B1708" s="10" t="s">
        <v>6258</v>
      </c>
      <c r="C1708" s="11" t="s">
        <v>18</v>
      </c>
      <c r="D1708" s="11" t="s">
        <v>19</v>
      </c>
      <c r="E1708" s="11" t="s">
        <v>19</v>
      </c>
      <c r="F1708" s="11" t="s">
        <v>6259</v>
      </c>
      <c r="G1708" s="11" t="s">
        <v>83</v>
      </c>
      <c r="H1708" s="11" t="s">
        <v>6260</v>
      </c>
      <c r="I1708" s="11" t="s">
        <v>6261</v>
      </c>
      <c r="J1708" s="12">
        <v>0.93030000000000002</v>
      </c>
      <c r="K1708" s="13">
        <v>22</v>
      </c>
      <c r="L1708" s="14">
        <v>16959</v>
      </c>
      <c r="M1708" s="10">
        <v>13845</v>
      </c>
      <c r="N1708" s="10">
        <v>1873997</v>
      </c>
      <c r="O1708" s="10">
        <v>1085714</v>
      </c>
      <c r="P1708" s="10">
        <v>2959711</v>
      </c>
    </row>
    <row r="1709" spans="1:16" ht="27" customHeight="1" x14ac:dyDescent="0.2">
      <c r="A1709" s="9" t="s">
        <v>6231</v>
      </c>
      <c r="B1709" s="10" t="s">
        <v>6262</v>
      </c>
      <c r="C1709" s="11" t="s">
        <v>18</v>
      </c>
      <c r="D1709" s="11" t="s">
        <v>19</v>
      </c>
      <c r="E1709" s="11" t="s">
        <v>19</v>
      </c>
      <c r="F1709" s="11" t="s">
        <v>6263</v>
      </c>
      <c r="G1709" s="11" t="s">
        <v>83</v>
      </c>
      <c r="H1709" s="11" t="s">
        <v>6264</v>
      </c>
      <c r="I1709" s="11" t="s">
        <v>6265</v>
      </c>
      <c r="J1709" s="12">
        <v>0.50570000000000004</v>
      </c>
      <c r="K1709" s="13">
        <v>3</v>
      </c>
      <c r="L1709" s="14">
        <v>519</v>
      </c>
      <c r="M1709" s="10">
        <v>267</v>
      </c>
      <c r="N1709" s="10">
        <v>57351</v>
      </c>
      <c r="O1709" s="10">
        <v>20938</v>
      </c>
      <c r="P1709" s="10">
        <v>78289</v>
      </c>
    </row>
    <row r="1710" spans="1:16" ht="27" customHeight="1" x14ac:dyDescent="0.2">
      <c r="A1710" s="9" t="s">
        <v>6231</v>
      </c>
      <c r="B1710" s="10" t="s">
        <v>6266</v>
      </c>
      <c r="C1710" s="11" t="s">
        <v>18</v>
      </c>
      <c r="D1710" s="11" t="s">
        <v>19</v>
      </c>
      <c r="E1710" s="11" t="s">
        <v>19</v>
      </c>
      <c r="F1710" s="11" t="s">
        <v>6267</v>
      </c>
      <c r="G1710" s="11" t="s">
        <v>83</v>
      </c>
      <c r="H1710" s="11" t="s">
        <v>6268</v>
      </c>
      <c r="I1710" s="11" t="s">
        <v>6269</v>
      </c>
      <c r="J1710" s="12">
        <v>0.76900000000000002</v>
      </c>
      <c r="K1710" s="13">
        <v>7</v>
      </c>
      <c r="L1710" s="14">
        <v>2053</v>
      </c>
      <c r="M1710" s="10">
        <v>1425</v>
      </c>
      <c r="N1710" s="10">
        <v>226861</v>
      </c>
      <c r="O1710" s="10">
        <v>111746</v>
      </c>
      <c r="P1710" s="10">
        <v>338607</v>
      </c>
    </row>
    <row r="1711" spans="1:16" ht="27" customHeight="1" x14ac:dyDescent="0.2">
      <c r="A1711" s="9" t="s">
        <v>6231</v>
      </c>
      <c r="B1711" s="10" t="s">
        <v>6270</v>
      </c>
      <c r="C1711" s="11" t="s">
        <v>18</v>
      </c>
      <c r="D1711" s="11" t="s">
        <v>19</v>
      </c>
      <c r="E1711" s="11" t="s">
        <v>19</v>
      </c>
      <c r="F1711" s="11" t="s">
        <v>6271</v>
      </c>
      <c r="G1711" s="11" t="s">
        <v>83</v>
      </c>
      <c r="H1711" s="11" t="s">
        <v>6271</v>
      </c>
      <c r="I1711" s="11" t="s">
        <v>6272</v>
      </c>
      <c r="J1711" s="12">
        <v>5.1799999999999999E-2</v>
      </c>
      <c r="K1711" s="13">
        <v>2</v>
      </c>
      <c r="L1711" s="14">
        <v>193</v>
      </c>
      <c r="M1711" s="10">
        <v>10</v>
      </c>
      <c r="N1711" s="10">
        <v>21327</v>
      </c>
      <c r="O1711" s="10">
        <v>784</v>
      </c>
      <c r="P1711" s="10">
        <v>22111</v>
      </c>
    </row>
    <row r="1712" spans="1:16" ht="27" customHeight="1" x14ac:dyDescent="0.2">
      <c r="A1712" s="9" t="s">
        <v>6231</v>
      </c>
      <c r="B1712" s="10" t="s">
        <v>6273</v>
      </c>
      <c r="C1712" s="11" t="s">
        <v>18</v>
      </c>
      <c r="D1712" s="11" t="s">
        <v>19</v>
      </c>
      <c r="E1712" s="11" t="s">
        <v>19</v>
      </c>
      <c r="F1712" s="11" t="s">
        <v>6274</v>
      </c>
      <c r="G1712" s="11" t="s">
        <v>83</v>
      </c>
      <c r="H1712" s="11" t="s">
        <v>6275</v>
      </c>
      <c r="I1712" s="11" t="s">
        <v>6276</v>
      </c>
      <c r="J1712" s="12">
        <v>0.53490000000000004</v>
      </c>
      <c r="K1712" s="13">
        <v>3</v>
      </c>
      <c r="L1712" s="14">
        <v>202</v>
      </c>
      <c r="M1712" s="10">
        <v>106</v>
      </c>
      <c r="N1712" s="10">
        <v>22321</v>
      </c>
      <c r="O1712" s="10">
        <v>8313</v>
      </c>
      <c r="P1712" s="10">
        <v>30634</v>
      </c>
    </row>
    <row r="1713" spans="1:16" ht="27" customHeight="1" x14ac:dyDescent="0.2">
      <c r="A1713" s="9" t="s">
        <v>6231</v>
      </c>
      <c r="B1713" s="10" t="s">
        <v>6273</v>
      </c>
      <c r="C1713" s="11" t="s">
        <v>6277</v>
      </c>
      <c r="D1713" s="11" t="s">
        <v>6278</v>
      </c>
      <c r="E1713" s="11" t="s">
        <v>26</v>
      </c>
      <c r="F1713" s="11" t="s">
        <v>6279</v>
      </c>
      <c r="G1713" s="11" t="s">
        <v>28</v>
      </c>
      <c r="H1713" s="11" t="s">
        <v>6279</v>
      </c>
      <c r="I1713" s="11" t="s">
        <v>6280</v>
      </c>
      <c r="J1713" s="12">
        <v>0.21820000000000001</v>
      </c>
      <c r="K1713" s="13">
        <v>1</v>
      </c>
      <c r="L1713" s="14">
        <v>165</v>
      </c>
      <c r="M1713" s="10">
        <v>36</v>
      </c>
      <c r="N1713" s="10">
        <v>18233</v>
      </c>
      <c r="O1713" s="10">
        <v>2823</v>
      </c>
      <c r="P1713" s="10">
        <v>21056</v>
      </c>
    </row>
    <row r="1714" spans="1:16" ht="27" customHeight="1" x14ac:dyDescent="0.2">
      <c r="A1714" s="9" t="s">
        <v>6231</v>
      </c>
      <c r="B1714" s="10" t="s">
        <v>6281</v>
      </c>
      <c r="C1714" s="11" t="s">
        <v>18</v>
      </c>
      <c r="D1714" s="11" t="s">
        <v>19</v>
      </c>
      <c r="E1714" s="11" t="s">
        <v>19</v>
      </c>
      <c r="F1714" s="11" t="s">
        <v>6282</v>
      </c>
      <c r="G1714" s="11" t="s">
        <v>83</v>
      </c>
      <c r="H1714" s="11" t="s">
        <v>6283</v>
      </c>
      <c r="I1714" s="11" t="s">
        <v>6284</v>
      </c>
      <c r="J1714" s="12">
        <v>0.47920000000000001</v>
      </c>
      <c r="K1714" s="13">
        <v>11</v>
      </c>
      <c r="L1714" s="14">
        <v>3553</v>
      </c>
      <c r="M1714" s="10">
        <v>1199</v>
      </c>
      <c r="N1714" s="10">
        <v>392615</v>
      </c>
      <c r="O1714" s="10">
        <v>94026</v>
      </c>
      <c r="P1714" s="10">
        <v>486641</v>
      </c>
    </row>
    <row r="1715" spans="1:16" ht="27" customHeight="1" x14ac:dyDescent="0.2">
      <c r="A1715" s="9" t="s">
        <v>6231</v>
      </c>
      <c r="B1715" s="10" t="s">
        <v>6285</v>
      </c>
      <c r="C1715" s="11" t="s">
        <v>18</v>
      </c>
      <c r="D1715" s="11" t="s">
        <v>19</v>
      </c>
      <c r="E1715" s="11" t="s">
        <v>19</v>
      </c>
      <c r="F1715" s="11" t="s">
        <v>6286</v>
      </c>
      <c r="G1715" s="11" t="s">
        <v>83</v>
      </c>
      <c r="H1715" s="11" t="s">
        <v>6287</v>
      </c>
      <c r="I1715" s="11" t="s">
        <v>6288</v>
      </c>
      <c r="J1715" s="12">
        <v>0.87970000000000004</v>
      </c>
      <c r="K1715" s="13">
        <v>4</v>
      </c>
      <c r="L1715" s="14">
        <v>1294</v>
      </c>
      <c r="M1715" s="10">
        <v>1143</v>
      </c>
      <c r="N1715" s="10">
        <v>142990</v>
      </c>
      <c r="O1715" s="10">
        <v>89633</v>
      </c>
      <c r="P1715" s="10">
        <v>232623</v>
      </c>
    </row>
    <row r="1716" spans="1:16" ht="27" customHeight="1" x14ac:dyDescent="0.2">
      <c r="A1716" s="9" t="s">
        <v>6231</v>
      </c>
      <c r="B1716" s="10" t="s">
        <v>6289</v>
      </c>
      <c r="C1716" s="11" t="s">
        <v>18</v>
      </c>
      <c r="D1716" s="11" t="s">
        <v>19</v>
      </c>
      <c r="E1716" s="11" t="s">
        <v>19</v>
      </c>
      <c r="F1716" s="11" t="s">
        <v>6290</v>
      </c>
      <c r="G1716" s="11" t="s">
        <v>83</v>
      </c>
      <c r="H1716" s="11" t="s">
        <v>6290</v>
      </c>
      <c r="I1716" s="11" t="s">
        <v>6291</v>
      </c>
      <c r="J1716" s="12">
        <v>0.43120000000000003</v>
      </c>
      <c r="K1716" s="13">
        <v>4</v>
      </c>
      <c r="L1716" s="14">
        <v>849</v>
      </c>
      <c r="M1716" s="10">
        <v>265</v>
      </c>
      <c r="N1716" s="10">
        <v>93815</v>
      </c>
      <c r="O1716" s="10">
        <v>20782</v>
      </c>
      <c r="P1716" s="10">
        <v>114597</v>
      </c>
    </row>
    <row r="1717" spans="1:16" ht="27" customHeight="1" x14ac:dyDescent="0.2">
      <c r="A1717" s="9" t="s">
        <v>6231</v>
      </c>
      <c r="B1717" s="10" t="s">
        <v>6292</v>
      </c>
      <c r="C1717" s="11" t="s">
        <v>18</v>
      </c>
      <c r="D1717" s="11" t="s">
        <v>19</v>
      </c>
      <c r="E1717" s="11" t="s">
        <v>19</v>
      </c>
      <c r="F1717" s="11" t="s">
        <v>6293</v>
      </c>
      <c r="G1717" s="11" t="s">
        <v>83</v>
      </c>
      <c r="H1717" s="11" t="s">
        <v>6294</v>
      </c>
      <c r="I1717" s="11" t="s">
        <v>6295</v>
      </c>
      <c r="J1717" s="12">
        <v>0.83860000000000001</v>
      </c>
      <c r="K1717" s="13">
        <v>17</v>
      </c>
      <c r="L1717" s="14">
        <v>9060</v>
      </c>
      <c r="M1717" s="10">
        <v>5661</v>
      </c>
      <c r="N1717" s="10">
        <v>1001146</v>
      </c>
      <c r="O1717" s="10">
        <v>443929</v>
      </c>
      <c r="P1717" s="10">
        <v>1445075</v>
      </c>
    </row>
    <row r="1718" spans="1:16" ht="27" customHeight="1" x14ac:dyDescent="0.2">
      <c r="A1718" s="9" t="s">
        <v>6231</v>
      </c>
      <c r="B1718" s="10" t="s">
        <v>6292</v>
      </c>
      <c r="C1718" s="11" t="s">
        <v>6296</v>
      </c>
      <c r="D1718" s="11" t="s">
        <v>6297</v>
      </c>
      <c r="E1718" s="11" t="s">
        <v>26</v>
      </c>
      <c r="F1718" s="11" t="s">
        <v>6298</v>
      </c>
      <c r="G1718" s="11" t="s">
        <v>28</v>
      </c>
      <c r="H1718" s="11" t="s">
        <v>6298</v>
      </c>
      <c r="I1718" s="11" t="s">
        <v>6299</v>
      </c>
      <c r="J1718" s="12">
        <v>0.49669999999999997</v>
      </c>
      <c r="K1718" s="13">
        <v>1</v>
      </c>
      <c r="L1718" s="14">
        <v>453</v>
      </c>
      <c r="M1718" s="10">
        <v>225</v>
      </c>
      <c r="N1718" s="10">
        <v>50057</v>
      </c>
      <c r="O1718" s="10">
        <v>17644</v>
      </c>
      <c r="P1718" s="10">
        <v>67701</v>
      </c>
    </row>
    <row r="1719" spans="1:16" ht="27" customHeight="1" x14ac:dyDescent="0.2">
      <c r="A1719" s="9" t="s">
        <v>6231</v>
      </c>
      <c r="B1719" s="10" t="s">
        <v>6300</v>
      </c>
      <c r="C1719" s="11" t="s">
        <v>18</v>
      </c>
      <c r="D1719" s="11" t="s">
        <v>19</v>
      </c>
      <c r="E1719" s="11" t="s">
        <v>19</v>
      </c>
      <c r="F1719" s="11" t="s">
        <v>6301</v>
      </c>
      <c r="G1719" s="11" t="s">
        <v>83</v>
      </c>
      <c r="H1719" s="11" t="s">
        <v>6301</v>
      </c>
      <c r="I1719" s="11" t="s">
        <v>6302</v>
      </c>
      <c r="J1719" s="12">
        <v>0.2515</v>
      </c>
      <c r="K1719" s="13">
        <v>2</v>
      </c>
      <c r="L1719" s="14">
        <v>163</v>
      </c>
      <c r="M1719" s="10">
        <v>41</v>
      </c>
      <c r="N1719" s="10">
        <v>18012</v>
      </c>
      <c r="O1719" s="10">
        <v>3215</v>
      </c>
      <c r="P1719" s="10">
        <v>21227</v>
      </c>
    </row>
    <row r="1720" spans="1:16" ht="27" customHeight="1" x14ac:dyDescent="0.2">
      <c r="A1720" s="9" t="s">
        <v>6231</v>
      </c>
      <c r="B1720" s="10" t="s">
        <v>6303</v>
      </c>
      <c r="C1720" s="11" t="s">
        <v>18</v>
      </c>
      <c r="D1720" s="11" t="s">
        <v>19</v>
      </c>
      <c r="E1720" s="11" t="s">
        <v>19</v>
      </c>
      <c r="F1720" s="11" t="s">
        <v>6304</v>
      </c>
      <c r="G1720" s="11" t="s">
        <v>83</v>
      </c>
      <c r="H1720" s="11" t="s">
        <v>6305</v>
      </c>
      <c r="I1720" s="11" t="s">
        <v>6306</v>
      </c>
      <c r="J1720" s="12">
        <v>5.3800000000000001E-2</v>
      </c>
      <c r="K1720" s="13">
        <v>2</v>
      </c>
      <c r="L1720" s="14">
        <v>353</v>
      </c>
      <c r="M1720" s="10">
        <v>19</v>
      </c>
      <c r="N1720" s="10">
        <v>39007</v>
      </c>
      <c r="O1720" s="10">
        <v>1490</v>
      </c>
      <c r="P1720" s="10">
        <v>40497</v>
      </c>
    </row>
    <row r="1721" spans="1:16" ht="27" customHeight="1" x14ac:dyDescent="0.2">
      <c r="A1721" s="9" t="s">
        <v>6231</v>
      </c>
      <c r="B1721" s="10" t="s">
        <v>6307</v>
      </c>
      <c r="C1721" s="11" t="s">
        <v>18</v>
      </c>
      <c r="D1721" s="11" t="s">
        <v>19</v>
      </c>
      <c r="E1721" s="11" t="s">
        <v>19</v>
      </c>
      <c r="F1721" s="11" t="s">
        <v>6308</v>
      </c>
      <c r="G1721" s="11" t="s">
        <v>83</v>
      </c>
      <c r="H1721" s="11" t="s">
        <v>6309</v>
      </c>
      <c r="I1721" s="11" t="s">
        <v>6310</v>
      </c>
      <c r="J1721" s="12">
        <v>0.82840000000000003</v>
      </c>
      <c r="K1721" s="13">
        <v>10</v>
      </c>
      <c r="L1721" s="14">
        <v>3998</v>
      </c>
      <c r="M1721" s="10">
        <v>1802</v>
      </c>
      <c r="N1721" s="10">
        <v>441786</v>
      </c>
      <c r="O1721" s="10">
        <v>141311</v>
      </c>
      <c r="P1721" s="10">
        <v>583097</v>
      </c>
    </row>
    <row r="1722" spans="1:16" ht="27" customHeight="1" x14ac:dyDescent="0.2">
      <c r="A1722" s="9" t="s">
        <v>6231</v>
      </c>
      <c r="B1722" s="10" t="s">
        <v>6307</v>
      </c>
      <c r="C1722" s="11" t="s">
        <v>6311</v>
      </c>
      <c r="D1722" s="11" t="s">
        <v>6312</v>
      </c>
      <c r="E1722" s="11" t="s">
        <v>57</v>
      </c>
      <c r="F1722" s="11" t="s">
        <v>6313</v>
      </c>
      <c r="G1722" s="11" t="s">
        <v>28</v>
      </c>
      <c r="H1722" s="11" t="s">
        <v>6313</v>
      </c>
      <c r="I1722" s="11" t="s">
        <v>6314</v>
      </c>
      <c r="J1722" s="12">
        <v>0.28029999999999999</v>
      </c>
      <c r="K1722" s="13">
        <v>1</v>
      </c>
      <c r="L1722" s="14">
        <v>767</v>
      </c>
      <c r="M1722" s="10">
        <v>215</v>
      </c>
      <c r="N1722" s="10">
        <v>84755</v>
      </c>
      <c r="O1722" s="10">
        <v>16860</v>
      </c>
      <c r="P1722" s="10">
        <v>101615</v>
      </c>
    </row>
    <row r="1723" spans="1:16" ht="27" customHeight="1" x14ac:dyDescent="0.2">
      <c r="A1723" s="9" t="s">
        <v>6231</v>
      </c>
      <c r="B1723" s="10" t="s">
        <v>6315</v>
      </c>
      <c r="C1723" s="11" t="s">
        <v>18</v>
      </c>
      <c r="D1723" s="11" t="s">
        <v>19</v>
      </c>
      <c r="E1723" s="11" t="s">
        <v>19</v>
      </c>
      <c r="F1723" s="11" t="s">
        <v>6316</v>
      </c>
      <c r="G1723" s="11" t="s">
        <v>83</v>
      </c>
      <c r="H1723" s="11" t="s">
        <v>430</v>
      </c>
      <c r="I1723" s="11" t="s">
        <v>6234</v>
      </c>
      <c r="J1723" s="12">
        <v>0.93389999999999995</v>
      </c>
      <c r="K1723" s="13">
        <v>5</v>
      </c>
      <c r="L1723" s="14">
        <v>9251</v>
      </c>
      <c r="M1723" s="10">
        <v>6705</v>
      </c>
      <c r="N1723" s="10">
        <v>1022250</v>
      </c>
      <c r="O1723" s="10">
        <v>525800</v>
      </c>
      <c r="P1723" s="10">
        <v>1548050</v>
      </c>
    </row>
    <row r="1724" spans="1:16" ht="27" customHeight="1" x14ac:dyDescent="0.2">
      <c r="A1724" s="9" t="s">
        <v>6231</v>
      </c>
      <c r="B1724" s="10" t="s">
        <v>6317</v>
      </c>
      <c r="C1724" s="11" t="s">
        <v>18</v>
      </c>
      <c r="D1724" s="11" t="s">
        <v>19</v>
      </c>
      <c r="E1724" s="11" t="s">
        <v>19</v>
      </c>
      <c r="F1724" s="11" t="s">
        <v>6318</v>
      </c>
      <c r="G1724" s="11" t="s">
        <v>83</v>
      </c>
      <c r="H1724" s="11" t="s">
        <v>430</v>
      </c>
      <c r="I1724" s="11" t="s">
        <v>6234</v>
      </c>
      <c r="J1724" s="12">
        <v>0.93389999999999995</v>
      </c>
      <c r="K1724" s="13">
        <v>3</v>
      </c>
      <c r="L1724" s="14">
        <v>853</v>
      </c>
      <c r="M1724" s="10">
        <v>210</v>
      </c>
      <c r="N1724" s="10">
        <v>94258</v>
      </c>
      <c r="O1724" s="10">
        <v>16468</v>
      </c>
      <c r="P1724" s="10">
        <v>110726</v>
      </c>
    </row>
    <row r="1725" spans="1:16" ht="27" customHeight="1" x14ac:dyDescent="0.2">
      <c r="A1725" s="9" t="s">
        <v>6231</v>
      </c>
      <c r="B1725" s="10" t="s">
        <v>6319</v>
      </c>
      <c r="C1725" s="11" t="s">
        <v>18</v>
      </c>
      <c r="D1725" s="11" t="s">
        <v>19</v>
      </c>
      <c r="E1725" s="11" t="s">
        <v>19</v>
      </c>
      <c r="F1725" s="11" t="s">
        <v>6320</v>
      </c>
      <c r="G1725" s="11" t="s">
        <v>83</v>
      </c>
      <c r="H1725" s="11" t="s">
        <v>6320</v>
      </c>
      <c r="I1725" s="11" t="s">
        <v>6321</v>
      </c>
      <c r="J1725" s="12">
        <v>0.38619999999999999</v>
      </c>
      <c r="K1725" s="13">
        <v>2</v>
      </c>
      <c r="L1725" s="14">
        <v>593</v>
      </c>
      <c r="M1725" s="10">
        <v>229</v>
      </c>
      <c r="N1725" s="10">
        <v>65527</v>
      </c>
      <c r="O1725" s="10">
        <v>17958</v>
      </c>
      <c r="P1725" s="10">
        <v>83485</v>
      </c>
    </row>
    <row r="1726" spans="1:16" ht="27" customHeight="1" x14ac:dyDescent="0.2">
      <c r="A1726" s="9" t="s">
        <v>6231</v>
      </c>
      <c r="B1726" s="10" t="s">
        <v>6322</v>
      </c>
      <c r="C1726" s="11" t="s">
        <v>18</v>
      </c>
      <c r="D1726" s="11" t="s">
        <v>19</v>
      </c>
      <c r="E1726" s="11" t="s">
        <v>19</v>
      </c>
      <c r="F1726" s="11" t="s">
        <v>6323</v>
      </c>
      <c r="G1726" s="11" t="s">
        <v>83</v>
      </c>
      <c r="H1726" s="11" t="s">
        <v>6324</v>
      </c>
      <c r="I1726" s="11" t="s">
        <v>6325</v>
      </c>
      <c r="J1726" s="12">
        <v>0.43590000000000001</v>
      </c>
      <c r="K1726" s="13">
        <v>2</v>
      </c>
      <c r="L1726" s="14">
        <v>39</v>
      </c>
      <c r="M1726" s="10">
        <v>17</v>
      </c>
      <c r="N1726" s="10">
        <v>4310</v>
      </c>
      <c r="O1726" s="10">
        <v>1333</v>
      </c>
      <c r="P1726" s="10">
        <v>5643</v>
      </c>
    </row>
    <row r="1727" spans="1:16" ht="27" customHeight="1" x14ac:dyDescent="0.2">
      <c r="A1727" s="9" t="s">
        <v>6231</v>
      </c>
      <c r="B1727" s="10" t="s">
        <v>6326</v>
      </c>
      <c r="C1727" s="11" t="s">
        <v>18</v>
      </c>
      <c r="D1727" s="11" t="s">
        <v>19</v>
      </c>
      <c r="E1727" s="11" t="s">
        <v>19</v>
      </c>
      <c r="F1727" s="11" t="s">
        <v>6327</v>
      </c>
      <c r="G1727" s="11" t="s">
        <v>83</v>
      </c>
      <c r="H1727" s="11" t="s">
        <v>6328</v>
      </c>
      <c r="I1727" s="11" t="s">
        <v>6329</v>
      </c>
      <c r="J1727" s="12">
        <v>0.76029999999999998</v>
      </c>
      <c r="K1727" s="13">
        <v>4</v>
      </c>
      <c r="L1727" s="14">
        <v>182</v>
      </c>
      <c r="M1727" s="10">
        <v>145</v>
      </c>
      <c r="N1727" s="10">
        <v>20112</v>
      </c>
      <c r="O1727" s="10">
        <v>11371</v>
      </c>
      <c r="P1727" s="10">
        <v>31483</v>
      </c>
    </row>
    <row r="1728" spans="1:16" ht="27" customHeight="1" x14ac:dyDescent="0.2">
      <c r="A1728" s="9" t="s">
        <v>6231</v>
      </c>
      <c r="B1728" s="10" t="s">
        <v>6326</v>
      </c>
      <c r="C1728" s="11" t="s">
        <v>6330</v>
      </c>
      <c r="D1728" s="11" t="s">
        <v>6331</v>
      </c>
      <c r="E1728" s="11" t="s">
        <v>26</v>
      </c>
      <c r="F1728" s="11" t="s">
        <v>6332</v>
      </c>
      <c r="G1728" s="11" t="s">
        <v>28</v>
      </c>
      <c r="H1728" s="11" t="s">
        <v>6332</v>
      </c>
      <c r="I1728" s="11" t="s">
        <v>6333</v>
      </c>
      <c r="J1728" s="12">
        <v>0.44919999999999999</v>
      </c>
      <c r="K1728" s="13">
        <v>1</v>
      </c>
      <c r="L1728" s="14">
        <v>118</v>
      </c>
      <c r="M1728" s="10">
        <v>53</v>
      </c>
      <c r="N1728" s="10">
        <v>13039</v>
      </c>
      <c r="O1728" s="10">
        <v>4156</v>
      </c>
      <c r="P1728" s="10">
        <v>17195</v>
      </c>
    </row>
    <row r="1729" spans="1:16" ht="27" customHeight="1" x14ac:dyDescent="0.2">
      <c r="A1729" s="9" t="s">
        <v>6231</v>
      </c>
      <c r="B1729" s="10" t="s">
        <v>6334</v>
      </c>
      <c r="C1729" s="11" t="s">
        <v>18</v>
      </c>
      <c r="D1729" s="11" t="s">
        <v>19</v>
      </c>
      <c r="E1729" s="11" t="s">
        <v>19</v>
      </c>
      <c r="F1729" s="11" t="s">
        <v>6335</v>
      </c>
      <c r="G1729" s="11" t="s">
        <v>83</v>
      </c>
      <c r="H1729" s="11" t="s">
        <v>430</v>
      </c>
      <c r="I1729" s="11" t="s">
        <v>6234</v>
      </c>
      <c r="J1729" s="12">
        <v>0.93389999999999995</v>
      </c>
      <c r="K1729" s="13">
        <v>21</v>
      </c>
      <c r="L1729" s="14">
        <v>12535</v>
      </c>
      <c r="M1729" s="10">
        <v>7608</v>
      </c>
      <c r="N1729" s="10">
        <v>1385139</v>
      </c>
      <c r="O1729" s="10">
        <v>596611</v>
      </c>
      <c r="P1729" s="10">
        <v>1981750</v>
      </c>
    </row>
    <row r="1730" spans="1:16" ht="27" customHeight="1" x14ac:dyDescent="0.2">
      <c r="A1730" s="9" t="s">
        <v>6231</v>
      </c>
      <c r="B1730" s="10" t="s">
        <v>6334</v>
      </c>
      <c r="C1730" s="11" t="s">
        <v>6336</v>
      </c>
      <c r="D1730" s="11" t="s">
        <v>6337</v>
      </c>
      <c r="E1730" s="11" t="s">
        <v>26</v>
      </c>
      <c r="F1730" s="11" t="s">
        <v>6338</v>
      </c>
      <c r="G1730" s="11" t="s">
        <v>28</v>
      </c>
      <c r="H1730" s="11" t="s">
        <v>6338</v>
      </c>
      <c r="I1730" s="11" t="s">
        <v>6339</v>
      </c>
      <c r="J1730" s="12">
        <v>0.43680000000000002</v>
      </c>
      <c r="K1730" s="13">
        <v>1</v>
      </c>
      <c r="L1730" s="14">
        <v>767</v>
      </c>
      <c r="M1730" s="10">
        <v>335</v>
      </c>
      <c r="N1730" s="10">
        <v>84755</v>
      </c>
      <c r="O1730" s="10">
        <v>26270</v>
      </c>
      <c r="P1730" s="10">
        <v>111025</v>
      </c>
    </row>
    <row r="1731" spans="1:16" ht="27" customHeight="1" x14ac:dyDescent="0.2">
      <c r="A1731" s="9" t="s">
        <v>6231</v>
      </c>
      <c r="B1731" s="10" t="s">
        <v>6334</v>
      </c>
      <c r="C1731" s="11" t="s">
        <v>6340</v>
      </c>
      <c r="D1731" s="11" t="s">
        <v>6341</v>
      </c>
      <c r="E1731" s="11" t="s">
        <v>57</v>
      </c>
      <c r="F1731" s="11" t="s">
        <v>6342</v>
      </c>
      <c r="G1731" s="11" t="s">
        <v>28</v>
      </c>
      <c r="H1731" s="11" t="s">
        <v>6342</v>
      </c>
      <c r="I1731" s="11" t="s">
        <v>6343</v>
      </c>
      <c r="J1731" s="12">
        <v>0.24379999999999999</v>
      </c>
      <c r="K1731" s="13">
        <v>1</v>
      </c>
      <c r="L1731" s="14">
        <v>283</v>
      </c>
      <c r="M1731" s="10">
        <v>69</v>
      </c>
      <c r="N1731" s="10">
        <v>31272</v>
      </c>
      <c r="O1731" s="10">
        <v>5411</v>
      </c>
      <c r="P1731" s="10">
        <v>36683</v>
      </c>
    </row>
    <row r="1732" spans="1:16" ht="27" customHeight="1" x14ac:dyDescent="0.2">
      <c r="A1732" s="9" t="s">
        <v>6231</v>
      </c>
      <c r="B1732" s="10" t="s">
        <v>6334</v>
      </c>
      <c r="C1732" s="11" t="s">
        <v>6344</v>
      </c>
      <c r="D1732" s="11" t="s">
        <v>6345</v>
      </c>
      <c r="E1732" s="11" t="s">
        <v>26</v>
      </c>
      <c r="F1732" s="11" t="s">
        <v>6346</v>
      </c>
      <c r="G1732" s="11" t="s">
        <v>28</v>
      </c>
      <c r="H1732" s="11" t="s">
        <v>6346</v>
      </c>
      <c r="I1732" s="11" t="s">
        <v>6347</v>
      </c>
      <c r="J1732" s="12">
        <v>0.72389999999999999</v>
      </c>
      <c r="K1732" s="13">
        <v>1</v>
      </c>
      <c r="L1732" s="14">
        <v>297</v>
      </c>
      <c r="M1732" s="10">
        <v>215</v>
      </c>
      <c r="N1732" s="10">
        <v>32819</v>
      </c>
      <c r="O1732" s="10">
        <v>16860</v>
      </c>
      <c r="P1732" s="10">
        <v>49679</v>
      </c>
    </row>
    <row r="1733" spans="1:16" ht="27" customHeight="1" x14ac:dyDescent="0.2">
      <c r="A1733" s="9" t="s">
        <v>6231</v>
      </c>
      <c r="B1733" s="10" t="s">
        <v>6348</v>
      </c>
      <c r="C1733" s="11" t="s">
        <v>6349</v>
      </c>
      <c r="D1733" s="11" t="s">
        <v>6350</v>
      </c>
      <c r="E1733" s="11" t="s">
        <v>26</v>
      </c>
      <c r="F1733" s="11" t="s">
        <v>6351</v>
      </c>
      <c r="G1733" s="11" t="s">
        <v>28</v>
      </c>
      <c r="H1733" s="11" t="s">
        <v>6351</v>
      </c>
      <c r="I1733" s="11" t="s">
        <v>6352</v>
      </c>
      <c r="J1733" s="12">
        <v>0.61180000000000001</v>
      </c>
      <c r="K1733" s="13">
        <v>1</v>
      </c>
      <c r="L1733" s="14">
        <v>152</v>
      </c>
      <c r="M1733" s="10">
        <v>93</v>
      </c>
      <c r="N1733" s="10">
        <v>16796</v>
      </c>
      <c r="O1733" s="10">
        <v>7293</v>
      </c>
      <c r="P1733" s="10">
        <v>24089</v>
      </c>
    </row>
    <row r="1734" spans="1:16" ht="27" customHeight="1" x14ac:dyDescent="0.2">
      <c r="A1734" s="9" t="s">
        <v>6231</v>
      </c>
      <c r="B1734" s="10" t="s">
        <v>6353</v>
      </c>
      <c r="C1734" s="11" t="s">
        <v>6354</v>
      </c>
      <c r="D1734" s="11" t="s">
        <v>6355</v>
      </c>
      <c r="E1734" s="11" t="s">
        <v>26</v>
      </c>
      <c r="F1734" s="11" t="s">
        <v>6356</v>
      </c>
      <c r="G1734" s="11" t="s">
        <v>28</v>
      </c>
      <c r="H1734" s="11" t="s">
        <v>6356</v>
      </c>
      <c r="I1734" s="11" t="s">
        <v>6357</v>
      </c>
      <c r="J1734" s="12">
        <v>0.75890000000000002</v>
      </c>
      <c r="K1734" s="13">
        <v>1</v>
      </c>
      <c r="L1734" s="14">
        <v>112</v>
      </c>
      <c r="M1734" s="10">
        <v>85</v>
      </c>
      <c r="N1734" s="10">
        <v>12376</v>
      </c>
      <c r="O1734" s="10">
        <v>6666</v>
      </c>
      <c r="P1734" s="10">
        <v>19042</v>
      </c>
    </row>
    <row r="1735" spans="1:16" ht="27" customHeight="1" x14ac:dyDescent="0.2">
      <c r="A1735" s="9" t="s">
        <v>6231</v>
      </c>
      <c r="B1735" s="10" t="s">
        <v>6358</v>
      </c>
      <c r="C1735" s="11" t="s">
        <v>6359</v>
      </c>
      <c r="D1735" s="11" t="s">
        <v>6360</v>
      </c>
      <c r="E1735" s="11" t="s">
        <v>26</v>
      </c>
      <c r="F1735" s="11" t="s">
        <v>6361</v>
      </c>
      <c r="G1735" s="11" t="s">
        <v>28</v>
      </c>
      <c r="H1735" s="11" t="s">
        <v>6361</v>
      </c>
      <c r="I1735" s="11" t="s">
        <v>6362</v>
      </c>
      <c r="J1735" s="12">
        <v>0.3846</v>
      </c>
      <c r="K1735" s="13">
        <v>1</v>
      </c>
      <c r="L1735" s="14">
        <v>39</v>
      </c>
      <c r="M1735" s="10">
        <v>15</v>
      </c>
      <c r="N1735" s="10">
        <v>4310</v>
      </c>
      <c r="O1735" s="10">
        <v>1176</v>
      </c>
      <c r="P1735" s="10">
        <v>5486</v>
      </c>
    </row>
    <row r="1736" spans="1:16" ht="27" customHeight="1" x14ac:dyDescent="0.2">
      <c r="A1736" s="9" t="s">
        <v>6231</v>
      </c>
      <c r="B1736" s="10" t="s">
        <v>6363</v>
      </c>
      <c r="C1736" s="11" t="s">
        <v>6364</v>
      </c>
      <c r="D1736" s="11" t="s">
        <v>6365</v>
      </c>
      <c r="E1736" s="11" t="s">
        <v>26</v>
      </c>
      <c r="F1736" s="11" t="s">
        <v>6366</v>
      </c>
      <c r="G1736" s="11" t="s">
        <v>28</v>
      </c>
      <c r="H1736" s="11" t="s">
        <v>6366</v>
      </c>
      <c r="I1736" s="11" t="s">
        <v>6367</v>
      </c>
      <c r="J1736" s="12">
        <v>0.53749999999999998</v>
      </c>
      <c r="K1736" s="13">
        <v>1</v>
      </c>
      <c r="L1736" s="14">
        <v>80</v>
      </c>
      <c r="M1736" s="10">
        <v>43</v>
      </c>
      <c r="N1736" s="10">
        <v>8840</v>
      </c>
      <c r="O1736" s="10">
        <v>3372</v>
      </c>
      <c r="P1736" s="10">
        <v>12212</v>
      </c>
    </row>
    <row r="1737" spans="1:16" ht="27" customHeight="1" x14ac:dyDescent="0.2">
      <c r="A1737" s="9" t="s">
        <v>6368</v>
      </c>
      <c r="B1737" s="10" t="s">
        <v>6369</v>
      </c>
      <c r="C1737" s="11" t="s">
        <v>18</v>
      </c>
      <c r="D1737" s="11" t="s">
        <v>19</v>
      </c>
      <c r="E1737" s="11" t="s">
        <v>19</v>
      </c>
      <c r="F1737" s="11" t="s">
        <v>6370</v>
      </c>
      <c r="G1737" s="11" t="s">
        <v>21</v>
      </c>
      <c r="H1737" s="11" t="s">
        <v>6371</v>
      </c>
      <c r="I1737" s="11" t="s">
        <v>6372</v>
      </c>
      <c r="J1737" s="12">
        <v>0.91559999999999997</v>
      </c>
      <c r="K1737" s="13">
        <v>4</v>
      </c>
      <c r="L1737" s="14">
        <v>1349</v>
      </c>
      <c r="M1737" s="10">
        <v>799</v>
      </c>
      <c r="N1737" s="10">
        <v>149066</v>
      </c>
      <c r="O1737" s="10">
        <v>62657</v>
      </c>
      <c r="P1737" s="10">
        <v>211723</v>
      </c>
    </row>
    <row r="1738" spans="1:16" ht="27" customHeight="1" x14ac:dyDescent="0.2">
      <c r="A1738" s="9" t="s">
        <v>6368</v>
      </c>
      <c r="B1738" s="10" t="s">
        <v>6369</v>
      </c>
      <c r="C1738" s="11" t="s">
        <v>6373</v>
      </c>
      <c r="D1738" s="11" t="s">
        <v>6374</v>
      </c>
      <c r="E1738" s="11" t="s">
        <v>26</v>
      </c>
      <c r="F1738" s="11" t="s">
        <v>6375</v>
      </c>
      <c r="G1738" s="11" t="s">
        <v>28</v>
      </c>
      <c r="H1738" s="11" t="s">
        <v>6375</v>
      </c>
      <c r="I1738" s="11" t="s">
        <v>6376</v>
      </c>
      <c r="J1738" s="12">
        <v>1.89E-2</v>
      </c>
      <c r="K1738" s="13">
        <v>1</v>
      </c>
      <c r="L1738" s="14">
        <v>1058</v>
      </c>
      <c r="M1738" s="10">
        <v>20</v>
      </c>
      <c r="N1738" s="10">
        <v>116911</v>
      </c>
      <c r="O1738" s="10">
        <v>1568</v>
      </c>
      <c r="P1738" s="10">
        <v>118479</v>
      </c>
    </row>
    <row r="1739" spans="1:16" ht="27" customHeight="1" x14ac:dyDescent="0.2">
      <c r="A1739" s="9" t="s">
        <v>6368</v>
      </c>
      <c r="B1739" s="10" t="s">
        <v>6369</v>
      </c>
      <c r="C1739" s="11" t="s">
        <v>6377</v>
      </c>
      <c r="D1739" s="11" t="s">
        <v>6378</v>
      </c>
      <c r="E1739" s="11" t="s">
        <v>26</v>
      </c>
      <c r="F1739" s="11" t="s">
        <v>5224</v>
      </c>
      <c r="G1739" s="11" t="s">
        <v>28</v>
      </c>
      <c r="H1739" s="11" t="s">
        <v>5224</v>
      </c>
      <c r="I1739" s="11" t="s">
        <v>6379</v>
      </c>
      <c r="J1739" s="12">
        <v>0.1009</v>
      </c>
      <c r="K1739" s="13">
        <v>1</v>
      </c>
      <c r="L1739" s="14">
        <v>535</v>
      </c>
      <c r="M1739" s="10">
        <v>54</v>
      </c>
      <c r="N1739" s="10">
        <v>59118</v>
      </c>
      <c r="O1739" s="10">
        <v>4235</v>
      </c>
      <c r="P1739" s="10">
        <v>63353</v>
      </c>
    </row>
    <row r="1740" spans="1:16" ht="27" customHeight="1" x14ac:dyDescent="0.2">
      <c r="A1740" s="9" t="s">
        <v>6368</v>
      </c>
      <c r="B1740" s="10" t="s">
        <v>6369</v>
      </c>
      <c r="C1740" s="11" t="s">
        <v>6380</v>
      </c>
      <c r="D1740" s="11" t="s">
        <v>6381</v>
      </c>
      <c r="E1740" s="11" t="s">
        <v>26</v>
      </c>
      <c r="F1740" s="11" t="s">
        <v>6382</v>
      </c>
      <c r="G1740" s="11" t="s">
        <v>28</v>
      </c>
      <c r="H1740" s="11" t="s">
        <v>6371</v>
      </c>
      <c r="I1740" s="11" t="s">
        <v>6372</v>
      </c>
      <c r="J1740" s="12">
        <v>0.91559999999999997</v>
      </c>
      <c r="K1740" s="13">
        <v>1</v>
      </c>
      <c r="L1740" s="14">
        <v>713</v>
      </c>
      <c r="M1740" s="10">
        <v>214</v>
      </c>
      <c r="N1740" s="10">
        <v>78788</v>
      </c>
      <c r="O1740" s="10">
        <v>16782</v>
      </c>
      <c r="P1740" s="10">
        <v>95570</v>
      </c>
    </row>
    <row r="1741" spans="1:16" ht="27" customHeight="1" x14ac:dyDescent="0.2">
      <c r="A1741" s="9" t="s">
        <v>6368</v>
      </c>
      <c r="B1741" s="10" t="s">
        <v>6369</v>
      </c>
      <c r="C1741" s="11" t="s">
        <v>6383</v>
      </c>
      <c r="D1741" s="11" t="s">
        <v>6384</v>
      </c>
      <c r="E1741" s="11" t="s">
        <v>26</v>
      </c>
      <c r="F1741" s="11" t="s">
        <v>6385</v>
      </c>
      <c r="G1741" s="11" t="s">
        <v>28</v>
      </c>
      <c r="H1741" s="11" t="s">
        <v>6385</v>
      </c>
      <c r="I1741" s="11" t="s">
        <v>6386</v>
      </c>
      <c r="J1741" s="12">
        <v>0.73429999999999995</v>
      </c>
      <c r="K1741" s="13">
        <v>1</v>
      </c>
      <c r="L1741" s="14">
        <v>493</v>
      </c>
      <c r="M1741" s="10">
        <v>362</v>
      </c>
      <c r="N1741" s="10">
        <v>54477</v>
      </c>
      <c r="O1741" s="10">
        <v>28388</v>
      </c>
      <c r="P1741" s="10">
        <v>82865</v>
      </c>
    </row>
    <row r="1742" spans="1:16" ht="27" customHeight="1" x14ac:dyDescent="0.2">
      <c r="A1742" s="9" t="s">
        <v>6368</v>
      </c>
      <c r="B1742" s="10" t="s">
        <v>6369</v>
      </c>
      <c r="C1742" s="11" t="s">
        <v>6387</v>
      </c>
      <c r="D1742" s="11" t="s">
        <v>6388</v>
      </c>
      <c r="E1742" s="11" t="s">
        <v>26</v>
      </c>
      <c r="F1742" s="11" t="s">
        <v>6389</v>
      </c>
      <c r="G1742" s="11" t="s">
        <v>28</v>
      </c>
      <c r="H1742" s="11" t="s">
        <v>6371</v>
      </c>
      <c r="I1742" s="11" t="s">
        <v>6372</v>
      </c>
      <c r="J1742" s="12">
        <v>0.91559999999999997</v>
      </c>
      <c r="K1742" s="13">
        <v>1</v>
      </c>
      <c r="L1742" s="14">
        <v>191</v>
      </c>
      <c r="M1742" s="10">
        <v>162</v>
      </c>
      <c r="N1742" s="10">
        <v>21106</v>
      </c>
      <c r="O1742" s="10">
        <v>12704</v>
      </c>
      <c r="P1742" s="10">
        <v>33810</v>
      </c>
    </row>
    <row r="1743" spans="1:16" ht="27" customHeight="1" x14ac:dyDescent="0.2">
      <c r="A1743" s="9" t="s">
        <v>6368</v>
      </c>
      <c r="B1743" s="10" t="s">
        <v>6369</v>
      </c>
      <c r="C1743" s="11" t="s">
        <v>6390</v>
      </c>
      <c r="D1743" s="11" t="s">
        <v>6391</v>
      </c>
      <c r="E1743" s="11" t="s">
        <v>26</v>
      </c>
      <c r="F1743" s="11" t="s">
        <v>6392</v>
      </c>
      <c r="G1743" s="11" t="s">
        <v>28</v>
      </c>
      <c r="H1743" s="11" t="s">
        <v>6392</v>
      </c>
      <c r="I1743" s="11" t="s">
        <v>6393</v>
      </c>
      <c r="J1743" s="12">
        <v>0.83020000000000005</v>
      </c>
      <c r="K1743" s="13">
        <v>1</v>
      </c>
      <c r="L1743" s="14">
        <v>324</v>
      </c>
      <c r="M1743" s="10">
        <v>269</v>
      </c>
      <c r="N1743" s="10">
        <v>35803</v>
      </c>
      <c r="O1743" s="10">
        <v>21095</v>
      </c>
      <c r="P1743" s="10">
        <v>56898</v>
      </c>
    </row>
    <row r="1744" spans="1:16" ht="27" customHeight="1" x14ac:dyDescent="0.2">
      <c r="A1744" s="9" t="s">
        <v>6368</v>
      </c>
      <c r="B1744" s="10" t="s">
        <v>6369</v>
      </c>
      <c r="C1744" s="11" t="s">
        <v>6394</v>
      </c>
      <c r="D1744" s="11" t="s">
        <v>6395</v>
      </c>
      <c r="E1744" s="11" t="s">
        <v>26</v>
      </c>
      <c r="F1744" s="11" t="s">
        <v>6396</v>
      </c>
      <c r="G1744" s="11" t="s">
        <v>28</v>
      </c>
      <c r="H1744" s="11" t="s">
        <v>6396</v>
      </c>
      <c r="I1744" s="11" t="s">
        <v>6397</v>
      </c>
      <c r="J1744" s="12">
        <v>0.84279999999999999</v>
      </c>
      <c r="K1744" s="13">
        <v>1</v>
      </c>
      <c r="L1744" s="14">
        <v>369</v>
      </c>
      <c r="M1744" s="10">
        <v>311</v>
      </c>
      <c r="N1744" s="10">
        <v>40775</v>
      </c>
      <c r="O1744" s="10">
        <v>24388</v>
      </c>
      <c r="P1744" s="10">
        <v>65163</v>
      </c>
    </row>
    <row r="1745" spans="1:16" ht="27" customHeight="1" x14ac:dyDescent="0.2">
      <c r="A1745" s="9" t="s">
        <v>6368</v>
      </c>
      <c r="B1745" s="10" t="s">
        <v>6369</v>
      </c>
      <c r="C1745" s="11" t="s">
        <v>6398</v>
      </c>
      <c r="D1745" s="11" t="s">
        <v>6399</v>
      </c>
      <c r="E1745" s="11" t="s">
        <v>26</v>
      </c>
      <c r="F1745" s="11" t="s">
        <v>6400</v>
      </c>
      <c r="G1745" s="11" t="s">
        <v>28</v>
      </c>
      <c r="H1745" s="11" t="s">
        <v>6400</v>
      </c>
      <c r="I1745" s="11" t="s">
        <v>6401</v>
      </c>
      <c r="J1745" s="12">
        <v>0.52690000000000003</v>
      </c>
      <c r="K1745" s="13">
        <v>1</v>
      </c>
      <c r="L1745" s="14">
        <v>520</v>
      </c>
      <c r="M1745" s="10">
        <v>274</v>
      </c>
      <c r="N1745" s="10">
        <v>57461</v>
      </c>
      <c r="O1745" s="10">
        <v>21487</v>
      </c>
      <c r="P1745" s="10">
        <v>78948</v>
      </c>
    </row>
    <row r="1746" spans="1:16" ht="27" customHeight="1" x14ac:dyDescent="0.2">
      <c r="A1746" s="9" t="s">
        <v>6368</v>
      </c>
      <c r="B1746" s="10" t="s">
        <v>6369</v>
      </c>
      <c r="C1746" s="11" t="s">
        <v>6402</v>
      </c>
      <c r="D1746" s="11" t="s">
        <v>6403</v>
      </c>
      <c r="E1746" s="11" t="s">
        <v>26</v>
      </c>
      <c r="F1746" s="11" t="s">
        <v>6404</v>
      </c>
      <c r="G1746" s="11" t="s">
        <v>28</v>
      </c>
      <c r="H1746" s="11" t="s">
        <v>6404</v>
      </c>
      <c r="I1746" s="11" t="s">
        <v>6405</v>
      </c>
      <c r="J1746" s="12">
        <v>0.75239999999999996</v>
      </c>
      <c r="K1746" s="13">
        <v>1</v>
      </c>
      <c r="L1746" s="14">
        <v>529</v>
      </c>
      <c r="M1746" s="10">
        <v>398</v>
      </c>
      <c r="N1746" s="10">
        <v>58455</v>
      </c>
      <c r="O1746" s="10">
        <v>31211</v>
      </c>
      <c r="P1746" s="10">
        <v>89666</v>
      </c>
    </row>
    <row r="1747" spans="1:16" ht="27" customHeight="1" x14ac:dyDescent="0.2">
      <c r="A1747" s="9" t="s">
        <v>6368</v>
      </c>
      <c r="B1747" s="10" t="s">
        <v>6369</v>
      </c>
      <c r="C1747" s="11" t="s">
        <v>6406</v>
      </c>
      <c r="D1747" s="11" t="s">
        <v>6407</v>
      </c>
      <c r="E1747" s="11" t="s">
        <v>26</v>
      </c>
      <c r="F1747" s="11" t="s">
        <v>6408</v>
      </c>
      <c r="G1747" s="11" t="s">
        <v>28</v>
      </c>
      <c r="H1747" s="11" t="s">
        <v>6408</v>
      </c>
      <c r="I1747" s="11" t="s">
        <v>6409</v>
      </c>
      <c r="J1747" s="12">
        <v>0.75970000000000004</v>
      </c>
      <c r="K1747" s="13">
        <v>1</v>
      </c>
      <c r="L1747" s="14">
        <v>437</v>
      </c>
      <c r="M1747" s="10">
        <v>332</v>
      </c>
      <c r="N1747" s="10">
        <v>48289</v>
      </c>
      <c r="O1747" s="10">
        <v>26035</v>
      </c>
      <c r="P1747" s="10">
        <v>74324</v>
      </c>
    </row>
    <row r="1748" spans="1:16" ht="27" customHeight="1" x14ac:dyDescent="0.2">
      <c r="A1748" s="9" t="s">
        <v>6368</v>
      </c>
      <c r="B1748" s="10" t="s">
        <v>6369</v>
      </c>
      <c r="C1748" s="11" t="s">
        <v>6410</v>
      </c>
      <c r="D1748" s="11" t="s">
        <v>6411</v>
      </c>
      <c r="E1748" s="11" t="s">
        <v>26</v>
      </c>
      <c r="F1748" s="11" t="s">
        <v>6412</v>
      </c>
      <c r="G1748" s="11" t="s">
        <v>28</v>
      </c>
      <c r="H1748" s="11" t="s">
        <v>6371</v>
      </c>
      <c r="I1748" s="11" t="s">
        <v>6372</v>
      </c>
      <c r="J1748" s="12">
        <v>0.91559999999999997</v>
      </c>
      <c r="K1748" s="13">
        <v>1</v>
      </c>
      <c r="L1748" s="14">
        <v>314</v>
      </c>
      <c r="M1748" s="10">
        <v>73</v>
      </c>
      <c r="N1748" s="10">
        <v>34698</v>
      </c>
      <c r="O1748" s="10">
        <v>5725</v>
      </c>
      <c r="P1748" s="10">
        <v>40423</v>
      </c>
    </row>
    <row r="1749" spans="1:16" ht="27" customHeight="1" x14ac:dyDescent="0.2">
      <c r="A1749" s="9" t="s">
        <v>6368</v>
      </c>
      <c r="B1749" s="10" t="s">
        <v>6369</v>
      </c>
      <c r="C1749" s="11" t="s">
        <v>6413</v>
      </c>
      <c r="D1749" s="11" t="s">
        <v>6414</v>
      </c>
      <c r="E1749" s="11" t="s">
        <v>26</v>
      </c>
      <c r="F1749" s="11" t="s">
        <v>6415</v>
      </c>
      <c r="G1749" s="11" t="s">
        <v>28</v>
      </c>
      <c r="H1749" s="11" t="s">
        <v>6371</v>
      </c>
      <c r="I1749" s="11" t="s">
        <v>6372</v>
      </c>
      <c r="J1749" s="12">
        <v>0.91559999999999997</v>
      </c>
      <c r="K1749" s="13">
        <v>1</v>
      </c>
      <c r="L1749" s="14">
        <v>308</v>
      </c>
      <c r="M1749" s="10">
        <v>247</v>
      </c>
      <c r="N1749" s="10">
        <v>34035</v>
      </c>
      <c r="O1749" s="10">
        <v>19369</v>
      </c>
      <c r="P1749" s="10">
        <v>53404</v>
      </c>
    </row>
    <row r="1750" spans="1:16" ht="27" customHeight="1" x14ac:dyDescent="0.2">
      <c r="A1750" s="9" t="s">
        <v>6368</v>
      </c>
      <c r="B1750" s="10" t="s">
        <v>6369</v>
      </c>
      <c r="C1750" s="11" t="s">
        <v>6416</v>
      </c>
      <c r="D1750" s="11" t="s">
        <v>6417</v>
      </c>
      <c r="E1750" s="11" t="s">
        <v>26</v>
      </c>
      <c r="F1750" s="11" t="s">
        <v>6418</v>
      </c>
      <c r="G1750" s="11" t="s">
        <v>28</v>
      </c>
      <c r="H1750" s="11" t="s">
        <v>6418</v>
      </c>
      <c r="I1750" s="11" t="s">
        <v>6419</v>
      </c>
      <c r="J1750" s="12">
        <v>0.75</v>
      </c>
      <c r="K1750" s="13">
        <v>1</v>
      </c>
      <c r="L1750" s="14">
        <v>504</v>
      </c>
      <c r="M1750" s="10">
        <v>378</v>
      </c>
      <c r="N1750" s="10">
        <v>55693</v>
      </c>
      <c r="O1750" s="10">
        <v>29642</v>
      </c>
      <c r="P1750" s="10">
        <v>85335</v>
      </c>
    </row>
    <row r="1751" spans="1:16" ht="27" customHeight="1" x14ac:dyDescent="0.2">
      <c r="A1751" s="9" t="s">
        <v>6368</v>
      </c>
      <c r="B1751" s="10" t="s">
        <v>6369</v>
      </c>
      <c r="C1751" s="11" t="s">
        <v>6420</v>
      </c>
      <c r="D1751" s="11" t="s">
        <v>6421</v>
      </c>
      <c r="E1751" s="11" t="s">
        <v>26</v>
      </c>
      <c r="F1751" s="11" t="s">
        <v>6422</v>
      </c>
      <c r="G1751" s="11" t="s">
        <v>28</v>
      </c>
      <c r="H1751" s="11" t="s">
        <v>6422</v>
      </c>
      <c r="I1751" s="11" t="s">
        <v>6423</v>
      </c>
      <c r="J1751" s="12">
        <v>0.76890000000000003</v>
      </c>
      <c r="K1751" s="13">
        <v>1</v>
      </c>
      <c r="L1751" s="14">
        <v>515</v>
      </c>
      <c r="M1751" s="10">
        <v>396</v>
      </c>
      <c r="N1751" s="10">
        <v>56908</v>
      </c>
      <c r="O1751" s="10">
        <v>31054</v>
      </c>
      <c r="P1751" s="10">
        <v>87962</v>
      </c>
    </row>
    <row r="1752" spans="1:16" ht="27" customHeight="1" x14ac:dyDescent="0.2">
      <c r="A1752" s="9" t="s">
        <v>6368</v>
      </c>
      <c r="B1752" s="10" t="s">
        <v>6369</v>
      </c>
      <c r="C1752" s="11" t="s">
        <v>6424</v>
      </c>
      <c r="D1752" s="11" t="s">
        <v>6425</v>
      </c>
      <c r="E1752" s="11" t="s">
        <v>26</v>
      </c>
      <c r="F1752" s="11" t="s">
        <v>6426</v>
      </c>
      <c r="G1752" s="11" t="s">
        <v>28</v>
      </c>
      <c r="H1752" s="11" t="s">
        <v>6426</v>
      </c>
      <c r="I1752" s="11" t="s">
        <v>6427</v>
      </c>
      <c r="J1752" s="12">
        <v>0.13519999999999999</v>
      </c>
      <c r="K1752" s="13">
        <v>1</v>
      </c>
      <c r="L1752" s="14">
        <v>488</v>
      </c>
      <c r="M1752" s="10">
        <v>66</v>
      </c>
      <c r="N1752" s="10">
        <v>53925</v>
      </c>
      <c r="O1752" s="10">
        <v>5176</v>
      </c>
      <c r="P1752" s="10">
        <v>59101</v>
      </c>
    </row>
    <row r="1753" spans="1:16" ht="27" customHeight="1" x14ac:dyDescent="0.2">
      <c r="A1753" s="9" t="s">
        <v>6368</v>
      </c>
      <c r="B1753" s="10" t="s">
        <v>6369</v>
      </c>
      <c r="C1753" s="11" t="s">
        <v>6428</v>
      </c>
      <c r="D1753" s="11" t="s">
        <v>6429</v>
      </c>
      <c r="E1753" s="11" t="s">
        <v>26</v>
      </c>
      <c r="F1753" s="11" t="s">
        <v>6430</v>
      </c>
      <c r="G1753" s="11" t="s">
        <v>28</v>
      </c>
      <c r="H1753" s="11" t="s">
        <v>6430</v>
      </c>
      <c r="I1753" s="11" t="s">
        <v>6431</v>
      </c>
      <c r="J1753" s="12">
        <v>0.9002</v>
      </c>
      <c r="K1753" s="13">
        <v>1</v>
      </c>
      <c r="L1753" s="14">
        <v>451</v>
      </c>
      <c r="M1753" s="10">
        <v>406</v>
      </c>
      <c r="N1753" s="10">
        <v>49836</v>
      </c>
      <c r="O1753" s="10">
        <v>31838</v>
      </c>
      <c r="P1753" s="10">
        <v>81674</v>
      </c>
    </row>
    <row r="1754" spans="1:16" ht="27" customHeight="1" x14ac:dyDescent="0.2">
      <c r="A1754" s="9" t="s">
        <v>6368</v>
      </c>
      <c r="B1754" s="10" t="s">
        <v>6369</v>
      </c>
      <c r="C1754" s="11" t="s">
        <v>6432</v>
      </c>
      <c r="D1754" s="11" t="s">
        <v>6433</v>
      </c>
      <c r="E1754" s="11" t="s">
        <v>26</v>
      </c>
      <c r="F1754" s="11" t="s">
        <v>6434</v>
      </c>
      <c r="G1754" s="11" t="s">
        <v>28</v>
      </c>
      <c r="H1754" s="11" t="s">
        <v>6434</v>
      </c>
      <c r="I1754" s="11" t="s">
        <v>6435</v>
      </c>
      <c r="J1754" s="12">
        <v>0.75360000000000005</v>
      </c>
      <c r="K1754" s="13">
        <v>1</v>
      </c>
      <c r="L1754" s="14">
        <v>560</v>
      </c>
      <c r="M1754" s="10">
        <v>422</v>
      </c>
      <c r="N1754" s="10">
        <v>61881</v>
      </c>
      <c r="O1754" s="10">
        <v>33093</v>
      </c>
      <c r="P1754" s="10">
        <v>94974</v>
      </c>
    </row>
    <row r="1755" spans="1:16" ht="27" customHeight="1" x14ac:dyDescent="0.2">
      <c r="A1755" s="9" t="s">
        <v>6368</v>
      </c>
      <c r="B1755" s="10" t="s">
        <v>6369</v>
      </c>
      <c r="C1755" s="11" t="s">
        <v>6436</v>
      </c>
      <c r="D1755" s="11" t="s">
        <v>6437</v>
      </c>
      <c r="E1755" s="11" t="s">
        <v>26</v>
      </c>
      <c r="F1755" s="11" t="s">
        <v>6438</v>
      </c>
      <c r="G1755" s="11" t="s">
        <v>28</v>
      </c>
      <c r="H1755" s="11" t="s">
        <v>6438</v>
      </c>
      <c r="I1755" s="11" t="s">
        <v>6439</v>
      </c>
      <c r="J1755" s="12">
        <v>0.5121</v>
      </c>
      <c r="K1755" s="13">
        <v>1</v>
      </c>
      <c r="L1755" s="14">
        <v>289</v>
      </c>
      <c r="M1755" s="10">
        <v>148</v>
      </c>
      <c r="N1755" s="10">
        <v>31935</v>
      </c>
      <c r="O1755" s="10">
        <v>11606</v>
      </c>
      <c r="P1755" s="10">
        <v>43541</v>
      </c>
    </row>
    <row r="1756" spans="1:16" ht="27" customHeight="1" x14ac:dyDescent="0.2">
      <c r="A1756" s="9" t="s">
        <v>6368</v>
      </c>
      <c r="B1756" s="10" t="s">
        <v>6369</v>
      </c>
      <c r="C1756" s="11" t="s">
        <v>6440</v>
      </c>
      <c r="D1756" s="11" t="s">
        <v>6441</v>
      </c>
      <c r="E1756" s="11" t="s">
        <v>26</v>
      </c>
      <c r="F1756" s="11" t="s">
        <v>6442</v>
      </c>
      <c r="G1756" s="11" t="s">
        <v>28</v>
      </c>
      <c r="H1756" s="11" t="s">
        <v>6442</v>
      </c>
      <c r="I1756" s="11" t="s">
        <v>6443</v>
      </c>
      <c r="J1756" s="12">
        <v>0.54900000000000004</v>
      </c>
      <c r="K1756" s="13">
        <v>1</v>
      </c>
      <c r="L1756" s="14">
        <v>286</v>
      </c>
      <c r="M1756" s="10">
        <v>157</v>
      </c>
      <c r="N1756" s="10">
        <v>31603</v>
      </c>
      <c r="O1756" s="10">
        <v>12312</v>
      </c>
      <c r="P1756" s="10">
        <v>43915</v>
      </c>
    </row>
    <row r="1757" spans="1:16" ht="27" customHeight="1" x14ac:dyDescent="0.2">
      <c r="A1757" s="9" t="s">
        <v>6368</v>
      </c>
      <c r="B1757" s="10" t="s">
        <v>6369</v>
      </c>
      <c r="C1757" s="11" t="s">
        <v>6444</v>
      </c>
      <c r="D1757" s="11" t="s">
        <v>6445</v>
      </c>
      <c r="E1757" s="11" t="s">
        <v>26</v>
      </c>
      <c r="F1757" s="11" t="s">
        <v>6446</v>
      </c>
      <c r="G1757" s="11" t="s">
        <v>28</v>
      </c>
      <c r="H1757" s="11" t="s">
        <v>6446</v>
      </c>
      <c r="I1757" s="11" t="s">
        <v>6447</v>
      </c>
      <c r="J1757" s="12">
        <v>0.72509999999999997</v>
      </c>
      <c r="K1757" s="13">
        <v>1</v>
      </c>
      <c r="L1757" s="14">
        <v>593</v>
      </c>
      <c r="M1757" s="10">
        <v>430</v>
      </c>
      <c r="N1757" s="10">
        <v>65527</v>
      </c>
      <c r="O1757" s="10">
        <v>33720</v>
      </c>
      <c r="P1757" s="10">
        <v>99247</v>
      </c>
    </row>
    <row r="1758" spans="1:16" ht="27" customHeight="1" x14ac:dyDescent="0.2">
      <c r="A1758" s="9" t="s">
        <v>6368</v>
      </c>
      <c r="B1758" s="10" t="s">
        <v>6369</v>
      </c>
      <c r="C1758" s="11" t="s">
        <v>6448</v>
      </c>
      <c r="D1758" s="11" t="s">
        <v>6449</v>
      </c>
      <c r="E1758" s="11" t="s">
        <v>57</v>
      </c>
      <c r="F1758" s="11" t="s">
        <v>6450</v>
      </c>
      <c r="G1758" s="11" t="s">
        <v>28</v>
      </c>
      <c r="H1758" s="11" t="s">
        <v>6371</v>
      </c>
      <c r="I1758" s="11" t="s">
        <v>6372</v>
      </c>
      <c r="J1758" s="12">
        <v>0.91559999999999997</v>
      </c>
      <c r="K1758" s="13">
        <v>1</v>
      </c>
      <c r="L1758" s="14">
        <v>337</v>
      </c>
      <c r="M1758" s="10">
        <v>287</v>
      </c>
      <c r="N1758" s="10">
        <v>37239</v>
      </c>
      <c r="O1758" s="10">
        <v>22506</v>
      </c>
      <c r="P1758" s="10">
        <v>59745</v>
      </c>
    </row>
    <row r="1759" spans="1:16" ht="27" customHeight="1" x14ac:dyDescent="0.2">
      <c r="A1759" s="9" t="s">
        <v>6368</v>
      </c>
      <c r="B1759" s="10" t="s">
        <v>6451</v>
      </c>
      <c r="C1759" s="11" t="s">
        <v>18</v>
      </c>
      <c r="D1759" s="11" t="s">
        <v>19</v>
      </c>
      <c r="E1759" s="11" t="s">
        <v>19</v>
      </c>
      <c r="F1759" s="11" t="s">
        <v>6452</v>
      </c>
      <c r="G1759" s="11" t="s">
        <v>83</v>
      </c>
      <c r="H1759" s="11" t="s">
        <v>6453</v>
      </c>
      <c r="I1759" s="11" t="s">
        <v>6454</v>
      </c>
      <c r="J1759" s="12">
        <v>0.88859999999999995</v>
      </c>
      <c r="K1759" s="13">
        <v>23</v>
      </c>
      <c r="L1759" s="14">
        <v>7672</v>
      </c>
      <c r="M1759" s="10">
        <v>5790</v>
      </c>
      <c r="N1759" s="10">
        <v>847770</v>
      </c>
      <c r="O1759" s="10">
        <v>454047</v>
      </c>
      <c r="P1759" s="10">
        <v>1301817</v>
      </c>
    </row>
    <row r="1760" spans="1:16" ht="27" customHeight="1" x14ac:dyDescent="0.2">
      <c r="A1760" s="9" t="s">
        <v>6368</v>
      </c>
      <c r="B1760" s="10" t="s">
        <v>6451</v>
      </c>
      <c r="C1760" s="11" t="s">
        <v>6455</v>
      </c>
      <c r="D1760" s="11" t="s">
        <v>6456</v>
      </c>
      <c r="E1760" s="11" t="s">
        <v>26</v>
      </c>
      <c r="F1760" s="11" t="s">
        <v>6457</v>
      </c>
      <c r="G1760" s="11" t="s">
        <v>28</v>
      </c>
      <c r="H1760" s="11" t="s">
        <v>6371</v>
      </c>
      <c r="I1760" s="11" t="s">
        <v>6372</v>
      </c>
      <c r="J1760" s="12">
        <v>0.91559999999999997</v>
      </c>
      <c r="K1760" s="13">
        <v>1</v>
      </c>
      <c r="L1760" s="14">
        <v>415</v>
      </c>
      <c r="M1760" s="10">
        <v>292</v>
      </c>
      <c r="N1760" s="10">
        <v>45858</v>
      </c>
      <c r="O1760" s="10">
        <v>22898</v>
      </c>
      <c r="P1760" s="10">
        <v>68756</v>
      </c>
    </row>
    <row r="1761" spans="1:16" ht="27" customHeight="1" x14ac:dyDescent="0.2">
      <c r="A1761" s="9" t="s">
        <v>6368</v>
      </c>
      <c r="B1761" s="10" t="s">
        <v>6451</v>
      </c>
      <c r="C1761" s="11" t="s">
        <v>6458</v>
      </c>
      <c r="D1761" s="11" t="s">
        <v>6459</v>
      </c>
      <c r="E1761" s="11" t="s">
        <v>26</v>
      </c>
      <c r="F1761" s="11" t="s">
        <v>6460</v>
      </c>
      <c r="G1761" s="11" t="s">
        <v>28</v>
      </c>
      <c r="H1761" s="11" t="s">
        <v>6460</v>
      </c>
      <c r="I1761" s="11" t="s">
        <v>6461</v>
      </c>
      <c r="J1761" s="12">
        <v>0.74570000000000003</v>
      </c>
      <c r="K1761" s="13">
        <v>1</v>
      </c>
      <c r="L1761" s="14">
        <v>468</v>
      </c>
      <c r="M1761" s="10">
        <v>349</v>
      </c>
      <c r="N1761" s="10">
        <v>51715</v>
      </c>
      <c r="O1761" s="10">
        <v>27368</v>
      </c>
      <c r="P1761" s="10">
        <v>79083</v>
      </c>
    </row>
    <row r="1762" spans="1:16" ht="27" customHeight="1" x14ac:dyDescent="0.2">
      <c r="A1762" s="9" t="s">
        <v>6368</v>
      </c>
      <c r="B1762" s="10" t="s">
        <v>6451</v>
      </c>
      <c r="C1762" s="11" t="s">
        <v>6462</v>
      </c>
      <c r="D1762" s="11" t="s">
        <v>6463</v>
      </c>
      <c r="E1762" s="11" t="s">
        <v>26</v>
      </c>
      <c r="F1762" s="11" t="s">
        <v>6464</v>
      </c>
      <c r="G1762" s="11" t="s">
        <v>28</v>
      </c>
      <c r="H1762" s="11" t="s">
        <v>6371</v>
      </c>
      <c r="I1762" s="11" t="s">
        <v>6372</v>
      </c>
      <c r="J1762" s="12">
        <v>0.91559999999999997</v>
      </c>
      <c r="K1762" s="13">
        <v>1</v>
      </c>
      <c r="L1762" s="14">
        <v>395</v>
      </c>
      <c r="M1762" s="10">
        <v>311</v>
      </c>
      <c r="N1762" s="10">
        <v>43648</v>
      </c>
      <c r="O1762" s="10">
        <v>24388</v>
      </c>
      <c r="P1762" s="10">
        <v>68036</v>
      </c>
    </row>
    <row r="1763" spans="1:16" ht="27" customHeight="1" x14ac:dyDescent="0.2">
      <c r="A1763" s="9" t="s">
        <v>6368</v>
      </c>
      <c r="B1763" s="10" t="s">
        <v>6465</v>
      </c>
      <c r="C1763" s="11" t="s">
        <v>18</v>
      </c>
      <c r="D1763" s="11" t="s">
        <v>19</v>
      </c>
      <c r="E1763" s="11" t="s">
        <v>19</v>
      </c>
      <c r="F1763" s="11" t="s">
        <v>6466</v>
      </c>
      <c r="G1763" s="11" t="s">
        <v>83</v>
      </c>
      <c r="H1763" s="11" t="s">
        <v>6467</v>
      </c>
      <c r="I1763" s="11" t="s">
        <v>6468</v>
      </c>
      <c r="J1763" s="12">
        <v>0.42920000000000003</v>
      </c>
      <c r="K1763" s="13">
        <v>15</v>
      </c>
      <c r="L1763" s="14">
        <v>5992</v>
      </c>
      <c r="M1763" s="10">
        <v>1610</v>
      </c>
      <c r="N1763" s="10">
        <v>662128</v>
      </c>
      <c r="O1763" s="10">
        <v>126255</v>
      </c>
      <c r="P1763" s="10">
        <v>788383</v>
      </c>
    </row>
    <row r="1764" spans="1:16" ht="27" customHeight="1" x14ac:dyDescent="0.2">
      <c r="A1764" s="9" t="s">
        <v>6368</v>
      </c>
      <c r="B1764" s="10" t="s">
        <v>6469</v>
      </c>
      <c r="C1764" s="11" t="s">
        <v>18</v>
      </c>
      <c r="D1764" s="11" t="s">
        <v>19</v>
      </c>
      <c r="E1764" s="11" t="s">
        <v>19</v>
      </c>
      <c r="F1764" s="11" t="s">
        <v>6470</v>
      </c>
      <c r="G1764" s="11" t="s">
        <v>83</v>
      </c>
      <c r="H1764" s="11" t="s">
        <v>6471</v>
      </c>
      <c r="I1764" s="11" t="s">
        <v>6472</v>
      </c>
      <c r="J1764" s="12">
        <v>0.14910000000000001</v>
      </c>
      <c r="K1764" s="13">
        <v>3</v>
      </c>
      <c r="L1764" s="14">
        <v>974</v>
      </c>
      <c r="M1764" s="10">
        <v>109</v>
      </c>
      <c r="N1764" s="10">
        <v>107629</v>
      </c>
      <c r="O1764" s="10">
        <v>8548</v>
      </c>
      <c r="P1764" s="10">
        <v>116177</v>
      </c>
    </row>
    <row r="1765" spans="1:16" ht="27" customHeight="1" x14ac:dyDescent="0.2">
      <c r="A1765" s="9" t="s">
        <v>6368</v>
      </c>
      <c r="B1765" s="10" t="s">
        <v>6469</v>
      </c>
      <c r="C1765" s="11" t="s">
        <v>6473</v>
      </c>
      <c r="D1765" s="11" t="s">
        <v>6474</v>
      </c>
      <c r="E1765" s="11" t="s">
        <v>57</v>
      </c>
      <c r="F1765" s="11" t="s">
        <v>6475</v>
      </c>
      <c r="G1765" s="11" t="s">
        <v>28</v>
      </c>
      <c r="H1765" s="11" t="s">
        <v>6475</v>
      </c>
      <c r="I1765" s="11" t="s">
        <v>6476</v>
      </c>
      <c r="J1765" s="12">
        <v>0.24560000000000001</v>
      </c>
      <c r="K1765" s="13">
        <v>1</v>
      </c>
      <c r="L1765" s="14">
        <v>465</v>
      </c>
      <c r="M1765" s="10">
        <v>114</v>
      </c>
      <c r="N1765" s="10">
        <v>51383</v>
      </c>
      <c r="O1765" s="10">
        <v>8940</v>
      </c>
      <c r="P1765" s="10">
        <v>60323</v>
      </c>
    </row>
    <row r="1766" spans="1:16" ht="27" customHeight="1" x14ac:dyDescent="0.2">
      <c r="A1766" s="9" t="s">
        <v>6368</v>
      </c>
      <c r="B1766" s="10" t="s">
        <v>6469</v>
      </c>
      <c r="C1766" s="11" t="s">
        <v>6477</v>
      </c>
      <c r="D1766" s="11" t="s">
        <v>6478</v>
      </c>
      <c r="E1766" s="11" t="s">
        <v>57</v>
      </c>
      <c r="F1766" s="11" t="s">
        <v>6479</v>
      </c>
      <c r="G1766" s="11" t="s">
        <v>28</v>
      </c>
      <c r="H1766" s="11" t="s">
        <v>6479</v>
      </c>
      <c r="I1766" s="11" t="s">
        <v>6480</v>
      </c>
      <c r="J1766" s="12">
        <v>0.1925</v>
      </c>
      <c r="K1766" s="13">
        <v>1</v>
      </c>
      <c r="L1766" s="14">
        <v>349</v>
      </c>
      <c r="M1766" s="10">
        <v>67</v>
      </c>
      <c r="N1766" s="10">
        <v>38565</v>
      </c>
      <c r="O1766" s="10">
        <v>5254</v>
      </c>
      <c r="P1766" s="10">
        <v>43819</v>
      </c>
    </row>
    <row r="1767" spans="1:16" ht="27" customHeight="1" x14ac:dyDescent="0.2">
      <c r="A1767" s="9" t="s">
        <v>6368</v>
      </c>
      <c r="B1767" s="10" t="s">
        <v>6469</v>
      </c>
      <c r="C1767" s="11" t="s">
        <v>6481</v>
      </c>
      <c r="D1767" s="11" t="s">
        <v>6482</v>
      </c>
      <c r="E1767" s="11" t="s">
        <v>57</v>
      </c>
      <c r="F1767" s="11" t="s">
        <v>6483</v>
      </c>
      <c r="G1767" s="11" t="s">
        <v>28</v>
      </c>
      <c r="H1767" s="11" t="s">
        <v>6371</v>
      </c>
      <c r="I1767" s="11" t="s">
        <v>6372</v>
      </c>
      <c r="J1767" s="12">
        <v>0.91559999999999997</v>
      </c>
      <c r="K1767" s="13">
        <v>1</v>
      </c>
      <c r="L1767" s="14">
        <v>870</v>
      </c>
      <c r="M1767" s="10">
        <v>156</v>
      </c>
      <c r="N1767" s="10">
        <v>96136</v>
      </c>
      <c r="O1767" s="10">
        <v>12233</v>
      </c>
      <c r="P1767" s="10">
        <v>108369</v>
      </c>
    </row>
    <row r="1768" spans="1:16" ht="27" customHeight="1" x14ac:dyDescent="0.2">
      <c r="A1768" s="9" t="s">
        <v>6368</v>
      </c>
      <c r="B1768" s="10" t="s">
        <v>6469</v>
      </c>
      <c r="C1768" s="11" t="s">
        <v>6484</v>
      </c>
      <c r="D1768" s="11" t="s">
        <v>6485</v>
      </c>
      <c r="E1768" s="11" t="s">
        <v>57</v>
      </c>
      <c r="F1768" s="11" t="s">
        <v>6486</v>
      </c>
      <c r="G1768" s="11" t="s">
        <v>28</v>
      </c>
      <c r="H1768" s="11" t="s">
        <v>6486</v>
      </c>
      <c r="I1768" s="11" t="s">
        <v>6487</v>
      </c>
      <c r="J1768" s="12">
        <v>0.223</v>
      </c>
      <c r="K1768" s="13">
        <v>1</v>
      </c>
      <c r="L1768" s="14">
        <v>281</v>
      </c>
      <c r="M1768" s="10">
        <v>63</v>
      </c>
      <c r="N1768" s="10">
        <v>31051</v>
      </c>
      <c r="O1768" s="10">
        <v>4940</v>
      </c>
      <c r="P1768" s="10">
        <v>35991</v>
      </c>
    </row>
    <row r="1769" spans="1:16" ht="27" customHeight="1" x14ac:dyDescent="0.2">
      <c r="A1769" s="9" t="s">
        <v>6368</v>
      </c>
      <c r="B1769" s="10" t="s">
        <v>6488</v>
      </c>
      <c r="C1769" s="11" t="s">
        <v>18</v>
      </c>
      <c r="D1769" s="11" t="s">
        <v>19</v>
      </c>
      <c r="E1769" s="11" t="s">
        <v>19</v>
      </c>
      <c r="F1769" s="11" t="s">
        <v>6489</v>
      </c>
      <c r="G1769" s="11" t="s">
        <v>83</v>
      </c>
      <c r="H1769" s="11" t="s">
        <v>6490</v>
      </c>
      <c r="I1769" s="11" t="s">
        <v>6491</v>
      </c>
      <c r="J1769" s="12">
        <v>0.77200000000000002</v>
      </c>
      <c r="K1769" s="13">
        <v>2</v>
      </c>
      <c r="L1769" s="14">
        <v>567</v>
      </c>
      <c r="M1769" s="10">
        <v>437</v>
      </c>
      <c r="N1769" s="10">
        <v>62654</v>
      </c>
      <c r="O1769" s="10">
        <v>34269</v>
      </c>
      <c r="P1769" s="10">
        <v>96923</v>
      </c>
    </row>
    <row r="1770" spans="1:16" ht="27" customHeight="1" x14ac:dyDescent="0.2">
      <c r="A1770" s="9" t="s">
        <v>6368</v>
      </c>
      <c r="B1770" s="10" t="s">
        <v>6488</v>
      </c>
      <c r="C1770" s="11" t="s">
        <v>6492</v>
      </c>
      <c r="D1770" s="11" t="s">
        <v>6493</v>
      </c>
      <c r="E1770" s="11" t="s">
        <v>57</v>
      </c>
      <c r="F1770" s="11" t="s">
        <v>6494</v>
      </c>
      <c r="G1770" s="11" t="s">
        <v>28</v>
      </c>
      <c r="H1770" s="11" t="s">
        <v>6494</v>
      </c>
      <c r="I1770" s="11" t="s">
        <v>6495</v>
      </c>
      <c r="J1770" s="12">
        <v>0.1757</v>
      </c>
      <c r="K1770" s="13">
        <v>1</v>
      </c>
      <c r="L1770" s="14">
        <v>222</v>
      </c>
      <c r="M1770" s="10">
        <v>39</v>
      </c>
      <c r="N1770" s="10">
        <v>24531</v>
      </c>
      <c r="O1770" s="10">
        <v>3058</v>
      </c>
      <c r="P1770" s="10">
        <v>27589</v>
      </c>
    </row>
    <row r="1771" spans="1:16" ht="27" customHeight="1" x14ac:dyDescent="0.2">
      <c r="A1771" s="9" t="s">
        <v>6368</v>
      </c>
      <c r="B1771" s="10" t="s">
        <v>6488</v>
      </c>
      <c r="C1771" s="11" t="s">
        <v>6496</v>
      </c>
      <c r="D1771" s="11" t="s">
        <v>6497</v>
      </c>
      <c r="E1771" s="11" t="s">
        <v>57</v>
      </c>
      <c r="F1771" s="11" t="s">
        <v>6498</v>
      </c>
      <c r="G1771" s="11" t="s">
        <v>28</v>
      </c>
      <c r="H1771" s="11" t="s">
        <v>6498</v>
      </c>
      <c r="I1771" s="11" t="s">
        <v>6499</v>
      </c>
      <c r="J1771" s="12">
        <v>0.2228</v>
      </c>
      <c r="K1771" s="13">
        <v>1</v>
      </c>
      <c r="L1771" s="14">
        <v>781</v>
      </c>
      <c r="M1771" s="10">
        <v>174</v>
      </c>
      <c r="N1771" s="10">
        <v>86302</v>
      </c>
      <c r="O1771" s="10">
        <v>13645</v>
      </c>
      <c r="P1771" s="10">
        <v>99947</v>
      </c>
    </row>
    <row r="1772" spans="1:16" ht="27" customHeight="1" x14ac:dyDescent="0.2">
      <c r="A1772" s="9" t="s">
        <v>6368</v>
      </c>
      <c r="B1772" s="10" t="s">
        <v>6488</v>
      </c>
      <c r="C1772" s="11" t="s">
        <v>6500</v>
      </c>
      <c r="D1772" s="11" t="s">
        <v>6501</v>
      </c>
      <c r="E1772" s="11" t="s">
        <v>57</v>
      </c>
      <c r="F1772" s="11" t="s">
        <v>6502</v>
      </c>
      <c r="G1772" s="11" t="s">
        <v>28</v>
      </c>
      <c r="H1772" s="11" t="s">
        <v>6502</v>
      </c>
      <c r="I1772" s="11" t="s">
        <v>6503</v>
      </c>
      <c r="J1772" s="12">
        <v>0.50800000000000001</v>
      </c>
      <c r="K1772" s="13">
        <v>1</v>
      </c>
      <c r="L1772" s="14">
        <v>376</v>
      </c>
      <c r="M1772" s="10">
        <v>191</v>
      </c>
      <c r="N1772" s="10">
        <v>41549</v>
      </c>
      <c r="O1772" s="10">
        <v>14978</v>
      </c>
      <c r="P1772" s="10">
        <v>56527</v>
      </c>
    </row>
    <row r="1773" spans="1:16" ht="27" customHeight="1" x14ac:dyDescent="0.2">
      <c r="A1773" s="9" t="s">
        <v>6368</v>
      </c>
      <c r="B1773" s="10" t="s">
        <v>6488</v>
      </c>
      <c r="C1773" s="11" t="s">
        <v>6504</v>
      </c>
      <c r="D1773" s="11" t="s">
        <v>6505</v>
      </c>
      <c r="E1773" s="11" t="s">
        <v>57</v>
      </c>
      <c r="F1773" s="11" t="s">
        <v>6506</v>
      </c>
      <c r="G1773" s="11" t="s">
        <v>28</v>
      </c>
      <c r="H1773" s="11" t="s">
        <v>6506</v>
      </c>
      <c r="I1773" s="11" t="s">
        <v>6507</v>
      </c>
      <c r="J1773" s="12">
        <v>0.31159999999999999</v>
      </c>
      <c r="K1773" s="13">
        <v>1</v>
      </c>
      <c r="L1773" s="14">
        <v>431</v>
      </c>
      <c r="M1773" s="10">
        <v>134</v>
      </c>
      <c r="N1773" s="10">
        <v>47626</v>
      </c>
      <c r="O1773" s="10">
        <v>10508</v>
      </c>
      <c r="P1773" s="10">
        <v>58134</v>
      </c>
    </row>
    <row r="1774" spans="1:16" ht="27" customHeight="1" x14ac:dyDescent="0.2">
      <c r="A1774" s="9" t="s">
        <v>6368</v>
      </c>
      <c r="B1774" s="10" t="s">
        <v>6488</v>
      </c>
      <c r="C1774" s="11" t="s">
        <v>6508</v>
      </c>
      <c r="D1774" s="11" t="s">
        <v>6509</v>
      </c>
      <c r="E1774" s="11" t="s">
        <v>57</v>
      </c>
      <c r="F1774" s="11" t="s">
        <v>6510</v>
      </c>
      <c r="G1774" s="11" t="s">
        <v>28</v>
      </c>
      <c r="H1774" s="11" t="s">
        <v>6510</v>
      </c>
      <c r="I1774" s="11" t="s">
        <v>6511</v>
      </c>
      <c r="J1774" s="12">
        <v>0.42480000000000001</v>
      </c>
      <c r="K1774" s="13">
        <v>1</v>
      </c>
      <c r="L1774" s="14">
        <v>452</v>
      </c>
      <c r="M1774" s="10">
        <v>192</v>
      </c>
      <c r="N1774" s="10">
        <v>49947</v>
      </c>
      <c r="O1774" s="10">
        <v>15056</v>
      </c>
      <c r="P1774" s="10">
        <v>65003</v>
      </c>
    </row>
    <row r="1775" spans="1:16" ht="27" customHeight="1" x14ac:dyDescent="0.2">
      <c r="A1775" s="9" t="s">
        <v>6368</v>
      </c>
      <c r="B1775" s="10" t="s">
        <v>6488</v>
      </c>
      <c r="C1775" s="11" t="s">
        <v>6512</v>
      </c>
      <c r="D1775" s="11" t="s">
        <v>6513</v>
      </c>
      <c r="E1775" s="11" t="s">
        <v>57</v>
      </c>
      <c r="F1775" s="11" t="s">
        <v>6514</v>
      </c>
      <c r="G1775" s="11" t="s">
        <v>28</v>
      </c>
      <c r="H1775" s="11" t="s">
        <v>6514</v>
      </c>
      <c r="I1775" s="11" t="s">
        <v>6515</v>
      </c>
      <c r="J1775" s="12">
        <v>0.11550000000000001</v>
      </c>
      <c r="K1775" s="13">
        <v>1</v>
      </c>
      <c r="L1775" s="14">
        <v>563</v>
      </c>
      <c r="M1775" s="10">
        <v>65</v>
      </c>
      <c r="N1775" s="10">
        <v>62212</v>
      </c>
      <c r="O1775" s="10">
        <v>5097</v>
      </c>
      <c r="P1775" s="10">
        <v>67309</v>
      </c>
    </row>
    <row r="1776" spans="1:16" ht="27" customHeight="1" x14ac:dyDescent="0.2">
      <c r="A1776" s="9" t="s">
        <v>6368</v>
      </c>
      <c r="B1776" s="10" t="s">
        <v>6488</v>
      </c>
      <c r="C1776" s="11" t="s">
        <v>6516</v>
      </c>
      <c r="D1776" s="11" t="s">
        <v>6517</v>
      </c>
      <c r="E1776" s="11" t="s">
        <v>57</v>
      </c>
      <c r="F1776" s="11" t="s">
        <v>6518</v>
      </c>
      <c r="G1776" s="11" t="s">
        <v>28</v>
      </c>
      <c r="H1776" s="11" t="s">
        <v>6518</v>
      </c>
      <c r="I1776" s="11" t="s">
        <v>6519</v>
      </c>
      <c r="J1776" s="12">
        <v>0.3891</v>
      </c>
      <c r="K1776" s="13">
        <v>1</v>
      </c>
      <c r="L1776" s="14">
        <v>479</v>
      </c>
      <c r="M1776" s="10">
        <v>186</v>
      </c>
      <c r="N1776" s="10">
        <v>52930</v>
      </c>
      <c r="O1776" s="10">
        <v>14586</v>
      </c>
      <c r="P1776" s="10">
        <v>67516</v>
      </c>
    </row>
    <row r="1777" spans="1:16" ht="27" customHeight="1" x14ac:dyDescent="0.2">
      <c r="A1777" s="9" t="s">
        <v>6368</v>
      </c>
      <c r="B1777" s="10" t="s">
        <v>6488</v>
      </c>
      <c r="C1777" s="11" t="s">
        <v>6520</v>
      </c>
      <c r="D1777" s="11" t="s">
        <v>6521</v>
      </c>
      <c r="E1777" s="11" t="s">
        <v>57</v>
      </c>
      <c r="F1777" s="11" t="s">
        <v>6522</v>
      </c>
      <c r="G1777" s="11" t="s">
        <v>28</v>
      </c>
      <c r="H1777" s="11" t="s">
        <v>6522</v>
      </c>
      <c r="I1777" s="11" t="s">
        <v>6523</v>
      </c>
      <c r="J1777" s="12">
        <v>0.11210000000000001</v>
      </c>
      <c r="K1777" s="13">
        <v>1</v>
      </c>
      <c r="L1777" s="14">
        <v>437</v>
      </c>
      <c r="M1777" s="10">
        <v>49</v>
      </c>
      <c r="N1777" s="10">
        <v>48289</v>
      </c>
      <c r="O1777" s="10">
        <v>3843</v>
      </c>
      <c r="P1777" s="10">
        <v>52132</v>
      </c>
    </row>
    <row r="1778" spans="1:16" ht="27" customHeight="1" x14ac:dyDescent="0.2">
      <c r="A1778" s="9" t="s">
        <v>6368</v>
      </c>
      <c r="B1778" s="10" t="s">
        <v>6488</v>
      </c>
      <c r="C1778" s="11" t="s">
        <v>6524</v>
      </c>
      <c r="D1778" s="11" t="s">
        <v>6525</v>
      </c>
      <c r="E1778" s="11" t="s">
        <v>57</v>
      </c>
      <c r="F1778" s="11" t="s">
        <v>6526</v>
      </c>
      <c r="G1778" s="11" t="s">
        <v>28</v>
      </c>
      <c r="H1778" s="11" t="s">
        <v>6371</v>
      </c>
      <c r="I1778" s="11" t="s">
        <v>6372</v>
      </c>
      <c r="J1778" s="12">
        <v>0.91559999999999997</v>
      </c>
      <c r="K1778" s="13">
        <v>1</v>
      </c>
      <c r="L1778" s="14">
        <v>729</v>
      </c>
      <c r="M1778" s="10">
        <v>335</v>
      </c>
      <c r="N1778" s="10">
        <v>80556</v>
      </c>
      <c r="O1778" s="10">
        <v>26270</v>
      </c>
      <c r="P1778" s="10">
        <v>106826</v>
      </c>
    </row>
    <row r="1779" spans="1:16" ht="27" customHeight="1" x14ac:dyDescent="0.2">
      <c r="A1779" s="9" t="s">
        <v>6368</v>
      </c>
      <c r="B1779" s="10" t="s">
        <v>6488</v>
      </c>
      <c r="C1779" s="11" t="s">
        <v>6527</v>
      </c>
      <c r="D1779" s="11" t="s">
        <v>6528</v>
      </c>
      <c r="E1779" s="11" t="s">
        <v>57</v>
      </c>
      <c r="F1779" s="11" t="s">
        <v>6529</v>
      </c>
      <c r="G1779" s="11" t="s">
        <v>28</v>
      </c>
      <c r="H1779" s="11" t="s">
        <v>6371</v>
      </c>
      <c r="I1779" s="11" t="s">
        <v>6372</v>
      </c>
      <c r="J1779" s="12">
        <v>0.91559999999999997</v>
      </c>
      <c r="K1779" s="13">
        <v>1</v>
      </c>
      <c r="L1779" s="14">
        <v>861</v>
      </c>
      <c r="M1779" s="10">
        <v>156</v>
      </c>
      <c r="N1779" s="10">
        <v>95142</v>
      </c>
      <c r="O1779" s="10">
        <v>12233</v>
      </c>
      <c r="P1779" s="10">
        <v>107375</v>
      </c>
    </row>
    <row r="1780" spans="1:16" ht="27" customHeight="1" x14ac:dyDescent="0.2">
      <c r="A1780" s="9" t="s">
        <v>6368</v>
      </c>
      <c r="B1780" s="10" t="s">
        <v>6488</v>
      </c>
      <c r="C1780" s="11" t="s">
        <v>6530</v>
      </c>
      <c r="D1780" s="11" t="s">
        <v>6531</v>
      </c>
      <c r="E1780" s="11" t="s">
        <v>57</v>
      </c>
      <c r="F1780" s="11" t="s">
        <v>6532</v>
      </c>
      <c r="G1780" s="11" t="s">
        <v>28</v>
      </c>
      <c r="H1780" s="11" t="s">
        <v>6532</v>
      </c>
      <c r="I1780" s="11" t="s">
        <v>6533</v>
      </c>
      <c r="J1780" s="12">
        <v>0.4783</v>
      </c>
      <c r="K1780" s="13">
        <v>1</v>
      </c>
      <c r="L1780" s="14">
        <v>552</v>
      </c>
      <c r="M1780" s="10">
        <v>264</v>
      </c>
      <c r="N1780" s="10">
        <v>60997</v>
      </c>
      <c r="O1780" s="10">
        <v>20703</v>
      </c>
      <c r="P1780" s="10">
        <v>81700</v>
      </c>
    </row>
    <row r="1781" spans="1:16" ht="27" customHeight="1" x14ac:dyDescent="0.2">
      <c r="A1781" s="9" t="s">
        <v>6368</v>
      </c>
      <c r="B1781" s="10" t="s">
        <v>6534</v>
      </c>
      <c r="C1781" s="11" t="s">
        <v>18</v>
      </c>
      <c r="D1781" s="11" t="s">
        <v>19</v>
      </c>
      <c r="E1781" s="11" t="s">
        <v>19</v>
      </c>
      <c r="F1781" s="11" t="s">
        <v>6535</v>
      </c>
      <c r="G1781" s="11" t="s">
        <v>83</v>
      </c>
      <c r="H1781" s="11" t="s">
        <v>6371</v>
      </c>
      <c r="I1781" s="11" t="s">
        <v>6372</v>
      </c>
      <c r="J1781" s="12">
        <v>0.91559999999999997</v>
      </c>
      <c r="K1781" s="13">
        <v>7</v>
      </c>
      <c r="L1781" s="14">
        <v>8609</v>
      </c>
      <c r="M1781" s="10">
        <v>3258</v>
      </c>
      <c r="N1781" s="10">
        <v>951309</v>
      </c>
      <c r="O1781" s="10">
        <v>255490</v>
      </c>
      <c r="P1781" s="10">
        <v>1206799</v>
      </c>
    </row>
    <row r="1782" spans="1:16" ht="27" customHeight="1" x14ac:dyDescent="0.2">
      <c r="A1782" s="9" t="s">
        <v>6368</v>
      </c>
      <c r="B1782" s="10" t="s">
        <v>6536</v>
      </c>
      <c r="C1782" s="11" t="s">
        <v>18</v>
      </c>
      <c r="D1782" s="11" t="s">
        <v>19</v>
      </c>
      <c r="E1782" s="11" t="s">
        <v>19</v>
      </c>
      <c r="F1782" s="11" t="s">
        <v>6537</v>
      </c>
      <c r="G1782" s="11" t="s">
        <v>83</v>
      </c>
      <c r="H1782" s="11" t="s">
        <v>6538</v>
      </c>
      <c r="I1782" s="11" t="s">
        <v>6539</v>
      </c>
      <c r="J1782" s="12">
        <v>0.48930000000000001</v>
      </c>
      <c r="K1782" s="13">
        <v>24</v>
      </c>
      <c r="L1782" s="14">
        <v>13518</v>
      </c>
      <c r="M1782" s="10">
        <v>2183</v>
      </c>
      <c r="N1782" s="10">
        <v>1493761</v>
      </c>
      <c r="O1782" s="10">
        <v>171189</v>
      </c>
      <c r="P1782" s="10">
        <v>1664950</v>
      </c>
    </row>
    <row r="1783" spans="1:16" ht="27" customHeight="1" x14ac:dyDescent="0.2">
      <c r="A1783" s="9" t="s">
        <v>6368</v>
      </c>
      <c r="B1783" s="10" t="s">
        <v>6540</v>
      </c>
      <c r="C1783" s="11" t="s">
        <v>18</v>
      </c>
      <c r="D1783" s="11" t="s">
        <v>19</v>
      </c>
      <c r="E1783" s="11" t="s">
        <v>19</v>
      </c>
      <c r="F1783" s="11" t="s">
        <v>6541</v>
      </c>
      <c r="G1783" s="11" t="s">
        <v>83</v>
      </c>
      <c r="H1783" s="11" t="s">
        <v>6371</v>
      </c>
      <c r="I1783" s="11" t="s">
        <v>6372</v>
      </c>
      <c r="J1783" s="12">
        <v>0.91559999999999997</v>
      </c>
      <c r="K1783" s="13">
        <v>17</v>
      </c>
      <c r="L1783" s="14">
        <v>21140</v>
      </c>
      <c r="M1783" s="10">
        <v>6854</v>
      </c>
      <c r="N1783" s="10">
        <v>2336006</v>
      </c>
      <c r="O1783" s="10">
        <v>537482</v>
      </c>
      <c r="P1783" s="10">
        <v>2873488</v>
      </c>
    </row>
    <row r="1784" spans="1:16" ht="27" customHeight="1" x14ac:dyDescent="0.2">
      <c r="A1784" s="9" t="s">
        <v>6368</v>
      </c>
      <c r="B1784" s="10" t="s">
        <v>6540</v>
      </c>
      <c r="C1784" s="11" t="s">
        <v>6542</v>
      </c>
      <c r="D1784" s="11" t="s">
        <v>6543</v>
      </c>
      <c r="E1784" s="11" t="s">
        <v>26</v>
      </c>
      <c r="F1784" s="11" t="s">
        <v>6544</v>
      </c>
      <c r="G1784" s="11" t="s">
        <v>28</v>
      </c>
      <c r="H1784" s="11" t="s">
        <v>6371</v>
      </c>
      <c r="I1784" s="11" t="s">
        <v>6372</v>
      </c>
      <c r="J1784" s="12">
        <v>0.91559999999999997</v>
      </c>
      <c r="K1784" s="13">
        <v>1</v>
      </c>
      <c r="L1784" s="14">
        <v>528</v>
      </c>
      <c r="M1784" s="10">
        <v>80</v>
      </c>
      <c r="N1784" s="10">
        <v>58345</v>
      </c>
      <c r="O1784" s="10">
        <v>6274</v>
      </c>
      <c r="P1784" s="10">
        <v>64619</v>
      </c>
    </row>
    <row r="1785" spans="1:16" ht="27" customHeight="1" x14ac:dyDescent="0.2">
      <c r="A1785" s="9" t="s">
        <v>6368</v>
      </c>
      <c r="B1785" s="10" t="s">
        <v>6540</v>
      </c>
      <c r="C1785" s="11" t="s">
        <v>6545</v>
      </c>
      <c r="D1785" s="11" t="s">
        <v>6546</v>
      </c>
      <c r="E1785" s="11" t="s">
        <v>26</v>
      </c>
      <c r="F1785" s="11" t="s">
        <v>6547</v>
      </c>
      <c r="G1785" s="11" t="s">
        <v>28</v>
      </c>
      <c r="H1785" s="11" t="s">
        <v>6371</v>
      </c>
      <c r="I1785" s="11" t="s">
        <v>6372</v>
      </c>
      <c r="J1785" s="12">
        <v>0.91559999999999997</v>
      </c>
      <c r="K1785" s="13">
        <v>1</v>
      </c>
      <c r="L1785" s="14">
        <v>516</v>
      </c>
      <c r="M1785" s="10">
        <v>381</v>
      </c>
      <c r="N1785" s="10">
        <v>57019</v>
      </c>
      <c r="O1785" s="10">
        <v>29878</v>
      </c>
      <c r="P1785" s="10">
        <v>86897</v>
      </c>
    </row>
    <row r="1786" spans="1:16" ht="27" customHeight="1" x14ac:dyDescent="0.2">
      <c r="A1786" s="9" t="s">
        <v>6368</v>
      </c>
      <c r="B1786" s="10" t="s">
        <v>6540</v>
      </c>
      <c r="C1786" s="11" t="s">
        <v>6548</v>
      </c>
      <c r="D1786" s="11" t="s">
        <v>6549</v>
      </c>
      <c r="E1786" s="11" t="s">
        <v>26</v>
      </c>
      <c r="F1786" s="11" t="s">
        <v>6550</v>
      </c>
      <c r="G1786" s="11" t="s">
        <v>28</v>
      </c>
      <c r="H1786" s="11" t="s">
        <v>6371</v>
      </c>
      <c r="I1786" s="11" t="s">
        <v>6372</v>
      </c>
      <c r="J1786" s="12">
        <v>0.91559999999999997</v>
      </c>
      <c r="K1786" s="13">
        <v>1</v>
      </c>
      <c r="L1786" s="14">
        <v>370</v>
      </c>
      <c r="M1786" s="10">
        <v>296</v>
      </c>
      <c r="N1786" s="10">
        <v>40886</v>
      </c>
      <c r="O1786" s="10">
        <v>23212</v>
      </c>
      <c r="P1786" s="10">
        <v>64098</v>
      </c>
    </row>
    <row r="1787" spans="1:16" ht="27" customHeight="1" x14ac:dyDescent="0.2">
      <c r="A1787" s="9" t="s">
        <v>6368</v>
      </c>
      <c r="B1787" s="10" t="s">
        <v>6540</v>
      </c>
      <c r="C1787" s="11" t="s">
        <v>6551</v>
      </c>
      <c r="D1787" s="11" t="s">
        <v>6552</v>
      </c>
      <c r="E1787" s="11" t="s">
        <v>26</v>
      </c>
      <c r="F1787" s="11" t="s">
        <v>6553</v>
      </c>
      <c r="G1787" s="11" t="s">
        <v>28</v>
      </c>
      <c r="H1787" s="11" t="s">
        <v>6371</v>
      </c>
      <c r="I1787" s="11" t="s">
        <v>6372</v>
      </c>
      <c r="J1787" s="12">
        <v>0.91559999999999997</v>
      </c>
      <c r="K1787" s="13">
        <v>1</v>
      </c>
      <c r="L1787" s="14">
        <v>270</v>
      </c>
      <c r="M1787" s="10">
        <v>205</v>
      </c>
      <c r="N1787" s="10">
        <v>29835</v>
      </c>
      <c r="O1787" s="10">
        <v>16076</v>
      </c>
      <c r="P1787" s="10">
        <v>45911</v>
      </c>
    </row>
    <row r="1788" spans="1:16" ht="27" customHeight="1" x14ac:dyDescent="0.2">
      <c r="A1788" s="9" t="s">
        <v>6368</v>
      </c>
      <c r="B1788" s="10" t="s">
        <v>6540</v>
      </c>
      <c r="C1788" s="11" t="s">
        <v>6554</v>
      </c>
      <c r="D1788" s="11" t="s">
        <v>6555</v>
      </c>
      <c r="E1788" s="11" t="s">
        <v>26</v>
      </c>
      <c r="F1788" s="11" t="s">
        <v>6556</v>
      </c>
      <c r="G1788" s="11" t="s">
        <v>28</v>
      </c>
      <c r="H1788" s="11" t="s">
        <v>6371</v>
      </c>
      <c r="I1788" s="11" t="s">
        <v>6372</v>
      </c>
      <c r="J1788" s="12">
        <v>0.91559999999999997</v>
      </c>
      <c r="K1788" s="13">
        <v>1</v>
      </c>
      <c r="L1788" s="14">
        <v>264</v>
      </c>
      <c r="M1788" s="10">
        <v>216</v>
      </c>
      <c r="N1788" s="10">
        <v>29172</v>
      </c>
      <c r="O1788" s="10">
        <v>16938</v>
      </c>
      <c r="P1788" s="10">
        <v>46110</v>
      </c>
    </row>
    <row r="1789" spans="1:16" ht="27" customHeight="1" x14ac:dyDescent="0.2">
      <c r="A1789" s="9" t="s">
        <v>6368</v>
      </c>
      <c r="B1789" s="10" t="s">
        <v>6540</v>
      </c>
      <c r="C1789" s="11" t="s">
        <v>6557</v>
      </c>
      <c r="D1789" s="11" t="s">
        <v>6558</v>
      </c>
      <c r="E1789" s="11" t="s">
        <v>26</v>
      </c>
      <c r="F1789" s="11" t="s">
        <v>6559</v>
      </c>
      <c r="G1789" s="11" t="s">
        <v>28</v>
      </c>
      <c r="H1789" s="11" t="s">
        <v>6371</v>
      </c>
      <c r="I1789" s="11" t="s">
        <v>6372</v>
      </c>
      <c r="J1789" s="12">
        <v>0.91559999999999997</v>
      </c>
      <c r="K1789" s="13">
        <v>1</v>
      </c>
      <c r="L1789" s="14">
        <v>455</v>
      </c>
      <c r="M1789" s="10">
        <v>303</v>
      </c>
      <c r="N1789" s="10">
        <v>50278</v>
      </c>
      <c r="O1789" s="10">
        <v>23761</v>
      </c>
      <c r="P1789" s="10">
        <v>74039</v>
      </c>
    </row>
    <row r="1790" spans="1:16" ht="27" customHeight="1" x14ac:dyDescent="0.2">
      <c r="A1790" s="9" t="s">
        <v>6368</v>
      </c>
      <c r="B1790" s="10" t="s">
        <v>6540</v>
      </c>
      <c r="C1790" s="11" t="s">
        <v>6560</v>
      </c>
      <c r="D1790" s="11" t="s">
        <v>6561</v>
      </c>
      <c r="E1790" s="11" t="s">
        <v>26</v>
      </c>
      <c r="F1790" s="11" t="s">
        <v>6562</v>
      </c>
      <c r="G1790" s="11" t="s">
        <v>28</v>
      </c>
      <c r="H1790" s="11" t="s">
        <v>6371</v>
      </c>
      <c r="I1790" s="11" t="s">
        <v>6372</v>
      </c>
      <c r="J1790" s="12">
        <v>0.91559999999999997</v>
      </c>
      <c r="K1790" s="13">
        <v>1</v>
      </c>
      <c r="L1790" s="14">
        <v>408</v>
      </c>
      <c r="M1790" s="10">
        <v>312</v>
      </c>
      <c r="N1790" s="10">
        <v>45085</v>
      </c>
      <c r="O1790" s="10">
        <v>24467</v>
      </c>
      <c r="P1790" s="10">
        <v>69552</v>
      </c>
    </row>
    <row r="1791" spans="1:16" ht="27" customHeight="1" x14ac:dyDescent="0.2">
      <c r="A1791" s="9" t="s">
        <v>6368</v>
      </c>
      <c r="B1791" s="10" t="s">
        <v>6540</v>
      </c>
      <c r="C1791" s="11" t="s">
        <v>6563</v>
      </c>
      <c r="D1791" s="11" t="s">
        <v>6564</v>
      </c>
      <c r="E1791" s="11" t="s">
        <v>26</v>
      </c>
      <c r="F1791" s="11" t="s">
        <v>6565</v>
      </c>
      <c r="G1791" s="11" t="s">
        <v>28</v>
      </c>
      <c r="H1791" s="11" t="s">
        <v>6371</v>
      </c>
      <c r="I1791" s="11" t="s">
        <v>6372</v>
      </c>
      <c r="J1791" s="12">
        <v>0.91559999999999997</v>
      </c>
      <c r="K1791" s="13">
        <v>1</v>
      </c>
      <c r="L1791" s="14">
        <v>174</v>
      </c>
      <c r="M1791" s="10">
        <v>125</v>
      </c>
      <c r="N1791" s="10">
        <v>19227</v>
      </c>
      <c r="O1791" s="10">
        <v>9802</v>
      </c>
      <c r="P1791" s="10">
        <v>29029</v>
      </c>
    </row>
    <row r="1792" spans="1:16" ht="27" customHeight="1" x14ac:dyDescent="0.2">
      <c r="A1792" s="9" t="s">
        <v>6368</v>
      </c>
      <c r="B1792" s="10" t="s">
        <v>6540</v>
      </c>
      <c r="C1792" s="11" t="s">
        <v>6566</v>
      </c>
      <c r="D1792" s="11" t="s">
        <v>6567</v>
      </c>
      <c r="E1792" s="11" t="s">
        <v>26</v>
      </c>
      <c r="F1792" s="11" t="s">
        <v>6371</v>
      </c>
      <c r="G1792" s="11" t="s">
        <v>28</v>
      </c>
      <c r="H1792" s="11" t="s">
        <v>6371</v>
      </c>
      <c r="I1792" s="11" t="s">
        <v>6372</v>
      </c>
      <c r="J1792" s="12">
        <v>0.91559999999999997</v>
      </c>
      <c r="K1792" s="13">
        <v>1</v>
      </c>
      <c r="L1792" s="14">
        <v>391</v>
      </c>
      <c r="M1792" s="10">
        <v>358</v>
      </c>
      <c r="N1792" s="10">
        <v>43206</v>
      </c>
      <c r="O1792" s="10">
        <v>28074</v>
      </c>
      <c r="P1792" s="10">
        <v>71280</v>
      </c>
    </row>
    <row r="1793" spans="1:16" ht="27" customHeight="1" x14ac:dyDescent="0.2">
      <c r="A1793" s="9" t="s">
        <v>6368</v>
      </c>
      <c r="B1793" s="10" t="s">
        <v>6568</v>
      </c>
      <c r="C1793" s="11" t="s">
        <v>18</v>
      </c>
      <c r="D1793" s="11" t="s">
        <v>19</v>
      </c>
      <c r="E1793" s="11" t="s">
        <v>19</v>
      </c>
      <c r="F1793" s="11" t="s">
        <v>1883</v>
      </c>
      <c r="G1793" s="11" t="s">
        <v>83</v>
      </c>
      <c r="H1793" s="11" t="s">
        <v>6569</v>
      </c>
      <c r="I1793" s="11" t="s">
        <v>6570</v>
      </c>
      <c r="J1793" s="12">
        <v>0.75129999999999997</v>
      </c>
      <c r="K1793" s="13">
        <v>17</v>
      </c>
      <c r="L1793" s="14">
        <v>8923</v>
      </c>
      <c r="M1793" s="10">
        <v>2782</v>
      </c>
      <c r="N1793" s="10">
        <v>986006</v>
      </c>
      <c r="O1793" s="10">
        <v>218161</v>
      </c>
      <c r="P1793" s="10">
        <v>1204167</v>
      </c>
    </row>
    <row r="1794" spans="1:16" ht="27" customHeight="1" x14ac:dyDescent="0.2">
      <c r="A1794" s="9" t="s">
        <v>6368</v>
      </c>
      <c r="B1794" s="10" t="s">
        <v>6571</v>
      </c>
      <c r="C1794" s="11" t="s">
        <v>18</v>
      </c>
      <c r="D1794" s="11" t="s">
        <v>19</v>
      </c>
      <c r="E1794" s="11" t="s">
        <v>19</v>
      </c>
      <c r="F1794" s="11" t="s">
        <v>6572</v>
      </c>
      <c r="G1794" s="11" t="s">
        <v>83</v>
      </c>
      <c r="H1794" s="11" t="s">
        <v>6573</v>
      </c>
      <c r="I1794" s="11" t="s">
        <v>6574</v>
      </c>
      <c r="J1794" s="12">
        <v>0.67820000000000003</v>
      </c>
      <c r="K1794" s="13">
        <v>17</v>
      </c>
      <c r="L1794" s="14">
        <v>6047</v>
      </c>
      <c r="M1794" s="10">
        <v>3331</v>
      </c>
      <c r="N1794" s="10">
        <v>668203</v>
      </c>
      <c r="O1794" s="10">
        <v>261211</v>
      </c>
      <c r="P1794" s="10">
        <v>929414</v>
      </c>
    </row>
    <row r="1795" spans="1:16" ht="27" customHeight="1" x14ac:dyDescent="0.2">
      <c r="A1795" s="9" t="s">
        <v>6368</v>
      </c>
      <c r="B1795" s="10" t="s">
        <v>6571</v>
      </c>
      <c r="C1795" s="11" t="s">
        <v>6575</v>
      </c>
      <c r="D1795" s="11" t="s">
        <v>6576</v>
      </c>
      <c r="E1795" s="11" t="s">
        <v>26</v>
      </c>
      <c r="F1795" s="11" t="s">
        <v>6577</v>
      </c>
      <c r="G1795" s="11" t="s">
        <v>28</v>
      </c>
      <c r="H1795" s="11" t="s">
        <v>6577</v>
      </c>
      <c r="I1795" s="11" t="s">
        <v>6578</v>
      </c>
      <c r="J1795" s="12">
        <v>0.38740000000000002</v>
      </c>
      <c r="K1795" s="13">
        <v>1</v>
      </c>
      <c r="L1795" s="14">
        <v>364</v>
      </c>
      <c r="M1795" s="10">
        <v>141</v>
      </c>
      <c r="N1795" s="10">
        <v>40223</v>
      </c>
      <c r="O1795" s="10">
        <v>11057</v>
      </c>
      <c r="P1795" s="10">
        <v>51280</v>
      </c>
    </row>
    <row r="1796" spans="1:16" ht="27" customHeight="1" x14ac:dyDescent="0.2">
      <c r="A1796" s="9" t="s">
        <v>6368</v>
      </c>
      <c r="B1796" s="10" t="s">
        <v>6571</v>
      </c>
      <c r="C1796" s="11" t="s">
        <v>6579</v>
      </c>
      <c r="D1796" s="11" t="s">
        <v>6580</v>
      </c>
      <c r="E1796" s="11" t="s">
        <v>26</v>
      </c>
      <c r="F1796" s="11" t="s">
        <v>6581</v>
      </c>
      <c r="G1796" s="11" t="s">
        <v>28</v>
      </c>
      <c r="H1796" s="11" t="s">
        <v>6581</v>
      </c>
      <c r="I1796" s="11" t="s">
        <v>6582</v>
      </c>
      <c r="J1796" s="12">
        <v>0.67789999999999995</v>
      </c>
      <c r="K1796" s="13">
        <v>1</v>
      </c>
      <c r="L1796" s="14">
        <v>565</v>
      </c>
      <c r="M1796" s="10">
        <v>383</v>
      </c>
      <c r="N1796" s="10">
        <v>62433</v>
      </c>
      <c r="O1796" s="10">
        <v>30034</v>
      </c>
      <c r="P1796" s="10">
        <v>92467</v>
      </c>
    </row>
    <row r="1797" spans="1:16" ht="27" customHeight="1" x14ac:dyDescent="0.2">
      <c r="A1797" s="9" t="s">
        <v>6368</v>
      </c>
      <c r="B1797" s="10" t="s">
        <v>6571</v>
      </c>
      <c r="C1797" s="11" t="s">
        <v>6583</v>
      </c>
      <c r="D1797" s="11" t="s">
        <v>6584</v>
      </c>
      <c r="E1797" s="11" t="s">
        <v>26</v>
      </c>
      <c r="F1797" s="11" t="s">
        <v>6585</v>
      </c>
      <c r="G1797" s="11" t="s">
        <v>28</v>
      </c>
      <c r="H1797" s="11" t="s">
        <v>6585</v>
      </c>
      <c r="I1797" s="11" t="s">
        <v>6586</v>
      </c>
      <c r="J1797" s="12">
        <v>0.56810000000000005</v>
      </c>
      <c r="K1797" s="13">
        <v>1</v>
      </c>
      <c r="L1797" s="14">
        <v>558</v>
      </c>
      <c r="M1797" s="10">
        <v>317</v>
      </c>
      <c r="N1797" s="10">
        <v>61660</v>
      </c>
      <c r="O1797" s="10">
        <v>24859</v>
      </c>
      <c r="P1797" s="10">
        <v>86519</v>
      </c>
    </row>
    <row r="1798" spans="1:16" ht="27" customHeight="1" x14ac:dyDescent="0.2">
      <c r="A1798" s="9" t="s">
        <v>6368</v>
      </c>
      <c r="B1798" s="10" t="s">
        <v>6571</v>
      </c>
      <c r="C1798" s="11" t="s">
        <v>6587</v>
      </c>
      <c r="D1798" s="11" t="s">
        <v>6588</v>
      </c>
      <c r="E1798" s="11" t="s">
        <v>26</v>
      </c>
      <c r="F1798" s="11" t="s">
        <v>6589</v>
      </c>
      <c r="G1798" s="11" t="s">
        <v>28</v>
      </c>
      <c r="H1798" s="11" t="s">
        <v>6371</v>
      </c>
      <c r="I1798" s="11" t="s">
        <v>6372</v>
      </c>
      <c r="J1798" s="12">
        <v>0.91559999999999997</v>
      </c>
      <c r="K1798" s="13">
        <v>1</v>
      </c>
      <c r="L1798" s="14">
        <v>447</v>
      </c>
      <c r="M1798" s="10">
        <v>310</v>
      </c>
      <c r="N1798" s="10">
        <v>49394</v>
      </c>
      <c r="O1798" s="10">
        <v>24310</v>
      </c>
      <c r="P1798" s="10">
        <v>73704</v>
      </c>
    </row>
    <row r="1799" spans="1:16" ht="27" customHeight="1" x14ac:dyDescent="0.2">
      <c r="A1799" s="9" t="s">
        <v>6368</v>
      </c>
      <c r="B1799" s="10" t="s">
        <v>6571</v>
      </c>
      <c r="C1799" s="11" t="s">
        <v>6590</v>
      </c>
      <c r="D1799" s="11" t="s">
        <v>6591</v>
      </c>
      <c r="E1799" s="11" t="s">
        <v>26</v>
      </c>
      <c r="F1799" s="11" t="s">
        <v>6592</v>
      </c>
      <c r="G1799" s="11" t="s">
        <v>28</v>
      </c>
      <c r="H1799" s="11" t="s">
        <v>6371</v>
      </c>
      <c r="I1799" s="11" t="s">
        <v>6372</v>
      </c>
      <c r="J1799" s="12">
        <v>0.91559999999999997</v>
      </c>
      <c r="K1799" s="13">
        <v>1</v>
      </c>
      <c r="L1799" s="14">
        <v>221</v>
      </c>
      <c r="M1799" s="10">
        <v>177</v>
      </c>
      <c r="N1799" s="10">
        <v>24421</v>
      </c>
      <c r="O1799" s="10">
        <v>13880</v>
      </c>
      <c r="P1799" s="10">
        <v>38301</v>
      </c>
    </row>
    <row r="1800" spans="1:16" ht="27" customHeight="1" x14ac:dyDescent="0.2">
      <c r="A1800" s="9" t="s">
        <v>6368</v>
      </c>
      <c r="B1800" s="10" t="s">
        <v>6593</v>
      </c>
      <c r="C1800" s="11" t="s">
        <v>18</v>
      </c>
      <c r="D1800" s="11" t="s">
        <v>19</v>
      </c>
      <c r="E1800" s="11" t="s">
        <v>19</v>
      </c>
      <c r="F1800" s="11" t="s">
        <v>6594</v>
      </c>
      <c r="G1800" s="11" t="s">
        <v>83</v>
      </c>
      <c r="H1800" s="11" t="s">
        <v>6371</v>
      </c>
      <c r="I1800" s="11" t="s">
        <v>6372</v>
      </c>
      <c r="J1800" s="12">
        <v>0.91559999999999997</v>
      </c>
      <c r="K1800" s="13">
        <v>7</v>
      </c>
      <c r="L1800" s="14">
        <v>9978</v>
      </c>
      <c r="M1800" s="10">
        <v>1118</v>
      </c>
      <c r="N1800" s="10">
        <v>1102585</v>
      </c>
      <c r="O1800" s="10">
        <v>87673</v>
      </c>
      <c r="P1800" s="10">
        <v>1190258</v>
      </c>
    </row>
    <row r="1801" spans="1:16" ht="27" customHeight="1" x14ac:dyDescent="0.2">
      <c r="A1801" s="9" t="s">
        <v>6368</v>
      </c>
      <c r="B1801" s="10" t="s">
        <v>6595</v>
      </c>
      <c r="C1801" s="11" t="s">
        <v>18</v>
      </c>
      <c r="D1801" s="11" t="s">
        <v>19</v>
      </c>
      <c r="E1801" s="11" t="s">
        <v>19</v>
      </c>
      <c r="F1801" s="11" t="s">
        <v>6596</v>
      </c>
      <c r="G1801" s="11" t="s">
        <v>83</v>
      </c>
      <c r="H1801" s="11" t="s">
        <v>6597</v>
      </c>
      <c r="I1801" s="11" t="s">
        <v>6598</v>
      </c>
      <c r="J1801" s="12">
        <v>0.82940000000000003</v>
      </c>
      <c r="K1801" s="13">
        <v>16</v>
      </c>
      <c r="L1801" s="14">
        <v>10609</v>
      </c>
      <c r="M1801" s="10">
        <v>5337</v>
      </c>
      <c r="N1801" s="10">
        <v>1172312</v>
      </c>
      <c r="O1801" s="10">
        <v>418522</v>
      </c>
      <c r="P1801" s="10">
        <v>1590834</v>
      </c>
    </row>
    <row r="1802" spans="1:16" ht="27" customHeight="1" x14ac:dyDescent="0.2">
      <c r="A1802" s="9" t="s">
        <v>6368</v>
      </c>
      <c r="B1802" s="10" t="s">
        <v>6595</v>
      </c>
      <c r="C1802" s="11" t="s">
        <v>6599</v>
      </c>
      <c r="D1802" s="11" t="s">
        <v>6600</v>
      </c>
      <c r="E1802" s="11" t="s">
        <v>26</v>
      </c>
      <c r="F1802" s="11" t="s">
        <v>6601</v>
      </c>
      <c r="G1802" s="11" t="s">
        <v>28</v>
      </c>
      <c r="H1802" s="11" t="s">
        <v>6601</v>
      </c>
      <c r="I1802" s="11" t="s">
        <v>6602</v>
      </c>
      <c r="J1802" s="12">
        <v>0.37869999999999998</v>
      </c>
      <c r="K1802" s="13">
        <v>1</v>
      </c>
      <c r="L1802" s="14">
        <v>544</v>
      </c>
      <c r="M1802" s="10">
        <v>206</v>
      </c>
      <c r="N1802" s="10">
        <v>60113</v>
      </c>
      <c r="O1802" s="10">
        <v>16154</v>
      </c>
      <c r="P1802" s="10">
        <v>76267</v>
      </c>
    </row>
    <row r="1803" spans="1:16" ht="27" customHeight="1" x14ac:dyDescent="0.2">
      <c r="A1803" s="9" t="s">
        <v>6368</v>
      </c>
      <c r="B1803" s="10" t="s">
        <v>6603</v>
      </c>
      <c r="C1803" s="11" t="s">
        <v>18</v>
      </c>
      <c r="D1803" s="11" t="s">
        <v>19</v>
      </c>
      <c r="E1803" s="11" t="s">
        <v>19</v>
      </c>
      <c r="F1803" s="11" t="s">
        <v>6604</v>
      </c>
      <c r="G1803" s="11" t="s">
        <v>83</v>
      </c>
      <c r="H1803" s="11" t="s">
        <v>1569</v>
      </c>
      <c r="I1803" s="11" t="s">
        <v>6605</v>
      </c>
      <c r="J1803" s="12">
        <v>0.13700000000000001</v>
      </c>
      <c r="K1803" s="13">
        <v>2</v>
      </c>
      <c r="L1803" s="14">
        <v>74</v>
      </c>
      <c r="M1803" s="10">
        <v>10</v>
      </c>
      <c r="N1803" s="10">
        <v>8177</v>
      </c>
      <c r="O1803" s="10">
        <v>784</v>
      </c>
      <c r="P1803" s="10">
        <v>8961</v>
      </c>
    </row>
    <row r="1804" spans="1:16" ht="27" customHeight="1" x14ac:dyDescent="0.2">
      <c r="A1804" s="9" t="s">
        <v>6368</v>
      </c>
      <c r="B1804" s="10" t="s">
        <v>6606</v>
      </c>
      <c r="C1804" s="11" t="s">
        <v>18</v>
      </c>
      <c r="D1804" s="11" t="s">
        <v>19</v>
      </c>
      <c r="E1804" s="11" t="s">
        <v>19</v>
      </c>
      <c r="F1804" s="11" t="s">
        <v>6607</v>
      </c>
      <c r="G1804" s="11" t="s">
        <v>83</v>
      </c>
      <c r="H1804" s="11" t="s">
        <v>6608</v>
      </c>
      <c r="I1804" s="11" t="s">
        <v>6609</v>
      </c>
      <c r="J1804" s="12">
        <v>0.10150000000000001</v>
      </c>
      <c r="K1804" s="13">
        <v>3</v>
      </c>
      <c r="L1804" s="14">
        <v>434</v>
      </c>
      <c r="M1804" s="10">
        <v>39</v>
      </c>
      <c r="N1804" s="10">
        <v>47958</v>
      </c>
      <c r="O1804" s="10">
        <v>3058</v>
      </c>
      <c r="P1804" s="10">
        <v>51016</v>
      </c>
    </row>
    <row r="1805" spans="1:16" ht="27" customHeight="1" x14ac:dyDescent="0.2">
      <c r="A1805" s="9" t="s">
        <v>6368</v>
      </c>
      <c r="B1805" s="10" t="s">
        <v>6610</v>
      </c>
      <c r="C1805" s="11" t="s">
        <v>18</v>
      </c>
      <c r="D1805" s="11" t="s">
        <v>19</v>
      </c>
      <c r="E1805" s="11" t="s">
        <v>19</v>
      </c>
      <c r="F1805" s="11" t="s">
        <v>6611</v>
      </c>
      <c r="G1805" s="11" t="s">
        <v>83</v>
      </c>
      <c r="H1805" s="11" t="s">
        <v>6612</v>
      </c>
      <c r="I1805" s="11" t="s">
        <v>6613</v>
      </c>
      <c r="J1805" s="12">
        <v>0.1636</v>
      </c>
      <c r="K1805" s="13">
        <v>11</v>
      </c>
      <c r="L1805" s="14">
        <v>3372</v>
      </c>
      <c r="M1805" s="10">
        <v>225</v>
      </c>
      <c r="N1805" s="10">
        <v>372612</v>
      </c>
      <c r="O1805" s="10">
        <v>17644</v>
      </c>
      <c r="P1805" s="10">
        <v>390256</v>
      </c>
    </row>
    <row r="1806" spans="1:16" ht="27" customHeight="1" x14ac:dyDescent="0.2">
      <c r="A1806" s="9" t="s">
        <v>6368</v>
      </c>
      <c r="B1806" s="10" t="s">
        <v>6614</v>
      </c>
      <c r="C1806" s="11" t="s">
        <v>18</v>
      </c>
      <c r="D1806" s="11" t="s">
        <v>19</v>
      </c>
      <c r="E1806" s="11" t="s">
        <v>19</v>
      </c>
      <c r="F1806" s="11" t="s">
        <v>6615</v>
      </c>
      <c r="G1806" s="11" t="s">
        <v>83</v>
      </c>
      <c r="H1806" s="11" t="s">
        <v>6616</v>
      </c>
      <c r="I1806" s="11" t="s">
        <v>6617</v>
      </c>
      <c r="J1806" s="12">
        <v>4.9000000000000002E-2</v>
      </c>
      <c r="K1806" s="13">
        <v>6</v>
      </c>
      <c r="L1806" s="14">
        <v>2627</v>
      </c>
      <c r="M1806" s="10">
        <v>102</v>
      </c>
      <c r="N1806" s="10">
        <v>290288</v>
      </c>
      <c r="O1806" s="10">
        <v>8000</v>
      </c>
      <c r="P1806" s="10">
        <v>298288</v>
      </c>
    </row>
    <row r="1807" spans="1:16" ht="27" customHeight="1" x14ac:dyDescent="0.2">
      <c r="A1807" s="9" t="s">
        <v>6368</v>
      </c>
      <c r="B1807" s="10" t="s">
        <v>6618</v>
      </c>
      <c r="C1807" s="11" t="s">
        <v>18</v>
      </c>
      <c r="D1807" s="11" t="s">
        <v>19</v>
      </c>
      <c r="E1807" s="11" t="s">
        <v>19</v>
      </c>
      <c r="F1807" s="11" t="s">
        <v>6619</v>
      </c>
      <c r="G1807" s="11" t="s">
        <v>83</v>
      </c>
      <c r="H1807" s="11" t="s">
        <v>6371</v>
      </c>
      <c r="I1807" s="11" t="s">
        <v>6372</v>
      </c>
      <c r="J1807" s="12">
        <v>0.91559999999999997</v>
      </c>
      <c r="K1807" s="13">
        <v>3</v>
      </c>
      <c r="L1807" s="14">
        <v>3261</v>
      </c>
      <c r="M1807" s="10">
        <v>357</v>
      </c>
      <c r="N1807" s="10">
        <v>360346</v>
      </c>
      <c r="O1807" s="10">
        <v>27995</v>
      </c>
      <c r="P1807" s="10">
        <v>388341</v>
      </c>
    </row>
    <row r="1808" spans="1:16" ht="27" customHeight="1" x14ac:dyDescent="0.2">
      <c r="A1808" s="9" t="s">
        <v>6368</v>
      </c>
      <c r="B1808" s="10" t="s">
        <v>6620</v>
      </c>
      <c r="C1808" s="11" t="s">
        <v>18</v>
      </c>
      <c r="D1808" s="11" t="s">
        <v>19</v>
      </c>
      <c r="E1808" s="11" t="s">
        <v>19</v>
      </c>
      <c r="F1808" s="11" t="s">
        <v>6621</v>
      </c>
      <c r="G1808" s="11" t="s">
        <v>83</v>
      </c>
      <c r="H1808" s="11" t="s">
        <v>6622</v>
      </c>
      <c r="I1808" s="11" t="s">
        <v>6623</v>
      </c>
      <c r="J1808" s="12">
        <v>0.82940000000000003</v>
      </c>
      <c r="K1808" s="13">
        <v>2</v>
      </c>
      <c r="L1808" s="14">
        <v>457</v>
      </c>
      <c r="M1808" s="10">
        <v>379</v>
      </c>
      <c r="N1808" s="10">
        <v>50500</v>
      </c>
      <c r="O1808" s="10">
        <v>29721</v>
      </c>
      <c r="P1808" s="10">
        <v>80221</v>
      </c>
    </row>
    <row r="1809" spans="1:16" ht="27" customHeight="1" x14ac:dyDescent="0.2">
      <c r="A1809" s="9" t="s">
        <v>6368</v>
      </c>
      <c r="B1809" s="10" t="s">
        <v>6624</v>
      </c>
      <c r="C1809" s="11" t="s">
        <v>18</v>
      </c>
      <c r="D1809" s="11" t="s">
        <v>19</v>
      </c>
      <c r="E1809" s="11" t="s">
        <v>19</v>
      </c>
      <c r="F1809" s="11" t="s">
        <v>6625</v>
      </c>
      <c r="G1809" s="11" t="s">
        <v>83</v>
      </c>
      <c r="H1809" s="11" t="s">
        <v>6626</v>
      </c>
      <c r="I1809" s="11" t="s">
        <v>6627</v>
      </c>
      <c r="J1809" s="12">
        <v>0.84750000000000003</v>
      </c>
      <c r="K1809" s="13">
        <v>8</v>
      </c>
      <c r="L1809" s="14">
        <v>4013</v>
      </c>
      <c r="M1809" s="10">
        <v>1375</v>
      </c>
      <c r="N1809" s="10">
        <v>443444</v>
      </c>
      <c r="O1809" s="10">
        <v>107826</v>
      </c>
      <c r="P1809" s="10">
        <v>551270</v>
      </c>
    </row>
    <row r="1810" spans="1:16" ht="27" customHeight="1" x14ac:dyDescent="0.2">
      <c r="A1810" s="9" t="s">
        <v>6368</v>
      </c>
      <c r="B1810" s="10" t="s">
        <v>6628</v>
      </c>
      <c r="C1810" s="11" t="s">
        <v>18</v>
      </c>
      <c r="D1810" s="11" t="s">
        <v>19</v>
      </c>
      <c r="E1810" s="11" t="s">
        <v>19</v>
      </c>
      <c r="F1810" s="11" t="s">
        <v>6629</v>
      </c>
      <c r="G1810" s="11" t="s">
        <v>83</v>
      </c>
      <c r="H1810" s="11" t="s">
        <v>6630</v>
      </c>
      <c r="I1810" s="11" t="s">
        <v>6631</v>
      </c>
      <c r="J1810" s="12">
        <v>0.68089999999999995</v>
      </c>
      <c r="K1810" s="13">
        <v>14</v>
      </c>
      <c r="L1810" s="14">
        <v>8054</v>
      </c>
      <c r="M1810" s="10">
        <v>3105</v>
      </c>
      <c r="N1810" s="10">
        <v>889982</v>
      </c>
      <c r="O1810" s="10">
        <v>243491</v>
      </c>
      <c r="P1810" s="10">
        <v>1133473</v>
      </c>
    </row>
    <row r="1811" spans="1:16" ht="27" customHeight="1" x14ac:dyDescent="0.2">
      <c r="A1811" s="9" t="s">
        <v>6368</v>
      </c>
      <c r="B1811" s="10" t="s">
        <v>6628</v>
      </c>
      <c r="C1811" s="11" t="s">
        <v>6632</v>
      </c>
      <c r="D1811" s="11" t="s">
        <v>6633</v>
      </c>
      <c r="E1811" s="11" t="s">
        <v>26</v>
      </c>
      <c r="F1811" s="11" t="s">
        <v>6634</v>
      </c>
      <c r="G1811" s="11" t="s">
        <v>28</v>
      </c>
      <c r="H1811" s="11" t="s">
        <v>6634</v>
      </c>
      <c r="I1811" s="11" t="s">
        <v>6635</v>
      </c>
      <c r="J1811" s="12">
        <v>8.1000000000000003E-2</v>
      </c>
      <c r="K1811" s="13">
        <v>1</v>
      </c>
      <c r="L1811" s="14">
        <v>654</v>
      </c>
      <c r="M1811" s="10">
        <v>53</v>
      </c>
      <c r="N1811" s="10">
        <v>72268</v>
      </c>
      <c r="O1811" s="10">
        <v>4156</v>
      </c>
      <c r="P1811" s="10">
        <v>76424</v>
      </c>
    </row>
    <row r="1812" spans="1:16" ht="27" customHeight="1" x14ac:dyDescent="0.2">
      <c r="A1812" s="9" t="s">
        <v>6368</v>
      </c>
      <c r="B1812" s="10" t="s">
        <v>6636</v>
      </c>
      <c r="C1812" s="11" t="s">
        <v>18</v>
      </c>
      <c r="D1812" s="11" t="s">
        <v>19</v>
      </c>
      <c r="E1812" s="11" t="s">
        <v>19</v>
      </c>
      <c r="F1812" s="11" t="s">
        <v>6637</v>
      </c>
      <c r="G1812" s="11" t="s">
        <v>83</v>
      </c>
      <c r="H1812" s="11" t="s">
        <v>6638</v>
      </c>
      <c r="I1812" s="11" t="s">
        <v>6639</v>
      </c>
      <c r="J1812" s="12">
        <v>0.80649999999999999</v>
      </c>
      <c r="K1812" s="13">
        <v>13</v>
      </c>
      <c r="L1812" s="14">
        <v>4680</v>
      </c>
      <c r="M1812" s="10">
        <v>1416</v>
      </c>
      <c r="N1812" s="10">
        <v>517149</v>
      </c>
      <c r="O1812" s="10">
        <v>111042</v>
      </c>
      <c r="P1812" s="10">
        <v>628191</v>
      </c>
    </row>
    <row r="1813" spans="1:16" ht="27" customHeight="1" x14ac:dyDescent="0.2">
      <c r="A1813" s="9" t="s">
        <v>6368</v>
      </c>
      <c r="B1813" s="10" t="s">
        <v>6640</v>
      </c>
      <c r="C1813" s="11" t="s">
        <v>18</v>
      </c>
      <c r="D1813" s="11" t="s">
        <v>19</v>
      </c>
      <c r="E1813" s="11" t="s">
        <v>19</v>
      </c>
      <c r="F1813" s="11" t="s">
        <v>6641</v>
      </c>
      <c r="G1813" s="11" t="s">
        <v>83</v>
      </c>
      <c r="H1813" s="11" t="s">
        <v>6371</v>
      </c>
      <c r="I1813" s="11" t="s">
        <v>6372</v>
      </c>
      <c r="J1813" s="12">
        <v>0.91559999999999997</v>
      </c>
      <c r="K1813" s="13">
        <v>4</v>
      </c>
      <c r="L1813" s="14">
        <v>4430</v>
      </c>
      <c r="M1813" s="10">
        <v>588</v>
      </c>
      <c r="N1813" s="10">
        <v>489523</v>
      </c>
      <c r="O1813" s="10">
        <v>46111</v>
      </c>
      <c r="P1813" s="10">
        <v>535634</v>
      </c>
    </row>
    <row r="1814" spans="1:16" ht="27" customHeight="1" x14ac:dyDescent="0.2">
      <c r="A1814" s="9" t="s">
        <v>6368</v>
      </c>
      <c r="B1814" s="10" t="s">
        <v>6642</v>
      </c>
      <c r="C1814" s="11" t="s">
        <v>18</v>
      </c>
      <c r="D1814" s="11" t="s">
        <v>19</v>
      </c>
      <c r="E1814" s="11" t="s">
        <v>19</v>
      </c>
      <c r="F1814" s="11" t="s">
        <v>6643</v>
      </c>
      <c r="G1814" s="11" t="s">
        <v>83</v>
      </c>
      <c r="H1814" s="11" t="s">
        <v>6644</v>
      </c>
      <c r="I1814" s="11" t="s">
        <v>6645</v>
      </c>
      <c r="J1814" s="12">
        <v>0.76619999999999999</v>
      </c>
      <c r="K1814" s="13">
        <v>5</v>
      </c>
      <c r="L1814" s="14">
        <v>1243</v>
      </c>
      <c r="M1814" s="10">
        <v>892</v>
      </c>
      <c r="N1814" s="10">
        <v>137354</v>
      </c>
      <c r="O1814" s="10">
        <v>69949</v>
      </c>
      <c r="P1814" s="10">
        <v>207303</v>
      </c>
    </row>
    <row r="1815" spans="1:16" ht="27" customHeight="1" x14ac:dyDescent="0.2">
      <c r="A1815" s="9" t="s">
        <v>6368</v>
      </c>
      <c r="B1815" s="10" t="s">
        <v>6642</v>
      </c>
      <c r="C1815" s="11" t="s">
        <v>6646</v>
      </c>
      <c r="D1815" s="11" t="s">
        <v>6647</v>
      </c>
      <c r="E1815" s="11" t="s">
        <v>57</v>
      </c>
      <c r="F1815" s="11" t="s">
        <v>6648</v>
      </c>
      <c r="G1815" s="11" t="s">
        <v>28</v>
      </c>
      <c r="H1815" s="11" t="s">
        <v>6648</v>
      </c>
      <c r="I1815" s="11" t="s">
        <v>6649</v>
      </c>
      <c r="J1815" s="12">
        <v>0.56210000000000004</v>
      </c>
      <c r="K1815" s="13">
        <v>1</v>
      </c>
      <c r="L1815" s="14">
        <v>427</v>
      </c>
      <c r="M1815" s="10">
        <v>240</v>
      </c>
      <c r="N1815" s="10">
        <v>47184</v>
      </c>
      <c r="O1815" s="10">
        <v>18821</v>
      </c>
      <c r="P1815" s="10">
        <v>66005</v>
      </c>
    </row>
    <row r="1816" spans="1:16" ht="27" customHeight="1" x14ac:dyDescent="0.2">
      <c r="A1816" s="9" t="s">
        <v>6368</v>
      </c>
      <c r="B1816" s="10" t="s">
        <v>6650</v>
      </c>
      <c r="C1816" s="11" t="s">
        <v>18</v>
      </c>
      <c r="D1816" s="11" t="s">
        <v>19</v>
      </c>
      <c r="E1816" s="11" t="s">
        <v>19</v>
      </c>
      <c r="F1816" s="11" t="s">
        <v>6651</v>
      </c>
      <c r="G1816" s="11" t="s">
        <v>83</v>
      </c>
      <c r="H1816" s="11" t="s">
        <v>6652</v>
      </c>
      <c r="I1816" s="11" t="s">
        <v>6653</v>
      </c>
      <c r="J1816" s="12">
        <v>0.61199999999999999</v>
      </c>
      <c r="K1816" s="13">
        <v>19</v>
      </c>
      <c r="L1816" s="14">
        <v>8731</v>
      </c>
      <c r="M1816" s="10">
        <v>3148</v>
      </c>
      <c r="N1816" s="10">
        <v>964791</v>
      </c>
      <c r="O1816" s="10">
        <v>246863</v>
      </c>
      <c r="P1816" s="10">
        <v>1211654</v>
      </c>
    </row>
    <row r="1817" spans="1:16" ht="27" customHeight="1" x14ac:dyDescent="0.2">
      <c r="A1817" s="9" t="s">
        <v>6368</v>
      </c>
      <c r="B1817" s="10" t="s">
        <v>6654</v>
      </c>
      <c r="C1817" s="11" t="s">
        <v>18</v>
      </c>
      <c r="D1817" s="11" t="s">
        <v>19</v>
      </c>
      <c r="E1817" s="11" t="s">
        <v>19</v>
      </c>
      <c r="F1817" s="11" t="s">
        <v>6655</v>
      </c>
      <c r="G1817" s="11" t="s">
        <v>83</v>
      </c>
      <c r="H1817" s="11" t="s">
        <v>6655</v>
      </c>
      <c r="I1817" s="11" t="s">
        <v>6656</v>
      </c>
      <c r="J1817" s="12">
        <v>0.43909999999999999</v>
      </c>
      <c r="K1817" s="13">
        <v>2</v>
      </c>
      <c r="L1817" s="14">
        <v>777</v>
      </c>
      <c r="M1817" s="10">
        <v>341</v>
      </c>
      <c r="N1817" s="10">
        <v>85860</v>
      </c>
      <c r="O1817" s="10">
        <v>26741</v>
      </c>
      <c r="P1817" s="10">
        <v>112601</v>
      </c>
    </row>
    <row r="1818" spans="1:16" ht="27" customHeight="1" x14ac:dyDescent="0.2">
      <c r="A1818" s="9" t="s">
        <v>6368</v>
      </c>
      <c r="B1818" s="15" t="s">
        <v>6657</v>
      </c>
      <c r="C1818" s="11" t="s">
        <v>18</v>
      </c>
      <c r="D1818" s="11" t="s">
        <v>19</v>
      </c>
      <c r="E1818" s="11" t="s">
        <v>19</v>
      </c>
      <c r="F1818" s="11" t="s">
        <v>6658</v>
      </c>
      <c r="G1818" s="11" t="s">
        <v>83</v>
      </c>
      <c r="H1818" s="11" t="s">
        <v>6659</v>
      </c>
      <c r="I1818" s="11" t="s">
        <v>6660</v>
      </c>
      <c r="J1818" s="12">
        <v>0.4</v>
      </c>
      <c r="K1818" s="13">
        <v>20</v>
      </c>
      <c r="L1818" s="14">
        <v>10363</v>
      </c>
      <c r="M1818" s="10">
        <v>1201</v>
      </c>
      <c r="N1818" s="10">
        <v>1145128</v>
      </c>
      <c r="O1818" s="10">
        <v>94181</v>
      </c>
      <c r="P1818" s="10">
        <v>1239309</v>
      </c>
    </row>
    <row r="1819" spans="1:16" ht="27" customHeight="1" x14ac:dyDescent="0.2">
      <c r="A1819" s="9" t="s">
        <v>6368</v>
      </c>
      <c r="B1819" s="10" t="s">
        <v>6661</v>
      </c>
      <c r="C1819" s="11" t="s">
        <v>18</v>
      </c>
      <c r="D1819" s="11" t="s">
        <v>19</v>
      </c>
      <c r="E1819" s="11" t="s">
        <v>19</v>
      </c>
      <c r="F1819" s="11" t="s">
        <v>6662</v>
      </c>
      <c r="G1819" s="11" t="s">
        <v>83</v>
      </c>
      <c r="H1819" s="11" t="s">
        <v>948</v>
      </c>
      <c r="I1819" s="11" t="s">
        <v>6663</v>
      </c>
      <c r="J1819" s="12">
        <v>0.83860000000000001</v>
      </c>
      <c r="K1819" s="13">
        <v>43</v>
      </c>
      <c r="L1819" s="14">
        <v>25441</v>
      </c>
      <c r="M1819" s="10">
        <v>10529</v>
      </c>
      <c r="N1819" s="10">
        <v>2811273</v>
      </c>
      <c r="O1819" s="10">
        <v>825676</v>
      </c>
      <c r="P1819" s="10">
        <v>3636949</v>
      </c>
    </row>
    <row r="1820" spans="1:16" ht="27" customHeight="1" x14ac:dyDescent="0.2">
      <c r="A1820" s="9" t="s">
        <v>6368</v>
      </c>
      <c r="B1820" s="10" t="s">
        <v>6661</v>
      </c>
      <c r="C1820" s="11" t="s">
        <v>6664</v>
      </c>
      <c r="D1820" s="11" t="s">
        <v>6665</v>
      </c>
      <c r="E1820" s="11" t="s">
        <v>26</v>
      </c>
      <c r="F1820" s="11" t="s">
        <v>6666</v>
      </c>
      <c r="G1820" s="11" t="s">
        <v>28</v>
      </c>
      <c r="H1820" s="11" t="s">
        <v>6371</v>
      </c>
      <c r="I1820" s="11" t="s">
        <v>6372</v>
      </c>
      <c r="J1820" s="12">
        <v>0.91559999999999997</v>
      </c>
      <c r="K1820" s="13">
        <v>1</v>
      </c>
      <c r="L1820" s="14">
        <v>294</v>
      </c>
      <c r="M1820" s="10">
        <v>233</v>
      </c>
      <c r="N1820" s="10">
        <v>32487</v>
      </c>
      <c r="O1820" s="10">
        <v>18272</v>
      </c>
      <c r="P1820" s="10">
        <v>50759</v>
      </c>
    </row>
    <row r="1821" spans="1:16" ht="27" customHeight="1" x14ac:dyDescent="0.2">
      <c r="A1821" s="9" t="s">
        <v>6368</v>
      </c>
      <c r="B1821" s="10" t="s">
        <v>6661</v>
      </c>
      <c r="C1821" s="11" t="s">
        <v>6667</v>
      </c>
      <c r="D1821" s="11" t="s">
        <v>6668</v>
      </c>
      <c r="E1821" s="11" t="s">
        <v>26</v>
      </c>
      <c r="F1821" s="11" t="s">
        <v>6669</v>
      </c>
      <c r="G1821" s="11" t="s">
        <v>28</v>
      </c>
      <c r="H1821" s="11" t="s">
        <v>6371</v>
      </c>
      <c r="I1821" s="11" t="s">
        <v>6372</v>
      </c>
      <c r="J1821" s="12">
        <v>0.91559999999999997</v>
      </c>
      <c r="K1821" s="13">
        <v>1</v>
      </c>
      <c r="L1821" s="14">
        <v>239</v>
      </c>
      <c r="M1821" s="10">
        <v>193</v>
      </c>
      <c r="N1821" s="10">
        <v>26410</v>
      </c>
      <c r="O1821" s="10">
        <v>15135</v>
      </c>
      <c r="P1821" s="10">
        <v>41545</v>
      </c>
    </row>
    <row r="1822" spans="1:16" ht="27" customHeight="1" x14ac:dyDescent="0.2">
      <c r="A1822" s="9" t="s">
        <v>6368</v>
      </c>
      <c r="B1822" s="10" t="s">
        <v>6661</v>
      </c>
      <c r="C1822" s="11" t="s">
        <v>6670</v>
      </c>
      <c r="D1822" s="11" t="s">
        <v>6671</v>
      </c>
      <c r="E1822" s="11" t="s">
        <v>26</v>
      </c>
      <c r="F1822" s="11" t="s">
        <v>6672</v>
      </c>
      <c r="G1822" s="11" t="s">
        <v>28</v>
      </c>
      <c r="H1822" s="11" t="s">
        <v>6371</v>
      </c>
      <c r="I1822" s="11" t="s">
        <v>6372</v>
      </c>
      <c r="J1822" s="12">
        <v>0.91559999999999997</v>
      </c>
      <c r="K1822" s="13">
        <v>1</v>
      </c>
      <c r="L1822" s="14">
        <v>495</v>
      </c>
      <c r="M1822" s="10">
        <v>380</v>
      </c>
      <c r="N1822" s="10">
        <v>54698</v>
      </c>
      <c r="O1822" s="10">
        <v>29799</v>
      </c>
      <c r="P1822" s="10">
        <v>84497</v>
      </c>
    </row>
    <row r="1823" spans="1:16" ht="27" customHeight="1" x14ac:dyDescent="0.2">
      <c r="A1823" s="9" t="s">
        <v>6368</v>
      </c>
      <c r="B1823" s="10" t="s">
        <v>6673</v>
      </c>
      <c r="C1823" s="11" t="s">
        <v>18</v>
      </c>
      <c r="D1823" s="11" t="s">
        <v>19</v>
      </c>
      <c r="E1823" s="11" t="s">
        <v>19</v>
      </c>
      <c r="F1823" s="11" t="s">
        <v>6674</v>
      </c>
      <c r="G1823" s="11" t="s">
        <v>83</v>
      </c>
      <c r="H1823" s="11" t="s">
        <v>6675</v>
      </c>
      <c r="I1823" s="11" t="s">
        <v>6676</v>
      </c>
      <c r="J1823" s="12">
        <v>0.71209999999999996</v>
      </c>
      <c r="K1823" s="13">
        <v>31</v>
      </c>
      <c r="L1823" s="14">
        <v>14220</v>
      </c>
      <c r="M1823" s="10">
        <v>5832</v>
      </c>
      <c r="N1823" s="10">
        <v>1571339</v>
      </c>
      <c r="O1823" s="10">
        <v>457341</v>
      </c>
      <c r="P1823" s="10">
        <v>2028680</v>
      </c>
    </row>
    <row r="1824" spans="1:16" ht="27" customHeight="1" x14ac:dyDescent="0.2">
      <c r="A1824" s="9" t="s">
        <v>6368</v>
      </c>
      <c r="B1824" s="10" t="s">
        <v>6677</v>
      </c>
      <c r="C1824" s="11" t="s">
        <v>18</v>
      </c>
      <c r="D1824" s="11" t="s">
        <v>19</v>
      </c>
      <c r="E1824" s="11" t="s">
        <v>19</v>
      </c>
      <c r="F1824" s="11" t="s">
        <v>6678</v>
      </c>
      <c r="G1824" s="11" t="s">
        <v>83</v>
      </c>
      <c r="H1824" s="11" t="s">
        <v>954</v>
      </c>
      <c r="I1824" s="11" t="s">
        <v>6679</v>
      </c>
      <c r="J1824" s="12">
        <v>4.9700000000000001E-2</v>
      </c>
      <c r="K1824" s="13">
        <v>6</v>
      </c>
      <c r="L1824" s="14">
        <v>1630</v>
      </c>
      <c r="M1824" s="10">
        <v>53</v>
      </c>
      <c r="N1824" s="10">
        <v>180117</v>
      </c>
      <c r="O1824" s="10">
        <v>4156</v>
      </c>
      <c r="P1824" s="10">
        <v>184273</v>
      </c>
    </row>
    <row r="1825" spans="1:16" ht="27" customHeight="1" x14ac:dyDescent="0.2">
      <c r="A1825" s="9" t="s">
        <v>6368</v>
      </c>
      <c r="B1825" s="10" t="s">
        <v>6680</v>
      </c>
      <c r="C1825" s="11" t="s">
        <v>18</v>
      </c>
      <c r="D1825" s="11" t="s">
        <v>19</v>
      </c>
      <c r="E1825" s="11" t="s">
        <v>19</v>
      </c>
      <c r="F1825" s="11" t="s">
        <v>6681</v>
      </c>
      <c r="G1825" s="11" t="s">
        <v>83</v>
      </c>
      <c r="H1825" s="11" t="s">
        <v>1290</v>
      </c>
      <c r="I1825" s="11" t="s">
        <v>6682</v>
      </c>
      <c r="J1825" s="12">
        <v>0.56420000000000003</v>
      </c>
      <c r="K1825" s="13">
        <v>11</v>
      </c>
      <c r="L1825" s="14">
        <v>5603</v>
      </c>
      <c r="M1825" s="10">
        <v>1715</v>
      </c>
      <c r="N1825" s="10">
        <v>619142</v>
      </c>
      <c r="O1825" s="10">
        <v>134489</v>
      </c>
      <c r="P1825" s="10">
        <v>753631</v>
      </c>
    </row>
    <row r="1826" spans="1:16" ht="27" customHeight="1" x14ac:dyDescent="0.2">
      <c r="A1826" s="9" t="s">
        <v>6368</v>
      </c>
      <c r="B1826" s="10" t="s">
        <v>6683</v>
      </c>
      <c r="C1826" s="11" t="s">
        <v>18</v>
      </c>
      <c r="D1826" s="11" t="s">
        <v>19</v>
      </c>
      <c r="E1826" s="11" t="s">
        <v>19</v>
      </c>
      <c r="F1826" s="11" t="s">
        <v>6684</v>
      </c>
      <c r="G1826" s="11" t="s">
        <v>83</v>
      </c>
      <c r="H1826" s="11" t="s">
        <v>6685</v>
      </c>
      <c r="I1826" s="11" t="s">
        <v>6686</v>
      </c>
      <c r="J1826" s="12">
        <v>0.17599999999999999</v>
      </c>
      <c r="K1826" s="13">
        <v>9</v>
      </c>
      <c r="L1826" s="14">
        <v>5393</v>
      </c>
      <c r="M1826" s="10">
        <v>500</v>
      </c>
      <c r="N1826" s="10">
        <v>595935</v>
      </c>
      <c r="O1826" s="10">
        <v>39211</v>
      </c>
      <c r="P1826" s="10">
        <v>635146</v>
      </c>
    </row>
    <row r="1827" spans="1:16" ht="27" customHeight="1" x14ac:dyDescent="0.2">
      <c r="A1827" s="9" t="s">
        <v>6368</v>
      </c>
      <c r="B1827" s="10" t="s">
        <v>6687</v>
      </c>
      <c r="C1827" s="11" t="s">
        <v>18</v>
      </c>
      <c r="D1827" s="11" t="s">
        <v>19</v>
      </c>
      <c r="E1827" s="11" t="s">
        <v>19</v>
      </c>
      <c r="F1827" s="11" t="s">
        <v>6688</v>
      </c>
      <c r="G1827" s="11" t="s">
        <v>83</v>
      </c>
      <c r="H1827" s="11" t="s">
        <v>6689</v>
      </c>
      <c r="I1827" s="11" t="s">
        <v>6690</v>
      </c>
      <c r="J1827" s="12">
        <v>0.5423</v>
      </c>
      <c r="K1827" s="13">
        <v>16</v>
      </c>
      <c r="L1827" s="14">
        <v>10051</v>
      </c>
      <c r="M1827" s="10">
        <v>2848</v>
      </c>
      <c r="N1827" s="10">
        <v>1110652</v>
      </c>
      <c r="O1827" s="10">
        <v>223339</v>
      </c>
      <c r="P1827" s="10">
        <v>1333991</v>
      </c>
    </row>
    <row r="1828" spans="1:16" ht="27" customHeight="1" x14ac:dyDescent="0.2">
      <c r="A1828" s="9" t="s">
        <v>6368</v>
      </c>
      <c r="B1828" s="10" t="s">
        <v>6691</v>
      </c>
      <c r="C1828" s="11" t="s">
        <v>6692</v>
      </c>
      <c r="D1828" s="11" t="s">
        <v>6693</v>
      </c>
      <c r="E1828" s="11" t="s">
        <v>26</v>
      </c>
      <c r="F1828" s="11" t="s">
        <v>6694</v>
      </c>
      <c r="G1828" s="11" t="s">
        <v>28</v>
      </c>
      <c r="H1828" s="11" t="s">
        <v>6371</v>
      </c>
      <c r="I1828" s="11" t="s">
        <v>6372</v>
      </c>
      <c r="J1828" s="12">
        <v>0.91559999999999997</v>
      </c>
      <c r="K1828" s="13">
        <v>1</v>
      </c>
      <c r="L1828" s="14">
        <v>338</v>
      </c>
      <c r="M1828" s="10">
        <v>250</v>
      </c>
      <c r="N1828" s="10">
        <v>37350</v>
      </c>
      <c r="O1828" s="10">
        <v>19605</v>
      </c>
      <c r="P1828" s="10">
        <v>56955</v>
      </c>
    </row>
    <row r="1829" spans="1:16" ht="27" customHeight="1" x14ac:dyDescent="0.2">
      <c r="A1829" s="9" t="s">
        <v>6695</v>
      </c>
      <c r="B1829" s="10" t="s">
        <v>6696</v>
      </c>
      <c r="C1829" s="11" t="s">
        <v>18</v>
      </c>
      <c r="D1829" s="11" t="s">
        <v>19</v>
      </c>
      <c r="E1829" s="11" t="s">
        <v>19</v>
      </c>
      <c r="F1829" s="11" t="s">
        <v>6697</v>
      </c>
      <c r="G1829" s="11" t="s">
        <v>21</v>
      </c>
      <c r="H1829" s="11" t="s">
        <v>6698</v>
      </c>
      <c r="I1829" s="11" t="s">
        <v>6699</v>
      </c>
      <c r="J1829" s="12">
        <v>0.97509999999999997</v>
      </c>
      <c r="K1829" s="13">
        <v>4</v>
      </c>
      <c r="L1829" s="14">
        <v>917</v>
      </c>
      <c r="M1829" s="10">
        <v>449</v>
      </c>
      <c r="N1829" s="10">
        <v>101331</v>
      </c>
      <c r="O1829" s="10">
        <v>35210</v>
      </c>
      <c r="P1829" s="10">
        <v>136541</v>
      </c>
    </row>
    <row r="1830" spans="1:16" ht="27" customHeight="1" x14ac:dyDescent="0.2">
      <c r="A1830" s="9" t="s">
        <v>6695</v>
      </c>
      <c r="B1830" s="10" t="s">
        <v>6696</v>
      </c>
      <c r="C1830" s="11" t="s">
        <v>6700</v>
      </c>
      <c r="D1830" s="11" t="s">
        <v>6701</v>
      </c>
      <c r="E1830" s="11" t="s">
        <v>57</v>
      </c>
      <c r="F1830" s="11" t="s">
        <v>6702</v>
      </c>
      <c r="G1830" s="11" t="s">
        <v>28</v>
      </c>
      <c r="H1830" s="11" t="s">
        <v>6698</v>
      </c>
      <c r="I1830" s="11" t="s">
        <v>6699</v>
      </c>
      <c r="J1830" s="12">
        <v>0.97509999999999997</v>
      </c>
      <c r="K1830" s="13">
        <v>1</v>
      </c>
      <c r="L1830" s="14">
        <v>163</v>
      </c>
      <c r="M1830" s="10">
        <v>22</v>
      </c>
      <c r="N1830" s="10">
        <v>18012</v>
      </c>
      <c r="O1830" s="10">
        <v>1725</v>
      </c>
      <c r="P1830" s="10">
        <v>19737</v>
      </c>
    </row>
    <row r="1831" spans="1:16" ht="27" customHeight="1" x14ac:dyDescent="0.2">
      <c r="A1831" s="9" t="s">
        <v>6695</v>
      </c>
      <c r="B1831" s="10" t="s">
        <v>6696</v>
      </c>
      <c r="C1831" s="11" t="s">
        <v>6703</v>
      </c>
      <c r="D1831" s="11" t="s">
        <v>6704</v>
      </c>
      <c r="E1831" s="11" t="s">
        <v>26</v>
      </c>
      <c r="F1831" s="11" t="s">
        <v>6705</v>
      </c>
      <c r="G1831" s="11" t="s">
        <v>28</v>
      </c>
      <c r="H1831" s="11" t="s">
        <v>6698</v>
      </c>
      <c r="I1831" s="11" t="s">
        <v>6699</v>
      </c>
      <c r="J1831" s="12">
        <v>0.97509999999999997</v>
      </c>
      <c r="K1831" s="13">
        <v>1</v>
      </c>
      <c r="L1831" s="14">
        <v>533</v>
      </c>
      <c r="M1831" s="10">
        <v>48</v>
      </c>
      <c r="N1831" s="10">
        <v>58897</v>
      </c>
      <c r="O1831" s="10">
        <v>3764</v>
      </c>
      <c r="P1831" s="10">
        <v>62661</v>
      </c>
    </row>
    <row r="1832" spans="1:16" ht="27" customHeight="1" x14ac:dyDescent="0.2">
      <c r="A1832" s="9" t="s">
        <v>6695</v>
      </c>
      <c r="B1832" s="10" t="s">
        <v>6706</v>
      </c>
      <c r="C1832" s="11" t="s">
        <v>18</v>
      </c>
      <c r="D1832" s="11" t="s">
        <v>19</v>
      </c>
      <c r="E1832" s="11" t="s">
        <v>19</v>
      </c>
      <c r="F1832" s="11" t="s">
        <v>6707</v>
      </c>
      <c r="G1832" s="11" t="s">
        <v>83</v>
      </c>
      <c r="H1832" s="11" t="s">
        <v>6708</v>
      </c>
      <c r="I1832" s="11" t="s">
        <v>6709</v>
      </c>
      <c r="J1832" s="12">
        <v>0.13039999999999999</v>
      </c>
      <c r="K1832" s="13">
        <v>2</v>
      </c>
      <c r="L1832" s="14">
        <v>115</v>
      </c>
      <c r="M1832" s="10">
        <v>15</v>
      </c>
      <c r="N1832" s="10">
        <v>12708</v>
      </c>
      <c r="O1832" s="10">
        <v>1176</v>
      </c>
      <c r="P1832" s="10">
        <v>13884</v>
      </c>
    </row>
    <row r="1833" spans="1:16" ht="27" customHeight="1" x14ac:dyDescent="0.2">
      <c r="A1833" s="9" t="s">
        <v>6695</v>
      </c>
      <c r="B1833" s="10" t="s">
        <v>6710</v>
      </c>
      <c r="C1833" s="11" t="s">
        <v>18</v>
      </c>
      <c r="D1833" s="11" t="s">
        <v>19</v>
      </c>
      <c r="E1833" s="11" t="s">
        <v>19</v>
      </c>
      <c r="F1833" s="11" t="s">
        <v>6711</v>
      </c>
      <c r="G1833" s="11" t="s">
        <v>83</v>
      </c>
      <c r="H1833" s="11" t="s">
        <v>6711</v>
      </c>
      <c r="I1833" s="11" t="s">
        <v>6712</v>
      </c>
      <c r="J1833" s="12">
        <v>0.1</v>
      </c>
      <c r="K1833" s="13">
        <v>2</v>
      </c>
      <c r="L1833" s="14">
        <v>120</v>
      </c>
      <c r="M1833" s="10">
        <v>12</v>
      </c>
      <c r="N1833" s="10">
        <v>13260</v>
      </c>
      <c r="O1833" s="10">
        <v>941</v>
      </c>
      <c r="P1833" s="10">
        <v>14201</v>
      </c>
    </row>
    <row r="1834" spans="1:16" ht="27" customHeight="1" x14ac:dyDescent="0.2">
      <c r="A1834" s="9" t="s">
        <v>6695</v>
      </c>
      <c r="B1834" s="10" t="s">
        <v>6713</v>
      </c>
      <c r="C1834" s="11" t="s">
        <v>18</v>
      </c>
      <c r="D1834" s="11" t="s">
        <v>19</v>
      </c>
      <c r="E1834" s="11" t="s">
        <v>19</v>
      </c>
      <c r="F1834" s="11" t="s">
        <v>6714</v>
      </c>
      <c r="G1834" s="11" t="s">
        <v>83</v>
      </c>
      <c r="H1834" s="11" t="s">
        <v>6071</v>
      </c>
      <c r="I1834" s="11" t="s">
        <v>6715</v>
      </c>
      <c r="J1834" s="12">
        <v>0.50290000000000001</v>
      </c>
      <c r="K1834" s="13">
        <v>7</v>
      </c>
      <c r="L1834" s="14">
        <v>1599</v>
      </c>
      <c r="M1834" s="10">
        <v>840</v>
      </c>
      <c r="N1834" s="10">
        <v>176692</v>
      </c>
      <c r="O1834" s="10">
        <v>65871</v>
      </c>
      <c r="P1834" s="10">
        <v>242563</v>
      </c>
    </row>
    <row r="1835" spans="1:16" ht="27" customHeight="1" x14ac:dyDescent="0.2">
      <c r="A1835" s="9" t="s">
        <v>6695</v>
      </c>
      <c r="B1835" s="10" t="s">
        <v>6713</v>
      </c>
      <c r="C1835" s="11" t="s">
        <v>6716</v>
      </c>
      <c r="D1835" s="11" t="s">
        <v>6717</v>
      </c>
      <c r="E1835" s="11" t="s">
        <v>57</v>
      </c>
      <c r="F1835" s="11" t="s">
        <v>6718</v>
      </c>
      <c r="G1835" s="11" t="s">
        <v>28</v>
      </c>
      <c r="H1835" s="11" t="s">
        <v>6718</v>
      </c>
      <c r="I1835" s="11" t="s">
        <v>6719</v>
      </c>
      <c r="J1835" s="12">
        <v>0.28389999999999999</v>
      </c>
      <c r="K1835" s="13">
        <v>1</v>
      </c>
      <c r="L1835" s="14">
        <v>155</v>
      </c>
      <c r="M1835" s="10">
        <v>44</v>
      </c>
      <c r="N1835" s="10">
        <v>17128</v>
      </c>
      <c r="O1835" s="10">
        <v>3450</v>
      </c>
      <c r="P1835" s="10">
        <v>20578</v>
      </c>
    </row>
    <row r="1836" spans="1:16" ht="27" customHeight="1" x14ac:dyDescent="0.2">
      <c r="A1836" s="9" t="s">
        <v>6695</v>
      </c>
      <c r="B1836" s="10" t="s">
        <v>6720</v>
      </c>
      <c r="C1836" s="11" t="s">
        <v>18</v>
      </c>
      <c r="D1836" s="11" t="s">
        <v>19</v>
      </c>
      <c r="E1836" s="11" t="s">
        <v>19</v>
      </c>
      <c r="F1836" s="11" t="s">
        <v>6721</v>
      </c>
      <c r="G1836" s="11" t="s">
        <v>83</v>
      </c>
      <c r="H1836" s="11" t="s">
        <v>6721</v>
      </c>
      <c r="I1836" s="11" t="s">
        <v>6722</v>
      </c>
      <c r="J1836" s="12">
        <v>0.1938</v>
      </c>
      <c r="K1836" s="13">
        <v>2</v>
      </c>
      <c r="L1836" s="14">
        <v>161</v>
      </c>
      <c r="M1836" s="10">
        <v>31</v>
      </c>
      <c r="N1836" s="10">
        <v>17791</v>
      </c>
      <c r="O1836" s="10">
        <v>2431</v>
      </c>
      <c r="P1836" s="10">
        <v>20222</v>
      </c>
    </row>
    <row r="1837" spans="1:16" ht="27" customHeight="1" x14ac:dyDescent="0.2">
      <c r="A1837" s="9" t="s">
        <v>6695</v>
      </c>
      <c r="B1837" s="10" t="s">
        <v>6723</v>
      </c>
      <c r="C1837" s="11" t="s">
        <v>18</v>
      </c>
      <c r="D1837" s="11" t="s">
        <v>19</v>
      </c>
      <c r="E1837" s="11" t="s">
        <v>19</v>
      </c>
      <c r="F1837" s="11" t="s">
        <v>6724</v>
      </c>
      <c r="G1837" s="11" t="s">
        <v>83</v>
      </c>
      <c r="H1837" s="11" t="s">
        <v>6724</v>
      </c>
      <c r="I1837" s="11" t="s">
        <v>6725</v>
      </c>
      <c r="J1837" s="12">
        <v>0.35060000000000002</v>
      </c>
      <c r="K1837" s="13">
        <v>2</v>
      </c>
      <c r="L1837" s="14">
        <v>165</v>
      </c>
      <c r="M1837" s="10">
        <v>58</v>
      </c>
      <c r="N1837" s="10">
        <v>18233</v>
      </c>
      <c r="O1837" s="10">
        <v>4549</v>
      </c>
      <c r="P1837" s="10">
        <v>22782</v>
      </c>
    </row>
    <row r="1838" spans="1:16" ht="27" customHeight="1" x14ac:dyDescent="0.2">
      <c r="A1838" s="9" t="s">
        <v>6695</v>
      </c>
      <c r="B1838" s="10" t="s">
        <v>6726</v>
      </c>
      <c r="C1838" s="11" t="s">
        <v>18</v>
      </c>
      <c r="D1838" s="11" t="s">
        <v>19</v>
      </c>
      <c r="E1838" s="11" t="s">
        <v>19</v>
      </c>
      <c r="F1838" s="11" t="s">
        <v>6727</v>
      </c>
      <c r="G1838" s="11" t="s">
        <v>83</v>
      </c>
      <c r="H1838" s="11" t="s">
        <v>6698</v>
      </c>
      <c r="I1838" s="11" t="s">
        <v>6699</v>
      </c>
      <c r="J1838" s="12">
        <v>0.97509999999999997</v>
      </c>
      <c r="K1838" s="13">
        <v>30</v>
      </c>
      <c r="L1838" s="14">
        <v>16292</v>
      </c>
      <c r="M1838" s="10">
        <v>13410</v>
      </c>
      <c r="N1838" s="10">
        <v>1800295</v>
      </c>
      <c r="O1838" s="10">
        <v>1051598</v>
      </c>
      <c r="P1838" s="10">
        <v>2851893</v>
      </c>
    </row>
    <row r="1839" spans="1:16" ht="27" customHeight="1" x14ac:dyDescent="0.2">
      <c r="A1839" s="9" t="s">
        <v>6695</v>
      </c>
      <c r="B1839" s="10" t="s">
        <v>6726</v>
      </c>
      <c r="C1839" s="11" t="s">
        <v>6728</v>
      </c>
      <c r="D1839" s="11" t="s">
        <v>6729</v>
      </c>
      <c r="E1839" s="11" t="s">
        <v>26</v>
      </c>
      <c r="F1839" s="11" t="s">
        <v>6730</v>
      </c>
      <c r="G1839" s="11" t="s">
        <v>28</v>
      </c>
      <c r="H1839" s="11" t="s">
        <v>6730</v>
      </c>
      <c r="I1839" s="11" t="s">
        <v>6731</v>
      </c>
      <c r="J1839" s="12">
        <v>0.7671</v>
      </c>
      <c r="K1839" s="13">
        <v>1</v>
      </c>
      <c r="L1839" s="14">
        <v>511</v>
      </c>
      <c r="M1839" s="10">
        <v>392</v>
      </c>
      <c r="N1839" s="10">
        <v>56466</v>
      </c>
      <c r="O1839" s="10">
        <v>30740</v>
      </c>
      <c r="P1839" s="10">
        <v>87206</v>
      </c>
    </row>
    <row r="1840" spans="1:16" ht="27" customHeight="1" x14ac:dyDescent="0.2">
      <c r="A1840" s="9" t="s">
        <v>6695</v>
      </c>
      <c r="B1840" s="10" t="s">
        <v>6726</v>
      </c>
      <c r="C1840" s="11" t="s">
        <v>6732</v>
      </c>
      <c r="D1840" s="11" t="s">
        <v>6733</v>
      </c>
      <c r="E1840" s="11" t="s">
        <v>57</v>
      </c>
      <c r="F1840" s="11" t="s">
        <v>6734</v>
      </c>
      <c r="G1840" s="11" t="s">
        <v>28</v>
      </c>
      <c r="H1840" s="11" t="s">
        <v>6734</v>
      </c>
      <c r="I1840" s="11" t="s">
        <v>6735</v>
      </c>
      <c r="J1840" s="12">
        <v>0.59389999999999998</v>
      </c>
      <c r="K1840" s="13">
        <v>1</v>
      </c>
      <c r="L1840" s="14">
        <v>165</v>
      </c>
      <c r="M1840" s="10">
        <v>98</v>
      </c>
      <c r="N1840" s="10">
        <v>18233</v>
      </c>
      <c r="O1840" s="10">
        <v>7685</v>
      </c>
      <c r="P1840" s="10">
        <v>25918</v>
      </c>
    </row>
    <row r="1841" spans="1:16" ht="27" customHeight="1" x14ac:dyDescent="0.2">
      <c r="A1841" s="9" t="s">
        <v>6695</v>
      </c>
      <c r="B1841" s="10" t="s">
        <v>6726</v>
      </c>
      <c r="C1841" s="11" t="s">
        <v>6736</v>
      </c>
      <c r="D1841" s="11" t="s">
        <v>6737</v>
      </c>
      <c r="E1841" s="11" t="s">
        <v>57</v>
      </c>
      <c r="F1841" s="11" t="s">
        <v>6738</v>
      </c>
      <c r="G1841" s="11" t="s">
        <v>28</v>
      </c>
      <c r="H1841" s="11" t="s">
        <v>6698</v>
      </c>
      <c r="I1841" s="11" t="s">
        <v>6699</v>
      </c>
      <c r="J1841" s="12">
        <v>0.97509999999999997</v>
      </c>
      <c r="K1841" s="13">
        <v>1</v>
      </c>
      <c r="L1841" s="14">
        <v>83</v>
      </c>
      <c r="M1841" s="10">
        <v>63</v>
      </c>
      <c r="N1841" s="10">
        <v>9172</v>
      </c>
      <c r="O1841" s="10">
        <v>4940</v>
      </c>
      <c r="P1841" s="10">
        <v>14112</v>
      </c>
    </row>
    <row r="1842" spans="1:16" ht="27" customHeight="1" x14ac:dyDescent="0.2">
      <c r="A1842" s="9" t="s">
        <v>6695</v>
      </c>
      <c r="B1842" s="10" t="s">
        <v>6726</v>
      </c>
      <c r="C1842" s="11" t="s">
        <v>6739</v>
      </c>
      <c r="D1842" s="11" t="s">
        <v>6740</v>
      </c>
      <c r="E1842" s="11" t="s">
        <v>57</v>
      </c>
      <c r="F1842" s="11" t="s">
        <v>6741</v>
      </c>
      <c r="G1842" s="11" t="s">
        <v>28</v>
      </c>
      <c r="H1842" s="11" t="s">
        <v>6741</v>
      </c>
      <c r="I1842" s="11" t="s">
        <v>6742</v>
      </c>
      <c r="J1842" s="12">
        <v>0.61780000000000002</v>
      </c>
      <c r="K1842" s="13">
        <v>1</v>
      </c>
      <c r="L1842" s="14">
        <v>259</v>
      </c>
      <c r="M1842" s="10">
        <v>160</v>
      </c>
      <c r="N1842" s="10">
        <v>28620</v>
      </c>
      <c r="O1842" s="10">
        <v>12547</v>
      </c>
      <c r="P1842" s="10">
        <v>41167</v>
      </c>
    </row>
    <row r="1843" spans="1:16" ht="27" customHeight="1" x14ac:dyDescent="0.2">
      <c r="A1843" s="9" t="s">
        <v>6695</v>
      </c>
      <c r="B1843" s="10" t="s">
        <v>6726</v>
      </c>
      <c r="C1843" s="11" t="s">
        <v>6743</v>
      </c>
      <c r="D1843" s="11" t="s">
        <v>6744</v>
      </c>
      <c r="E1843" s="11" t="s">
        <v>57</v>
      </c>
      <c r="F1843" s="11" t="s">
        <v>6745</v>
      </c>
      <c r="G1843" s="11" t="s">
        <v>28</v>
      </c>
      <c r="H1843" s="11" t="s">
        <v>6745</v>
      </c>
      <c r="I1843" s="11" t="s">
        <v>6746</v>
      </c>
      <c r="J1843" s="12">
        <v>0.79530000000000001</v>
      </c>
      <c r="K1843" s="13">
        <v>1</v>
      </c>
      <c r="L1843" s="14">
        <v>640</v>
      </c>
      <c r="M1843" s="10">
        <v>509</v>
      </c>
      <c r="N1843" s="10">
        <v>70721</v>
      </c>
      <c r="O1843" s="10">
        <v>39915</v>
      </c>
      <c r="P1843" s="10">
        <v>110636</v>
      </c>
    </row>
    <row r="1844" spans="1:16" ht="27" customHeight="1" x14ac:dyDescent="0.2">
      <c r="A1844" s="9" t="s">
        <v>6695</v>
      </c>
      <c r="B1844" s="10" t="s">
        <v>6726</v>
      </c>
      <c r="C1844" s="11" t="s">
        <v>6747</v>
      </c>
      <c r="D1844" s="11" t="s">
        <v>6748</v>
      </c>
      <c r="E1844" s="11" t="s">
        <v>57</v>
      </c>
      <c r="F1844" s="11" t="s">
        <v>6749</v>
      </c>
      <c r="G1844" s="11" t="s">
        <v>28</v>
      </c>
      <c r="H1844" s="11" t="s">
        <v>6749</v>
      </c>
      <c r="I1844" s="11" t="s">
        <v>6750</v>
      </c>
      <c r="J1844" s="12">
        <v>0.5948</v>
      </c>
      <c r="K1844" s="13">
        <v>1</v>
      </c>
      <c r="L1844" s="14">
        <v>385</v>
      </c>
      <c r="M1844" s="10">
        <v>229</v>
      </c>
      <c r="N1844" s="10">
        <v>42543</v>
      </c>
      <c r="O1844" s="10">
        <v>17958</v>
      </c>
      <c r="P1844" s="10">
        <v>60501</v>
      </c>
    </row>
    <row r="1845" spans="1:16" ht="27" customHeight="1" x14ac:dyDescent="0.2">
      <c r="A1845" s="9" t="s">
        <v>6695</v>
      </c>
      <c r="B1845" s="10" t="s">
        <v>6751</v>
      </c>
      <c r="C1845" s="11" t="s">
        <v>18</v>
      </c>
      <c r="D1845" s="11" t="s">
        <v>19</v>
      </c>
      <c r="E1845" s="11" t="s">
        <v>19</v>
      </c>
      <c r="F1845" s="11" t="s">
        <v>6752</v>
      </c>
      <c r="G1845" s="11" t="s">
        <v>83</v>
      </c>
      <c r="H1845" s="11" t="s">
        <v>6753</v>
      </c>
      <c r="I1845" s="11" t="s">
        <v>6754</v>
      </c>
      <c r="J1845" s="12">
        <v>0.3261</v>
      </c>
      <c r="K1845" s="13">
        <v>6</v>
      </c>
      <c r="L1845" s="14">
        <v>2097</v>
      </c>
      <c r="M1845" s="10">
        <v>516</v>
      </c>
      <c r="N1845" s="10">
        <v>231723</v>
      </c>
      <c r="O1845" s="10">
        <v>40464</v>
      </c>
      <c r="P1845" s="10">
        <v>272187</v>
      </c>
    </row>
    <row r="1846" spans="1:16" ht="27" customHeight="1" x14ac:dyDescent="0.2">
      <c r="A1846" s="9" t="s">
        <v>6695</v>
      </c>
      <c r="B1846" s="10" t="s">
        <v>6751</v>
      </c>
      <c r="C1846" s="11" t="s">
        <v>6755</v>
      </c>
      <c r="D1846" s="11" t="s">
        <v>6756</v>
      </c>
      <c r="E1846" s="11" t="s">
        <v>26</v>
      </c>
      <c r="F1846" s="11" t="s">
        <v>6757</v>
      </c>
      <c r="G1846" s="11" t="s">
        <v>28</v>
      </c>
      <c r="H1846" s="11" t="s">
        <v>6757</v>
      </c>
      <c r="I1846" s="11" t="s">
        <v>6758</v>
      </c>
      <c r="J1846" s="12">
        <v>0.24640000000000001</v>
      </c>
      <c r="K1846" s="13">
        <v>1</v>
      </c>
      <c r="L1846" s="14">
        <v>3023</v>
      </c>
      <c r="M1846" s="10">
        <v>745</v>
      </c>
      <c r="N1846" s="10">
        <v>334046</v>
      </c>
      <c r="O1846" s="10">
        <v>58422</v>
      </c>
      <c r="P1846" s="10">
        <v>392468</v>
      </c>
    </row>
    <row r="1847" spans="1:16" ht="27" customHeight="1" x14ac:dyDescent="0.2">
      <c r="A1847" s="9" t="s">
        <v>6695</v>
      </c>
      <c r="B1847" s="10" t="s">
        <v>6751</v>
      </c>
      <c r="C1847" s="11" t="s">
        <v>6759</v>
      </c>
      <c r="D1847" s="11" t="s">
        <v>6760</v>
      </c>
      <c r="E1847" s="11" t="s">
        <v>57</v>
      </c>
      <c r="F1847" s="11" t="s">
        <v>6761</v>
      </c>
      <c r="G1847" s="11" t="s">
        <v>28</v>
      </c>
      <c r="H1847" s="11" t="s">
        <v>6761</v>
      </c>
      <c r="I1847" s="11" t="s">
        <v>6762</v>
      </c>
      <c r="J1847" s="12">
        <v>0.25929999999999997</v>
      </c>
      <c r="K1847" s="13">
        <v>1</v>
      </c>
      <c r="L1847" s="14">
        <v>297</v>
      </c>
      <c r="M1847" s="10">
        <v>77</v>
      </c>
      <c r="N1847" s="10">
        <v>32819</v>
      </c>
      <c r="O1847" s="10">
        <v>6038</v>
      </c>
      <c r="P1847" s="10">
        <v>38857</v>
      </c>
    </row>
    <row r="1848" spans="1:16" ht="27" customHeight="1" x14ac:dyDescent="0.2">
      <c r="A1848" s="9" t="s">
        <v>6695</v>
      </c>
      <c r="B1848" s="10" t="s">
        <v>6763</v>
      </c>
      <c r="C1848" s="11" t="s">
        <v>18</v>
      </c>
      <c r="D1848" s="11" t="s">
        <v>19</v>
      </c>
      <c r="E1848" s="11" t="s">
        <v>19</v>
      </c>
      <c r="F1848" s="11" t="s">
        <v>6764</v>
      </c>
      <c r="G1848" s="11" t="s">
        <v>83</v>
      </c>
      <c r="H1848" s="11" t="s">
        <v>6765</v>
      </c>
      <c r="I1848" s="11" t="s">
        <v>6766</v>
      </c>
      <c r="J1848" s="12">
        <v>0.63549999999999995</v>
      </c>
      <c r="K1848" s="13">
        <v>6</v>
      </c>
      <c r="L1848" s="14">
        <v>1764</v>
      </c>
      <c r="M1848" s="10">
        <v>635</v>
      </c>
      <c r="N1848" s="10">
        <v>194926</v>
      </c>
      <c r="O1848" s="10">
        <v>49797</v>
      </c>
      <c r="P1848" s="10">
        <v>244723</v>
      </c>
    </row>
    <row r="1849" spans="1:16" ht="27" customHeight="1" x14ac:dyDescent="0.2">
      <c r="A1849" s="9" t="s">
        <v>6695</v>
      </c>
      <c r="B1849" s="10" t="s">
        <v>6767</v>
      </c>
      <c r="C1849" s="11" t="s">
        <v>18</v>
      </c>
      <c r="D1849" s="11" t="s">
        <v>19</v>
      </c>
      <c r="E1849" s="11" t="s">
        <v>19</v>
      </c>
      <c r="F1849" s="11" t="s">
        <v>6768</v>
      </c>
      <c r="G1849" s="11" t="s">
        <v>83</v>
      </c>
      <c r="H1849" s="11" t="s">
        <v>6698</v>
      </c>
      <c r="I1849" s="11" t="s">
        <v>6699</v>
      </c>
      <c r="J1849" s="12">
        <v>0.97509999999999997</v>
      </c>
      <c r="K1849" s="13">
        <v>9</v>
      </c>
      <c r="L1849" s="14">
        <v>4267</v>
      </c>
      <c r="M1849" s="10">
        <v>1359</v>
      </c>
      <c r="N1849" s="10">
        <v>471511</v>
      </c>
      <c r="O1849" s="10">
        <v>106571</v>
      </c>
      <c r="P1849" s="10">
        <v>578082</v>
      </c>
    </row>
    <row r="1850" spans="1:16" ht="27" customHeight="1" x14ac:dyDescent="0.2">
      <c r="A1850" s="9" t="s">
        <v>6695</v>
      </c>
      <c r="B1850" s="10" t="s">
        <v>6767</v>
      </c>
      <c r="C1850" s="11" t="s">
        <v>6769</v>
      </c>
      <c r="D1850" s="11" t="s">
        <v>6770</v>
      </c>
      <c r="E1850" s="11" t="s">
        <v>57</v>
      </c>
      <c r="F1850" s="11" t="s">
        <v>5916</v>
      </c>
      <c r="G1850" s="11" t="s">
        <v>28</v>
      </c>
      <c r="H1850" s="11" t="s">
        <v>6698</v>
      </c>
      <c r="I1850" s="11" t="s">
        <v>6699</v>
      </c>
      <c r="J1850" s="12">
        <v>0.97509999999999997</v>
      </c>
      <c r="K1850" s="13">
        <v>1</v>
      </c>
      <c r="L1850" s="14">
        <v>116</v>
      </c>
      <c r="M1850" s="10">
        <v>40</v>
      </c>
      <c r="N1850" s="10">
        <v>12818</v>
      </c>
      <c r="O1850" s="10">
        <v>3137</v>
      </c>
      <c r="P1850" s="10">
        <v>15955</v>
      </c>
    </row>
    <row r="1851" spans="1:16" ht="27" customHeight="1" x14ac:dyDescent="0.2">
      <c r="A1851" s="9" t="s">
        <v>6695</v>
      </c>
      <c r="B1851" s="10" t="s">
        <v>6771</v>
      </c>
      <c r="C1851" s="11" t="s">
        <v>18</v>
      </c>
      <c r="D1851" s="11" t="s">
        <v>19</v>
      </c>
      <c r="E1851" s="11" t="s">
        <v>19</v>
      </c>
      <c r="F1851" s="11" t="s">
        <v>6772</v>
      </c>
      <c r="G1851" s="11" t="s">
        <v>83</v>
      </c>
      <c r="H1851" s="11" t="s">
        <v>6773</v>
      </c>
      <c r="I1851" s="11" t="s">
        <v>6774</v>
      </c>
      <c r="J1851" s="12">
        <v>0.3911</v>
      </c>
      <c r="K1851" s="13">
        <v>6</v>
      </c>
      <c r="L1851" s="14">
        <v>1667</v>
      </c>
      <c r="M1851" s="10">
        <v>513</v>
      </c>
      <c r="N1851" s="10">
        <v>184207</v>
      </c>
      <c r="O1851" s="10">
        <v>40229</v>
      </c>
      <c r="P1851" s="10">
        <v>224436</v>
      </c>
    </row>
    <row r="1852" spans="1:16" ht="27" customHeight="1" x14ac:dyDescent="0.2">
      <c r="A1852" s="9" t="s">
        <v>6695</v>
      </c>
      <c r="B1852" s="10" t="s">
        <v>6775</v>
      </c>
      <c r="C1852" s="11" t="s">
        <v>18</v>
      </c>
      <c r="D1852" s="11" t="s">
        <v>19</v>
      </c>
      <c r="E1852" s="11" t="s">
        <v>19</v>
      </c>
      <c r="F1852" s="11" t="s">
        <v>6776</v>
      </c>
      <c r="G1852" s="11" t="s">
        <v>83</v>
      </c>
      <c r="H1852" s="11" t="s">
        <v>6777</v>
      </c>
      <c r="I1852" s="11" t="s">
        <v>6778</v>
      </c>
      <c r="J1852" s="12">
        <v>0.11849999999999999</v>
      </c>
      <c r="K1852" s="13">
        <v>5</v>
      </c>
      <c r="L1852" s="14">
        <v>2173</v>
      </c>
      <c r="M1852" s="10">
        <v>230</v>
      </c>
      <c r="N1852" s="10">
        <v>240120</v>
      </c>
      <c r="O1852" s="10">
        <v>18035</v>
      </c>
      <c r="P1852" s="10">
        <v>258155</v>
      </c>
    </row>
    <row r="1853" spans="1:16" ht="27" customHeight="1" x14ac:dyDescent="0.2">
      <c r="A1853" s="9" t="s">
        <v>6695</v>
      </c>
      <c r="B1853" s="10" t="s">
        <v>6775</v>
      </c>
      <c r="C1853" s="11" t="s">
        <v>6779</v>
      </c>
      <c r="D1853" s="11" t="s">
        <v>6780</v>
      </c>
      <c r="E1853" s="11" t="s">
        <v>26</v>
      </c>
      <c r="F1853" s="11" t="s">
        <v>6781</v>
      </c>
      <c r="G1853" s="11" t="s">
        <v>28</v>
      </c>
      <c r="H1853" s="11" t="s">
        <v>6781</v>
      </c>
      <c r="I1853" s="11" t="s">
        <v>6782</v>
      </c>
      <c r="J1853" s="12">
        <v>0.36130000000000001</v>
      </c>
      <c r="K1853" s="13">
        <v>1</v>
      </c>
      <c r="L1853" s="14">
        <v>476</v>
      </c>
      <c r="M1853" s="10">
        <v>172</v>
      </c>
      <c r="N1853" s="10">
        <v>52599</v>
      </c>
      <c r="O1853" s="10">
        <v>13488</v>
      </c>
      <c r="P1853" s="10">
        <v>66087</v>
      </c>
    </row>
    <row r="1854" spans="1:16" ht="27" customHeight="1" x14ac:dyDescent="0.2">
      <c r="A1854" s="9" t="s">
        <v>6695</v>
      </c>
      <c r="B1854" s="10" t="s">
        <v>6783</v>
      </c>
      <c r="C1854" s="11" t="s">
        <v>6784</v>
      </c>
      <c r="D1854" s="11" t="s">
        <v>6785</v>
      </c>
      <c r="E1854" s="11" t="s">
        <v>26</v>
      </c>
      <c r="F1854" s="11" t="s">
        <v>6786</v>
      </c>
      <c r="G1854" s="11" t="s">
        <v>28</v>
      </c>
      <c r="H1854" s="11" t="s">
        <v>6786</v>
      </c>
      <c r="I1854" s="11" t="s">
        <v>6787</v>
      </c>
      <c r="J1854" s="12">
        <v>0.66920000000000002</v>
      </c>
      <c r="K1854" s="13">
        <v>1</v>
      </c>
      <c r="L1854" s="14">
        <v>396</v>
      </c>
      <c r="M1854" s="10">
        <v>265</v>
      </c>
      <c r="N1854" s="10">
        <v>43759</v>
      </c>
      <c r="O1854" s="10">
        <v>20781</v>
      </c>
      <c r="P1854" s="10">
        <v>64540</v>
      </c>
    </row>
    <row r="1855" spans="1:16" ht="27" customHeight="1" x14ac:dyDescent="0.2">
      <c r="A1855" s="9" t="s">
        <v>6788</v>
      </c>
      <c r="B1855" s="10" t="s">
        <v>6789</v>
      </c>
      <c r="C1855" s="11" t="s">
        <v>18</v>
      </c>
      <c r="D1855" s="11" t="s">
        <v>19</v>
      </c>
      <c r="E1855" s="11" t="s">
        <v>19</v>
      </c>
      <c r="F1855" s="11" t="s">
        <v>6790</v>
      </c>
      <c r="G1855" s="11" t="s">
        <v>21</v>
      </c>
      <c r="H1855" s="11" t="s">
        <v>6791</v>
      </c>
      <c r="I1855" s="11" t="s">
        <v>6792</v>
      </c>
      <c r="J1855" s="12">
        <v>0.9</v>
      </c>
      <c r="K1855" s="13">
        <v>5</v>
      </c>
      <c r="L1855" s="14">
        <v>426</v>
      </c>
      <c r="M1855" s="10">
        <v>381</v>
      </c>
      <c r="N1855" s="10">
        <v>47074</v>
      </c>
      <c r="O1855" s="10">
        <v>29878</v>
      </c>
      <c r="P1855" s="10">
        <v>76952</v>
      </c>
    </row>
    <row r="1856" spans="1:16" ht="27" customHeight="1" x14ac:dyDescent="0.2">
      <c r="A1856" s="9" t="s">
        <v>6788</v>
      </c>
      <c r="B1856" s="10" t="s">
        <v>6789</v>
      </c>
      <c r="C1856" s="11" t="s">
        <v>6793</v>
      </c>
      <c r="D1856" s="11" t="s">
        <v>6794</v>
      </c>
      <c r="E1856" s="11" t="s">
        <v>26</v>
      </c>
      <c r="F1856" s="11" t="s">
        <v>6795</v>
      </c>
      <c r="G1856" s="11" t="s">
        <v>28</v>
      </c>
      <c r="H1856" s="11" t="s">
        <v>6795</v>
      </c>
      <c r="I1856" s="11" t="s">
        <v>6796</v>
      </c>
      <c r="J1856" s="12">
        <v>0.36820000000000003</v>
      </c>
      <c r="K1856" s="13">
        <v>1</v>
      </c>
      <c r="L1856" s="14">
        <v>239</v>
      </c>
      <c r="M1856" s="10">
        <v>88</v>
      </c>
      <c r="N1856" s="10">
        <v>26410</v>
      </c>
      <c r="O1856" s="10">
        <v>6901</v>
      </c>
      <c r="P1856" s="10">
        <v>33311</v>
      </c>
    </row>
    <row r="1857" spans="1:16" ht="27" customHeight="1" x14ac:dyDescent="0.2">
      <c r="A1857" s="9" t="s">
        <v>6788</v>
      </c>
      <c r="B1857" s="10" t="s">
        <v>6789</v>
      </c>
      <c r="C1857" s="11" t="s">
        <v>6797</v>
      </c>
      <c r="D1857" s="11" t="s">
        <v>6798</v>
      </c>
      <c r="E1857" s="11" t="s">
        <v>26</v>
      </c>
      <c r="F1857" s="11" t="s">
        <v>6799</v>
      </c>
      <c r="G1857" s="11" t="s">
        <v>28</v>
      </c>
      <c r="H1857" s="11" t="s">
        <v>6799</v>
      </c>
      <c r="I1857" s="11" t="s">
        <v>6800</v>
      </c>
      <c r="J1857" s="12">
        <v>0.59240000000000004</v>
      </c>
      <c r="K1857" s="13">
        <v>1</v>
      </c>
      <c r="L1857" s="14">
        <v>184</v>
      </c>
      <c r="M1857" s="10">
        <v>109</v>
      </c>
      <c r="N1857" s="10">
        <v>20332</v>
      </c>
      <c r="O1857" s="10">
        <v>8548</v>
      </c>
      <c r="P1857" s="10">
        <v>28880</v>
      </c>
    </row>
    <row r="1858" spans="1:16" ht="27" customHeight="1" x14ac:dyDescent="0.2">
      <c r="A1858" s="9" t="s">
        <v>6788</v>
      </c>
      <c r="B1858" s="10" t="s">
        <v>6789</v>
      </c>
      <c r="C1858" s="11" t="s">
        <v>6801</v>
      </c>
      <c r="D1858" s="11" t="s">
        <v>6802</v>
      </c>
      <c r="E1858" s="11" t="s">
        <v>26</v>
      </c>
      <c r="F1858" s="11" t="s">
        <v>6803</v>
      </c>
      <c r="G1858" s="11" t="s">
        <v>28</v>
      </c>
      <c r="H1858" s="11" t="s">
        <v>6803</v>
      </c>
      <c r="I1858" s="11" t="s">
        <v>6804</v>
      </c>
      <c r="J1858" s="12">
        <v>0.6</v>
      </c>
      <c r="K1858" s="13">
        <v>1</v>
      </c>
      <c r="L1858" s="14">
        <v>245</v>
      </c>
      <c r="M1858" s="10">
        <v>147</v>
      </c>
      <c r="N1858" s="10">
        <v>27073</v>
      </c>
      <c r="O1858" s="10">
        <v>11528</v>
      </c>
      <c r="P1858" s="10">
        <v>38601</v>
      </c>
    </row>
    <row r="1859" spans="1:16" ht="27" customHeight="1" x14ac:dyDescent="0.2">
      <c r="A1859" s="9" t="s">
        <v>6788</v>
      </c>
      <c r="B1859" s="10" t="s">
        <v>6805</v>
      </c>
      <c r="C1859" s="11" t="s">
        <v>18</v>
      </c>
      <c r="D1859" s="11" t="s">
        <v>19</v>
      </c>
      <c r="E1859" s="11" t="s">
        <v>19</v>
      </c>
      <c r="F1859" s="11" t="s">
        <v>6806</v>
      </c>
      <c r="G1859" s="11" t="s">
        <v>83</v>
      </c>
      <c r="H1859" s="11" t="s">
        <v>6791</v>
      </c>
      <c r="I1859" s="11" t="s">
        <v>6792</v>
      </c>
      <c r="J1859" s="12">
        <v>0.9</v>
      </c>
      <c r="K1859" s="13">
        <v>6</v>
      </c>
      <c r="L1859" s="14">
        <v>1534</v>
      </c>
      <c r="M1859" s="10">
        <v>959</v>
      </c>
      <c r="N1859" s="10">
        <v>169510</v>
      </c>
      <c r="O1859" s="10">
        <v>75204</v>
      </c>
      <c r="P1859" s="10">
        <v>244714</v>
      </c>
    </row>
    <row r="1860" spans="1:16" ht="27" customHeight="1" x14ac:dyDescent="0.2">
      <c r="A1860" s="9" t="s">
        <v>6788</v>
      </c>
      <c r="B1860" s="10" t="s">
        <v>6805</v>
      </c>
      <c r="C1860" s="11" t="s">
        <v>6807</v>
      </c>
      <c r="D1860" s="11" t="s">
        <v>6808</v>
      </c>
      <c r="E1860" s="11" t="s">
        <v>57</v>
      </c>
      <c r="F1860" s="11" t="s">
        <v>6809</v>
      </c>
      <c r="G1860" s="11" t="s">
        <v>28</v>
      </c>
      <c r="H1860" s="11" t="s">
        <v>6791</v>
      </c>
      <c r="I1860" s="11" t="s">
        <v>6792</v>
      </c>
      <c r="J1860" s="12">
        <v>0.9</v>
      </c>
      <c r="K1860" s="13">
        <v>1</v>
      </c>
      <c r="L1860" s="14">
        <v>87</v>
      </c>
      <c r="M1860" s="10">
        <v>59</v>
      </c>
      <c r="N1860" s="10">
        <v>9614</v>
      </c>
      <c r="O1860" s="10">
        <v>4627</v>
      </c>
      <c r="P1860" s="10">
        <v>14241</v>
      </c>
    </row>
    <row r="1861" spans="1:16" ht="27" customHeight="1" x14ac:dyDescent="0.2">
      <c r="A1861" s="9" t="s">
        <v>6788</v>
      </c>
      <c r="B1861" s="10" t="s">
        <v>6810</v>
      </c>
      <c r="C1861" s="11" t="s">
        <v>18</v>
      </c>
      <c r="D1861" s="11" t="s">
        <v>19</v>
      </c>
      <c r="E1861" s="11" t="s">
        <v>19</v>
      </c>
      <c r="F1861" s="11" t="s">
        <v>614</v>
      </c>
      <c r="G1861" s="11" t="s">
        <v>83</v>
      </c>
      <c r="H1861" s="11" t="s">
        <v>614</v>
      </c>
      <c r="I1861" s="11" t="s">
        <v>6811</v>
      </c>
      <c r="J1861" s="12">
        <v>0.64439999999999997</v>
      </c>
      <c r="K1861" s="13">
        <v>2</v>
      </c>
      <c r="L1861" s="14">
        <v>331</v>
      </c>
      <c r="M1861" s="10">
        <v>213</v>
      </c>
      <c r="N1861" s="10">
        <v>36576</v>
      </c>
      <c r="O1861" s="10">
        <v>16703</v>
      </c>
      <c r="P1861" s="10">
        <v>53279</v>
      </c>
    </row>
    <row r="1862" spans="1:16" ht="27" customHeight="1" x14ac:dyDescent="0.2">
      <c r="A1862" s="9" t="s">
        <v>6788</v>
      </c>
      <c r="B1862" s="10" t="s">
        <v>6812</v>
      </c>
      <c r="C1862" s="11" t="s">
        <v>18</v>
      </c>
      <c r="D1862" s="11" t="s">
        <v>19</v>
      </c>
      <c r="E1862" s="11" t="s">
        <v>19</v>
      </c>
      <c r="F1862" s="11" t="s">
        <v>6813</v>
      </c>
      <c r="G1862" s="11" t="s">
        <v>83</v>
      </c>
      <c r="H1862" s="11" t="s">
        <v>6814</v>
      </c>
      <c r="I1862" s="11" t="s">
        <v>6815</v>
      </c>
      <c r="J1862" s="12">
        <v>0.745</v>
      </c>
      <c r="K1862" s="13">
        <v>3</v>
      </c>
      <c r="L1862" s="14">
        <v>226</v>
      </c>
      <c r="M1862" s="10">
        <v>161</v>
      </c>
      <c r="N1862" s="10">
        <v>24974</v>
      </c>
      <c r="O1862" s="10">
        <v>12626</v>
      </c>
      <c r="P1862" s="10">
        <v>37600</v>
      </c>
    </row>
    <row r="1863" spans="1:16" ht="27" customHeight="1" x14ac:dyDescent="0.2">
      <c r="A1863" s="9" t="s">
        <v>6788</v>
      </c>
      <c r="B1863" s="10" t="s">
        <v>6816</v>
      </c>
      <c r="C1863" s="11" t="s">
        <v>18</v>
      </c>
      <c r="D1863" s="11" t="s">
        <v>19</v>
      </c>
      <c r="E1863" s="11" t="s">
        <v>19</v>
      </c>
      <c r="F1863" s="11" t="s">
        <v>6817</v>
      </c>
      <c r="G1863" s="11" t="s">
        <v>83</v>
      </c>
      <c r="H1863" s="11" t="s">
        <v>6818</v>
      </c>
      <c r="I1863" s="11" t="s">
        <v>6819</v>
      </c>
      <c r="J1863" s="12">
        <v>0.85870000000000002</v>
      </c>
      <c r="K1863" s="13">
        <v>5</v>
      </c>
      <c r="L1863" s="14">
        <v>1181</v>
      </c>
      <c r="M1863" s="10">
        <v>927</v>
      </c>
      <c r="N1863" s="10">
        <v>130503</v>
      </c>
      <c r="O1863" s="10">
        <v>72694</v>
      </c>
      <c r="P1863" s="10">
        <v>203197</v>
      </c>
    </row>
    <row r="1864" spans="1:16" ht="27" customHeight="1" x14ac:dyDescent="0.2">
      <c r="A1864" s="9" t="s">
        <v>6788</v>
      </c>
      <c r="B1864" s="10" t="s">
        <v>6816</v>
      </c>
      <c r="C1864" s="11" t="s">
        <v>6820</v>
      </c>
      <c r="D1864" s="11" t="s">
        <v>6821</v>
      </c>
      <c r="E1864" s="11" t="s">
        <v>26</v>
      </c>
      <c r="F1864" s="11" t="s">
        <v>6822</v>
      </c>
      <c r="G1864" s="11" t="s">
        <v>28</v>
      </c>
      <c r="H1864" s="11" t="s">
        <v>6822</v>
      </c>
      <c r="I1864" s="11" t="s">
        <v>6823</v>
      </c>
      <c r="J1864" s="12">
        <v>0.61960000000000004</v>
      </c>
      <c r="K1864" s="13">
        <v>1</v>
      </c>
      <c r="L1864" s="14">
        <v>326</v>
      </c>
      <c r="M1864" s="10">
        <v>202</v>
      </c>
      <c r="N1864" s="10">
        <v>36024</v>
      </c>
      <c r="O1864" s="10">
        <v>15841</v>
      </c>
      <c r="P1864" s="10">
        <v>51865</v>
      </c>
    </row>
    <row r="1865" spans="1:16" ht="27" customHeight="1" x14ac:dyDescent="0.2">
      <c r="A1865" s="9" t="s">
        <v>6788</v>
      </c>
      <c r="B1865" s="10" t="s">
        <v>6824</v>
      </c>
      <c r="C1865" s="11" t="s">
        <v>18</v>
      </c>
      <c r="D1865" s="11" t="s">
        <v>19</v>
      </c>
      <c r="E1865" s="11" t="s">
        <v>19</v>
      </c>
      <c r="F1865" s="11" t="s">
        <v>6825</v>
      </c>
      <c r="G1865" s="11" t="s">
        <v>83</v>
      </c>
      <c r="H1865" s="11" t="s">
        <v>6826</v>
      </c>
      <c r="I1865" s="11" t="s">
        <v>6827</v>
      </c>
      <c r="J1865" s="12">
        <v>0.71430000000000005</v>
      </c>
      <c r="K1865" s="13">
        <v>2</v>
      </c>
      <c r="L1865" s="14">
        <v>42</v>
      </c>
      <c r="M1865" s="10">
        <v>29</v>
      </c>
      <c r="N1865" s="10">
        <v>4642</v>
      </c>
      <c r="O1865" s="10">
        <v>2274</v>
      </c>
      <c r="P1865" s="10">
        <v>6916</v>
      </c>
    </row>
    <row r="1866" spans="1:16" ht="27" customHeight="1" x14ac:dyDescent="0.2">
      <c r="A1866" s="9" t="s">
        <v>6788</v>
      </c>
      <c r="B1866" s="10" t="s">
        <v>6828</v>
      </c>
      <c r="C1866" s="11" t="s">
        <v>18</v>
      </c>
      <c r="D1866" s="11" t="s">
        <v>19</v>
      </c>
      <c r="E1866" s="11" t="s">
        <v>19</v>
      </c>
      <c r="F1866" s="11" t="s">
        <v>1879</v>
      </c>
      <c r="G1866" s="11" t="s">
        <v>83</v>
      </c>
      <c r="H1866" s="11" t="s">
        <v>1879</v>
      </c>
      <c r="I1866" s="11" t="s">
        <v>6829</v>
      </c>
      <c r="J1866" s="12">
        <v>0.42630000000000001</v>
      </c>
      <c r="K1866" s="13">
        <v>4</v>
      </c>
      <c r="L1866" s="14">
        <v>758</v>
      </c>
      <c r="M1866" s="10">
        <v>330</v>
      </c>
      <c r="N1866" s="10">
        <v>83761</v>
      </c>
      <c r="O1866" s="10">
        <v>25878</v>
      </c>
      <c r="P1866" s="10">
        <v>109639</v>
      </c>
    </row>
    <row r="1867" spans="1:16" ht="27" customHeight="1" x14ac:dyDescent="0.2">
      <c r="A1867" s="9" t="s">
        <v>6788</v>
      </c>
      <c r="B1867" s="10" t="s">
        <v>6828</v>
      </c>
      <c r="C1867" s="11" t="s">
        <v>6830</v>
      </c>
      <c r="D1867" s="11" t="s">
        <v>6831</v>
      </c>
      <c r="E1867" s="11" t="s">
        <v>26</v>
      </c>
      <c r="F1867" s="11" t="s">
        <v>6832</v>
      </c>
      <c r="G1867" s="11" t="s">
        <v>28</v>
      </c>
      <c r="H1867" s="11" t="s">
        <v>6832</v>
      </c>
      <c r="I1867" s="11" t="s">
        <v>6833</v>
      </c>
      <c r="J1867" s="12">
        <v>0.30559999999999998</v>
      </c>
      <c r="K1867" s="13">
        <v>1</v>
      </c>
      <c r="L1867" s="14">
        <v>602</v>
      </c>
      <c r="M1867" s="10">
        <v>184</v>
      </c>
      <c r="N1867" s="10">
        <v>66522</v>
      </c>
      <c r="O1867" s="10">
        <v>14429</v>
      </c>
      <c r="P1867" s="10">
        <v>80951</v>
      </c>
    </row>
    <row r="1868" spans="1:16" ht="27" customHeight="1" x14ac:dyDescent="0.2">
      <c r="A1868" s="9" t="s">
        <v>6788</v>
      </c>
      <c r="B1868" s="10" t="s">
        <v>6828</v>
      </c>
      <c r="C1868" s="11" t="s">
        <v>6834</v>
      </c>
      <c r="D1868" s="11" t="s">
        <v>6835</v>
      </c>
      <c r="E1868" s="11" t="s">
        <v>26</v>
      </c>
      <c r="F1868" s="11" t="s">
        <v>6836</v>
      </c>
      <c r="G1868" s="11" t="s">
        <v>28</v>
      </c>
      <c r="H1868" s="11" t="s">
        <v>6836</v>
      </c>
      <c r="I1868" s="11" t="s">
        <v>6837</v>
      </c>
      <c r="J1868" s="12">
        <v>0.47739999999999999</v>
      </c>
      <c r="K1868" s="13">
        <v>1</v>
      </c>
      <c r="L1868" s="14">
        <v>509</v>
      </c>
      <c r="M1868" s="10">
        <v>243</v>
      </c>
      <c r="N1868" s="10">
        <v>56245</v>
      </c>
      <c r="O1868" s="10">
        <v>19056</v>
      </c>
      <c r="P1868" s="10">
        <v>75301</v>
      </c>
    </row>
    <row r="1869" spans="1:16" ht="27" customHeight="1" x14ac:dyDescent="0.2">
      <c r="A1869" s="9" t="s">
        <v>6788</v>
      </c>
      <c r="B1869" s="10" t="s">
        <v>6828</v>
      </c>
      <c r="C1869" s="11" t="s">
        <v>6838</v>
      </c>
      <c r="D1869" s="11" t="s">
        <v>6839</v>
      </c>
      <c r="E1869" s="11" t="s">
        <v>26</v>
      </c>
      <c r="F1869" s="11" t="s">
        <v>6840</v>
      </c>
      <c r="G1869" s="11" t="s">
        <v>28</v>
      </c>
      <c r="H1869" s="11" t="s">
        <v>6840</v>
      </c>
      <c r="I1869" s="11" t="s">
        <v>6841</v>
      </c>
      <c r="J1869" s="12">
        <v>0.59260000000000002</v>
      </c>
      <c r="K1869" s="13">
        <v>1</v>
      </c>
      <c r="L1869" s="14">
        <v>270</v>
      </c>
      <c r="M1869" s="10">
        <v>160</v>
      </c>
      <c r="N1869" s="10">
        <v>29835</v>
      </c>
      <c r="O1869" s="10">
        <v>12547</v>
      </c>
      <c r="P1869" s="10">
        <v>42382</v>
      </c>
    </row>
    <row r="1870" spans="1:16" ht="27" customHeight="1" x14ac:dyDescent="0.2">
      <c r="A1870" s="9" t="s">
        <v>6788</v>
      </c>
      <c r="B1870" s="10" t="s">
        <v>6842</v>
      </c>
      <c r="C1870" s="11" t="s">
        <v>18</v>
      </c>
      <c r="D1870" s="11" t="s">
        <v>19</v>
      </c>
      <c r="E1870" s="11" t="s">
        <v>19</v>
      </c>
      <c r="F1870" s="11" t="s">
        <v>6843</v>
      </c>
      <c r="G1870" s="11" t="s">
        <v>83</v>
      </c>
      <c r="H1870" s="11" t="s">
        <v>6844</v>
      </c>
      <c r="I1870" s="11" t="s">
        <v>6845</v>
      </c>
      <c r="J1870" s="12">
        <v>0.46260000000000001</v>
      </c>
      <c r="K1870" s="13">
        <v>4</v>
      </c>
      <c r="L1870" s="14">
        <v>892</v>
      </c>
      <c r="M1870" s="10">
        <v>420</v>
      </c>
      <c r="N1870" s="10">
        <v>98568</v>
      </c>
      <c r="O1870" s="10">
        <v>32936</v>
      </c>
      <c r="P1870" s="10">
        <v>131504</v>
      </c>
    </row>
    <row r="1871" spans="1:16" ht="27" customHeight="1" x14ac:dyDescent="0.2">
      <c r="A1871" s="9" t="s">
        <v>6788</v>
      </c>
      <c r="B1871" s="10" t="s">
        <v>6842</v>
      </c>
      <c r="C1871" s="11" t="s">
        <v>6846</v>
      </c>
      <c r="D1871" s="11" t="s">
        <v>6847</v>
      </c>
      <c r="E1871" s="11" t="s">
        <v>26</v>
      </c>
      <c r="F1871" s="11" t="s">
        <v>6848</v>
      </c>
      <c r="G1871" s="11" t="s">
        <v>28</v>
      </c>
      <c r="H1871" s="11" t="s">
        <v>6848</v>
      </c>
      <c r="I1871" s="11" t="s">
        <v>6849</v>
      </c>
      <c r="J1871" s="12">
        <v>0.318</v>
      </c>
      <c r="K1871" s="13">
        <v>1</v>
      </c>
      <c r="L1871" s="14">
        <v>261</v>
      </c>
      <c r="M1871" s="10">
        <v>83</v>
      </c>
      <c r="N1871" s="10">
        <v>28841</v>
      </c>
      <c r="O1871" s="10">
        <v>6509</v>
      </c>
      <c r="P1871" s="10">
        <v>35350</v>
      </c>
    </row>
    <row r="1872" spans="1:16" ht="27" customHeight="1" x14ac:dyDescent="0.2">
      <c r="A1872" s="9" t="s">
        <v>6788</v>
      </c>
      <c r="B1872" s="10" t="s">
        <v>6850</v>
      </c>
      <c r="C1872" s="11" t="s">
        <v>18</v>
      </c>
      <c r="D1872" s="11" t="s">
        <v>19</v>
      </c>
      <c r="E1872" s="11" t="s">
        <v>19</v>
      </c>
      <c r="F1872" s="11" t="s">
        <v>6851</v>
      </c>
      <c r="G1872" s="11" t="s">
        <v>83</v>
      </c>
      <c r="H1872" s="11" t="s">
        <v>6791</v>
      </c>
      <c r="I1872" s="11" t="s">
        <v>6792</v>
      </c>
      <c r="J1872" s="12">
        <v>0.9</v>
      </c>
      <c r="K1872" s="13">
        <v>9</v>
      </c>
      <c r="L1872" s="14">
        <v>3523</v>
      </c>
      <c r="M1872" s="10">
        <v>2538</v>
      </c>
      <c r="N1872" s="10">
        <v>389297</v>
      </c>
      <c r="O1872" s="10">
        <v>199028</v>
      </c>
      <c r="P1872" s="10">
        <v>588325</v>
      </c>
    </row>
    <row r="1873" spans="1:16" ht="27" customHeight="1" x14ac:dyDescent="0.2">
      <c r="A1873" s="9" t="s">
        <v>6788</v>
      </c>
      <c r="B1873" s="10" t="s">
        <v>6850</v>
      </c>
      <c r="C1873" s="11" t="s">
        <v>6852</v>
      </c>
      <c r="D1873" s="11" t="s">
        <v>6853</v>
      </c>
      <c r="E1873" s="11" t="s">
        <v>57</v>
      </c>
      <c r="F1873" s="11" t="s">
        <v>6854</v>
      </c>
      <c r="G1873" s="11" t="s">
        <v>28</v>
      </c>
      <c r="H1873" s="11" t="s">
        <v>6854</v>
      </c>
      <c r="I1873" s="11" t="s">
        <v>6855</v>
      </c>
      <c r="J1873" s="12">
        <v>0.64359999999999995</v>
      </c>
      <c r="K1873" s="13">
        <v>1</v>
      </c>
      <c r="L1873" s="14">
        <v>188</v>
      </c>
      <c r="M1873" s="10">
        <v>121</v>
      </c>
      <c r="N1873" s="10">
        <v>20774</v>
      </c>
      <c r="O1873" s="10">
        <v>9489</v>
      </c>
      <c r="P1873" s="10">
        <v>30263</v>
      </c>
    </row>
    <row r="1874" spans="1:16" ht="27" customHeight="1" x14ac:dyDescent="0.2">
      <c r="A1874" s="9" t="s">
        <v>6788</v>
      </c>
      <c r="B1874" s="10" t="s">
        <v>6856</v>
      </c>
      <c r="C1874" s="11" t="s">
        <v>18</v>
      </c>
      <c r="D1874" s="11" t="s">
        <v>19</v>
      </c>
      <c r="E1874" s="11" t="s">
        <v>19</v>
      </c>
      <c r="F1874" s="11" t="s">
        <v>6857</v>
      </c>
      <c r="G1874" s="11" t="s">
        <v>83</v>
      </c>
      <c r="H1874" s="11" t="s">
        <v>6858</v>
      </c>
      <c r="I1874" s="11" t="s">
        <v>6859</v>
      </c>
      <c r="J1874" s="12">
        <v>0.64639999999999997</v>
      </c>
      <c r="K1874" s="13">
        <v>12</v>
      </c>
      <c r="L1874" s="14">
        <v>1192</v>
      </c>
      <c r="M1874" s="10">
        <v>635</v>
      </c>
      <c r="N1874" s="10">
        <v>131718</v>
      </c>
      <c r="O1874" s="10">
        <v>49796</v>
      </c>
      <c r="P1874" s="10">
        <v>181514</v>
      </c>
    </row>
    <row r="1875" spans="1:16" ht="27" customHeight="1" x14ac:dyDescent="0.2">
      <c r="A1875" s="9" t="s">
        <v>6788</v>
      </c>
      <c r="B1875" s="10" t="s">
        <v>6860</v>
      </c>
      <c r="C1875" s="11" t="s">
        <v>18</v>
      </c>
      <c r="D1875" s="11" t="s">
        <v>19</v>
      </c>
      <c r="E1875" s="11" t="s">
        <v>19</v>
      </c>
      <c r="F1875" s="11" t="s">
        <v>6861</v>
      </c>
      <c r="G1875" s="11" t="s">
        <v>83</v>
      </c>
      <c r="H1875" s="11" t="s">
        <v>6861</v>
      </c>
      <c r="I1875" s="11" t="s">
        <v>6862</v>
      </c>
      <c r="J1875" s="12">
        <v>0.72219999999999995</v>
      </c>
      <c r="K1875" s="13">
        <v>2</v>
      </c>
      <c r="L1875" s="14">
        <v>18</v>
      </c>
      <c r="M1875" s="10">
        <v>13</v>
      </c>
      <c r="N1875" s="10">
        <v>1989</v>
      </c>
      <c r="O1875" s="10">
        <v>1019</v>
      </c>
      <c r="P1875" s="10">
        <v>3008</v>
      </c>
    </row>
    <row r="1876" spans="1:16" ht="27" customHeight="1" x14ac:dyDescent="0.2">
      <c r="A1876" s="9" t="s">
        <v>6788</v>
      </c>
      <c r="B1876" s="10" t="s">
        <v>6863</v>
      </c>
      <c r="C1876" s="11" t="s">
        <v>18</v>
      </c>
      <c r="D1876" s="11" t="s">
        <v>19</v>
      </c>
      <c r="E1876" s="11" t="s">
        <v>19</v>
      </c>
      <c r="F1876" s="11" t="s">
        <v>6864</v>
      </c>
      <c r="G1876" s="11" t="s">
        <v>83</v>
      </c>
      <c r="H1876" s="11" t="s">
        <v>6864</v>
      </c>
      <c r="I1876" s="11" t="s">
        <v>6865</v>
      </c>
      <c r="J1876" s="12">
        <v>0.1835</v>
      </c>
      <c r="K1876" s="13">
        <v>2</v>
      </c>
      <c r="L1876" s="14">
        <v>643</v>
      </c>
      <c r="M1876" s="10">
        <v>118</v>
      </c>
      <c r="N1876" s="10">
        <v>71053</v>
      </c>
      <c r="O1876" s="10">
        <v>9253</v>
      </c>
      <c r="P1876" s="10">
        <v>80306</v>
      </c>
    </row>
    <row r="1877" spans="1:16" ht="27" customHeight="1" x14ac:dyDescent="0.2">
      <c r="A1877" s="9" t="s">
        <v>6788</v>
      </c>
      <c r="B1877" s="10" t="s">
        <v>6866</v>
      </c>
      <c r="C1877" s="11" t="s">
        <v>18</v>
      </c>
      <c r="D1877" s="11" t="s">
        <v>19</v>
      </c>
      <c r="E1877" s="11" t="s">
        <v>19</v>
      </c>
      <c r="F1877" s="11" t="s">
        <v>6867</v>
      </c>
      <c r="G1877" s="11" t="s">
        <v>83</v>
      </c>
      <c r="H1877" s="11" t="s">
        <v>6868</v>
      </c>
      <c r="I1877" s="11" t="s">
        <v>6869</v>
      </c>
      <c r="J1877" s="12">
        <v>0.65349999999999997</v>
      </c>
      <c r="K1877" s="13">
        <v>4</v>
      </c>
      <c r="L1877" s="14">
        <v>495</v>
      </c>
      <c r="M1877" s="10">
        <v>318</v>
      </c>
      <c r="N1877" s="10">
        <v>54699</v>
      </c>
      <c r="O1877" s="10">
        <v>24937</v>
      </c>
      <c r="P1877" s="10">
        <v>79636</v>
      </c>
    </row>
    <row r="1878" spans="1:16" ht="27" customHeight="1" x14ac:dyDescent="0.2">
      <c r="A1878" s="9" t="s">
        <v>6788</v>
      </c>
      <c r="B1878" s="10" t="s">
        <v>6870</v>
      </c>
      <c r="C1878" s="11" t="s">
        <v>18</v>
      </c>
      <c r="D1878" s="11" t="s">
        <v>19</v>
      </c>
      <c r="E1878" s="11" t="s">
        <v>19</v>
      </c>
      <c r="F1878" s="11" t="s">
        <v>6871</v>
      </c>
      <c r="G1878" s="11" t="s">
        <v>83</v>
      </c>
      <c r="H1878" s="11" t="s">
        <v>6872</v>
      </c>
      <c r="I1878" s="11" t="s">
        <v>6873</v>
      </c>
      <c r="J1878" s="12">
        <v>0.9</v>
      </c>
      <c r="K1878" s="13">
        <v>2</v>
      </c>
      <c r="L1878" s="14">
        <v>33</v>
      </c>
      <c r="M1878" s="10">
        <v>30</v>
      </c>
      <c r="N1878" s="10">
        <v>3647</v>
      </c>
      <c r="O1878" s="10">
        <v>2352</v>
      </c>
      <c r="P1878" s="10">
        <v>5999</v>
      </c>
    </row>
    <row r="1879" spans="1:16" ht="27" customHeight="1" x14ac:dyDescent="0.2">
      <c r="A1879" s="9" t="s">
        <v>6788</v>
      </c>
      <c r="B1879" s="10" t="s">
        <v>6874</v>
      </c>
      <c r="C1879" s="11" t="s">
        <v>18</v>
      </c>
      <c r="D1879" s="11" t="s">
        <v>19</v>
      </c>
      <c r="E1879" s="11" t="s">
        <v>19</v>
      </c>
      <c r="F1879" s="11" t="s">
        <v>6875</v>
      </c>
      <c r="G1879" s="11" t="s">
        <v>83</v>
      </c>
      <c r="H1879" s="11" t="s">
        <v>6875</v>
      </c>
      <c r="I1879" s="11" t="s">
        <v>6876</v>
      </c>
      <c r="J1879" s="12">
        <v>0.30180000000000001</v>
      </c>
      <c r="K1879" s="13">
        <v>2</v>
      </c>
      <c r="L1879" s="14">
        <v>393</v>
      </c>
      <c r="M1879" s="10">
        <v>118</v>
      </c>
      <c r="N1879" s="10">
        <v>43427</v>
      </c>
      <c r="O1879" s="10">
        <v>9253</v>
      </c>
      <c r="P1879" s="10">
        <v>52680</v>
      </c>
    </row>
    <row r="1880" spans="1:16" ht="27" customHeight="1" x14ac:dyDescent="0.2">
      <c r="A1880" s="9" t="s">
        <v>6788</v>
      </c>
      <c r="B1880" s="10" t="s">
        <v>6877</v>
      </c>
      <c r="C1880" s="11" t="s">
        <v>18</v>
      </c>
      <c r="D1880" s="11" t="s">
        <v>19</v>
      </c>
      <c r="E1880" s="11" t="s">
        <v>19</v>
      </c>
      <c r="F1880" s="11" t="s">
        <v>6878</v>
      </c>
      <c r="G1880" s="11" t="s">
        <v>83</v>
      </c>
      <c r="H1880" s="11" t="s">
        <v>6878</v>
      </c>
      <c r="I1880" s="11" t="s">
        <v>6879</v>
      </c>
      <c r="J1880" s="12">
        <v>0.32369999999999999</v>
      </c>
      <c r="K1880" s="13">
        <v>2</v>
      </c>
      <c r="L1880" s="14">
        <v>241</v>
      </c>
      <c r="M1880" s="10">
        <v>78</v>
      </c>
      <c r="N1880" s="10">
        <v>26631</v>
      </c>
      <c r="O1880" s="10">
        <v>6117</v>
      </c>
      <c r="P1880" s="10">
        <v>32748</v>
      </c>
    </row>
    <row r="1881" spans="1:16" ht="27" customHeight="1" x14ac:dyDescent="0.2">
      <c r="A1881" s="9" t="s">
        <v>6788</v>
      </c>
      <c r="B1881" s="10" t="s">
        <v>6880</v>
      </c>
      <c r="C1881" s="11" t="s">
        <v>18</v>
      </c>
      <c r="D1881" s="11" t="s">
        <v>19</v>
      </c>
      <c r="E1881" s="11" t="s">
        <v>19</v>
      </c>
      <c r="F1881" s="11" t="s">
        <v>6881</v>
      </c>
      <c r="G1881" s="11" t="s">
        <v>83</v>
      </c>
      <c r="H1881" s="11" t="s">
        <v>6881</v>
      </c>
      <c r="I1881" s="11" t="s">
        <v>6882</v>
      </c>
      <c r="J1881" s="12">
        <v>0.16800000000000001</v>
      </c>
      <c r="K1881" s="13">
        <v>2</v>
      </c>
      <c r="L1881" s="14">
        <v>258</v>
      </c>
      <c r="M1881" s="10">
        <v>43</v>
      </c>
      <c r="N1881" s="10">
        <v>28509</v>
      </c>
      <c r="O1881" s="10">
        <v>3372</v>
      </c>
      <c r="P1881" s="10">
        <v>31881</v>
      </c>
    </row>
    <row r="1882" spans="1:16" ht="27" customHeight="1" x14ac:dyDescent="0.2">
      <c r="A1882" s="9" t="s">
        <v>6788</v>
      </c>
      <c r="B1882" s="10" t="s">
        <v>6883</v>
      </c>
      <c r="C1882" s="11" t="s">
        <v>18</v>
      </c>
      <c r="D1882" s="11" t="s">
        <v>19</v>
      </c>
      <c r="E1882" s="11" t="s">
        <v>19</v>
      </c>
      <c r="F1882" s="11" t="s">
        <v>6884</v>
      </c>
      <c r="G1882" s="11" t="s">
        <v>83</v>
      </c>
      <c r="H1882" s="11" t="s">
        <v>6884</v>
      </c>
      <c r="I1882" s="11" t="s">
        <v>6885</v>
      </c>
      <c r="J1882" s="12">
        <v>0.82220000000000004</v>
      </c>
      <c r="K1882" s="13">
        <v>2</v>
      </c>
      <c r="L1882" s="14">
        <v>45</v>
      </c>
      <c r="M1882" s="10">
        <v>37</v>
      </c>
      <c r="N1882" s="10">
        <v>4973</v>
      </c>
      <c r="O1882" s="10">
        <v>2902</v>
      </c>
      <c r="P1882" s="10">
        <v>7875</v>
      </c>
    </row>
    <row r="1883" spans="1:16" ht="27" customHeight="1" x14ac:dyDescent="0.2">
      <c r="A1883" s="9" t="s">
        <v>6788</v>
      </c>
      <c r="B1883" s="10" t="s">
        <v>6886</v>
      </c>
      <c r="C1883" s="11" t="s">
        <v>18</v>
      </c>
      <c r="D1883" s="11" t="s">
        <v>19</v>
      </c>
      <c r="E1883" s="11" t="s">
        <v>19</v>
      </c>
      <c r="F1883" s="11" t="s">
        <v>6887</v>
      </c>
      <c r="G1883" s="11" t="s">
        <v>83</v>
      </c>
      <c r="H1883" s="11" t="s">
        <v>6888</v>
      </c>
      <c r="I1883" s="11" t="s">
        <v>6889</v>
      </c>
      <c r="J1883" s="12">
        <v>0.51100000000000001</v>
      </c>
      <c r="K1883" s="13">
        <v>3</v>
      </c>
      <c r="L1883" s="14">
        <v>680</v>
      </c>
      <c r="M1883" s="10">
        <v>344</v>
      </c>
      <c r="N1883" s="10">
        <v>75142</v>
      </c>
      <c r="O1883" s="10">
        <v>26975</v>
      </c>
      <c r="P1883" s="10">
        <v>102117</v>
      </c>
    </row>
    <row r="1884" spans="1:16" ht="27" customHeight="1" x14ac:dyDescent="0.2">
      <c r="A1884" s="9" t="s">
        <v>6788</v>
      </c>
      <c r="B1884" s="10" t="s">
        <v>6890</v>
      </c>
      <c r="C1884" s="11" t="s">
        <v>18</v>
      </c>
      <c r="D1884" s="11" t="s">
        <v>19</v>
      </c>
      <c r="E1884" s="11" t="s">
        <v>19</v>
      </c>
      <c r="F1884" s="11" t="s">
        <v>6891</v>
      </c>
      <c r="G1884" s="11" t="s">
        <v>83</v>
      </c>
      <c r="H1884" s="11" t="s">
        <v>4053</v>
      </c>
      <c r="I1884" s="11" t="s">
        <v>6892</v>
      </c>
      <c r="J1884" s="12">
        <v>0.87829999999999997</v>
      </c>
      <c r="K1884" s="13">
        <v>9</v>
      </c>
      <c r="L1884" s="14">
        <v>2772</v>
      </c>
      <c r="M1884" s="10">
        <v>1894</v>
      </c>
      <c r="N1884" s="10">
        <v>306310</v>
      </c>
      <c r="O1884" s="10">
        <v>148526</v>
      </c>
      <c r="P1884" s="10">
        <v>454836</v>
      </c>
    </row>
    <row r="1885" spans="1:16" ht="27" customHeight="1" x14ac:dyDescent="0.2">
      <c r="A1885" s="9" t="s">
        <v>6788</v>
      </c>
      <c r="B1885" s="10" t="s">
        <v>6890</v>
      </c>
      <c r="C1885" s="11" t="s">
        <v>6893</v>
      </c>
      <c r="D1885" s="11" t="s">
        <v>6894</v>
      </c>
      <c r="E1885" s="11" t="s">
        <v>57</v>
      </c>
      <c r="F1885" s="11" t="s">
        <v>6895</v>
      </c>
      <c r="G1885" s="11" t="s">
        <v>28</v>
      </c>
      <c r="H1885" s="11" t="s">
        <v>6895</v>
      </c>
      <c r="I1885" s="11" t="s">
        <v>6896</v>
      </c>
      <c r="J1885" s="12">
        <v>0.44</v>
      </c>
      <c r="K1885" s="13">
        <v>1</v>
      </c>
      <c r="L1885" s="14">
        <v>200</v>
      </c>
      <c r="M1885" s="10">
        <v>88</v>
      </c>
      <c r="N1885" s="10">
        <v>22100</v>
      </c>
      <c r="O1885" s="10">
        <v>6901</v>
      </c>
      <c r="P1885" s="10">
        <v>29001</v>
      </c>
    </row>
    <row r="1886" spans="1:16" ht="27" customHeight="1" x14ac:dyDescent="0.2">
      <c r="A1886" s="9" t="s">
        <v>6788</v>
      </c>
      <c r="B1886" s="10" t="s">
        <v>6890</v>
      </c>
      <c r="C1886" s="11" t="s">
        <v>6897</v>
      </c>
      <c r="D1886" s="11" t="s">
        <v>6898</v>
      </c>
      <c r="E1886" s="11" t="s">
        <v>26</v>
      </c>
      <c r="F1886" s="11" t="s">
        <v>6899</v>
      </c>
      <c r="G1886" s="11" t="s">
        <v>28</v>
      </c>
      <c r="H1886" s="11" t="s">
        <v>6899</v>
      </c>
      <c r="I1886" s="11" t="s">
        <v>6900</v>
      </c>
      <c r="J1886" s="12">
        <v>0.69410000000000005</v>
      </c>
      <c r="K1886" s="13">
        <v>1</v>
      </c>
      <c r="L1886" s="14">
        <v>85</v>
      </c>
      <c r="M1886" s="10">
        <v>59</v>
      </c>
      <c r="N1886" s="10">
        <v>9393</v>
      </c>
      <c r="O1886" s="10">
        <v>4627</v>
      </c>
      <c r="P1886" s="10">
        <v>14020</v>
      </c>
    </row>
    <row r="1887" spans="1:16" ht="27" customHeight="1" x14ac:dyDescent="0.2">
      <c r="A1887" s="9" t="s">
        <v>6788</v>
      </c>
      <c r="B1887" s="10" t="s">
        <v>6901</v>
      </c>
      <c r="C1887" s="11" t="s">
        <v>18</v>
      </c>
      <c r="D1887" s="11" t="s">
        <v>19</v>
      </c>
      <c r="E1887" s="11" t="s">
        <v>19</v>
      </c>
      <c r="F1887" s="11" t="s">
        <v>6902</v>
      </c>
      <c r="G1887" s="11" t="s">
        <v>83</v>
      </c>
      <c r="H1887" s="11" t="s">
        <v>6903</v>
      </c>
      <c r="I1887" s="11" t="s">
        <v>6904</v>
      </c>
      <c r="J1887" s="12">
        <v>0.62070000000000003</v>
      </c>
      <c r="K1887" s="13">
        <v>2</v>
      </c>
      <c r="L1887" s="14">
        <v>88</v>
      </c>
      <c r="M1887" s="10">
        <v>55</v>
      </c>
      <c r="N1887" s="10">
        <v>9725</v>
      </c>
      <c r="O1887" s="10">
        <v>4313</v>
      </c>
      <c r="P1887" s="10">
        <v>14038</v>
      </c>
    </row>
    <row r="1888" spans="1:16" ht="27" customHeight="1" x14ac:dyDescent="0.2">
      <c r="A1888" s="9" t="s">
        <v>6788</v>
      </c>
      <c r="B1888" s="10" t="s">
        <v>6905</v>
      </c>
      <c r="C1888" s="11" t="s">
        <v>18</v>
      </c>
      <c r="D1888" s="11" t="s">
        <v>19</v>
      </c>
      <c r="E1888" s="11" t="s">
        <v>19</v>
      </c>
      <c r="F1888" s="11" t="s">
        <v>6906</v>
      </c>
      <c r="G1888" s="11" t="s">
        <v>83</v>
      </c>
      <c r="H1888" s="11" t="s">
        <v>6791</v>
      </c>
      <c r="I1888" s="11" t="s">
        <v>6792</v>
      </c>
      <c r="J1888" s="12">
        <v>0.9</v>
      </c>
      <c r="K1888" s="13">
        <v>6</v>
      </c>
      <c r="L1888" s="14">
        <v>4263</v>
      </c>
      <c r="M1888" s="10">
        <v>2076</v>
      </c>
      <c r="N1888" s="10">
        <v>471068</v>
      </c>
      <c r="O1888" s="10">
        <v>162797</v>
      </c>
      <c r="P1888" s="10">
        <v>633865</v>
      </c>
    </row>
    <row r="1889" spans="1:16" ht="27" customHeight="1" x14ac:dyDescent="0.2">
      <c r="A1889" s="9" t="s">
        <v>6788</v>
      </c>
      <c r="B1889" s="10" t="s">
        <v>6905</v>
      </c>
      <c r="C1889" s="11" t="s">
        <v>6907</v>
      </c>
      <c r="D1889" s="11" t="s">
        <v>6908</v>
      </c>
      <c r="E1889" s="11" t="s">
        <v>26</v>
      </c>
      <c r="F1889" s="11" t="s">
        <v>6909</v>
      </c>
      <c r="G1889" s="11" t="s">
        <v>28</v>
      </c>
      <c r="H1889" s="11" t="s">
        <v>6909</v>
      </c>
      <c r="I1889" s="11" t="s">
        <v>6910</v>
      </c>
      <c r="J1889" s="12">
        <v>0.32379999999999998</v>
      </c>
      <c r="K1889" s="13">
        <v>1</v>
      </c>
      <c r="L1889" s="14">
        <v>1013</v>
      </c>
      <c r="M1889" s="10">
        <v>328</v>
      </c>
      <c r="N1889" s="10">
        <v>111938</v>
      </c>
      <c r="O1889" s="10">
        <v>25721</v>
      </c>
      <c r="P1889" s="10">
        <v>137659</v>
      </c>
    </row>
    <row r="1890" spans="1:16" ht="27" customHeight="1" x14ac:dyDescent="0.2">
      <c r="A1890" s="9" t="s">
        <v>6788</v>
      </c>
      <c r="B1890" s="10" t="s">
        <v>6905</v>
      </c>
      <c r="C1890" s="11" t="s">
        <v>6911</v>
      </c>
      <c r="D1890" s="11" t="s">
        <v>6912</v>
      </c>
      <c r="E1890" s="11" t="s">
        <v>26</v>
      </c>
      <c r="F1890" s="11" t="s">
        <v>6913</v>
      </c>
      <c r="G1890" s="11" t="s">
        <v>28</v>
      </c>
      <c r="H1890" s="11" t="s">
        <v>6791</v>
      </c>
      <c r="I1890" s="11" t="s">
        <v>6792</v>
      </c>
      <c r="J1890" s="12">
        <v>0.9</v>
      </c>
      <c r="K1890" s="13">
        <v>1</v>
      </c>
      <c r="L1890" s="14">
        <v>274</v>
      </c>
      <c r="M1890" s="10">
        <v>136</v>
      </c>
      <c r="N1890" s="10">
        <v>30277</v>
      </c>
      <c r="O1890" s="10">
        <v>10665</v>
      </c>
      <c r="P1890" s="10">
        <v>40942</v>
      </c>
    </row>
    <row r="1891" spans="1:16" ht="27" customHeight="1" x14ac:dyDescent="0.2">
      <c r="A1891" s="9" t="s">
        <v>6788</v>
      </c>
      <c r="B1891" s="10" t="s">
        <v>6914</v>
      </c>
      <c r="C1891" s="11" t="s">
        <v>18</v>
      </c>
      <c r="D1891" s="11" t="s">
        <v>19</v>
      </c>
      <c r="E1891" s="11" t="s">
        <v>19</v>
      </c>
      <c r="F1891" s="11" t="s">
        <v>6915</v>
      </c>
      <c r="G1891" s="11" t="s">
        <v>83</v>
      </c>
      <c r="H1891" s="11" t="s">
        <v>6916</v>
      </c>
      <c r="I1891" s="11" t="s">
        <v>6917</v>
      </c>
      <c r="J1891" s="12">
        <v>0.30159999999999998</v>
      </c>
      <c r="K1891" s="13">
        <v>2</v>
      </c>
      <c r="L1891" s="14">
        <v>63</v>
      </c>
      <c r="M1891" s="10">
        <v>19</v>
      </c>
      <c r="N1891" s="10">
        <v>6962</v>
      </c>
      <c r="O1891" s="10">
        <v>1490</v>
      </c>
      <c r="P1891" s="10">
        <v>8452</v>
      </c>
    </row>
    <row r="1892" spans="1:16" ht="27" customHeight="1" x14ac:dyDescent="0.2">
      <c r="A1892" s="9" t="s">
        <v>6788</v>
      </c>
      <c r="B1892" s="10" t="s">
        <v>6918</v>
      </c>
      <c r="C1892" s="11" t="s">
        <v>18</v>
      </c>
      <c r="D1892" s="11" t="s">
        <v>19</v>
      </c>
      <c r="E1892" s="11" t="s">
        <v>19</v>
      </c>
      <c r="F1892" s="11" t="s">
        <v>6919</v>
      </c>
      <c r="G1892" s="11" t="s">
        <v>83</v>
      </c>
      <c r="H1892" s="11" t="s">
        <v>6920</v>
      </c>
      <c r="I1892" s="11" t="s">
        <v>6921</v>
      </c>
      <c r="J1892" s="12">
        <v>0.8659</v>
      </c>
      <c r="K1892" s="13">
        <v>2</v>
      </c>
      <c r="L1892" s="14">
        <v>83</v>
      </c>
      <c r="M1892" s="10">
        <v>72</v>
      </c>
      <c r="N1892" s="10">
        <v>9172</v>
      </c>
      <c r="O1892" s="10">
        <v>5646</v>
      </c>
      <c r="P1892" s="10">
        <v>14818</v>
      </c>
    </row>
    <row r="1893" spans="1:16" ht="27" customHeight="1" x14ac:dyDescent="0.2">
      <c r="A1893" s="9" t="s">
        <v>6788</v>
      </c>
      <c r="B1893" s="10" t="s">
        <v>6922</v>
      </c>
      <c r="C1893" s="11" t="s">
        <v>18</v>
      </c>
      <c r="D1893" s="11" t="s">
        <v>19</v>
      </c>
      <c r="E1893" s="11" t="s">
        <v>19</v>
      </c>
      <c r="F1893" s="11" t="s">
        <v>6923</v>
      </c>
      <c r="G1893" s="11" t="s">
        <v>83</v>
      </c>
      <c r="H1893" s="11" t="s">
        <v>6924</v>
      </c>
      <c r="I1893" s="11" t="s">
        <v>6925</v>
      </c>
      <c r="J1893" s="12">
        <v>0.8145</v>
      </c>
      <c r="K1893" s="13">
        <v>8</v>
      </c>
      <c r="L1893" s="14">
        <v>2187</v>
      </c>
      <c r="M1893" s="10">
        <v>1576</v>
      </c>
      <c r="N1893" s="10">
        <v>241669</v>
      </c>
      <c r="O1893" s="10">
        <v>123589</v>
      </c>
      <c r="P1893" s="10">
        <v>365258</v>
      </c>
    </row>
    <row r="1894" spans="1:16" ht="27" customHeight="1" x14ac:dyDescent="0.2">
      <c r="A1894" s="9" t="s">
        <v>6788</v>
      </c>
      <c r="B1894" s="10" t="s">
        <v>6922</v>
      </c>
      <c r="C1894" s="11" t="s">
        <v>6926</v>
      </c>
      <c r="D1894" s="11" t="s">
        <v>6927</v>
      </c>
      <c r="E1894" s="11" t="s">
        <v>26</v>
      </c>
      <c r="F1894" s="11" t="s">
        <v>6928</v>
      </c>
      <c r="G1894" s="11" t="s">
        <v>28</v>
      </c>
      <c r="H1894" s="11" t="s">
        <v>6928</v>
      </c>
      <c r="I1894" s="11" t="s">
        <v>6929</v>
      </c>
      <c r="J1894" s="12">
        <v>0.74209999999999998</v>
      </c>
      <c r="K1894" s="13">
        <v>1</v>
      </c>
      <c r="L1894" s="14">
        <v>159</v>
      </c>
      <c r="M1894" s="10">
        <v>118</v>
      </c>
      <c r="N1894" s="10">
        <v>17570</v>
      </c>
      <c r="O1894" s="10">
        <v>9253</v>
      </c>
      <c r="P1894" s="10">
        <v>26823</v>
      </c>
    </row>
    <row r="1895" spans="1:16" ht="27" customHeight="1" x14ac:dyDescent="0.2">
      <c r="A1895" s="9" t="s">
        <v>6930</v>
      </c>
      <c r="B1895" s="10" t="s">
        <v>6931</v>
      </c>
      <c r="C1895" s="11" t="s">
        <v>18</v>
      </c>
      <c r="D1895" s="11" t="s">
        <v>19</v>
      </c>
      <c r="E1895" s="11" t="s">
        <v>19</v>
      </c>
      <c r="F1895" s="11" t="s">
        <v>6932</v>
      </c>
      <c r="G1895" s="11" t="s">
        <v>21</v>
      </c>
      <c r="H1895" s="11" t="s">
        <v>6933</v>
      </c>
      <c r="I1895" s="11" t="s">
        <v>6934</v>
      </c>
      <c r="J1895" s="12">
        <v>0.59089999999999998</v>
      </c>
      <c r="K1895" s="13">
        <v>2</v>
      </c>
      <c r="L1895" s="14">
        <v>0</v>
      </c>
      <c r="M1895" s="10">
        <v>0</v>
      </c>
      <c r="N1895" s="10">
        <v>0</v>
      </c>
      <c r="O1895" s="10">
        <v>0</v>
      </c>
      <c r="P1895" s="10">
        <v>0</v>
      </c>
    </row>
    <row r="1896" spans="1:16" ht="27" customHeight="1" x14ac:dyDescent="0.2">
      <c r="A1896" s="9" t="s">
        <v>6930</v>
      </c>
      <c r="B1896" s="10" t="s">
        <v>6935</v>
      </c>
      <c r="C1896" s="11" t="s">
        <v>18</v>
      </c>
      <c r="D1896" s="11" t="s">
        <v>19</v>
      </c>
      <c r="E1896" s="11" t="s">
        <v>19</v>
      </c>
      <c r="F1896" s="11" t="s">
        <v>6936</v>
      </c>
      <c r="G1896" s="11" t="s">
        <v>83</v>
      </c>
      <c r="H1896" s="11" t="s">
        <v>6933</v>
      </c>
      <c r="I1896" s="11" t="s">
        <v>6934</v>
      </c>
      <c r="J1896" s="12">
        <v>0.59089999999999998</v>
      </c>
      <c r="K1896" s="13">
        <v>6</v>
      </c>
      <c r="L1896" s="14">
        <v>400</v>
      </c>
      <c r="M1896" s="10">
        <v>148</v>
      </c>
      <c r="N1896" s="10">
        <v>44201</v>
      </c>
      <c r="O1896" s="10">
        <v>11606</v>
      </c>
      <c r="P1896" s="10">
        <v>55807</v>
      </c>
    </row>
    <row r="1897" spans="1:16" ht="27" customHeight="1" x14ac:dyDescent="0.2">
      <c r="A1897" s="9" t="s">
        <v>6937</v>
      </c>
      <c r="B1897" s="10" t="s">
        <v>6938</v>
      </c>
      <c r="C1897" s="11" t="s">
        <v>18</v>
      </c>
      <c r="D1897" s="11" t="s">
        <v>19</v>
      </c>
      <c r="E1897" s="11" t="s">
        <v>19</v>
      </c>
      <c r="F1897" s="11" t="s">
        <v>6939</v>
      </c>
      <c r="G1897" s="11" t="s">
        <v>21</v>
      </c>
      <c r="H1897" s="11" t="s">
        <v>6940</v>
      </c>
      <c r="I1897" s="11" t="s">
        <v>6941</v>
      </c>
      <c r="J1897" s="12">
        <v>1</v>
      </c>
      <c r="K1897" s="13">
        <v>2</v>
      </c>
      <c r="L1897" s="14">
        <v>128</v>
      </c>
      <c r="M1897" s="10">
        <v>83</v>
      </c>
      <c r="N1897" s="10">
        <v>14145</v>
      </c>
      <c r="O1897" s="10">
        <v>6509</v>
      </c>
      <c r="P1897" s="10">
        <v>20654</v>
      </c>
    </row>
    <row r="1898" spans="1:16" ht="27" customHeight="1" x14ac:dyDescent="0.2">
      <c r="A1898" s="9" t="s">
        <v>6937</v>
      </c>
      <c r="B1898" s="10" t="s">
        <v>6938</v>
      </c>
      <c r="C1898" s="11" t="s">
        <v>6942</v>
      </c>
      <c r="D1898" s="11" t="s">
        <v>6943</v>
      </c>
      <c r="E1898" s="11" t="s">
        <v>26</v>
      </c>
      <c r="F1898" s="11" t="s">
        <v>6944</v>
      </c>
      <c r="G1898" s="11" t="s">
        <v>28</v>
      </c>
      <c r="H1898" s="11" t="s">
        <v>6944</v>
      </c>
      <c r="I1898" s="11" t="s">
        <v>6945</v>
      </c>
      <c r="J1898" s="12">
        <v>0.73780000000000001</v>
      </c>
      <c r="K1898" s="13">
        <v>1</v>
      </c>
      <c r="L1898" s="14">
        <v>431</v>
      </c>
      <c r="M1898" s="10">
        <v>318</v>
      </c>
      <c r="N1898" s="10">
        <v>47626</v>
      </c>
      <c r="O1898" s="10">
        <v>24937</v>
      </c>
      <c r="P1898" s="10">
        <v>72563</v>
      </c>
    </row>
    <row r="1899" spans="1:16" ht="27" customHeight="1" x14ac:dyDescent="0.2">
      <c r="A1899" s="9" t="s">
        <v>6937</v>
      </c>
      <c r="B1899" s="10" t="s">
        <v>6938</v>
      </c>
      <c r="C1899" s="11" t="s">
        <v>6946</v>
      </c>
      <c r="D1899" s="11" t="s">
        <v>6947</v>
      </c>
      <c r="E1899" s="11" t="s">
        <v>26</v>
      </c>
      <c r="F1899" s="11" t="s">
        <v>6948</v>
      </c>
      <c r="G1899" s="11" t="s">
        <v>28</v>
      </c>
      <c r="H1899" s="11" t="s">
        <v>6948</v>
      </c>
      <c r="I1899" s="11" t="s">
        <v>6949</v>
      </c>
      <c r="J1899" s="12">
        <v>0.86180000000000001</v>
      </c>
      <c r="K1899" s="13">
        <v>1</v>
      </c>
      <c r="L1899" s="14">
        <v>123</v>
      </c>
      <c r="M1899" s="10">
        <v>106</v>
      </c>
      <c r="N1899" s="10">
        <v>13592</v>
      </c>
      <c r="O1899" s="10">
        <v>8312</v>
      </c>
      <c r="P1899" s="10">
        <v>21904</v>
      </c>
    </row>
    <row r="1900" spans="1:16" ht="27" customHeight="1" x14ac:dyDescent="0.2">
      <c r="A1900" s="9" t="s">
        <v>6937</v>
      </c>
      <c r="B1900" s="10" t="s">
        <v>6950</v>
      </c>
      <c r="C1900" s="11" t="s">
        <v>18</v>
      </c>
      <c r="D1900" s="11" t="s">
        <v>19</v>
      </c>
      <c r="E1900" s="11" t="s">
        <v>19</v>
      </c>
      <c r="F1900" s="11" t="s">
        <v>6951</v>
      </c>
      <c r="G1900" s="11" t="s">
        <v>83</v>
      </c>
      <c r="H1900" s="11" t="s">
        <v>6952</v>
      </c>
      <c r="I1900" s="11" t="s">
        <v>6953</v>
      </c>
      <c r="J1900" s="12">
        <v>0.61439999999999995</v>
      </c>
      <c r="K1900" s="13">
        <v>2</v>
      </c>
      <c r="L1900" s="14">
        <v>153</v>
      </c>
      <c r="M1900" s="10">
        <v>94</v>
      </c>
      <c r="N1900" s="10">
        <v>16907</v>
      </c>
      <c r="O1900" s="10">
        <v>7371</v>
      </c>
      <c r="P1900" s="10">
        <v>24278</v>
      </c>
    </row>
    <row r="1901" spans="1:16" ht="27" customHeight="1" x14ac:dyDescent="0.2">
      <c r="A1901" s="9" t="s">
        <v>6937</v>
      </c>
      <c r="B1901" s="10" t="s">
        <v>6954</v>
      </c>
      <c r="C1901" s="11" t="s">
        <v>18</v>
      </c>
      <c r="D1901" s="11" t="s">
        <v>19</v>
      </c>
      <c r="E1901" s="11" t="s">
        <v>19</v>
      </c>
      <c r="F1901" s="11" t="s">
        <v>6955</v>
      </c>
      <c r="G1901" s="11" t="s">
        <v>83</v>
      </c>
      <c r="H1901" s="11" t="s">
        <v>6955</v>
      </c>
      <c r="I1901" s="11" t="s">
        <v>6956</v>
      </c>
      <c r="J1901" s="12">
        <v>0.6875</v>
      </c>
      <c r="K1901" s="13">
        <v>2</v>
      </c>
      <c r="L1901" s="14">
        <v>16</v>
      </c>
      <c r="M1901" s="10">
        <v>11</v>
      </c>
      <c r="N1901" s="10">
        <v>1768</v>
      </c>
      <c r="O1901" s="10">
        <v>863</v>
      </c>
      <c r="P1901" s="10">
        <v>2631</v>
      </c>
    </row>
    <row r="1902" spans="1:16" ht="27" customHeight="1" x14ac:dyDescent="0.2">
      <c r="A1902" s="9" t="s">
        <v>6937</v>
      </c>
      <c r="B1902" s="10" t="s">
        <v>6957</v>
      </c>
      <c r="C1902" s="11" t="s">
        <v>18</v>
      </c>
      <c r="D1902" s="11" t="s">
        <v>19</v>
      </c>
      <c r="E1902" s="11" t="s">
        <v>19</v>
      </c>
      <c r="F1902" s="11" t="s">
        <v>6958</v>
      </c>
      <c r="G1902" s="11" t="s">
        <v>83</v>
      </c>
      <c r="H1902" s="11" t="s">
        <v>6959</v>
      </c>
      <c r="I1902" s="11" t="s">
        <v>6960</v>
      </c>
      <c r="J1902" s="12">
        <v>0.42170000000000002</v>
      </c>
      <c r="K1902" s="13">
        <v>2</v>
      </c>
      <c r="L1902" s="14">
        <v>166</v>
      </c>
      <c r="M1902" s="10">
        <v>70</v>
      </c>
      <c r="N1902" s="10">
        <v>18343</v>
      </c>
      <c r="O1902" s="10">
        <v>5489</v>
      </c>
      <c r="P1902" s="10">
        <v>23832</v>
      </c>
    </row>
    <row r="1903" spans="1:16" ht="27" customHeight="1" x14ac:dyDescent="0.2">
      <c r="A1903" s="9" t="s">
        <v>6937</v>
      </c>
      <c r="B1903" s="10" t="s">
        <v>6961</v>
      </c>
      <c r="C1903" s="11" t="s">
        <v>18</v>
      </c>
      <c r="D1903" s="11" t="s">
        <v>19</v>
      </c>
      <c r="E1903" s="11" t="s">
        <v>19</v>
      </c>
      <c r="F1903" s="11" t="s">
        <v>6962</v>
      </c>
      <c r="G1903" s="11" t="s">
        <v>83</v>
      </c>
      <c r="H1903" s="11" t="s">
        <v>6962</v>
      </c>
      <c r="I1903" s="11" t="s">
        <v>6963</v>
      </c>
      <c r="J1903" s="12">
        <v>0.71930000000000005</v>
      </c>
      <c r="K1903" s="13">
        <v>2</v>
      </c>
      <c r="L1903" s="14">
        <v>57</v>
      </c>
      <c r="M1903" s="10">
        <v>41</v>
      </c>
      <c r="N1903" s="10">
        <v>6299</v>
      </c>
      <c r="O1903" s="10">
        <v>3215</v>
      </c>
      <c r="P1903" s="10">
        <v>9514</v>
      </c>
    </row>
    <row r="1904" spans="1:16" ht="27" customHeight="1" x14ac:dyDescent="0.2">
      <c r="A1904" s="9" t="s">
        <v>6937</v>
      </c>
      <c r="B1904" s="10" t="s">
        <v>6964</v>
      </c>
      <c r="C1904" s="11" t="s">
        <v>18</v>
      </c>
      <c r="D1904" s="11" t="s">
        <v>19</v>
      </c>
      <c r="E1904" s="11" t="s">
        <v>19</v>
      </c>
      <c r="F1904" s="11" t="s">
        <v>6965</v>
      </c>
      <c r="G1904" s="11" t="s">
        <v>83</v>
      </c>
      <c r="H1904" s="11" t="s">
        <v>6965</v>
      </c>
      <c r="I1904" s="11" t="s">
        <v>6966</v>
      </c>
      <c r="J1904" s="12">
        <v>0.89249999999999996</v>
      </c>
      <c r="K1904" s="13">
        <v>2</v>
      </c>
      <c r="L1904" s="14">
        <v>93</v>
      </c>
      <c r="M1904" s="10">
        <v>83</v>
      </c>
      <c r="N1904" s="10">
        <v>10277</v>
      </c>
      <c r="O1904" s="10">
        <v>6509</v>
      </c>
      <c r="P1904" s="10">
        <v>16786</v>
      </c>
    </row>
    <row r="1905" spans="1:16" ht="27" customHeight="1" x14ac:dyDescent="0.2">
      <c r="A1905" s="9" t="s">
        <v>6937</v>
      </c>
      <c r="B1905" s="10" t="s">
        <v>6967</v>
      </c>
      <c r="C1905" s="11" t="s">
        <v>18</v>
      </c>
      <c r="D1905" s="11" t="s">
        <v>19</v>
      </c>
      <c r="E1905" s="11" t="s">
        <v>19</v>
      </c>
      <c r="F1905" s="11" t="s">
        <v>6968</v>
      </c>
      <c r="G1905" s="11" t="s">
        <v>83</v>
      </c>
      <c r="H1905" s="11" t="s">
        <v>6940</v>
      </c>
      <c r="I1905" s="11" t="s">
        <v>6941</v>
      </c>
      <c r="J1905" s="12">
        <v>1</v>
      </c>
      <c r="K1905" s="13">
        <v>3</v>
      </c>
      <c r="L1905" s="14">
        <v>66</v>
      </c>
      <c r="M1905" s="10">
        <v>49</v>
      </c>
      <c r="N1905" s="10">
        <v>7293</v>
      </c>
      <c r="O1905" s="10">
        <v>3843</v>
      </c>
      <c r="P1905" s="10">
        <v>11136</v>
      </c>
    </row>
    <row r="1906" spans="1:16" ht="27" customHeight="1" x14ac:dyDescent="0.2">
      <c r="A1906" s="9" t="s">
        <v>6937</v>
      </c>
      <c r="B1906" s="10" t="s">
        <v>6969</v>
      </c>
      <c r="C1906" s="11" t="s">
        <v>18</v>
      </c>
      <c r="D1906" s="11" t="s">
        <v>19</v>
      </c>
      <c r="E1906" s="11" t="s">
        <v>19</v>
      </c>
      <c r="F1906" s="11" t="s">
        <v>6970</v>
      </c>
      <c r="G1906" s="11" t="s">
        <v>83</v>
      </c>
      <c r="H1906" s="11" t="s">
        <v>6971</v>
      </c>
      <c r="I1906" s="11" t="s">
        <v>6972</v>
      </c>
      <c r="J1906" s="12">
        <v>0.51429999999999998</v>
      </c>
      <c r="K1906" s="13">
        <v>2</v>
      </c>
      <c r="L1906" s="14">
        <v>35</v>
      </c>
      <c r="M1906" s="10">
        <v>18</v>
      </c>
      <c r="N1906" s="10">
        <v>3868</v>
      </c>
      <c r="O1906" s="10">
        <v>1412</v>
      </c>
      <c r="P1906" s="10">
        <v>5280</v>
      </c>
    </row>
    <row r="1907" spans="1:16" ht="27" customHeight="1" x14ac:dyDescent="0.2">
      <c r="A1907" s="9" t="s">
        <v>6937</v>
      </c>
      <c r="B1907" s="10" t="s">
        <v>6973</v>
      </c>
      <c r="C1907" s="11" t="s">
        <v>18</v>
      </c>
      <c r="D1907" s="11" t="s">
        <v>19</v>
      </c>
      <c r="E1907" s="11" t="s">
        <v>19</v>
      </c>
      <c r="F1907" s="11" t="s">
        <v>6974</v>
      </c>
      <c r="G1907" s="11" t="s">
        <v>83</v>
      </c>
      <c r="H1907" s="11" t="s">
        <v>6974</v>
      </c>
      <c r="I1907" s="11" t="s">
        <v>6975</v>
      </c>
      <c r="J1907" s="12">
        <v>0.47920000000000001</v>
      </c>
      <c r="K1907" s="13">
        <v>2</v>
      </c>
      <c r="L1907" s="14">
        <v>193</v>
      </c>
      <c r="M1907" s="10">
        <v>92</v>
      </c>
      <c r="N1907" s="10">
        <v>21327</v>
      </c>
      <c r="O1907" s="10">
        <v>7215</v>
      </c>
      <c r="P1907" s="10">
        <v>28542</v>
      </c>
    </row>
    <row r="1908" spans="1:16" ht="27" customHeight="1" x14ac:dyDescent="0.2">
      <c r="A1908" s="9" t="s">
        <v>6937</v>
      </c>
      <c r="B1908" s="10" t="s">
        <v>6976</v>
      </c>
      <c r="C1908" s="11" t="s">
        <v>18</v>
      </c>
      <c r="D1908" s="11" t="s">
        <v>19</v>
      </c>
      <c r="E1908" s="11" t="s">
        <v>19</v>
      </c>
      <c r="F1908" s="11" t="s">
        <v>6977</v>
      </c>
      <c r="G1908" s="11" t="s">
        <v>83</v>
      </c>
      <c r="H1908" s="11" t="s">
        <v>6977</v>
      </c>
      <c r="I1908" s="11" t="s">
        <v>6978</v>
      </c>
      <c r="J1908" s="12">
        <v>0.68220000000000003</v>
      </c>
      <c r="K1908" s="13">
        <v>2</v>
      </c>
      <c r="L1908" s="14">
        <v>108</v>
      </c>
      <c r="M1908" s="10">
        <v>73</v>
      </c>
      <c r="N1908" s="10">
        <v>11935</v>
      </c>
      <c r="O1908" s="10">
        <v>5725</v>
      </c>
      <c r="P1908" s="10">
        <v>17660</v>
      </c>
    </row>
    <row r="1909" spans="1:16" ht="27" customHeight="1" x14ac:dyDescent="0.2">
      <c r="A1909" s="9" t="s">
        <v>6937</v>
      </c>
      <c r="B1909" s="10" t="s">
        <v>6979</v>
      </c>
      <c r="C1909" s="11" t="s">
        <v>18</v>
      </c>
      <c r="D1909" s="11" t="s">
        <v>19</v>
      </c>
      <c r="E1909" s="11" t="s">
        <v>19</v>
      </c>
      <c r="F1909" s="11" t="s">
        <v>6980</v>
      </c>
      <c r="G1909" s="11" t="s">
        <v>83</v>
      </c>
      <c r="H1909" s="11" t="s">
        <v>6980</v>
      </c>
      <c r="I1909" s="11" t="s">
        <v>6981</v>
      </c>
      <c r="J1909" s="12">
        <v>0.97140000000000004</v>
      </c>
      <c r="K1909" s="13">
        <v>2</v>
      </c>
      <c r="L1909" s="14">
        <v>35</v>
      </c>
      <c r="M1909" s="10">
        <v>34</v>
      </c>
      <c r="N1909" s="10">
        <v>3868</v>
      </c>
      <c r="O1909" s="10">
        <v>2666</v>
      </c>
      <c r="P1909" s="10">
        <v>6534</v>
      </c>
    </row>
    <row r="1910" spans="1:16" ht="27" customHeight="1" x14ac:dyDescent="0.2">
      <c r="A1910" s="9" t="s">
        <v>6937</v>
      </c>
      <c r="B1910" s="10" t="s">
        <v>6982</v>
      </c>
      <c r="C1910" s="11" t="s">
        <v>18</v>
      </c>
      <c r="D1910" s="11" t="s">
        <v>19</v>
      </c>
      <c r="E1910" s="11" t="s">
        <v>19</v>
      </c>
      <c r="F1910" s="11" t="s">
        <v>6875</v>
      </c>
      <c r="G1910" s="11" t="s">
        <v>83</v>
      </c>
      <c r="H1910" s="11" t="s">
        <v>6875</v>
      </c>
      <c r="I1910" s="11" t="s">
        <v>6983</v>
      </c>
      <c r="J1910" s="12">
        <v>0.84619999999999995</v>
      </c>
      <c r="K1910" s="13">
        <v>3</v>
      </c>
      <c r="L1910" s="14">
        <v>13</v>
      </c>
      <c r="M1910" s="10">
        <v>11</v>
      </c>
      <c r="N1910" s="10">
        <v>1437</v>
      </c>
      <c r="O1910" s="10">
        <v>863</v>
      </c>
      <c r="P1910" s="10">
        <v>2300</v>
      </c>
    </row>
    <row r="1911" spans="1:16" ht="27" customHeight="1" x14ac:dyDescent="0.2">
      <c r="A1911" s="9" t="s">
        <v>6937</v>
      </c>
      <c r="B1911" s="10" t="s">
        <v>6984</v>
      </c>
      <c r="C1911" s="11" t="s">
        <v>18</v>
      </c>
      <c r="D1911" s="11" t="s">
        <v>19</v>
      </c>
      <c r="E1911" s="11" t="s">
        <v>19</v>
      </c>
      <c r="F1911" s="11" t="s">
        <v>6985</v>
      </c>
      <c r="G1911" s="11" t="s">
        <v>83</v>
      </c>
      <c r="H1911" s="11" t="s">
        <v>6940</v>
      </c>
      <c r="I1911" s="11" t="s">
        <v>6941</v>
      </c>
      <c r="J1911" s="12">
        <v>1</v>
      </c>
      <c r="K1911" s="13">
        <v>2</v>
      </c>
      <c r="L1911" s="14">
        <v>6</v>
      </c>
      <c r="M1911" s="10">
        <v>6</v>
      </c>
      <c r="N1911" s="10">
        <v>664</v>
      </c>
      <c r="O1911" s="10">
        <v>470</v>
      </c>
      <c r="P1911" s="10">
        <v>1134</v>
      </c>
    </row>
    <row r="1912" spans="1:16" ht="27" customHeight="1" x14ac:dyDescent="0.2">
      <c r="A1912" s="9" t="s">
        <v>6937</v>
      </c>
      <c r="B1912" s="10" t="s">
        <v>6986</v>
      </c>
      <c r="C1912" s="11" t="s">
        <v>18</v>
      </c>
      <c r="D1912" s="11" t="s">
        <v>19</v>
      </c>
      <c r="E1912" s="11" t="s">
        <v>19</v>
      </c>
      <c r="F1912" s="11" t="s">
        <v>6987</v>
      </c>
      <c r="G1912" s="11" t="s">
        <v>83</v>
      </c>
      <c r="H1912" s="11" t="s">
        <v>6987</v>
      </c>
      <c r="I1912" s="11" t="s">
        <v>6988</v>
      </c>
      <c r="J1912" s="12">
        <v>0.33329999999999999</v>
      </c>
      <c r="K1912" s="13">
        <v>2</v>
      </c>
      <c r="L1912" s="14">
        <v>12</v>
      </c>
      <c r="M1912" s="10">
        <v>4</v>
      </c>
      <c r="N1912" s="10">
        <v>1326</v>
      </c>
      <c r="O1912" s="10">
        <v>314</v>
      </c>
      <c r="P1912" s="10">
        <v>1640</v>
      </c>
    </row>
    <row r="1913" spans="1:16" ht="27" customHeight="1" x14ac:dyDescent="0.2">
      <c r="A1913" s="9" t="s">
        <v>6937</v>
      </c>
      <c r="B1913" s="10" t="s">
        <v>6989</v>
      </c>
      <c r="C1913" s="11" t="s">
        <v>18</v>
      </c>
      <c r="D1913" s="11" t="s">
        <v>19</v>
      </c>
      <c r="E1913" s="11" t="s">
        <v>19</v>
      </c>
      <c r="F1913" s="11" t="s">
        <v>6990</v>
      </c>
      <c r="G1913" s="11" t="s">
        <v>83</v>
      </c>
      <c r="H1913" s="11" t="s">
        <v>6991</v>
      </c>
      <c r="I1913" s="11" t="s">
        <v>6992</v>
      </c>
      <c r="J1913" s="12">
        <v>0.79169999999999996</v>
      </c>
      <c r="K1913" s="13">
        <v>2</v>
      </c>
      <c r="L1913" s="14">
        <v>48</v>
      </c>
      <c r="M1913" s="10">
        <v>38</v>
      </c>
      <c r="N1913" s="10">
        <v>5304</v>
      </c>
      <c r="O1913" s="10">
        <v>2980</v>
      </c>
      <c r="P1913" s="10">
        <v>8284</v>
      </c>
    </row>
    <row r="1914" spans="1:16" ht="27" customHeight="1" x14ac:dyDescent="0.2">
      <c r="A1914" s="9" t="s">
        <v>6937</v>
      </c>
      <c r="B1914" s="10" t="s">
        <v>6993</v>
      </c>
      <c r="C1914" s="11" t="s">
        <v>18</v>
      </c>
      <c r="D1914" s="11" t="s">
        <v>19</v>
      </c>
      <c r="E1914" s="11" t="s">
        <v>19</v>
      </c>
      <c r="F1914" s="11" t="s">
        <v>6994</v>
      </c>
      <c r="G1914" s="11" t="s">
        <v>83</v>
      </c>
      <c r="H1914" s="11" t="s">
        <v>6994</v>
      </c>
      <c r="I1914" s="11" t="s">
        <v>6995</v>
      </c>
      <c r="J1914" s="12">
        <v>0.65090000000000003</v>
      </c>
      <c r="K1914" s="13">
        <v>2</v>
      </c>
      <c r="L1914" s="14">
        <v>185</v>
      </c>
      <c r="M1914" s="10">
        <v>120</v>
      </c>
      <c r="N1914" s="10">
        <v>20443</v>
      </c>
      <c r="O1914" s="10">
        <v>9410</v>
      </c>
      <c r="P1914" s="10">
        <v>29853</v>
      </c>
    </row>
    <row r="1915" spans="1:16" ht="27" customHeight="1" x14ac:dyDescent="0.2">
      <c r="A1915" s="9" t="s">
        <v>6937</v>
      </c>
      <c r="B1915" s="10" t="s">
        <v>6996</v>
      </c>
      <c r="C1915" s="11" t="s">
        <v>18</v>
      </c>
      <c r="D1915" s="11" t="s">
        <v>19</v>
      </c>
      <c r="E1915" s="11" t="s">
        <v>19</v>
      </c>
      <c r="F1915" s="11" t="s">
        <v>6997</v>
      </c>
      <c r="G1915" s="11" t="s">
        <v>83</v>
      </c>
      <c r="H1915" s="11" t="s">
        <v>6998</v>
      </c>
      <c r="I1915" s="11" t="s">
        <v>6999</v>
      </c>
      <c r="J1915" s="12">
        <v>0.51029999999999998</v>
      </c>
      <c r="K1915" s="13">
        <v>3</v>
      </c>
      <c r="L1915" s="14">
        <v>465</v>
      </c>
      <c r="M1915" s="10">
        <v>218</v>
      </c>
      <c r="N1915" s="10">
        <v>51383</v>
      </c>
      <c r="O1915" s="10">
        <v>17095</v>
      </c>
      <c r="P1915" s="10">
        <v>68478</v>
      </c>
    </row>
    <row r="1916" spans="1:16" ht="27" customHeight="1" x14ac:dyDescent="0.2">
      <c r="A1916" s="9" t="s">
        <v>6937</v>
      </c>
      <c r="B1916" s="10" t="s">
        <v>7000</v>
      </c>
      <c r="C1916" s="11" t="s">
        <v>18</v>
      </c>
      <c r="D1916" s="11" t="s">
        <v>19</v>
      </c>
      <c r="E1916" s="11" t="s">
        <v>19</v>
      </c>
      <c r="F1916" s="11" t="s">
        <v>7001</v>
      </c>
      <c r="G1916" s="11" t="s">
        <v>83</v>
      </c>
      <c r="H1916" s="11" t="s">
        <v>7001</v>
      </c>
      <c r="I1916" s="11" t="s">
        <v>7002</v>
      </c>
      <c r="J1916" s="12">
        <v>0.52629999999999999</v>
      </c>
      <c r="K1916" s="13">
        <v>2</v>
      </c>
      <c r="L1916" s="14">
        <v>19</v>
      </c>
      <c r="M1916" s="10">
        <v>10</v>
      </c>
      <c r="N1916" s="10">
        <v>2100</v>
      </c>
      <c r="O1916" s="10">
        <v>784</v>
      </c>
      <c r="P1916" s="10">
        <v>2884</v>
      </c>
    </row>
    <row r="1917" spans="1:16" ht="27" customHeight="1" x14ac:dyDescent="0.2">
      <c r="A1917" s="9" t="s">
        <v>6937</v>
      </c>
      <c r="B1917" s="10" t="s">
        <v>7003</v>
      </c>
      <c r="C1917" s="11" t="s">
        <v>18</v>
      </c>
      <c r="D1917" s="11" t="s">
        <v>19</v>
      </c>
      <c r="E1917" s="11" t="s">
        <v>19</v>
      </c>
      <c r="F1917" s="11" t="s">
        <v>7004</v>
      </c>
      <c r="G1917" s="11" t="s">
        <v>83</v>
      </c>
      <c r="H1917" s="11" t="s">
        <v>6940</v>
      </c>
      <c r="I1917" s="11" t="s">
        <v>6941</v>
      </c>
      <c r="J1917" s="12">
        <v>1</v>
      </c>
      <c r="K1917" s="13">
        <v>5</v>
      </c>
      <c r="L1917" s="14">
        <v>531</v>
      </c>
      <c r="M1917" s="10">
        <v>221</v>
      </c>
      <c r="N1917" s="10">
        <v>58676</v>
      </c>
      <c r="O1917" s="10">
        <v>17331</v>
      </c>
      <c r="P1917" s="10">
        <v>76007</v>
      </c>
    </row>
    <row r="1918" spans="1:16" ht="27" customHeight="1" x14ac:dyDescent="0.2">
      <c r="A1918" s="9" t="s">
        <v>6937</v>
      </c>
      <c r="B1918" s="10" t="s">
        <v>7005</v>
      </c>
      <c r="C1918" s="11" t="s">
        <v>18</v>
      </c>
      <c r="D1918" s="11" t="s">
        <v>19</v>
      </c>
      <c r="E1918" s="11" t="s">
        <v>19</v>
      </c>
      <c r="F1918" s="11" t="s">
        <v>7006</v>
      </c>
      <c r="G1918" s="11" t="s">
        <v>83</v>
      </c>
      <c r="H1918" s="11" t="s">
        <v>7007</v>
      </c>
      <c r="I1918" s="11" t="s">
        <v>7008</v>
      </c>
      <c r="J1918" s="12">
        <v>0.7802</v>
      </c>
      <c r="K1918" s="13">
        <v>2</v>
      </c>
      <c r="L1918" s="14">
        <v>323</v>
      </c>
      <c r="M1918" s="10">
        <v>252</v>
      </c>
      <c r="N1918" s="10">
        <v>35692</v>
      </c>
      <c r="O1918" s="10">
        <v>19762</v>
      </c>
      <c r="P1918" s="10">
        <v>55454</v>
      </c>
    </row>
    <row r="1919" spans="1:16" ht="27" customHeight="1" x14ac:dyDescent="0.2">
      <c r="A1919" s="9" t="s">
        <v>6937</v>
      </c>
      <c r="B1919" s="10" t="s">
        <v>7009</v>
      </c>
      <c r="C1919" s="11" t="s">
        <v>18</v>
      </c>
      <c r="D1919" s="11" t="s">
        <v>19</v>
      </c>
      <c r="E1919" s="11" t="s">
        <v>19</v>
      </c>
      <c r="F1919" s="11" t="s">
        <v>7010</v>
      </c>
      <c r="G1919" s="11" t="s">
        <v>83</v>
      </c>
      <c r="H1919" s="11" t="s">
        <v>7010</v>
      </c>
      <c r="I1919" s="11" t="s">
        <v>7011</v>
      </c>
      <c r="J1919" s="12">
        <v>0.84089999999999998</v>
      </c>
      <c r="K1919" s="13">
        <v>2</v>
      </c>
      <c r="L1919" s="14">
        <v>44</v>
      </c>
      <c r="M1919" s="10">
        <v>37</v>
      </c>
      <c r="N1919" s="10">
        <v>4862</v>
      </c>
      <c r="O1919" s="10">
        <v>2902</v>
      </c>
      <c r="P1919" s="10">
        <v>7764</v>
      </c>
    </row>
    <row r="1920" spans="1:16" ht="27" customHeight="1" x14ac:dyDescent="0.2">
      <c r="A1920" s="9" t="s">
        <v>6937</v>
      </c>
      <c r="B1920" s="10" t="s">
        <v>7012</v>
      </c>
      <c r="C1920" s="11" t="s">
        <v>18</v>
      </c>
      <c r="D1920" s="11" t="s">
        <v>19</v>
      </c>
      <c r="E1920" s="11" t="s">
        <v>19</v>
      </c>
      <c r="F1920" s="11" t="s">
        <v>7013</v>
      </c>
      <c r="G1920" s="11" t="s">
        <v>83</v>
      </c>
      <c r="H1920" s="11" t="s">
        <v>1883</v>
      </c>
      <c r="I1920" s="11" t="s">
        <v>7014</v>
      </c>
      <c r="J1920" s="12">
        <v>0.70920000000000005</v>
      </c>
      <c r="K1920" s="13">
        <v>5</v>
      </c>
      <c r="L1920" s="14">
        <v>889</v>
      </c>
      <c r="M1920" s="10">
        <v>626</v>
      </c>
      <c r="N1920" s="10">
        <v>98236</v>
      </c>
      <c r="O1920" s="10">
        <v>49090</v>
      </c>
      <c r="P1920" s="10">
        <v>147326</v>
      </c>
    </row>
    <row r="1921" spans="1:16" ht="27" customHeight="1" x14ac:dyDescent="0.2">
      <c r="A1921" s="9" t="s">
        <v>6937</v>
      </c>
      <c r="B1921" s="10" t="s">
        <v>7015</v>
      </c>
      <c r="C1921" s="11" t="s">
        <v>18</v>
      </c>
      <c r="D1921" s="11" t="s">
        <v>19</v>
      </c>
      <c r="E1921" s="11" t="s">
        <v>19</v>
      </c>
      <c r="F1921" s="11" t="s">
        <v>7016</v>
      </c>
      <c r="G1921" s="11" t="s">
        <v>83</v>
      </c>
      <c r="H1921" s="11" t="s">
        <v>6940</v>
      </c>
      <c r="I1921" s="11" t="s">
        <v>6941</v>
      </c>
      <c r="J1921" s="12">
        <v>1</v>
      </c>
      <c r="K1921" s="13">
        <v>4</v>
      </c>
      <c r="L1921" s="14">
        <v>733</v>
      </c>
      <c r="M1921" s="10">
        <v>402</v>
      </c>
      <c r="N1921" s="10">
        <v>80999</v>
      </c>
      <c r="O1921" s="10">
        <v>31524</v>
      </c>
      <c r="P1921" s="10">
        <v>112523</v>
      </c>
    </row>
    <row r="1922" spans="1:16" ht="27" customHeight="1" x14ac:dyDescent="0.2">
      <c r="A1922" s="9" t="s">
        <v>6937</v>
      </c>
      <c r="B1922" s="10" t="s">
        <v>7017</v>
      </c>
      <c r="C1922" s="11" t="s">
        <v>18</v>
      </c>
      <c r="D1922" s="11" t="s">
        <v>19</v>
      </c>
      <c r="E1922" s="11" t="s">
        <v>19</v>
      </c>
      <c r="F1922" s="11" t="s">
        <v>7018</v>
      </c>
      <c r="G1922" s="11" t="s">
        <v>83</v>
      </c>
      <c r="H1922" s="11" t="s">
        <v>7019</v>
      </c>
      <c r="I1922" s="11" t="s">
        <v>7020</v>
      </c>
      <c r="J1922" s="12">
        <v>0.86070000000000002</v>
      </c>
      <c r="K1922" s="13">
        <v>5</v>
      </c>
      <c r="L1922" s="14">
        <v>309</v>
      </c>
      <c r="M1922" s="10">
        <v>253</v>
      </c>
      <c r="N1922" s="10">
        <v>34145</v>
      </c>
      <c r="O1922" s="10">
        <v>19840</v>
      </c>
      <c r="P1922" s="10">
        <v>53985</v>
      </c>
    </row>
    <row r="1923" spans="1:16" ht="27" customHeight="1" x14ac:dyDescent="0.2">
      <c r="A1923" s="9" t="s">
        <v>6937</v>
      </c>
      <c r="B1923" s="10" t="s">
        <v>7021</v>
      </c>
      <c r="C1923" s="11" t="s">
        <v>18</v>
      </c>
      <c r="D1923" s="11" t="s">
        <v>19</v>
      </c>
      <c r="E1923" s="11" t="s">
        <v>19</v>
      </c>
      <c r="F1923" s="11" t="s">
        <v>7022</v>
      </c>
      <c r="G1923" s="11" t="s">
        <v>83</v>
      </c>
      <c r="H1923" s="11" t="s">
        <v>7023</v>
      </c>
      <c r="I1923" s="11" t="s">
        <v>7024</v>
      </c>
      <c r="J1923" s="12">
        <v>0.64100000000000001</v>
      </c>
      <c r="K1923" s="13">
        <v>7</v>
      </c>
      <c r="L1923" s="14">
        <v>622</v>
      </c>
      <c r="M1923" s="10">
        <v>363</v>
      </c>
      <c r="N1923" s="10">
        <v>68732</v>
      </c>
      <c r="O1923" s="10">
        <v>28465</v>
      </c>
      <c r="P1923" s="10">
        <v>97197</v>
      </c>
    </row>
    <row r="1924" spans="1:16" ht="27" customHeight="1" x14ac:dyDescent="0.2">
      <c r="A1924" s="9" t="s">
        <v>7025</v>
      </c>
      <c r="B1924" s="10" t="s">
        <v>7026</v>
      </c>
      <c r="C1924" s="11" t="s">
        <v>18</v>
      </c>
      <c r="D1924" s="11" t="s">
        <v>19</v>
      </c>
      <c r="E1924" s="11" t="s">
        <v>19</v>
      </c>
      <c r="F1924" s="11" t="s">
        <v>7027</v>
      </c>
      <c r="G1924" s="11" t="s">
        <v>21</v>
      </c>
      <c r="H1924" s="11" t="s">
        <v>1518</v>
      </c>
      <c r="I1924" s="11" t="s">
        <v>7028</v>
      </c>
      <c r="J1924" s="12">
        <v>0.97219999999999995</v>
      </c>
      <c r="K1924" s="13">
        <v>4</v>
      </c>
      <c r="L1924" s="14">
        <v>392</v>
      </c>
      <c r="M1924" s="10">
        <v>168</v>
      </c>
      <c r="N1924" s="10">
        <v>43318</v>
      </c>
      <c r="O1924" s="10">
        <v>13174</v>
      </c>
      <c r="P1924" s="10">
        <v>56492</v>
      </c>
    </row>
    <row r="1925" spans="1:16" ht="27" customHeight="1" x14ac:dyDescent="0.2">
      <c r="A1925" s="9" t="s">
        <v>7025</v>
      </c>
      <c r="B1925" s="10" t="s">
        <v>7026</v>
      </c>
      <c r="C1925" s="11" t="s">
        <v>7029</v>
      </c>
      <c r="D1925" s="11" t="s">
        <v>7030</v>
      </c>
      <c r="E1925" s="11" t="s">
        <v>26</v>
      </c>
      <c r="F1925" s="11" t="s">
        <v>7031</v>
      </c>
      <c r="G1925" s="11" t="s">
        <v>28</v>
      </c>
      <c r="H1925" s="11" t="s">
        <v>7031</v>
      </c>
      <c r="I1925" s="11" t="s">
        <v>7032</v>
      </c>
      <c r="J1925" s="12">
        <v>0.61850000000000005</v>
      </c>
      <c r="K1925" s="13">
        <v>1</v>
      </c>
      <c r="L1925" s="14">
        <v>671</v>
      </c>
      <c r="M1925" s="10">
        <v>415</v>
      </c>
      <c r="N1925" s="10">
        <v>74147</v>
      </c>
      <c r="O1925" s="10">
        <v>32544</v>
      </c>
      <c r="P1925" s="10">
        <v>106691</v>
      </c>
    </row>
    <row r="1926" spans="1:16" ht="27" customHeight="1" x14ac:dyDescent="0.2">
      <c r="A1926" s="9" t="s">
        <v>7025</v>
      </c>
      <c r="B1926" s="10" t="s">
        <v>7033</v>
      </c>
      <c r="C1926" s="11" t="s">
        <v>18</v>
      </c>
      <c r="D1926" s="11" t="s">
        <v>19</v>
      </c>
      <c r="E1926" s="11" t="s">
        <v>19</v>
      </c>
      <c r="F1926" s="11" t="s">
        <v>7034</v>
      </c>
      <c r="G1926" s="11" t="s">
        <v>83</v>
      </c>
      <c r="H1926" s="11" t="s">
        <v>7035</v>
      </c>
      <c r="I1926" s="11" t="s">
        <v>7036</v>
      </c>
      <c r="J1926" s="12">
        <v>0.40089999999999998</v>
      </c>
      <c r="K1926" s="13">
        <v>9</v>
      </c>
      <c r="L1926" s="14">
        <v>4426</v>
      </c>
      <c r="M1926" s="10">
        <v>1101</v>
      </c>
      <c r="N1926" s="10">
        <v>489081</v>
      </c>
      <c r="O1926" s="10">
        <v>86339</v>
      </c>
      <c r="P1926" s="10">
        <v>575420</v>
      </c>
    </row>
    <row r="1927" spans="1:16" ht="27" customHeight="1" x14ac:dyDescent="0.2">
      <c r="A1927" s="9" t="s">
        <v>7025</v>
      </c>
      <c r="B1927" s="10" t="s">
        <v>7037</v>
      </c>
      <c r="C1927" s="11" t="s">
        <v>18</v>
      </c>
      <c r="D1927" s="11" t="s">
        <v>19</v>
      </c>
      <c r="E1927" s="11" t="s">
        <v>19</v>
      </c>
      <c r="F1927" s="11" t="s">
        <v>7038</v>
      </c>
      <c r="G1927" s="11" t="s">
        <v>83</v>
      </c>
      <c r="H1927" s="11" t="s">
        <v>7039</v>
      </c>
      <c r="I1927" s="11" t="s">
        <v>7040</v>
      </c>
      <c r="J1927" s="12">
        <v>0.61439999999999995</v>
      </c>
      <c r="K1927" s="13">
        <v>8</v>
      </c>
      <c r="L1927" s="14">
        <v>3031</v>
      </c>
      <c r="M1927" s="10">
        <v>1459</v>
      </c>
      <c r="N1927" s="10">
        <v>334931</v>
      </c>
      <c r="O1927" s="10">
        <v>114413</v>
      </c>
      <c r="P1927" s="10">
        <v>449344</v>
      </c>
    </row>
    <row r="1928" spans="1:16" ht="27" customHeight="1" x14ac:dyDescent="0.2">
      <c r="A1928" s="9" t="s">
        <v>7025</v>
      </c>
      <c r="B1928" s="10" t="s">
        <v>7037</v>
      </c>
      <c r="C1928" s="11" t="s">
        <v>7041</v>
      </c>
      <c r="D1928" s="11" t="s">
        <v>7042</v>
      </c>
      <c r="E1928" s="11" t="s">
        <v>26</v>
      </c>
      <c r="F1928" s="11" t="s">
        <v>7043</v>
      </c>
      <c r="G1928" s="11" t="s">
        <v>28</v>
      </c>
      <c r="H1928" s="11" t="s">
        <v>7043</v>
      </c>
      <c r="I1928" s="11" t="s">
        <v>7044</v>
      </c>
      <c r="J1928" s="12">
        <v>0.2349</v>
      </c>
      <c r="K1928" s="13">
        <v>1</v>
      </c>
      <c r="L1928" s="14">
        <v>447</v>
      </c>
      <c r="M1928" s="10">
        <v>105</v>
      </c>
      <c r="N1928" s="10">
        <v>49394</v>
      </c>
      <c r="O1928" s="10">
        <v>8234</v>
      </c>
      <c r="P1928" s="10">
        <v>57628</v>
      </c>
    </row>
    <row r="1929" spans="1:16" ht="27" customHeight="1" x14ac:dyDescent="0.2">
      <c r="A1929" s="9" t="s">
        <v>7025</v>
      </c>
      <c r="B1929" s="10" t="s">
        <v>7045</v>
      </c>
      <c r="C1929" s="11" t="s">
        <v>18</v>
      </c>
      <c r="D1929" s="11" t="s">
        <v>19</v>
      </c>
      <c r="E1929" s="11" t="s">
        <v>19</v>
      </c>
      <c r="F1929" s="11" t="s">
        <v>7046</v>
      </c>
      <c r="G1929" s="11" t="s">
        <v>83</v>
      </c>
      <c r="H1929" s="11" t="s">
        <v>7047</v>
      </c>
      <c r="I1929" s="11" t="s">
        <v>7048</v>
      </c>
      <c r="J1929" s="12">
        <v>0.8579</v>
      </c>
      <c r="K1929" s="13">
        <v>32</v>
      </c>
      <c r="L1929" s="14">
        <v>21006</v>
      </c>
      <c r="M1929" s="10">
        <v>10412</v>
      </c>
      <c r="N1929" s="10">
        <v>2321198</v>
      </c>
      <c r="O1929" s="10">
        <v>816498</v>
      </c>
      <c r="P1929" s="10">
        <v>3137696</v>
      </c>
    </row>
    <row r="1930" spans="1:16" ht="27" customHeight="1" x14ac:dyDescent="0.2">
      <c r="A1930" s="9" t="s">
        <v>7025</v>
      </c>
      <c r="B1930" s="10" t="s">
        <v>7049</v>
      </c>
      <c r="C1930" s="11" t="s">
        <v>18</v>
      </c>
      <c r="D1930" s="11" t="s">
        <v>19</v>
      </c>
      <c r="E1930" s="11" t="s">
        <v>19</v>
      </c>
      <c r="F1930" s="11" t="s">
        <v>7050</v>
      </c>
      <c r="G1930" s="11" t="s">
        <v>83</v>
      </c>
      <c r="H1930" s="11" t="s">
        <v>7051</v>
      </c>
      <c r="I1930" s="11" t="s">
        <v>7052</v>
      </c>
      <c r="J1930" s="12">
        <v>0.55210000000000004</v>
      </c>
      <c r="K1930" s="13">
        <v>11</v>
      </c>
      <c r="L1930" s="14">
        <v>5368</v>
      </c>
      <c r="M1930" s="10">
        <v>2294</v>
      </c>
      <c r="N1930" s="10">
        <v>593173</v>
      </c>
      <c r="O1930" s="10">
        <v>179892</v>
      </c>
      <c r="P1930" s="10">
        <v>773065</v>
      </c>
    </row>
    <row r="1931" spans="1:16" ht="27" customHeight="1" x14ac:dyDescent="0.2">
      <c r="A1931" s="9" t="s">
        <v>7025</v>
      </c>
      <c r="B1931" s="10" t="s">
        <v>7053</v>
      </c>
      <c r="C1931" s="11" t="s">
        <v>18</v>
      </c>
      <c r="D1931" s="11" t="s">
        <v>19</v>
      </c>
      <c r="E1931" s="11" t="s">
        <v>19</v>
      </c>
      <c r="F1931" s="11" t="s">
        <v>7054</v>
      </c>
      <c r="G1931" s="11" t="s">
        <v>83</v>
      </c>
      <c r="H1931" s="11" t="s">
        <v>7055</v>
      </c>
      <c r="I1931" s="11" t="s">
        <v>7056</v>
      </c>
      <c r="J1931" s="12">
        <v>0.5998</v>
      </c>
      <c r="K1931" s="13">
        <v>16</v>
      </c>
      <c r="L1931" s="14">
        <v>11374</v>
      </c>
      <c r="M1931" s="10">
        <v>4933</v>
      </c>
      <c r="N1931" s="10">
        <v>1256847</v>
      </c>
      <c r="O1931" s="10">
        <v>386843</v>
      </c>
      <c r="P1931" s="10">
        <v>1643690</v>
      </c>
    </row>
    <row r="1932" spans="1:16" ht="27" customHeight="1" x14ac:dyDescent="0.2">
      <c r="A1932" s="9" t="s">
        <v>7025</v>
      </c>
      <c r="B1932" s="10" t="s">
        <v>7053</v>
      </c>
      <c r="C1932" s="11" t="s">
        <v>7057</v>
      </c>
      <c r="D1932" s="11" t="s">
        <v>7058</v>
      </c>
      <c r="E1932" s="11" t="s">
        <v>26</v>
      </c>
      <c r="F1932" s="11" t="s">
        <v>7059</v>
      </c>
      <c r="G1932" s="11" t="s">
        <v>28</v>
      </c>
      <c r="H1932" s="11" t="s">
        <v>7059</v>
      </c>
      <c r="I1932" s="11" t="s">
        <v>7060</v>
      </c>
      <c r="J1932" s="12">
        <v>0.12559999999999999</v>
      </c>
      <c r="K1932" s="13">
        <v>1</v>
      </c>
      <c r="L1932" s="14">
        <v>645</v>
      </c>
      <c r="M1932" s="10">
        <v>81</v>
      </c>
      <c r="N1932" s="10">
        <v>71274</v>
      </c>
      <c r="O1932" s="10">
        <v>6352</v>
      </c>
      <c r="P1932" s="10">
        <v>77626</v>
      </c>
    </row>
    <row r="1933" spans="1:16" ht="27" customHeight="1" x14ac:dyDescent="0.2">
      <c r="A1933" s="9" t="s">
        <v>7025</v>
      </c>
      <c r="B1933" s="10" t="s">
        <v>7053</v>
      </c>
      <c r="C1933" s="11" t="s">
        <v>7061</v>
      </c>
      <c r="D1933" s="11" t="s">
        <v>7062</v>
      </c>
      <c r="E1933" s="11" t="s">
        <v>57</v>
      </c>
      <c r="F1933" s="11" t="s">
        <v>7063</v>
      </c>
      <c r="G1933" s="11" t="s">
        <v>28</v>
      </c>
      <c r="H1933" s="11" t="s">
        <v>1518</v>
      </c>
      <c r="I1933" s="11" t="s">
        <v>7028</v>
      </c>
      <c r="J1933" s="12">
        <v>0.97219999999999995</v>
      </c>
      <c r="K1933" s="13">
        <v>1</v>
      </c>
      <c r="L1933" s="14">
        <v>358</v>
      </c>
      <c r="M1933" s="10">
        <v>205</v>
      </c>
      <c r="N1933" s="10">
        <v>39560</v>
      </c>
      <c r="O1933" s="10">
        <v>16076</v>
      </c>
      <c r="P1933" s="10">
        <v>55636</v>
      </c>
    </row>
    <row r="1934" spans="1:16" ht="27" customHeight="1" x14ac:dyDescent="0.2">
      <c r="A1934" s="9" t="s">
        <v>7025</v>
      </c>
      <c r="B1934" s="10" t="s">
        <v>7053</v>
      </c>
      <c r="C1934" s="11" t="s">
        <v>7064</v>
      </c>
      <c r="D1934" s="11" t="s">
        <v>7065</v>
      </c>
      <c r="E1934" s="11" t="s">
        <v>57</v>
      </c>
      <c r="F1934" s="11" t="s">
        <v>7066</v>
      </c>
      <c r="G1934" s="11" t="s">
        <v>28</v>
      </c>
      <c r="H1934" s="11" t="s">
        <v>1518</v>
      </c>
      <c r="I1934" s="11" t="s">
        <v>7028</v>
      </c>
      <c r="J1934" s="12">
        <v>0.97219999999999995</v>
      </c>
      <c r="K1934" s="13">
        <v>1</v>
      </c>
      <c r="L1934" s="14">
        <v>455</v>
      </c>
      <c r="M1934" s="10">
        <v>134</v>
      </c>
      <c r="N1934" s="10">
        <v>50278</v>
      </c>
      <c r="O1934" s="10">
        <v>10508</v>
      </c>
      <c r="P1934" s="10">
        <v>60786</v>
      </c>
    </row>
    <row r="1935" spans="1:16" ht="27" customHeight="1" x14ac:dyDescent="0.2">
      <c r="A1935" s="9" t="s">
        <v>7025</v>
      </c>
      <c r="B1935" s="10" t="s">
        <v>7053</v>
      </c>
      <c r="C1935" s="11" t="s">
        <v>7067</v>
      </c>
      <c r="D1935" s="11" t="s">
        <v>7068</v>
      </c>
      <c r="E1935" s="11" t="s">
        <v>57</v>
      </c>
      <c r="F1935" s="11" t="s">
        <v>7069</v>
      </c>
      <c r="G1935" s="11" t="s">
        <v>28</v>
      </c>
      <c r="H1935" s="11" t="s">
        <v>7069</v>
      </c>
      <c r="I1935" s="11" t="s">
        <v>7070</v>
      </c>
      <c r="J1935" s="12">
        <v>0.51910000000000001</v>
      </c>
      <c r="K1935" s="13">
        <v>1</v>
      </c>
      <c r="L1935" s="14">
        <v>614</v>
      </c>
      <c r="M1935" s="10">
        <v>319</v>
      </c>
      <c r="N1935" s="10">
        <v>67848</v>
      </c>
      <c r="O1935" s="10">
        <v>25016</v>
      </c>
      <c r="P1935" s="10">
        <v>92864</v>
      </c>
    </row>
    <row r="1936" spans="1:16" ht="27" customHeight="1" x14ac:dyDescent="0.2">
      <c r="A1936" s="9" t="s">
        <v>7025</v>
      </c>
      <c r="B1936" s="10" t="s">
        <v>7071</v>
      </c>
      <c r="C1936" s="11" t="s">
        <v>18</v>
      </c>
      <c r="D1936" s="11" t="s">
        <v>19</v>
      </c>
      <c r="E1936" s="11" t="s">
        <v>19</v>
      </c>
      <c r="F1936" s="11" t="s">
        <v>7072</v>
      </c>
      <c r="G1936" s="11" t="s">
        <v>83</v>
      </c>
      <c r="H1936" s="11" t="s">
        <v>1518</v>
      </c>
      <c r="I1936" s="11" t="s">
        <v>7028</v>
      </c>
      <c r="J1936" s="12">
        <v>0.97219999999999995</v>
      </c>
      <c r="K1936" s="13">
        <v>20</v>
      </c>
      <c r="L1936" s="14">
        <v>9962</v>
      </c>
      <c r="M1936" s="10">
        <v>7767</v>
      </c>
      <c r="N1936" s="10">
        <v>1100818</v>
      </c>
      <c r="O1936" s="10">
        <v>609082</v>
      </c>
      <c r="P1936" s="10">
        <v>1709900</v>
      </c>
    </row>
    <row r="1937" spans="1:16" ht="27" customHeight="1" x14ac:dyDescent="0.2">
      <c r="A1937" s="9" t="s">
        <v>7025</v>
      </c>
      <c r="B1937" s="10" t="s">
        <v>7071</v>
      </c>
      <c r="C1937" s="11" t="s">
        <v>7073</v>
      </c>
      <c r="D1937" s="11" t="s">
        <v>7074</v>
      </c>
      <c r="E1937" s="11" t="s">
        <v>57</v>
      </c>
      <c r="F1937" s="11" t="s">
        <v>7075</v>
      </c>
      <c r="G1937" s="11" t="s">
        <v>28</v>
      </c>
      <c r="H1937" s="11" t="s">
        <v>7075</v>
      </c>
      <c r="I1937" s="11" t="s">
        <v>7076</v>
      </c>
      <c r="J1937" s="12">
        <v>0.72950000000000004</v>
      </c>
      <c r="K1937" s="13">
        <v>1</v>
      </c>
      <c r="L1937" s="14">
        <v>414</v>
      </c>
      <c r="M1937" s="10">
        <v>302</v>
      </c>
      <c r="N1937" s="10">
        <v>45748</v>
      </c>
      <c r="O1937" s="10">
        <v>23683</v>
      </c>
      <c r="P1937" s="10">
        <v>69431</v>
      </c>
    </row>
    <row r="1938" spans="1:16" ht="27" customHeight="1" x14ac:dyDescent="0.2">
      <c r="A1938" s="9" t="s">
        <v>7025</v>
      </c>
      <c r="B1938" s="10" t="s">
        <v>7071</v>
      </c>
      <c r="C1938" s="11" t="s">
        <v>7077</v>
      </c>
      <c r="D1938" s="11" t="s">
        <v>7078</v>
      </c>
      <c r="E1938" s="11" t="s">
        <v>26</v>
      </c>
      <c r="F1938" s="11" t="s">
        <v>7079</v>
      </c>
      <c r="G1938" s="11" t="s">
        <v>28</v>
      </c>
      <c r="H1938" s="11" t="s">
        <v>7079</v>
      </c>
      <c r="I1938" s="11" t="s">
        <v>7080</v>
      </c>
      <c r="J1938" s="12">
        <v>0.69210000000000005</v>
      </c>
      <c r="K1938" s="13">
        <v>1</v>
      </c>
      <c r="L1938" s="14">
        <v>919</v>
      </c>
      <c r="M1938" s="10">
        <v>636</v>
      </c>
      <c r="N1938" s="10">
        <v>101551</v>
      </c>
      <c r="O1938" s="10">
        <v>49874</v>
      </c>
      <c r="P1938" s="10">
        <v>151425</v>
      </c>
    </row>
    <row r="1939" spans="1:16" ht="27" customHeight="1" x14ac:dyDescent="0.2">
      <c r="A1939" s="9" t="s">
        <v>7025</v>
      </c>
      <c r="B1939" s="10" t="s">
        <v>7071</v>
      </c>
      <c r="C1939" s="11" t="s">
        <v>7081</v>
      </c>
      <c r="D1939" s="11" t="s">
        <v>7082</v>
      </c>
      <c r="E1939" s="11" t="s">
        <v>26</v>
      </c>
      <c r="F1939" s="11" t="s">
        <v>7083</v>
      </c>
      <c r="G1939" s="11" t="s">
        <v>28</v>
      </c>
      <c r="H1939" s="11" t="s">
        <v>1518</v>
      </c>
      <c r="I1939" s="11" t="s">
        <v>7028</v>
      </c>
      <c r="J1939" s="12">
        <v>0.97219999999999995</v>
      </c>
      <c r="K1939" s="13">
        <v>1</v>
      </c>
      <c r="L1939" s="14">
        <v>102</v>
      </c>
      <c r="M1939" s="10">
        <v>58</v>
      </c>
      <c r="N1939" s="10">
        <v>11271</v>
      </c>
      <c r="O1939" s="10">
        <v>4548</v>
      </c>
      <c r="P1939" s="10">
        <v>15819</v>
      </c>
    </row>
    <row r="1940" spans="1:16" ht="27" customHeight="1" x14ac:dyDescent="0.2">
      <c r="A1940" s="9" t="s">
        <v>7025</v>
      </c>
      <c r="B1940" s="10" t="s">
        <v>7071</v>
      </c>
      <c r="C1940" s="11" t="s">
        <v>7084</v>
      </c>
      <c r="D1940" s="11" t="s">
        <v>7085</v>
      </c>
      <c r="E1940" s="11" t="s">
        <v>26</v>
      </c>
      <c r="F1940" s="11" t="s">
        <v>7086</v>
      </c>
      <c r="G1940" s="11" t="s">
        <v>28</v>
      </c>
      <c r="H1940" s="11" t="s">
        <v>1518</v>
      </c>
      <c r="I1940" s="11" t="s">
        <v>7028</v>
      </c>
      <c r="J1940" s="12">
        <v>0.97219999999999995</v>
      </c>
      <c r="K1940" s="13">
        <v>1</v>
      </c>
      <c r="L1940" s="14">
        <v>153</v>
      </c>
      <c r="M1940" s="10">
        <v>91</v>
      </c>
      <c r="N1940" s="10">
        <v>16907</v>
      </c>
      <c r="O1940" s="10">
        <v>7136</v>
      </c>
      <c r="P1940" s="10">
        <v>24043</v>
      </c>
    </row>
    <row r="1941" spans="1:16" ht="27" customHeight="1" x14ac:dyDescent="0.2">
      <c r="A1941" s="9" t="s">
        <v>7025</v>
      </c>
      <c r="B1941" s="10" t="s">
        <v>7071</v>
      </c>
      <c r="C1941" s="11" t="s">
        <v>7087</v>
      </c>
      <c r="D1941" s="11" t="s">
        <v>7088</v>
      </c>
      <c r="E1941" s="11" t="s">
        <v>26</v>
      </c>
      <c r="F1941" s="11" t="s">
        <v>7089</v>
      </c>
      <c r="G1941" s="11" t="s">
        <v>28</v>
      </c>
      <c r="H1941" s="11" t="s">
        <v>1518</v>
      </c>
      <c r="I1941" s="11" t="s">
        <v>7028</v>
      </c>
      <c r="J1941" s="12">
        <v>0.97219999999999995</v>
      </c>
      <c r="K1941" s="13">
        <v>1</v>
      </c>
      <c r="L1941" s="14">
        <v>433</v>
      </c>
      <c r="M1941" s="10">
        <v>216</v>
      </c>
      <c r="N1941" s="10">
        <v>47847</v>
      </c>
      <c r="O1941" s="10">
        <v>16938</v>
      </c>
      <c r="P1941" s="10">
        <v>64785</v>
      </c>
    </row>
    <row r="1942" spans="1:16" ht="27" customHeight="1" x14ac:dyDescent="0.2">
      <c r="A1942" s="9" t="s">
        <v>7025</v>
      </c>
      <c r="B1942" s="10" t="s">
        <v>7071</v>
      </c>
      <c r="C1942" s="11" t="s">
        <v>7090</v>
      </c>
      <c r="D1942" s="11" t="s">
        <v>7091</v>
      </c>
      <c r="E1942" s="11" t="s">
        <v>26</v>
      </c>
      <c r="F1942" s="11" t="s">
        <v>7092</v>
      </c>
      <c r="G1942" s="11" t="s">
        <v>28</v>
      </c>
      <c r="H1942" s="11" t="s">
        <v>1518</v>
      </c>
      <c r="I1942" s="11" t="s">
        <v>7028</v>
      </c>
      <c r="J1942" s="12">
        <v>0.97219999999999995</v>
      </c>
      <c r="K1942" s="13">
        <v>1</v>
      </c>
      <c r="L1942" s="14">
        <v>278</v>
      </c>
      <c r="M1942" s="10">
        <v>147</v>
      </c>
      <c r="N1942" s="10">
        <v>30719</v>
      </c>
      <c r="O1942" s="10">
        <v>11528</v>
      </c>
      <c r="P1942" s="10">
        <v>42247</v>
      </c>
    </row>
    <row r="1943" spans="1:16" ht="27" customHeight="1" x14ac:dyDescent="0.2">
      <c r="A1943" s="9" t="s">
        <v>7093</v>
      </c>
      <c r="B1943" s="10" t="s">
        <v>7094</v>
      </c>
      <c r="C1943" s="11" t="s">
        <v>18</v>
      </c>
      <c r="D1943" s="11" t="s">
        <v>19</v>
      </c>
      <c r="E1943" s="11" t="s">
        <v>19</v>
      </c>
      <c r="F1943" s="11" t="s">
        <v>7095</v>
      </c>
      <c r="G1943" s="11" t="s">
        <v>21</v>
      </c>
      <c r="H1943" s="11" t="s">
        <v>7096</v>
      </c>
      <c r="I1943" s="11" t="s">
        <v>7097</v>
      </c>
      <c r="J1943" s="12">
        <v>1</v>
      </c>
      <c r="K1943" s="13">
        <v>4</v>
      </c>
      <c r="L1943" s="14">
        <v>312</v>
      </c>
      <c r="M1943" s="10">
        <v>159</v>
      </c>
      <c r="N1943" s="10">
        <v>34476</v>
      </c>
      <c r="O1943" s="10">
        <v>12469</v>
      </c>
      <c r="P1943" s="10">
        <v>46945</v>
      </c>
    </row>
    <row r="1944" spans="1:16" ht="27" customHeight="1" x14ac:dyDescent="0.2">
      <c r="A1944" s="9" t="s">
        <v>7093</v>
      </c>
      <c r="B1944" s="10" t="s">
        <v>7098</v>
      </c>
      <c r="C1944" s="11" t="s">
        <v>18</v>
      </c>
      <c r="D1944" s="11" t="s">
        <v>19</v>
      </c>
      <c r="E1944" s="11" t="s">
        <v>19</v>
      </c>
      <c r="F1944" s="11" t="s">
        <v>7099</v>
      </c>
      <c r="G1944" s="11" t="s">
        <v>83</v>
      </c>
      <c r="H1944" s="11" t="s">
        <v>7100</v>
      </c>
      <c r="I1944" s="11" t="s">
        <v>7101</v>
      </c>
      <c r="J1944" s="12">
        <v>0.22320000000000001</v>
      </c>
      <c r="K1944" s="13">
        <v>2</v>
      </c>
      <c r="L1944" s="14">
        <v>112</v>
      </c>
      <c r="M1944" s="10">
        <v>25</v>
      </c>
      <c r="N1944" s="10">
        <v>12376</v>
      </c>
      <c r="O1944" s="10">
        <v>1960</v>
      </c>
      <c r="P1944" s="10">
        <v>14336</v>
      </c>
    </row>
    <row r="1945" spans="1:16" ht="27" customHeight="1" x14ac:dyDescent="0.2">
      <c r="A1945" s="9" t="s">
        <v>7093</v>
      </c>
      <c r="B1945" s="10" t="s">
        <v>7102</v>
      </c>
      <c r="C1945" s="11" t="s">
        <v>18</v>
      </c>
      <c r="D1945" s="11" t="s">
        <v>19</v>
      </c>
      <c r="E1945" s="11" t="s">
        <v>19</v>
      </c>
      <c r="F1945" s="11" t="s">
        <v>7103</v>
      </c>
      <c r="G1945" s="11" t="s">
        <v>83</v>
      </c>
      <c r="H1945" s="11" t="s">
        <v>7096</v>
      </c>
      <c r="I1945" s="11" t="s">
        <v>7097</v>
      </c>
      <c r="J1945" s="12">
        <v>1</v>
      </c>
      <c r="K1945" s="13">
        <v>4</v>
      </c>
      <c r="L1945" s="14">
        <v>1604</v>
      </c>
      <c r="M1945" s="10">
        <v>694</v>
      </c>
      <c r="N1945" s="10">
        <v>177245</v>
      </c>
      <c r="O1945" s="10">
        <v>54423</v>
      </c>
      <c r="P1945" s="10">
        <v>231668</v>
      </c>
    </row>
    <row r="1946" spans="1:16" ht="27" customHeight="1" x14ac:dyDescent="0.2">
      <c r="A1946" s="9" t="s">
        <v>7093</v>
      </c>
      <c r="B1946" s="10" t="s">
        <v>7104</v>
      </c>
      <c r="C1946" s="11" t="s">
        <v>18</v>
      </c>
      <c r="D1946" s="11" t="s">
        <v>19</v>
      </c>
      <c r="E1946" s="11" t="s">
        <v>19</v>
      </c>
      <c r="F1946" s="11" t="s">
        <v>7105</v>
      </c>
      <c r="G1946" s="11" t="s">
        <v>83</v>
      </c>
      <c r="H1946" s="11" t="s">
        <v>7106</v>
      </c>
      <c r="I1946" s="11" t="s">
        <v>7107</v>
      </c>
      <c r="J1946" s="12">
        <v>0.83930000000000005</v>
      </c>
      <c r="K1946" s="13">
        <v>5</v>
      </c>
      <c r="L1946" s="14">
        <v>1677</v>
      </c>
      <c r="M1946" s="10">
        <v>1335</v>
      </c>
      <c r="N1946" s="10">
        <v>185312</v>
      </c>
      <c r="O1946" s="10">
        <v>104689</v>
      </c>
      <c r="P1946" s="10">
        <v>290001</v>
      </c>
    </row>
    <row r="1947" spans="1:16" ht="27" customHeight="1" x14ac:dyDescent="0.2">
      <c r="A1947" s="9" t="s">
        <v>7093</v>
      </c>
      <c r="B1947" s="10" t="s">
        <v>7108</v>
      </c>
      <c r="C1947" s="11" t="s">
        <v>18</v>
      </c>
      <c r="D1947" s="11" t="s">
        <v>19</v>
      </c>
      <c r="E1947" s="11" t="s">
        <v>19</v>
      </c>
      <c r="F1947" s="11" t="s">
        <v>7109</v>
      </c>
      <c r="G1947" s="11" t="s">
        <v>83</v>
      </c>
      <c r="H1947" s="11" t="s">
        <v>7110</v>
      </c>
      <c r="I1947" s="11" t="s">
        <v>7111</v>
      </c>
      <c r="J1947" s="12">
        <v>0.22309999999999999</v>
      </c>
      <c r="K1947" s="13">
        <v>3</v>
      </c>
      <c r="L1947" s="14">
        <v>951</v>
      </c>
      <c r="M1947" s="10">
        <v>206</v>
      </c>
      <c r="N1947" s="10">
        <v>105087</v>
      </c>
      <c r="O1947" s="10">
        <v>16155</v>
      </c>
      <c r="P1947" s="10">
        <v>121242</v>
      </c>
    </row>
    <row r="1948" spans="1:16" ht="27" customHeight="1" x14ac:dyDescent="0.2">
      <c r="A1948" s="9" t="s">
        <v>7093</v>
      </c>
      <c r="B1948" s="10" t="s">
        <v>7112</v>
      </c>
      <c r="C1948" s="11" t="s">
        <v>18</v>
      </c>
      <c r="D1948" s="11" t="s">
        <v>19</v>
      </c>
      <c r="E1948" s="11" t="s">
        <v>19</v>
      </c>
      <c r="F1948" s="11" t="s">
        <v>7113</v>
      </c>
      <c r="G1948" s="11" t="s">
        <v>83</v>
      </c>
      <c r="H1948" s="11" t="s">
        <v>7113</v>
      </c>
      <c r="I1948" s="11" t="s">
        <v>7114</v>
      </c>
      <c r="J1948" s="12">
        <v>0.90480000000000005</v>
      </c>
      <c r="K1948" s="13">
        <v>2</v>
      </c>
      <c r="L1948" s="14">
        <v>21</v>
      </c>
      <c r="M1948" s="10">
        <v>19</v>
      </c>
      <c r="N1948" s="10">
        <v>2321</v>
      </c>
      <c r="O1948" s="10">
        <v>1490</v>
      </c>
      <c r="P1948" s="10">
        <v>3811</v>
      </c>
    </row>
    <row r="1949" spans="1:16" ht="27" customHeight="1" x14ac:dyDescent="0.2">
      <c r="A1949" s="9" t="s">
        <v>7093</v>
      </c>
      <c r="B1949" s="10" t="s">
        <v>7112</v>
      </c>
      <c r="C1949" s="11" t="s">
        <v>7115</v>
      </c>
      <c r="D1949" s="11" t="s">
        <v>7116</v>
      </c>
      <c r="E1949" s="11" t="s">
        <v>57</v>
      </c>
      <c r="F1949" s="11" t="s">
        <v>7117</v>
      </c>
      <c r="G1949" s="11" t="s">
        <v>28</v>
      </c>
      <c r="H1949" s="11" t="s">
        <v>7117</v>
      </c>
      <c r="I1949" s="11" t="s">
        <v>7118</v>
      </c>
      <c r="J1949" s="12">
        <v>0.66669999999999996</v>
      </c>
      <c r="K1949" s="13">
        <v>1</v>
      </c>
      <c r="L1949" s="14">
        <v>186</v>
      </c>
      <c r="M1949" s="10">
        <v>124</v>
      </c>
      <c r="N1949" s="10">
        <v>20553</v>
      </c>
      <c r="O1949" s="10">
        <v>9724</v>
      </c>
      <c r="P1949" s="10">
        <v>30277</v>
      </c>
    </row>
    <row r="1950" spans="1:16" ht="27" customHeight="1" x14ac:dyDescent="0.2">
      <c r="A1950" s="9" t="s">
        <v>7093</v>
      </c>
      <c r="B1950" s="10" t="s">
        <v>7119</v>
      </c>
      <c r="C1950" s="11" t="s">
        <v>18</v>
      </c>
      <c r="D1950" s="11" t="s">
        <v>19</v>
      </c>
      <c r="E1950" s="11" t="s">
        <v>19</v>
      </c>
      <c r="F1950" s="11" t="s">
        <v>7120</v>
      </c>
      <c r="G1950" s="11" t="s">
        <v>83</v>
      </c>
      <c r="H1950" s="11" t="s">
        <v>1482</v>
      </c>
      <c r="I1950" s="11" t="s">
        <v>7121</v>
      </c>
      <c r="J1950" s="12">
        <v>0.622</v>
      </c>
      <c r="K1950" s="13">
        <v>7</v>
      </c>
      <c r="L1950" s="14">
        <v>1323</v>
      </c>
      <c r="M1950" s="10">
        <v>714</v>
      </c>
      <c r="N1950" s="10">
        <v>146194</v>
      </c>
      <c r="O1950" s="10">
        <v>55991</v>
      </c>
      <c r="P1950" s="10">
        <v>202185</v>
      </c>
    </row>
    <row r="1951" spans="1:16" ht="27" customHeight="1" x14ac:dyDescent="0.2">
      <c r="A1951" s="9" t="s">
        <v>7093</v>
      </c>
      <c r="B1951" s="10" t="s">
        <v>7122</v>
      </c>
      <c r="C1951" s="11" t="s">
        <v>18</v>
      </c>
      <c r="D1951" s="11" t="s">
        <v>19</v>
      </c>
      <c r="E1951" s="11" t="s">
        <v>19</v>
      </c>
      <c r="F1951" s="11" t="s">
        <v>7123</v>
      </c>
      <c r="G1951" s="11" t="s">
        <v>83</v>
      </c>
      <c r="H1951" s="11" t="s">
        <v>7123</v>
      </c>
      <c r="I1951" s="11" t="s">
        <v>7124</v>
      </c>
      <c r="J1951" s="12">
        <v>0.1111</v>
      </c>
      <c r="K1951" s="13">
        <v>2</v>
      </c>
      <c r="L1951" s="14">
        <v>9</v>
      </c>
      <c r="M1951" s="10">
        <v>1</v>
      </c>
      <c r="N1951" s="10">
        <v>995</v>
      </c>
      <c r="O1951" s="10">
        <v>78</v>
      </c>
      <c r="P1951" s="10">
        <v>1073</v>
      </c>
    </row>
    <row r="1952" spans="1:16" ht="27" customHeight="1" x14ac:dyDescent="0.2">
      <c r="A1952" s="9" t="s">
        <v>7093</v>
      </c>
      <c r="B1952" s="10" t="s">
        <v>7122</v>
      </c>
      <c r="C1952" s="11" t="s">
        <v>7125</v>
      </c>
      <c r="D1952" s="11" t="s">
        <v>7126</v>
      </c>
      <c r="E1952" s="11" t="s">
        <v>57</v>
      </c>
      <c r="F1952" s="11" t="s">
        <v>7127</v>
      </c>
      <c r="G1952" s="11" t="s">
        <v>28</v>
      </c>
      <c r="H1952" s="11" t="s">
        <v>7127</v>
      </c>
      <c r="I1952" s="11" t="s">
        <v>7128</v>
      </c>
      <c r="J1952" s="12">
        <v>0.19570000000000001</v>
      </c>
      <c r="K1952" s="13">
        <v>1</v>
      </c>
      <c r="L1952" s="14">
        <v>138</v>
      </c>
      <c r="M1952" s="10">
        <v>27</v>
      </c>
      <c r="N1952" s="10">
        <v>15249</v>
      </c>
      <c r="O1952" s="10">
        <v>2117</v>
      </c>
      <c r="P1952" s="10">
        <v>17366</v>
      </c>
    </row>
    <row r="1953" spans="1:16" ht="27" customHeight="1" x14ac:dyDescent="0.2">
      <c r="A1953" s="9" t="s">
        <v>7093</v>
      </c>
      <c r="B1953" s="10" t="s">
        <v>7129</v>
      </c>
      <c r="C1953" s="11" t="s">
        <v>18</v>
      </c>
      <c r="D1953" s="11" t="s">
        <v>19</v>
      </c>
      <c r="E1953" s="11" t="s">
        <v>19</v>
      </c>
      <c r="F1953" s="11" t="s">
        <v>7130</v>
      </c>
      <c r="G1953" s="11" t="s">
        <v>83</v>
      </c>
      <c r="H1953" s="11" t="s">
        <v>7131</v>
      </c>
      <c r="I1953" s="11" t="s">
        <v>7132</v>
      </c>
      <c r="J1953" s="12">
        <v>0.29630000000000001</v>
      </c>
      <c r="K1953" s="13">
        <v>2</v>
      </c>
      <c r="L1953" s="14">
        <v>54</v>
      </c>
      <c r="M1953" s="10">
        <v>16</v>
      </c>
      <c r="N1953" s="10">
        <v>5967</v>
      </c>
      <c r="O1953" s="10">
        <v>1255</v>
      </c>
      <c r="P1953" s="10">
        <v>7222</v>
      </c>
    </row>
    <row r="1954" spans="1:16" ht="27" customHeight="1" x14ac:dyDescent="0.2">
      <c r="A1954" s="9" t="s">
        <v>7093</v>
      </c>
      <c r="B1954" s="10" t="s">
        <v>7129</v>
      </c>
      <c r="C1954" s="11" t="s">
        <v>7133</v>
      </c>
      <c r="D1954" s="11" t="s">
        <v>7134</v>
      </c>
      <c r="E1954" s="11" t="s">
        <v>57</v>
      </c>
      <c r="F1954" s="11" t="s">
        <v>7135</v>
      </c>
      <c r="G1954" s="11" t="s">
        <v>28</v>
      </c>
      <c r="H1954" s="11" t="s">
        <v>7135</v>
      </c>
      <c r="I1954" s="11" t="s">
        <v>7136</v>
      </c>
      <c r="J1954" s="12">
        <v>0.4</v>
      </c>
      <c r="K1954" s="13">
        <v>1</v>
      </c>
      <c r="L1954" s="14">
        <v>170</v>
      </c>
      <c r="M1954" s="10">
        <v>68</v>
      </c>
      <c r="N1954" s="10">
        <v>18785</v>
      </c>
      <c r="O1954" s="10">
        <v>5332</v>
      </c>
      <c r="P1954" s="10">
        <v>24117</v>
      </c>
    </row>
    <row r="1955" spans="1:16" ht="27" customHeight="1" x14ac:dyDescent="0.2">
      <c r="A1955" s="9" t="s">
        <v>7093</v>
      </c>
      <c r="B1955" s="10" t="s">
        <v>7137</v>
      </c>
      <c r="C1955" s="11" t="s">
        <v>18</v>
      </c>
      <c r="D1955" s="11" t="s">
        <v>19</v>
      </c>
      <c r="E1955" s="11" t="s">
        <v>19</v>
      </c>
      <c r="F1955" s="11" t="s">
        <v>7138</v>
      </c>
      <c r="G1955" s="11" t="s">
        <v>83</v>
      </c>
      <c r="H1955" s="11" t="s">
        <v>7138</v>
      </c>
      <c r="I1955" s="11" t="s">
        <v>7139</v>
      </c>
      <c r="J1955" s="12">
        <v>0.64290000000000003</v>
      </c>
      <c r="K1955" s="13">
        <v>2</v>
      </c>
      <c r="L1955" s="14">
        <v>14</v>
      </c>
      <c r="M1955" s="10">
        <v>9</v>
      </c>
      <c r="N1955" s="10">
        <v>1547</v>
      </c>
      <c r="O1955" s="10">
        <v>706</v>
      </c>
      <c r="P1955" s="10">
        <v>2253</v>
      </c>
    </row>
    <row r="1956" spans="1:16" ht="27" customHeight="1" x14ac:dyDescent="0.2">
      <c r="A1956" s="9" t="s">
        <v>7093</v>
      </c>
      <c r="B1956" s="10" t="s">
        <v>7140</v>
      </c>
      <c r="C1956" s="11" t="s">
        <v>18</v>
      </c>
      <c r="D1956" s="11" t="s">
        <v>19</v>
      </c>
      <c r="E1956" s="11" t="s">
        <v>19</v>
      </c>
      <c r="F1956" s="11" t="s">
        <v>7141</v>
      </c>
      <c r="G1956" s="11" t="s">
        <v>83</v>
      </c>
      <c r="H1956" s="11" t="s">
        <v>7142</v>
      </c>
      <c r="I1956" s="11" t="s">
        <v>7143</v>
      </c>
      <c r="J1956" s="12">
        <v>0.60419999999999996</v>
      </c>
      <c r="K1956" s="13">
        <v>4</v>
      </c>
      <c r="L1956" s="14">
        <v>211</v>
      </c>
      <c r="M1956" s="10">
        <v>119</v>
      </c>
      <c r="N1956" s="10">
        <v>23316</v>
      </c>
      <c r="O1956" s="10">
        <v>9331</v>
      </c>
      <c r="P1956" s="10">
        <v>32647</v>
      </c>
    </row>
    <row r="1957" spans="1:16" ht="27" customHeight="1" x14ac:dyDescent="0.2">
      <c r="A1957" s="9" t="s">
        <v>7093</v>
      </c>
      <c r="B1957" s="10" t="s">
        <v>7144</v>
      </c>
      <c r="C1957" s="11" t="s">
        <v>18</v>
      </c>
      <c r="D1957" s="11" t="s">
        <v>19</v>
      </c>
      <c r="E1957" s="11" t="s">
        <v>19</v>
      </c>
      <c r="F1957" s="11" t="s">
        <v>7145</v>
      </c>
      <c r="G1957" s="11" t="s">
        <v>83</v>
      </c>
      <c r="H1957" s="11" t="s">
        <v>7146</v>
      </c>
      <c r="I1957" s="11" t="s">
        <v>7147</v>
      </c>
      <c r="J1957" s="12">
        <v>0.26829999999999998</v>
      </c>
      <c r="K1957" s="13">
        <v>3</v>
      </c>
      <c r="L1957" s="14">
        <v>41</v>
      </c>
      <c r="M1957" s="10">
        <v>11</v>
      </c>
      <c r="N1957" s="10">
        <v>4531</v>
      </c>
      <c r="O1957" s="10">
        <v>863</v>
      </c>
      <c r="P1957" s="10">
        <v>5394</v>
      </c>
    </row>
    <row r="1958" spans="1:16" ht="27" customHeight="1" x14ac:dyDescent="0.2">
      <c r="A1958" s="9" t="s">
        <v>7093</v>
      </c>
      <c r="B1958" s="10" t="s">
        <v>7144</v>
      </c>
      <c r="C1958" s="11" t="s">
        <v>7148</v>
      </c>
      <c r="D1958" s="11" t="s">
        <v>7149</v>
      </c>
      <c r="E1958" s="11" t="s">
        <v>57</v>
      </c>
      <c r="F1958" s="11" t="s">
        <v>7150</v>
      </c>
      <c r="G1958" s="11" t="s">
        <v>28</v>
      </c>
      <c r="H1958" s="11" t="s">
        <v>7150</v>
      </c>
      <c r="I1958" s="11" t="s">
        <v>7151</v>
      </c>
      <c r="J1958" s="12">
        <v>0.31469999999999998</v>
      </c>
      <c r="K1958" s="13">
        <v>1</v>
      </c>
      <c r="L1958" s="14">
        <v>448</v>
      </c>
      <c r="M1958" s="10">
        <v>141</v>
      </c>
      <c r="N1958" s="10">
        <v>49505</v>
      </c>
      <c r="O1958" s="10">
        <v>11057</v>
      </c>
      <c r="P1958" s="10">
        <v>60562</v>
      </c>
    </row>
    <row r="1959" spans="1:16" ht="27" customHeight="1" x14ac:dyDescent="0.2">
      <c r="A1959" s="9" t="s">
        <v>7093</v>
      </c>
      <c r="B1959" s="10" t="s">
        <v>7144</v>
      </c>
      <c r="C1959" s="11" t="s">
        <v>7152</v>
      </c>
      <c r="D1959" s="11" t="s">
        <v>7153</v>
      </c>
      <c r="E1959" s="11" t="s">
        <v>57</v>
      </c>
      <c r="F1959" s="11" t="s">
        <v>7154</v>
      </c>
      <c r="G1959" s="11" t="s">
        <v>28</v>
      </c>
      <c r="H1959" s="11" t="s">
        <v>7096</v>
      </c>
      <c r="I1959" s="11" t="s">
        <v>7097</v>
      </c>
      <c r="J1959" s="12">
        <v>1</v>
      </c>
      <c r="K1959" s="13">
        <v>1</v>
      </c>
      <c r="L1959" s="14">
        <v>278</v>
      </c>
      <c r="M1959" s="10">
        <v>111</v>
      </c>
      <c r="N1959" s="10">
        <v>30719</v>
      </c>
      <c r="O1959" s="10">
        <v>8705</v>
      </c>
      <c r="P1959" s="10">
        <v>39424</v>
      </c>
    </row>
    <row r="1960" spans="1:16" ht="27" customHeight="1" x14ac:dyDescent="0.2">
      <c r="A1960" s="9" t="s">
        <v>7093</v>
      </c>
      <c r="B1960" s="10" t="s">
        <v>7155</v>
      </c>
      <c r="C1960" s="11" t="s">
        <v>18</v>
      </c>
      <c r="D1960" s="11" t="s">
        <v>19</v>
      </c>
      <c r="E1960" s="11" t="s">
        <v>19</v>
      </c>
      <c r="F1960" s="11" t="s">
        <v>7156</v>
      </c>
      <c r="G1960" s="11" t="s">
        <v>83</v>
      </c>
      <c r="H1960" s="11" t="s">
        <v>7157</v>
      </c>
      <c r="I1960" s="11" t="s">
        <v>7158</v>
      </c>
      <c r="J1960" s="12">
        <v>0.44440000000000002</v>
      </c>
      <c r="K1960" s="13">
        <v>2</v>
      </c>
      <c r="L1960" s="14">
        <v>18</v>
      </c>
      <c r="M1960" s="10">
        <v>8</v>
      </c>
      <c r="N1960" s="10">
        <v>1989</v>
      </c>
      <c r="O1960" s="10">
        <v>627</v>
      </c>
      <c r="P1960" s="10">
        <v>2616</v>
      </c>
    </row>
    <row r="1961" spans="1:16" ht="27" customHeight="1" x14ac:dyDescent="0.2">
      <c r="A1961" s="9" t="s">
        <v>7093</v>
      </c>
      <c r="B1961" s="10" t="s">
        <v>7155</v>
      </c>
      <c r="C1961" s="11" t="s">
        <v>7159</v>
      </c>
      <c r="D1961" s="11" t="s">
        <v>7160</v>
      </c>
      <c r="E1961" s="11" t="s">
        <v>26</v>
      </c>
      <c r="F1961" s="11" t="s">
        <v>7161</v>
      </c>
      <c r="G1961" s="11" t="s">
        <v>28</v>
      </c>
      <c r="H1961" s="11" t="s">
        <v>7161</v>
      </c>
      <c r="I1961" s="11" t="s">
        <v>7162</v>
      </c>
      <c r="J1961" s="12">
        <v>0.58589999999999998</v>
      </c>
      <c r="K1961" s="13">
        <v>1</v>
      </c>
      <c r="L1961" s="14">
        <v>128</v>
      </c>
      <c r="M1961" s="10">
        <v>75</v>
      </c>
      <c r="N1961" s="10">
        <v>14144</v>
      </c>
      <c r="O1961" s="10">
        <v>5881</v>
      </c>
      <c r="P1961" s="10">
        <v>20025</v>
      </c>
    </row>
    <row r="1962" spans="1:16" ht="27" customHeight="1" x14ac:dyDescent="0.2">
      <c r="A1962" s="9" t="s">
        <v>7093</v>
      </c>
      <c r="B1962" s="10" t="s">
        <v>7155</v>
      </c>
      <c r="C1962" s="11" t="s">
        <v>7163</v>
      </c>
      <c r="D1962" s="11" t="s">
        <v>7164</v>
      </c>
      <c r="E1962" s="11" t="s">
        <v>57</v>
      </c>
      <c r="F1962" s="11" t="s">
        <v>7165</v>
      </c>
      <c r="G1962" s="11" t="s">
        <v>28</v>
      </c>
      <c r="H1962" s="11" t="s">
        <v>7165</v>
      </c>
      <c r="I1962" s="11" t="s">
        <v>7166</v>
      </c>
      <c r="J1962" s="12">
        <v>0.62439999999999996</v>
      </c>
      <c r="K1962" s="13">
        <v>1</v>
      </c>
      <c r="L1962" s="14">
        <v>213</v>
      </c>
      <c r="M1962" s="10">
        <v>133</v>
      </c>
      <c r="N1962" s="10">
        <v>23537</v>
      </c>
      <c r="O1962" s="10">
        <v>10430</v>
      </c>
      <c r="P1962" s="10">
        <v>33967</v>
      </c>
    </row>
    <row r="1963" spans="1:16" ht="27" customHeight="1" x14ac:dyDescent="0.2">
      <c r="A1963" s="9" t="s">
        <v>7093</v>
      </c>
      <c r="B1963" s="10" t="s">
        <v>7167</v>
      </c>
      <c r="C1963" s="11" t="s">
        <v>18</v>
      </c>
      <c r="D1963" s="11" t="s">
        <v>19</v>
      </c>
      <c r="E1963" s="11" t="s">
        <v>19</v>
      </c>
      <c r="F1963" s="11" t="s">
        <v>7168</v>
      </c>
      <c r="G1963" s="11" t="s">
        <v>83</v>
      </c>
      <c r="H1963" s="11" t="s">
        <v>7169</v>
      </c>
      <c r="I1963" s="11" t="s">
        <v>7170</v>
      </c>
      <c r="J1963" s="12">
        <v>0.15690000000000001</v>
      </c>
      <c r="K1963" s="13">
        <v>2</v>
      </c>
      <c r="L1963" s="14">
        <v>51</v>
      </c>
      <c r="M1963" s="10">
        <v>8</v>
      </c>
      <c r="N1963" s="10">
        <v>5636</v>
      </c>
      <c r="O1963" s="10">
        <v>627</v>
      </c>
      <c r="P1963" s="10">
        <v>6263</v>
      </c>
    </row>
    <row r="1964" spans="1:16" ht="27" customHeight="1" x14ac:dyDescent="0.2">
      <c r="A1964" s="9" t="s">
        <v>7093</v>
      </c>
      <c r="B1964" s="10" t="s">
        <v>7167</v>
      </c>
      <c r="C1964" s="11" t="s">
        <v>7171</v>
      </c>
      <c r="D1964" s="11" t="s">
        <v>7172</v>
      </c>
      <c r="E1964" s="11" t="s">
        <v>57</v>
      </c>
      <c r="F1964" s="11" t="s">
        <v>7173</v>
      </c>
      <c r="G1964" s="11" t="s">
        <v>28</v>
      </c>
      <c r="H1964" s="11" t="s">
        <v>7173</v>
      </c>
      <c r="I1964" s="11" t="s">
        <v>7174</v>
      </c>
      <c r="J1964" s="12">
        <v>0.27079999999999999</v>
      </c>
      <c r="K1964" s="13">
        <v>1</v>
      </c>
      <c r="L1964" s="14">
        <v>144</v>
      </c>
      <c r="M1964" s="10">
        <v>39</v>
      </c>
      <c r="N1964" s="10">
        <v>15912</v>
      </c>
      <c r="O1964" s="10">
        <v>3058</v>
      </c>
      <c r="P1964" s="10">
        <v>18970</v>
      </c>
    </row>
    <row r="1965" spans="1:16" ht="27" customHeight="1" x14ac:dyDescent="0.2">
      <c r="A1965" s="9" t="s">
        <v>7093</v>
      </c>
      <c r="B1965" s="10" t="s">
        <v>7167</v>
      </c>
      <c r="C1965" s="11" t="s">
        <v>7175</v>
      </c>
      <c r="D1965" s="11" t="s">
        <v>7176</v>
      </c>
      <c r="E1965" s="11" t="s">
        <v>26</v>
      </c>
      <c r="F1965" s="11" t="s">
        <v>7177</v>
      </c>
      <c r="G1965" s="11" t="s">
        <v>28</v>
      </c>
      <c r="H1965" s="11" t="s">
        <v>7177</v>
      </c>
      <c r="I1965" s="11" t="s">
        <v>7178</v>
      </c>
      <c r="J1965" s="12">
        <v>0.46279999999999999</v>
      </c>
      <c r="K1965" s="13">
        <v>1</v>
      </c>
      <c r="L1965" s="14">
        <v>309</v>
      </c>
      <c r="M1965" s="10">
        <v>143</v>
      </c>
      <c r="N1965" s="10">
        <v>34145</v>
      </c>
      <c r="O1965" s="10">
        <v>11214</v>
      </c>
      <c r="P1965" s="10">
        <v>45359</v>
      </c>
    </row>
    <row r="1966" spans="1:16" ht="27" customHeight="1" x14ac:dyDescent="0.2">
      <c r="A1966" s="9" t="s">
        <v>7093</v>
      </c>
      <c r="B1966" s="10" t="s">
        <v>7179</v>
      </c>
      <c r="C1966" s="11" t="s">
        <v>18</v>
      </c>
      <c r="D1966" s="11" t="s">
        <v>19</v>
      </c>
      <c r="E1966" s="11" t="s">
        <v>19</v>
      </c>
      <c r="F1966" s="11" t="s">
        <v>7180</v>
      </c>
      <c r="G1966" s="11" t="s">
        <v>83</v>
      </c>
      <c r="H1966" s="11" t="s">
        <v>7180</v>
      </c>
      <c r="I1966" s="11" t="s">
        <v>7181</v>
      </c>
      <c r="J1966" s="12">
        <v>0.78569999999999995</v>
      </c>
      <c r="K1966" s="13">
        <v>2</v>
      </c>
      <c r="L1966" s="14">
        <v>57</v>
      </c>
      <c r="M1966" s="10">
        <v>45</v>
      </c>
      <c r="N1966" s="10">
        <v>6299</v>
      </c>
      <c r="O1966" s="10">
        <v>3529</v>
      </c>
      <c r="P1966" s="10">
        <v>9828</v>
      </c>
    </row>
    <row r="1967" spans="1:16" ht="27" customHeight="1" x14ac:dyDescent="0.2">
      <c r="A1967" s="9" t="s">
        <v>7093</v>
      </c>
      <c r="B1967" s="10" t="s">
        <v>7182</v>
      </c>
      <c r="C1967" s="11" t="s">
        <v>18</v>
      </c>
      <c r="D1967" s="11" t="s">
        <v>19</v>
      </c>
      <c r="E1967" s="11" t="s">
        <v>19</v>
      </c>
      <c r="F1967" s="11" t="s">
        <v>7183</v>
      </c>
      <c r="G1967" s="11" t="s">
        <v>83</v>
      </c>
      <c r="H1967" s="11" t="s">
        <v>7184</v>
      </c>
      <c r="I1967" s="11" t="s">
        <v>7185</v>
      </c>
      <c r="J1967" s="12">
        <v>0.2389</v>
      </c>
      <c r="K1967" s="13">
        <v>2</v>
      </c>
      <c r="L1967" s="14">
        <v>113</v>
      </c>
      <c r="M1967" s="10">
        <v>27</v>
      </c>
      <c r="N1967" s="10">
        <v>12487</v>
      </c>
      <c r="O1967" s="10">
        <v>2117</v>
      </c>
      <c r="P1967" s="10">
        <v>14604</v>
      </c>
    </row>
    <row r="1968" spans="1:16" ht="27" customHeight="1" x14ac:dyDescent="0.2">
      <c r="A1968" s="9" t="s">
        <v>7093</v>
      </c>
      <c r="B1968" s="10" t="s">
        <v>7186</v>
      </c>
      <c r="C1968" s="11" t="s">
        <v>18</v>
      </c>
      <c r="D1968" s="11" t="s">
        <v>19</v>
      </c>
      <c r="E1968" s="11" t="s">
        <v>19</v>
      </c>
      <c r="F1968" s="11" t="s">
        <v>7187</v>
      </c>
      <c r="G1968" s="11" t="s">
        <v>83</v>
      </c>
      <c r="H1968" s="11" t="s">
        <v>7188</v>
      </c>
      <c r="I1968" s="11" t="s">
        <v>7189</v>
      </c>
      <c r="J1968" s="12">
        <v>0.1429</v>
      </c>
      <c r="K1968" s="13">
        <v>2</v>
      </c>
      <c r="L1968" s="14">
        <v>56</v>
      </c>
      <c r="M1968" s="10">
        <v>8</v>
      </c>
      <c r="N1968" s="10">
        <v>6188</v>
      </c>
      <c r="O1968" s="10">
        <v>627</v>
      </c>
      <c r="P1968" s="10">
        <v>6815</v>
      </c>
    </row>
    <row r="1969" spans="1:16" ht="27" customHeight="1" x14ac:dyDescent="0.2">
      <c r="A1969" s="9" t="s">
        <v>7093</v>
      </c>
      <c r="B1969" s="10" t="s">
        <v>7186</v>
      </c>
      <c r="C1969" s="11" t="s">
        <v>7190</v>
      </c>
      <c r="D1969" s="11" t="s">
        <v>7191</v>
      </c>
      <c r="E1969" s="11" t="s">
        <v>26</v>
      </c>
      <c r="F1969" s="11" t="s">
        <v>7192</v>
      </c>
      <c r="G1969" s="11" t="s">
        <v>28</v>
      </c>
      <c r="H1969" s="11" t="s">
        <v>7192</v>
      </c>
      <c r="I1969" s="11" t="s">
        <v>7193</v>
      </c>
      <c r="J1969" s="12">
        <v>0.61180000000000001</v>
      </c>
      <c r="K1969" s="13">
        <v>1</v>
      </c>
      <c r="L1969" s="14">
        <v>814</v>
      </c>
      <c r="M1969" s="10">
        <v>498</v>
      </c>
      <c r="N1969" s="10">
        <v>89948</v>
      </c>
      <c r="O1969" s="10">
        <v>39053</v>
      </c>
      <c r="P1969" s="10">
        <v>129001</v>
      </c>
    </row>
    <row r="1970" spans="1:16" ht="27" customHeight="1" x14ac:dyDescent="0.2">
      <c r="A1970" s="9" t="s">
        <v>7093</v>
      </c>
      <c r="B1970" s="10" t="s">
        <v>7186</v>
      </c>
      <c r="C1970" s="11" t="s">
        <v>7194</v>
      </c>
      <c r="D1970" s="11" t="s">
        <v>7195</v>
      </c>
      <c r="E1970" s="11" t="s">
        <v>26</v>
      </c>
      <c r="F1970" s="11" t="s">
        <v>7196</v>
      </c>
      <c r="G1970" s="11" t="s">
        <v>28</v>
      </c>
      <c r="H1970" s="11" t="s">
        <v>7196</v>
      </c>
      <c r="I1970" s="11" t="s">
        <v>7197</v>
      </c>
      <c r="J1970" s="12">
        <v>0.33329999999999999</v>
      </c>
      <c r="K1970" s="13">
        <v>1</v>
      </c>
      <c r="L1970" s="14">
        <v>528</v>
      </c>
      <c r="M1970" s="10">
        <v>176</v>
      </c>
      <c r="N1970" s="10">
        <v>58345</v>
      </c>
      <c r="O1970" s="10">
        <v>13802</v>
      </c>
      <c r="P1970" s="10">
        <v>72147</v>
      </c>
    </row>
    <row r="1971" spans="1:16" ht="27" customHeight="1" x14ac:dyDescent="0.2">
      <c r="A1971" s="9" t="s">
        <v>7093</v>
      </c>
      <c r="B1971" s="10" t="s">
        <v>7186</v>
      </c>
      <c r="C1971" s="11" t="s">
        <v>7198</v>
      </c>
      <c r="D1971" s="11" t="s">
        <v>7199</v>
      </c>
      <c r="E1971" s="11" t="s">
        <v>57</v>
      </c>
      <c r="F1971" s="11" t="s">
        <v>7200</v>
      </c>
      <c r="G1971" s="11" t="s">
        <v>28</v>
      </c>
      <c r="H1971" s="11" t="s">
        <v>7200</v>
      </c>
      <c r="I1971" s="11" t="s">
        <v>7201</v>
      </c>
      <c r="J1971" s="12">
        <v>0</v>
      </c>
      <c r="K1971" s="13">
        <v>1</v>
      </c>
      <c r="L1971" s="14">
        <v>0</v>
      </c>
      <c r="M1971" s="10">
        <v>0</v>
      </c>
      <c r="N1971" s="10">
        <v>0</v>
      </c>
      <c r="O1971" s="10">
        <v>0</v>
      </c>
      <c r="P1971" s="10">
        <v>0</v>
      </c>
    </row>
    <row r="1972" spans="1:16" ht="27" customHeight="1" x14ac:dyDescent="0.2">
      <c r="A1972" s="9" t="s">
        <v>7093</v>
      </c>
      <c r="B1972" s="10" t="s">
        <v>7186</v>
      </c>
      <c r="C1972" s="11" t="s">
        <v>7202</v>
      </c>
      <c r="D1972" s="11" t="s">
        <v>7203</v>
      </c>
      <c r="E1972" s="11" t="s">
        <v>57</v>
      </c>
      <c r="F1972" s="11" t="s">
        <v>7187</v>
      </c>
      <c r="G1972" s="11" t="s">
        <v>28</v>
      </c>
      <c r="H1972" s="11" t="s">
        <v>7187</v>
      </c>
      <c r="I1972" s="11" t="s">
        <v>7204</v>
      </c>
      <c r="J1972" s="12">
        <v>0.2112</v>
      </c>
      <c r="K1972" s="13">
        <v>1</v>
      </c>
      <c r="L1972" s="14">
        <v>162</v>
      </c>
      <c r="M1972" s="10">
        <v>34</v>
      </c>
      <c r="N1972" s="10">
        <v>17901</v>
      </c>
      <c r="O1972" s="10">
        <v>2666</v>
      </c>
      <c r="P1972" s="10">
        <v>20567</v>
      </c>
    </row>
    <row r="1973" spans="1:16" ht="27" customHeight="1" x14ac:dyDescent="0.2">
      <c r="A1973" s="9" t="s">
        <v>7093</v>
      </c>
      <c r="B1973" s="10" t="s">
        <v>7205</v>
      </c>
      <c r="C1973" s="11" t="s">
        <v>18</v>
      </c>
      <c r="D1973" s="11" t="s">
        <v>19</v>
      </c>
      <c r="E1973" s="11" t="s">
        <v>19</v>
      </c>
      <c r="F1973" s="11" t="s">
        <v>7206</v>
      </c>
      <c r="G1973" s="11" t="s">
        <v>83</v>
      </c>
      <c r="H1973" s="11" t="s">
        <v>7207</v>
      </c>
      <c r="I1973" s="11" t="s">
        <v>7208</v>
      </c>
      <c r="J1973" s="12">
        <v>0.46850000000000003</v>
      </c>
      <c r="K1973" s="13">
        <v>2</v>
      </c>
      <c r="L1973" s="14">
        <v>397</v>
      </c>
      <c r="M1973" s="10">
        <v>186</v>
      </c>
      <c r="N1973" s="10">
        <v>43869</v>
      </c>
      <c r="O1973" s="10">
        <v>14586</v>
      </c>
      <c r="P1973" s="10">
        <v>58455</v>
      </c>
    </row>
    <row r="1974" spans="1:16" ht="27" customHeight="1" x14ac:dyDescent="0.2">
      <c r="A1974" s="9" t="s">
        <v>7093</v>
      </c>
      <c r="B1974" s="10" t="s">
        <v>7205</v>
      </c>
      <c r="C1974" s="11" t="s">
        <v>7209</v>
      </c>
      <c r="D1974" s="11" t="s">
        <v>7210</v>
      </c>
      <c r="E1974" s="11" t="s">
        <v>57</v>
      </c>
      <c r="F1974" s="11" t="s">
        <v>7211</v>
      </c>
      <c r="G1974" s="11" t="s">
        <v>28</v>
      </c>
      <c r="H1974" s="11" t="s">
        <v>7211</v>
      </c>
      <c r="I1974" s="11" t="s">
        <v>7212</v>
      </c>
      <c r="J1974" s="12">
        <v>0.35339999999999999</v>
      </c>
      <c r="K1974" s="13">
        <v>1</v>
      </c>
      <c r="L1974" s="14">
        <v>116</v>
      </c>
      <c r="M1974" s="10">
        <v>41</v>
      </c>
      <c r="N1974" s="10">
        <v>12818</v>
      </c>
      <c r="O1974" s="10">
        <v>3215</v>
      </c>
      <c r="P1974" s="10">
        <v>16033</v>
      </c>
    </row>
    <row r="1975" spans="1:16" ht="27" customHeight="1" x14ac:dyDescent="0.2">
      <c r="A1975" s="9" t="s">
        <v>7093</v>
      </c>
      <c r="B1975" s="10" t="s">
        <v>7205</v>
      </c>
      <c r="C1975" s="11" t="s">
        <v>7213</v>
      </c>
      <c r="D1975" s="11" t="s">
        <v>7214</v>
      </c>
      <c r="E1975" s="11" t="s">
        <v>57</v>
      </c>
      <c r="F1975" s="11" t="s">
        <v>7215</v>
      </c>
      <c r="G1975" s="11" t="s">
        <v>28</v>
      </c>
      <c r="H1975" s="11" t="s">
        <v>7215</v>
      </c>
      <c r="I1975" s="11" t="s">
        <v>7216</v>
      </c>
      <c r="J1975" s="12">
        <v>0.43240000000000001</v>
      </c>
      <c r="K1975" s="13">
        <v>1</v>
      </c>
      <c r="L1975" s="14">
        <v>407</v>
      </c>
      <c r="M1975" s="10">
        <v>176</v>
      </c>
      <c r="N1975" s="10">
        <v>44974</v>
      </c>
      <c r="O1975" s="10">
        <v>13802</v>
      </c>
      <c r="P1975" s="10">
        <v>58776</v>
      </c>
    </row>
    <row r="1976" spans="1:16" ht="27" customHeight="1" x14ac:dyDescent="0.2">
      <c r="A1976" s="9" t="s">
        <v>7093</v>
      </c>
      <c r="B1976" s="10" t="s">
        <v>7205</v>
      </c>
      <c r="C1976" s="11" t="s">
        <v>7217</v>
      </c>
      <c r="D1976" s="11" t="s">
        <v>7218</v>
      </c>
      <c r="E1976" s="11" t="s">
        <v>57</v>
      </c>
      <c r="F1976" s="11" t="s">
        <v>7219</v>
      </c>
      <c r="G1976" s="11" t="s">
        <v>28</v>
      </c>
      <c r="H1976" s="11" t="s">
        <v>7219</v>
      </c>
      <c r="I1976" s="11" t="s">
        <v>7220</v>
      </c>
      <c r="J1976" s="12">
        <v>0.3281</v>
      </c>
      <c r="K1976" s="13">
        <v>1</v>
      </c>
      <c r="L1976" s="14">
        <v>384</v>
      </c>
      <c r="M1976" s="10">
        <v>126</v>
      </c>
      <c r="N1976" s="10">
        <v>42433</v>
      </c>
      <c r="O1976" s="10">
        <v>9881</v>
      </c>
      <c r="P1976" s="10">
        <v>52314</v>
      </c>
    </row>
    <row r="1977" spans="1:16" ht="27" customHeight="1" x14ac:dyDescent="0.2">
      <c r="A1977" s="9" t="s">
        <v>7093</v>
      </c>
      <c r="B1977" s="10" t="s">
        <v>7221</v>
      </c>
      <c r="C1977" s="11" t="s">
        <v>18</v>
      </c>
      <c r="D1977" s="11" t="s">
        <v>19</v>
      </c>
      <c r="E1977" s="11" t="s">
        <v>19</v>
      </c>
      <c r="F1977" s="11" t="s">
        <v>7222</v>
      </c>
      <c r="G1977" s="11" t="s">
        <v>83</v>
      </c>
      <c r="H1977" s="11" t="s">
        <v>7223</v>
      </c>
      <c r="I1977" s="11" t="s">
        <v>7224</v>
      </c>
      <c r="J1977" s="12">
        <v>0.69489999999999996</v>
      </c>
      <c r="K1977" s="13">
        <v>2</v>
      </c>
      <c r="L1977" s="14">
        <v>59</v>
      </c>
      <c r="M1977" s="10">
        <v>41</v>
      </c>
      <c r="N1977" s="10">
        <v>6520</v>
      </c>
      <c r="O1977" s="10">
        <v>3215</v>
      </c>
      <c r="P1977" s="10">
        <v>9735</v>
      </c>
    </row>
    <row r="1978" spans="1:16" ht="27" customHeight="1" x14ac:dyDescent="0.2">
      <c r="A1978" s="9" t="s">
        <v>7093</v>
      </c>
      <c r="B1978" s="10" t="s">
        <v>7225</v>
      </c>
      <c r="C1978" s="11" t="s">
        <v>18</v>
      </c>
      <c r="D1978" s="11" t="s">
        <v>19</v>
      </c>
      <c r="E1978" s="11" t="s">
        <v>19</v>
      </c>
      <c r="F1978" s="11" t="s">
        <v>7226</v>
      </c>
      <c r="G1978" s="11" t="s">
        <v>83</v>
      </c>
      <c r="H1978" s="11" t="s">
        <v>7226</v>
      </c>
      <c r="I1978" s="11" t="s">
        <v>7227</v>
      </c>
      <c r="J1978" s="12">
        <v>0.57140000000000002</v>
      </c>
      <c r="K1978" s="13">
        <v>2</v>
      </c>
      <c r="L1978" s="14">
        <v>21</v>
      </c>
      <c r="M1978" s="10">
        <v>12</v>
      </c>
      <c r="N1978" s="10">
        <v>2321</v>
      </c>
      <c r="O1978" s="10">
        <v>941</v>
      </c>
      <c r="P1978" s="10">
        <v>3262</v>
      </c>
    </row>
    <row r="1979" spans="1:16" ht="27" customHeight="1" x14ac:dyDescent="0.2">
      <c r="A1979" s="9" t="s">
        <v>7093</v>
      </c>
      <c r="B1979" s="10" t="s">
        <v>7228</v>
      </c>
      <c r="C1979" s="11" t="s">
        <v>18</v>
      </c>
      <c r="D1979" s="11" t="s">
        <v>19</v>
      </c>
      <c r="E1979" s="11" t="s">
        <v>19</v>
      </c>
      <c r="F1979" s="11" t="s">
        <v>7229</v>
      </c>
      <c r="G1979" s="11" t="s">
        <v>83</v>
      </c>
      <c r="H1979" s="11" t="s">
        <v>6651</v>
      </c>
      <c r="I1979" s="11" t="s">
        <v>7230</v>
      </c>
      <c r="J1979" s="12">
        <v>0.17949999999999999</v>
      </c>
      <c r="K1979" s="13">
        <v>2</v>
      </c>
      <c r="L1979" s="14">
        <v>78</v>
      </c>
      <c r="M1979" s="10">
        <v>14</v>
      </c>
      <c r="N1979" s="10">
        <v>8619</v>
      </c>
      <c r="O1979" s="10">
        <v>1098</v>
      </c>
      <c r="P1979" s="10">
        <v>9717</v>
      </c>
    </row>
    <row r="1980" spans="1:16" ht="27" customHeight="1" x14ac:dyDescent="0.2">
      <c r="A1980" s="9" t="s">
        <v>7093</v>
      </c>
      <c r="B1980" s="10" t="s">
        <v>7228</v>
      </c>
      <c r="C1980" s="11" t="s">
        <v>7231</v>
      </c>
      <c r="D1980" s="11" t="s">
        <v>7232</v>
      </c>
      <c r="E1980" s="11" t="s">
        <v>26</v>
      </c>
      <c r="F1980" s="11" t="s">
        <v>7233</v>
      </c>
      <c r="G1980" s="11" t="s">
        <v>28</v>
      </c>
      <c r="H1980" s="11" t="s">
        <v>7233</v>
      </c>
      <c r="I1980" s="11" t="s">
        <v>7234</v>
      </c>
      <c r="J1980" s="12">
        <v>0.54820000000000002</v>
      </c>
      <c r="K1980" s="13">
        <v>1</v>
      </c>
      <c r="L1980" s="14">
        <v>394</v>
      </c>
      <c r="M1980" s="10">
        <v>216</v>
      </c>
      <c r="N1980" s="10">
        <v>43538</v>
      </c>
      <c r="O1980" s="10">
        <v>16938</v>
      </c>
      <c r="P1980" s="10">
        <v>60476</v>
      </c>
    </row>
    <row r="1981" spans="1:16" ht="27" customHeight="1" x14ac:dyDescent="0.2">
      <c r="A1981" s="9" t="s">
        <v>7093</v>
      </c>
      <c r="B1981" s="10" t="s">
        <v>7228</v>
      </c>
      <c r="C1981" s="11" t="s">
        <v>7235</v>
      </c>
      <c r="D1981" s="11" t="s">
        <v>7236</v>
      </c>
      <c r="E1981" s="11" t="s">
        <v>57</v>
      </c>
      <c r="F1981" s="11" t="s">
        <v>7237</v>
      </c>
      <c r="G1981" s="11" t="s">
        <v>28</v>
      </c>
      <c r="H1981" s="11" t="s">
        <v>7237</v>
      </c>
      <c r="I1981" s="11" t="s">
        <v>7238</v>
      </c>
      <c r="J1981" s="12">
        <v>0.25879999999999997</v>
      </c>
      <c r="K1981" s="13">
        <v>1</v>
      </c>
      <c r="L1981" s="14">
        <v>742</v>
      </c>
      <c r="M1981" s="10">
        <v>192</v>
      </c>
      <c r="N1981" s="10">
        <v>81992</v>
      </c>
      <c r="O1981" s="10">
        <v>15056</v>
      </c>
      <c r="P1981" s="10">
        <v>97048</v>
      </c>
    </row>
    <row r="1982" spans="1:16" ht="27" customHeight="1" x14ac:dyDescent="0.2">
      <c r="A1982" s="9" t="s">
        <v>7093</v>
      </c>
      <c r="B1982" s="10" t="s">
        <v>7239</v>
      </c>
      <c r="C1982" s="11" t="s">
        <v>18</v>
      </c>
      <c r="D1982" s="11" t="s">
        <v>19</v>
      </c>
      <c r="E1982" s="11" t="s">
        <v>19</v>
      </c>
      <c r="F1982" s="11" t="s">
        <v>7240</v>
      </c>
      <c r="G1982" s="11" t="s">
        <v>83</v>
      </c>
      <c r="H1982" s="11" t="s">
        <v>7241</v>
      </c>
      <c r="I1982" s="11" t="s">
        <v>7242</v>
      </c>
      <c r="J1982" s="12">
        <v>0.36919999999999997</v>
      </c>
      <c r="K1982" s="13">
        <v>2</v>
      </c>
      <c r="L1982" s="14">
        <v>349</v>
      </c>
      <c r="M1982" s="10">
        <v>129</v>
      </c>
      <c r="N1982" s="10">
        <v>38565</v>
      </c>
      <c r="O1982" s="10">
        <v>10116</v>
      </c>
      <c r="P1982" s="10">
        <v>48681</v>
      </c>
    </row>
    <row r="1983" spans="1:16" ht="27" customHeight="1" x14ac:dyDescent="0.2">
      <c r="A1983" s="9" t="s">
        <v>7093</v>
      </c>
      <c r="B1983" s="10" t="s">
        <v>7239</v>
      </c>
      <c r="C1983" s="11" t="s">
        <v>7243</v>
      </c>
      <c r="D1983" s="11" t="s">
        <v>7244</v>
      </c>
      <c r="E1983" s="11" t="s">
        <v>26</v>
      </c>
      <c r="F1983" s="11" t="s">
        <v>7245</v>
      </c>
      <c r="G1983" s="11" t="s">
        <v>28</v>
      </c>
      <c r="H1983" s="11" t="s">
        <v>7245</v>
      </c>
      <c r="I1983" s="11" t="s">
        <v>7246</v>
      </c>
      <c r="J1983" s="12">
        <v>0.1971</v>
      </c>
      <c r="K1983" s="13">
        <v>1</v>
      </c>
      <c r="L1983" s="14">
        <v>137</v>
      </c>
      <c r="M1983" s="10">
        <v>27</v>
      </c>
      <c r="N1983" s="10">
        <v>15139</v>
      </c>
      <c r="O1983" s="10">
        <v>2117</v>
      </c>
      <c r="P1983" s="10">
        <v>17256</v>
      </c>
    </row>
    <row r="1984" spans="1:16" ht="27" customHeight="1" x14ac:dyDescent="0.2">
      <c r="A1984" s="9" t="s">
        <v>7093</v>
      </c>
      <c r="B1984" s="10" t="s">
        <v>7239</v>
      </c>
      <c r="C1984" s="11" t="s">
        <v>7247</v>
      </c>
      <c r="D1984" s="11" t="s">
        <v>7248</v>
      </c>
      <c r="E1984" s="11" t="s">
        <v>57</v>
      </c>
      <c r="F1984" s="11" t="s">
        <v>7249</v>
      </c>
      <c r="G1984" s="11" t="s">
        <v>28</v>
      </c>
      <c r="H1984" s="11" t="s">
        <v>7249</v>
      </c>
      <c r="I1984" s="11" t="s">
        <v>7250</v>
      </c>
      <c r="J1984" s="12">
        <v>0.36609999999999998</v>
      </c>
      <c r="K1984" s="13">
        <v>1</v>
      </c>
      <c r="L1984" s="14">
        <v>489</v>
      </c>
      <c r="M1984" s="10">
        <v>179</v>
      </c>
      <c r="N1984" s="10">
        <v>54035</v>
      </c>
      <c r="O1984" s="10">
        <v>14037</v>
      </c>
      <c r="P1984" s="10">
        <v>68072</v>
      </c>
    </row>
    <row r="1985" spans="1:16" ht="27" customHeight="1" x14ac:dyDescent="0.2">
      <c r="A1985" s="9" t="s">
        <v>7093</v>
      </c>
      <c r="B1985" s="10" t="s">
        <v>7239</v>
      </c>
      <c r="C1985" s="11" t="s">
        <v>7251</v>
      </c>
      <c r="D1985" s="11" t="s">
        <v>7252</v>
      </c>
      <c r="E1985" s="11" t="s">
        <v>57</v>
      </c>
      <c r="F1985" s="11" t="s">
        <v>7253</v>
      </c>
      <c r="G1985" s="11" t="s">
        <v>28</v>
      </c>
      <c r="H1985" s="11" t="s">
        <v>7253</v>
      </c>
      <c r="I1985" s="11" t="s">
        <v>7254</v>
      </c>
      <c r="J1985" s="12">
        <v>0.25</v>
      </c>
      <c r="K1985" s="13">
        <v>1</v>
      </c>
      <c r="L1985" s="14">
        <v>288</v>
      </c>
      <c r="M1985" s="10">
        <v>72</v>
      </c>
      <c r="N1985" s="10">
        <v>31824</v>
      </c>
      <c r="O1985" s="10">
        <v>5646</v>
      </c>
      <c r="P1985" s="10">
        <v>37470</v>
      </c>
    </row>
    <row r="1986" spans="1:16" ht="27" customHeight="1" x14ac:dyDescent="0.2">
      <c r="A1986" s="9" t="s">
        <v>7093</v>
      </c>
      <c r="B1986" s="10" t="s">
        <v>7239</v>
      </c>
      <c r="C1986" s="11" t="s">
        <v>7255</v>
      </c>
      <c r="D1986" s="11" t="s">
        <v>7256</v>
      </c>
      <c r="E1986" s="11" t="s">
        <v>57</v>
      </c>
      <c r="F1986" s="11" t="s">
        <v>7257</v>
      </c>
      <c r="G1986" s="11" t="s">
        <v>28</v>
      </c>
      <c r="H1986" s="11" t="s">
        <v>7257</v>
      </c>
      <c r="I1986" s="11" t="s">
        <v>7258</v>
      </c>
      <c r="J1986" s="12">
        <v>0.70989999999999998</v>
      </c>
      <c r="K1986" s="13">
        <v>1</v>
      </c>
      <c r="L1986" s="14">
        <v>293</v>
      </c>
      <c r="M1986" s="10">
        <v>208</v>
      </c>
      <c r="N1986" s="10">
        <v>32377</v>
      </c>
      <c r="O1986" s="10">
        <v>16311</v>
      </c>
      <c r="P1986" s="10">
        <v>48688</v>
      </c>
    </row>
    <row r="1987" spans="1:16" ht="27" customHeight="1" x14ac:dyDescent="0.2">
      <c r="A1987" s="9" t="s">
        <v>7093</v>
      </c>
      <c r="B1987" s="10" t="s">
        <v>7239</v>
      </c>
      <c r="C1987" s="11" t="s">
        <v>7259</v>
      </c>
      <c r="D1987" s="11" t="s">
        <v>7260</v>
      </c>
      <c r="E1987" s="11" t="s">
        <v>57</v>
      </c>
      <c r="F1987" s="11" t="s">
        <v>7261</v>
      </c>
      <c r="G1987" s="11" t="s">
        <v>28</v>
      </c>
      <c r="H1987" s="11" t="s">
        <v>7261</v>
      </c>
      <c r="I1987" s="11" t="s">
        <v>7262</v>
      </c>
      <c r="J1987" s="12">
        <v>0.13039999999999999</v>
      </c>
      <c r="K1987" s="13">
        <v>1</v>
      </c>
      <c r="L1987" s="14">
        <v>437</v>
      </c>
      <c r="M1987" s="10">
        <v>57</v>
      </c>
      <c r="N1987" s="10">
        <v>48289</v>
      </c>
      <c r="O1987" s="10">
        <v>4470</v>
      </c>
      <c r="P1987" s="10">
        <v>52759</v>
      </c>
    </row>
    <row r="1988" spans="1:16" ht="27" customHeight="1" x14ac:dyDescent="0.2">
      <c r="A1988" s="9" t="s">
        <v>7093</v>
      </c>
      <c r="B1988" s="10" t="s">
        <v>7263</v>
      </c>
      <c r="C1988" s="11" t="s">
        <v>18</v>
      </c>
      <c r="D1988" s="11" t="s">
        <v>19</v>
      </c>
      <c r="E1988" s="11" t="s">
        <v>19</v>
      </c>
      <c r="F1988" s="11" t="s">
        <v>7264</v>
      </c>
      <c r="G1988" s="11" t="s">
        <v>83</v>
      </c>
      <c r="H1988" s="11" t="s">
        <v>7265</v>
      </c>
      <c r="I1988" s="11" t="s">
        <v>7266</v>
      </c>
      <c r="J1988" s="12">
        <v>0.84079999999999999</v>
      </c>
      <c r="K1988" s="13">
        <v>8</v>
      </c>
      <c r="L1988" s="14">
        <v>1759</v>
      </c>
      <c r="M1988" s="10">
        <v>804</v>
      </c>
      <c r="N1988" s="10">
        <v>194372</v>
      </c>
      <c r="O1988" s="10">
        <v>63050</v>
      </c>
      <c r="P1988" s="10">
        <v>257422</v>
      </c>
    </row>
    <row r="1989" spans="1:16" ht="27" customHeight="1" x14ac:dyDescent="0.2">
      <c r="A1989" s="9" t="s">
        <v>7093</v>
      </c>
      <c r="B1989" s="10" t="s">
        <v>7263</v>
      </c>
      <c r="C1989" s="11" t="s">
        <v>7267</v>
      </c>
      <c r="D1989" s="11" t="s">
        <v>7268</v>
      </c>
      <c r="E1989" s="11" t="s">
        <v>57</v>
      </c>
      <c r="F1989" s="11" t="s">
        <v>7269</v>
      </c>
      <c r="G1989" s="11" t="s">
        <v>28</v>
      </c>
      <c r="H1989" s="11" t="s">
        <v>7269</v>
      </c>
      <c r="I1989" s="11" t="s">
        <v>7270</v>
      </c>
      <c r="J1989" s="12">
        <v>0.35139999999999999</v>
      </c>
      <c r="K1989" s="13">
        <v>1</v>
      </c>
      <c r="L1989" s="14">
        <v>481</v>
      </c>
      <c r="M1989" s="10">
        <v>169</v>
      </c>
      <c r="N1989" s="10">
        <v>53151</v>
      </c>
      <c r="O1989" s="10">
        <v>13253</v>
      </c>
      <c r="P1989" s="10">
        <v>66404</v>
      </c>
    </row>
    <row r="1990" spans="1:16" ht="27" customHeight="1" x14ac:dyDescent="0.2">
      <c r="A1990" s="9" t="s">
        <v>7093</v>
      </c>
      <c r="B1990" s="10" t="s">
        <v>7263</v>
      </c>
      <c r="C1990" s="11" t="s">
        <v>7271</v>
      </c>
      <c r="D1990" s="11" t="s">
        <v>7272</v>
      </c>
      <c r="E1990" s="11" t="s">
        <v>26</v>
      </c>
      <c r="F1990" s="11" t="s">
        <v>7273</v>
      </c>
      <c r="G1990" s="11" t="s">
        <v>28</v>
      </c>
      <c r="H1990" s="11" t="s">
        <v>7273</v>
      </c>
      <c r="I1990" s="11" t="s">
        <v>7274</v>
      </c>
      <c r="J1990" s="12">
        <v>0.15870000000000001</v>
      </c>
      <c r="K1990" s="13">
        <v>1</v>
      </c>
      <c r="L1990" s="14">
        <v>252</v>
      </c>
      <c r="M1990" s="10">
        <v>40</v>
      </c>
      <c r="N1990" s="10">
        <v>27846</v>
      </c>
      <c r="O1990" s="10">
        <v>3137</v>
      </c>
      <c r="P1990" s="10">
        <v>30983</v>
      </c>
    </row>
    <row r="1991" spans="1:16" ht="27" customHeight="1" x14ac:dyDescent="0.2">
      <c r="A1991" s="9" t="s">
        <v>7093</v>
      </c>
      <c r="B1991" s="10" t="s">
        <v>7275</v>
      </c>
      <c r="C1991" s="11" t="s">
        <v>18</v>
      </c>
      <c r="D1991" s="11" t="s">
        <v>19</v>
      </c>
      <c r="E1991" s="11" t="s">
        <v>19</v>
      </c>
      <c r="F1991" s="11" t="s">
        <v>7276</v>
      </c>
      <c r="G1991" s="11" t="s">
        <v>83</v>
      </c>
      <c r="H1991" s="11" t="s">
        <v>7096</v>
      </c>
      <c r="I1991" s="11" t="s">
        <v>7097</v>
      </c>
      <c r="J1991" s="12">
        <v>1</v>
      </c>
      <c r="K1991" s="13">
        <v>9</v>
      </c>
      <c r="L1991" s="14">
        <v>4325</v>
      </c>
      <c r="M1991" s="10">
        <v>1892</v>
      </c>
      <c r="N1991" s="10">
        <v>477921</v>
      </c>
      <c r="O1991" s="10">
        <v>148369</v>
      </c>
      <c r="P1991" s="10">
        <v>626290</v>
      </c>
    </row>
    <row r="1992" spans="1:16" ht="27" customHeight="1" x14ac:dyDescent="0.2">
      <c r="A1992" s="9" t="s">
        <v>7093</v>
      </c>
      <c r="B1992" s="10" t="s">
        <v>7275</v>
      </c>
      <c r="C1992" s="11" t="s">
        <v>7277</v>
      </c>
      <c r="D1992" s="11" t="s">
        <v>7278</v>
      </c>
      <c r="E1992" s="11" t="s">
        <v>57</v>
      </c>
      <c r="F1992" s="11" t="s">
        <v>7279</v>
      </c>
      <c r="G1992" s="11" t="s">
        <v>28</v>
      </c>
      <c r="H1992" s="11" t="s">
        <v>7096</v>
      </c>
      <c r="I1992" s="11" t="s">
        <v>7097</v>
      </c>
      <c r="J1992" s="12">
        <v>1</v>
      </c>
      <c r="K1992" s="13">
        <v>1</v>
      </c>
      <c r="L1992" s="14">
        <v>123</v>
      </c>
      <c r="M1992" s="10">
        <v>15</v>
      </c>
      <c r="N1992" s="10">
        <v>13592</v>
      </c>
      <c r="O1992" s="10">
        <v>1176</v>
      </c>
      <c r="P1992" s="10">
        <v>14768</v>
      </c>
    </row>
    <row r="1993" spans="1:16" ht="27" customHeight="1" x14ac:dyDescent="0.2">
      <c r="A1993" s="9" t="s">
        <v>7093</v>
      </c>
      <c r="B1993" s="10" t="s">
        <v>7275</v>
      </c>
      <c r="C1993" s="11" t="s">
        <v>7280</v>
      </c>
      <c r="D1993" s="11" t="s">
        <v>7281</v>
      </c>
      <c r="E1993" s="11" t="s">
        <v>57</v>
      </c>
      <c r="F1993" s="11" t="s">
        <v>7282</v>
      </c>
      <c r="G1993" s="11" t="s">
        <v>28</v>
      </c>
      <c r="H1993" s="11" t="s">
        <v>7282</v>
      </c>
      <c r="I1993" s="11" t="s">
        <v>7283</v>
      </c>
      <c r="J1993" s="12">
        <v>0.26550000000000001</v>
      </c>
      <c r="K1993" s="13">
        <v>1</v>
      </c>
      <c r="L1993" s="14">
        <v>452</v>
      </c>
      <c r="M1993" s="10">
        <v>120</v>
      </c>
      <c r="N1993" s="10">
        <v>49947</v>
      </c>
      <c r="O1993" s="10">
        <v>9410</v>
      </c>
      <c r="P1993" s="10">
        <v>59357</v>
      </c>
    </row>
    <row r="1994" spans="1:16" ht="27" customHeight="1" x14ac:dyDescent="0.2">
      <c r="A1994" s="9" t="s">
        <v>7093</v>
      </c>
      <c r="B1994" s="10" t="s">
        <v>7284</v>
      </c>
      <c r="C1994" s="11" t="s">
        <v>18</v>
      </c>
      <c r="D1994" s="11" t="s">
        <v>19</v>
      </c>
      <c r="E1994" s="11" t="s">
        <v>19</v>
      </c>
      <c r="F1994" s="11" t="s">
        <v>7285</v>
      </c>
      <c r="G1994" s="11" t="s">
        <v>83</v>
      </c>
      <c r="H1994" s="11" t="s">
        <v>508</v>
      </c>
      <c r="I1994" s="11" t="s">
        <v>7286</v>
      </c>
      <c r="J1994" s="12">
        <v>0.59640000000000004</v>
      </c>
      <c r="K1994" s="13">
        <v>2</v>
      </c>
      <c r="L1994" s="14">
        <v>275</v>
      </c>
      <c r="M1994" s="10">
        <v>164</v>
      </c>
      <c r="N1994" s="10">
        <v>30388</v>
      </c>
      <c r="O1994" s="10">
        <v>12861</v>
      </c>
      <c r="P1994" s="10">
        <v>43249</v>
      </c>
    </row>
    <row r="1995" spans="1:16" ht="27" customHeight="1" x14ac:dyDescent="0.2">
      <c r="A1995" s="9" t="s">
        <v>7093</v>
      </c>
      <c r="B1995" s="10" t="s">
        <v>7284</v>
      </c>
      <c r="C1995" s="11" t="s">
        <v>7287</v>
      </c>
      <c r="D1995" s="11" t="s">
        <v>7288</v>
      </c>
      <c r="E1995" s="11" t="s">
        <v>26</v>
      </c>
      <c r="F1995" s="11" t="s">
        <v>7289</v>
      </c>
      <c r="G1995" s="11" t="s">
        <v>28</v>
      </c>
      <c r="H1995" s="11" t="s">
        <v>7289</v>
      </c>
      <c r="I1995" s="11" t="s">
        <v>7290</v>
      </c>
      <c r="J1995" s="12">
        <v>0.4919</v>
      </c>
      <c r="K1995" s="13">
        <v>1</v>
      </c>
      <c r="L1995" s="14">
        <v>124</v>
      </c>
      <c r="M1995" s="10">
        <v>61</v>
      </c>
      <c r="N1995" s="10">
        <v>13702</v>
      </c>
      <c r="O1995" s="10">
        <v>4784</v>
      </c>
      <c r="P1995" s="10">
        <v>18486</v>
      </c>
    </row>
    <row r="1996" spans="1:16" ht="27" customHeight="1" x14ac:dyDescent="0.2">
      <c r="A1996" s="9" t="s">
        <v>7093</v>
      </c>
      <c r="B1996" s="10" t="s">
        <v>7284</v>
      </c>
      <c r="C1996" s="11" t="s">
        <v>7291</v>
      </c>
      <c r="D1996" s="11" t="s">
        <v>7292</v>
      </c>
      <c r="E1996" s="11" t="s">
        <v>26</v>
      </c>
      <c r="F1996" s="11" t="s">
        <v>7293</v>
      </c>
      <c r="G1996" s="11" t="s">
        <v>28</v>
      </c>
      <c r="H1996" s="11" t="s">
        <v>7293</v>
      </c>
      <c r="I1996" s="11" t="s">
        <v>7294</v>
      </c>
      <c r="J1996" s="12">
        <v>0.4516</v>
      </c>
      <c r="K1996" s="13">
        <v>1</v>
      </c>
      <c r="L1996" s="14">
        <v>310</v>
      </c>
      <c r="M1996" s="10">
        <v>140</v>
      </c>
      <c r="N1996" s="10">
        <v>34256</v>
      </c>
      <c r="O1996" s="10">
        <v>10979</v>
      </c>
      <c r="P1996" s="10">
        <v>45235</v>
      </c>
    </row>
    <row r="1997" spans="1:16" ht="27" customHeight="1" x14ac:dyDescent="0.2">
      <c r="A1997" s="9" t="s">
        <v>7093</v>
      </c>
      <c r="B1997" s="10" t="s">
        <v>7284</v>
      </c>
      <c r="C1997" s="11" t="s">
        <v>7295</v>
      </c>
      <c r="D1997" s="11" t="s">
        <v>7296</v>
      </c>
      <c r="E1997" s="11" t="s">
        <v>26</v>
      </c>
      <c r="F1997" s="11" t="s">
        <v>7297</v>
      </c>
      <c r="G1997" s="11" t="s">
        <v>28</v>
      </c>
      <c r="H1997" s="11" t="s">
        <v>7297</v>
      </c>
      <c r="I1997" s="11" t="s">
        <v>7298</v>
      </c>
      <c r="J1997" s="12">
        <v>0.63700000000000001</v>
      </c>
      <c r="K1997" s="13">
        <v>1</v>
      </c>
      <c r="L1997" s="14">
        <v>303</v>
      </c>
      <c r="M1997" s="10">
        <v>193</v>
      </c>
      <c r="N1997" s="10">
        <v>33482</v>
      </c>
      <c r="O1997" s="10">
        <v>15135</v>
      </c>
      <c r="P1997" s="10">
        <v>48617</v>
      </c>
    </row>
    <row r="1998" spans="1:16" ht="27" customHeight="1" x14ac:dyDescent="0.2">
      <c r="A1998" s="9" t="s">
        <v>7093</v>
      </c>
      <c r="B1998" s="10" t="s">
        <v>7284</v>
      </c>
      <c r="C1998" s="11" t="s">
        <v>7299</v>
      </c>
      <c r="D1998" s="11" t="s">
        <v>7300</v>
      </c>
      <c r="E1998" s="11" t="s">
        <v>26</v>
      </c>
      <c r="F1998" s="11" t="s">
        <v>7301</v>
      </c>
      <c r="G1998" s="11" t="s">
        <v>28</v>
      </c>
      <c r="H1998" s="11" t="s">
        <v>7096</v>
      </c>
      <c r="I1998" s="11" t="s">
        <v>7097</v>
      </c>
      <c r="J1998" s="12">
        <v>1</v>
      </c>
      <c r="K1998" s="13">
        <v>1</v>
      </c>
      <c r="L1998" s="14">
        <v>216</v>
      </c>
      <c r="M1998" s="10">
        <v>96</v>
      </c>
      <c r="N1998" s="10">
        <v>23868</v>
      </c>
      <c r="O1998" s="10">
        <v>7528</v>
      </c>
      <c r="P1998" s="10">
        <v>31396</v>
      </c>
    </row>
    <row r="1999" spans="1:16" ht="27" customHeight="1" x14ac:dyDescent="0.2">
      <c r="A1999" s="9" t="s">
        <v>7093</v>
      </c>
      <c r="B1999" s="10" t="s">
        <v>7302</v>
      </c>
      <c r="C1999" s="11" t="s">
        <v>18</v>
      </c>
      <c r="D1999" s="11" t="s">
        <v>19</v>
      </c>
      <c r="E1999" s="11" t="s">
        <v>19</v>
      </c>
      <c r="F1999" s="11" t="s">
        <v>7096</v>
      </c>
      <c r="G1999" s="11" t="s">
        <v>83</v>
      </c>
      <c r="H1999" s="11" t="s">
        <v>7096</v>
      </c>
      <c r="I1999" s="11" t="s">
        <v>7097</v>
      </c>
      <c r="J1999" s="12">
        <v>1</v>
      </c>
      <c r="K1999" s="13">
        <v>2</v>
      </c>
      <c r="L1999" s="14">
        <v>8</v>
      </c>
      <c r="M1999" s="10">
        <v>8</v>
      </c>
      <c r="N1999" s="10">
        <v>884</v>
      </c>
      <c r="O1999" s="10">
        <v>627</v>
      </c>
      <c r="P1999" s="10">
        <v>1511</v>
      </c>
    </row>
    <row r="2000" spans="1:16" ht="27" customHeight="1" x14ac:dyDescent="0.2">
      <c r="A2000" s="9" t="s">
        <v>7093</v>
      </c>
      <c r="B2000" s="10" t="s">
        <v>7303</v>
      </c>
      <c r="C2000" s="11" t="s">
        <v>18</v>
      </c>
      <c r="D2000" s="11" t="s">
        <v>19</v>
      </c>
      <c r="E2000" s="11" t="s">
        <v>19</v>
      </c>
      <c r="F2000" s="11" t="s">
        <v>7304</v>
      </c>
      <c r="G2000" s="11" t="s">
        <v>83</v>
      </c>
      <c r="H2000" s="11" t="s">
        <v>7305</v>
      </c>
      <c r="I2000" s="11" t="s">
        <v>7306</v>
      </c>
      <c r="J2000" s="12">
        <v>0.41289999999999999</v>
      </c>
      <c r="K2000" s="13">
        <v>5</v>
      </c>
      <c r="L2000" s="14">
        <v>1280</v>
      </c>
      <c r="M2000" s="10">
        <v>338</v>
      </c>
      <c r="N2000" s="10">
        <v>141443</v>
      </c>
      <c r="O2000" s="10">
        <v>26506</v>
      </c>
      <c r="P2000" s="10">
        <v>167949</v>
      </c>
    </row>
    <row r="2001" spans="1:16" ht="27" customHeight="1" x14ac:dyDescent="0.2">
      <c r="A2001" s="9" t="s">
        <v>7093</v>
      </c>
      <c r="B2001" s="10" t="s">
        <v>7303</v>
      </c>
      <c r="C2001" s="11" t="s">
        <v>7307</v>
      </c>
      <c r="D2001" s="11" t="s">
        <v>7308</v>
      </c>
      <c r="E2001" s="11" t="s">
        <v>57</v>
      </c>
      <c r="F2001" s="11" t="s">
        <v>7309</v>
      </c>
      <c r="G2001" s="11" t="s">
        <v>28</v>
      </c>
      <c r="H2001" s="11" t="s">
        <v>7309</v>
      </c>
      <c r="I2001" s="11" t="s">
        <v>7310</v>
      </c>
      <c r="J2001" s="12">
        <v>0.28349999999999997</v>
      </c>
      <c r="K2001" s="13">
        <v>1</v>
      </c>
      <c r="L2001" s="14">
        <v>328</v>
      </c>
      <c r="M2001" s="10">
        <v>93</v>
      </c>
      <c r="N2001" s="10">
        <v>36245</v>
      </c>
      <c r="O2001" s="10">
        <v>7293</v>
      </c>
      <c r="P2001" s="10">
        <v>43538</v>
      </c>
    </row>
    <row r="2002" spans="1:16" ht="27" customHeight="1" x14ac:dyDescent="0.2">
      <c r="A2002" s="9" t="s">
        <v>7093</v>
      </c>
      <c r="B2002" s="10" t="s">
        <v>7303</v>
      </c>
      <c r="C2002" s="11" t="s">
        <v>7311</v>
      </c>
      <c r="D2002" s="11" t="s">
        <v>7312</v>
      </c>
      <c r="E2002" s="11" t="s">
        <v>57</v>
      </c>
      <c r="F2002" s="11" t="s">
        <v>7313</v>
      </c>
      <c r="G2002" s="11" t="s">
        <v>28</v>
      </c>
      <c r="H2002" s="11" t="s">
        <v>7313</v>
      </c>
      <c r="I2002" s="11" t="s">
        <v>7314</v>
      </c>
      <c r="J2002" s="12">
        <v>0.43930000000000002</v>
      </c>
      <c r="K2002" s="13">
        <v>1</v>
      </c>
      <c r="L2002" s="14">
        <v>412</v>
      </c>
      <c r="M2002" s="10">
        <v>181</v>
      </c>
      <c r="N2002" s="10">
        <v>45527</v>
      </c>
      <c r="O2002" s="10">
        <v>14194</v>
      </c>
      <c r="P2002" s="10">
        <v>59721</v>
      </c>
    </row>
    <row r="2003" spans="1:16" ht="27" customHeight="1" x14ac:dyDescent="0.2">
      <c r="A2003" s="9" t="s">
        <v>7093</v>
      </c>
      <c r="B2003" s="10" t="s">
        <v>7303</v>
      </c>
      <c r="C2003" s="11" t="s">
        <v>7315</v>
      </c>
      <c r="D2003" s="11" t="s">
        <v>7316</v>
      </c>
      <c r="E2003" s="11" t="s">
        <v>57</v>
      </c>
      <c r="F2003" s="11" t="s">
        <v>7317</v>
      </c>
      <c r="G2003" s="11" t="s">
        <v>28</v>
      </c>
      <c r="H2003" s="11" t="s">
        <v>7317</v>
      </c>
      <c r="I2003" s="11" t="s">
        <v>7318</v>
      </c>
      <c r="J2003" s="12">
        <v>0.4914</v>
      </c>
      <c r="K2003" s="13">
        <v>1</v>
      </c>
      <c r="L2003" s="14">
        <v>348</v>
      </c>
      <c r="M2003" s="10">
        <v>171</v>
      </c>
      <c r="N2003" s="10">
        <v>38455</v>
      </c>
      <c r="O2003" s="10">
        <v>13410</v>
      </c>
      <c r="P2003" s="10">
        <v>51865</v>
      </c>
    </row>
    <row r="2004" spans="1:16" ht="27" customHeight="1" x14ac:dyDescent="0.2">
      <c r="A2004" s="9" t="s">
        <v>7093</v>
      </c>
      <c r="B2004" s="10" t="s">
        <v>7303</v>
      </c>
      <c r="C2004" s="11" t="s">
        <v>7319</v>
      </c>
      <c r="D2004" s="11" t="s">
        <v>7320</v>
      </c>
      <c r="E2004" s="11" t="s">
        <v>57</v>
      </c>
      <c r="F2004" s="11" t="s">
        <v>7321</v>
      </c>
      <c r="G2004" s="11" t="s">
        <v>28</v>
      </c>
      <c r="H2004" s="11" t="s">
        <v>7321</v>
      </c>
      <c r="I2004" s="11" t="s">
        <v>7322</v>
      </c>
      <c r="J2004" s="12">
        <v>0.48349999999999999</v>
      </c>
      <c r="K2004" s="13">
        <v>1</v>
      </c>
      <c r="L2004" s="14">
        <v>393</v>
      </c>
      <c r="M2004" s="10">
        <v>190</v>
      </c>
      <c r="N2004" s="10">
        <v>43427</v>
      </c>
      <c r="O2004" s="10">
        <v>14900</v>
      </c>
      <c r="P2004" s="10">
        <v>58327</v>
      </c>
    </row>
    <row r="2005" spans="1:16" ht="27" customHeight="1" x14ac:dyDescent="0.2">
      <c r="A2005" s="9" t="s">
        <v>7093</v>
      </c>
      <c r="B2005" s="10" t="s">
        <v>7303</v>
      </c>
      <c r="C2005" s="11" t="s">
        <v>7323</v>
      </c>
      <c r="D2005" s="11" t="s">
        <v>7324</v>
      </c>
      <c r="E2005" s="11" t="s">
        <v>57</v>
      </c>
      <c r="F2005" s="11" t="s">
        <v>7325</v>
      </c>
      <c r="G2005" s="11" t="s">
        <v>28</v>
      </c>
      <c r="H2005" s="11" t="s">
        <v>7325</v>
      </c>
      <c r="I2005" s="11" t="s">
        <v>7326</v>
      </c>
      <c r="J2005" s="12">
        <v>0.4027</v>
      </c>
      <c r="K2005" s="13">
        <v>1</v>
      </c>
      <c r="L2005" s="14">
        <v>365</v>
      </c>
      <c r="M2005" s="10">
        <v>147</v>
      </c>
      <c r="N2005" s="10">
        <v>40333</v>
      </c>
      <c r="O2005" s="10">
        <v>11528</v>
      </c>
      <c r="P2005" s="10">
        <v>51861</v>
      </c>
    </row>
    <row r="2006" spans="1:16" ht="27" customHeight="1" x14ac:dyDescent="0.2">
      <c r="A2006" s="9" t="s">
        <v>7093</v>
      </c>
      <c r="B2006" s="10" t="s">
        <v>7327</v>
      </c>
      <c r="C2006" s="11" t="s">
        <v>18</v>
      </c>
      <c r="D2006" s="11" t="s">
        <v>19</v>
      </c>
      <c r="E2006" s="11" t="s">
        <v>19</v>
      </c>
      <c r="F2006" s="11" t="s">
        <v>7328</v>
      </c>
      <c r="G2006" s="11" t="s">
        <v>83</v>
      </c>
      <c r="H2006" s="11" t="s">
        <v>7329</v>
      </c>
      <c r="I2006" s="11" t="s">
        <v>7330</v>
      </c>
      <c r="J2006" s="12">
        <v>0.86080000000000001</v>
      </c>
      <c r="K2006" s="13">
        <v>4</v>
      </c>
      <c r="L2006" s="14">
        <v>1554</v>
      </c>
      <c r="M2006" s="10">
        <v>1252</v>
      </c>
      <c r="N2006" s="10">
        <v>171719</v>
      </c>
      <c r="O2006" s="10">
        <v>98181</v>
      </c>
      <c r="P2006" s="10">
        <v>269900</v>
      </c>
    </row>
    <row r="2007" spans="1:16" ht="27" customHeight="1" x14ac:dyDescent="0.2">
      <c r="A2007" s="9" t="s">
        <v>7093</v>
      </c>
      <c r="B2007" s="10" t="s">
        <v>7327</v>
      </c>
      <c r="C2007" s="11" t="s">
        <v>7331</v>
      </c>
      <c r="D2007" s="11" t="s">
        <v>7332</v>
      </c>
      <c r="E2007" s="11" t="s">
        <v>26</v>
      </c>
      <c r="F2007" s="11" t="s">
        <v>7333</v>
      </c>
      <c r="G2007" s="11" t="s">
        <v>28</v>
      </c>
      <c r="H2007" s="11" t="s">
        <v>7333</v>
      </c>
      <c r="I2007" s="11" t="s">
        <v>7334</v>
      </c>
      <c r="J2007" s="12">
        <v>0.70220000000000005</v>
      </c>
      <c r="K2007" s="13">
        <v>1</v>
      </c>
      <c r="L2007" s="14">
        <v>1293</v>
      </c>
      <c r="M2007" s="10">
        <v>908</v>
      </c>
      <c r="N2007" s="10">
        <v>142879</v>
      </c>
      <c r="O2007" s="10">
        <v>71204</v>
      </c>
      <c r="P2007" s="10">
        <v>214083</v>
      </c>
    </row>
    <row r="2008" spans="1:16" ht="27" customHeight="1" x14ac:dyDescent="0.2">
      <c r="A2008" s="9" t="s">
        <v>7093</v>
      </c>
      <c r="B2008" s="10" t="s">
        <v>7335</v>
      </c>
      <c r="C2008" s="11" t="s">
        <v>18</v>
      </c>
      <c r="D2008" s="11" t="s">
        <v>19</v>
      </c>
      <c r="E2008" s="11" t="s">
        <v>19</v>
      </c>
      <c r="F2008" s="11" t="s">
        <v>7336</v>
      </c>
      <c r="G2008" s="11" t="s">
        <v>83</v>
      </c>
      <c r="H2008" s="11" t="s">
        <v>7337</v>
      </c>
      <c r="I2008" s="11" t="s">
        <v>7338</v>
      </c>
      <c r="J2008" s="12">
        <v>0.7591</v>
      </c>
      <c r="K2008" s="13">
        <v>11</v>
      </c>
      <c r="L2008" s="14">
        <v>3216</v>
      </c>
      <c r="M2008" s="10">
        <v>1864</v>
      </c>
      <c r="N2008" s="10">
        <v>355375</v>
      </c>
      <c r="O2008" s="10">
        <v>146172</v>
      </c>
      <c r="P2008" s="10">
        <v>501547</v>
      </c>
    </row>
    <row r="2009" spans="1:16" ht="27" customHeight="1" x14ac:dyDescent="0.2">
      <c r="A2009" s="9" t="s">
        <v>7093</v>
      </c>
      <c r="B2009" s="10" t="s">
        <v>7335</v>
      </c>
      <c r="C2009" s="11" t="s">
        <v>7339</v>
      </c>
      <c r="D2009" s="11" t="s">
        <v>7340</v>
      </c>
      <c r="E2009" s="11" t="s">
        <v>57</v>
      </c>
      <c r="F2009" s="11" t="s">
        <v>7341</v>
      </c>
      <c r="G2009" s="11" t="s">
        <v>28</v>
      </c>
      <c r="H2009" s="11" t="s">
        <v>7341</v>
      </c>
      <c r="I2009" s="11" t="s">
        <v>7342</v>
      </c>
      <c r="J2009" s="12">
        <v>0.3453</v>
      </c>
      <c r="K2009" s="13">
        <v>1</v>
      </c>
      <c r="L2009" s="14">
        <v>391</v>
      </c>
      <c r="M2009" s="10">
        <v>135</v>
      </c>
      <c r="N2009" s="10">
        <v>43206</v>
      </c>
      <c r="O2009" s="10">
        <v>10587</v>
      </c>
      <c r="P2009" s="10">
        <v>53793</v>
      </c>
    </row>
    <row r="2010" spans="1:16" ht="27" customHeight="1" x14ac:dyDescent="0.2">
      <c r="A2010" s="9" t="s">
        <v>7093</v>
      </c>
      <c r="B2010" s="10" t="s">
        <v>7335</v>
      </c>
      <c r="C2010" s="11" t="s">
        <v>7343</v>
      </c>
      <c r="D2010" s="11" t="s">
        <v>7344</v>
      </c>
      <c r="E2010" s="11" t="s">
        <v>57</v>
      </c>
      <c r="F2010" s="11" t="s">
        <v>7345</v>
      </c>
      <c r="G2010" s="11" t="s">
        <v>28</v>
      </c>
      <c r="H2010" s="11" t="s">
        <v>7345</v>
      </c>
      <c r="I2010" s="11" t="s">
        <v>7346</v>
      </c>
      <c r="J2010" s="12">
        <v>0.18809999999999999</v>
      </c>
      <c r="K2010" s="13">
        <v>1</v>
      </c>
      <c r="L2010" s="14">
        <v>436</v>
      </c>
      <c r="M2010" s="10">
        <v>82</v>
      </c>
      <c r="N2010" s="10">
        <v>48179</v>
      </c>
      <c r="O2010" s="10">
        <v>6430</v>
      </c>
      <c r="P2010" s="10">
        <v>54609</v>
      </c>
    </row>
    <row r="2011" spans="1:16" ht="27" customHeight="1" x14ac:dyDescent="0.2">
      <c r="A2011" s="9" t="s">
        <v>7093</v>
      </c>
      <c r="B2011" s="10" t="s">
        <v>7335</v>
      </c>
      <c r="C2011" s="11" t="s">
        <v>7347</v>
      </c>
      <c r="D2011" s="11" t="s">
        <v>7348</v>
      </c>
      <c r="E2011" s="11" t="s">
        <v>57</v>
      </c>
      <c r="F2011" s="11" t="s">
        <v>7349</v>
      </c>
      <c r="G2011" s="11" t="s">
        <v>28</v>
      </c>
      <c r="H2011" s="11" t="s">
        <v>7349</v>
      </c>
      <c r="I2011" s="11" t="s">
        <v>7350</v>
      </c>
      <c r="J2011" s="12">
        <v>0.54039999999999999</v>
      </c>
      <c r="K2011" s="13">
        <v>1</v>
      </c>
      <c r="L2011" s="14">
        <v>853</v>
      </c>
      <c r="M2011" s="10">
        <v>461</v>
      </c>
      <c r="N2011" s="10">
        <v>94258</v>
      </c>
      <c r="O2011" s="10">
        <v>36151</v>
      </c>
      <c r="P2011" s="10">
        <v>130409</v>
      </c>
    </row>
    <row r="2012" spans="1:16" ht="27" customHeight="1" x14ac:dyDescent="0.2">
      <c r="A2012" s="9" t="s">
        <v>7093</v>
      </c>
      <c r="B2012" s="10" t="s">
        <v>7335</v>
      </c>
      <c r="C2012" s="11" t="s">
        <v>7351</v>
      </c>
      <c r="D2012" s="11" t="s">
        <v>7352</v>
      </c>
      <c r="E2012" s="11" t="s">
        <v>26</v>
      </c>
      <c r="F2012" s="11" t="s">
        <v>7353</v>
      </c>
      <c r="G2012" s="11" t="s">
        <v>28</v>
      </c>
      <c r="H2012" s="11" t="s">
        <v>7353</v>
      </c>
      <c r="I2012" s="11" t="s">
        <v>7354</v>
      </c>
      <c r="J2012" s="12">
        <v>0.68520000000000003</v>
      </c>
      <c r="K2012" s="13">
        <v>1</v>
      </c>
      <c r="L2012" s="14">
        <v>108</v>
      </c>
      <c r="M2012" s="10">
        <v>74</v>
      </c>
      <c r="N2012" s="10">
        <v>11934</v>
      </c>
      <c r="O2012" s="10">
        <v>5803</v>
      </c>
      <c r="P2012" s="10">
        <v>17737</v>
      </c>
    </row>
    <row r="2013" spans="1:16" ht="27" customHeight="1" x14ac:dyDescent="0.2">
      <c r="A2013" s="9" t="s">
        <v>7093</v>
      </c>
      <c r="B2013" s="10" t="s">
        <v>7355</v>
      </c>
      <c r="C2013" s="11" t="s">
        <v>18</v>
      </c>
      <c r="D2013" s="11" t="s">
        <v>19</v>
      </c>
      <c r="E2013" s="11" t="s">
        <v>19</v>
      </c>
      <c r="F2013" s="11" t="s">
        <v>7356</v>
      </c>
      <c r="G2013" s="11" t="s">
        <v>83</v>
      </c>
      <c r="H2013" s="11" t="s">
        <v>7357</v>
      </c>
      <c r="I2013" s="11" t="s">
        <v>7358</v>
      </c>
      <c r="J2013" s="12">
        <v>0.28000000000000003</v>
      </c>
      <c r="K2013" s="13">
        <v>12</v>
      </c>
      <c r="L2013" s="14">
        <v>9921</v>
      </c>
      <c r="M2013" s="10">
        <v>4106</v>
      </c>
      <c r="N2013" s="10">
        <v>1096288</v>
      </c>
      <c r="O2013" s="10">
        <v>321989</v>
      </c>
      <c r="P2013" s="10">
        <v>1418277</v>
      </c>
    </row>
    <row r="2014" spans="1:16" ht="27" customHeight="1" x14ac:dyDescent="0.2">
      <c r="A2014" s="9" t="s">
        <v>7093</v>
      </c>
      <c r="B2014" s="10" t="s">
        <v>7355</v>
      </c>
      <c r="C2014" s="11" t="s">
        <v>7359</v>
      </c>
      <c r="D2014" s="11" t="s">
        <v>7360</v>
      </c>
      <c r="E2014" s="11" t="s">
        <v>57</v>
      </c>
      <c r="F2014" s="11" t="s">
        <v>7361</v>
      </c>
      <c r="G2014" s="11" t="s">
        <v>28</v>
      </c>
      <c r="H2014" s="11" t="s">
        <v>7096</v>
      </c>
      <c r="I2014" s="11" t="s">
        <v>7097</v>
      </c>
      <c r="J2014" s="12">
        <v>1</v>
      </c>
      <c r="K2014" s="13">
        <v>1</v>
      </c>
      <c r="L2014" s="14">
        <v>128</v>
      </c>
      <c r="M2014" s="10">
        <v>13</v>
      </c>
      <c r="N2014" s="10">
        <v>14144</v>
      </c>
      <c r="O2014" s="10">
        <v>1019</v>
      </c>
      <c r="P2014" s="10">
        <v>15163</v>
      </c>
    </row>
    <row r="2015" spans="1:16" ht="27" customHeight="1" x14ac:dyDescent="0.2">
      <c r="A2015" s="9" t="s">
        <v>7093</v>
      </c>
      <c r="B2015" s="10" t="s">
        <v>7362</v>
      </c>
      <c r="C2015" s="11" t="s">
        <v>18</v>
      </c>
      <c r="D2015" s="11" t="s">
        <v>19</v>
      </c>
      <c r="E2015" s="11" t="s">
        <v>19</v>
      </c>
      <c r="F2015" s="11" t="s">
        <v>7363</v>
      </c>
      <c r="G2015" s="11" t="s">
        <v>83</v>
      </c>
      <c r="H2015" s="11" t="s">
        <v>7364</v>
      </c>
      <c r="I2015" s="11" t="s">
        <v>7365</v>
      </c>
      <c r="J2015" s="12">
        <v>0.56710000000000005</v>
      </c>
      <c r="K2015" s="13">
        <v>3</v>
      </c>
      <c r="L2015" s="14">
        <v>424</v>
      </c>
      <c r="M2015" s="10">
        <v>235</v>
      </c>
      <c r="N2015" s="10">
        <v>46853</v>
      </c>
      <c r="O2015" s="10">
        <v>18429</v>
      </c>
      <c r="P2015" s="10">
        <v>65282</v>
      </c>
    </row>
    <row r="2016" spans="1:16" ht="27" customHeight="1" x14ac:dyDescent="0.2">
      <c r="A2016" s="9" t="s">
        <v>7093</v>
      </c>
      <c r="B2016" s="10" t="s">
        <v>7362</v>
      </c>
      <c r="C2016" s="11" t="s">
        <v>7366</v>
      </c>
      <c r="D2016" s="11" t="s">
        <v>7367</v>
      </c>
      <c r="E2016" s="11" t="s">
        <v>26</v>
      </c>
      <c r="F2016" s="11" t="s">
        <v>7368</v>
      </c>
      <c r="G2016" s="11" t="s">
        <v>28</v>
      </c>
      <c r="H2016" s="11" t="s">
        <v>7368</v>
      </c>
      <c r="I2016" s="11" t="s">
        <v>7369</v>
      </c>
      <c r="J2016" s="12">
        <v>0.30480000000000002</v>
      </c>
      <c r="K2016" s="13">
        <v>1</v>
      </c>
      <c r="L2016" s="14">
        <v>269</v>
      </c>
      <c r="M2016" s="10">
        <v>82</v>
      </c>
      <c r="N2016" s="10">
        <v>29725</v>
      </c>
      <c r="O2016" s="10">
        <v>6430</v>
      </c>
      <c r="P2016" s="10">
        <v>36155</v>
      </c>
    </row>
    <row r="2017" spans="1:16" ht="27" customHeight="1" x14ac:dyDescent="0.2">
      <c r="A2017" s="9" t="s">
        <v>7093</v>
      </c>
      <c r="B2017" s="10" t="s">
        <v>7370</v>
      </c>
      <c r="C2017" s="11" t="s">
        <v>18</v>
      </c>
      <c r="D2017" s="11" t="s">
        <v>19</v>
      </c>
      <c r="E2017" s="11" t="s">
        <v>19</v>
      </c>
      <c r="F2017" s="11" t="s">
        <v>7371</v>
      </c>
      <c r="G2017" s="11" t="s">
        <v>83</v>
      </c>
      <c r="H2017" s="11" t="s">
        <v>7372</v>
      </c>
      <c r="I2017" s="11" t="s">
        <v>7373</v>
      </c>
      <c r="J2017" s="12">
        <v>0.5857</v>
      </c>
      <c r="K2017" s="13">
        <v>9</v>
      </c>
      <c r="L2017" s="14">
        <v>3134</v>
      </c>
      <c r="M2017" s="10">
        <v>1411</v>
      </c>
      <c r="N2017" s="10">
        <v>346312</v>
      </c>
      <c r="O2017" s="10">
        <v>110649</v>
      </c>
      <c r="P2017" s="10">
        <v>456961</v>
      </c>
    </row>
    <row r="2018" spans="1:16" ht="27" customHeight="1" x14ac:dyDescent="0.2">
      <c r="A2018" s="9" t="s">
        <v>7093</v>
      </c>
      <c r="B2018" s="10" t="s">
        <v>7370</v>
      </c>
      <c r="C2018" s="11" t="s">
        <v>7374</v>
      </c>
      <c r="D2018" s="11" t="s">
        <v>7375</v>
      </c>
      <c r="E2018" s="11" t="s">
        <v>26</v>
      </c>
      <c r="F2018" s="11" t="s">
        <v>7376</v>
      </c>
      <c r="G2018" s="11" t="s">
        <v>28</v>
      </c>
      <c r="H2018" s="11" t="s">
        <v>7376</v>
      </c>
      <c r="I2018" s="11" t="s">
        <v>7377</v>
      </c>
      <c r="J2018" s="12">
        <v>0.40450000000000003</v>
      </c>
      <c r="K2018" s="13">
        <v>1</v>
      </c>
      <c r="L2018" s="14">
        <v>220</v>
      </c>
      <c r="M2018" s="10">
        <v>89</v>
      </c>
      <c r="N2018" s="10">
        <v>24310</v>
      </c>
      <c r="O2018" s="10">
        <v>6979</v>
      </c>
      <c r="P2018" s="10">
        <v>31289</v>
      </c>
    </row>
    <row r="2019" spans="1:16" ht="27" customHeight="1" x14ac:dyDescent="0.2">
      <c r="A2019" s="9" t="s">
        <v>7093</v>
      </c>
      <c r="B2019" s="10" t="s">
        <v>7370</v>
      </c>
      <c r="C2019" s="11" t="s">
        <v>7378</v>
      </c>
      <c r="D2019" s="11" t="s">
        <v>7379</v>
      </c>
      <c r="E2019" s="11" t="s">
        <v>26</v>
      </c>
      <c r="F2019" s="11" t="s">
        <v>7380</v>
      </c>
      <c r="G2019" s="11" t="s">
        <v>28</v>
      </c>
      <c r="H2019" s="11" t="s">
        <v>7380</v>
      </c>
      <c r="I2019" s="11" t="s">
        <v>7381</v>
      </c>
      <c r="J2019" s="12">
        <v>0.34599999999999997</v>
      </c>
      <c r="K2019" s="13">
        <v>1</v>
      </c>
      <c r="L2019" s="14">
        <v>211</v>
      </c>
      <c r="M2019" s="10">
        <v>73</v>
      </c>
      <c r="N2019" s="10">
        <v>23316</v>
      </c>
      <c r="O2019" s="10">
        <v>5725</v>
      </c>
      <c r="P2019" s="10">
        <v>29041</v>
      </c>
    </row>
    <row r="2020" spans="1:16" ht="27" customHeight="1" x14ac:dyDescent="0.2">
      <c r="A2020" s="9" t="s">
        <v>7093</v>
      </c>
      <c r="B2020" s="10" t="s">
        <v>7382</v>
      </c>
      <c r="C2020" s="11" t="s">
        <v>18</v>
      </c>
      <c r="D2020" s="11" t="s">
        <v>19</v>
      </c>
      <c r="E2020" s="11" t="s">
        <v>19</v>
      </c>
      <c r="F2020" s="11" t="s">
        <v>7383</v>
      </c>
      <c r="G2020" s="11" t="s">
        <v>83</v>
      </c>
      <c r="H2020" s="11" t="s">
        <v>7384</v>
      </c>
      <c r="I2020" s="11" t="s">
        <v>7385</v>
      </c>
      <c r="J2020" s="12">
        <v>0.223</v>
      </c>
      <c r="K2020" s="13">
        <v>2</v>
      </c>
      <c r="L2020" s="14">
        <v>296</v>
      </c>
      <c r="M2020" s="10">
        <v>66</v>
      </c>
      <c r="N2020" s="10">
        <v>32708</v>
      </c>
      <c r="O2020" s="10">
        <v>5176</v>
      </c>
      <c r="P2020" s="10">
        <v>37884</v>
      </c>
    </row>
    <row r="2021" spans="1:16" ht="27" customHeight="1" x14ac:dyDescent="0.2">
      <c r="A2021" s="9" t="s">
        <v>7093</v>
      </c>
      <c r="B2021" s="10" t="s">
        <v>7382</v>
      </c>
      <c r="C2021" s="11" t="s">
        <v>7386</v>
      </c>
      <c r="D2021" s="11" t="s">
        <v>7387</v>
      </c>
      <c r="E2021" s="11" t="s">
        <v>57</v>
      </c>
      <c r="F2021" s="11" t="s">
        <v>7388</v>
      </c>
      <c r="G2021" s="11" t="s">
        <v>28</v>
      </c>
      <c r="H2021" s="11" t="s">
        <v>7388</v>
      </c>
      <c r="I2021" s="11" t="s">
        <v>7389</v>
      </c>
      <c r="J2021" s="12">
        <v>0.20369999999999999</v>
      </c>
      <c r="K2021" s="13">
        <v>1</v>
      </c>
      <c r="L2021" s="14">
        <v>216</v>
      </c>
      <c r="M2021" s="10">
        <v>44</v>
      </c>
      <c r="N2021" s="10">
        <v>23868</v>
      </c>
      <c r="O2021" s="10">
        <v>3450</v>
      </c>
      <c r="P2021" s="10">
        <v>27318</v>
      </c>
    </row>
    <row r="2022" spans="1:16" ht="27" customHeight="1" x14ac:dyDescent="0.2">
      <c r="A2022" s="9" t="s">
        <v>7093</v>
      </c>
      <c r="B2022" s="10" t="s">
        <v>7382</v>
      </c>
      <c r="C2022" s="11" t="s">
        <v>7390</v>
      </c>
      <c r="D2022" s="11" t="s">
        <v>7391</v>
      </c>
      <c r="E2022" s="11" t="s">
        <v>57</v>
      </c>
      <c r="F2022" s="11" t="s">
        <v>7392</v>
      </c>
      <c r="G2022" s="11" t="s">
        <v>28</v>
      </c>
      <c r="H2022" s="11" t="s">
        <v>7392</v>
      </c>
      <c r="I2022" s="11" t="s">
        <v>7393</v>
      </c>
      <c r="J2022" s="12">
        <v>0.34160000000000001</v>
      </c>
      <c r="K2022" s="13">
        <v>1</v>
      </c>
      <c r="L2022" s="14">
        <v>243</v>
      </c>
      <c r="M2022" s="10">
        <v>83</v>
      </c>
      <c r="N2022" s="10">
        <v>26852</v>
      </c>
      <c r="O2022" s="10">
        <v>6509</v>
      </c>
      <c r="P2022" s="10">
        <v>33361</v>
      </c>
    </row>
    <row r="2023" spans="1:16" ht="27" customHeight="1" x14ac:dyDescent="0.2">
      <c r="A2023" s="9" t="s">
        <v>7093</v>
      </c>
      <c r="B2023" s="10" t="s">
        <v>7382</v>
      </c>
      <c r="C2023" s="11" t="s">
        <v>7394</v>
      </c>
      <c r="D2023" s="11" t="s">
        <v>7395</v>
      </c>
      <c r="E2023" s="11" t="s">
        <v>57</v>
      </c>
      <c r="F2023" s="11" t="s">
        <v>7396</v>
      </c>
      <c r="G2023" s="11" t="s">
        <v>28</v>
      </c>
      <c r="H2023" s="11" t="s">
        <v>7096</v>
      </c>
      <c r="I2023" s="11" t="s">
        <v>7097</v>
      </c>
      <c r="J2023" s="12">
        <v>1</v>
      </c>
      <c r="K2023" s="13">
        <v>1</v>
      </c>
      <c r="L2023" s="14">
        <v>204</v>
      </c>
      <c r="M2023" s="10">
        <v>55</v>
      </c>
      <c r="N2023" s="10">
        <v>22542</v>
      </c>
      <c r="O2023" s="10">
        <v>4313</v>
      </c>
      <c r="P2023" s="10">
        <v>26855</v>
      </c>
    </row>
    <row r="2024" spans="1:16" ht="27" customHeight="1" x14ac:dyDescent="0.2">
      <c r="A2024" s="9" t="s">
        <v>7093</v>
      </c>
      <c r="B2024" s="10" t="s">
        <v>7397</v>
      </c>
      <c r="C2024" s="11" t="s">
        <v>18</v>
      </c>
      <c r="D2024" s="11" t="s">
        <v>19</v>
      </c>
      <c r="E2024" s="11" t="s">
        <v>19</v>
      </c>
      <c r="F2024" s="11" t="s">
        <v>7398</v>
      </c>
      <c r="G2024" s="11" t="s">
        <v>83</v>
      </c>
      <c r="H2024" s="11" t="s">
        <v>7399</v>
      </c>
      <c r="I2024" s="11" t="s">
        <v>7400</v>
      </c>
      <c r="J2024" s="12">
        <v>0.46210000000000001</v>
      </c>
      <c r="K2024" s="13">
        <v>2</v>
      </c>
      <c r="L2024" s="14">
        <v>132</v>
      </c>
      <c r="M2024" s="10">
        <v>61</v>
      </c>
      <c r="N2024" s="10">
        <v>14586</v>
      </c>
      <c r="O2024" s="10">
        <v>4784</v>
      </c>
      <c r="P2024" s="10">
        <v>19370</v>
      </c>
    </row>
    <row r="2025" spans="1:16" ht="27" customHeight="1" x14ac:dyDescent="0.2">
      <c r="A2025" s="9" t="s">
        <v>7093</v>
      </c>
      <c r="B2025" s="10" t="s">
        <v>7401</v>
      </c>
      <c r="C2025" s="11" t="s">
        <v>18</v>
      </c>
      <c r="D2025" s="11" t="s">
        <v>19</v>
      </c>
      <c r="E2025" s="11" t="s">
        <v>19</v>
      </c>
      <c r="F2025" s="11" t="s">
        <v>7402</v>
      </c>
      <c r="G2025" s="11" t="s">
        <v>83</v>
      </c>
      <c r="H2025" s="11" t="s">
        <v>7403</v>
      </c>
      <c r="I2025" s="11" t="s">
        <v>7404</v>
      </c>
      <c r="J2025" s="12">
        <v>0.18640000000000001</v>
      </c>
      <c r="K2025" s="13">
        <v>3</v>
      </c>
      <c r="L2025" s="14">
        <v>774</v>
      </c>
      <c r="M2025" s="10">
        <v>120</v>
      </c>
      <c r="N2025" s="10">
        <v>85528</v>
      </c>
      <c r="O2025" s="10">
        <v>9410</v>
      </c>
      <c r="P2025" s="10">
        <v>94938</v>
      </c>
    </row>
    <row r="2026" spans="1:16" ht="27" customHeight="1" x14ac:dyDescent="0.2">
      <c r="A2026" s="9" t="s">
        <v>7093</v>
      </c>
      <c r="B2026" s="10" t="s">
        <v>7405</v>
      </c>
      <c r="C2026" s="11" t="s">
        <v>18</v>
      </c>
      <c r="D2026" s="11" t="s">
        <v>19</v>
      </c>
      <c r="E2026" s="11" t="s">
        <v>19</v>
      </c>
      <c r="F2026" s="11" t="s">
        <v>7406</v>
      </c>
      <c r="G2026" s="11" t="s">
        <v>83</v>
      </c>
      <c r="H2026" s="11" t="s">
        <v>7407</v>
      </c>
      <c r="I2026" s="11" t="s">
        <v>7408</v>
      </c>
      <c r="J2026" s="12">
        <v>0.2482</v>
      </c>
      <c r="K2026" s="13">
        <v>2</v>
      </c>
      <c r="L2026" s="14">
        <v>137</v>
      </c>
      <c r="M2026" s="10">
        <v>34</v>
      </c>
      <c r="N2026" s="10">
        <v>15139</v>
      </c>
      <c r="O2026" s="10">
        <v>2666</v>
      </c>
      <c r="P2026" s="10">
        <v>17805</v>
      </c>
    </row>
    <row r="2027" spans="1:16" ht="27" customHeight="1" x14ac:dyDescent="0.2">
      <c r="A2027" s="9" t="s">
        <v>7093</v>
      </c>
      <c r="B2027" s="10" t="s">
        <v>7409</v>
      </c>
      <c r="C2027" s="11" t="s">
        <v>18</v>
      </c>
      <c r="D2027" s="11" t="s">
        <v>19</v>
      </c>
      <c r="E2027" s="11" t="s">
        <v>19</v>
      </c>
      <c r="F2027" s="11" t="s">
        <v>7410</v>
      </c>
      <c r="G2027" s="11" t="s">
        <v>83</v>
      </c>
      <c r="H2027" s="11" t="s">
        <v>899</v>
      </c>
      <c r="I2027" s="11" t="s">
        <v>7411</v>
      </c>
      <c r="J2027" s="12">
        <v>0.2064</v>
      </c>
      <c r="K2027" s="13">
        <v>2</v>
      </c>
      <c r="L2027" s="14">
        <v>219</v>
      </c>
      <c r="M2027" s="10">
        <v>45</v>
      </c>
      <c r="N2027" s="10">
        <v>24200</v>
      </c>
      <c r="O2027" s="10">
        <v>3529</v>
      </c>
      <c r="P2027" s="10">
        <v>27729</v>
      </c>
    </row>
    <row r="2028" spans="1:16" ht="27" customHeight="1" x14ac:dyDescent="0.2">
      <c r="A2028" s="9" t="s">
        <v>7093</v>
      </c>
      <c r="B2028" s="10" t="s">
        <v>7412</v>
      </c>
      <c r="C2028" s="11" t="s">
        <v>18</v>
      </c>
      <c r="D2028" s="11" t="s">
        <v>19</v>
      </c>
      <c r="E2028" s="11" t="s">
        <v>19</v>
      </c>
      <c r="F2028" s="11" t="s">
        <v>7413</v>
      </c>
      <c r="G2028" s="11" t="s">
        <v>83</v>
      </c>
      <c r="H2028" s="11" t="s">
        <v>7414</v>
      </c>
      <c r="I2028" s="11" t="s">
        <v>7415</v>
      </c>
      <c r="J2028" s="12">
        <v>0.77629999999999999</v>
      </c>
      <c r="K2028" s="13">
        <v>3</v>
      </c>
      <c r="L2028" s="14">
        <v>826</v>
      </c>
      <c r="M2028" s="10">
        <v>565</v>
      </c>
      <c r="N2028" s="10">
        <v>91274</v>
      </c>
      <c r="O2028" s="10">
        <v>44307</v>
      </c>
      <c r="P2028" s="10">
        <v>135581</v>
      </c>
    </row>
    <row r="2029" spans="1:16" ht="27" customHeight="1" x14ac:dyDescent="0.2">
      <c r="A2029" s="9" t="s">
        <v>7093</v>
      </c>
      <c r="B2029" s="10" t="s">
        <v>7412</v>
      </c>
      <c r="C2029" s="11" t="s">
        <v>7416</v>
      </c>
      <c r="D2029" s="11" t="s">
        <v>7417</v>
      </c>
      <c r="E2029" s="11" t="s">
        <v>57</v>
      </c>
      <c r="F2029" s="11" t="s">
        <v>7418</v>
      </c>
      <c r="G2029" s="11" t="s">
        <v>28</v>
      </c>
      <c r="H2029" s="11" t="s">
        <v>7418</v>
      </c>
      <c r="I2029" s="11" t="s">
        <v>7419</v>
      </c>
      <c r="J2029" s="12">
        <v>0.68269999999999997</v>
      </c>
      <c r="K2029" s="13">
        <v>1</v>
      </c>
      <c r="L2029" s="14">
        <v>457</v>
      </c>
      <c r="M2029" s="10">
        <v>312</v>
      </c>
      <c r="N2029" s="10">
        <v>50499</v>
      </c>
      <c r="O2029" s="10">
        <v>24467</v>
      </c>
      <c r="P2029" s="10">
        <v>74966</v>
      </c>
    </row>
    <row r="2030" spans="1:16" ht="27" customHeight="1" x14ac:dyDescent="0.2">
      <c r="A2030" s="9" t="s">
        <v>7093</v>
      </c>
      <c r="B2030" s="10" t="s">
        <v>7420</v>
      </c>
      <c r="C2030" s="11" t="s">
        <v>18</v>
      </c>
      <c r="D2030" s="11" t="s">
        <v>19</v>
      </c>
      <c r="E2030" s="11" t="s">
        <v>19</v>
      </c>
      <c r="F2030" s="11" t="s">
        <v>7421</v>
      </c>
      <c r="G2030" s="11" t="s">
        <v>83</v>
      </c>
      <c r="H2030" s="11" t="s">
        <v>7422</v>
      </c>
      <c r="I2030" s="11" t="s">
        <v>7423</v>
      </c>
      <c r="J2030" s="12">
        <v>0.79630000000000001</v>
      </c>
      <c r="K2030" s="13">
        <v>14</v>
      </c>
      <c r="L2030" s="14">
        <v>6040</v>
      </c>
      <c r="M2030" s="10">
        <v>2512</v>
      </c>
      <c r="N2030" s="10">
        <v>667431</v>
      </c>
      <c r="O2030" s="10">
        <v>196987</v>
      </c>
      <c r="P2030" s="10">
        <v>864418</v>
      </c>
    </row>
    <row r="2031" spans="1:16" ht="27" customHeight="1" x14ac:dyDescent="0.2">
      <c r="A2031" s="9" t="s">
        <v>7093</v>
      </c>
      <c r="B2031" s="10" t="s">
        <v>7420</v>
      </c>
      <c r="C2031" s="11" t="s">
        <v>7424</v>
      </c>
      <c r="D2031" s="11" t="s">
        <v>7425</v>
      </c>
      <c r="E2031" s="11" t="s">
        <v>26</v>
      </c>
      <c r="F2031" s="11" t="s">
        <v>7426</v>
      </c>
      <c r="G2031" s="11" t="s">
        <v>28</v>
      </c>
      <c r="H2031" s="11" t="s">
        <v>7096</v>
      </c>
      <c r="I2031" s="11" t="s">
        <v>7097</v>
      </c>
      <c r="J2031" s="12">
        <v>1</v>
      </c>
      <c r="K2031" s="13">
        <v>1</v>
      </c>
      <c r="L2031" s="14">
        <v>439</v>
      </c>
      <c r="M2031" s="10">
        <v>140</v>
      </c>
      <c r="N2031" s="10">
        <v>48510</v>
      </c>
      <c r="O2031" s="10">
        <v>10979</v>
      </c>
      <c r="P2031" s="10">
        <v>59489</v>
      </c>
    </row>
    <row r="2032" spans="1:16" ht="27" customHeight="1" x14ac:dyDescent="0.2">
      <c r="A2032" s="9" t="s">
        <v>7093</v>
      </c>
      <c r="B2032" s="10" t="s">
        <v>7427</v>
      </c>
      <c r="C2032" s="11" t="s">
        <v>18</v>
      </c>
      <c r="D2032" s="11" t="s">
        <v>19</v>
      </c>
      <c r="E2032" s="11" t="s">
        <v>19</v>
      </c>
      <c r="F2032" s="11" t="s">
        <v>7428</v>
      </c>
      <c r="G2032" s="11" t="s">
        <v>83</v>
      </c>
      <c r="H2032" s="11" t="s">
        <v>7429</v>
      </c>
      <c r="I2032" s="11" t="s">
        <v>7430</v>
      </c>
      <c r="J2032" s="12">
        <v>0.54969999999999997</v>
      </c>
      <c r="K2032" s="13">
        <v>8</v>
      </c>
      <c r="L2032" s="14">
        <v>3482</v>
      </c>
      <c r="M2032" s="10">
        <v>1700</v>
      </c>
      <c r="N2032" s="10">
        <v>384767</v>
      </c>
      <c r="O2032" s="10">
        <v>133313</v>
      </c>
      <c r="P2032" s="10">
        <v>518080</v>
      </c>
    </row>
    <row r="2033" spans="1:16" ht="27" customHeight="1" x14ac:dyDescent="0.2">
      <c r="A2033" s="9" t="s">
        <v>7093</v>
      </c>
      <c r="B2033" s="10" t="s">
        <v>7427</v>
      </c>
      <c r="C2033" s="11" t="s">
        <v>7431</v>
      </c>
      <c r="D2033" s="11" t="s">
        <v>7432</v>
      </c>
      <c r="E2033" s="11" t="s">
        <v>26</v>
      </c>
      <c r="F2033" s="11" t="s">
        <v>7433</v>
      </c>
      <c r="G2033" s="11" t="s">
        <v>28</v>
      </c>
      <c r="H2033" s="11" t="s">
        <v>7433</v>
      </c>
      <c r="I2033" s="11" t="s">
        <v>7434</v>
      </c>
      <c r="J2033" s="12">
        <v>0.47310000000000002</v>
      </c>
      <c r="K2033" s="13">
        <v>1</v>
      </c>
      <c r="L2033" s="14">
        <v>93</v>
      </c>
      <c r="M2033" s="10">
        <v>44</v>
      </c>
      <c r="N2033" s="10">
        <v>10277</v>
      </c>
      <c r="O2033" s="10">
        <v>3450</v>
      </c>
      <c r="P2033" s="10">
        <v>13727</v>
      </c>
    </row>
    <row r="2034" spans="1:16" ht="27" customHeight="1" x14ac:dyDescent="0.2">
      <c r="A2034" s="9" t="s">
        <v>7093</v>
      </c>
      <c r="B2034" s="10" t="s">
        <v>7427</v>
      </c>
      <c r="C2034" s="11" t="s">
        <v>7435</v>
      </c>
      <c r="D2034" s="11" t="s">
        <v>7436</v>
      </c>
      <c r="E2034" s="11" t="s">
        <v>57</v>
      </c>
      <c r="F2034" s="11" t="s">
        <v>7437</v>
      </c>
      <c r="G2034" s="11" t="s">
        <v>28</v>
      </c>
      <c r="H2034" s="11" t="s">
        <v>7437</v>
      </c>
      <c r="I2034" s="11" t="s">
        <v>7438</v>
      </c>
      <c r="J2034" s="12">
        <v>0.58220000000000005</v>
      </c>
      <c r="K2034" s="13">
        <v>1</v>
      </c>
      <c r="L2034" s="14">
        <v>1168</v>
      </c>
      <c r="M2034" s="10">
        <v>680</v>
      </c>
      <c r="N2034" s="10">
        <v>129066</v>
      </c>
      <c r="O2034" s="10">
        <v>53325</v>
      </c>
      <c r="P2034" s="10">
        <v>182391</v>
      </c>
    </row>
    <row r="2035" spans="1:16" ht="27" customHeight="1" x14ac:dyDescent="0.2">
      <c r="A2035" s="9" t="s">
        <v>7093</v>
      </c>
      <c r="B2035" s="10" t="s">
        <v>7439</v>
      </c>
      <c r="C2035" s="11" t="s">
        <v>18</v>
      </c>
      <c r="D2035" s="11" t="s">
        <v>19</v>
      </c>
      <c r="E2035" s="11" t="s">
        <v>19</v>
      </c>
      <c r="F2035" s="11" t="s">
        <v>7440</v>
      </c>
      <c r="G2035" s="11" t="s">
        <v>83</v>
      </c>
      <c r="H2035" s="11" t="s">
        <v>7441</v>
      </c>
      <c r="I2035" s="11" t="s">
        <v>7442</v>
      </c>
      <c r="J2035" s="12">
        <v>0.67249999999999999</v>
      </c>
      <c r="K2035" s="13">
        <v>5</v>
      </c>
      <c r="L2035" s="14">
        <v>1278</v>
      </c>
      <c r="M2035" s="10">
        <v>729</v>
      </c>
      <c r="N2035" s="10">
        <v>141221</v>
      </c>
      <c r="O2035" s="10">
        <v>57168</v>
      </c>
      <c r="P2035" s="10">
        <v>198389</v>
      </c>
    </row>
    <row r="2036" spans="1:16" ht="27" customHeight="1" x14ac:dyDescent="0.2">
      <c r="A2036" s="9" t="s">
        <v>7443</v>
      </c>
      <c r="B2036" s="10" t="s">
        <v>7444</v>
      </c>
      <c r="C2036" s="11" t="s">
        <v>18</v>
      </c>
      <c r="D2036" s="11" t="s">
        <v>19</v>
      </c>
      <c r="E2036" s="11" t="s">
        <v>19</v>
      </c>
      <c r="F2036" s="11" t="s">
        <v>7445</v>
      </c>
      <c r="G2036" s="11" t="s">
        <v>21</v>
      </c>
      <c r="H2036" s="11" t="s">
        <v>7446</v>
      </c>
      <c r="I2036" s="11" t="s">
        <v>7447</v>
      </c>
      <c r="J2036" s="12">
        <v>0.95469999999999999</v>
      </c>
      <c r="K2036" s="13">
        <v>5</v>
      </c>
      <c r="L2036" s="14">
        <v>1266</v>
      </c>
      <c r="M2036" s="10">
        <v>1046</v>
      </c>
      <c r="N2036" s="10">
        <v>139895</v>
      </c>
      <c r="O2036" s="10">
        <v>82027</v>
      </c>
      <c r="P2036" s="10">
        <v>221922</v>
      </c>
    </row>
    <row r="2037" spans="1:16" ht="27" customHeight="1" x14ac:dyDescent="0.2">
      <c r="A2037" s="9" t="s">
        <v>7443</v>
      </c>
      <c r="B2037" s="10" t="s">
        <v>7444</v>
      </c>
      <c r="C2037" s="11" t="s">
        <v>7448</v>
      </c>
      <c r="D2037" s="11" t="s">
        <v>7449</v>
      </c>
      <c r="E2037" s="11" t="s">
        <v>26</v>
      </c>
      <c r="F2037" s="11" t="s">
        <v>7450</v>
      </c>
      <c r="G2037" s="11" t="s">
        <v>28</v>
      </c>
      <c r="H2037" s="11" t="s">
        <v>7450</v>
      </c>
      <c r="I2037" s="11" t="s">
        <v>7451</v>
      </c>
      <c r="J2037" s="12">
        <v>0.38840000000000002</v>
      </c>
      <c r="K2037" s="13">
        <v>1</v>
      </c>
      <c r="L2037" s="14">
        <v>847</v>
      </c>
      <c r="M2037" s="10">
        <v>329</v>
      </c>
      <c r="N2037" s="10">
        <v>93595</v>
      </c>
      <c r="O2037" s="10">
        <v>25800</v>
      </c>
      <c r="P2037" s="10">
        <v>119395</v>
      </c>
    </row>
    <row r="2038" spans="1:16" ht="27" customHeight="1" x14ac:dyDescent="0.2">
      <c r="A2038" s="9" t="s">
        <v>7443</v>
      </c>
      <c r="B2038" s="10" t="s">
        <v>7444</v>
      </c>
      <c r="C2038" s="11" t="s">
        <v>7452</v>
      </c>
      <c r="D2038" s="11" t="s">
        <v>7453</v>
      </c>
      <c r="E2038" s="11" t="s">
        <v>26</v>
      </c>
      <c r="F2038" s="11" t="s">
        <v>7454</v>
      </c>
      <c r="G2038" s="11" t="s">
        <v>28</v>
      </c>
      <c r="H2038" s="11" t="s">
        <v>7446</v>
      </c>
      <c r="I2038" s="11" t="s">
        <v>7447</v>
      </c>
      <c r="J2038" s="12">
        <v>0.95469999999999999</v>
      </c>
      <c r="K2038" s="13">
        <v>1</v>
      </c>
      <c r="L2038" s="14">
        <v>552</v>
      </c>
      <c r="M2038" s="10">
        <v>305</v>
      </c>
      <c r="N2038" s="10">
        <v>60997</v>
      </c>
      <c r="O2038" s="10">
        <v>23918</v>
      </c>
      <c r="P2038" s="10">
        <v>84915</v>
      </c>
    </row>
    <row r="2039" spans="1:16" ht="27" customHeight="1" x14ac:dyDescent="0.2">
      <c r="A2039" s="9" t="s">
        <v>7443</v>
      </c>
      <c r="B2039" s="10" t="s">
        <v>7455</v>
      </c>
      <c r="C2039" s="11" t="s">
        <v>18</v>
      </c>
      <c r="D2039" s="11" t="s">
        <v>19</v>
      </c>
      <c r="E2039" s="11" t="s">
        <v>19</v>
      </c>
      <c r="F2039" s="11" t="s">
        <v>7456</v>
      </c>
      <c r="G2039" s="11" t="s">
        <v>83</v>
      </c>
      <c r="H2039" s="11" t="s">
        <v>7457</v>
      </c>
      <c r="I2039" s="11" t="s">
        <v>7458</v>
      </c>
      <c r="J2039" s="12">
        <v>0.91679999999999995</v>
      </c>
      <c r="K2039" s="13">
        <v>23</v>
      </c>
      <c r="L2039" s="14">
        <v>13744</v>
      </c>
      <c r="M2039" s="10">
        <v>11384</v>
      </c>
      <c r="N2039" s="10">
        <v>1518734</v>
      </c>
      <c r="O2039" s="10">
        <v>892723</v>
      </c>
      <c r="P2039" s="10">
        <v>2411457</v>
      </c>
    </row>
    <row r="2040" spans="1:16" ht="27" customHeight="1" x14ac:dyDescent="0.2">
      <c r="A2040" s="9" t="s">
        <v>7443</v>
      </c>
      <c r="B2040" s="10" t="s">
        <v>7455</v>
      </c>
      <c r="C2040" s="11" t="s">
        <v>7459</v>
      </c>
      <c r="D2040" s="11" t="s">
        <v>7460</v>
      </c>
      <c r="E2040" s="11" t="s">
        <v>57</v>
      </c>
      <c r="F2040" s="11" t="s">
        <v>7461</v>
      </c>
      <c r="G2040" s="11" t="s">
        <v>28</v>
      </c>
      <c r="H2040" s="11" t="s">
        <v>7461</v>
      </c>
      <c r="I2040" s="11" t="s">
        <v>7462</v>
      </c>
      <c r="J2040" s="12">
        <v>0.51339999999999997</v>
      </c>
      <c r="K2040" s="13">
        <v>1</v>
      </c>
      <c r="L2040" s="14">
        <v>411</v>
      </c>
      <c r="M2040" s="10">
        <v>211</v>
      </c>
      <c r="N2040" s="10">
        <v>45416</v>
      </c>
      <c r="O2040" s="10">
        <v>16546</v>
      </c>
      <c r="P2040" s="10">
        <v>61962</v>
      </c>
    </row>
    <row r="2041" spans="1:16" ht="27" customHeight="1" x14ac:dyDescent="0.2">
      <c r="A2041" s="9" t="s">
        <v>7443</v>
      </c>
      <c r="B2041" s="10" t="s">
        <v>7455</v>
      </c>
      <c r="C2041" s="11" t="s">
        <v>7463</v>
      </c>
      <c r="D2041" s="11" t="s">
        <v>7464</v>
      </c>
      <c r="E2041" s="11" t="s">
        <v>57</v>
      </c>
      <c r="F2041" s="11" t="s">
        <v>7465</v>
      </c>
      <c r="G2041" s="11" t="s">
        <v>28</v>
      </c>
      <c r="H2041" s="11" t="s">
        <v>7446</v>
      </c>
      <c r="I2041" s="11" t="s">
        <v>7447</v>
      </c>
      <c r="J2041" s="12">
        <v>0.95469999999999999</v>
      </c>
      <c r="K2041" s="13">
        <v>1</v>
      </c>
      <c r="L2041" s="14">
        <v>98</v>
      </c>
      <c r="M2041" s="10">
        <v>48</v>
      </c>
      <c r="N2041" s="10">
        <v>10829</v>
      </c>
      <c r="O2041" s="10">
        <v>3764</v>
      </c>
      <c r="P2041" s="10">
        <v>14593</v>
      </c>
    </row>
    <row r="2042" spans="1:16" ht="27" customHeight="1" x14ac:dyDescent="0.2">
      <c r="A2042" s="9" t="s">
        <v>7443</v>
      </c>
      <c r="B2042" s="10" t="s">
        <v>7455</v>
      </c>
      <c r="C2042" s="11" t="s">
        <v>7466</v>
      </c>
      <c r="D2042" s="11" t="s">
        <v>7467</v>
      </c>
      <c r="E2042" s="11" t="s">
        <v>26</v>
      </c>
      <c r="F2042" s="11" t="s">
        <v>7468</v>
      </c>
      <c r="G2042" s="11" t="s">
        <v>28</v>
      </c>
      <c r="H2042" s="11" t="s">
        <v>7468</v>
      </c>
      <c r="I2042" s="11" t="s">
        <v>7469</v>
      </c>
      <c r="J2042" s="12">
        <v>0.75880000000000003</v>
      </c>
      <c r="K2042" s="13">
        <v>1</v>
      </c>
      <c r="L2042" s="14">
        <v>369</v>
      </c>
      <c r="M2042" s="10">
        <v>280</v>
      </c>
      <c r="N2042" s="10">
        <v>40775</v>
      </c>
      <c r="O2042" s="10">
        <v>21957</v>
      </c>
      <c r="P2042" s="10">
        <v>62732</v>
      </c>
    </row>
    <row r="2043" spans="1:16" ht="27" customHeight="1" x14ac:dyDescent="0.2">
      <c r="A2043" s="9" t="s">
        <v>7443</v>
      </c>
      <c r="B2043" s="10" t="s">
        <v>7470</v>
      </c>
      <c r="C2043" s="11" t="s">
        <v>18</v>
      </c>
      <c r="D2043" s="11" t="s">
        <v>19</v>
      </c>
      <c r="E2043" s="11" t="s">
        <v>19</v>
      </c>
      <c r="F2043" s="11" t="s">
        <v>7471</v>
      </c>
      <c r="G2043" s="11" t="s">
        <v>83</v>
      </c>
      <c r="H2043" s="11" t="s">
        <v>7472</v>
      </c>
      <c r="I2043" s="11" t="s">
        <v>7473</v>
      </c>
      <c r="J2043" s="12">
        <v>0.73560000000000003</v>
      </c>
      <c r="K2043" s="13">
        <v>3</v>
      </c>
      <c r="L2043" s="14">
        <v>607</v>
      </c>
      <c r="M2043" s="10">
        <v>427</v>
      </c>
      <c r="N2043" s="10">
        <v>67075</v>
      </c>
      <c r="O2043" s="10">
        <v>33485</v>
      </c>
      <c r="P2043" s="10">
        <v>100560</v>
      </c>
    </row>
    <row r="2044" spans="1:16" ht="27" customHeight="1" x14ac:dyDescent="0.2">
      <c r="A2044" s="9" t="s">
        <v>7443</v>
      </c>
      <c r="B2044" s="10" t="s">
        <v>7474</v>
      </c>
      <c r="C2044" s="11" t="s">
        <v>18</v>
      </c>
      <c r="D2044" s="11" t="s">
        <v>19</v>
      </c>
      <c r="E2044" s="11" t="s">
        <v>19</v>
      </c>
      <c r="F2044" s="11" t="s">
        <v>7475</v>
      </c>
      <c r="G2044" s="11" t="s">
        <v>83</v>
      </c>
      <c r="H2044" s="11" t="s">
        <v>7446</v>
      </c>
      <c r="I2044" s="11" t="s">
        <v>7447</v>
      </c>
      <c r="J2044" s="12">
        <v>0.95469999999999999</v>
      </c>
      <c r="K2044" s="13">
        <v>4</v>
      </c>
      <c r="L2044" s="14">
        <v>566</v>
      </c>
      <c r="M2044" s="10">
        <v>315</v>
      </c>
      <c r="N2044" s="10">
        <v>62544</v>
      </c>
      <c r="O2044" s="10">
        <v>24702</v>
      </c>
      <c r="P2044" s="10">
        <v>87246</v>
      </c>
    </row>
    <row r="2045" spans="1:16" ht="27" customHeight="1" x14ac:dyDescent="0.2">
      <c r="A2045" s="9" t="s">
        <v>7443</v>
      </c>
      <c r="B2045" s="10" t="s">
        <v>7474</v>
      </c>
      <c r="C2045" s="11" t="s">
        <v>7476</v>
      </c>
      <c r="D2045" s="11" t="s">
        <v>7477</v>
      </c>
      <c r="E2045" s="11" t="s">
        <v>57</v>
      </c>
      <c r="F2045" s="11" t="s">
        <v>7478</v>
      </c>
      <c r="G2045" s="11" t="s">
        <v>28</v>
      </c>
      <c r="H2045" s="11" t="s">
        <v>7478</v>
      </c>
      <c r="I2045" s="11" t="s">
        <v>7479</v>
      </c>
      <c r="J2045" s="12">
        <v>0.5151</v>
      </c>
      <c r="K2045" s="13">
        <v>1</v>
      </c>
      <c r="L2045" s="14">
        <v>600</v>
      </c>
      <c r="M2045" s="10">
        <v>309</v>
      </c>
      <c r="N2045" s="10">
        <v>66301</v>
      </c>
      <c r="O2045" s="10">
        <v>24231</v>
      </c>
      <c r="P2045" s="10">
        <v>90532</v>
      </c>
    </row>
    <row r="2046" spans="1:16" ht="27" customHeight="1" x14ac:dyDescent="0.2">
      <c r="A2046" s="9" t="s">
        <v>7443</v>
      </c>
      <c r="B2046" s="10" t="s">
        <v>7474</v>
      </c>
      <c r="C2046" s="11" t="s">
        <v>7480</v>
      </c>
      <c r="D2046" s="11" t="s">
        <v>7481</v>
      </c>
      <c r="E2046" s="11" t="s">
        <v>57</v>
      </c>
      <c r="F2046" s="11" t="s">
        <v>7482</v>
      </c>
      <c r="G2046" s="11" t="s">
        <v>28</v>
      </c>
      <c r="H2046" s="11" t="s">
        <v>7482</v>
      </c>
      <c r="I2046" s="11" t="s">
        <v>7483</v>
      </c>
      <c r="J2046" s="12">
        <v>0.53290000000000004</v>
      </c>
      <c r="K2046" s="13">
        <v>1</v>
      </c>
      <c r="L2046" s="14">
        <v>167</v>
      </c>
      <c r="M2046" s="10">
        <v>89</v>
      </c>
      <c r="N2046" s="10">
        <v>18454</v>
      </c>
      <c r="O2046" s="10">
        <v>6979</v>
      </c>
      <c r="P2046" s="10">
        <v>25433</v>
      </c>
    </row>
    <row r="2047" spans="1:16" ht="27" customHeight="1" x14ac:dyDescent="0.2">
      <c r="A2047" s="9" t="s">
        <v>7443</v>
      </c>
      <c r="B2047" s="10" t="s">
        <v>7484</v>
      </c>
      <c r="C2047" s="11" t="s">
        <v>18</v>
      </c>
      <c r="D2047" s="11" t="s">
        <v>19</v>
      </c>
      <c r="E2047" s="11" t="s">
        <v>19</v>
      </c>
      <c r="F2047" s="11" t="s">
        <v>7485</v>
      </c>
      <c r="G2047" s="11" t="s">
        <v>83</v>
      </c>
      <c r="H2047" s="11" t="s">
        <v>7486</v>
      </c>
      <c r="I2047" s="11" t="s">
        <v>7487</v>
      </c>
      <c r="J2047" s="12">
        <v>0.88160000000000005</v>
      </c>
      <c r="K2047" s="13">
        <v>7</v>
      </c>
      <c r="L2047" s="14">
        <v>2895</v>
      </c>
      <c r="M2047" s="10">
        <v>2293</v>
      </c>
      <c r="N2047" s="10">
        <v>319903</v>
      </c>
      <c r="O2047" s="10">
        <v>179815</v>
      </c>
      <c r="P2047" s="10">
        <v>499718</v>
      </c>
    </row>
    <row r="2048" spans="1:16" ht="27" customHeight="1" x14ac:dyDescent="0.2">
      <c r="A2048" s="9" t="s">
        <v>7443</v>
      </c>
      <c r="B2048" s="10" t="s">
        <v>7488</v>
      </c>
      <c r="C2048" s="11" t="s">
        <v>18</v>
      </c>
      <c r="D2048" s="11" t="s">
        <v>19</v>
      </c>
      <c r="E2048" s="11" t="s">
        <v>19</v>
      </c>
      <c r="F2048" s="11" t="s">
        <v>7489</v>
      </c>
      <c r="G2048" s="11" t="s">
        <v>83</v>
      </c>
      <c r="H2048" s="11" t="s">
        <v>7489</v>
      </c>
      <c r="I2048" s="11" t="s">
        <v>7490</v>
      </c>
      <c r="J2048" s="12">
        <v>0.26090000000000002</v>
      </c>
      <c r="K2048" s="13">
        <v>2</v>
      </c>
      <c r="L2048" s="14">
        <v>23</v>
      </c>
      <c r="M2048" s="10">
        <v>6</v>
      </c>
      <c r="N2048" s="10">
        <v>2542</v>
      </c>
      <c r="O2048" s="10">
        <v>471</v>
      </c>
      <c r="P2048" s="10">
        <v>3013</v>
      </c>
    </row>
    <row r="2049" spans="1:16" ht="27" customHeight="1" x14ac:dyDescent="0.2">
      <c r="A2049" s="9" t="s">
        <v>7443</v>
      </c>
      <c r="B2049" s="10" t="s">
        <v>7488</v>
      </c>
      <c r="C2049" s="11" t="s">
        <v>7491</v>
      </c>
      <c r="D2049" s="11" t="s">
        <v>7492</v>
      </c>
      <c r="E2049" s="11" t="s">
        <v>57</v>
      </c>
      <c r="F2049" s="11" t="s">
        <v>7493</v>
      </c>
      <c r="G2049" s="11" t="s">
        <v>28</v>
      </c>
      <c r="H2049" s="11" t="s">
        <v>7493</v>
      </c>
      <c r="I2049" s="11" t="s">
        <v>7494</v>
      </c>
      <c r="J2049" s="12">
        <v>0.15129999999999999</v>
      </c>
      <c r="K2049" s="13">
        <v>1</v>
      </c>
      <c r="L2049" s="14">
        <v>119</v>
      </c>
      <c r="M2049" s="10">
        <v>18</v>
      </c>
      <c r="N2049" s="10">
        <v>13150</v>
      </c>
      <c r="O2049" s="10">
        <v>1412</v>
      </c>
      <c r="P2049" s="10">
        <v>14562</v>
      </c>
    </row>
    <row r="2050" spans="1:16" ht="27" customHeight="1" x14ac:dyDescent="0.2">
      <c r="A2050" s="9" t="s">
        <v>7443</v>
      </c>
      <c r="B2050" s="10" t="s">
        <v>7495</v>
      </c>
      <c r="C2050" s="11" t="s">
        <v>18</v>
      </c>
      <c r="D2050" s="11" t="s">
        <v>19</v>
      </c>
      <c r="E2050" s="11" t="s">
        <v>19</v>
      </c>
      <c r="F2050" s="11" t="s">
        <v>7496</v>
      </c>
      <c r="G2050" s="11" t="s">
        <v>83</v>
      </c>
      <c r="H2050" s="11" t="s">
        <v>7497</v>
      </c>
      <c r="I2050" s="11" t="s">
        <v>7498</v>
      </c>
      <c r="J2050" s="12">
        <v>0.45050000000000001</v>
      </c>
      <c r="K2050" s="13">
        <v>2</v>
      </c>
      <c r="L2050" s="14">
        <v>737</v>
      </c>
      <c r="M2050" s="10">
        <v>332</v>
      </c>
      <c r="N2050" s="10">
        <v>81440</v>
      </c>
      <c r="O2050" s="10">
        <v>26035</v>
      </c>
      <c r="P2050" s="10">
        <v>107475</v>
      </c>
    </row>
    <row r="2051" spans="1:16" ht="27" customHeight="1" x14ac:dyDescent="0.2">
      <c r="A2051" s="9" t="s">
        <v>7443</v>
      </c>
      <c r="B2051" s="10" t="s">
        <v>7495</v>
      </c>
      <c r="C2051" s="11" t="s">
        <v>7499</v>
      </c>
      <c r="D2051" s="11" t="s">
        <v>7500</v>
      </c>
      <c r="E2051" s="11" t="s">
        <v>57</v>
      </c>
      <c r="F2051" s="11" t="s">
        <v>7501</v>
      </c>
      <c r="G2051" s="11" t="s">
        <v>28</v>
      </c>
      <c r="H2051" s="11" t="s">
        <v>7501</v>
      </c>
      <c r="I2051" s="11" t="s">
        <v>7502</v>
      </c>
      <c r="J2051" s="12">
        <v>0.41970000000000002</v>
      </c>
      <c r="K2051" s="13">
        <v>1</v>
      </c>
      <c r="L2051" s="14">
        <v>436</v>
      </c>
      <c r="M2051" s="10">
        <v>183</v>
      </c>
      <c r="N2051" s="10">
        <v>48179</v>
      </c>
      <c r="O2051" s="10">
        <v>14351</v>
      </c>
      <c r="P2051" s="10">
        <v>62530</v>
      </c>
    </row>
    <row r="2052" spans="1:16" ht="27" customHeight="1" x14ac:dyDescent="0.2">
      <c r="A2052" s="9" t="s">
        <v>7443</v>
      </c>
      <c r="B2052" s="10" t="s">
        <v>7503</v>
      </c>
      <c r="C2052" s="11" t="s">
        <v>18</v>
      </c>
      <c r="D2052" s="11" t="s">
        <v>19</v>
      </c>
      <c r="E2052" s="11" t="s">
        <v>19</v>
      </c>
      <c r="F2052" s="11" t="s">
        <v>7504</v>
      </c>
      <c r="G2052" s="11" t="s">
        <v>83</v>
      </c>
      <c r="H2052" s="11" t="s">
        <v>7505</v>
      </c>
      <c r="I2052" s="11" t="s">
        <v>7506</v>
      </c>
      <c r="J2052" s="12">
        <v>0.37369999999999998</v>
      </c>
      <c r="K2052" s="13">
        <v>4</v>
      </c>
      <c r="L2052" s="14">
        <v>986</v>
      </c>
      <c r="M2052" s="10">
        <v>341</v>
      </c>
      <c r="N2052" s="10">
        <v>108955</v>
      </c>
      <c r="O2052" s="10">
        <v>26741</v>
      </c>
      <c r="P2052" s="10">
        <v>135696</v>
      </c>
    </row>
    <row r="2053" spans="1:16" ht="27" customHeight="1" x14ac:dyDescent="0.2">
      <c r="A2053" s="9" t="s">
        <v>7443</v>
      </c>
      <c r="B2053" s="10" t="s">
        <v>7507</v>
      </c>
      <c r="C2053" s="11" t="s">
        <v>18</v>
      </c>
      <c r="D2053" s="11" t="s">
        <v>19</v>
      </c>
      <c r="E2053" s="11" t="s">
        <v>19</v>
      </c>
      <c r="F2053" s="11" t="s">
        <v>7508</v>
      </c>
      <c r="G2053" s="11" t="s">
        <v>83</v>
      </c>
      <c r="H2053" s="11" t="s">
        <v>7509</v>
      </c>
      <c r="I2053" s="11" t="s">
        <v>7510</v>
      </c>
      <c r="J2053" s="12">
        <v>0.84989999999999999</v>
      </c>
      <c r="K2053" s="13">
        <v>3</v>
      </c>
      <c r="L2053" s="14">
        <v>741</v>
      </c>
      <c r="M2053" s="10">
        <v>639</v>
      </c>
      <c r="N2053" s="10">
        <v>81882</v>
      </c>
      <c r="O2053" s="10">
        <v>50109</v>
      </c>
      <c r="P2053" s="10">
        <v>131991</v>
      </c>
    </row>
    <row r="2054" spans="1:16" ht="27" customHeight="1" x14ac:dyDescent="0.2">
      <c r="A2054" s="9" t="s">
        <v>7443</v>
      </c>
      <c r="B2054" s="10" t="s">
        <v>7507</v>
      </c>
      <c r="C2054" s="11" t="s">
        <v>7511</v>
      </c>
      <c r="D2054" s="11" t="s">
        <v>7512</v>
      </c>
      <c r="E2054" s="11" t="s">
        <v>57</v>
      </c>
      <c r="F2054" s="11" t="s">
        <v>7513</v>
      </c>
      <c r="G2054" s="11" t="s">
        <v>28</v>
      </c>
      <c r="H2054" s="11" t="s">
        <v>7513</v>
      </c>
      <c r="I2054" s="11" t="s">
        <v>7514</v>
      </c>
      <c r="J2054" s="12">
        <v>0.38800000000000001</v>
      </c>
      <c r="K2054" s="13">
        <v>1</v>
      </c>
      <c r="L2054" s="14">
        <v>317</v>
      </c>
      <c r="M2054" s="10">
        <v>123</v>
      </c>
      <c r="N2054" s="10">
        <v>35029</v>
      </c>
      <c r="O2054" s="10">
        <v>9646</v>
      </c>
      <c r="P2054" s="10">
        <v>44675</v>
      </c>
    </row>
    <row r="2055" spans="1:16" ht="27" customHeight="1" x14ac:dyDescent="0.2">
      <c r="A2055" s="9" t="s">
        <v>7443</v>
      </c>
      <c r="B2055" s="10" t="s">
        <v>7515</v>
      </c>
      <c r="C2055" s="11" t="s">
        <v>18</v>
      </c>
      <c r="D2055" s="11" t="s">
        <v>19</v>
      </c>
      <c r="E2055" s="11" t="s">
        <v>19</v>
      </c>
      <c r="F2055" s="11" t="s">
        <v>7516</v>
      </c>
      <c r="G2055" s="11" t="s">
        <v>83</v>
      </c>
      <c r="H2055" s="11" t="s">
        <v>7516</v>
      </c>
      <c r="I2055" s="11" t="s">
        <v>7517</v>
      </c>
      <c r="J2055" s="12">
        <v>0.18640000000000001</v>
      </c>
      <c r="K2055" s="13">
        <v>2</v>
      </c>
      <c r="L2055" s="14">
        <v>118</v>
      </c>
      <c r="M2055" s="10">
        <v>22</v>
      </c>
      <c r="N2055" s="10">
        <v>13039</v>
      </c>
      <c r="O2055" s="10">
        <v>1725</v>
      </c>
      <c r="P2055" s="10">
        <v>14764</v>
      </c>
    </row>
    <row r="2056" spans="1:16" ht="27" customHeight="1" x14ac:dyDescent="0.2">
      <c r="A2056" s="9" t="s">
        <v>7443</v>
      </c>
      <c r="B2056" s="10" t="s">
        <v>7518</v>
      </c>
      <c r="C2056" s="11" t="s">
        <v>18</v>
      </c>
      <c r="D2056" s="11" t="s">
        <v>19</v>
      </c>
      <c r="E2056" s="11" t="s">
        <v>19</v>
      </c>
      <c r="F2056" s="11" t="s">
        <v>7519</v>
      </c>
      <c r="G2056" s="11" t="s">
        <v>83</v>
      </c>
      <c r="H2056" s="11" t="s">
        <v>7446</v>
      </c>
      <c r="I2056" s="11" t="s">
        <v>7447</v>
      </c>
      <c r="J2056" s="12">
        <v>0.95469999999999999</v>
      </c>
      <c r="K2056" s="13">
        <v>27</v>
      </c>
      <c r="L2056" s="14">
        <v>14784</v>
      </c>
      <c r="M2056" s="10">
        <v>12434</v>
      </c>
      <c r="N2056" s="10">
        <v>1633659</v>
      </c>
      <c r="O2056" s="10">
        <v>975062</v>
      </c>
      <c r="P2056" s="10">
        <v>2608721</v>
      </c>
    </row>
    <row r="2057" spans="1:16" ht="27" customHeight="1" x14ac:dyDescent="0.2">
      <c r="A2057" s="9" t="s">
        <v>7443</v>
      </c>
      <c r="B2057" s="10" t="s">
        <v>7518</v>
      </c>
      <c r="C2057" s="11" t="s">
        <v>7520</v>
      </c>
      <c r="D2057" s="11" t="s">
        <v>7521</v>
      </c>
      <c r="E2057" s="11" t="s">
        <v>26</v>
      </c>
      <c r="F2057" s="11" t="s">
        <v>7522</v>
      </c>
      <c r="G2057" s="11" t="s">
        <v>28</v>
      </c>
      <c r="H2057" s="11" t="s">
        <v>7522</v>
      </c>
      <c r="I2057" s="11" t="s">
        <v>7523</v>
      </c>
      <c r="J2057" s="12">
        <v>0.77329999999999999</v>
      </c>
      <c r="K2057" s="13">
        <v>1</v>
      </c>
      <c r="L2057" s="14">
        <v>419</v>
      </c>
      <c r="M2057" s="10">
        <v>324</v>
      </c>
      <c r="N2057" s="10">
        <v>46300</v>
      </c>
      <c r="O2057" s="10">
        <v>25408</v>
      </c>
      <c r="P2057" s="10">
        <v>71708</v>
      </c>
    </row>
    <row r="2058" spans="1:16" ht="27" customHeight="1" x14ac:dyDescent="0.2">
      <c r="A2058" s="9" t="s">
        <v>7443</v>
      </c>
      <c r="B2058" s="10" t="s">
        <v>7518</v>
      </c>
      <c r="C2058" s="11" t="s">
        <v>7524</v>
      </c>
      <c r="D2058" s="11" t="s">
        <v>7525</v>
      </c>
      <c r="E2058" s="11" t="s">
        <v>26</v>
      </c>
      <c r="F2058" s="11" t="s">
        <v>7526</v>
      </c>
      <c r="G2058" s="11" t="s">
        <v>28</v>
      </c>
      <c r="H2058" s="11" t="s">
        <v>7526</v>
      </c>
      <c r="I2058" s="11" t="s">
        <v>7527</v>
      </c>
      <c r="J2058" s="12">
        <v>0.51280000000000003</v>
      </c>
      <c r="K2058" s="13">
        <v>1</v>
      </c>
      <c r="L2058" s="14">
        <v>624</v>
      </c>
      <c r="M2058" s="10">
        <v>320</v>
      </c>
      <c r="N2058" s="10">
        <v>68953</v>
      </c>
      <c r="O2058" s="10">
        <v>25094</v>
      </c>
      <c r="P2058" s="10">
        <v>94047</v>
      </c>
    </row>
    <row r="2059" spans="1:16" ht="27" customHeight="1" x14ac:dyDescent="0.2">
      <c r="A2059" s="9" t="s">
        <v>7443</v>
      </c>
      <c r="B2059" s="10" t="s">
        <v>7528</v>
      </c>
      <c r="C2059" s="11" t="s">
        <v>18</v>
      </c>
      <c r="D2059" s="11" t="s">
        <v>19</v>
      </c>
      <c r="E2059" s="11" t="s">
        <v>19</v>
      </c>
      <c r="F2059" s="11" t="s">
        <v>7529</v>
      </c>
      <c r="G2059" s="11" t="s">
        <v>83</v>
      </c>
      <c r="H2059" s="11" t="s">
        <v>7446</v>
      </c>
      <c r="I2059" s="11" t="s">
        <v>7447</v>
      </c>
      <c r="J2059" s="12">
        <v>0.95469999999999999</v>
      </c>
      <c r="K2059" s="13">
        <v>9</v>
      </c>
      <c r="L2059" s="14">
        <v>15547</v>
      </c>
      <c r="M2059" s="10">
        <v>10272</v>
      </c>
      <c r="N2059" s="10">
        <v>1717969</v>
      </c>
      <c r="O2059" s="10">
        <v>805520</v>
      </c>
      <c r="P2059" s="10">
        <v>2523489</v>
      </c>
    </row>
    <row r="2060" spans="1:16" ht="27" customHeight="1" x14ac:dyDescent="0.2">
      <c r="A2060" s="9" t="s">
        <v>7443</v>
      </c>
      <c r="B2060" s="10" t="s">
        <v>7528</v>
      </c>
      <c r="C2060" s="11" t="s">
        <v>7530</v>
      </c>
      <c r="D2060" s="11" t="s">
        <v>7531</v>
      </c>
      <c r="E2060" s="11" t="s">
        <v>26</v>
      </c>
      <c r="F2060" s="11" t="s">
        <v>7532</v>
      </c>
      <c r="G2060" s="11" t="s">
        <v>28</v>
      </c>
      <c r="H2060" s="11" t="s">
        <v>7532</v>
      </c>
      <c r="I2060" s="11" t="s">
        <v>7533</v>
      </c>
      <c r="J2060" s="12">
        <v>0.72650000000000003</v>
      </c>
      <c r="K2060" s="13">
        <v>1</v>
      </c>
      <c r="L2060" s="14">
        <v>596</v>
      </c>
      <c r="M2060" s="10">
        <v>433</v>
      </c>
      <c r="N2060" s="10">
        <v>65859</v>
      </c>
      <c r="O2060" s="10">
        <v>33955</v>
      </c>
      <c r="P2060" s="10">
        <v>99814</v>
      </c>
    </row>
    <row r="2061" spans="1:16" ht="27" customHeight="1" x14ac:dyDescent="0.2">
      <c r="A2061" s="9" t="s">
        <v>7443</v>
      </c>
      <c r="B2061" s="10" t="s">
        <v>7534</v>
      </c>
      <c r="C2061" s="11" t="s">
        <v>18</v>
      </c>
      <c r="D2061" s="11" t="s">
        <v>19</v>
      </c>
      <c r="E2061" s="11" t="s">
        <v>19</v>
      </c>
      <c r="F2061" s="11" t="s">
        <v>7535</v>
      </c>
      <c r="G2061" s="11" t="s">
        <v>83</v>
      </c>
      <c r="H2061" s="11" t="s">
        <v>7535</v>
      </c>
      <c r="I2061" s="11" t="s">
        <v>7536</v>
      </c>
      <c r="J2061" s="12">
        <v>0.66200000000000003</v>
      </c>
      <c r="K2061" s="13">
        <v>2</v>
      </c>
      <c r="L2061" s="14">
        <v>71</v>
      </c>
      <c r="M2061" s="10">
        <v>47</v>
      </c>
      <c r="N2061" s="10">
        <v>7846</v>
      </c>
      <c r="O2061" s="10">
        <v>3686</v>
      </c>
      <c r="P2061" s="10">
        <v>11532</v>
      </c>
    </row>
    <row r="2062" spans="1:16" ht="27" customHeight="1" x14ac:dyDescent="0.2">
      <c r="A2062" s="9" t="s">
        <v>7443</v>
      </c>
      <c r="B2062" s="10" t="s">
        <v>7534</v>
      </c>
      <c r="C2062" s="11" t="s">
        <v>7537</v>
      </c>
      <c r="D2062" s="11" t="s">
        <v>7538</v>
      </c>
      <c r="E2062" s="11" t="s">
        <v>57</v>
      </c>
      <c r="F2062" s="11" t="s">
        <v>7539</v>
      </c>
      <c r="G2062" s="11" t="s">
        <v>28</v>
      </c>
      <c r="H2062" s="11" t="s">
        <v>7539</v>
      </c>
      <c r="I2062" s="11" t="s">
        <v>7540</v>
      </c>
      <c r="J2062" s="12">
        <v>0.65569999999999995</v>
      </c>
      <c r="K2062" s="13">
        <v>1</v>
      </c>
      <c r="L2062" s="14">
        <v>122</v>
      </c>
      <c r="M2062" s="10">
        <v>80</v>
      </c>
      <c r="N2062" s="10">
        <v>13481</v>
      </c>
      <c r="O2062" s="10">
        <v>6274</v>
      </c>
      <c r="P2062" s="10">
        <v>19755</v>
      </c>
    </row>
    <row r="2063" spans="1:16" ht="27" customHeight="1" x14ac:dyDescent="0.2">
      <c r="A2063" s="9" t="s">
        <v>7443</v>
      </c>
      <c r="B2063" s="10" t="s">
        <v>7541</v>
      </c>
      <c r="C2063" s="11" t="s">
        <v>18</v>
      </c>
      <c r="D2063" s="11" t="s">
        <v>19</v>
      </c>
      <c r="E2063" s="11" t="s">
        <v>19</v>
      </c>
      <c r="F2063" s="11" t="s">
        <v>7542</v>
      </c>
      <c r="G2063" s="11" t="s">
        <v>83</v>
      </c>
      <c r="H2063" s="11" t="s">
        <v>7543</v>
      </c>
      <c r="I2063" s="11" t="s">
        <v>7544</v>
      </c>
      <c r="J2063" s="12">
        <v>0.94740000000000002</v>
      </c>
      <c r="K2063" s="13">
        <v>12</v>
      </c>
      <c r="L2063" s="14">
        <v>6353</v>
      </c>
      <c r="M2063" s="10">
        <v>4733</v>
      </c>
      <c r="N2063" s="10">
        <v>702018</v>
      </c>
      <c r="O2063" s="10">
        <v>371158</v>
      </c>
      <c r="P2063" s="10">
        <v>1073176</v>
      </c>
    </row>
    <row r="2064" spans="1:16" ht="27" customHeight="1" x14ac:dyDescent="0.2">
      <c r="A2064" s="9" t="s">
        <v>7443</v>
      </c>
      <c r="B2064" s="10" t="s">
        <v>7545</v>
      </c>
      <c r="C2064" s="11" t="s">
        <v>18</v>
      </c>
      <c r="D2064" s="11" t="s">
        <v>19</v>
      </c>
      <c r="E2064" s="11" t="s">
        <v>19</v>
      </c>
      <c r="F2064" s="11" t="s">
        <v>7546</v>
      </c>
      <c r="G2064" s="11" t="s">
        <v>83</v>
      </c>
      <c r="H2064" s="11" t="s">
        <v>7546</v>
      </c>
      <c r="I2064" s="11" t="s">
        <v>7547</v>
      </c>
      <c r="J2064" s="12">
        <v>0.62960000000000005</v>
      </c>
      <c r="K2064" s="13">
        <v>2</v>
      </c>
      <c r="L2064" s="14">
        <v>27</v>
      </c>
      <c r="M2064" s="10">
        <v>17</v>
      </c>
      <c r="N2064" s="10">
        <v>2984</v>
      </c>
      <c r="O2064" s="10">
        <v>1333</v>
      </c>
      <c r="P2064" s="10">
        <v>4317</v>
      </c>
    </row>
    <row r="2065" spans="1:16" ht="27" customHeight="1" x14ac:dyDescent="0.2">
      <c r="A2065" s="9" t="s">
        <v>7443</v>
      </c>
      <c r="B2065" s="10" t="s">
        <v>7545</v>
      </c>
      <c r="C2065" s="11" t="s">
        <v>7548</v>
      </c>
      <c r="D2065" s="11" t="s">
        <v>7549</v>
      </c>
      <c r="E2065" s="11" t="s">
        <v>57</v>
      </c>
      <c r="F2065" s="11" t="s">
        <v>7550</v>
      </c>
      <c r="G2065" s="11" t="s">
        <v>28</v>
      </c>
      <c r="H2065" s="11" t="s">
        <v>7550</v>
      </c>
      <c r="I2065" s="11" t="s">
        <v>7551</v>
      </c>
      <c r="J2065" s="12">
        <v>0.53800000000000003</v>
      </c>
      <c r="K2065" s="13">
        <v>1</v>
      </c>
      <c r="L2065" s="14">
        <v>171</v>
      </c>
      <c r="M2065" s="10">
        <v>92</v>
      </c>
      <c r="N2065" s="10">
        <v>18896</v>
      </c>
      <c r="O2065" s="10">
        <v>7215</v>
      </c>
      <c r="P2065" s="10">
        <v>26111</v>
      </c>
    </row>
    <row r="2066" spans="1:16" ht="27" customHeight="1" x14ac:dyDescent="0.2">
      <c r="A2066" s="9" t="s">
        <v>7443</v>
      </c>
      <c r="B2066" s="10" t="s">
        <v>7552</v>
      </c>
      <c r="C2066" s="11" t="s">
        <v>18</v>
      </c>
      <c r="D2066" s="11" t="s">
        <v>19</v>
      </c>
      <c r="E2066" s="11" t="s">
        <v>19</v>
      </c>
      <c r="F2066" s="11" t="s">
        <v>7553</v>
      </c>
      <c r="G2066" s="11" t="s">
        <v>83</v>
      </c>
      <c r="H2066" s="11" t="s">
        <v>7554</v>
      </c>
      <c r="I2066" s="11" t="s">
        <v>7555</v>
      </c>
      <c r="J2066" s="12">
        <v>0.84</v>
      </c>
      <c r="K2066" s="13">
        <v>6</v>
      </c>
      <c r="L2066" s="14">
        <v>2259</v>
      </c>
      <c r="M2066" s="10">
        <v>1648</v>
      </c>
      <c r="N2066" s="10">
        <v>249623</v>
      </c>
      <c r="O2066" s="10">
        <v>129234</v>
      </c>
      <c r="P2066" s="10">
        <v>378857</v>
      </c>
    </row>
    <row r="2067" spans="1:16" ht="27" customHeight="1" x14ac:dyDescent="0.2">
      <c r="A2067" s="9" t="s">
        <v>7443</v>
      </c>
      <c r="B2067" s="10" t="s">
        <v>7552</v>
      </c>
      <c r="C2067" s="11" t="s">
        <v>7556</v>
      </c>
      <c r="D2067" s="11" t="s">
        <v>7557</v>
      </c>
      <c r="E2067" s="11" t="s">
        <v>26</v>
      </c>
      <c r="F2067" s="11" t="s">
        <v>7558</v>
      </c>
      <c r="G2067" s="11" t="s">
        <v>28</v>
      </c>
      <c r="H2067" s="11" t="s">
        <v>7558</v>
      </c>
      <c r="I2067" s="11" t="s">
        <v>7559</v>
      </c>
      <c r="J2067" s="12">
        <v>0.29530000000000001</v>
      </c>
      <c r="K2067" s="13">
        <v>1</v>
      </c>
      <c r="L2067" s="14">
        <v>823</v>
      </c>
      <c r="M2067" s="10">
        <v>243</v>
      </c>
      <c r="N2067" s="10">
        <v>90943</v>
      </c>
      <c r="O2067" s="10">
        <v>19056</v>
      </c>
      <c r="P2067" s="10">
        <v>109999</v>
      </c>
    </row>
    <row r="2068" spans="1:16" ht="27" customHeight="1" x14ac:dyDescent="0.2">
      <c r="A2068" s="9" t="s">
        <v>7443</v>
      </c>
      <c r="B2068" s="10" t="s">
        <v>7560</v>
      </c>
      <c r="C2068" s="11" t="s">
        <v>18</v>
      </c>
      <c r="D2068" s="11" t="s">
        <v>19</v>
      </c>
      <c r="E2068" s="11" t="s">
        <v>19</v>
      </c>
      <c r="F2068" s="11" t="s">
        <v>7561</v>
      </c>
      <c r="G2068" s="11" t="s">
        <v>83</v>
      </c>
      <c r="H2068" s="11" t="s">
        <v>7561</v>
      </c>
      <c r="I2068" s="11" t="s">
        <v>7562</v>
      </c>
      <c r="J2068" s="12">
        <v>0.56669999999999998</v>
      </c>
      <c r="K2068" s="13">
        <v>2</v>
      </c>
      <c r="L2068" s="14">
        <v>30</v>
      </c>
      <c r="M2068" s="10">
        <v>17</v>
      </c>
      <c r="N2068" s="10">
        <v>3315</v>
      </c>
      <c r="O2068" s="10">
        <v>1333</v>
      </c>
      <c r="P2068" s="10">
        <v>4648</v>
      </c>
    </row>
    <row r="2069" spans="1:16" ht="27" customHeight="1" x14ac:dyDescent="0.2">
      <c r="A2069" s="9" t="s">
        <v>7443</v>
      </c>
      <c r="B2069" s="10" t="s">
        <v>7560</v>
      </c>
      <c r="C2069" s="11" t="s">
        <v>7563</v>
      </c>
      <c r="D2069" s="11" t="s">
        <v>7564</v>
      </c>
      <c r="E2069" s="11" t="s">
        <v>57</v>
      </c>
      <c r="F2069" s="11" t="s">
        <v>7565</v>
      </c>
      <c r="G2069" s="11" t="s">
        <v>28</v>
      </c>
      <c r="H2069" s="11" t="s">
        <v>7565</v>
      </c>
      <c r="I2069" s="11" t="s">
        <v>7566</v>
      </c>
      <c r="J2069" s="12">
        <v>0.72860000000000003</v>
      </c>
      <c r="K2069" s="13">
        <v>1</v>
      </c>
      <c r="L2069" s="14">
        <v>140</v>
      </c>
      <c r="M2069" s="10">
        <v>102</v>
      </c>
      <c r="N2069" s="10">
        <v>15470</v>
      </c>
      <c r="O2069" s="10">
        <v>7999</v>
      </c>
      <c r="P2069" s="10">
        <v>23469</v>
      </c>
    </row>
    <row r="2070" spans="1:16" ht="27" customHeight="1" x14ac:dyDescent="0.2">
      <c r="A2070" s="9" t="s">
        <v>7443</v>
      </c>
      <c r="B2070" s="10" t="s">
        <v>7567</v>
      </c>
      <c r="C2070" s="11" t="s">
        <v>18</v>
      </c>
      <c r="D2070" s="11" t="s">
        <v>19</v>
      </c>
      <c r="E2070" s="11" t="s">
        <v>19</v>
      </c>
      <c r="F2070" s="11" t="s">
        <v>7568</v>
      </c>
      <c r="G2070" s="11" t="s">
        <v>83</v>
      </c>
      <c r="H2070" s="11" t="s">
        <v>7569</v>
      </c>
      <c r="I2070" s="11" t="s">
        <v>7570</v>
      </c>
      <c r="J2070" s="12">
        <v>0.89700000000000002</v>
      </c>
      <c r="K2070" s="13">
        <v>7</v>
      </c>
      <c r="L2070" s="14">
        <v>3389</v>
      </c>
      <c r="M2070" s="10">
        <v>2566</v>
      </c>
      <c r="N2070" s="10">
        <v>374491</v>
      </c>
      <c r="O2070" s="10">
        <v>201224</v>
      </c>
      <c r="P2070" s="10">
        <v>575715</v>
      </c>
    </row>
    <row r="2071" spans="1:16" ht="27" customHeight="1" x14ac:dyDescent="0.2">
      <c r="A2071" s="9" t="s">
        <v>7443</v>
      </c>
      <c r="B2071" s="10" t="s">
        <v>7571</v>
      </c>
      <c r="C2071" s="11" t="s">
        <v>18</v>
      </c>
      <c r="D2071" s="11" t="s">
        <v>19</v>
      </c>
      <c r="E2071" s="11" t="s">
        <v>19</v>
      </c>
      <c r="F2071" s="11" t="s">
        <v>7572</v>
      </c>
      <c r="G2071" s="11" t="s">
        <v>83</v>
      </c>
      <c r="H2071" s="11" t="s">
        <v>7573</v>
      </c>
      <c r="I2071" s="11" t="s">
        <v>7574</v>
      </c>
      <c r="J2071" s="12">
        <v>0.82779999999999998</v>
      </c>
      <c r="K2071" s="13">
        <v>14</v>
      </c>
      <c r="L2071" s="14">
        <v>8083</v>
      </c>
      <c r="M2071" s="10">
        <v>4805</v>
      </c>
      <c r="N2071" s="10">
        <v>893186</v>
      </c>
      <c r="O2071" s="10">
        <v>376802</v>
      </c>
      <c r="P2071" s="10">
        <v>1269988</v>
      </c>
    </row>
    <row r="2072" spans="1:16" ht="27" customHeight="1" x14ac:dyDescent="0.2">
      <c r="A2072" s="9" t="s">
        <v>7443</v>
      </c>
      <c r="B2072" s="10" t="s">
        <v>7575</v>
      </c>
      <c r="C2072" s="11" t="s">
        <v>18</v>
      </c>
      <c r="D2072" s="11" t="s">
        <v>19</v>
      </c>
      <c r="E2072" s="11" t="s">
        <v>19</v>
      </c>
      <c r="F2072" s="11" t="s">
        <v>7576</v>
      </c>
      <c r="G2072" s="11" t="s">
        <v>83</v>
      </c>
      <c r="H2072" s="11" t="s">
        <v>7577</v>
      </c>
      <c r="I2072" s="11" t="s">
        <v>7578</v>
      </c>
      <c r="J2072" s="12">
        <v>0.31359999999999999</v>
      </c>
      <c r="K2072" s="13">
        <v>2</v>
      </c>
      <c r="L2072" s="14">
        <v>169</v>
      </c>
      <c r="M2072" s="10">
        <v>53</v>
      </c>
      <c r="N2072" s="10">
        <v>18675</v>
      </c>
      <c r="O2072" s="10">
        <v>4156</v>
      </c>
      <c r="P2072" s="10">
        <v>22831</v>
      </c>
    </row>
    <row r="2073" spans="1:16" ht="27" customHeight="1" x14ac:dyDescent="0.2">
      <c r="A2073" s="9" t="s">
        <v>7443</v>
      </c>
      <c r="B2073" s="10" t="s">
        <v>7579</v>
      </c>
      <c r="C2073" s="11" t="s">
        <v>18</v>
      </c>
      <c r="D2073" s="11" t="s">
        <v>19</v>
      </c>
      <c r="E2073" s="11" t="s">
        <v>19</v>
      </c>
      <c r="F2073" s="11" t="s">
        <v>7580</v>
      </c>
      <c r="G2073" s="11" t="s">
        <v>83</v>
      </c>
      <c r="H2073" s="11" t="s">
        <v>7581</v>
      </c>
      <c r="I2073" s="11" t="s">
        <v>7582</v>
      </c>
      <c r="J2073" s="12">
        <v>0.62929999999999997</v>
      </c>
      <c r="K2073" s="13">
        <v>10</v>
      </c>
      <c r="L2073" s="14">
        <v>3191</v>
      </c>
      <c r="M2073" s="10">
        <v>1837</v>
      </c>
      <c r="N2073" s="10">
        <v>352610</v>
      </c>
      <c r="O2073" s="10">
        <v>144056</v>
      </c>
      <c r="P2073" s="10">
        <v>496666</v>
      </c>
    </row>
    <row r="2074" spans="1:16" ht="27" customHeight="1" x14ac:dyDescent="0.2">
      <c r="A2074" s="9" t="s">
        <v>7443</v>
      </c>
      <c r="B2074" s="10" t="s">
        <v>7583</v>
      </c>
      <c r="C2074" s="11" t="s">
        <v>18</v>
      </c>
      <c r="D2074" s="11" t="s">
        <v>19</v>
      </c>
      <c r="E2074" s="11" t="s">
        <v>19</v>
      </c>
      <c r="F2074" s="11" t="s">
        <v>7584</v>
      </c>
      <c r="G2074" s="11" t="s">
        <v>83</v>
      </c>
      <c r="H2074" s="11" t="s">
        <v>7585</v>
      </c>
      <c r="I2074" s="11" t="s">
        <v>7586</v>
      </c>
      <c r="J2074" s="12">
        <v>0.50370000000000004</v>
      </c>
      <c r="K2074" s="13">
        <v>7</v>
      </c>
      <c r="L2074" s="14">
        <v>2214</v>
      </c>
      <c r="M2074" s="10">
        <v>1084</v>
      </c>
      <c r="N2074" s="10">
        <v>244651</v>
      </c>
      <c r="O2074" s="10">
        <v>85006</v>
      </c>
      <c r="P2074" s="10">
        <v>329657</v>
      </c>
    </row>
    <row r="2075" spans="1:16" ht="27" customHeight="1" x14ac:dyDescent="0.2">
      <c r="A2075" s="9" t="s">
        <v>7443</v>
      </c>
      <c r="B2075" s="10" t="s">
        <v>7587</v>
      </c>
      <c r="C2075" s="11" t="s">
        <v>18</v>
      </c>
      <c r="D2075" s="11" t="s">
        <v>19</v>
      </c>
      <c r="E2075" s="11" t="s">
        <v>19</v>
      </c>
      <c r="F2075" s="11" t="s">
        <v>7588</v>
      </c>
      <c r="G2075" s="11" t="s">
        <v>83</v>
      </c>
      <c r="H2075" s="11" t="s">
        <v>7589</v>
      </c>
      <c r="I2075" s="11" t="s">
        <v>7590</v>
      </c>
      <c r="J2075" s="12">
        <v>0.62260000000000004</v>
      </c>
      <c r="K2075" s="13">
        <v>6</v>
      </c>
      <c r="L2075" s="14">
        <v>2410</v>
      </c>
      <c r="M2075" s="10">
        <v>1419</v>
      </c>
      <c r="N2075" s="10">
        <v>266309</v>
      </c>
      <c r="O2075" s="10">
        <v>111276</v>
      </c>
      <c r="P2075" s="10">
        <v>377585</v>
      </c>
    </row>
    <row r="2076" spans="1:16" ht="27" customHeight="1" x14ac:dyDescent="0.2">
      <c r="A2076" s="9" t="s">
        <v>7443</v>
      </c>
      <c r="B2076" s="10" t="s">
        <v>7587</v>
      </c>
      <c r="C2076" s="11" t="s">
        <v>7591</v>
      </c>
      <c r="D2076" s="11" t="s">
        <v>7592</v>
      </c>
      <c r="E2076" s="11" t="s">
        <v>57</v>
      </c>
      <c r="F2076" s="11" t="s">
        <v>7593</v>
      </c>
      <c r="G2076" s="11" t="s">
        <v>28</v>
      </c>
      <c r="H2076" s="11" t="s">
        <v>7593</v>
      </c>
      <c r="I2076" s="11" t="s">
        <v>7594</v>
      </c>
      <c r="J2076" s="12">
        <v>0.37259999999999999</v>
      </c>
      <c r="K2076" s="13">
        <v>1</v>
      </c>
      <c r="L2076" s="14">
        <v>569</v>
      </c>
      <c r="M2076" s="10">
        <v>212</v>
      </c>
      <c r="N2076" s="10">
        <v>62875</v>
      </c>
      <c r="O2076" s="10">
        <v>16625</v>
      </c>
      <c r="P2076" s="10">
        <v>79500</v>
      </c>
    </row>
    <row r="2077" spans="1:16" ht="27" customHeight="1" x14ac:dyDescent="0.2">
      <c r="A2077" s="9" t="s">
        <v>7443</v>
      </c>
      <c r="B2077" s="10" t="s">
        <v>7595</v>
      </c>
      <c r="C2077" s="11" t="s">
        <v>18</v>
      </c>
      <c r="D2077" s="11" t="s">
        <v>19</v>
      </c>
      <c r="E2077" s="11" t="s">
        <v>19</v>
      </c>
      <c r="F2077" s="11" t="s">
        <v>7596</v>
      </c>
      <c r="G2077" s="11" t="s">
        <v>83</v>
      </c>
      <c r="H2077" s="11" t="s">
        <v>4089</v>
      </c>
      <c r="I2077" s="11" t="s">
        <v>7597</v>
      </c>
      <c r="J2077" s="12">
        <v>0.52359999999999995</v>
      </c>
      <c r="K2077" s="13">
        <v>9</v>
      </c>
      <c r="L2077" s="14">
        <v>5190</v>
      </c>
      <c r="M2077" s="10">
        <v>2147</v>
      </c>
      <c r="N2077" s="10">
        <v>573504</v>
      </c>
      <c r="O2077" s="10">
        <v>168366</v>
      </c>
      <c r="P2077" s="10">
        <v>741870</v>
      </c>
    </row>
    <row r="2078" spans="1:16" ht="27" customHeight="1" x14ac:dyDescent="0.2">
      <c r="A2078" s="9" t="s">
        <v>7443</v>
      </c>
      <c r="B2078" s="10" t="s">
        <v>7595</v>
      </c>
      <c r="C2078" s="11" t="s">
        <v>7598</v>
      </c>
      <c r="D2078" s="11" t="s">
        <v>7599</v>
      </c>
      <c r="E2078" s="11" t="s">
        <v>57</v>
      </c>
      <c r="F2078" s="11" t="s">
        <v>7600</v>
      </c>
      <c r="G2078" s="11" t="s">
        <v>28</v>
      </c>
      <c r="H2078" s="11" t="s">
        <v>7446</v>
      </c>
      <c r="I2078" s="11" t="s">
        <v>7447</v>
      </c>
      <c r="J2078" s="12">
        <v>0.95469999999999999</v>
      </c>
      <c r="K2078" s="13">
        <v>1</v>
      </c>
      <c r="L2078" s="14">
        <v>53</v>
      </c>
      <c r="M2078" s="10">
        <v>19</v>
      </c>
      <c r="N2078" s="10">
        <v>5857</v>
      </c>
      <c r="O2078" s="10">
        <v>1490</v>
      </c>
      <c r="P2078" s="10">
        <v>7347</v>
      </c>
    </row>
    <row r="2079" spans="1:16" ht="27" customHeight="1" x14ac:dyDescent="0.2">
      <c r="A2079" s="9" t="s">
        <v>7443</v>
      </c>
      <c r="B2079" s="10" t="s">
        <v>7601</v>
      </c>
      <c r="C2079" s="11" t="s">
        <v>18</v>
      </c>
      <c r="D2079" s="11" t="s">
        <v>19</v>
      </c>
      <c r="E2079" s="11" t="s">
        <v>19</v>
      </c>
      <c r="F2079" s="11" t="s">
        <v>7602</v>
      </c>
      <c r="G2079" s="11" t="s">
        <v>83</v>
      </c>
      <c r="H2079" s="11" t="s">
        <v>7603</v>
      </c>
      <c r="I2079" s="11" t="s">
        <v>7604</v>
      </c>
      <c r="J2079" s="12">
        <v>0.91710000000000003</v>
      </c>
      <c r="K2079" s="13">
        <v>6</v>
      </c>
      <c r="L2079" s="14">
        <v>1837</v>
      </c>
      <c r="M2079" s="10">
        <v>1608</v>
      </c>
      <c r="N2079" s="10">
        <v>202992</v>
      </c>
      <c r="O2079" s="10">
        <v>126097</v>
      </c>
      <c r="P2079" s="10">
        <v>329089</v>
      </c>
    </row>
    <row r="2080" spans="1:16" ht="27" customHeight="1" x14ac:dyDescent="0.2">
      <c r="A2080" s="9" t="s">
        <v>7443</v>
      </c>
      <c r="B2080" s="10" t="s">
        <v>7601</v>
      </c>
      <c r="C2080" s="11" t="s">
        <v>7605</v>
      </c>
      <c r="D2080" s="11" t="s">
        <v>7606</v>
      </c>
      <c r="E2080" s="11" t="s">
        <v>26</v>
      </c>
      <c r="F2080" s="11" t="s">
        <v>7607</v>
      </c>
      <c r="G2080" s="11" t="s">
        <v>28</v>
      </c>
      <c r="H2080" s="11" t="s">
        <v>7607</v>
      </c>
      <c r="I2080" s="11" t="s">
        <v>7608</v>
      </c>
      <c r="J2080" s="12">
        <v>0.52890000000000004</v>
      </c>
      <c r="K2080" s="13">
        <v>1</v>
      </c>
      <c r="L2080" s="14">
        <v>762</v>
      </c>
      <c r="M2080" s="10">
        <v>403</v>
      </c>
      <c r="N2080" s="10">
        <v>84202</v>
      </c>
      <c r="O2080" s="10">
        <v>31603</v>
      </c>
      <c r="P2080" s="10">
        <v>115805</v>
      </c>
    </row>
    <row r="2081" spans="1:16" ht="27" customHeight="1" x14ac:dyDescent="0.2">
      <c r="A2081" s="9" t="s">
        <v>7443</v>
      </c>
      <c r="B2081" s="10" t="s">
        <v>7609</v>
      </c>
      <c r="C2081" s="11" t="s">
        <v>18</v>
      </c>
      <c r="D2081" s="11" t="s">
        <v>19</v>
      </c>
      <c r="E2081" s="11" t="s">
        <v>19</v>
      </c>
      <c r="F2081" s="11" t="s">
        <v>7610</v>
      </c>
      <c r="G2081" s="11" t="s">
        <v>83</v>
      </c>
      <c r="H2081" s="11" t="s">
        <v>7611</v>
      </c>
      <c r="I2081" s="11" t="s">
        <v>7612</v>
      </c>
      <c r="J2081" s="12">
        <v>0.81399999999999995</v>
      </c>
      <c r="K2081" s="13">
        <v>15</v>
      </c>
      <c r="L2081" s="14">
        <v>13626</v>
      </c>
      <c r="M2081" s="10">
        <v>8063</v>
      </c>
      <c r="N2081" s="10">
        <v>1505696</v>
      </c>
      <c r="O2081" s="10">
        <v>632292</v>
      </c>
      <c r="P2081" s="10">
        <v>2137988</v>
      </c>
    </row>
    <row r="2082" spans="1:16" ht="27" customHeight="1" x14ac:dyDescent="0.2">
      <c r="A2082" s="9" t="s">
        <v>7443</v>
      </c>
      <c r="B2082" s="10" t="s">
        <v>7609</v>
      </c>
      <c r="C2082" s="11" t="s">
        <v>7613</v>
      </c>
      <c r="D2082" s="11" t="s">
        <v>7614</v>
      </c>
      <c r="E2082" s="11" t="s">
        <v>26</v>
      </c>
      <c r="F2082" s="11" t="s">
        <v>7615</v>
      </c>
      <c r="G2082" s="11" t="s">
        <v>28</v>
      </c>
      <c r="H2082" s="11" t="s">
        <v>7615</v>
      </c>
      <c r="I2082" s="11" t="s">
        <v>7616</v>
      </c>
      <c r="J2082" s="12">
        <v>0.68320000000000003</v>
      </c>
      <c r="K2082" s="13">
        <v>1</v>
      </c>
      <c r="L2082" s="14">
        <v>161</v>
      </c>
      <c r="M2082" s="10">
        <v>110</v>
      </c>
      <c r="N2082" s="10">
        <v>17791</v>
      </c>
      <c r="O2082" s="10">
        <v>8626</v>
      </c>
      <c r="P2082" s="10">
        <v>26417</v>
      </c>
    </row>
    <row r="2083" spans="1:16" ht="27" customHeight="1" x14ac:dyDescent="0.2">
      <c r="A2083" s="9" t="s">
        <v>7443</v>
      </c>
      <c r="B2083" s="10" t="s">
        <v>7609</v>
      </c>
      <c r="C2083" s="11" t="s">
        <v>7617</v>
      </c>
      <c r="D2083" s="11" t="s">
        <v>7618</v>
      </c>
      <c r="E2083" s="11" t="s">
        <v>26</v>
      </c>
      <c r="F2083" s="11" t="s">
        <v>7619</v>
      </c>
      <c r="G2083" s="11" t="s">
        <v>28</v>
      </c>
      <c r="H2083" s="11" t="s">
        <v>7446</v>
      </c>
      <c r="I2083" s="11" t="s">
        <v>7447</v>
      </c>
      <c r="J2083" s="12">
        <v>0.95469999999999999</v>
      </c>
      <c r="K2083" s="13">
        <v>1</v>
      </c>
      <c r="L2083" s="14">
        <v>126</v>
      </c>
      <c r="M2083" s="10">
        <v>103</v>
      </c>
      <c r="N2083" s="10">
        <v>13923</v>
      </c>
      <c r="O2083" s="10">
        <v>8077</v>
      </c>
      <c r="P2083" s="10">
        <v>22000</v>
      </c>
    </row>
    <row r="2084" spans="1:16" ht="27" customHeight="1" x14ac:dyDescent="0.2">
      <c r="A2084" s="9" t="s">
        <v>7620</v>
      </c>
      <c r="B2084" s="10" t="s">
        <v>7621</v>
      </c>
      <c r="C2084" s="11" t="s">
        <v>18</v>
      </c>
      <c r="D2084" s="11" t="s">
        <v>19</v>
      </c>
      <c r="E2084" s="11" t="s">
        <v>19</v>
      </c>
      <c r="F2084" s="11" t="s">
        <v>7622</v>
      </c>
      <c r="G2084" s="11" t="s">
        <v>21</v>
      </c>
      <c r="H2084" s="11" t="s">
        <v>7623</v>
      </c>
      <c r="I2084" s="11" t="s">
        <v>7624</v>
      </c>
      <c r="J2084" s="12">
        <v>0.9647</v>
      </c>
      <c r="K2084" s="13">
        <v>3</v>
      </c>
      <c r="L2084" s="14">
        <v>385</v>
      </c>
      <c r="M2084" s="10">
        <v>333</v>
      </c>
      <c r="N2084" s="10">
        <v>42544</v>
      </c>
      <c r="O2084" s="10">
        <v>26114</v>
      </c>
      <c r="P2084" s="10">
        <v>68658</v>
      </c>
    </row>
    <row r="2085" spans="1:16" ht="27" customHeight="1" x14ac:dyDescent="0.2">
      <c r="A2085" s="9" t="s">
        <v>7620</v>
      </c>
      <c r="B2085" s="10" t="s">
        <v>7621</v>
      </c>
      <c r="C2085" s="11" t="s">
        <v>7625</v>
      </c>
      <c r="D2085" s="11" t="s">
        <v>7626</v>
      </c>
      <c r="E2085" s="11" t="s">
        <v>26</v>
      </c>
      <c r="F2085" s="11" t="s">
        <v>7627</v>
      </c>
      <c r="G2085" s="11" t="s">
        <v>28</v>
      </c>
      <c r="H2085" s="11" t="s">
        <v>7627</v>
      </c>
      <c r="I2085" s="11" t="s">
        <v>7628</v>
      </c>
      <c r="J2085" s="12">
        <v>0.72929999999999995</v>
      </c>
      <c r="K2085" s="13">
        <v>1</v>
      </c>
      <c r="L2085" s="14">
        <v>133</v>
      </c>
      <c r="M2085" s="10">
        <v>97</v>
      </c>
      <c r="N2085" s="10">
        <v>14697</v>
      </c>
      <c r="O2085" s="10">
        <v>7607</v>
      </c>
      <c r="P2085" s="10">
        <v>22304</v>
      </c>
    </row>
    <row r="2086" spans="1:16" ht="27" customHeight="1" x14ac:dyDescent="0.2">
      <c r="A2086" s="9" t="s">
        <v>7620</v>
      </c>
      <c r="B2086" s="10" t="s">
        <v>7621</v>
      </c>
      <c r="C2086" s="11" t="s">
        <v>7629</v>
      </c>
      <c r="D2086" s="11" t="s">
        <v>7630</v>
      </c>
      <c r="E2086" s="11" t="s">
        <v>57</v>
      </c>
      <c r="F2086" s="11" t="s">
        <v>7631</v>
      </c>
      <c r="G2086" s="11" t="s">
        <v>28</v>
      </c>
      <c r="H2086" s="11" t="s">
        <v>7623</v>
      </c>
      <c r="I2086" s="11" t="s">
        <v>7624</v>
      </c>
      <c r="J2086" s="12">
        <v>0.9647</v>
      </c>
      <c r="K2086" s="13">
        <v>1</v>
      </c>
      <c r="L2086" s="14">
        <v>22</v>
      </c>
      <c r="M2086" s="10">
        <v>18</v>
      </c>
      <c r="N2086" s="10">
        <v>2431</v>
      </c>
      <c r="O2086" s="10">
        <v>1412</v>
      </c>
      <c r="P2086" s="10">
        <v>3843</v>
      </c>
    </row>
    <row r="2087" spans="1:16" ht="27" customHeight="1" x14ac:dyDescent="0.2">
      <c r="A2087" s="9" t="s">
        <v>7620</v>
      </c>
      <c r="B2087" s="10" t="s">
        <v>7632</v>
      </c>
      <c r="C2087" s="11" t="s">
        <v>18</v>
      </c>
      <c r="D2087" s="11" t="s">
        <v>19</v>
      </c>
      <c r="E2087" s="11" t="s">
        <v>19</v>
      </c>
      <c r="F2087" s="11" t="s">
        <v>7633</v>
      </c>
      <c r="G2087" s="11" t="s">
        <v>83</v>
      </c>
      <c r="H2087" s="11" t="s">
        <v>7633</v>
      </c>
      <c r="I2087" s="11" t="s">
        <v>7634</v>
      </c>
      <c r="J2087" s="12">
        <v>0.53910000000000002</v>
      </c>
      <c r="K2087" s="13">
        <v>2</v>
      </c>
      <c r="L2087" s="14">
        <v>460</v>
      </c>
      <c r="M2087" s="10">
        <v>248</v>
      </c>
      <c r="N2087" s="10">
        <v>50831</v>
      </c>
      <c r="O2087" s="10">
        <v>19448</v>
      </c>
      <c r="P2087" s="10">
        <v>70279</v>
      </c>
    </row>
    <row r="2088" spans="1:16" ht="27" customHeight="1" x14ac:dyDescent="0.2">
      <c r="A2088" s="9" t="s">
        <v>7620</v>
      </c>
      <c r="B2088" s="10" t="s">
        <v>7635</v>
      </c>
      <c r="C2088" s="11" t="s">
        <v>18</v>
      </c>
      <c r="D2088" s="11" t="s">
        <v>19</v>
      </c>
      <c r="E2088" s="11" t="s">
        <v>19</v>
      </c>
      <c r="F2088" s="11" t="s">
        <v>7636</v>
      </c>
      <c r="G2088" s="11" t="s">
        <v>83</v>
      </c>
      <c r="H2088" s="11" t="s">
        <v>7636</v>
      </c>
      <c r="I2088" s="11" t="s">
        <v>7637</v>
      </c>
      <c r="J2088" s="12">
        <v>0.4098</v>
      </c>
      <c r="K2088" s="13">
        <v>2</v>
      </c>
      <c r="L2088" s="14">
        <v>122</v>
      </c>
      <c r="M2088" s="10">
        <v>50</v>
      </c>
      <c r="N2088" s="10">
        <v>13481</v>
      </c>
      <c r="O2088" s="10">
        <v>3921</v>
      </c>
      <c r="P2088" s="10">
        <v>17402</v>
      </c>
    </row>
    <row r="2089" spans="1:16" ht="27" customHeight="1" x14ac:dyDescent="0.2">
      <c r="A2089" s="9" t="s">
        <v>7620</v>
      </c>
      <c r="B2089" s="10" t="s">
        <v>7638</v>
      </c>
      <c r="C2089" s="11" t="s">
        <v>18</v>
      </c>
      <c r="D2089" s="11" t="s">
        <v>19</v>
      </c>
      <c r="E2089" s="11" t="s">
        <v>19</v>
      </c>
      <c r="F2089" s="11" t="s">
        <v>7639</v>
      </c>
      <c r="G2089" s="11" t="s">
        <v>83</v>
      </c>
      <c r="H2089" s="11" t="s">
        <v>7623</v>
      </c>
      <c r="I2089" s="11" t="s">
        <v>7624</v>
      </c>
      <c r="J2089" s="12">
        <v>0.9647</v>
      </c>
      <c r="K2089" s="13">
        <v>2</v>
      </c>
      <c r="L2089" s="14">
        <v>310</v>
      </c>
      <c r="M2089" s="10">
        <v>86</v>
      </c>
      <c r="N2089" s="10">
        <v>34256</v>
      </c>
      <c r="O2089" s="10">
        <v>6744</v>
      </c>
      <c r="P2089" s="10">
        <v>41000</v>
      </c>
    </row>
    <row r="2090" spans="1:16" ht="27" customHeight="1" x14ac:dyDescent="0.2">
      <c r="A2090" s="9" t="s">
        <v>7620</v>
      </c>
      <c r="B2090" s="10" t="s">
        <v>7638</v>
      </c>
      <c r="C2090" s="11" t="s">
        <v>7640</v>
      </c>
      <c r="D2090" s="11" t="s">
        <v>7641</v>
      </c>
      <c r="E2090" s="11" t="s">
        <v>57</v>
      </c>
      <c r="F2090" s="11" t="s">
        <v>7642</v>
      </c>
      <c r="G2090" s="11" t="s">
        <v>28</v>
      </c>
      <c r="H2090" s="11" t="s">
        <v>7623</v>
      </c>
      <c r="I2090" s="11" t="s">
        <v>7624</v>
      </c>
      <c r="J2090" s="12">
        <v>0.9647</v>
      </c>
      <c r="K2090" s="13">
        <v>1</v>
      </c>
      <c r="L2090" s="14">
        <v>0</v>
      </c>
      <c r="M2090" s="10">
        <v>0</v>
      </c>
      <c r="N2090" s="10">
        <v>0</v>
      </c>
      <c r="O2090" s="10">
        <v>0</v>
      </c>
      <c r="P2090" s="10">
        <v>0</v>
      </c>
    </row>
    <row r="2091" spans="1:16" ht="27" customHeight="1" x14ac:dyDescent="0.2">
      <c r="A2091" s="9" t="s">
        <v>7620</v>
      </c>
      <c r="B2091" s="10" t="s">
        <v>7643</v>
      </c>
      <c r="C2091" s="11" t="s">
        <v>18</v>
      </c>
      <c r="D2091" s="11" t="s">
        <v>19</v>
      </c>
      <c r="E2091" s="11" t="s">
        <v>19</v>
      </c>
      <c r="F2091" s="11" t="s">
        <v>7644</v>
      </c>
      <c r="G2091" s="11" t="s">
        <v>83</v>
      </c>
      <c r="H2091" s="11" t="s">
        <v>7644</v>
      </c>
      <c r="I2091" s="11" t="s">
        <v>7645</v>
      </c>
      <c r="J2091" s="12">
        <v>0.3</v>
      </c>
      <c r="K2091" s="13">
        <v>2</v>
      </c>
      <c r="L2091" s="14">
        <v>490</v>
      </c>
      <c r="M2091" s="10">
        <v>147</v>
      </c>
      <c r="N2091" s="10">
        <v>54146</v>
      </c>
      <c r="O2091" s="10">
        <v>11528</v>
      </c>
      <c r="P2091" s="10">
        <v>65674</v>
      </c>
    </row>
    <row r="2092" spans="1:16" ht="27" customHeight="1" x14ac:dyDescent="0.2">
      <c r="A2092" s="9" t="s">
        <v>7620</v>
      </c>
      <c r="B2092" s="10" t="s">
        <v>7646</v>
      </c>
      <c r="C2092" s="11" t="s">
        <v>18</v>
      </c>
      <c r="D2092" s="11" t="s">
        <v>19</v>
      </c>
      <c r="E2092" s="11" t="s">
        <v>19</v>
      </c>
      <c r="F2092" s="11" t="s">
        <v>7647</v>
      </c>
      <c r="G2092" s="11" t="s">
        <v>83</v>
      </c>
      <c r="H2092" s="11" t="s">
        <v>7648</v>
      </c>
      <c r="I2092" s="11" t="s">
        <v>7649</v>
      </c>
      <c r="J2092" s="12">
        <v>0.75890000000000002</v>
      </c>
      <c r="K2092" s="13">
        <v>7</v>
      </c>
      <c r="L2092" s="14">
        <v>1970</v>
      </c>
      <c r="M2092" s="10">
        <v>1415</v>
      </c>
      <c r="N2092" s="10">
        <v>217688</v>
      </c>
      <c r="O2092" s="10">
        <v>110962</v>
      </c>
      <c r="P2092" s="10">
        <v>328650</v>
      </c>
    </row>
    <row r="2093" spans="1:16" ht="27" customHeight="1" x14ac:dyDescent="0.2">
      <c r="A2093" s="9" t="s">
        <v>7620</v>
      </c>
      <c r="B2093" s="10" t="s">
        <v>7650</v>
      </c>
      <c r="C2093" s="11" t="s">
        <v>18</v>
      </c>
      <c r="D2093" s="11" t="s">
        <v>19</v>
      </c>
      <c r="E2093" s="11" t="s">
        <v>19</v>
      </c>
      <c r="F2093" s="11" t="s">
        <v>7651</v>
      </c>
      <c r="G2093" s="11" t="s">
        <v>83</v>
      </c>
      <c r="H2093" s="11" t="s">
        <v>7651</v>
      </c>
      <c r="I2093" s="11" t="s">
        <v>7652</v>
      </c>
      <c r="J2093" s="12">
        <v>0.34200000000000003</v>
      </c>
      <c r="K2093" s="13">
        <v>2</v>
      </c>
      <c r="L2093" s="14">
        <v>205</v>
      </c>
      <c r="M2093" s="10">
        <v>70</v>
      </c>
      <c r="N2093" s="10">
        <v>22653</v>
      </c>
      <c r="O2093" s="10">
        <v>5490</v>
      </c>
      <c r="P2093" s="10">
        <v>28143</v>
      </c>
    </row>
    <row r="2094" spans="1:16" ht="27" customHeight="1" x14ac:dyDescent="0.2">
      <c r="A2094" s="9" t="s">
        <v>7620</v>
      </c>
      <c r="B2094" s="10" t="s">
        <v>7650</v>
      </c>
      <c r="C2094" s="11" t="s">
        <v>7653</v>
      </c>
      <c r="D2094" s="11" t="s">
        <v>7654</v>
      </c>
      <c r="E2094" s="11" t="s">
        <v>26</v>
      </c>
      <c r="F2094" s="11" t="s">
        <v>7655</v>
      </c>
      <c r="G2094" s="11" t="s">
        <v>28</v>
      </c>
      <c r="H2094" s="11" t="s">
        <v>7655</v>
      </c>
      <c r="I2094" s="11" t="s">
        <v>7656</v>
      </c>
      <c r="J2094" s="12">
        <v>0.37780000000000002</v>
      </c>
      <c r="K2094" s="13">
        <v>1</v>
      </c>
      <c r="L2094" s="14">
        <v>2295</v>
      </c>
      <c r="M2094" s="10">
        <v>867</v>
      </c>
      <c r="N2094" s="10">
        <v>253601</v>
      </c>
      <c r="O2094" s="10">
        <v>67989</v>
      </c>
      <c r="P2094" s="10">
        <v>321590</v>
      </c>
    </row>
    <row r="2095" spans="1:16" ht="27" customHeight="1" x14ac:dyDescent="0.2">
      <c r="A2095" s="9" t="s">
        <v>7620</v>
      </c>
      <c r="B2095" s="10" t="s">
        <v>7657</v>
      </c>
      <c r="C2095" s="11" t="s">
        <v>18</v>
      </c>
      <c r="D2095" s="11" t="s">
        <v>19</v>
      </c>
      <c r="E2095" s="11" t="s">
        <v>19</v>
      </c>
      <c r="F2095" s="11" t="s">
        <v>7658</v>
      </c>
      <c r="G2095" s="11" t="s">
        <v>83</v>
      </c>
      <c r="H2095" s="11" t="s">
        <v>7658</v>
      </c>
      <c r="I2095" s="11" t="s">
        <v>7659</v>
      </c>
      <c r="J2095" s="12">
        <v>0.65710000000000002</v>
      </c>
      <c r="K2095" s="13">
        <v>2</v>
      </c>
      <c r="L2095" s="14">
        <v>70</v>
      </c>
      <c r="M2095" s="10">
        <v>46</v>
      </c>
      <c r="N2095" s="10">
        <v>7735</v>
      </c>
      <c r="O2095" s="10">
        <v>3607</v>
      </c>
      <c r="P2095" s="10">
        <v>11342</v>
      </c>
    </row>
    <row r="2096" spans="1:16" ht="27" customHeight="1" x14ac:dyDescent="0.2">
      <c r="A2096" s="9" t="s">
        <v>7620</v>
      </c>
      <c r="B2096" s="10" t="s">
        <v>7657</v>
      </c>
      <c r="C2096" s="11" t="s">
        <v>7660</v>
      </c>
      <c r="D2096" s="11" t="s">
        <v>7661</v>
      </c>
      <c r="E2096" s="11" t="s">
        <v>26</v>
      </c>
      <c r="F2096" s="11" t="s">
        <v>7662</v>
      </c>
      <c r="G2096" s="11" t="s">
        <v>28</v>
      </c>
      <c r="H2096" s="11" t="s">
        <v>7662</v>
      </c>
      <c r="I2096" s="11" t="s">
        <v>7663</v>
      </c>
      <c r="J2096" s="12">
        <v>0.6714</v>
      </c>
      <c r="K2096" s="13">
        <v>1</v>
      </c>
      <c r="L2096" s="14">
        <v>1394</v>
      </c>
      <c r="M2096" s="10">
        <v>936</v>
      </c>
      <c r="N2096" s="10">
        <v>154039</v>
      </c>
      <c r="O2096" s="10">
        <v>73400</v>
      </c>
      <c r="P2096" s="10">
        <v>227439</v>
      </c>
    </row>
    <row r="2097" spans="1:16" ht="27" customHeight="1" x14ac:dyDescent="0.2">
      <c r="A2097" s="9" t="s">
        <v>7620</v>
      </c>
      <c r="B2097" s="10" t="s">
        <v>7664</v>
      </c>
      <c r="C2097" s="11" t="s">
        <v>18</v>
      </c>
      <c r="D2097" s="11" t="s">
        <v>19</v>
      </c>
      <c r="E2097" s="11" t="s">
        <v>19</v>
      </c>
      <c r="F2097" s="11" t="s">
        <v>7665</v>
      </c>
      <c r="G2097" s="11" t="s">
        <v>83</v>
      </c>
      <c r="H2097" s="11" t="s">
        <v>7665</v>
      </c>
      <c r="I2097" s="11" t="s">
        <v>7666</v>
      </c>
      <c r="J2097" s="12">
        <v>0.41849999999999998</v>
      </c>
      <c r="K2097" s="13">
        <v>2</v>
      </c>
      <c r="L2097" s="14">
        <v>184</v>
      </c>
      <c r="M2097" s="10">
        <v>77</v>
      </c>
      <c r="N2097" s="10">
        <v>20332</v>
      </c>
      <c r="O2097" s="10">
        <v>6038</v>
      </c>
      <c r="P2097" s="10">
        <v>26370</v>
      </c>
    </row>
    <row r="2098" spans="1:16" ht="27" customHeight="1" x14ac:dyDescent="0.2">
      <c r="A2098" s="9" t="s">
        <v>7620</v>
      </c>
      <c r="B2098" s="10" t="s">
        <v>7664</v>
      </c>
      <c r="C2098" s="11" t="s">
        <v>7667</v>
      </c>
      <c r="D2098" s="11" t="s">
        <v>7668</v>
      </c>
      <c r="E2098" s="11" t="s">
        <v>26</v>
      </c>
      <c r="F2098" s="11" t="s">
        <v>7669</v>
      </c>
      <c r="G2098" s="11" t="s">
        <v>28</v>
      </c>
      <c r="H2098" s="11" t="s">
        <v>7669</v>
      </c>
      <c r="I2098" s="11" t="s">
        <v>7670</v>
      </c>
      <c r="J2098" s="12">
        <v>0.37359999999999999</v>
      </c>
      <c r="K2098" s="13">
        <v>1</v>
      </c>
      <c r="L2098" s="14">
        <v>613</v>
      </c>
      <c r="M2098" s="10">
        <v>229</v>
      </c>
      <c r="N2098" s="10">
        <v>67738</v>
      </c>
      <c r="O2098" s="10">
        <v>17958</v>
      </c>
      <c r="P2098" s="10">
        <v>85696</v>
      </c>
    </row>
    <row r="2099" spans="1:16" ht="27" customHeight="1" x14ac:dyDescent="0.2">
      <c r="A2099" s="9" t="s">
        <v>7620</v>
      </c>
      <c r="B2099" s="10" t="s">
        <v>7671</v>
      </c>
      <c r="C2099" s="11" t="s">
        <v>18</v>
      </c>
      <c r="D2099" s="11" t="s">
        <v>19</v>
      </c>
      <c r="E2099" s="11" t="s">
        <v>19</v>
      </c>
      <c r="F2099" s="11" t="s">
        <v>7672</v>
      </c>
      <c r="G2099" s="11" t="s">
        <v>83</v>
      </c>
      <c r="H2099" s="11" t="s">
        <v>7673</v>
      </c>
      <c r="I2099" s="11" t="s">
        <v>7674</v>
      </c>
      <c r="J2099" s="12">
        <v>0.29659999999999997</v>
      </c>
      <c r="K2099" s="13">
        <v>2</v>
      </c>
      <c r="L2099" s="14">
        <v>145</v>
      </c>
      <c r="M2099" s="10">
        <v>43</v>
      </c>
      <c r="N2099" s="10">
        <v>16023</v>
      </c>
      <c r="O2099" s="10">
        <v>3372</v>
      </c>
      <c r="P2099" s="10">
        <v>19395</v>
      </c>
    </row>
    <row r="2100" spans="1:16" ht="27" customHeight="1" x14ac:dyDescent="0.2">
      <c r="A2100" s="9" t="s">
        <v>7620</v>
      </c>
      <c r="B2100" s="10" t="s">
        <v>7675</v>
      </c>
      <c r="C2100" s="11" t="s">
        <v>18</v>
      </c>
      <c r="D2100" s="11" t="s">
        <v>19</v>
      </c>
      <c r="E2100" s="11" t="s">
        <v>19</v>
      </c>
      <c r="F2100" s="11" t="s">
        <v>7676</v>
      </c>
      <c r="G2100" s="11" t="s">
        <v>83</v>
      </c>
      <c r="H2100" s="11" t="s">
        <v>7623</v>
      </c>
      <c r="I2100" s="11" t="s">
        <v>7624</v>
      </c>
      <c r="J2100" s="12">
        <v>0.9647</v>
      </c>
      <c r="K2100" s="13">
        <v>3</v>
      </c>
      <c r="L2100" s="14">
        <v>802</v>
      </c>
      <c r="M2100" s="10">
        <v>206</v>
      </c>
      <c r="N2100" s="10">
        <v>88622</v>
      </c>
      <c r="O2100" s="10">
        <v>16154</v>
      </c>
      <c r="P2100" s="10">
        <v>104776</v>
      </c>
    </row>
    <row r="2101" spans="1:16" ht="27" customHeight="1" x14ac:dyDescent="0.2">
      <c r="A2101" s="9" t="s">
        <v>7620</v>
      </c>
      <c r="B2101" s="10" t="s">
        <v>7677</v>
      </c>
      <c r="C2101" s="11" t="s">
        <v>18</v>
      </c>
      <c r="D2101" s="11" t="s">
        <v>19</v>
      </c>
      <c r="E2101" s="11" t="s">
        <v>19</v>
      </c>
      <c r="F2101" s="11" t="s">
        <v>7678</v>
      </c>
      <c r="G2101" s="11" t="s">
        <v>83</v>
      </c>
      <c r="H2101" s="11" t="s">
        <v>7679</v>
      </c>
      <c r="I2101" s="11" t="s">
        <v>7680</v>
      </c>
      <c r="J2101" s="12">
        <v>0.82079999999999997</v>
      </c>
      <c r="K2101" s="13">
        <v>2</v>
      </c>
      <c r="L2101" s="14">
        <v>106</v>
      </c>
      <c r="M2101" s="10">
        <v>87</v>
      </c>
      <c r="N2101" s="10">
        <v>11713</v>
      </c>
      <c r="O2101" s="10">
        <v>6822</v>
      </c>
      <c r="P2101" s="10">
        <v>18535</v>
      </c>
    </row>
    <row r="2102" spans="1:16" ht="27" customHeight="1" x14ac:dyDescent="0.2">
      <c r="A2102" s="9" t="s">
        <v>7620</v>
      </c>
      <c r="B2102" s="10" t="s">
        <v>7677</v>
      </c>
      <c r="C2102" s="11" t="s">
        <v>7681</v>
      </c>
      <c r="D2102" s="11" t="s">
        <v>7682</v>
      </c>
      <c r="E2102" s="11" t="s">
        <v>26</v>
      </c>
      <c r="F2102" s="11" t="s">
        <v>7683</v>
      </c>
      <c r="G2102" s="11" t="s">
        <v>28</v>
      </c>
      <c r="H2102" s="11" t="s">
        <v>7683</v>
      </c>
      <c r="I2102" s="11" t="s">
        <v>7684</v>
      </c>
      <c r="J2102" s="12">
        <v>0.41270000000000001</v>
      </c>
      <c r="K2102" s="13">
        <v>1</v>
      </c>
      <c r="L2102" s="14">
        <v>2365</v>
      </c>
      <c r="M2102" s="10">
        <v>976</v>
      </c>
      <c r="N2102" s="10">
        <v>261336</v>
      </c>
      <c r="O2102" s="10">
        <v>76537</v>
      </c>
      <c r="P2102" s="10">
        <v>337873</v>
      </c>
    </row>
    <row r="2103" spans="1:16" ht="27" customHeight="1" x14ac:dyDescent="0.2">
      <c r="A2103" s="9" t="s">
        <v>7620</v>
      </c>
      <c r="B2103" s="10" t="s">
        <v>7685</v>
      </c>
      <c r="C2103" s="11" t="s">
        <v>18</v>
      </c>
      <c r="D2103" s="11" t="s">
        <v>19</v>
      </c>
      <c r="E2103" s="11" t="s">
        <v>19</v>
      </c>
      <c r="F2103" s="11" t="s">
        <v>7686</v>
      </c>
      <c r="G2103" s="11" t="s">
        <v>83</v>
      </c>
      <c r="H2103" s="11" t="s">
        <v>7623</v>
      </c>
      <c r="I2103" s="11" t="s">
        <v>7624</v>
      </c>
      <c r="J2103" s="12">
        <v>0.9647</v>
      </c>
      <c r="K2103" s="13">
        <v>18</v>
      </c>
      <c r="L2103" s="14">
        <v>12290</v>
      </c>
      <c r="M2103" s="10">
        <v>9132</v>
      </c>
      <c r="N2103" s="10">
        <v>1358063</v>
      </c>
      <c r="O2103" s="10">
        <v>716120</v>
      </c>
      <c r="P2103" s="10">
        <v>2074183</v>
      </c>
    </row>
    <row r="2104" spans="1:16" ht="27" customHeight="1" x14ac:dyDescent="0.2">
      <c r="A2104" s="9" t="s">
        <v>7620</v>
      </c>
      <c r="B2104" s="10" t="s">
        <v>7685</v>
      </c>
      <c r="C2104" s="11" t="s">
        <v>7687</v>
      </c>
      <c r="D2104" s="11" t="s">
        <v>7688</v>
      </c>
      <c r="E2104" s="11" t="s">
        <v>26</v>
      </c>
      <c r="F2104" s="11" t="s">
        <v>7689</v>
      </c>
      <c r="G2104" s="11" t="s">
        <v>28</v>
      </c>
      <c r="H2104" s="11" t="s">
        <v>7689</v>
      </c>
      <c r="I2104" s="11" t="s">
        <v>7690</v>
      </c>
      <c r="J2104" s="12">
        <v>0.36249999999999999</v>
      </c>
      <c r="K2104" s="13">
        <v>1</v>
      </c>
      <c r="L2104" s="14">
        <v>480</v>
      </c>
      <c r="M2104" s="10">
        <v>174</v>
      </c>
      <c r="N2104" s="10">
        <v>53041</v>
      </c>
      <c r="O2104" s="10">
        <v>13645</v>
      </c>
      <c r="P2104" s="10">
        <v>66686</v>
      </c>
    </row>
    <row r="2105" spans="1:16" ht="27" customHeight="1" x14ac:dyDescent="0.2">
      <c r="A2105" s="9" t="s">
        <v>7620</v>
      </c>
      <c r="B2105" s="10" t="s">
        <v>7685</v>
      </c>
      <c r="C2105" s="11" t="s">
        <v>7691</v>
      </c>
      <c r="D2105" s="11" t="s">
        <v>7692</v>
      </c>
      <c r="E2105" s="11" t="s">
        <v>26</v>
      </c>
      <c r="F2105" s="11" t="s">
        <v>7693</v>
      </c>
      <c r="G2105" s="11" t="s">
        <v>28</v>
      </c>
      <c r="H2105" s="11" t="s">
        <v>7693</v>
      </c>
      <c r="I2105" s="11" t="s">
        <v>7694</v>
      </c>
      <c r="J2105" s="12">
        <v>0.81340000000000001</v>
      </c>
      <c r="K2105" s="13">
        <v>1</v>
      </c>
      <c r="L2105" s="14">
        <v>268</v>
      </c>
      <c r="M2105" s="10">
        <v>218</v>
      </c>
      <c r="N2105" s="10">
        <v>29614</v>
      </c>
      <c r="O2105" s="10">
        <v>17095</v>
      </c>
      <c r="P2105" s="10">
        <v>46709</v>
      </c>
    </row>
    <row r="2106" spans="1:16" ht="27" customHeight="1" x14ac:dyDescent="0.2">
      <c r="A2106" s="9" t="s">
        <v>7695</v>
      </c>
      <c r="B2106" s="10" t="s">
        <v>7696</v>
      </c>
      <c r="C2106" s="11" t="s">
        <v>18</v>
      </c>
      <c r="D2106" s="11" t="s">
        <v>19</v>
      </c>
      <c r="E2106" s="11" t="s">
        <v>19</v>
      </c>
      <c r="F2106" s="11" t="s">
        <v>7697</v>
      </c>
      <c r="G2106" s="11" t="s">
        <v>21</v>
      </c>
      <c r="H2106" s="11" t="s">
        <v>7698</v>
      </c>
      <c r="I2106" s="11" t="s">
        <v>7699</v>
      </c>
      <c r="J2106" s="12">
        <v>0.9889</v>
      </c>
      <c r="K2106" s="13">
        <v>3</v>
      </c>
      <c r="L2106" s="14">
        <v>277</v>
      </c>
      <c r="M2106" s="10">
        <v>252</v>
      </c>
      <c r="N2106" s="10">
        <v>30609</v>
      </c>
      <c r="O2106" s="10">
        <v>19762</v>
      </c>
      <c r="P2106" s="10">
        <v>50371</v>
      </c>
    </row>
    <row r="2107" spans="1:16" ht="27" customHeight="1" x14ac:dyDescent="0.2">
      <c r="A2107" s="9" t="s">
        <v>7695</v>
      </c>
      <c r="B2107" s="10" t="s">
        <v>7696</v>
      </c>
      <c r="C2107" s="11" t="s">
        <v>7700</v>
      </c>
      <c r="D2107" s="11" t="s">
        <v>7701</v>
      </c>
      <c r="E2107" s="11" t="s">
        <v>57</v>
      </c>
      <c r="F2107" s="11" t="s">
        <v>7702</v>
      </c>
      <c r="G2107" s="11" t="s">
        <v>28</v>
      </c>
      <c r="H2107" s="11" t="s">
        <v>7702</v>
      </c>
      <c r="I2107" s="11" t="s">
        <v>7703</v>
      </c>
      <c r="J2107" s="12">
        <v>0.77459999999999996</v>
      </c>
      <c r="K2107" s="13">
        <v>1</v>
      </c>
      <c r="L2107" s="14">
        <v>71</v>
      </c>
      <c r="M2107" s="10">
        <v>55</v>
      </c>
      <c r="N2107" s="10">
        <v>7846</v>
      </c>
      <c r="O2107" s="10">
        <v>4313</v>
      </c>
      <c r="P2107" s="10">
        <v>12159</v>
      </c>
    </row>
    <row r="2108" spans="1:16" ht="27" customHeight="1" x14ac:dyDescent="0.2">
      <c r="A2108" s="9" t="s">
        <v>7695</v>
      </c>
      <c r="B2108" s="10" t="s">
        <v>7696</v>
      </c>
      <c r="C2108" s="11" t="s">
        <v>7704</v>
      </c>
      <c r="D2108" s="11" t="s">
        <v>7705</v>
      </c>
      <c r="E2108" s="11" t="s">
        <v>26</v>
      </c>
      <c r="F2108" s="11" t="s">
        <v>7706</v>
      </c>
      <c r="G2108" s="11" t="s">
        <v>28</v>
      </c>
      <c r="H2108" s="11" t="s">
        <v>7698</v>
      </c>
      <c r="I2108" s="11" t="s">
        <v>7699</v>
      </c>
      <c r="J2108" s="12">
        <v>0.9889</v>
      </c>
      <c r="K2108" s="13">
        <v>1</v>
      </c>
      <c r="L2108" s="14">
        <v>116</v>
      </c>
      <c r="M2108" s="10">
        <v>88</v>
      </c>
      <c r="N2108" s="10">
        <v>12818</v>
      </c>
      <c r="O2108" s="10">
        <v>6901</v>
      </c>
      <c r="P2108" s="10">
        <v>19719</v>
      </c>
    </row>
    <row r="2109" spans="1:16" ht="27" customHeight="1" x14ac:dyDescent="0.2">
      <c r="A2109" s="9" t="s">
        <v>7695</v>
      </c>
      <c r="B2109" s="10" t="s">
        <v>7707</v>
      </c>
      <c r="C2109" s="11" t="s">
        <v>18</v>
      </c>
      <c r="D2109" s="11" t="s">
        <v>19</v>
      </c>
      <c r="E2109" s="11" t="s">
        <v>19</v>
      </c>
      <c r="F2109" s="11" t="s">
        <v>1963</v>
      </c>
      <c r="G2109" s="11" t="s">
        <v>83</v>
      </c>
      <c r="H2109" s="11" t="s">
        <v>7708</v>
      </c>
      <c r="I2109" s="11" t="s">
        <v>7709</v>
      </c>
      <c r="J2109" s="12">
        <v>0.94740000000000002</v>
      </c>
      <c r="K2109" s="13">
        <v>4</v>
      </c>
      <c r="L2109" s="14">
        <v>721</v>
      </c>
      <c r="M2109" s="10">
        <v>422</v>
      </c>
      <c r="N2109" s="10">
        <v>79673</v>
      </c>
      <c r="O2109" s="10">
        <v>33093</v>
      </c>
      <c r="P2109" s="10">
        <v>112766</v>
      </c>
    </row>
    <row r="2110" spans="1:16" ht="27" customHeight="1" x14ac:dyDescent="0.2">
      <c r="A2110" s="9" t="s">
        <v>7695</v>
      </c>
      <c r="B2110" s="10" t="s">
        <v>7707</v>
      </c>
      <c r="C2110" s="11" t="s">
        <v>7710</v>
      </c>
      <c r="D2110" s="11" t="s">
        <v>7711</v>
      </c>
      <c r="E2110" s="11" t="s">
        <v>57</v>
      </c>
      <c r="F2110" s="11" t="s">
        <v>7712</v>
      </c>
      <c r="G2110" s="11" t="s">
        <v>28</v>
      </c>
      <c r="H2110" s="11" t="s">
        <v>7698</v>
      </c>
      <c r="I2110" s="11" t="s">
        <v>7699</v>
      </c>
      <c r="J2110" s="12">
        <v>0.9889</v>
      </c>
      <c r="K2110" s="13">
        <v>1</v>
      </c>
      <c r="L2110" s="14">
        <v>94</v>
      </c>
      <c r="M2110" s="10">
        <v>71</v>
      </c>
      <c r="N2110" s="10">
        <v>10387</v>
      </c>
      <c r="O2110" s="10">
        <v>5568</v>
      </c>
      <c r="P2110" s="10">
        <v>15955</v>
      </c>
    </row>
    <row r="2111" spans="1:16" ht="27" customHeight="1" x14ac:dyDescent="0.2">
      <c r="A2111" s="9" t="s">
        <v>7695</v>
      </c>
      <c r="B2111" s="10" t="s">
        <v>7713</v>
      </c>
      <c r="C2111" s="11" t="s">
        <v>18</v>
      </c>
      <c r="D2111" s="11" t="s">
        <v>19</v>
      </c>
      <c r="E2111" s="11" t="s">
        <v>19</v>
      </c>
      <c r="F2111" s="11" t="s">
        <v>7714</v>
      </c>
      <c r="G2111" s="11" t="s">
        <v>83</v>
      </c>
      <c r="H2111" s="11" t="s">
        <v>7698</v>
      </c>
      <c r="I2111" s="11" t="s">
        <v>7699</v>
      </c>
      <c r="J2111" s="12">
        <v>0.9889</v>
      </c>
      <c r="K2111" s="13">
        <v>7</v>
      </c>
      <c r="L2111" s="14">
        <v>2011</v>
      </c>
      <c r="M2111" s="10">
        <v>1783</v>
      </c>
      <c r="N2111" s="10">
        <v>222220</v>
      </c>
      <c r="O2111" s="10">
        <v>139821</v>
      </c>
      <c r="P2111" s="10">
        <v>362041</v>
      </c>
    </row>
    <row r="2112" spans="1:16" ht="27" customHeight="1" x14ac:dyDescent="0.2">
      <c r="A2112" s="9" t="s">
        <v>7695</v>
      </c>
      <c r="B2112" s="10" t="s">
        <v>7715</v>
      </c>
      <c r="C2112" s="11" t="s">
        <v>18</v>
      </c>
      <c r="D2112" s="11" t="s">
        <v>19</v>
      </c>
      <c r="E2112" s="11" t="s">
        <v>19</v>
      </c>
      <c r="F2112" s="11" t="s">
        <v>7716</v>
      </c>
      <c r="G2112" s="11" t="s">
        <v>83</v>
      </c>
      <c r="H2112" s="11" t="s">
        <v>7698</v>
      </c>
      <c r="I2112" s="11" t="s">
        <v>7699</v>
      </c>
      <c r="J2112" s="12">
        <v>0.9889</v>
      </c>
      <c r="K2112" s="13">
        <v>4</v>
      </c>
      <c r="L2112" s="14">
        <v>1138</v>
      </c>
      <c r="M2112" s="10">
        <v>840</v>
      </c>
      <c r="N2112" s="10">
        <v>125751</v>
      </c>
      <c r="O2112" s="10">
        <v>65872</v>
      </c>
      <c r="P2112" s="10">
        <v>191623</v>
      </c>
    </row>
    <row r="2113" spans="1:16" ht="27" customHeight="1" x14ac:dyDescent="0.2">
      <c r="A2113" s="9" t="s">
        <v>7695</v>
      </c>
      <c r="B2113" s="10" t="s">
        <v>7717</v>
      </c>
      <c r="C2113" s="11" t="s">
        <v>18</v>
      </c>
      <c r="D2113" s="11" t="s">
        <v>19</v>
      </c>
      <c r="E2113" s="11" t="s">
        <v>19</v>
      </c>
      <c r="F2113" s="11" t="s">
        <v>7718</v>
      </c>
      <c r="G2113" s="11" t="s">
        <v>83</v>
      </c>
      <c r="H2113" s="11" t="s">
        <v>1883</v>
      </c>
      <c r="I2113" s="11" t="s">
        <v>7719</v>
      </c>
      <c r="J2113" s="12">
        <v>0.59240000000000004</v>
      </c>
      <c r="K2113" s="13">
        <v>6</v>
      </c>
      <c r="L2113" s="14">
        <v>1084</v>
      </c>
      <c r="M2113" s="10">
        <v>626</v>
      </c>
      <c r="N2113" s="10">
        <v>119784</v>
      </c>
      <c r="O2113" s="10">
        <v>49090</v>
      </c>
      <c r="P2113" s="10">
        <v>168874</v>
      </c>
    </row>
    <row r="2114" spans="1:16" ht="27" customHeight="1" x14ac:dyDescent="0.2">
      <c r="A2114" s="9" t="s">
        <v>7695</v>
      </c>
      <c r="B2114" s="10" t="s">
        <v>7717</v>
      </c>
      <c r="C2114" s="11" t="s">
        <v>7720</v>
      </c>
      <c r="D2114" s="11" t="s">
        <v>7721</v>
      </c>
      <c r="E2114" s="11" t="s">
        <v>57</v>
      </c>
      <c r="F2114" s="11" t="s">
        <v>7722</v>
      </c>
      <c r="G2114" s="11" t="s">
        <v>28</v>
      </c>
      <c r="H2114" s="11" t="s">
        <v>7722</v>
      </c>
      <c r="I2114" s="11" t="s">
        <v>7723</v>
      </c>
      <c r="J2114" s="12">
        <v>0.54790000000000005</v>
      </c>
      <c r="K2114" s="13">
        <v>1</v>
      </c>
      <c r="L2114" s="14">
        <v>146</v>
      </c>
      <c r="M2114" s="10">
        <v>80</v>
      </c>
      <c r="N2114" s="10">
        <v>16133</v>
      </c>
      <c r="O2114" s="10">
        <v>6274</v>
      </c>
      <c r="P2114" s="10">
        <v>22407</v>
      </c>
    </row>
    <row r="2115" spans="1:16" ht="27" customHeight="1" x14ac:dyDescent="0.2">
      <c r="A2115" s="9" t="s">
        <v>7695</v>
      </c>
      <c r="B2115" s="10" t="s">
        <v>7724</v>
      </c>
      <c r="C2115" s="11" t="s">
        <v>18</v>
      </c>
      <c r="D2115" s="11" t="s">
        <v>19</v>
      </c>
      <c r="E2115" s="11" t="s">
        <v>19</v>
      </c>
      <c r="F2115" s="11" t="s">
        <v>7725</v>
      </c>
      <c r="G2115" s="11" t="s">
        <v>83</v>
      </c>
      <c r="H2115" s="11" t="s">
        <v>7726</v>
      </c>
      <c r="I2115" s="11" t="s">
        <v>7727</v>
      </c>
      <c r="J2115" s="12">
        <v>0.6</v>
      </c>
      <c r="K2115" s="13">
        <v>2</v>
      </c>
      <c r="L2115" s="14">
        <v>45</v>
      </c>
      <c r="M2115" s="10">
        <v>27</v>
      </c>
      <c r="N2115" s="10">
        <v>4973</v>
      </c>
      <c r="O2115" s="10">
        <v>2117</v>
      </c>
      <c r="P2115" s="10">
        <v>7090</v>
      </c>
    </row>
    <row r="2116" spans="1:16" ht="27" customHeight="1" x14ac:dyDescent="0.2">
      <c r="A2116" s="9" t="s">
        <v>7695</v>
      </c>
      <c r="B2116" s="10" t="s">
        <v>7728</v>
      </c>
      <c r="C2116" s="11" t="s">
        <v>18</v>
      </c>
      <c r="D2116" s="11" t="s">
        <v>19</v>
      </c>
      <c r="E2116" s="11" t="s">
        <v>19</v>
      </c>
      <c r="F2116" s="11" t="s">
        <v>7729</v>
      </c>
      <c r="G2116" s="11" t="s">
        <v>83</v>
      </c>
      <c r="H2116" s="11" t="s">
        <v>7730</v>
      </c>
      <c r="I2116" s="11" t="s">
        <v>7731</v>
      </c>
      <c r="J2116" s="12">
        <v>0.8246</v>
      </c>
      <c r="K2116" s="13">
        <v>2</v>
      </c>
      <c r="L2116" s="14">
        <v>405</v>
      </c>
      <c r="M2116" s="10">
        <v>334</v>
      </c>
      <c r="N2116" s="10">
        <v>44753</v>
      </c>
      <c r="O2116" s="10">
        <v>26192</v>
      </c>
      <c r="P2116" s="10">
        <v>70945</v>
      </c>
    </row>
    <row r="2117" spans="1:16" ht="27" customHeight="1" x14ac:dyDescent="0.2">
      <c r="A2117" s="9" t="s">
        <v>7695</v>
      </c>
      <c r="B2117" s="10" t="s">
        <v>7732</v>
      </c>
      <c r="C2117" s="11" t="s">
        <v>18</v>
      </c>
      <c r="D2117" s="11" t="s">
        <v>19</v>
      </c>
      <c r="E2117" s="11" t="s">
        <v>19</v>
      </c>
      <c r="F2117" s="11" t="s">
        <v>7733</v>
      </c>
      <c r="G2117" s="11" t="s">
        <v>83</v>
      </c>
      <c r="H2117" s="11" t="s">
        <v>7733</v>
      </c>
      <c r="I2117" s="11" t="s">
        <v>7734</v>
      </c>
      <c r="J2117" s="12">
        <v>0.45100000000000001</v>
      </c>
      <c r="K2117" s="13">
        <v>2</v>
      </c>
      <c r="L2117" s="14">
        <v>102</v>
      </c>
      <c r="M2117" s="10">
        <v>46</v>
      </c>
      <c r="N2117" s="10">
        <v>11271</v>
      </c>
      <c r="O2117" s="10">
        <v>3607</v>
      </c>
      <c r="P2117" s="10">
        <v>14878</v>
      </c>
    </row>
    <row r="2118" spans="1:16" ht="27" customHeight="1" x14ac:dyDescent="0.2">
      <c r="A2118" s="9" t="s">
        <v>7695</v>
      </c>
      <c r="B2118" s="10" t="s">
        <v>7735</v>
      </c>
      <c r="C2118" s="11" t="s">
        <v>18</v>
      </c>
      <c r="D2118" s="11" t="s">
        <v>19</v>
      </c>
      <c r="E2118" s="11" t="s">
        <v>19</v>
      </c>
      <c r="F2118" s="11" t="s">
        <v>7736</v>
      </c>
      <c r="G2118" s="11" t="s">
        <v>83</v>
      </c>
      <c r="H2118" s="11" t="s">
        <v>7737</v>
      </c>
      <c r="I2118" s="11" t="s">
        <v>7738</v>
      </c>
      <c r="J2118" s="12">
        <v>0.48039999999999999</v>
      </c>
      <c r="K2118" s="13">
        <v>2</v>
      </c>
      <c r="L2118" s="14">
        <v>360</v>
      </c>
      <c r="M2118" s="10">
        <v>173</v>
      </c>
      <c r="N2118" s="10">
        <v>39781</v>
      </c>
      <c r="O2118" s="10">
        <v>13566</v>
      </c>
      <c r="P2118" s="10">
        <v>53347</v>
      </c>
    </row>
    <row r="2119" spans="1:16" ht="27" customHeight="1" x14ac:dyDescent="0.2">
      <c r="A2119" s="9" t="s">
        <v>7695</v>
      </c>
      <c r="B2119" s="10" t="s">
        <v>7739</v>
      </c>
      <c r="C2119" s="11" t="s">
        <v>18</v>
      </c>
      <c r="D2119" s="11" t="s">
        <v>19</v>
      </c>
      <c r="E2119" s="11" t="s">
        <v>19</v>
      </c>
      <c r="F2119" s="11" t="s">
        <v>7740</v>
      </c>
      <c r="G2119" s="11" t="s">
        <v>83</v>
      </c>
      <c r="H2119" s="11" t="s">
        <v>7741</v>
      </c>
      <c r="I2119" s="11" t="s">
        <v>7742</v>
      </c>
      <c r="J2119" s="12">
        <v>0.81779999999999997</v>
      </c>
      <c r="K2119" s="13">
        <v>4</v>
      </c>
      <c r="L2119" s="14">
        <v>531</v>
      </c>
      <c r="M2119" s="10">
        <v>386</v>
      </c>
      <c r="N2119" s="10">
        <v>58677</v>
      </c>
      <c r="O2119" s="10">
        <v>30270</v>
      </c>
      <c r="P2119" s="10">
        <v>88947</v>
      </c>
    </row>
    <row r="2120" spans="1:16" ht="27" customHeight="1" x14ac:dyDescent="0.2">
      <c r="A2120" s="9" t="s">
        <v>7695</v>
      </c>
      <c r="B2120" s="10" t="s">
        <v>7743</v>
      </c>
      <c r="C2120" s="11" t="s">
        <v>18</v>
      </c>
      <c r="D2120" s="11" t="s">
        <v>19</v>
      </c>
      <c r="E2120" s="11" t="s">
        <v>19</v>
      </c>
      <c r="F2120" s="11" t="s">
        <v>7744</v>
      </c>
      <c r="G2120" s="11" t="s">
        <v>83</v>
      </c>
      <c r="H2120" s="11" t="s">
        <v>7745</v>
      </c>
      <c r="I2120" s="11" t="s">
        <v>7746</v>
      </c>
      <c r="J2120" s="12">
        <v>0.87470000000000003</v>
      </c>
      <c r="K2120" s="13">
        <v>6</v>
      </c>
      <c r="L2120" s="14">
        <v>1866</v>
      </c>
      <c r="M2120" s="10">
        <v>1535</v>
      </c>
      <c r="N2120" s="10">
        <v>206195</v>
      </c>
      <c r="O2120" s="10">
        <v>120373</v>
      </c>
      <c r="P2120" s="10">
        <v>326568</v>
      </c>
    </row>
    <row r="2121" spans="1:16" ht="27" customHeight="1" x14ac:dyDescent="0.2">
      <c r="A2121" s="9" t="s">
        <v>7695</v>
      </c>
      <c r="B2121" s="10" t="s">
        <v>7747</v>
      </c>
      <c r="C2121" s="11" t="s">
        <v>18</v>
      </c>
      <c r="D2121" s="11" t="s">
        <v>19</v>
      </c>
      <c r="E2121" s="11" t="s">
        <v>19</v>
      </c>
      <c r="F2121" s="11" t="s">
        <v>7748</v>
      </c>
      <c r="G2121" s="11" t="s">
        <v>83</v>
      </c>
      <c r="H2121" s="11" t="s">
        <v>7698</v>
      </c>
      <c r="I2121" s="11" t="s">
        <v>7699</v>
      </c>
      <c r="J2121" s="12">
        <v>0.9889</v>
      </c>
      <c r="K2121" s="13">
        <v>3</v>
      </c>
      <c r="L2121" s="14">
        <v>1747</v>
      </c>
      <c r="M2121" s="10">
        <v>1143</v>
      </c>
      <c r="N2121" s="10">
        <v>193047</v>
      </c>
      <c r="O2121" s="10">
        <v>89633</v>
      </c>
      <c r="P2121" s="10">
        <v>282680</v>
      </c>
    </row>
    <row r="2122" spans="1:16" ht="27" customHeight="1" x14ac:dyDescent="0.2">
      <c r="A2122" s="9" t="s">
        <v>7695</v>
      </c>
      <c r="B2122" s="10" t="s">
        <v>7749</v>
      </c>
      <c r="C2122" s="11" t="s">
        <v>18</v>
      </c>
      <c r="D2122" s="11" t="s">
        <v>19</v>
      </c>
      <c r="E2122" s="11" t="s">
        <v>19</v>
      </c>
      <c r="F2122" s="11" t="s">
        <v>7750</v>
      </c>
      <c r="G2122" s="11" t="s">
        <v>83</v>
      </c>
      <c r="H2122" s="11" t="s">
        <v>7750</v>
      </c>
      <c r="I2122" s="11" t="s">
        <v>7751</v>
      </c>
      <c r="J2122" s="12">
        <v>0.58009999999999995</v>
      </c>
      <c r="K2122" s="13">
        <v>2</v>
      </c>
      <c r="L2122" s="14">
        <v>182</v>
      </c>
      <c r="M2122" s="10">
        <v>106</v>
      </c>
      <c r="N2122" s="10">
        <v>20112</v>
      </c>
      <c r="O2122" s="10">
        <v>8312</v>
      </c>
      <c r="P2122" s="10">
        <v>28424</v>
      </c>
    </row>
    <row r="2123" spans="1:16" ht="27" customHeight="1" x14ac:dyDescent="0.2">
      <c r="A2123" s="9" t="s">
        <v>7695</v>
      </c>
      <c r="B2123" s="10" t="s">
        <v>7752</v>
      </c>
      <c r="C2123" s="11" t="s">
        <v>18</v>
      </c>
      <c r="D2123" s="11" t="s">
        <v>19</v>
      </c>
      <c r="E2123" s="11" t="s">
        <v>19</v>
      </c>
      <c r="F2123" s="11" t="s">
        <v>7753</v>
      </c>
      <c r="G2123" s="11" t="s">
        <v>83</v>
      </c>
      <c r="H2123" s="11" t="s">
        <v>7753</v>
      </c>
      <c r="I2123" s="11" t="s">
        <v>7754</v>
      </c>
      <c r="J2123" s="12">
        <v>0.42020000000000002</v>
      </c>
      <c r="K2123" s="13">
        <v>2</v>
      </c>
      <c r="L2123" s="14">
        <v>238</v>
      </c>
      <c r="M2123" s="10">
        <v>100</v>
      </c>
      <c r="N2123" s="10">
        <v>26299</v>
      </c>
      <c r="O2123" s="10">
        <v>7842</v>
      </c>
      <c r="P2123" s="10">
        <v>34141</v>
      </c>
    </row>
    <row r="2124" spans="1:16" ht="27" customHeight="1" x14ac:dyDescent="0.2">
      <c r="A2124" s="9" t="s">
        <v>7755</v>
      </c>
      <c r="B2124" s="10" t="s">
        <v>7756</v>
      </c>
      <c r="C2124" s="11" t="s">
        <v>18</v>
      </c>
      <c r="D2124" s="11" t="s">
        <v>19</v>
      </c>
      <c r="E2124" s="11" t="s">
        <v>19</v>
      </c>
      <c r="F2124" s="11" t="s">
        <v>7757</v>
      </c>
      <c r="G2124" s="11" t="s">
        <v>21</v>
      </c>
      <c r="H2124" s="11" t="s">
        <v>7758</v>
      </c>
      <c r="I2124" s="11" t="s">
        <v>7759</v>
      </c>
      <c r="J2124" s="12">
        <v>0.84619999999999995</v>
      </c>
      <c r="K2124" s="13">
        <v>2</v>
      </c>
      <c r="L2124" s="14">
        <v>37</v>
      </c>
      <c r="M2124" s="10">
        <v>30</v>
      </c>
      <c r="N2124" s="10">
        <v>4089</v>
      </c>
      <c r="O2124" s="10">
        <v>2353</v>
      </c>
      <c r="P2124" s="10">
        <v>6442</v>
      </c>
    </row>
    <row r="2125" spans="1:16" ht="27" customHeight="1" x14ac:dyDescent="0.2">
      <c r="A2125" s="9" t="s">
        <v>7755</v>
      </c>
      <c r="B2125" s="10" t="s">
        <v>7756</v>
      </c>
      <c r="C2125" s="11" t="s">
        <v>7760</v>
      </c>
      <c r="D2125" s="11" t="s">
        <v>7761</v>
      </c>
      <c r="E2125" s="11" t="s">
        <v>26</v>
      </c>
      <c r="F2125" s="11" t="s">
        <v>7762</v>
      </c>
      <c r="G2125" s="11" t="s">
        <v>28</v>
      </c>
      <c r="H2125" s="11" t="s">
        <v>7758</v>
      </c>
      <c r="I2125" s="11" t="s">
        <v>7759</v>
      </c>
      <c r="J2125" s="12">
        <v>0.84619999999999995</v>
      </c>
      <c r="K2125" s="13">
        <v>1</v>
      </c>
      <c r="L2125" s="14">
        <v>98</v>
      </c>
      <c r="M2125" s="10">
        <v>85</v>
      </c>
      <c r="N2125" s="10">
        <v>10829</v>
      </c>
      <c r="O2125" s="10">
        <v>6666</v>
      </c>
      <c r="P2125" s="10">
        <v>17495</v>
      </c>
    </row>
    <row r="2126" spans="1:16" ht="27" customHeight="1" x14ac:dyDescent="0.2">
      <c r="A2126" s="9" t="s">
        <v>7755</v>
      </c>
      <c r="B2126" s="10" t="s">
        <v>7763</v>
      </c>
      <c r="C2126" s="11" t="s">
        <v>18</v>
      </c>
      <c r="D2126" s="11" t="s">
        <v>19</v>
      </c>
      <c r="E2126" s="11" t="s">
        <v>19</v>
      </c>
      <c r="F2126" s="11" t="s">
        <v>7764</v>
      </c>
      <c r="G2126" s="11" t="s">
        <v>83</v>
      </c>
      <c r="H2126" s="11" t="s">
        <v>7764</v>
      </c>
      <c r="I2126" s="11" t="s">
        <v>7765</v>
      </c>
      <c r="J2126" s="12">
        <v>0.57140000000000002</v>
      </c>
      <c r="K2126" s="13">
        <v>2</v>
      </c>
      <c r="L2126" s="14">
        <v>91</v>
      </c>
      <c r="M2126" s="10">
        <v>52</v>
      </c>
      <c r="N2126" s="10">
        <v>10056</v>
      </c>
      <c r="O2126" s="10">
        <v>4078</v>
      </c>
      <c r="P2126" s="10">
        <v>14134</v>
      </c>
    </row>
    <row r="2127" spans="1:16" ht="27" customHeight="1" x14ac:dyDescent="0.2">
      <c r="A2127" s="9" t="s">
        <v>7755</v>
      </c>
      <c r="B2127" s="10" t="s">
        <v>7766</v>
      </c>
      <c r="C2127" s="11" t="s">
        <v>18</v>
      </c>
      <c r="D2127" s="11" t="s">
        <v>19</v>
      </c>
      <c r="E2127" s="11" t="s">
        <v>19</v>
      </c>
      <c r="F2127" s="11" t="s">
        <v>7767</v>
      </c>
      <c r="G2127" s="11" t="s">
        <v>83</v>
      </c>
      <c r="H2127" s="11" t="s">
        <v>7767</v>
      </c>
      <c r="I2127" s="11" t="s">
        <v>7768</v>
      </c>
      <c r="J2127" s="12">
        <v>0.77780000000000005</v>
      </c>
      <c r="K2127" s="13">
        <v>2</v>
      </c>
      <c r="L2127" s="14">
        <v>9</v>
      </c>
      <c r="M2127" s="10">
        <v>7</v>
      </c>
      <c r="N2127" s="10">
        <v>995</v>
      </c>
      <c r="O2127" s="10">
        <v>549</v>
      </c>
      <c r="P2127" s="10">
        <v>1544</v>
      </c>
    </row>
    <row r="2128" spans="1:16" ht="27" customHeight="1" x14ac:dyDescent="0.2">
      <c r="A2128" s="9" t="s">
        <v>7755</v>
      </c>
      <c r="B2128" s="10" t="s">
        <v>7769</v>
      </c>
      <c r="C2128" s="11" t="s">
        <v>18</v>
      </c>
      <c r="D2128" s="11" t="s">
        <v>19</v>
      </c>
      <c r="E2128" s="11" t="s">
        <v>19</v>
      </c>
      <c r="F2128" s="11" t="s">
        <v>7770</v>
      </c>
      <c r="G2128" s="11" t="s">
        <v>83</v>
      </c>
      <c r="H2128" s="11" t="s">
        <v>7770</v>
      </c>
      <c r="I2128" s="11" t="s">
        <v>7771</v>
      </c>
      <c r="J2128" s="12">
        <v>0.48770000000000002</v>
      </c>
      <c r="K2128" s="13">
        <v>2</v>
      </c>
      <c r="L2128" s="14">
        <v>162</v>
      </c>
      <c r="M2128" s="10">
        <v>79</v>
      </c>
      <c r="N2128" s="10">
        <v>17901</v>
      </c>
      <c r="O2128" s="10">
        <v>6195</v>
      </c>
      <c r="P2128" s="10">
        <v>24096</v>
      </c>
    </row>
    <row r="2129" spans="1:16" ht="27" customHeight="1" x14ac:dyDescent="0.2">
      <c r="A2129" s="9" t="s">
        <v>7755</v>
      </c>
      <c r="B2129" s="10" t="s">
        <v>7772</v>
      </c>
      <c r="C2129" s="11" t="s">
        <v>18</v>
      </c>
      <c r="D2129" s="11" t="s">
        <v>19</v>
      </c>
      <c r="E2129" s="11" t="s">
        <v>19</v>
      </c>
      <c r="F2129" s="11" t="s">
        <v>7773</v>
      </c>
      <c r="G2129" s="11" t="s">
        <v>83</v>
      </c>
      <c r="H2129" s="11" t="s">
        <v>7773</v>
      </c>
      <c r="I2129" s="11" t="s">
        <v>7774</v>
      </c>
      <c r="J2129" s="12">
        <v>0.58730000000000004</v>
      </c>
      <c r="K2129" s="13">
        <v>2</v>
      </c>
      <c r="L2129" s="14">
        <v>63</v>
      </c>
      <c r="M2129" s="10">
        <v>37</v>
      </c>
      <c r="N2129" s="10">
        <v>6962</v>
      </c>
      <c r="O2129" s="10">
        <v>2902</v>
      </c>
      <c r="P2129" s="10">
        <v>9864</v>
      </c>
    </row>
    <row r="2130" spans="1:16" ht="27" customHeight="1" x14ac:dyDescent="0.2">
      <c r="A2130" s="9" t="s">
        <v>7755</v>
      </c>
      <c r="B2130" s="10" t="s">
        <v>7775</v>
      </c>
      <c r="C2130" s="11" t="s">
        <v>18</v>
      </c>
      <c r="D2130" s="11" t="s">
        <v>19</v>
      </c>
      <c r="E2130" s="11" t="s">
        <v>19</v>
      </c>
      <c r="F2130" s="11" t="s">
        <v>7776</v>
      </c>
      <c r="G2130" s="11" t="s">
        <v>83</v>
      </c>
      <c r="H2130" s="11" t="s">
        <v>7776</v>
      </c>
      <c r="I2130" s="11" t="s">
        <v>7777</v>
      </c>
      <c r="J2130" s="12">
        <v>0.66669999999999996</v>
      </c>
      <c r="K2130" s="13">
        <v>2</v>
      </c>
      <c r="L2130" s="14">
        <v>75</v>
      </c>
      <c r="M2130" s="10">
        <v>50</v>
      </c>
      <c r="N2130" s="10">
        <v>8288</v>
      </c>
      <c r="O2130" s="10">
        <v>3921</v>
      </c>
      <c r="P2130" s="10">
        <v>12209</v>
      </c>
    </row>
    <row r="2131" spans="1:16" ht="27" customHeight="1" x14ac:dyDescent="0.2">
      <c r="A2131" s="9" t="s">
        <v>7755</v>
      </c>
      <c r="B2131" s="10" t="s">
        <v>7778</v>
      </c>
      <c r="C2131" s="11" t="s">
        <v>18</v>
      </c>
      <c r="D2131" s="11" t="s">
        <v>19</v>
      </c>
      <c r="E2131" s="11" t="s">
        <v>19</v>
      </c>
      <c r="F2131" s="11" t="s">
        <v>7758</v>
      </c>
      <c r="G2131" s="11" t="s">
        <v>83</v>
      </c>
      <c r="H2131" s="11" t="s">
        <v>7758</v>
      </c>
      <c r="I2131" s="11" t="s">
        <v>7759</v>
      </c>
      <c r="J2131" s="12">
        <v>0.84619999999999995</v>
      </c>
      <c r="K2131" s="13">
        <v>2</v>
      </c>
      <c r="L2131" s="14">
        <v>13</v>
      </c>
      <c r="M2131" s="10">
        <v>11</v>
      </c>
      <c r="N2131" s="10">
        <v>1437</v>
      </c>
      <c r="O2131" s="10">
        <v>863</v>
      </c>
      <c r="P2131" s="10">
        <v>2300</v>
      </c>
    </row>
    <row r="2132" spans="1:16" ht="27" customHeight="1" x14ac:dyDescent="0.2">
      <c r="A2132" s="9" t="s">
        <v>7755</v>
      </c>
      <c r="B2132" s="10" t="s">
        <v>7779</v>
      </c>
      <c r="C2132" s="11" t="s">
        <v>18</v>
      </c>
      <c r="D2132" s="11" t="s">
        <v>19</v>
      </c>
      <c r="E2132" s="11" t="s">
        <v>19</v>
      </c>
      <c r="F2132" s="11" t="s">
        <v>7780</v>
      </c>
      <c r="G2132" s="11" t="s">
        <v>83</v>
      </c>
      <c r="H2132" s="11" t="s">
        <v>7781</v>
      </c>
      <c r="I2132" s="11" t="s">
        <v>7782</v>
      </c>
      <c r="J2132" s="12">
        <v>0.60780000000000001</v>
      </c>
      <c r="K2132" s="13">
        <v>5</v>
      </c>
      <c r="L2132" s="14">
        <v>84</v>
      </c>
      <c r="M2132" s="10">
        <v>47</v>
      </c>
      <c r="N2132" s="10">
        <v>9283</v>
      </c>
      <c r="O2132" s="10">
        <v>3686</v>
      </c>
      <c r="P2132" s="10">
        <v>12969</v>
      </c>
    </row>
    <row r="2133" spans="1:16" ht="27" customHeight="1" x14ac:dyDescent="0.2">
      <c r="A2133" s="9" t="s">
        <v>7755</v>
      </c>
      <c r="B2133" s="10" t="s">
        <v>7783</v>
      </c>
      <c r="C2133" s="11" t="s">
        <v>18</v>
      </c>
      <c r="D2133" s="11" t="s">
        <v>19</v>
      </c>
      <c r="E2133" s="11" t="s">
        <v>19</v>
      </c>
      <c r="F2133" s="11" t="s">
        <v>7784</v>
      </c>
      <c r="G2133" s="11" t="s">
        <v>83</v>
      </c>
      <c r="H2133" s="11" t="s">
        <v>7785</v>
      </c>
      <c r="I2133" s="11" t="s">
        <v>7786</v>
      </c>
      <c r="J2133" s="12">
        <v>0.80669999999999997</v>
      </c>
      <c r="K2133" s="13">
        <v>4</v>
      </c>
      <c r="L2133" s="14">
        <v>329</v>
      </c>
      <c r="M2133" s="10">
        <v>272</v>
      </c>
      <c r="N2133" s="10">
        <v>36355</v>
      </c>
      <c r="O2133" s="10">
        <v>21329</v>
      </c>
      <c r="P2133" s="10">
        <v>57684</v>
      </c>
    </row>
    <row r="2134" spans="1:16" ht="27" customHeight="1" x14ac:dyDescent="0.2">
      <c r="A2134" s="9" t="s">
        <v>7755</v>
      </c>
      <c r="B2134" s="10" t="s">
        <v>7787</v>
      </c>
      <c r="C2134" s="11" t="s">
        <v>18</v>
      </c>
      <c r="D2134" s="11" t="s">
        <v>19</v>
      </c>
      <c r="E2134" s="11" t="s">
        <v>19</v>
      </c>
      <c r="F2134" s="11" t="s">
        <v>7788</v>
      </c>
      <c r="G2134" s="11" t="s">
        <v>83</v>
      </c>
      <c r="H2134" s="11" t="s">
        <v>7789</v>
      </c>
      <c r="I2134" s="11" t="s">
        <v>7790</v>
      </c>
      <c r="J2134" s="12">
        <v>0.69369999999999998</v>
      </c>
      <c r="K2134" s="13">
        <v>6</v>
      </c>
      <c r="L2134" s="14">
        <v>672</v>
      </c>
      <c r="M2134" s="10">
        <v>441</v>
      </c>
      <c r="N2134" s="10">
        <v>74258</v>
      </c>
      <c r="O2134" s="10">
        <v>34583</v>
      </c>
      <c r="P2134" s="10">
        <v>108841</v>
      </c>
    </row>
    <row r="2135" spans="1:16" ht="27" customHeight="1" x14ac:dyDescent="0.2">
      <c r="A2135" s="9" t="s">
        <v>7791</v>
      </c>
      <c r="B2135" s="10" t="s">
        <v>7792</v>
      </c>
      <c r="C2135" s="11" t="s">
        <v>18</v>
      </c>
      <c r="D2135" s="11" t="s">
        <v>19</v>
      </c>
      <c r="E2135" s="11" t="s">
        <v>19</v>
      </c>
      <c r="F2135" s="11" t="s">
        <v>7793</v>
      </c>
      <c r="G2135" s="11" t="s">
        <v>21</v>
      </c>
      <c r="H2135" s="11" t="s">
        <v>7794</v>
      </c>
      <c r="I2135" s="11" t="s">
        <v>7795</v>
      </c>
      <c r="J2135" s="12">
        <v>1</v>
      </c>
      <c r="K2135" s="13">
        <v>4</v>
      </c>
      <c r="L2135" s="14">
        <v>1628</v>
      </c>
      <c r="M2135" s="10">
        <v>1345</v>
      </c>
      <c r="N2135" s="10">
        <v>179897</v>
      </c>
      <c r="O2135" s="10">
        <v>105474</v>
      </c>
      <c r="P2135" s="10">
        <v>285371</v>
      </c>
    </row>
    <row r="2136" spans="1:16" ht="27" customHeight="1" x14ac:dyDescent="0.2">
      <c r="A2136" s="9" t="s">
        <v>7791</v>
      </c>
      <c r="B2136" s="10" t="s">
        <v>7792</v>
      </c>
      <c r="C2136" s="11" t="s">
        <v>7796</v>
      </c>
      <c r="D2136" s="11" t="s">
        <v>7797</v>
      </c>
      <c r="E2136" s="11" t="s">
        <v>57</v>
      </c>
      <c r="F2136" s="11" t="s">
        <v>7798</v>
      </c>
      <c r="G2136" s="11" t="s">
        <v>28</v>
      </c>
      <c r="H2136" s="11" t="s">
        <v>7794</v>
      </c>
      <c r="I2136" s="11" t="s">
        <v>7795</v>
      </c>
      <c r="J2136" s="12">
        <v>1</v>
      </c>
      <c r="K2136" s="13">
        <v>1</v>
      </c>
      <c r="L2136" s="14">
        <v>240</v>
      </c>
      <c r="M2136" s="10">
        <v>67</v>
      </c>
      <c r="N2136" s="10">
        <v>26520</v>
      </c>
      <c r="O2136" s="10">
        <v>5254</v>
      </c>
      <c r="P2136" s="10">
        <v>31774</v>
      </c>
    </row>
    <row r="2137" spans="1:16" ht="27" customHeight="1" x14ac:dyDescent="0.2">
      <c r="A2137" s="9" t="s">
        <v>7791</v>
      </c>
      <c r="B2137" s="10" t="s">
        <v>7792</v>
      </c>
      <c r="C2137" s="11" t="s">
        <v>7799</v>
      </c>
      <c r="D2137" s="11" t="s">
        <v>7800</v>
      </c>
      <c r="E2137" s="11" t="s">
        <v>26</v>
      </c>
      <c r="F2137" s="11" t="s">
        <v>7801</v>
      </c>
      <c r="G2137" s="11" t="s">
        <v>28</v>
      </c>
      <c r="H2137" s="11" t="s">
        <v>7801</v>
      </c>
      <c r="I2137" s="11" t="s">
        <v>7802</v>
      </c>
      <c r="J2137" s="12">
        <v>0.30659999999999998</v>
      </c>
      <c r="K2137" s="13">
        <v>1</v>
      </c>
      <c r="L2137" s="14">
        <v>662</v>
      </c>
      <c r="M2137" s="10">
        <v>203</v>
      </c>
      <c r="N2137" s="10">
        <v>73152</v>
      </c>
      <c r="O2137" s="10">
        <v>15919</v>
      </c>
      <c r="P2137" s="10">
        <v>89071</v>
      </c>
    </row>
    <row r="2138" spans="1:16" ht="27" customHeight="1" x14ac:dyDescent="0.2">
      <c r="A2138" s="9" t="s">
        <v>7791</v>
      </c>
      <c r="B2138" s="10" t="s">
        <v>7792</v>
      </c>
      <c r="C2138" s="11" t="s">
        <v>7803</v>
      </c>
      <c r="D2138" s="11" t="s">
        <v>7804</v>
      </c>
      <c r="E2138" s="11" t="s">
        <v>26</v>
      </c>
      <c r="F2138" s="11" t="s">
        <v>7805</v>
      </c>
      <c r="G2138" s="11" t="s">
        <v>28</v>
      </c>
      <c r="H2138" s="11" t="s">
        <v>7805</v>
      </c>
      <c r="I2138" s="11" t="s">
        <v>7806</v>
      </c>
      <c r="J2138" s="12">
        <v>0.37240000000000001</v>
      </c>
      <c r="K2138" s="13">
        <v>1</v>
      </c>
      <c r="L2138" s="14">
        <v>392</v>
      </c>
      <c r="M2138" s="10">
        <v>146</v>
      </c>
      <c r="N2138" s="10">
        <v>43317</v>
      </c>
      <c r="O2138" s="10">
        <v>11449</v>
      </c>
      <c r="P2138" s="10">
        <v>54766</v>
      </c>
    </row>
    <row r="2139" spans="1:16" ht="27" customHeight="1" x14ac:dyDescent="0.2">
      <c r="A2139" s="9" t="s">
        <v>7791</v>
      </c>
      <c r="B2139" s="10" t="s">
        <v>7792</v>
      </c>
      <c r="C2139" s="11" t="s">
        <v>7807</v>
      </c>
      <c r="D2139" s="11" t="s">
        <v>7808</v>
      </c>
      <c r="E2139" s="11" t="s">
        <v>26</v>
      </c>
      <c r="F2139" s="11" t="s">
        <v>7809</v>
      </c>
      <c r="G2139" s="11" t="s">
        <v>28</v>
      </c>
      <c r="H2139" s="11" t="s">
        <v>7809</v>
      </c>
      <c r="I2139" s="11" t="s">
        <v>7810</v>
      </c>
      <c r="J2139" s="12">
        <v>0.45029999999999998</v>
      </c>
      <c r="K2139" s="13">
        <v>1</v>
      </c>
      <c r="L2139" s="14">
        <v>342</v>
      </c>
      <c r="M2139" s="10">
        <v>154</v>
      </c>
      <c r="N2139" s="10">
        <v>37792</v>
      </c>
      <c r="O2139" s="10">
        <v>12077</v>
      </c>
      <c r="P2139" s="10">
        <v>49869</v>
      </c>
    </row>
    <row r="2140" spans="1:16" ht="27" customHeight="1" x14ac:dyDescent="0.2">
      <c r="A2140" s="9" t="s">
        <v>7791</v>
      </c>
      <c r="B2140" s="10" t="s">
        <v>7792</v>
      </c>
      <c r="C2140" s="11" t="s">
        <v>7811</v>
      </c>
      <c r="D2140" s="11" t="s">
        <v>7812</v>
      </c>
      <c r="E2140" s="11" t="s">
        <v>57</v>
      </c>
      <c r="F2140" s="11" t="s">
        <v>7813</v>
      </c>
      <c r="G2140" s="11" t="s">
        <v>28</v>
      </c>
      <c r="H2140" s="11" t="s">
        <v>7794</v>
      </c>
      <c r="I2140" s="11" t="s">
        <v>7795</v>
      </c>
      <c r="J2140" s="12">
        <v>1</v>
      </c>
      <c r="K2140" s="13">
        <v>1</v>
      </c>
      <c r="L2140" s="14">
        <v>254</v>
      </c>
      <c r="M2140" s="10">
        <v>191</v>
      </c>
      <c r="N2140" s="10">
        <v>28067</v>
      </c>
      <c r="O2140" s="10">
        <v>14978</v>
      </c>
      <c r="P2140" s="10">
        <v>43045</v>
      </c>
    </row>
    <row r="2141" spans="1:16" ht="27" customHeight="1" x14ac:dyDescent="0.2">
      <c r="A2141" s="9" t="s">
        <v>7791</v>
      </c>
      <c r="B2141" s="10" t="s">
        <v>7792</v>
      </c>
      <c r="C2141" s="11" t="s">
        <v>7814</v>
      </c>
      <c r="D2141" s="11" t="s">
        <v>7815</v>
      </c>
      <c r="E2141" s="11" t="s">
        <v>26</v>
      </c>
      <c r="F2141" s="11" t="s">
        <v>7816</v>
      </c>
      <c r="G2141" s="11" t="s">
        <v>28</v>
      </c>
      <c r="H2141" s="11" t="s">
        <v>7816</v>
      </c>
      <c r="I2141" s="11" t="s">
        <v>7817</v>
      </c>
      <c r="J2141" s="12">
        <v>0.441</v>
      </c>
      <c r="K2141" s="13">
        <v>1</v>
      </c>
      <c r="L2141" s="14">
        <v>390</v>
      </c>
      <c r="M2141" s="10">
        <v>172</v>
      </c>
      <c r="N2141" s="10">
        <v>43096</v>
      </c>
      <c r="O2141" s="10">
        <v>13488</v>
      </c>
      <c r="P2141" s="10">
        <v>56584</v>
      </c>
    </row>
    <row r="2142" spans="1:16" ht="27" customHeight="1" x14ac:dyDescent="0.2">
      <c r="A2142" s="9" t="s">
        <v>7791</v>
      </c>
      <c r="B2142" s="10" t="s">
        <v>7818</v>
      </c>
      <c r="C2142" s="11" t="s">
        <v>18</v>
      </c>
      <c r="D2142" s="11" t="s">
        <v>19</v>
      </c>
      <c r="E2142" s="11" t="s">
        <v>19</v>
      </c>
      <c r="F2142" s="11" t="s">
        <v>7794</v>
      </c>
      <c r="G2142" s="11" t="s">
        <v>83</v>
      </c>
      <c r="H2142" s="11" t="s">
        <v>7794</v>
      </c>
      <c r="I2142" s="11" t="s">
        <v>7795</v>
      </c>
      <c r="J2142" s="12">
        <v>1</v>
      </c>
      <c r="K2142" s="13">
        <v>2</v>
      </c>
      <c r="L2142" s="14">
        <v>91</v>
      </c>
      <c r="M2142" s="10">
        <v>91</v>
      </c>
      <c r="N2142" s="10">
        <v>10056</v>
      </c>
      <c r="O2142" s="10">
        <v>7136</v>
      </c>
      <c r="P2142" s="10">
        <v>17192</v>
      </c>
    </row>
    <row r="2143" spans="1:16" ht="27" customHeight="1" x14ac:dyDescent="0.2">
      <c r="A2143" s="9" t="s">
        <v>7791</v>
      </c>
      <c r="B2143" s="10" t="s">
        <v>7819</v>
      </c>
      <c r="C2143" s="11" t="s">
        <v>18</v>
      </c>
      <c r="D2143" s="11" t="s">
        <v>19</v>
      </c>
      <c r="E2143" s="11" t="s">
        <v>19</v>
      </c>
      <c r="F2143" s="11" t="s">
        <v>7820</v>
      </c>
      <c r="G2143" s="11" t="s">
        <v>83</v>
      </c>
      <c r="H2143" s="11" t="s">
        <v>7821</v>
      </c>
      <c r="I2143" s="11" t="s">
        <v>7822</v>
      </c>
      <c r="J2143" s="12">
        <v>0.84130000000000005</v>
      </c>
      <c r="K2143" s="13">
        <v>3</v>
      </c>
      <c r="L2143" s="14">
        <v>395</v>
      </c>
      <c r="M2143" s="10">
        <v>332</v>
      </c>
      <c r="N2143" s="10">
        <v>43649</v>
      </c>
      <c r="O2143" s="10">
        <v>26035</v>
      </c>
      <c r="P2143" s="10">
        <v>69684</v>
      </c>
    </row>
    <row r="2144" spans="1:16" ht="27" customHeight="1" x14ac:dyDescent="0.2">
      <c r="A2144" s="9" t="s">
        <v>7791</v>
      </c>
      <c r="B2144" s="10" t="s">
        <v>7819</v>
      </c>
      <c r="C2144" s="11" t="s">
        <v>7823</v>
      </c>
      <c r="D2144" s="11" t="s">
        <v>7824</v>
      </c>
      <c r="E2144" s="11" t="s">
        <v>26</v>
      </c>
      <c r="F2144" s="11" t="s">
        <v>7825</v>
      </c>
      <c r="G2144" s="11" t="s">
        <v>28</v>
      </c>
      <c r="H2144" s="11" t="s">
        <v>7825</v>
      </c>
      <c r="I2144" s="11" t="s">
        <v>7826</v>
      </c>
      <c r="J2144" s="12">
        <v>0.65090000000000003</v>
      </c>
      <c r="K2144" s="13">
        <v>1</v>
      </c>
      <c r="L2144" s="14">
        <v>696</v>
      </c>
      <c r="M2144" s="10">
        <v>453</v>
      </c>
      <c r="N2144" s="10">
        <v>76909</v>
      </c>
      <c r="O2144" s="10">
        <v>35524</v>
      </c>
      <c r="P2144" s="10">
        <v>112433</v>
      </c>
    </row>
    <row r="2145" spans="1:16" ht="27" customHeight="1" x14ac:dyDescent="0.2">
      <c r="A2145" s="9" t="s">
        <v>7791</v>
      </c>
      <c r="B2145" s="10" t="s">
        <v>7827</v>
      </c>
      <c r="C2145" s="11" t="s">
        <v>18</v>
      </c>
      <c r="D2145" s="11" t="s">
        <v>19</v>
      </c>
      <c r="E2145" s="11" t="s">
        <v>19</v>
      </c>
      <c r="F2145" s="11" t="s">
        <v>7828</v>
      </c>
      <c r="G2145" s="11" t="s">
        <v>83</v>
      </c>
      <c r="H2145" s="11" t="s">
        <v>7828</v>
      </c>
      <c r="I2145" s="11" t="s">
        <v>7829</v>
      </c>
      <c r="J2145" s="12">
        <v>0.91310000000000002</v>
      </c>
      <c r="K2145" s="13">
        <v>2</v>
      </c>
      <c r="L2145" s="14">
        <v>514</v>
      </c>
      <c r="M2145" s="10">
        <v>470</v>
      </c>
      <c r="N2145" s="10">
        <v>56798</v>
      </c>
      <c r="O2145" s="10">
        <v>36857</v>
      </c>
      <c r="P2145" s="10">
        <v>93655</v>
      </c>
    </row>
    <row r="2146" spans="1:16" ht="27" customHeight="1" x14ac:dyDescent="0.2">
      <c r="A2146" s="9" t="s">
        <v>7791</v>
      </c>
      <c r="B2146" s="10" t="s">
        <v>7827</v>
      </c>
      <c r="C2146" s="11" t="s">
        <v>7830</v>
      </c>
      <c r="D2146" s="11" t="s">
        <v>7831</v>
      </c>
      <c r="E2146" s="11" t="s">
        <v>26</v>
      </c>
      <c r="F2146" s="11" t="s">
        <v>7832</v>
      </c>
      <c r="G2146" s="11" t="s">
        <v>28</v>
      </c>
      <c r="H2146" s="11" t="s">
        <v>7832</v>
      </c>
      <c r="I2146" s="11" t="s">
        <v>7833</v>
      </c>
      <c r="J2146" s="12">
        <v>0.45329999999999998</v>
      </c>
      <c r="K2146" s="13">
        <v>1</v>
      </c>
      <c r="L2146" s="14">
        <v>1125</v>
      </c>
      <c r="M2146" s="10">
        <v>510</v>
      </c>
      <c r="N2146" s="10">
        <v>124314</v>
      </c>
      <c r="O2146" s="10">
        <v>39994</v>
      </c>
      <c r="P2146" s="10">
        <v>164308</v>
      </c>
    </row>
    <row r="2147" spans="1:16" ht="27" customHeight="1" x14ac:dyDescent="0.2">
      <c r="A2147" s="9" t="s">
        <v>7791</v>
      </c>
      <c r="B2147" s="10" t="s">
        <v>7834</v>
      </c>
      <c r="C2147" s="11" t="s">
        <v>18</v>
      </c>
      <c r="D2147" s="11" t="s">
        <v>19</v>
      </c>
      <c r="E2147" s="11" t="s">
        <v>19</v>
      </c>
      <c r="F2147" s="11" t="s">
        <v>7835</v>
      </c>
      <c r="G2147" s="11" t="s">
        <v>83</v>
      </c>
      <c r="H2147" s="11" t="s">
        <v>7835</v>
      </c>
      <c r="I2147" s="11" t="s">
        <v>7836</v>
      </c>
      <c r="J2147" s="12">
        <v>0.73099999999999998</v>
      </c>
      <c r="K2147" s="13">
        <v>2</v>
      </c>
      <c r="L2147" s="14">
        <v>197</v>
      </c>
      <c r="M2147" s="10">
        <v>144</v>
      </c>
      <c r="N2147" s="10">
        <v>21769</v>
      </c>
      <c r="O2147" s="10">
        <v>11292</v>
      </c>
      <c r="P2147" s="10">
        <v>33061</v>
      </c>
    </row>
    <row r="2148" spans="1:16" ht="27" customHeight="1" x14ac:dyDescent="0.2">
      <c r="A2148" s="9" t="s">
        <v>7791</v>
      </c>
      <c r="B2148" s="10" t="s">
        <v>7837</v>
      </c>
      <c r="C2148" s="11" t="s">
        <v>18</v>
      </c>
      <c r="D2148" s="11" t="s">
        <v>19</v>
      </c>
      <c r="E2148" s="11" t="s">
        <v>19</v>
      </c>
      <c r="F2148" s="11" t="s">
        <v>7838</v>
      </c>
      <c r="G2148" s="11" t="s">
        <v>83</v>
      </c>
      <c r="H2148" s="11" t="s">
        <v>7839</v>
      </c>
      <c r="I2148" s="11" t="s">
        <v>7840</v>
      </c>
      <c r="J2148" s="12">
        <v>0.86280000000000001</v>
      </c>
      <c r="K2148" s="13">
        <v>7</v>
      </c>
      <c r="L2148" s="14">
        <v>2488</v>
      </c>
      <c r="M2148" s="10">
        <v>1964</v>
      </c>
      <c r="N2148" s="10">
        <v>274928</v>
      </c>
      <c r="O2148" s="10">
        <v>154015</v>
      </c>
      <c r="P2148" s="10">
        <v>428943</v>
      </c>
    </row>
    <row r="2149" spans="1:16" ht="27" customHeight="1" x14ac:dyDescent="0.2">
      <c r="A2149" s="9" t="s">
        <v>7791</v>
      </c>
      <c r="B2149" s="10" t="s">
        <v>7837</v>
      </c>
      <c r="C2149" s="11" t="s">
        <v>7841</v>
      </c>
      <c r="D2149" s="11" t="s">
        <v>7842</v>
      </c>
      <c r="E2149" s="11" t="s">
        <v>57</v>
      </c>
      <c r="F2149" s="11" t="s">
        <v>7843</v>
      </c>
      <c r="G2149" s="11" t="s">
        <v>28</v>
      </c>
      <c r="H2149" s="11" t="s">
        <v>7843</v>
      </c>
      <c r="I2149" s="11" t="s">
        <v>7844</v>
      </c>
      <c r="J2149" s="12">
        <v>0.58789999999999998</v>
      </c>
      <c r="K2149" s="13">
        <v>1</v>
      </c>
      <c r="L2149" s="14">
        <v>2378</v>
      </c>
      <c r="M2149" s="10">
        <v>1398</v>
      </c>
      <c r="N2149" s="10">
        <v>262773</v>
      </c>
      <c r="O2149" s="10">
        <v>109630</v>
      </c>
      <c r="P2149" s="10">
        <v>372403</v>
      </c>
    </row>
    <row r="2150" spans="1:16" ht="27" customHeight="1" x14ac:dyDescent="0.2">
      <c r="A2150" s="9" t="s">
        <v>7791</v>
      </c>
      <c r="B2150" s="10" t="s">
        <v>7845</v>
      </c>
      <c r="C2150" s="11" t="s">
        <v>18</v>
      </c>
      <c r="D2150" s="11" t="s">
        <v>19</v>
      </c>
      <c r="E2150" s="11" t="s">
        <v>19</v>
      </c>
      <c r="F2150" s="11" t="s">
        <v>7846</v>
      </c>
      <c r="G2150" s="11" t="s">
        <v>83</v>
      </c>
      <c r="H2150" s="11" t="s">
        <v>7846</v>
      </c>
      <c r="I2150" s="11" t="s">
        <v>7847</v>
      </c>
      <c r="J2150" s="12">
        <v>0.5081</v>
      </c>
      <c r="K2150" s="13">
        <v>2</v>
      </c>
      <c r="L2150" s="14">
        <v>185</v>
      </c>
      <c r="M2150" s="10">
        <v>94</v>
      </c>
      <c r="N2150" s="10">
        <v>20443</v>
      </c>
      <c r="O2150" s="10">
        <v>7371</v>
      </c>
      <c r="P2150" s="10">
        <v>27814</v>
      </c>
    </row>
    <row r="2151" spans="1:16" ht="27" customHeight="1" x14ac:dyDescent="0.2">
      <c r="A2151" s="9" t="s">
        <v>7791</v>
      </c>
      <c r="B2151" s="10" t="s">
        <v>7848</v>
      </c>
      <c r="C2151" s="11" t="s">
        <v>18</v>
      </c>
      <c r="D2151" s="11" t="s">
        <v>19</v>
      </c>
      <c r="E2151" s="11" t="s">
        <v>19</v>
      </c>
      <c r="F2151" s="11" t="s">
        <v>7849</v>
      </c>
      <c r="G2151" s="11" t="s">
        <v>83</v>
      </c>
      <c r="H2151" s="11" t="s">
        <v>7850</v>
      </c>
      <c r="I2151" s="11" t="s">
        <v>7851</v>
      </c>
      <c r="J2151" s="12">
        <v>0.96879999999999999</v>
      </c>
      <c r="K2151" s="13">
        <v>9</v>
      </c>
      <c r="L2151" s="14">
        <v>4073</v>
      </c>
      <c r="M2151" s="10">
        <v>3885</v>
      </c>
      <c r="N2151" s="10">
        <v>450075</v>
      </c>
      <c r="O2151" s="10">
        <v>304658</v>
      </c>
      <c r="P2151" s="10">
        <v>754733</v>
      </c>
    </row>
    <row r="2152" spans="1:16" ht="27" customHeight="1" x14ac:dyDescent="0.2">
      <c r="A2152" s="9" t="s">
        <v>7791</v>
      </c>
      <c r="B2152" s="10" t="s">
        <v>7852</v>
      </c>
      <c r="C2152" s="11" t="s">
        <v>18</v>
      </c>
      <c r="D2152" s="11" t="s">
        <v>19</v>
      </c>
      <c r="E2152" s="11" t="s">
        <v>19</v>
      </c>
      <c r="F2152" s="11" t="s">
        <v>7853</v>
      </c>
      <c r="G2152" s="11" t="s">
        <v>83</v>
      </c>
      <c r="H2152" s="11" t="s">
        <v>7853</v>
      </c>
      <c r="I2152" s="11" t="s">
        <v>7854</v>
      </c>
      <c r="J2152" s="12">
        <v>0.60870000000000002</v>
      </c>
      <c r="K2152" s="13">
        <v>2</v>
      </c>
      <c r="L2152" s="14">
        <v>138</v>
      </c>
      <c r="M2152" s="10">
        <v>84</v>
      </c>
      <c r="N2152" s="10">
        <v>15249</v>
      </c>
      <c r="O2152" s="10">
        <v>6587</v>
      </c>
      <c r="P2152" s="10">
        <v>21836</v>
      </c>
    </row>
    <row r="2153" spans="1:16" ht="27" customHeight="1" x14ac:dyDescent="0.2">
      <c r="A2153" s="9" t="s">
        <v>7791</v>
      </c>
      <c r="B2153" s="10" t="s">
        <v>7855</v>
      </c>
      <c r="C2153" s="11" t="s">
        <v>18</v>
      </c>
      <c r="D2153" s="11" t="s">
        <v>19</v>
      </c>
      <c r="E2153" s="11" t="s">
        <v>19</v>
      </c>
      <c r="F2153" s="11" t="s">
        <v>7856</v>
      </c>
      <c r="G2153" s="11" t="s">
        <v>83</v>
      </c>
      <c r="H2153" s="11" t="s">
        <v>7857</v>
      </c>
      <c r="I2153" s="11" t="s">
        <v>7858</v>
      </c>
      <c r="J2153" s="12">
        <v>0.90859999999999996</v>
      </c>
      <c r="K2153" s="13">
        <v>4</v>
      </c>
      <c r="L2153" s="14">
        <v>1473</v>
      </c>
      <c r="M2153" s="10">
        <v>1361</v>
      </c>
      <c r="N2153" s="10">
        <v>162769</v>
      </c>
      <c r="O2153" s="10">
        <v>106727</v>
      </c>
      <c r="P2153" s="10">
        <v>269496</v>
      </c>
    </row>
    <row r="2154" spans="1:16" ht="27" customHeight="1" x14ac:dyDescent="0.2">
      <c r="A2154" s="16" t="s">
        <v>7791</v>
      </c>
      <c r="B2154" s="10" t="s">
        <v>7859</v>
      </c>
      <c r="C2154" s="11" t="s">
        <v>18</v>
      </c>
      <c r="D2154" s="11" t="s">
        <v>19</v>
      </c>
      <c r="E2154" s="11" t="s">
        <v>19</v>
      </c>
      <c r="F2154" s="17" t="s">
        <v>6290</v>
      </c>
      <c r="G2154" s="17" t="s">
        <v>83</v>
      </c>
      <c r="H2154" s="11" t="s">
        <v>6290</v>
      </c>
      <c r="I2154" s="11" t="s">
        <v>7860</v>
      </c>
      <c r="J2154" s="12">
        <v>0.66810000000000003</v>
      </c>
      <c r="K2154" s="13">
        <v>2</v>
      </c>
      <c r="L2154" s="14">
        <v>229</v>
      </c>
      <c r="M2154" s="10">
        <v>153</v>
      </c>
      <c r="N2154" s="10">
        <v>25305</v>
      </c>
      <c r="O2154" s="10">
        <v>11998</v>
      </c>
      <c r="P2154" s="10">
        <v>37303</v>
      </c>
    </row>
    <row r="2155" spans="1:16" ht="27" customHeight="1" x14ac:dyDescent="0.2">
      <c r="A2155" s="9" t="s">
        <v>7791</v>
      </c>
      <c r="B2155" s="10" t="s">
        <v>7861</v>
      </c>
      <c r="C2155" s="11" t="s">
        <v>18</v>
      </c>
      <c r="D2155" s="11" t="s">
        <v>19</v>
      </c>
      <c r="E2155" s="11" t="s">
        <v>19</v>
      </c>
      <c r="F2155" s="11" t="s">
        <v>7862</v>
      </c>
      <c r="G2155" s="11" t="s">
        <v>83</v>
      </c>
      <c r="H2155" s="11" t="s">
        <v>7862</v>
      </c>
      <c r="I2155" s="11" t="s">
        <v>7863</v>
      </c>
      <c r="J2155" s="12">
        <v>0.92310000000000003</v>
      </c>
      <c r="K2155" s="13">
        <v>2</v>
      </c>
      <c r="L2155" s="14">
        <v>13</v>
      </c>
      <c r="M2155" s="10">
        <v>12</v>
      </c>
      <c r="N2155" s="10">
        <v>1437</v>
      </c>
      <c r="O2155" s="10">
        <v>941</v>
      </c>
      <c r="P2155" s="10">
        <v>2378</v>
      </c>
    </row>
    <row r="2156" spans="1:16" ht="27" customHeight="1" x14ac:dyDescent="0.2">
      <c r="A2156" s="9" t="s">
        <v>7791</v>
      </c>
      <c r="B2156" s="10" t="s">
        <v>7864</v>
      </c>
      <c r="C2156" s="11" t="s">
        <v>18</v>
      </c>
      <c r="D2156" s="11" t="s">
        <v>19</v>
      </c>
      <c r="E2156" s="11" t="s">
        <v>19</v>
      </c>
      <c r="F2156" s="11" t="s">
        <v>7865</v>
      </c>
      <c r="G2156" s="11" t="s">
        <v>83</v>
      </c>
      <c r="H2156" s="11" t="s">
        <v>7866</v>
      </c>
      <c r="I2156" s="11" t="s">
        <v>7867</v>
      </c>
      <c r="J2156" s="12">
        <v>0.88149999999999995</v>
      </c>
      <c r="K2156" s="13">
        <v>2</v>
      </c>
      <c r="L2156" s="14">
        <v>407</v>
      </c>
      <c r="M2156" s="10">
        <v>359</v>
      </c>
      <c r="N2156" s="10">
        <v>44974</v>
      </c>
      <c r="O2156" s="10">
        <v>28152</v>
      </c>
      <c r="P2156" s="10">
        <v>73126</v>
      </c>
    </row>
    <row r="2157" spans="1:16" ht="27" customHeight="1" x14ac:dyDescent="0.2">
      <c r="A2157" s="9" t="s">
        <v>7791</v>
      </c>
      <c r="B2157" s="10" t="s">
        <v>7868</v>
      </c>
      <c r="C2157" s="11" t="s">
        <v>18</v>
      </c>
      <c r="D2157" s="11" t="s">
        <v>19</v>
      </c>
      <c r="E2157" s="11" t="s">
        <v>19</v>
      </c>
      <c r="F2157" s="11" t="s">
        <v>7187</v>
      </c>
      <c r="G2157" s="11" t="s">
        <v>83</v>
      </c>
      <c r="H2157" s="11" t="s">
        <v>7187</v>
      </c>
      <c r="I2157" s="11" t="s">
        <v>7869</v>
      </c>
      <c r="J2157" s="12">
        <v>0.40849999999999997</v>
      </c>
      <c r="K2157" s="13">
        <v>2</v>
      </c>
      <c r="L2157" s="14">
        <v>781</v>
      </c>
      <c r="M2157" s="10">
        <v>319</v>
      </c>
      <c r="N2157" s="10">
        <v>86302</v>
      </c>
      <c r="O2157" s="10">
        <v>25016</v>
      </c>
      <c r="P2157" s="10">
        <v>111318</v>
      </c>
    </row>
    <row r="2158" spans="1:16" ht="27" customHeight="1" x14ac:dyDescent="0.2">
      <c r="A2158" s="9" t="s">
        <v>7791</v>
      </c>
      <c r="B2158" s="10" t="s">
        <v>7870</v>
      </c>
      <c r="C2158" s="11" t="s">
        <v>18</v>
      </c>
      <c r="D2158" s="11" t="s">
        <v>19</v>
      </c>
      <c r="E2158" s="11" t="s">
        <v>19</v>
      </c>
      <c r="F2158" s="11" t="s">
        <v>7871</v>
      </c>
      <c r="G2158" s="11" t="s">
        <v>83</v>
      </c>
      <c r="H2158" s="11" t="s">
        <v>1482</v>
      </c>
      <c r="I2158" s="11" t="s">
        <v>7872</v>
      </c>
      <c r="J2158" s="12">
        <v>0.90359999999999996</v>
      </c>
      <c r="K2158" s="13">
        <v>11</v>
      </c>
      <c r="L2158" s="14">
        <v>4363</v>
      </c>
      <c r="M2158" s="10">
        <v>3783</v>
      </c>
      <c r="N2158" s="10">
        <v>482120</v>
      </c>
      <c r="O2158" s="10">
        <v>296658</v>
      </c>
      <c r="P2158" s="10">
        <v>778778</v>
      </c>
    </row>
    <row r="2159" spans="1:16" ht="27" customHeight="1" x14ac:dyDescent="0.2">
      <c r="A2159" s="9" t="s">
        <v>7791</v>
      </c>
      <c r="B2159" s="10" t="s">
        <v>7870</v>
      </c>
      <c r="C2159" s="11" t="s">
        <v>7873</v>
      </c>
      <c r="D2159" s="11" t="s">
        <v>7874</v>
      </c>
      <c r="E2159" s="11" t="s">
        <v>57</v>
      </c>
      <c r="F2159" s="11" t="s">
        <v>7875</v>
      </c>
      <c r="G2159" s="11" t="s">
        <v>28</v>
      </c>
      <c r="H2159" s="11" t="s">
        <v>7875</v>
      </c>
      <c r="I2159" s="11" t="s">
        <v>7876</v>
      </c>
      <c r="J2159" s="12">
        <v>0.875</v>
      </c>
      <c r="K2159" s="13">
        <v>1</v>
      </c>
      <c r="L2159" s="14">
        <v>32</v>
      </c>
      <c r="M2159" s="10">
        <v>28</v>
      </c>
      <c r="N2159" s="10">
        <v>3536</v>
      </c>
      <c r="O2159" s="10">
        <v>2196</v>
      </c>
      <c r="P2159" s="10">
        <v>5732</v>
      </c>
    </row>
    <row r="2160" spans="1:16" ht="27" customHeight="1" x14ac:dyDescent="0.2">
      <c r="A2160" s="9" t="s">
        <v>7791</v>
      </c>
      <c r="B2160" s="10" t="s">
        <v>7877</v>
      </c>
      <c r="C2160" s="11" t="s">
        <v>18</v>
      </c>
      <c r="D2160" s="11" t="s">
        <v>19</v>
      </c>
      <c r="E2160" s="11" t="s">
        <v>19</v>
      </c>
      <c r="F2160" s="11" t="s">
        <v>7878</v>
      </c>
      <c r="G2160" s="11" t="s">
        <v>83</v>
      </c>
      <c r="H2160" s="11" t="s">
        <v>7879</v>
      </c>
      <c r="I2160" s="11" t="s">
        <v>7880</v>
      </c>
      <c r="J2160" s="12">
        <v>0.84379999999999999</v>
      </c>
      <c r="K2160" s="13">
        <v>2</v>
      </c>
      <c r="L2160" s="14">
        <v>430</v>
      </c>
      <c r="M2160" s="10">
        <v>363</v>
      </c>
      <c r="N2160" s="10">
        <v>47516</v>
      </c>
      <c r="O2160" s="10">
        <v>28466</v>
      </c>
      <c r="P2160" s="10">
        <v>75982</v>
      </c>
    </row>
    <row r="2161" spans="1:16" ht="27" customHeight="1" x14ac:dyDescent="0.2">
      <c r="A2161" s="9" t="s">
        <v>7791</v>
      </c>
      <c r="B2161" s="10" t="s">
        <v>7881</v>
      </c>
      <c r="C2161" s="11" t="s">
        <v>18</v>
      </c>
      <c r="D2161" s="11" t="s">
        <v>19</v>
      </c>
      <c r="E2161" s="11" t="s">
        <v>19</v>
      </c>
      <c r="F2161" s="11" t="s">
        <v>7882</v>
      </c>
      <c r="G2161" s="11" t="s">
        <v>83</v>
      </c>
      <c r="H2161" s="11" t="s">
        <v>6264</v>
      </c>
      <c r="I2161" s="11" t="s">
        <v>7883</v>
      </c>
      <c r="J2161" s="12">
        <v>0.70050000000000001</v>
      </c>
      <c r="K2161" s="13">
        <v>2</v>
      </c>
      <c r="L2161" s="14">
        <v>571</v>
      </c>
      <c r="M2161" s="10">
        <v>400</v>
      </c>
      <c r="N2161" s="10">
        <v>63096</v>
      </c>
      <c r="O2161" s="10">
        <v>31368</v>
      </c>
      <c r="P2161" s="10">
        <v>94464</v>
      </c>
    </row>
    <row r="2162" spans="1:16" ht="27" customHeight="1" x14ac:dyDescent="0.2">
      <c r="A2162" s="9" t="s">
        <v>7791</v>
      </c>
      <c r="B2162" s="10" t="s">
        <v>7884</v>
      </c>
      <c r="C2162" s="11" t="s">
        <v>18</v>
      </c>
      <c r="D2162" s="11" t="s">
        <v>19</v>
      </c>
      <c r="E2162" s="11" t="s">
        <v>19</v>
      </c>
      <c r="F2162" s="11" t="s">
        <v>7885</v>
      </c>
      <c r="G2162" s="11" t="s">
        <v>83</v>
      </c>
      <c r="H2162" s="11" t="s">
        <v>7885</v>
      </c>
      <c r="I2162" s="11" t="s">
        <v>7886</v>
      </c>
      <c r="J2162" s="12">
        <v>0.58460000000000001</v>
      </c>
      <c r="K2162" s="13">
        <v>2</v>
      </c>
      <c r="L2162" s="14">
        <v>132</v>
      </c>
      <c r="M2162" s="10">
        <v>77</v>
      </c>
      <c r="N2162" s="10">
        <v>14586</v>
      </c>
      <c r="O2162" s="10">
        <v>6038</v>
      </c>
      <c r="P2162" s="10">
        <v>20624</v>
      </c>
    </row>
    <row r="2163" spans="1:16" ht="27" customHeight="1" x14ac:dyDescent="0.2">
      <c r="A2163" s="9" t="s">
        <v>7791</v>
      </c>
      <c r="B2163" s="10" t="s">
        <v>7887</v>
      </c>
      <c r="C2163" s="11" t="s">
        <v>18</v>
      </c>
      <c r="D2163" s="11" t="s">
        <v>19</v>
      </c>
      <c r="E2163" s="11" t="s">
        <v>19</v>
      </c>
      <c r="F2163" s="11" t="s">
        <v>7888</v>
      </c>
      <c r="G2163" s="11" t="s">
        <v>83</v>
      </c>
      <c r="H2163" s="11" t="s">
        <v>7889</v>
      </c>
      <c r="I2163" s="11" t="s">
        <v>7890</v>
      </c>
      <c r="J2163" s="12">
        <v>0.53910000000000002</v>
      </c>
      <c r="K2163" s="13">
        <v>2</v>
      </c>
      <c r="L2163" s="14">
        <v>524</v>
      </c>
      <c r="M2163" s="10">
        <v>282</v>
      </c>
      <c r="N2163" s="10">
        <v>57903</v>
      </c>
      <c r="O2163" s="10">
        <v>22114</v>
      </c>
      <c r="P2163" s="10">
        <v>80017</v>
      </c>
    </row>
    <row r="2164" spans="1:16" ht="27" customHeight="1" x14ac:dyDescent="0.2">
      <c r="A2164" s="9" t="s">
        <v>7791</v>
      </c>
      <c r="B2164" s="10" t="s">
        <v>7891</v>
      </c>
      <c r="C2164" s="11" t="s">
        <v>18</v>
      </c>
      <c r="D2164" s="11" t="s">
        <v>19</v>
      </c>
      <c r="E2164" s="11" t="s">
        <v>19</v>
      </c>
      <c r="F2164" s="11" t="s">
        <v>7892</v>
      </c>
      <c r="G2164" s="11" t="s">
        <v>83</v>
      </c>
      <c r="H2164" s="11" t="s">
        <v>7893</v>
      </c>
      <c r="I2164" s="11" t="s">
        <v>7894</v>
      </c>
      <c r="J2164" s="12">
        <v>0.9617</v>
      </c>
      <c r="K2164" s="13">
        <v>3</v>
      </c>
      <c r="L2164" s="14">
        <v>880</v>
      </c>
      <c r="M2164" s="10">
        <v>850</v>
      </c>
      <c r="N2164" s="10">
        <v>97242</v>
      </c>
      <c r="O2164" s="10">
        <v>66656</v>
      </c>
      <c r="P2164" s="10">
        <v>163898</v>
      </c>
    </row>
    <row r="2165" spans="1:16" ht="27" customHeight="1" x14ac:dyDescent="0.2">
      <c r="A2165" s="9" t="s">
        <v>7791</v>
      </c>
      <c r="B2165" s="10" t="s">
        <v>7895</v>
      </c>
      <c r="C2165" s="11" t="s">
        <v>18</v>
      </c>
      <c r="D2165" s="11" t="s">
        <v>19</v>
      </c>
      <c r="E2165" s="11" t="s">
        <v>19</v>
      </c>
      <c r="F2165" s="11" t="s">
        <v>7896</v>
      </c>
      <c r="G2165" s="11" t="s">
        <v>83</v>
      </c>
      <c r="H2165" s="11" t="s">
        <v>7896</v>
      </c>
      <c r="I2165" s="11" t="s">
        <v>7897</v>
      </c>
      <c r="J2165" s="12">
        <v>0.87170000000000003</v>
      </c>
      <c r="K2165" s="13">
        <v>3</v>
      </c>
      <c r="L2165" s="14">
        <v>415</v>
      </c>
      <c r="M2165" s="10">
        <v>362</v>
      </c>
      <c r="N2165" s="10">
        <v>45858</v>
      </c>
      <c r="O2165" s="10">
        <v>28388</v>
      </c>
      <c r="P2165" s="10">
        <v>74246</v>
      </c>
    </row>
    <row r="2166" spans="1:16" ht="27" customHeight="1" x14ac:dyDescent="0.2">
      <c r="A2166" s="9" t="s">
        <v>7791</v>
      </c>
      <c r="B2166" s="10" t="s">
        <v>7898</v>
      </c>
      <c r="C2166" s="11" t="s">
        <v>18</v>
      </c>
      <c r="D2166" s="11" t="s">
        <v>19</v>
      </c>
      <c r="E2166" s="11" t="s">
        <v>19</v>
      </c>
      <c r="F2166" s="11" t="s">
        <v>7899</v>
      </c>
      <c r="G2166" s="11" t="s">
        <v>83</v>
      </c>
      <c r="H2166" s="11" t="s">
        <v>7899</v>
      </c>
      <c r="I2166" s="11" t="s">
        <v>7900</v>
      </c>
      <c r="J2166" s="12">
        <v>0.93500000000000005</v>
      </c>
      <c r="K2166" s="13">
        <v>2</v>
      </c>
      <c r="L2166" s="14">
        <v>552</v>
      </c>
      <c r="M2166" s="10">
        <v>516</v>
      </c>
      <c r="N2166" s="10">
        <v>60997</v>
      </c>
      <c r="O2166" s="10">
        <v>40465</v>
      </c>
      <c r="P2166" s="10">
        <v>101462</v>
      </c>
    </row>
    <row r="2167" spans="1:16" ht="27" customHeight="1" x14ac:dyDescent="0.2">
      <c r="A2167" s="9" t="s">
        <v>7791</v>
      </c>
      <c r="B2167" s="10" t="s">
        <v>7901</v>
      </c>
      <c r="C2167" s="11" t="s">
        <v>18</v>
      </c>
      <c r="D2167" s="11" t="s">
        <v>19</v>
      </c>
      <c r="E2167" s="11" t="s">
        <v>19</v>
      </c>
      <c r="F2167" s="11" t="s">
        <v>7902</v>
      </c>
      <c r="G2167" s="11" t="s">
        <v>83</v>
      </c>
      <c r="H2167" s="11" t="s">
        <v>7902</v>
      </c>
      <c r="I2167" s="11" t="s">
        <v>7903</v>
      </c>
      <c r="J2167" s="12">
        <v>0.62580000000000002</v>
      </c>
      <c r="K2167" s="13">
        <v>2</v>
      </c>
      <c r="L2167" s="14">
        <v>311</v>
      </c>
      <c r="M2167" s="10">
        <v>195</v>
      </c>
      <c r="N2167" s="10">
        <v>34367</v>
      </c>
      <c r="O2167" s="10">
        <v>15291</v>
      </c>
      <c r="P2167" s="10">
        <v>49658</v>
      </c>
    </row>
    <row r="2168" spans="1:16" ht="27" customHeight="1" x14ac:dyDescent="0.2">
      <c r="A2168" s="9" t="s">
        <v>7791</v>
      </c>
      <c r="B2168" s="10" t="s">
        <v>7904</v>
      </c>
      <c r="C2168" s="11" t="s">
        <v>18</v>
      </c>
      <c r="D2168" s="11" t="s">
        <v>19</v>
      </c>
      <c r="E2168" s="11" t="s">
        <v>19</v>
      </c>
      <c r="F2168" s="11" t="s">
        <v>7905</v>
      </c>
      <c r="G2168" s="11" t="s">
        <v>83</v>
      </c>
      <c r="H2168" s="11" t="s">
        <v>7905</v>
      </c>
      <c r="I2168" s="11" t="s">
        <v>7906</v>
      </c>
      <c r="J2168" s="12">
        <v>0.88060000000000005</v>
      </c>
      <c r="K2168" s="13">
        <v>2</v>
      </c>
      <c r="L2168" s="14">
        <v>67</v>
      </c>
      <c r="M2168" s="10">
        <v>59</v>
      </c>
      <c r="N2168" s="10">
        <v>7404</v>
      </c>
      <c r="O2168" s="10">
        <v>4627</v>
      </c>
      <c r="P2168" s="10">
        <v>12031</v>
      </c>
    </row>
    <row r="2169" spans="1:16" ht="27" customHeight="1" x14ac:dyDescent="0.2">
      <c r="A2169" s="9" t="s">
        <v>7791</v>
      </c>
      <c r="B2169" s="10" t="s">
        <v>7907</v>
      </c>
      <c r="C2169" s="11" t="s">
        <v>18</v>
      </c>
      <c r="D2169" s="11" t="s">
        <v>19</v>
      </c>
      <c r="E2169" s="11" t="s">
        <v>19</v>
      </c>
      <c r="F2169" s="11" t="s">
        <v>7908</v>
      </c>
      <c r="G2169" s="11" t="s">
        <v>83</v>
      </c>
      <c r="H2169" s="11" t="s">
        <v>7794</v>
      </c>
      <c r="I2169" s="11" t="s">
        <v>7795</v>
      </c>
      <c r="J2169" s="12">
        <v>1</v>
      </c>
      <c r="K2169" s="13">
        <v>2</v>
      </c>
      <c r="L2169" s="14">
        <v>41</v>
      </c>
      <c r="M2169" s="10">
        <v>15</v>
      </c>
      <c r="N2169" s="10">
        <v>4531</v>
      </c>
      <c r="O2169" s="10">
        <v>1176</v>
      </c>
      <c r="P2169" s="10">
        <v>5707</v>
      </c>
    </row>
    <row r="2170" spans="1:16" ht="27" customHeight="1" x14ac:dyDescent="0.2">
      <c r="A2170" s="9" t="s">
        <v>7791</v>
      </c>
      <c r="B2170" s="10" t="s">
        <v>7907</v>
      </c>
      <c r="C2170" s="11" t="s">
        <v>7909</v>
      </c>
      <c r="D2170" s="11" t="s">
        <v>7910</v>
      </c>
      <c r="E2170" s="11" t="s">
        <v>57</v>
      </c>
      <c r="F2170" s="11" t="s">
        <v>7911</v>
      </c>
      <c r="G2170" s="11" t="s">
        <v>28</v>
      </c>
      <c r="H2170" s="11" t="s">
        <v>7911</v>
      </c>
      <c r="I2170" s="11" t="s">
        <v>7912</v>
      </c>
      <c r="J2170" s="12">
        <v>0.43559999999999999</v>
      </c>
      <c r="K2170" s="13">
        <v>1</v>
      </c>
      <c r="L2170" s="14">
        <v>327</v>
      </c>
      <c r="M2170" s="10">
        <v>142</v>
      </c>
      <c r="N2170" s="10">
        <v>36134</v>
      </c>
      <c r="O2170" s="10">
        <v>11135</v>
      </c>
      <c r="P2170" s="10">
        <v>47269</v>
      </c>
    </row>
    <row r="2171" spans="1:16" ht="27" customHeight="1" x14ac:dyDescent="0.2">
      <c r="A2171" s="9" t="s">
        <v>7791</v>
      </c>
      <c r="B2171" s="10" t="s">
        <v>7913</v>
      </c>
      <c r="C2171" s="11" t="s">
        <v>18</v>
      </c>
      <c r="D2171" s="11" t="s">
        <v>19</v>
      </c>
      <c r="E2171" s="11" t="s">
        <v>19</v>
      </c>
      <c r="F2171" s="11" t="s">
        <v>7914</v>
      </c>
      <c r="G2171" s="11" t="s">
        <v>83</v>
      </c>
      <c r="H2171" s="11" t="s">
        <v>7915</v>
      </c>
      <c r="I2171" s="11" t="s">
        <v>7916</v>
      </c>
      <c r="J2171" s="12">
        <v>0.59570000000000001</v>
      </c>
      <c r="K2171" s="13">
        <v>2</v>
      </c>
      <c r="L2171" s="14">
        <v>329</v>
      </c>
      <c r="M2171" s="10">
        <v>196</v>
      </c>
      <c r="N2171" s="10">
        <v>36355</v>
      </c>
      <c r="O2171" s="10">
        <v>15370</v>
      </c>
      <c r="P2171" s="10">
        <v>51725</v>
      </c>
    </row>
    <row r="2172" spans="1:16" ht="27" customHeight="1" x14ac:dyDescent="0.2">
      <c r="A2172" s="9" t="s">
        <v>7791</v>
      </c>
      <c r="B2172" s="10" t="s">
        <v>7917</v>
      </c>
      <c r="C2172" s="11" t="s">
        <v>18</v>
      </c>
      <c r="D2172" s="11" t="s">
        <v>19</v>
      </c>
      <c r="E2172" s="11" t="s">
        <v>19</v>
      </c>
      <c r="F2172" s="11" t="s">
        <v>7918</v>
      </c>
      <c r="G2172" s="11" t="s">
        <v>83</v>
      </c>
      <c r="H2172" s="11" t="s">
        <v>7918</v>
      </c>
      <c r="I2172" s="11" t="s">
        <v>7919</v>
      </c>
      <c r="J2172" s="12">
        <v>0.98280000000000001</v>
      </c>
      <c r="K2172" s="13">
        <v>2</v>
      </c>
      <c r="L2172" s="14">
        <v>116</v>
      </c>
      <c r="M2172" s="10">
        <v>114</v>
      </c>
      <c r="N2172" s="10">
        <v>12818</v>
      </c>
      <c r="O2172" s="10">
        <v>8940</v>
      </c>
      <c r="P2172" s="10">
        <v>21758</v>
      </c>
    </row>
    <row r="2173" spans="1:16" ht="27" customHeight="1" x14ac:dyDescent="0.2">
      <c r="A2173" s="9" t="s">
        <v>7791</v>
      </c>
      <c r="B2173" s="10" t="s">
        <v>7917</v>
      </c>
      <c r="C2173" s="11" t="s">
        <v>7920</v>
      </c>
      <c r="D2173" s="11" t="s">
        <v>7921</v>
      </c>
      <c r="E2173" s="11" t="s">
        <v>26</v>
      </c>
      <c r="F2173" s="11" t="s">
        <v>7922</v>
      </c>
      <c r="G2173" s="11" t="s">
        <v>28</v>
      </c>
      <c r="H2173" s="11" t="s">
        <v>7922</v>
      </c>
      <c r="I2173" s="11" t="s">
        <v>7923</v>
      </c>
      <c r="J2173" s="12">
        <v>0.87629999999999997</v>
      </c>
      <c r="K2173" s="13">
        <v>1</v>
      </c>
      <c r="L2173" s="14">
        <v>663</v>
      </c>
      <c r="M2173" s="10">
        <v>581</v>
      </c>
      <c r="N2173" s="10">
        <v>73263</v>
      </c>
      <c r="O2173" s="10">
        <v>45561</v>
      </c>
      <c r="P2173" s="10">
        <v>118824</v>
      </c>
    </row>
    <row r="2174" spans="1:16" ht="27" customHeight="1" x14ac:dyDescent="0.2">
      <c r="A2174" s="9" t="s">
        <v>7791</v>
      </c>
      <c r="B2174" s="10" t="s">
        <v>7924</v>
      </c>
      <c r="C2174" s="11" t="s">
        <v>18</v>
      </c>
      <c r="D2174" s="11" t="s">
        <v>19</v>
      </c>
      <c r="E2174" s="11" t="s">
        <v>19</v>
      </c>
      <c r="F2174" s="11" t="s">
        <v>7925</v>
      </c>
      <c r="G2174" s="11" t="s">
        <v>83</v>
      </c>
      <c r="H2174" s="11" t="s">
        <v>7926</v>
      </c>
      <c r="I2174" s="11" t="s">
        <v>7927</v>
      </c>
      <c r="J2174" s="12">
        <v>0.95020000000000004</v>
      </c>
      <c r="K2174" s="13">
        <v>3</v>
      </c>
      <c r="L2174" s="14">
        <v>739</v>
      </c>
      <c r="M2174" s="10">
        <v>702</v>
      </c>
      <c r="N2174" s="10">
        <v>81661</v>
      </c>
      <c r="O2174" s="10">
        <v>55050</v>
      </c>
      <c r="P2174" s="10">
        <v>136711</v>
      </c>
    </row>
    <row r="2175" spans="1:16" ht="27" customHeight="1" x14ac:dyDescent="0.2">
      <c r="A2175" s="9" t="s">
        <v>7791</v>
      </c>
      <c r="B2175" s="10" t="s">
        <v>7928</v>
      </c>
      <c r="C2175" s="11" t="s">
        <v>18</v>
      </c>
      <c r="D2175" s="11" t="s">
        <v>19</v>
      </c>
      <c r="E2175" s="11" t="s">
        <v>19</v>
      </c>
      <c r="F2175" s="11" t="s">
        <v>7929</v>
      </c>
      <c r="G2175" s="11" t="s">
        <v>83</v>
      </c>
      <c r="H2175" s="11" t="s">
        <v>7930</v>
      </c>
      <c r="I2175" s="11" t="s">
        <v>7931</v>
      </c>
      <c r="J2175" s="12">
        <v>0.35070000000000001</v>
      </c>
      <c r="K2175" s="13">
        <v>2</v>
      </c>
      <c r="L2175" s="14">
        <v>831</v>
      </c>
      <c r="M2175" s="10">
        <v>291</v>
      </c>
      <c r="N2175" s="10">
        <v>91827</v>
      </c>
      <c r="O2175" s="10">
        <v>22820</v>
      </c>
      <c r="P2175" s="10">
        <v>114647</v>
      </c>
    </row>
    <row r="2176" spans="1:16" ht="27" customHeight="1" x14ac:dyDescent="0.2">
      <c r="A2176" s="9" t="s">
        <v>7791</v>
      </c>
      <c r="B2176" s="10" t="s">
        <v>7932</v>
      </c>
      <c r="C2176" s="11" t="s">
        <v>18</v>
      </c>
      <c r="D2176" s="11" t="s">
        <v>19</v>
      </c>
      <c r="E2176" s="11" t="s">
        <v>19</v>
      </c>
      <c r="F2176" s="11" t="s">
        <v>7933</v>
      </c>
      <c r="G2176" s="11" t="s">
        <v>83</v>
      </c>
      <c r="H2176" s="11" t="s">
        <v>7934</v>
      </c>
      <c r="I2176" s="11" t="s">
        <v>7935</v>
      </c>
      <c r="J2176" s="12">
        <v>0.82189999999999996</v>
      </c>
      <c r="K2176" s="13">
        <v>2</v>
      </c>
      <c r="L2176" s="14">
        <v>345</v>
      </c>
      <c r="M2176" s="10">
        <v>284</v>
      </c>
      <c r="N2176" s="10">
        <v>38123</v>
      </c>
      <c r="O2176" s="10">
        <v>22271</v>
      </c>
      <c r="P2176" s="10">
        <v>60394</v>
      </c>
    </row>
    <row r="2177" spans="1:16" ht="27" customHeight="1" x14ac:dyDescent="0.2">
      <c r="A2177" s="9" t="s">
        <v>7791</v>
      </c>
      <c r="B2177" s="10" t="s">
        <v>7936</v>
      </c>
      <c r="C2177" s="11" t="s">
        <v>18</v>
      </c>
      <c r="D2177" s="11" t="s">
        <v>19</v>
      </c>
      <c r="E2177" s="11" t="s">
        <v>19</v>
      </c>
      <c r="F2177" s="11" t="s">
        <v>7937</v>
      </c>
      <c r="G2177" s="11" t="s">
        <v>83</v>
      </c>
      <c r="H2177" s="11" t="s">
        <v>7938</v>
      </c>
      <c r="I2177" s="11" t="s">
        <v>7939</v>
      </c>
      <c r="J2177" s="12">
        <v>0.94299999999999995</v>
      </c>
      <c r="K2177" s="13">
        <v>3</v>
      </c>
      <c r="L2177" s="14">
        <v>741</v>
      </c>
      <c r="M2177" s="10">
        <v>697</v>
      </c>
      <c r="N2177" s="10">
        <v>81882</v>
      </c>
      <c r="O2177" s="10">
        <v>54658</v>
      </c>
      <c r="P2177" s="10">
        <v>136540</v>
      </c>
    </row>
    <row r="2178" spans="1:16" ht="27" customHeight="1" x14ac:dyDescent="0.2">
      <c r="A2178" s="9" t="s">
        <v>7791</v>
      </c>
      <c r="B2178" s="10" t="s">
        <v>7940</v>
      </c>
      <c r="C2178" s="11" t="s">
        <v>18</v>
      </c>
      <c r="D2178" s="11" t="s">
        <v>19</v>
      </c>
      <c r="E2178" s="11" t="s">
        <v>19</v>
      </c>
      <c r="F2178" s="11" t="s">
        <v>7941</v>
      </c>
      <c r="G2178" s="11" t="s">
        <v>83</v>
      </c>
      <c r="H2178" s="11" t="s">
        <v>7942</v>
      </c>
      <c r="I2178" s="11" t="s">
        <v>7943</v>
      </c>
      <c r="J2178" s="12">
        <v>0.44209999999999999</v>
      </c>
      <c r="K2178" s="13">
        <v>2</v>
      </c>
      <c r="L2178" s="14">
        <v>95</v>
      </c>
      <c r="M2178" s="10">
        <v>42</v>
      </c>
      <c r="N2178" s="10">
        <v>10498</v>
      </c>
      <c r="O2178" s="10">
        <v>3294</v>
      </c>
      <c r="P2178" s="10">
        <v>13792</v>
      </c>
    </row>
    <row r="2179" spans="1:16" ht="27" customHeight="1" x14ac:dyDescent="0.2">
      <c r="A2179" s="9" t="s">
        <v>7791</v>
      </c>
      <c r="B2179" s="10" t="s">
        <v>7944</v>
      </c>
      <c r="C2179" s="11" t="s">
        <v>18</v>
      </c>
      <c r="D2179" s="11" t="s">
        <v>19</v>
      </c>
      <c r="E2179" s="11" t="s">
        <v>19</v>
      </c>
      <c r="F2179" s="11" t="s">
        <v>7945</v>
      </c>
      <c r="G2179" s="11" t="s">
        <v>83</v>
      </c>
      <c r="H2179" s="11" t="s">
        <v>7945</v>
      </c>
      <c r="I2179" s="11" t="s">
        <v>7946</v>
      </c>
      <c r="J2179" s="12">
        <v>0.88629999999999998</v>
      </c>
      <c r="K2179" s="13">
        <v>2</v>
      </c>
      <c r="L2179" s="14">
        <v>524</v>
      </c>
      <c r="M2179" s="10">
        <v>464</v>
      </c>
      <c r="N2179" s="10">
        <v>57903</v>
      </c>
      <c r="O2179" s="10">
        <v>36386</v>
      </c>
      <c r="P2179" s="10">
        <v>94289</v>
      </c>
    </row>
    <row r="2180" spans="1:16" ht="27" customHeight="1" x14ac:dyDescent="0.2">
      <c r="A2180" s="9" t="s">
        <v>7791</v>
      </c>
      <c r="B2180" s="10" t="s">
        <v>7947</v>
      </c>
      <c r="C2180" s="11" t="s">
        <v>18</v>
      </c>
      <c r="D2180" s="11" t="s">
        <v>19</v>
      </c>
      <c r="E2180" s="11" t="s">
        <v>19</v>
      </c>
      <c r="F2180" s="11" t="s">
        <v>7948</v>
      </c>
      <c r="G2180" s="11" t="s">
        <v>83</v>
      </c>
      <c r="H2180" s="11" t="s">
        <v>7949</v>
      </c>
      <c r="I2180" s="11" t="s">
        <v>7950</v>
      </c>
      <c r="J2180" s="12">
        <v>0.89290000000000003</v>
      </c>
      <c r="K2180" s="13">
        <v>2</v>
      </c>
      <c r="L2180" s="14">
        <v>224</v>
      </c>
      <c r="M2180" s="10">
        <v>200</v>
      </c>
      <c r="N2180" s="10">
        <v>24752</v>
      </c>
      <c r="O2180" s="10">
        <v>15684</v>
      </c>
      <c r="P2180" s="10">
        <v>40436</v>
      </c>
    </row>
    <row r="2181" spans="1:16" ht="27" customHeight="1" x14ac:dyDescent="0.2">
      <c r="A2181" s="9" t="s">
        <v>7791</v>
      </c>
      <c r="B2181" s="10" t="s">
        <v>7951</v>
      </c>
      <c r="C2181" s="11" t="s">
        <v>18</v>
      </c>
      <c r="D2181" s="11" t="s">
        <v>19</v>
      </c>
      <c r="E2181" s="11" t="s">
        <v>19</v>
      </c>
      <c r="F2181" s="11" t="s">
        <v>7952</v>
      </c>
      <c r="G2181" s="11" t="s">
        <v>83</v>
      </c>
      <c r="H2181" s="11" t="s">
        <v>1518</v>
      </c>
      <c r="I2181" s="11" t="s">
        <v>7953</v>
      </c>
      <c r="J2181" s="12">
        <v>0.93440000000000001</v>
      </c>
      <c r="K2181" s="13">
        <v>19</v>
      </c>
      <c r="L2181" s="14">
        <v>9538</v>
      </c>
      <c r="M2181" s="10">
        <v>7596</v>
      </c>
      <c r="N2181" s="10">
        <v>1053965</v>
      </c>
      <c r="O2181" s="10">
        <v>595669</v>
      </c>
      <c r="P2181" s="10">
        <v>1649634</v>
      </c>
    </row>
    <row r="2182" spans="1:16" ht="27" customHeight="1" x14ac:dyDescent="0.2">
      <c r="A2182" s="9" t="s">
        <v>7791</v>
      </c>
      <c r="B2182" s="10" t="s">
        <v>7954</v>
      </c>
      <c r="C2182" s="11" t="s">
        <v>18</v>
      </c>
      <c r="D2182" s="11" t="s">
        <v>19</v>
      </c>
      <c r="E2182" s="11" t="s">
        <v>19</v>
      </c>
      <c r="F2182" s="11" t="s">
        <v>7955</v>
      </c>
      <c r="G2182" s="11" t="s">
        <v>83</v>
      </c>
      <c r="H2182" s="11" t="s">
        <v>7794</v>
      </c>
      <c r="I2182" s="11" t="s">
        <v>7795</v>
      </c>
      <c r="J2182" s="12">
        <v>1</v>
      </c>
      <c r="K2182" s="13">
        <v>6</v>
      </c>
      <c r="L2182" s="14">
        <v>5376</v>
      </c>
      <c r="M2182" s="10">
        <v>4099</v>
      </c>
      <c r="N2182" s="10">
        <v>594057</v>
      </c>
      <c r="O2182" s="10">
        <v>321440</v>
      </c>
      <c r="P2182" s="10">
        <v>915497</v>
      </c>
    </row>
    <row r="2183" spans="1:16" ht="27" customHeight="1" x14ac:dyDescent="0.2">
      <c r="A2183" s="9" t="s">
        <v>7791</v>
      </c>
      <c r="B2183" s="10" t="s">
        <v>7954</v>
      </c>
      <c r="C2183" s="11" t="s">
        <v>7956</v>
      </c>
      <c r="D2183" s="11" t="s">
        <v>7957</v>
      </c>
      <c r="E2183" s="11" t="s">
        <v>57</v>
      </c>
      <c r="F2183" s="11" t="s">
        <v>7958</v>
      </c>
      <c r="G2183" s="11" t="s">
        <v>28</v>
      </c>
      <c r="H2183" s="11" t="s">
        <v>7794</v>
      </c>
      <c r="I2183" s="11" t="s">
        <v>7795</v>
      </c>
      <c r="J2183" s="12">
        <v>1</v>
      </c>
      <c r="K2183" s="13">
        <v>1</v>
      </c>
      <c r="L2183" s="14">
        <v>197</v>
      </c>
      <c r="M2183" s="10">
        <v>170</v>
      </c>
      <c r="N2183" s="10">
        <v>21769</v>
      </c>
      <c r="O2183" s="10">
        <v>13331</v>
      </c>
      <c r="P2183" s="10">
        <v>35100</v>
      </c>
    </row>
    <row r="2184" spans="1:16" ht="27" customHeight="1" x14ac:dyDescent="0.2">
      <c r="A2184" s="9" t="s">
        <v>7791</v>
      </c>
      <c r="B2184" s="10" t="s">
        <v>7954</v>
      </c>
      <c r="C2184" s="11" t="s">
        <v>7959</v>
      </c>
      <c r="D2184" s="11" t="s">
        <v>7960</v>
      </c>
      <c r="E2184" s="11" t="s">
        <v>57</v>
      </c>
      <c r="F2184" s="11" t="s">
        <v>7961</v>
      </c>
      <c r="G2184" s="11" t="s">
        <v>28</v>
      </c>
      <c r="H2184" s="11" t="s">
        <v>7794</v>
      </c>
      <c r="I2184" s="11" t="s">
        <v>7795</v>
      </c>
      <c r="J2184" s="12">
        <v>1</v>
      </c>
      <c r="K2184" s="13">
        <v>1</v>
      </c>
      <c r="L2184" s="14">
        <v>172</v>
      </c>
      <c r="M2184" s="10">
        <v>165</v>
      </c>
      <c r="N2184" s="10">
        <v>19006</v>
      </c>
      <c r="O2184" s="10">
        <v>12939</v>
      </c>
      <c r="P2184" s="10">
        <v>31945</v>
      </c>
    </row>
    <row r="2185" spans="1:16" ht="27" customHeight="1" x14ac:dyDescent="0.2">
      <c r="A2185" s="9" t="s">
        <v>7791</v>
      </c>
      <c r="B2185" s="10" t="s">
        <v>7962</v>
      </c>
      <c r="C2185" s="11" t="s">
        <v>18</v>
      </c>
      <c r="D2185" s="11" t="s">
        <v>19</v>
      </c>
      <c r="E2185" s="11" t="s">
        <v>19</v>
      </c>
      <c r="F2185" s="11" t="s">
        <v>7963</v>
      </c>
      <c r="G2185" s="11" t="s">
        <v>83</v>
      </c>
      <c r="H2185" s="11" t="s">
        <v>7964</v>
      </c>
      <c r="I2185" s="11" t="s">
        <v>7965</v>
      </c>
      <c r="J2185" s="12">
        <v>0.92810000000000004</v>
      </c>
      <c r="K2185" s="13">
        <v>38</v>
      </c>
      <c r="L2185" s="14">
        <v>28367</v>
      </c>
      <c r="M2185" s="10">
        <v>19051</v>
      </c>
      <c r="N2185" s="10">
        <v>3134601</v>
      </c>
      <c r="O2185" s="10">
        <v>1493959</v>
      </c>
      <c r="P2185" s="10">
        <v>4628560</v>
      </c>
    </row>
    <row r="2186" spans="1:16" ht="27" customHeight="1" x14ac:dyDescent="0.2">
      <c r="A2186" s="9" t="s">
        <v>7791</v>
      </c>
      <c r="B2186" s="10" t="s">
        <v>7962</v>
      </c>
      <c r="C2186" s="11" t="s">
        <v>7966</v>
      </c>
      <c r="D2186" s="11" t="s">
        <v>7967</v>
      </c>
      <c r="E2186" s="11" t="s">
        <v>57</v>
      </c>
      <c r="F2186" s="11" t="s">
        <v>7968</v>
      </c>
      <c r="G2186" s="11" t="s">
        <v>28</v>
      </c>
      <c r="H2186" s="11" t="s">
        <v>7794</v>
      </c>
      <c r="I2186" s="11" t="s">
        <v>7795</v>
      </c>
      <c r="J2186" s="12">
        <v>1</v>
      </c>
      <c r="K2186" s="13">
        <v>1</v>
      </c>
      <c r="L2186" s="14">
        <v>597</v>
      </c>
      <c r="M2186" s="10">
        <v>421</v>
      </c>
      <c r="N2186" s="10">
        <v>65969</v>
      </c>
      <c r="O2186" s="10">
        <v>33014</v>
      </c>
      <c r="P2186" s="10">
        <v>98983</v>
      </c>
    </row>
    <row r="2187" spans="1:16" ht="27" customHeight="1" x14ac:dyDescent="0.2">
      <c r="A2187" s="9" t="s">
        <v>7791</v>
      </c>
      <c r="B2187" s="10" t="s">
        <v>7962</v>
      </c>
      <c r="C2187" s="11" t="s">
        <v>7969</v>
      </c>
      <c r="D2187" s="11" t="s">
        <v>7970</v>
      </c>
      <c r="E2187" s="11" t="s">
        <v>57</v>
      </c>
      <c r="F2187" s="11" t="s">
        <v>7971</v>
      </c>
      <c r="G2187" s="11" t="s">
        <v>28</v>
      </c>
      <c r="H2187" s="11" t="s">
        <v>7794</v>
      </c>
      <c r="I2187" s="11" t="s">
        <v>7795</v>
      </c>
      <c r="J2187" s="12">
        <v>1</v>
      </c>
      <c r="K2187" s="13">
        <v>1</v>
      </c>
      <c r="L2187" s="14">
        <v>235</v>
      </c>
      <c r="M2187" s="10">
        <v>131</v>
      </c>
      <c r="N2187" s="10">
        <v>25968</v>
      </c>
      <c r="O2187" s="10">
        <v>10273</v>
      </c>
      <c r="P2187" s="10">
        <v>36241</v>
      </c>
    </row>
    <row r="2188" spans="1:16" ht="27" customHeight="1" x14ac:dyDescent="0.2">
      <c r="A2188" s="9" t="s">
        <v>7791</v>
      </c>
      <c r="B2188" s="10" t="s">
        <v>7962</v>
      </c>
      <c r="C2188" s="11" t="s">
        <v>7972</v>
      </c>
      <c r="D2188" s="11" t="s">
        <v>7973</v>
      </c>
      <c r="E2188" s="11" t="s">
        <v>57</v>
      </c>
      <c r="F2188" s="11" t="s">
        <v>7974</v>
      </c>
      <c r="G2188" s="11" t="s">
        <v>28</v>
      </c>
      <c r="H2188" s="11" t="s">
        <v>7974</v>
      </c>
      <c r="I2188" s="11" t="s">
        <v>7975</v>
      </c>
      <c r="J2188" s="12">
        <v>0.81120000000000003</v>
      </c>
      <c r="K2188" s="13">
        <v>1</v>
      </c>
      <c r="L2188" s="14">
        <v>430</v>
      </c>
      <c r="M2188" s="10">
        <v>349</v>
      </c>
      <c r="N2188" s="10">
        <v>47516</v>
      </c>
      <c r="O2188" s="10">
        <v>27368</v>
      </c>
      <c r="P2188" s="10">
        <v>74884</v>
      </c>
    </row>
    <row r="2189" spans="1:16" ht="27" customHeight="1" x14ac:dyDescent="0.2">
      <c r="A2189" s="9" t="s">
        <v>7791</v>
      </c>
      <c r="B2189" s="10" t="s">
        <v>7962</v>
      </c>
      <c r="C2189" s="11" t="s">
        <v>7976</v>
      </c>
      <c r="D2189" s="11" t="s">
        <v>7977</v>
      </c>
      <c r="E2189" s="11" t="s">
        <v>57</v>
      </c>
      <c r="F2189" s="11" t="s">
        <v>7978</v>
      </c>
      <c r="G2189" s="11" t="s">
        <v>28</v>
      </c>
      <c r="H2189" s="11" t="s">
        <v>7978</v>
      </c>
      <c r="I2189" s="11" t="s">
        <v>7979</v>
      </c>
      <c r="J2189" s="12">
        <v>0.745</v>
      </c>
      <c r="K2189" s="13">
        <v>1</v>
      </c>
      <c r="L2189" s="14">
        <v>149</v>
      </c>
      <c r="M2189" s="10">
        <v>111</v>
      </c>
      <c r="N2189" s="10">
        <v>16465</v>
      </c>
      <c r="O2189" s="10">
        <v>8705</v>
      </c>
      <c r="P2189" s="10">
        <v>25170</v>
      </c>
    </row>
    <row r="2190" spans="1:16" ht="27" customHeight="1" x14ac:dyDescent="0.2">
      <c r="A2190" s="9" t="s">
        <v>7791</v>
      </c>
      <c r="B2190" s="10" t="s">
        <v>7980</v>
      </c>
      <c r="C2190" s="11" t="s">
        <v>18</v>
      </c>
      <c r="D2190" s="11" t="s">
        <v>19</v>
      </c>
      <c r="E2190" s="11" t="s">
        <v>19</v>
      </c>
      <c r="F2190" s="11" t="s">
        <v>7981</v>
      </c>
      <c r="G2190" s="11" t="s">
        <v>83</v>
      </c>
      <c r="H2190" s="11" t="s">
        <v>7981</v>
      </c>
      <c r="I2190" s="11" t="s">
        <v>7982</v>
      </c>
      <c r="J2190" s="12">
        <v>0.77569999999999995</v>
      </c>
      <c r="K2190" s="13">
        <v>2</v>
      </c>
      <c r="L2190" s="14">
        <v>217</v>
      </c>
      <c r="M2190" s="10">
        <v>168</v>
      </c>
      <c r="N2190" s="10">
        <v>23979</v>
      </c>
      <c r="O2190" s="10">
        <v>13174</v>
      </c>
      <c r="P2190" s="10">
        <v>37153</v>
      </c>
    </row>
    <row r="2191" spans="1:16" ht="27" customHeight="1" x14ac:dyDescent="0.2">
      <c r="A2191" s="9" t="s">
        <v>7791</v>
      </c>
      <c r="B2191" s="10" t="s">
        <v>7983</v>
      </c>
      <c r="C2191" s="11" t="s">
        <v>18</v>
      </c>
      <c r="D2191" s="11" t="s">
        <v>19</v>
      </c>
      <c r="E2191" s="11" t="s">
        <v>19</v>
      </c>
      <c r="F2191" s="11" t="s">
        <v>7984</v>
      </c>
      <c r="G2191" s="11" t="s">
        <v>83</v>
      </c>
      <c r="H2191" s="11" t="s">
        <v>7985</v>
      </c>
      <c r="I2191" s="11" t="s">
        <v>7986</v>
      </c>
      <c r="J2191" s="12">
        <v>0.83540000000000003</v>
      </c>
      <c r="K2191" s="13">
        <v>2</v>
      </c>
      <c r="L2191" s="14">
        <v>413</v>
      </c>
      <c r="M2191" s="10">
        <v>345</v>
      </c>
      <c r="N2191" s="10">
        <v>45637</v>
      </c>
      <c r="O2191" s="10">
        <v>27055</v>
      </c>
      <c r="P2191" s="10">
        <v>72692</v>
      </c>
    </row>
    <row r="2192" spans="1:16" ht="27" customHeight="1" x14ac:dyDescent="0.2">
      <c r="A2192" s="9" t="s">
        <v>7791</v>
      </c>
      <c r="B2192" s="10" t="s">
        <v>7987</v>
      </c>
      <c r="C2192" s="11" t="s">
        <v>18</v>
      </c>
      <c r="D2192" s="11" t="s">
        <v>19</v>
      </c>
      <c r="E2192" s="11" t="s">
        <v>19</v>
      </c>
      <c r="F2192" s="11" t="s">
        <v>7988</v>
      </c>
      <c r="G2192" s="11" t="s">
        <v>83</v>
      </c>
      <c r="H2192" s="11" t="s">
        <v>7989</v>
      </c>
      <c r="I2192" s="11" t="s">
        <v>7990</v>
      </c>
      <c r="J2192" s="12">
        <v>0.91149999999999998</v>
      </c>
      <c r="K2192" s="13">
        <v>7</v>
      </c>
      <c r="L2192" s="14">
        <v>2463</v>
      </c>
      <c r="M2192" s="10">
        <v>2092</v>
      </c>
      <c r="N2192" s="10">
        <v>272166</v>
      </c>
      <c r="O2192" s="10">
        <v>164053</v>
      </c>
      <c r="P2192" s="10">
        <v>436219</v>
      </c>
    </row>
    <row r="2193" spans="1:16" ht="27" customHeight="1" x14ac:dyDescent="0.2">
      <c r="A2193" s="9" t="s">
        <v>7791</v>
      </c>
      <c r="B2193" s="10" t="s">
        <v>7991</v>
      </c>
      <c r="C2193" s="11" t="s">
        <v>18</v>
      </c>
      <c r="D2193" s="11" t="s">
        <v>19</v>
      </c>
      <c r="E2193" s="11" t="s">
        <v>19</v>
      </c>
      <c r="F2193" s="11" t="s">
        <v>7992</v>
      </c>
      <c r="G2193" s="11" t="s">
        <v>83</v>
      </c>
      <c r="H2193" s="11" t="s">
        <v>7993</v>
      </c>
      <c r="I2193" s="11" t="s">
        <v>7994</v>
      </c>
      <c r="J2193" s="12">
        <v>0.95120000000000005</v>
      </c>
      <c r="K2193" s="13">
        <v>20</v>
      </c>
      <c r="L2193" s="14">
        <v>13649</v>
      </c>
      <c r="M2193" s="10">
        <v>11655</v>
      </c>
      <c r="N2193" s="10">
        <v>1508236</v>
      </c>
      <c r="O2193" s="10">
        <v>913973</v>
      </c>
      <c r="P2193" s="10">
        <v>2422209</v>
      </c>
    </row>
    <row r="2194" spans="1:16" ht="27" customHeight="1" x14ac:dyDescent="0.2">
      <c r="A2194" s="9" t="s">
        <v>7791</v>
      </c>
      <c r="B2194" s="10" t="s">
        <v>7991</v>
      </c>
      <c r="C2194" s="11" t="s">
        <v>7995</v>
      </c>
      <c r="D2194" s="11" t="s">
        <v>7996</v>
      </c>
      <c r="E2194" s="11" t="s">
        <v>57</v>
      </c>
      <c r="F2194" s="11" t="s">
        <v>7997</v>
      </c>
      <c r="G2194" s="11" t="s">
        <v>28</v>
      </c>
      <c r="H2194" s="11" t="s">
        <v>7997</v>
      </c>
      <c r="I2194" s="11" t="s">
        <v>7998</v>
      </c>
      <c r="J2194" s="12">
        <v>0.86460000000000004</v>
      </c>
      <c r="K2194" s="13">
        <v>1</v>
      </c>
      <c r="L2194" s="14">
        <v>384</v>
      </c>
      <c r="M2194" s="10">
        <v>332</v>
      </c>
      <c r="N2194" s="10">
        <v>42433</v>
      </c>
      <c r="O2194" s="10">
        <v>26035</v>
      </c>
      <c r="P2194" s="10">
        <v>68468</v>
      </c>
    </row>
    <row r="2195" spans="1:16" ht="27" customHeight="1" x14ac:dyDescent="0.2">
      <c r="A2195" s="9" t="s">
        <v>7791</v>
      </c>
      <c r="B2195" s="10" t="s">
        <v>7991</v>
      </c>
      <c r="C2195" s="11" t="s">
        <v>7999</v>
      </c>
      <c r="D2195" s="11" t="s">
        <v>8000</v>
      </c>
      <c r="E2195" s="11" t="s">
        <v>57</v>
      </c>
      <c r="F2195" s="11" t="s">
        <v>8001</v>
      </c>
      <c r="G2195" s="11" t="s">
        <v>28</v>
      </c>
      <c r="H2195" s="11" t="s">
        <v>7794</v>
      </c>
      <c r="I2195" s="11" t="s">
        <v>7795</v>
      </c>
      <c r="J2195" s="12">
        <v>1</v>
      </c>
      <c r="K2195" s="13">
        <v>1</v>
      </c>
      <c r="L2195" s="14">
        <v>510</v>
      </c>
      <c r="M2195" s="10">
        <v>343</v>
      </c>
      <c r="N2195" s="10">
        <v>56356</v>
      </c>
      <c r="O2195" s="10">
        <v>26898</v>
      </c>
      <c r="P2195" s="10">
        <v>83254</v>
      </c>
    </row>
    <row r="2196" spans="1:16" ht="27" customHeight="1" x14ac:dyDescent="0.2">
      <c r="A2196" s="9" t="s">
        <v>7791</v>
      </c>
      <c r="B2196" s="10" t="s">
        <v>7991</v>
      </c>
      <c r="C2196" s="11" t="s">
        <v>8002</v>
      </c>
      <c r="D2196" s="11" t="s">
        <v>8003</v>
      </c>
      <c r="E2196" s="11" t="s">
        <v>57</v>
      </c>
      <c r="F2196" s="11" t="s">
        <v>8004</v>
      </c>
      <c r="G2196" s="11" t="s">
        <v>28</v>
      </c>
      <c r="H2196" s="11" t="s">
        <v>7794</v>
      </c>
      <c r="I2196" s="11" t="s">
        <v>7795</v>
      </c>
      <c r="J2196" s="12">
        <v>1</v>
      </c>
      <c r="K2196" s="13">
        <v>1</v>
      </c>
      <c r="L2196" s="14">
        <v>288</v>
      </c>
      <c r="M2196" s="10">
        <v>245</v>
      </c>
      <c r="N2196" s="10">
        <v>31824</v>
      </c>
      <c r="O2196" s="10">
        <v>19213</v>
      </c>
      <c r="P2196" s="10">
        <v>51037</v>
      </c>
    </row>
    <row r="2197" spans="1:16" ht="27" customHeight="1" x14ac:dyDescent="0.2">
      <c r="A2197" s="9" t="s">
        <v>7791</v>
      </c>
      <c r="B2197" s="10" t="s">
        <v>8005</v>
      </c>
      <c r="C2197" s="11" t="s">
        <v>18</v>
      </c>
      <c r="D2197" s="11" t="s">
        <v>19</v>
      </c>
      <c r="E2197" s="11" t="s">
        <v>19</v>
      </c>
      <c r="F2197" s="11" t="s">
        <v>8006</v>
      </c>
      <c r="G2197" s="11" t="s">
        <v>83</v>
      </c>
      <c r="H2197" s="11" t="s">
        <v>8007</v>
      </c>
      <c r="I2197" s="11" t="s">
        <v>8008</v>
      </c>
      <c r="J2197" s="12">
        <v>0.81979999999999997</v>
      </c>
      <c r="K2197" s="13">
        <v>11</v>
      </c>
      <c r="L2197" s="14">
        <v>6494</v>
      </c>
      <c r="M2197" s="10">
        <v>5128</v>
      </c>
      <c r="N2197" s="10">
        <v>717598</v>
      </c>
      <c r="O2197" s="10">
        <v>402132</v>
      </c>
      <c r="P2197" s="10">
        <v>1119730</v>
      </c>
    </row>
    <row r="2198" spans="1:16" ht="27" customHeight="1" x14ac:dyDescent="0.2">
      <c r="A2198" s="9" t="s">
        <v>7791</v>
      </c>
      <c r="B2198" s="10" t="s">
        <v>8009</v>
      </c>
      <c r="C2198" s="11" t="s">
        <v>18</v>
      </c>
      <c r="D2198" s="11" t="s">
        <v>19</v>
      </c>
      <c r="E2198" s="11" t="s">
        <v>19</v>
      </c>
      <c r="F2198" s="11" t="s">
        <v>8010</v>
      </c>
      <c r="G2198" s="11" t="s">
        <v>83</v>
      </c>
      <c r="H2198" s="11" t="s">
        <v>6826</v>
      </c>
      <c r="I2198" s="11" t="s">
        <v>8011</v>
      </c>
      <c r="J2198" s="12">
        <v>0.9224</v>
      </c>
      <c r="K2198" s="13">
        <v>7</v>
      </c>
      <c r="L2198" s="14">
        <v>2195</v>
      </c>
      <c r="M2198" s="10">
        <v>1967</v>
      </c>
      <c r="N2198" s="10">
        <v>242551</v>
      </c>
      <c r="O2198" s="10">
        <v>154250</v>
      </c>
      <c r="P2198" s="10">
        <v>396801</v>
      </c>
    </row>
    <row r="2199" spans="1:16" ht="27" customHeight="1" x14ac:dyDescent="0.2">
      <c r="A2199" s="9" t="s">
        <v>7791</v>
      </c>
      <c r="B2199" s="10" t="s">
        <v>8012</v>
      </c>
      <c r="C2199" s="11" t="s">
        <v>18</v>
      </c>
      <c r="D2199" s="11" t="s">
        <v>19</v>
      </c>
      <c r="E2199" s="11" t="s">
        <v>19</v>
      </c>
      <c r="F2199" s="11" t="s">
        <v>8013</v>
      </c>
      <c r="G2199" s="11" t="s">
        <v>83</v>
      </c>
      <c r="H2199" s="11" t="s">
        <v>1518</v>
      </c>
      <c r="I2199" s="11" t="s">
        <v>8014</v>
      </c>
      <c r="J2199" s="12">
        <v>0.75819999999999999</v>
      </c>
      <c r="K2199" s="13">
        <v>8</v>
      </c>
      <c r="L2199" s="14">
        <v>2761</v>
      </c>
      <c r="M2199" s="10">
        <v>1880</v>
      </c>
      <c r="N2199" s="10">
        <v>305095</v>
      </c>
      <c r="O2199" s="10">
        <v>147427</v>
      </c>
      <c r="P2199" s="10">
        <v>452522</v>
      </c>
    </row>
    <row r="2200" spans="1:16" ht="27" customHeight="1" x14ac:dyDescent="0.2">
      <c r="A2200" s="9" t="s">
        <v>8015</v>
      </c>
      <c r="B2200" s="10" t="s">
        <v>8016</v>
      </c>
      <c r="C2200" s="11" t="s">
        <v>18</v>
      </c>
      <c r="D2200" s="11" t="s">
        <v>19</v>
      </c>
      <c r="E2200" s="11" t="s">
        <v>19</v>
      </c>
      <c r="F2200" s="11" t="s">
        <v>8017</v>
      </c>
      <c r="G2200" s="11" t="s">
        <v>21</v>
      </c>
      <c r="H2200" s="11" t="s">
        <v>8018</v>
      </c>
      <c r="I2200" s="11" t="s">
        <v>8019</v>
      </c>
      <c r="J2200" s="12">
        <v>0.75429999999999997</v>
      </c>
      <c r="K2200" s="13">
        <v>5</v>
      </c>
      <c r="L2200" s="14">
        <v>91</v>
      </c>
      <c r="M2200" s="10">
        <v>61</v>
      </c>
      <c r="N2200" s="10">
        <v>10057</v>
      </c>
      <c r="O2200" s="10">
        <v>4782</v>
      </c>
      <c r="P2200" s="10">
        <v>14839</v>
      </c>
    </row>
    <row r="2201" spans="1:16" ht="27" customHeight="1" x14ac:dyDescent="0.2">
      <c r="A2201" s="9" t="s">
        <v>8015</v>
      </c>
      <c r="B2201" s="10" t="s">
        <v>8020</v>
      </c>
      <c r="C2201" s="11" t="s">
        <v>18</v>
      </c>
      <c r="D2201" s="11" t="s">
        <v>19</v>
      </c>
      <c r="E2201" s="11" t="s">
        <v>19</v>
      </c>
      <c r="F2201" s="11" t="s">
        <v>8021</v>
      </c>
      <c r="G2201" s="11" t="s">
        <v>83</v>
      </c>
      <c r="H2201" s="11" t="s">
        <v>8021</v>
      </c>
      <c r="I2201" s="11" t="s">
        <v>8022</v>
      </c>
      <c r="J2201" s="12">
        <v>0.47399999999999998</v>
      </c>
      <c r="K2201" s="13">
        <v>3</v>
      </c>
      <c r="L2201" s="14">
        <v>185</v>
      </c>
      <c r="M2201" s="10">
        <v>88</v>
      </c>
      <c r="N2201" s="10">
        <v>20443</v>
      </c>
      <c r="O2201" s="10">
        <v>6901</v>
      </c>
      <c r="P2201" s="10">
        <v>27344</v>
      </c>
    </row>
    <row r="2202" spans="1:16" ht="27" customHeight="1" x14ac:dyDescent="0.2">
      <c r="A2202" s="9" t="s">
        <v>8015</v>
      </c>
      <c r="B2202" s="10" t="s">
        <v>8023</v>
      </c>
      <c r="C2202" s="11" t="s">
        <v>18</v>
      </c>
      <c r="D2202" s="11" t="s">
        <v>19</v>
      </c>
      <c r="E2202" s="11" t="s">
        <v>19</v>
      </c>
      <c r="F2202" s="11" t="s">
        <v>8024</v>
      </c>
      <c r="G2202" s="11" t="s">
        <v>83</v>
      </c>
      <c r="H2202" s="11" t="s">
        <v>1879</v>
      </c>
      <c r="I2202" s="11" t="s">
        <v>8025</v>
      </c>
      <c r="J2202" s="12">
        <v>0.55149999999999999</v>
      </c>
      <c r="K2202" s="13">
        <v>2</v>
      </c>
      <c r="L2202" s="14">
        <v>443</v>
      </c>
      <c r="M2202" s="10">
        <v>245</v>
      </c>
      <c r="N2202" s="10">
        <v>48953</v>
      </c>
      <c r="O2202" s="10">
        <v>19213</v>
      </c>
      <c r="P2202" s="10">
        <v>68166</v>
      </c>
    </row>
    <row r="2203" spans="1:16" ht="27" customHeight="1" x14ac:dyDescent="0.2">
      <c r="A2203" s="9" t="s">
        <v>8015</v>
      </c>
      <c r="B2203" s="10" t="s">
        <v>8026</v>
      </c>
      <c r="C2203" s="11" t="s">
        <v>18</v>
      </c>
      <c r="D2203" s="11" t="s">
        <v>19</v>
      </c>
      <c r="E2203" s="11" t="s">
        <v>19</v>
      </c>
      <c r="F2203" s="11" t="s">
        <v>8027</v>
      </c>
      <c r="G2203" s="11" t="s">
        <v>83</v>
      </c>
      <c r="H2203" s="11" t="s">
        <v>8027</v>
      </c>
      <c r="I2203" s="11" t="s">
        <v>8028</v>
      </c>
      <c r="J2203" s="12">
        <v>0.53639999999999999</v>
      </c>
      <c r="K2203" s="13">
        <v>2</v>
      </c>
      <c r="L2203" s="14">
        <v>440</v>
      </c>
      <c r="M2203" s="10">
        <v>236</v>
      </c>
      <c r="N2203" s="10">
        <v>48621</v>
      </c>
      <c r="O2203" s="10">
        <v>18507</v>
      </c>
      <c r="P2203" s="10">
        <v>67128</v>
      </c>
    </row>
    <row r="2204" spans="1:16" ht="27" customHeight="1" x14ac:dyDescent="0.2">
      <c r="A2204" s="9" t="s">
        <v>8015</v>
      </c>
      <c r="B2204" s="10" t="s">
        <v>8029</v>
      </c>
      <c r="C2204" s="11" t="s">
        <v>18</v>
      </c>
      <c r="D2204" s="11" t="s">
        <v>19</v>
      </c>
      <c r="E2204" s="11" t="s">
        <v>19</v>
      </c>
      <c r="F2204" s="11" t="s">
        <v>8018</v>
      </c>
      <c r="G2204" s="11" t="s">
        <v>83</v>
      </c>
      <c r="H2204" s="11" t="s">
        <v>8018</v>
      </c>
      <c r="I2204" s="11" t="s">
        <v>8019</v>
      </c>
      <c r="J2204" s="12">
        <v>0.75429999999999997</v>
      </c>
      <c r="K2204" s="13">
        <v>3</v>
      </c>
      <c r="L2204" s="14">
        <v>380</v>
      </c>
      <c r="M2204" s="10">
        <v>278</v>
      </c>
      <c r="N2204" s="10">
        <v>41991</v>
      </c>
      <c r="O2204" s="10">
        <v>21801</v>
      </c>
      <c r="P2204" s="10">
        <v>63792</v>
      </c>
    </row>
    <row r="2205" spans="1:16" ht="27" customHeight="1" x14ac:dyDescent="0.2">
      <c r="A2205" s="9" t="s">
        <v>8015</v>
      </c>
      <c r="B2205" s="10" t="s">
        <v>8030</v>
      </c>
      <c r="C2205" s="11" t="s">
        <v>18</v>
      </c>
      <c r="D2205" s="11" t="s">
        <v>19</v>
      </c>
      <c r="E2205" s="11" t="s">
        <v>19</v>
      </c>
      <c r="F2205" s="11" t="s">
        <v>8031</v>
      </c>
      <c r="G2205" s="11" t="s">
        <v>83</v>
      </c>
      <c r="H2205" s="11" t="s">
        <v>8031</v>
      </c>
      <c r="I2205" s="11" t="s">
        <v>8032</v>
      </c>
      <c r="J2205" s="12">
        <v>0.43369999999999997</v>
      </c>
      <c r="K2205" s="13">
        <v>3</v>
      </c>
      <c r="L2205" s="14">
        <v>724</v>
      </c>
      <c r="M2205" s="10">
        <v>314</v>
      </c>
      <c r="N2205" s="10">
        <v>80003</v>
      </c>
      <c r="O2205" s="10">
        <v>24624</v>
      </c>
      <c r="P2205" s="10">
        <v>104627</v>
      </c>
    </row>
    <row r="2206" spans="1:16" ht="27" customHeight="1" x14ac:dyDescent="0.2">
      <c r="A2206" s="9" t="s">
        <v>8015</v>
      </c>
      <c r="B2206" s="10" t="s">
        <v>8033</v>
      </c>
      <c r="C2206" s="11" t="s">
        <v>18</v>
      </c>
      <c r="D2206" s="11" t="s">
        <v>19</v>
      </c>
      <c r="E2206" s="11" t="s">
        <v>19</v>
      </c>
      <c r="F2206" s="11" t="s">
        <v>8034</v>
      </c>
      <c r="G2206" s="11" t="s">
        <v>83</v>
      </c>
      <c r="H2206" s="11" t="s">
        <v>8018</v>
      </c>
      <c r="I2206" s="11" t="s">
        <v>8019</v>
      </c>
      <c r="J2206" s="12">
        <v>0.75429999999999997</v>
      </c>
      <c r="K2206" s="13">
        <v>4</v>
      </c>
      <c r="L2206" s="14">
        <v>1087</v>
      </c>
      <c r="M2206" s="10">
        <v>424</v>
      </c>
      <c r="N2206" s="10">
        <v>120115</v>
      </c>
      <c r="O2206" s="10">
        <v>33250</v>
      </c>
      <c r="P2206" s="10">
        <v>153365</v>
      </c>
    </row>
    <row r="2207" spans="1:16" ht="27" customHeight="1" x14ac:dyDescent="0.2">
      <c r="A2207" s="9" t="s">
        <v>8015</v>
      </c>
      <c r="B2207" s="10" t="s">
        <v>8035</v>
      </c>
      <c r="C2207" s="11" t="s">
        <v>18</v>
      </c>
      <c r="D2207" s="11" t="s">
        <v>19</v>
      </c>
      <c r="E2207" s="11" t="s">
        <v>19</v>
      </c>
      <c r="F2207" s="11" t="s">
        <v>8036</v>
      </c>
      <c r="G2207" s="11" t="s">
        <v>83</v>
      </c>
      <c r="H2207" s="11" t="s">
        <v>8036</v>
      </c>
      <c r="I2207" s="11" t="s">
        <v>8037</v>
      </c>
      <c r="J2207" s="12">
        <v>0.44009999999999999</v>
      </c>
      <c r="K2207" s="13">
        <v>3</v>
      </c>
      <c r="L2207" s="14">
        <v>484</v>
      </c>
      <c r="M2207" s="10">
        <v>213</v>
      </c>
      <c r="N2207" s="10">
        <v>53483</v>
      </c>
      <c r="O2207" s="10">
        <v>16703</v>
      </c>
      <c r="P2207" s="10">
        <v>70186</v>
      </c>
    </row>
    <row r="2208" spans="1:16" ht="27" customHeight="1" x14ac:dyDescent="0.2">
      <c r="A2208" s="9" t="s">
        <v>8015</v>
      </c>
      <c r="B2208" s="10" t="s">
        <v>8038</v>
      </c>
      <c r="C2208" s="11" t="s">
        <v>18</v>
      </c>
      <c r="D2208" s="11" t="s">
        <v>19</v>
      </c>
      <c r="E2208" s="11" t="s">
        <v>19</v>
      </c>
      <c r="F2208" s="11" t="s">
        <v>8039</v>
      </c>
      <c r="G2208" s="11" t="s">
        <v>83</v>
      </c>
      <c r="H2208" s="11" t="s">
        <v>8039</v>
      </c>
      <c r="I2208" s="11" t="s">
        <v>8040</v>
      </c>
      <c r="J2208" s="12">
        <v>0.55769999999999997</v>
      </c>
      <c r="K2208" s="13">
        <v>2</v>
      </c>
      <c r="L2208" s="14">
        <v>416</v>
      </c>
      <c r="M2208" s="10">
        <v>232</v>
      </c>
      <c r="N2208" s="10">
        <v>45969</v>
      </c>
      <c r="O2208" s="10">
        <v>18193</v>
      </c>
      <c r="P2208" s="10">
        <v>64162</v>
      </c>
    </row>
    <row r="2209" spans="1:16" ht="27" customHeight="1" x14ac:dyDescent="0.2">
      <c r="A2209" s="9" t="s">
        <v>8015</v>
      </c>
      <c r="B2209" s="10" t="s">
        <v>8041</v>
      </c>
      <c r="C2209" s="11" t="s">
        <v>18</v>
      </c>
      <c r="D2209" s="11" t="s">
        <v>19</v>
      </c>
      <c r="E2209" s="11" t="s">
        <v>19</v>
      </c>
      <c r="F2209" s="11" t="s">
        <v>8042</v>
      </c>
      <c r="G2209" s="11" t="s">
        <v>83</v>
      </c>
      <c r="H2209" s="11" t="s">
        <v>8018</v>
      </c>
      <c r="I2209" s="11" t="s">
        <v>8019</v>
      </c>
      <c r="J2209" s="12">
        <v>0.75429999999999997</v>
      </c>
      <c r="K2209" s="13">
        <v>6</v>
      </c>
      <c r="L2209" s="14">
        <v>473</v>
      </c>
      <c r="M2209" s="10">
        <v>231</v>
      </c>
      <c r="N2209" s="10">
        <v>52268</v>
      </c>
      <c r="O2209" s="10">
        <v>18115</v>
      </c>
      <c r="P2209" s="10">
        <v>70383</v>
      </c>
    </row>
    <row r="2210" spans="1:16" ht="27" customHeight="1" x14ac:dyDescent="0.2">
      <c r="A2210" s="9" t="s">
        <v>8015</v>
      </c>
      <c r="B2210" s="10" t="s">
        <v>8041</v>
      </c>
      <c r="C2210" s="11" t="s">
        <v>8043</v>
      </c>
      <c r="D2210" s="11" t="s">
        <v>8044</v>
      </c>
      <c r="E2210" s="11" t="s">
        <v>26</v>
      </c>
      <c r="F2210" s="11" t="s">
        <v>8045</v>
      </c>
      <c r="G2210" s="11" t="s">
        <v>28</v>
      </c>
      <c r="H2210" s="11" t="s">
        <v>8045</v>
      </c>
      <c r="I2210" s="11" t="s">
        <v>8046</v>
      </c>
      <c r="J2210" s="12">
        <v>0.42309999999999998</v>
      </c>
      <c r="K2210" s="13">
        <v>1</v>
      </c>
      <c r="L2210" s="14">
        <v>416</v>
      </c>
      <c r="M2210" s="10">
        <v>176</v>
      </c>
      <c r="N2210" s="10">
        <v>45969</v>
      </c>
      <c r="O2210" s="10">
        <v>13802</v>
      </c>
      <c r="P2210" s="10">
        <v>59771</v>
      </c>
    </row>
    <row r="2211" spans="1:16" ht="27" customHeight="1" x14ac:dyDescent="0.2">
      <c r="A2211" s="9" t="s">
        <v>8015</v>
      </c>
      <c r="B2211" s="10" t="s">
        <v>8041</v>
      </c>
      <c r="C2211" s="11" t="s">
        <v>8047</v>
      </c>
      <c r="D2211" s="11" t="s">
        <v>8048</v>
      </c>
      <c r="E2211" s="11" t="s">
        <v>57</v>
      </c>
      <c r="F2211" s="11" t="s">
        <v>8049</v>
      </c>
      <c r="G2211" s="11" t="s">
        <v>28</v>
      </c>
      <c r="H2211" s="11" t="s">
        <v>8018</v>
      </c>
      <c r="I2211" s="11" t="s">
        <v>8019</v>
      </c>
      <c r="J2211" s="12">
        <v>0.75429999999999997</v>
      </c>
      <c r="K2211" s="13">
        <v>1</v>
      </c>
      <c r="L2211" s="14">
        <v>194</v>
      </c>
      <c r="M2211" s="10">
        <v>74</v>
      </c>
      <c r="N2211" s="10">
        <v>21437</v>
      </c>
      <c r="O2211" s="10">
        <v>5803</v>
      </c>
      <c r="P2211" s="10">
        <v>27240</v>
      </c>
    </row>
    <row r="2212" spans="1:16" ht="27" customHeight="1" x14ac:dyDescent="0.2">
      <c r="A2212" s="9" t="s">
        <v>8015</v>
      </c>
      <c r="B2212" s="10" t="s">
        <v>8050</v>
      </c>
      <c r="C2212" s="11" t="s">
        <v>18</v>
      </c>
      <c r="D2212" s="11" t="s">
        <v>19</v>
      </c>
      <c r="E2212" s="11" t="s">
        <v>19</v>
      </c>
      <c r="F2212" s="11" t="s">
        <v>8051</v>
      </c>
      <c r="G2212" s="11" t="s">
        <v>83</v>
      </c>
      <c r="H2212" s="11" t="s">
        <v>8051</v>
      </c>
      <c r="I2212" s="11" t="s">
        <v>8052</v>
      </c>
      <c r="J2212" s="12">
        <v>0.55910000000000004</v>
      </c>
      <c r="K2212" s="13">
        <v>3</v>
      </c>
      <c r="L2212" s="14">
        <v>255</v>
      </c>
      <c r="M2212" s="10">
        <v>143</v>
      </c>
      <c r="N2212" s="10">
        <v>28178</v>
      </c>
      <c r="O2212" s="10">
        <v>11214</v>
      </c>
      <c r="P2212" s="10">
        <v>39392</v>
      </c>
    </row>
    <row r="2213" spans="1:16" ht="27" customHeight="1" x14ac:dyDescent="0.2">
      <c r="A2213" s="9" t="s">
        <v>8015</v>
      </c>
      <c r="B2213" s="10" t="s">
        <v>8053</v>
      </c>
      <c r="C2213" s="11" t="s">
        <v>18</v>
      </c>
      <c r="D2213" s="11" t="s">
        <v>19</v>
      </c>
      <c r="E2213" s="11" t="s">
        <v>19</v>
      </c>
      <c r="F2213" s="11" t="s">
        <v>8054</v>
      </c>
      <c r="G2213" s="11" t="s">
        <v>83</v>
      </c>
      <c r="H2213" s="11" t="s">
        <v>8055</v>
      </c>
      <c r="I2213" s="11" t="s">
        <v>8056</v>
      </c>
      <c r="J2213" s="12">
        <v>0.58099999999999996</v>
      </c>
      <c r="K2213" s="13">
        <v>4</v>
      </c>
      <c r="L2213" s="14">
        <v>276</v>
      </c>
      <c r="M2213" s="10">
        <v>136</v>
      </c>
      <c r="N2213" s="10">
        <v>30499</v>
      </c>
      <c r="O2213" s="10">
        <v>10665</v>
      </c>
      <c r="P2213" s="10">
        <v>41164</v>
      </c>
    </row>
    <row r="2214" spans="1:16" ht="27" customHeight="1" x14ac:dyDescent="0.2">
      <c r="A2214" s="9" t="s">
        <v>8057</v>
      </c>
      <c r="B2214" s="10" t="s">
        <v>8058</v>
      </c>
      <c r="C2214" s="11" t="s">
        <v>18</v>
      </c>
      <c r="D2214" s="11" t="s">
        <v>19</v>
      </c>
      <c r="E2214" s="11" t="s">
        <v>19</v>
      </c>
      <c r="F2214" s="11" t="s">
        <v>8059</v>
      </c>
      <c r="G2214" s="11" t="s">
        <v>21</v>
      </c>
      <c r="H2214" s="11" t="s">
        <v>8060</v>
      </c>
      <c r="I2214" s="11" t="s">
        <v>8061</v>
      </c>
      <c r="J2214" s="12">
        <v>0.96970000000000001</v>
      </c>
      <c r="K2214" s="13">
        <v>6</v>
      </c>
      <c r="L2214" s="14">
        <v>658</v>
      </c>
      <c r="M2214" s="10">
        <v>322</v>
      </c>
      <c r="N2214" s="10">
        <v>72711</v>
      </c>
      <c r="O2214" s="10">
        <v>25251</v>
      </c>
      <c r="P2214" s="10">
        <v>97962</v>
      </c>
    </row>
    <row r="2215" spans="1:16" ht="27" customHeight="1" x14ac:dyDescent="0.2">
      <c r="A2215" s="9" t="s">
        <v>8057</v>
      </c>
      <c r="B2215" s="10" t="s">
        <v>8058</v>
      </c>
      <c r="C2215" s="11" t="s">
        <v>8062</v>
      </c>
      <c r="D2215" s="11" t="s">
        <v>8063</v>
      </c>
      <c r="E2215" s="11" t="s">
        <v>26</v>
      </c>
      <c r="F2215" s="11" t="s">
        <v>8064</v>
      </c>
      <c r="G2215" s="11" t="s">
        <v>28</v>
      </c>
      <c r="H2215" s="11" t="s">
        <v>8060</v>
      </c>
      <c r="I2215" s="11" t="s">
        <v>8061</v>
      </c>
      <c r="J2215" s="12">
        <v>0.96970000000000001</v>
      </c>
      <c r="K2215" s="13">
        <v>1</v>
      </c>
      <c r="L2215" s="14">
        <v>1311</v>
      </c>
      <c r="M2215" s="10">
        <v>1051</v>
      </c>
      <c r="N2215" s="10">
        <v>144868</v>
      </c>
      <c r="O2215" s="10">
        <v>82418</v>
      </c>
      <c r="P2215" s="10">
        <v>227286</v>
      </c>
    </row>
    <row r="2216" spans="1:16" ht="27" customHeight="1" x14ac:dyDescent="0.2">
      <c r="A2216" s="9" t="s">
        <v>8057</v>
      </c>
      <c r="B2216" s="10" t="s">
        <v>8058</v>
      </c>
      <c r="C2216" s="11" t="s">
        <v>8065</v>
      </c>
      <c r="D2216" s="11" t="s">
        <v>8066</v>
      </c>
      <c r="E2216" s="11" t="s">
        <v>26</v>
      </c>
      <c r="F2216" s="11" t="s">
        <v>8067</v>
      </c>
      <c r="G2216" s="11" t="s">
        <v>28</v>
      </c>
      <c r="H2216" s="11" t="s">
        <v>8067</v>
      </c>
      <c r="I2216" s="11" t="s">
        <v>8068</v>
      </c>
      <c r="J2216" s="12">
        <v>0.35270000000000001</v>
      </c>
      <c r="K2216" s="13">
        <v>1</v>
      </c>
      <c r="L2216" s="14">
        <v>431</v>
      </c>
      <c r="M2216" s="10">
        <v>152</v>
      </c>
      <c r="N2216" s="10">
        <v>47626</v>
      </c>
      <c r="O2216" s="10">
        <v>11920</v>
      </c>
      <c r="P2216" s="10">
        <v>59546</v>
      </c>
    </row>
    <row r="2217" spans="1:16" ht="27" customHeight="1" x14ac:dyDescent="0.2">
      <c r="A2217" s="9" t="s">
        <v>8057</v>
      </c>
      <c r="B2217" s="10" t="s">
        <v>8058</v>
      </c>
      <c r="C2217" s="11" t="s">
        <v>8069</v>
      </c>
      <c r="D2217" s="11" t="s">
        <v>8070</v>
      </c>
      <c r="E2217" s="11" t="s">
        <v>26</v>
      </c>
      <c r="F2217" s="11" t="s">
        <v>8071</v>
      </c>
      <c r="G2217" s="11" t="s">
        <v>28</v>
      </c>
      <c r="H2217" s="11" t="s">
        <v>8071</v>
      </c>
      <c r="I2217" s="11" t="s">
        <v>8072</v>
      </c>
      <c r="J2217" s="12">
        <v>0.18229999999999999</v>
      </c>
      <c r="K2217" s="13">
        <v>1</v>
      </c>
      <c r="L2217" s="14">
        <v>351</v>
      </c>
      <c r="M2217" s="10">
        <v>64</v>
      </c>
      <c r="N2217" s="10">
        <v>38786</v>
      </c>
      <c r="O2217" s="10">
        <v>5019</v>
      </c>
      <c r="P2217" s="10">
        <v>43805</v>
      </c>
    </row>
    <row r="2218" spans="1:16" ht="27" customHeight="1" x14ac:dyDescent="0.2">
      <c r="A2218" s="9" t="s">
        <v>8057</v>
      </c>
      <c r="B2218" s="10" t="s">
        <v>8058</v>
      </c>
      <c r="C2218" s="11" t="s">
        <v>8073</v>
      </c>
      <c r="D2218" s="11" t="s">
        <v>8074</v>
      </c>
      <c r="E2218" s="11" t="s">
        <v>26</v>
      </c>
      <c r="F2218" s="11" t="s">
        <v>8075</v>
      </c>
      <c r="G2218" s="11" t="s">
        <v>28</v>
      </c>
      <c r="H2218" s="11" t="s">
        <v>8075</v>
      </c>
      <c r="I2218" s="11" t="s">
        <v>8076</v>
      </c>
      <c r="J2218" s="12">
        <v>0.24479999999999999</v>
      </c>
      <c r="K2218" s="13">
        <v>1</v>
      </c>
      <c r="L2218" s="14">
        <v>339</v>
      </c>
      <c r="M2218" s="10">
        <v>83</v>
      </c>
      <c r="N2218" s="10">
        <v>37460</v>
      </c>
      <c r="O2218" s="10">
        <v>6509</v>
      </c>
      <c r="P2218" s="10">
        <v>43969</v>
      </c>
    </row>
    <row r="2219" spans="1:16" ht="27" customHeight="1" x14ac:dyDescent="0.2">
      <c r="A2219" s="9" t="s">
        <v>8057</v>
      </c>
      <c r="B2219" s="10" t="s">
        <v>8058</v>
      </c>
      <c r="C2219" s="11" t="s">
        <v>8077</v>
      </c>
      <c r="D2219" s="11" t="s">
        <v>8078</v>
      </c>
      <c r="E2219" s="11" t="s">
        <v>26</v>
      </c>
      <c r="F2219" s="11" t="s">
        <v>8079</v>
      </c>
      <c r="G2219" s="11" t="s">
        <v>28</v>
      </c>
      <c r="H2219" s="11" t="s">
        <v>8079</v>
      </c>
      <c r="I2219" s="11" t="s">
        <v>8080</v>
      </c>
      <c r="J2219" s="12">
        <v>5.3699999999999998E-2</v>
      </c>
      <c r="K2219" s="13">
        <v>1</v>
      </c>
      <c r="L2219" s="14">
        <v>410</v>
      </c>
      <c r="M2219" s="10">
        <v>22</v>
      </c>
      <c r="N2219" s="10">
        <v>45306</v>
      </c>
      <c r="O2219" s="10">
        <v>1725</v>
      </c>
      <c r="P2219" s="10">
        <v>47031</v>
      </c>
    </row>
    <row r="2220" spans="1:16" ht="27" customHeight="1" x14ac:dyDescent="0.2">
      <c r="A2220" s="9" t="s">
        <v>8057</v>
      </c>
      <c r="B2220" s="10" t="s">
        <v>8081</v>
      </c>
      <c r="C2220" s="11" t="s">
        <v>18</v>
      </c>
      <c r="D2220" s="11" t="s">
        <v>19</v>
      </c>
      <c r="E2220" s="11" t="s">
        <v>19</v>
      </c>
      <c r="F2220" s="11" t="s">
        <v>8082</v>
      </c>
      <c r="G2220" s="11" t="s">
        <v>83</v>
      </c>
      <c r="H2220" s="11" t="s">
        <v>8083</v>
      </c>
      <c r="I2220" s="11" t="s">
        <v>8084</v>
      </c>
      <c r="J2220" s="12">
        <v>0.67479999999999996</v>
      </c>
      <c r="K2220" s="13">
        <v>3</v>
      </c>
      <c r="L2220" s="14">
        <v>474</v>
      </c>
      <c r="M2220" s="10">
        <v>316</v>
      </c>
      <c r="N2220" s="10">
        <v>52378</v>
      </c>
      <c r="O2220" s="10">
        <v>24780</v>
      </c>
      <c r="P2220" s="10">
        <v>77158</v>
      </c>
    </row>
    <row r="2221" spans="1:16" ht="27" customHeight="1" x14ac:dyDescent="0.2">
      <c r="A2221" s="9" t="s">
        <v>8057</v>
      </c>
      <c r="B2221" s="10" t="s">
        <v>8085</v>
      </c>
      <c r="C2221" s="11" t="s">
        <v>18</v>
      </c>
      <c r="D2221" s="11" t="s">
        <v>19</v>
      </c>
      <c r="E2221" s="11" t="s">
        <v>19</v>
      </c>
      <c r="F2221" s="11" t="s">
        <v>8086</v>
      </c>
      <c r="G2221" s="11" t="s">
        <v>83</v>
      </c>
      <c r="H2221" s="11" t="s">
        <v>8087</v>
      </c>
      <c r="I2221" s="11" t="s">
        <v>8088</v>
      </c>
      <c r="J2221" s="12">
        <v>0.84619999999999995</v>
      </c>
      <c r="K2221" s="13">
        <v>10</v>
      </c>
      <c r="L2221" s="14">
        <v>3974</v>
      </c>
      <c r="M2221" s="10">
        <v>3104</v>
      </c>
      <c r="N2221" s="10">
        <v>439133</v>
      </c>
      <c r="O2221" s="10">
        <v>243412</v>
      </c>
      <c r="P2221" s="10">
        <v>682545</v>
      </c>
    </row>
    <row r="2222" spans="1:16" ht="27" customHeight="1" x14ac:dyDescent="0.2">
      <c r="A2222" s="9" t="s">
        <v>8057</v>
      </c>
      <c r="B2222" s="10" t="s">
        <v>8089</v>
      </c>
      <c r="C2222" s="11" t="s">
        <v>18</v>
      </c>
      <c r="D2222" s="11" t="s">
        <v>19</v>
      </c>
      <c r="E2222" s="11" t="s">
        <v>19</v>
      </c>
      <c r="F2222" s="11" t="s">
        <v>8090</v>
      </c>
      <c r="G2222" s="11" t="s">
        <v>83</v>
      </c>
      <c r="H2222" s="11" t="s">
        <v>8060</v>
      </c>
      <c r="I2222" s="11" t="s">
        <v>8061</v>
      </c>
      <c r="J2222" s="12">
        <v>0.96970000000000001</v>
      </c>
      <c r="K2222" s="13">
        <v>12</v>
      </c>
      <c r="L2222" s="14">
        <v>7254</v>
      </c>
      <c r="M2222" s="10">
        <v>6012</v>
      </c>
      <c r="N2222" s="10">
        <v>801578</v>
      </c>
      <c r="O2222" s="10">
        <v>471457</v>
      </c>
      <c r="P2222" s="10">
        <v>1273035</v>
      </c>
    </row>
    <row r="2223" spans="1:16" ht="27" customHeight="1" x14ac:dyDescent="0.2">
      <c r="A2223" s="9" t="s">
        <v>8057</v>
      </c>
      <c r="B2223" s="10" t="s">
        <v>8091</v>
      </c>
      <c r="C2223" s="11" t="s">
        <v>18</v>
      </c>
      <c r="D2223" s="11" t="s">
        <v>19</v>
      </c>
      <c r="E2223" s="11" t="s">
        <v>19</v>
      </c>
      <c r="F2223" s="11" t="s">
        <v>8092</v>
      </c>
      <c r="G2223" s="11" t="s">
        <v>83</v>
      </c>
      <c r="H2223" s="11" t="s">
        <v>8093</v>
      </c>
      <c r="I2223" s="11" t="s">
        <v>8094</v>
      </c>
      <c r="J2223" s="12">
        <v>0.3599</v>
      </c>
      <c r="K2223" s="13">
        <v>2</v>
      </c>
      <c r="L2223" s="14">
        <v>567</v>
      </c>
      <c r="M2223" s="10">
        <v>204</v>
      </c>
      <c r="N2223" s="10">
        <v>62654</v>
      </c>
      <c r="O2223" s="10">
        <v>15997</v>
      </c>
      <c r="P2223" s="10">
        <v>78651</v>
      </c>
    </row>
    <row r="2224" spans="1:16" ht="27" customHeight="1" x14ac:dyDescent="0.2">
      <c r="A2224" s="9" t="s">
        <v>8057</v>
      </c>
      <c r="B2224" s="10" t="s">
        <v>8091</v>
      </c>
      <c r="C2224" s="11" t="s">
        <v>8095</v>
      </c>
      <c r="D2224" s="11" t="s">
        <v>8096</v>
      </c>
      <c r="E2224" s="11" t="s">
        <v>26</v>
      </c>
      <c r="F2224" s="11" t="s">
        <v>8097</v>
      </c>
      <c r="G2224" s="11" t="s">
        <v>28</v>
      </c>
      <c r="H2224" s="11" t="s">
        <v>8097</v>
      </c>
      <c r="I2224" s="11" t="s">
        <v>8098</v>
      </c>
      <c r="J2224" s="12">
        <v>0.30980000000000002</v>
      </c>
      <c r="K2224" s="13">
        <v>1</v>
      </c>
      <c r="L2224" s="14">
        <v>439</v>
      </c>
      <c r="M2224" s="10">
        <v>136</v>
      </c>
      <c r="N2224" s="10">
        <v>48510</v>
      </c>
      <c r="O2224" s="10">
        <v>10665</v>
      </c>
      <c r="P2224" s="10">
        <v>59175</v>
      </c>
    </row>
    <row r="2225" spans="1:16" ht="27" customHeight="1" x14ac:dyDescent="0.2">
      <c r="A2225" s="9" t="s">
        <v>8057</v>
      </c>
      <c r="B2225" s="10" t="s">
        <v>8099</v>
      </c>
      <c r="C2225" s="11" t="s">
        <v>18</v>
      </c>
      <c r="D2225" s="11" t="s">
        <v>19</v>
      </c>
      <c r="E2225" s="11" t="s">
        <v>19</v>
      </c>
      <c r="F2225" s="11" t="s">
        <v>8100</v>
      </c>
      <c r="G2225" s="11" t="s">
        <v>83</v>
      </c>
      <c r="H2225" s="11" t="s">
        <v>8100</v>
      </c>
      <c r="I2225" s="11" t="s">
        <v>8101</v>
      </c>
      <c r="J2225" s="12">
        <v>0.46960000000000002</v>
      </c>
      <c r="K2225" s="13">
        <v>2</v>
      </c>
      <c r="L2225" s="14">
        <v>182</v>
      </c>
      <c r="M2225" s="10">
        <v>85</v>
      </c>
      <c r="N2225" s="10">
        <v>20111</v>
      </c>
      <c r="O2225" s="10">
        <v>6666</v>
      </c>
      <c r="P2225" s="10">
        <v>26777</v>
      </c>
    </row>
    <row r="2226" spans="1:16" ht="27" customHeight="1" x14ac:dyDescent="0.2">
      <c r="A2226" s="9" t="s">
        <v>8057</v>
      </c>
      <c r="B2226" s="10" t="s">
        <v>8102</v>
      </c>
      <c r="C2226" s="11" t="s">
        <v>18</v>
      </c>
      <c r="D2226" s="11" t="s">
        <v>19</v>
      </c>
      <c r="E2226" s="11" t="s">
        <v>19</v>
      </c>
      <c r="F2226" s="11" t="s">
        <v>4095</v>
      </c>
      <c r="G2226" s="11" t="s">
        <v>83</v>
      </c>
      <c r="H2226" s="11" t="s">
        <v>8103</v>
      </c>
      <c r="I2226" s="11" t="s">
        <v>8104</v>
      </c>
      <c r="J2226" s="12">
        <v>0.79620000000000002</v>
      </c>
      <c r="K2226" s="13">
        <v>6</v>
      </c>
      <c r="L2226" s="14">
        <v>2274</v>
      </c>
      <c r="M2226" s="10">
        <v>1612</v>
      </c>
      <c r="N2226" s="10">
        <v>251281</v>
      </c>
      <c r="O2226" s="10">
        <v>126411</v>
      </c>
      <c r="P2226" s="10">
        <v>377692</v>
      </c>
    </row>
    <row r="2227" spans="1:16" ht="27" customHeight="1" x14ac:dyDescent="0.2">
      <c r="A2227" s="9" t="s">
        <v>8057</v>
      </c>
      <c r="B2227" s="10" t="s">
        <v>8105</v>
      </c>
      <c r="C2227" s="11" t="s">
        <v>18</v>
      </c>
      <c r="D2227" s="11" t="s">
        <v>19</v>
      </c>
      <c r="E2227" s="11" t="s">
        <v>19</v>
      </c>
      <c r="F2227" s="11" t="s">
        <v>8106</v>
      </c>
      <c r="G2227" s="11" t="s">
        <v>83</v>
      </c>
      <c r="H2227" s="11" t="s">
        <v>8107</v>
      </c>
      <c r="I2227" s="11" t="s">
        <v>8108</v>
      </c>
      <c r="J2227" s="12">
        <v>0.48549999999999999</v>
      </c>
      <c r="K2227" s="13">
        <v>9</v>
      </c>
      <c r="L2227" s="14">
        <v>2088</v>
      </c>
      <c r="M2227" s="10">
        <v>868</v>
      </c>
      <c r="N2227" s="10">
        <v>230729</v>
      </c>
      <c r="O2227" s="10">
        <v>68066</v>
      </c>
      <c r="P2227" s="10">
        <v>298795</v>
      </c>
    </row>
    <row r="2228" spans="1:16" ht="27" customHeight="1" x14ac:dyDescent="0.2">
      <c r="A2228" s="9" t="s">
        <v>8057</v>
      </c>
      <c r="B2228" s="10" t="s">
        <v>8105</v>
      </c>
      <c r="C2228" s="11" t="s">
        <v>8109</v>
      </c>
      <c r="D2228" s="11" t="s">
        <v>8110</v>
      </c>
      <c r="E2228" s="11" t="s">
        <v>26</v>
      </c>
      <c r="F2228" s="11" t="s">
        <v>8111</v>
      </c>
      <c r="G2228" s="11" t="s">
        <v>28</v>
      </c>
      <c r="H2228" s="11" t="s">
        <v>8111</v>
      </c>
      <c r="I2228" s="11" t="s">
        <v>8112</v>
      </c>
      <c r="J2228" s="12">
        <v>0.3</v>
      </c>
      <c r="K2228" s="13">
        <v>1</v>
      </c>
      <c r="L2228" s="14">
        <v>50</v>
      </c>
      <c r="M2228" s="10">
        <v>15</v>
      </c>
      <c r="N2228" s="10">
        <v>5525</v>
      </c>
      <c r="O2228" s="10">
        <v>1176</v>
      </c>
      <c r="P2228" s="10">
        <v>6701</v>
      </c>
    </row>
    <row r="2229" spans="1:16" ht="27" customHeight="1" x14ac:dyDescent="0.2">
      <c r="A2229" s="9" t="s">
        <v>8057</v>
      </c>
      <c r="B2229" s="10" t="s">
        <v>8113</v>
      </c>
      <c r="C2229" s="11" t="s">
        <v>18</v>
      </c>
      <c r="D2229" s="11" t="s">
        <v>19</v>
      </c>
      <c r="E2229" s="11" t="s">
        <v>19</v>
      </c>
      <c r="F2229" s="11" t="s">
        <v>8114</v>
      </c>
      <c r="G2229" s="11" t="s">
        <v>83</v>
      </c>
      <c r="H2229" s="11" t="s">
        <v>8115</v>
      </c>
      <c r="I2229" s="11" t="s">
        <v>8116</v>
      </c>
      <c r="J2229" s="12">
        <v>0.96740000000000004</v>
      </c>
      <c r="K2229" s="13">
        <v>22</v>
      </c>
      <c r="L2229" s="14">
        <v>14319</v>
      </c>
      <c r="M2229" s="10">
        <v>12722</v>
      </c>
      <c r="N2229" s="10">
        <v>1582274</v>
      </c>
      <c r="O2229" s="10">
        <v>997649</v>
      </c>
      <c r="P2229" s="10">
        <v>2579923</v>
      </c>
    </row>
    <row r="2230" spans="1:16" ht="27" customHeight="1" x14ac:dyDescent="0.2">
      <c r="A2230" s="9" t="s">
        <v>8057</v>
      </c>
      <c r="B2230" s="10" t="s">
        <v>8117</v>
      </c>
      <c r="C2230" s="11" t="s">
        <v>18</v>
      </c>
      <c r="D2230" s="11" t="s">
        <v>19</v>
      </c>
      <c r="E2230" s="11" t="s">
        <v>19</v>
      </c>
      <c r="F2230" s="11" t="s">
        <v>8118</v>
      </c>
      <c r="G2230" s="11" t="s">
        <v>83</v>
      </c>
      <c r="H2230" s="11" t="s">
        <v>8060</v>
      </c>
      <c r="I2230" s="11" t="s">
        <v>8061</v>
      </c>
      <c r="J2230" s="12">
        <v>0.96970000000000001</v>
      </c>
      <c r="K2230" s="13">
        <v>13</v>
      </c>
      <c r="L2230" s="14">
        <v>16910</v>
      </c>
      <c r="M2230" s="10">
        <v>11063</v>
      </c>
      <c r="N2230" s="10">
        <v>1868583</v>
      </c>
      <c r="O2230" s="10">
        <v>867549</v>
      </c>
      <c r="P2230" s="10">
        <v>2736132</v>
      </c>
    </row>
    <row r="2231" spans="1:16" ht="27" customHeight="1" x14ac:dyDescent="0.2">
      <c r="A2231" s="9" t="s">
        <v>8057</v>
      </c>
      <c r="B2231" s="10" t="s">
        <v>8117</v>
      </c>
      <c r="C2231" s="11" t="s">
        <v>8119</v>
      </c>
      <c r="D2231" s="11" t="s">
        <v>8120</v>
      </c>
      <c r="E2231" s="11" t="s">
        <v>26</v>
      </c>
      <c r="F2231" s="11" t="s">
        <v>8121</v>
      </c>
      <c r="G2231" s="11" t="s">
        <v>28</v>
      </c>
      <c r="H2231" s="11" t="s">
        <v>8121</v>
      </c>
      <c r="I2231" s="11" t="s">
        <v>8122</v>
      </c>
      <c r="J2231" s="12">
        <v>0.21440000000000001</v>
      </c>
      <c r="K2231" s="13">
        <v>1</v>
      </c>
      <c r="L2231" s="14">
        <v>583</v>
      </c>
      <c r="M2231" s="10">
        <v>125</v>
      </c>
      <c r="N2231" s="10">
        <v>64422</v>
      </c>
      <c r="O2231" s="10">
        <v>9802</v>
      </c>
      <c r="P2231" s="10">
        <v>74224</v>
      </c>
    </row>
    <row r="2232" spans="1:16" ht="27" customHeight="1" x14ac:dyDescent="0.2">
      <c r="A2232" s="9" t="s">
        <v>8057</v>
      </c>
      <c r="B2232" s="10" t="s">
        <v>8117</v>
      </c>
      <c r="C2232" s="11" t="s">
        <v>8123</v>
      </c>
      <c r="D2232" s="11" t="s">
        <v>8124</v>
      </c>
      <c r="E2232" s="11" t="s">
        <v>26</v>
      </c>
      <c r="F2232" s="11" t="s">
        <v>8125</v>
      </c>
      <c r="G2232" s="11" t="s">
        <v>28</v>
      </c>
      <c r="H2232" s="11" t="s">
        <v>8060</v>
      </c>
      <c r="I2232" s="11" t="s">
        <v>8061</v>
      </c>
      <c r="J2232" s="12">
        <v>0.96970000000000001</v>
      </c>
      <c r="K2232" s="13">
        <v>1</v>
      </c>
      <c r="L2232" s="14">
        <v>249</v>
      </c>
      <c r="M2232" s="10">
        <v>105</v>
      </c>
      <c r="N2232" s="10">
        <v>27515</v>
      </c>
      <c r="O2232" s="10">
        <v>8234</v>
      </c>
      <c r="P2232" s="10">
        <v>35749</v>
      </c>
    </row>
    <row r="2233" spans="1:16" ht="27" customHeight="1" x14ac:dyDescent="0.2">
      <c r="A2233" s="9" t="s">
        <v>8057</v>
      </c>
      <c r="B2233" s="10" t="s">
        <v>8126</v>
      </c>
      <c r="C2233" s="11" t="s">
        <v>18</v>
      </c>
      <c r="D2233" s="11" t="s">
        <v>19</v>
      </c>
      <c r="E2233" s="11" t="s">
        <v>19</v>
      </c>
      <c r="F2233" s="11" t="s">
        <v>8127</v>
      </c>
      <c r="G2233" s="11" t="s">
        <v>83</v>
      </c>
      <c r="H2233" s="11" t="s">
        <v>8128</v>
      </c>
      <c r="I2233" s="11" t="s">
        <v>8129</v>
      </c>
      <c r="J2233" s="12">
        <v>0.57089999999999996</v>
      </c>
      <c r="K2233" s="13">
        <v>13</v>
      </c>
      <c r="L2233" s="14">
        <v>5939</v>
      </c>
      <c r="M2233" s="10">
        <v>1938</v>
      </c>
      <c r="N2233" s="10">
        <v>656269</v>
      </c>
      <c r="O2233" s="10">
        <v>151976</v>
      </c>
      <c r="P2233" s="10">
        <v>808245</v>
      </c>
    </row>
    <row r="2234" spans="1:16" ht="27" customHeight="1" x14ac:dyDescent="0.2">
      <c r="A2234" s="9" t="s">
        <v>8057</v>
      </c>
      <c r="B2234" s="10" t="s">
        <v>8126</v>
      </c>
      <c r="C2234" s="11" t="s">
        <v>8130</v>
      </c>
      <c r="D2234" s="11" t="s">
        <v>8131</v>
      </c>
      <c r="E2234" s="11" t="s">
        <v>26</v>
      </c>
      <c r="F2234" s="11" t="s">
        <v>8132</v>
      </c>
      <c r="G2234" s="11" t="s">
        <v>28</v>
      </c>
      <c r="H2234" s="11" t="s">
        <v>8132</v>
      </c>
      <c r="I2234" s="11" t="s">
        <v>8133</v>
      </c>
      <c r="J2234" s="12">
        <v>0.76329999999999998</v>
      </c>
      <c r="K2234" s="13">
        <v>1</v>
      </c>
      <c r="L2234" s="14">
        <v>300</v>
      </c>
      <c r="M2234" s="10">
        <v>229</v>
      </c>
      <c r="N2234" s="10">
        <v>33150</v>
      </c>
      <c r="O2234" s="10">
        <v>17958</v>
      </c>
      <c r="P2234" s="10">
        <v>51108</v>
      </c>
    </row>
    <row r="2235" spans="1:16" ht="27" customHeight="1" x14ac:dyDescent="0.2">
      <c r="A2235" s="9" t="s">
        <v>8057</v>
      </c>
      <c r="B2235" s="10" t="s">
        <v>8126</v>
      </c>
      <c r="C2235" s="11" t="s">
        <v>8134</v>
      </c>
      <c r="D2235" s="11" t="s">
        <v>8135</v>
      </c>
      <c r="E2235" s="11" t="s">
        <v>26</v>
      </c>
      <c r="F2235" s="11" t="s">
        <v>8136</v>
      </c>
      <c r="G2235" s="11" t="s">
        <v>28</v>
      </c>
      <c r="H2235" s="11" t="s">
        <v>8136</v>
      </c>
      <c r="I2235" s="11" t="s">
        <v>8137</v>
      </c>
      <c r="J2235" s="12">
        <v>0.42280000000000001</v>
      </c>
      <c r="K2235" s="13">
        <v>1</v>
      </c>
      <c r="L2235" s="14">
        <v>695</v>
      </c>
      <c r="M2235" s="10">
        <v>294</v>
      </c>
      <c r="N2235" s="10">
        <v>76799</v>
      </c>
      <c r="O2235" s="10">
        <v>23055</v>
      </c>
      <c r="P2235" s="10">
        <v>99854</v>
      </c>
    </row>
    <row r="2236" spans="1:16" ht="27" customHeight="1" x14ac:dyDescent="0.2">
      <c r="A2236" s="9" t="s">
        <v>8057</v>
      </c>
      <c r="B2236" s="10" t="s">
        <v>8138</v>
      </c>
      <c r="C2236" s="11" t="s">
        <v>18</v>
      </c>
      <c r="D2236" s="11" t="s">
        <v>19</v>
      </c>
      <c r="E2236" s="11" t="s">
        <v>19</v>
      </c>
      <c r="F2236" s="11" t="s">
        <v>8139</v>
      </c>
      <c r="G2236" s="11" t="s">
        <v>83</v>
      </c>
      <c r="H2236" s="11" t="s">
        <v>8140</v>
      </c>
      <c r="I2236" s="11" t="s">
        <v>8141</v>
      </c>
      <c r="J2236" s="12">
        <v>0.81610000000000005</v>
      </c>
      <c r="K2236" s="13">
        <v>10</v>
      </c>
      <c r="L2236" s="14">
        <v>5258</v>
      </c>
      <c r="M2236" s="10">
        <v>3161</v>
      </c>
      <c r="N2236" s="10">
        <v>581017</v>
      </c>
      <c r="O2236" s="10">
        <v>247882</v>
      </c>
      <c r="P2236" s="10">
        <v>828899</v>
      </c>
    </row>
    <row r="2237" spans="1:16" ht="27" customHeight="1" x14ac:dyDescent="0.2">
      <c r="A2237" s="9" t="s">
        <v>8057</v>
      </c>
      <c r="B2237" s="10" t="s">
        <v>8142</v>
      </c>
      <c r="C2237" s="11" t="s">
        <v>18</v>
      </c>
      <c r="D2237" s="11" t="s">
        <v>19</v>
      </c>
      <c r="E2237" s="11" t="s">
        <v>19</v>
      </c>
      <c r="F2237" s="11" t="s">
        <v>8143</v>
      </c>
      <c r="G2237" s="11" t="s">
        <v>83</v>
      </c>
      <c r="H2237" s="11" t="s">
        <v>8143</v>
      </c>
      <c r="I2237" s="11" t="s">
        <v>8144</v>
      </c>
      <c r="J2237" s="12">
        <v>0.1111</v>
      </c>
      <c r="K2237" s="13">
        <v>2</v>
      </c>
      <c r="L2237" s="14">
        <v>56</v>
      </c>
      <c r="M2237" s="10">
        <v>6</v>
      </c>
      <c r="N2237" s="10">
        <v>6188</v>
      </c>
      <c r="O2237" s="10">
        <v>471</v>
      </c>
      <c r="P2237" s="10">
        <v>6659</v>
      </c>
    </row>
    <row r="2238" spans="1:16" ht="27" customHeight="1" x14ac:dyDescent="0.2">
      <c r="A2238" s="9" t="s">
        <v>8057</v>
      </c>
      <c r="B2238" s="10" t="s">
        <v>8145</v>
      </c>
      <c r="C2238" s="11" t="s">
        <v>18</v>
      </c>
      <c r="D2238" s="11" t="s">
        <v>19</v>
      </c>
      <c r="E2238" s="11" t="s">
        <v>19</v>
      </c>
      <c r="F2238" s="11" t="s">
        <v>8146</v>
      </c>
      <c r="G2238" s="11" t="s">
        <v>83</v>
      </c>
      <c r="H2238" s="11" t="s">
        <v>8147</v>
      </c>
      <c r="I2238" s="11" t="s">
        <v>8148</v>
      </c>
      <c r="J2238" s="12">
        <v>0.83979999999999999</v>
      </c>
      <c r="K2238" s="13">
        <v>28</v>
      </c>
      <c r="L2238" s="14">
        <v>15944</v>
      </c>
      <c r="M2238" s="10">
        <v>6752</v>
      </c>
      <c r="N2238" s="10">
        <v>1761839</v>
      </c>
      <c r="O2238" s="10">
        <v>529483</v>
      </c>
      <c r="P2238" s="10">
        <v>2291322</v>
      </c>
    </row>
    <row r="2239" spans="1:16" ht="27" customHeight="1" x14ac:dyDescent="0.2">
      <c r="A2239" s="9" t="s">
        <v>8057</v>
      </c>
      <c r="B2239" s="10" t="s">
        <v>8149</v>
      </c>
      <c r="C2239" s="11" t="s">
        <v>18</v>
      </c>
      <c r="D2239" s="11" t="s">
        <v>19</v>
      </c>
      <c r="E2239" s="11" t="s">
        <v>19</v>
      </c>
      <c r="F2239" s="11" t="s">
        <v>8150</v>
      </c>
      <c r="G2239" s="11" t="s">
        <v>83</v>
      </c>
      <c r="H2239" s="11" t="s">
        <v>8151</v>
      </c>
      <c r="I2239" s="11" t="s">
        <v>8152</v>
      </c>
      <c r="J2239" s="12">
        <v>0.75829999999999997</v>
      </c>
      <c r="K2239" s="13">
        <v>2</v>
      </c>
      <c r="L2239" s="14">
        <v>241</v>
      </c>
      <c r="M2239" s="10">
        <v>183</v>
      </c>
      <c r="N2239" s="10">
        <v>26631</v>
      </c>
      <c r="O2239" s="10">
        <v>14351</v>
      </c>
      <c r="P2239" s="10">
        <v>40982</v>
      </c>
    </row>
    <row r="2240" spans="1:16" ht="27" customHeight="1" x14ac:dyDescent="0.2">
      <c r="A2240" s="9" t="s">
        <v>8057</v>
      </c>
      <c r="B2240" s="10" t="s">
        <v>8153</v>
      </c>
      <c r="C2240" s="11" t="s">
        <v>18</v>
      </c>
      <c r="D2240" s="11" t="s">
        <v>19</v>
      </c>
      <c r="E2240" s="11" t="s">
        <v>19</v>
      </c>
      <c r="F2240" s="11" t="s">
        <v>8154</v>
      </c>
      <c r="G2240" s="11" t="s">
        <v>83</v>
      </c>
      <c r="H2240" s="11" t="s">
        <v>8155</v>
      </c>
      <c r="I2240" s="11" t="s">
        <v>8156</v>
      </c>
      <c r="J2240" s="12">
        <v>0.93379999999999996</v>
      </c>
      <c r="K2240" s="13">
        <v>28</v>
      </c>
      <c r="L2240" s="14">
        <v>15325</v>
      </c>
      <c r="M2240" s="10">
        <v>8321</v>
      </c>
      <c r="N2240" s="10">
        <v>1693439</v>
      </c>
      <c r="O2240" s="10">
        <v>652521</v>
      </c>
      <c r="P2240" s="10">
        <v>2345960</v>
      </c>
    </row>
    <row r="2241" spans="1:16" ht="27" customHeight="1" x14ac:dyDescent="0.2">
      <c r="A2241" s="9" t="s">
        <v>8057</v>
      </c>
      <c r="B2241" s="10" t="s">
        <v>8157</v>
      </c>
      <c r="C2241" s="11" t="s">
        <v>18</v>
      </c>
      <c r="D2241" s="11" t="s">
        <v>19</v>
      </c>
      <c r="E2241" s="11" t="s">
        <v>19</v>
      </c>
      <c r="F2241" s="11" t="s">
        <v>8158</v>
      </c>
      <c r="G2241" s="11" t="s">
        <v>83</v>
      </c>
      <c r="H2241" s="11" t="s">
        <v>8159</v>
      </c>
      <c r="I2241" s="11" t="s">
        <v>8160</v>
      </c>
      <c r="J2241" s="12">
        <v>0.67510000000000003</v>
      </c>
      <c r="K2241" s="13">
        <v>28</v>
      </c>
      <c r="L2241" s="14">
        <v>16520</v>
      </c>
      <c r="M2241" s="10">
        <v>3909</v>
      </c>
      <c r="N2241" s="10">
        <v>1825485</v>
      </c>
      <c r="O2241" s="10">
        <v>306540</v>
      </c>
      <c r="P2241" s="10">
        <v>2132025</v>
      </c>
    </row>
    <row r="2242" spans="1:16" ht="27" customHeight="1" x14ac:dyDescent="0.2">
      <c r="A2242" s="9" t="s">
        <v>8057</v>
      </c>
      <c r="B2242" s="10" t="s">
        <v>8161</v>
      </c>
      <c r="C2242" s="11" t="s">
        <v>18</v>
      </c>
      <c r="D2242" s="11" t="s">
        <v>19</v>
      </c>
      <c r="E2242" s="11" t="s">
        <v>19</v>
      </c>
      <c r="F2242" s="11" t="s">
        <v>8162</v>
      </c>
      <c r="G2242" s="11" t="s">
        <v>83</v>
      </c>
      <c r="H2242" s="11" t="s">
        <v>8163</v>
      </c>
      <c r="I2242" s="11" t="s">
        <v>8164</v>
      </c>
      <c r="J2242" s="12">
        <v>0.1555</v>
      </c>
      <c r="K2242" s="13">
        <v>9</v>
      </c>
      <c r="L2242" s="14">
        <v>4244</v>
      </c>
      <c r="M2242" s="10">
        <v>612</v>
      </c>
      <c r="N2242" s="10">
        <v>468970</v>
      </c>
      <c r="O2242" s="10">
        <v>47992</v>
      </c>
      <c r="P2242" s="10">
        <v>516962</v>
      </c>
    </row>
    <row r="2243" spans="1:16" ht="27" customHeight="1" x14ac:dyDescent="0.2">
      <c r="A2243" s="9" t="s">
        <v>8057</v>
      </c>
      <c r="B2243" s="10" t="s">
        <v>8165</v>
      </c>
      <c r="C2243" s="11" t="s">
        <v>18</v>
      </c>
      <c r="D2243" s="11" t="s">
        <v>19</v>
      </c>
      <c r="E2243" s="11" t="s">
        <v>19</v>
      </c>
      <c r="F2243" s="11" t="s">
        <v>8166</v>
      </c>
      <c r="G2243" s="11" t="s">
        <v>83</v>
      </c>
      <c r="H2243" s="11" t="s">
        <v>8167</v>
      </c>
      <c r="I2243" s="11" t="s">
        <v>8168</v>
      </c>
      <c r="J2243" s="12">
        <v>0.41049999999999998</v>
      </c>
      <c r="K2243" s="13">
        <v>11</v>
      </c>
      <c r="L2243" s="14">
        <v>5954</v>
      </c>
      <c r="M2243" s="10">
        <v>1856</v>
      </c>
      <c r="N2243" s="10">
        <v>657927</v>
      </c>
      <c r="O2243" s="10">
        <v>145545</v>
      </c>
      <c r="P2243" s="10">
        <v>803472</v>
      </c>
    </row>
    <row r="2244" spans="1:16" ht="27" customHeight="1" x14ac:dyDescent="0.2">
      <c r="A2244" s="9" t="s">
        <v>8057</v>
      </c>
      <c r="B2244" s="10" t="s">
        <v>8165</v>
      </c>
      <c r="C2244" s="11" t="s">
        <v>8169</v>
      </c>
      <c r="D2244" s="11" t="s">
        <v>8170</v>
      </c>
      <c r="E2244" s="11" t="s">
        <v>26</v>
      </c>
      <c r="F2244" s="11" t="s">
        <v>8171</v>
      </c>
      <c r="G2244" s="11" t="s">
        <v>28</v>
      </c>
      <c r="H2244" s="11" t="s">
        <v>8060</v>
      </c>
      <c r="I2244" s="11" t="s">
        <v>8061</v>
      </c>
      <c r="J2244" s="12">
        <v>0.96970000000000001</v>
      </c>
      <c r="K2244" s="13">
        <v>1</v>
      </c>
      <c r="L2244" s="14">
        <v>71</v>
      </c>
      <c r="M2244" s="10">
        <v>18</v>
      </c>
      <c r="N2244" s="10">
        <v>7846</v>
      </c>
      <c r="O2244" s="10">
        <v>1412</v>
      </c>
      <c r="P2244" s="10">
        <v>9258</v>
      </c>
    </row>
    <row r="2245" spans="1:16" ht="27" customHeight="1" x14ac:dyDescent="0.2">
      <c r="A2245" s="9" t="s">
        <v>8057</v>
      </c>
      <c r="B2245" s="10" t="s">
        <v>8172</v>
      </c>
      <c r="C2245" s="11" t="s">
        <v>18</v>
      </c>
      <c r="D2245" s="11" t="s">
        <v>19</v>
      </c>
      <c r="E2245" s="11" t="s">
        <v>19</v>
      </c>
      <c r="F2245" s="11" t="s">
        <v>8173</v>
      </c>
      <c r="G2245" s="11" t="s">
        <v>83</v>
      </c>
      <c r="H2245" s="11" t="s">
        <v>8174</v>
      </c>
      <c r="I2245" s="11" t="s">
        <v>8175</v>
      </c>
      <c r="J2245" s="12">
        <v>0.91969999999999996</v>
      </c>
      <c r="K2245" s="13">
        <v>11</v>
      </c>
      <c r="L2245" s="14">
        <v>4901</v>
      </c>
      <c r="M2245" s="10">
        <v>3595</v>
      </c>
      <c r="N2245" s="10">
        <v>541568</v>
      </c>
      <c r="O2245" s="10">
        <v>281916</v>
      </c>
      <c r="P2245" s="10">
        <v>823484</v>
      </c>
    </row>
    <row r="2246" spans="1:16" ht="27" customHeight="1" x14ac:dyDescent="0.2">
      <c r="A2246" s="9" t="s">
        <v>8176</v>
      </c>
      <c r="B2246" s="10" t="s">
        <v>8177</v>
      </c>
      <c r="C2246" s="11" t="s">
        <v>18</v>
      </c>
      <c r="D2246" s="11" t="s">
        <v>19</v>
      </c>
      <c r="E2246" s="11" t="s">
        <v>19</v>
      </c>
      <c r="F2246" s="11" t="s">
        <v>8178</v>
      </c>
      <c r="G2246" s="11" t="s">
        <v>21</v>
      </c>
      <c r="H2246" s="11" t="s">
        <v>8179</v>
      </c>
      <c r="I2246" s="11" t="s">
        <v>8180</v>
      </c>
      <c r="J2246" s="12">
        <v>0.94889999999999997</v>
      </c>
      <c r="K2246" s="13">
        <v>4</v>
      </c>
      <c r="L2246" s="14">
        <v>437</v>
      </c>
      <c r="M2246" s="10">
        <v>305</v>
      </c>
      <c r="N2246" s="10">
        <v>48290</v>
      </c>
      <c r="O2246" s="10">
        <v>23918</v>
      </c>
      <c r="P2246" s="10">
        <v>72208</v>
      </c>
    </row>
    <row r="2247" spans="1:16" ht="27" customHeight="1" x14ac:dyDescent="0.2">
      <c r="A2247" s="9" t="s">
        <v>8176</v>
      </c>
      <c r="B2247" s="10" t="s">
        <v>8177</v>
      </c>
      <c r="C2247" s="11" t="s">
        <v>8181</v>
      </c>
      <c r="D2247" s="11" t="s">
        <v>8182</v>
      </c>
      <c r="E2247" s="11" t="s">
        <v>26</v>
      </c>
      <c r="F2247" s="11" t="s">
        <v>8183</v>
      </c>
      <c r="G2247" s="11" t="s">
        <v>28</v>
      </c>
      <c r="H2247" s="11" t="s">
        <v>8183</v>
      </c>
      <c r="I2247" s="11" t="s">
        <v>8184</v>
      </c>
      <c r="J2247" s="12">
        <v>0.66039999999999999</v>
      </c>
      <c r="K2247" s="13">
        <v>1</v>
      </c>
      <c r="L2247" s="14">
        <v>374</v>
      </c>
      <c r="M2247" s="10">
        <v>247</v>
      </c>
      <c r="N2247" s="10">
        <v>41328</v>
      </c>
      <c r="O2247" s="10">
        <v>19369</v>
      </c>
      <c r="P2247" s="10">
        <v>60697</v>
      </c>
    </row>
    <row r="2248" spans="1:16" ht="27" customHeight="1" x14ac:dyDescent="0.2">
      <c r="A2248" s="9" t="s">
        <v>8176</v>
      </c>
      <c r="B2248" s="10" t="s">
        <v>8185</v>
      </c>
      <c r="C2248" s="11" t="s">
        <v>18</v>
      </c>
      <c r="D2248" s="11" t="s">
        <v>19</v>
      </c>
      <c r="E2248" s="11" t="s">
        <v>19</v>
      </c>
      <c r="F2248" s="11" t="s">
        <v>8186</v>
      </c>
      <c r="G2248" s="11" t="s">
        <v>83</v>
      </c>
      <c r="H2248" s="11" t="s">
        <v>8187</v>
      </c>
      <c r="I2248" s="11" t="s">
        <v>8188</v>
      </c>
      <c r="J2248" s="12">
        <v>0.3357</v>
      </c>
      <c r="K2248" s="13">
        <v>17</v>
      </c>
      <c r="L2248" s="14">
        <v>7896</v>
      </c>
      <c r="M2248" s="10">
        <v>1573</v>
      </c>
      <c r="N2248" s="10">
        <v>872521</v>
      </c>
      <c r="O2248" s="10">
        <v>123354</v>
      </c>
      <c r="P2248" s="10">
        <v>995875</v>
      </c>
    </row>
    <row r="2249" spans="1:16" ht="27" customHeight="1" x14ac:dyDescent="0.2">
      <c r="A2249" s="9" t="s">
        <v>8176</v>
      </c>
      <c r="B2249" s="10" t="s">
        <v>8185</v>
      </c>
      <c r="C2249" s="11" t="s">
        <v>8189</v>
      </c>
      <c r="D2249" s="11" t="s">
        <v>8190</v>
      </c>
      <c r="E2249" s="11" t="s">
        <v>57</v>
      </c>
      <c r="F2249" s="11" t="s">
        <v>8191</v>
      </c>
      <c r="G2249" s="11" t="s">
        <v>28</v>
      </c>
      <c r="H2249" s="11" t="s">
        <v>8179</v>
      </c>
      <c r="I2249" s="11" t="s">
        <v>8180</v>
      </c>
      <c r="J2249" s="12">
        <v>0.94889999999999997</v>
      </c>
      <c r="K2249" s="13">
        <v>1</v>
      </c>
      <c r="L2249" s="14">
        <v>611</v>
      </c>
      <c r="M2249" s="10">
        <v>97</v>
      </c>
      <c r="N2249" s="10">
        <v>67517</v>
      </c>
      <c r="O2249" s="10">
        <v>7607</v>
      </c>
      <c r="P2249" s="10">
        <v>75124</v>
      </c>
    </row>
    <row r="2250" spans="1:16" ht="27" customHeight="1" x14ac:dyDescent="0.2">
      <c r="A2250" s="9" t="s">
        <v>8176</v>
      </c>
      <c r="B2250" s="10" t="s">
        <v>8192</v>
      </c>
      <c r="C2250" s="11" t="s">
        <v>18</v>
      </c>
      <c r="D2250" s="11" t="s">
        <v>19</v>
      </c>
      <c r="E2250" s="11" t="s">
        <v>19</v>
      </c>
      <c r="F2250" s="11" t="s">
        <v>8193</v>
      </c>
      <c r="G2250" s="11" t="s">
        <v>83</v>
      </c>
      <c r="H2250" s="11" t="s">
        <v>8194</v>
      </c>
      <c r="I2250" s="11" t="s">
        <v>8195</v>
      </c>
      <c r="J2250" s="12">
        <v>0.78539999999999999</v>
      </c>
      <c r="K2250" s="13">
        <v>5</v>
      </c>
      <c r="L2250" s="14">
        <v>978</v>
      </c>
      <c r="M2250" s="10">
        <v>752</v>
      </c>
      <c r="N2250" s="10">
        <v>108071</v>
      </c>
      <c r="O2250" s="10">
        <v>58970</v>
      </c>
      <c r="P2250" s="10">
        <v>167041</v>
      </c>
    </row>
    <row r="2251" spans="1:16" ht="27" customHeight="1" x14ac:dyDescent="0.2">
      <c r="A2251" s="9" t="s">
        <v>8176</v>
      </c>
      <c r="B2251" s="10" t="s">
        <v>8196</v>
      </c>
      <c r="C2251" s="11" t="s">
        <v>18</v>
      </c>
      <c r="D2251" s="11" t="s">
        <v>19</v>
      </c>
      <c r="E2251" s="11" t="s">
        <v>19</v>
      </c>
      <c r="F2251" s="11" t="s">
        <v>965</v>
      </c>
      <c r="G2251" s="11" t="s">
        <v>83</v>
      </c>
      <c r="H2251" s="11" t="s">
        <v>8179</v>
      </c>
      <c r="I2251" s="11" t="s">
        <v>8180</v>
      </c>
      <c r="J2251" s="12">
        <v>0.94889999999999997</v>
      </c>
      <c r="K2251" s="13">
        <v>14</v>
      </c>
      <c r="L2251" s="14">
        <v>7468</v>
      </c>
      <c r="M2251" s="10">
        <v>5042</v>
      </c>
      <c r="N2251" s="10">
        <v>825227</v>
      </c>
      <c r="O2251" s="10">
        <v>395389</v>
      </c>
      <c r="P2251" s="10">
        <v>1220616</v>
      </c>
    </row>
    <row r="2252" spans="1:16" ht="27" customHeight="1" x14ac:dyDescent="0.2">
      <c r="A2252" s="9" t="s">
        <v>8176</v>
      </c>
      <c r="B2252" s="10" t="s">
        <v>8196</v>
      </c>
      <c r="C2252" s="11" t="s">
        <v>8197</v>
      </c>
      <c r="D2252" s="11" t="s">
        <v>8198</v>
      </c>
      <c r="E2252" s="11" t="s">
        <v>26</v>
      </c>
      <c r="F2252" s="11" t="s">
        <v>8199</v>
      </c>
      <c r="G2252" s="11" t="s">
        <v>28</v>
      </c>
      <c r="H2252" s="11" t="s">
        <v>8199</v>
      </c>
      <c r="I2252" s="11" t="s">
        <v>8200</v>
      </c>
      <c r="J2252" s="12">
        <v>0.85289999999999999</v>
      </c>
      <c r="K2252" s="13">
        <v>1</v>
      </c>
      <c r="L2252" s="14">
        <v>306</v>
      </c>
      <c r="M2252" s="10">
        <v>261</v>
      </c>
      <c r="N2252" s="10">
        <v>33814</v>
      </c>
      <c r="O2252" s="10">
        <v>20467</v>
      </c>
      <c r="P2252" s="10">
        <v>54281</v>
      </c>
    </row>
    <row r="2253" spans="1:16" ht="27" customHeight="1" x14ac:dyDescent="0.2">
      <c r="A2253" s="9" t="s">
        <v>8176</v>
      </c>
      <c r="B2253" s="10" t="s">
        <v>8196</v>
      </c>
      <c r="C2253" s="11" t="s">
        <v>8201</v>
      </c>
      <c r="D2253" s="11" t="s">
        <v>8202</v>
      </c>
      <c r="E2253" s="11" t="s">
        <v>26</v>
      </c>
      <c r="F2253" s="11" t="s">
        <v>8203</v>
      </c>
      <c r="G2253" s="11" t="s">
        <v>28</v>
      </c>
      <c r="H2253" s="11" t="s">
        <v>8203</v>
      </c>
      <c r="I2253" s="11" t="s">
        <v>8204</v>
      </c>
      <c r="J2253" s="12">
        <v>0.50139999999999996</v>
      </c>
      <c r="K2253" s="13">
        <v>1</v>
      </c>
      <c r="L2253" s="14">
        <v>369</v>
      </c>
      <c r="M2253" s="10">
        <v>185</v>
      </c>
      <c r="N2253" s="10">
        <v>40775</v>
      </c>
      <c r="O2253" s="10">
        <v>14508</v>
      </c>
      <c r="P2253" s="10">
        <v>55283</v>
      </c>
    </row>
    <row r="2254" spans="1:16" ht="27" customHeight="1" x14ac:dyDescent="0.2">
      <c r="A2254" s="9" t="s">
        <v>8176</v>
      </c>
      <c r="B2254" s="10" t="s">
        <v>8196</v>
      </c>
      <c r="C2254" s="11" t="s">
        <v>8205</v>
      </c>
      <c r="D2254" s="11" t="s">
        <v>8206</v>
      </c>
      <c r="E2254" s="11" t="s">
        <v>57</v>
      </c>
      <c r="F2254" s="11" t="s">
        <v>8207</v>
      </c>
      <c r="G2254" s="11" t="s">
        <v>28</v>
      </c>
      <c r="H2254" s="11" t="s">
        <v>8179</v>
      </c>
      <c r="I2254" s="11" t="s">
        <v>8180</v>
      </c>
      <c r="J2254" s="12">
        <v>0.94889999999999997</v>
      </c>
      <c r="K2254" s="13">
        <v>1</v>
      </c>
      <c r="L2254" s="14">
        <v>151</v>
      </c>
      <c r="M2254" s="10">
        <v>122</v>
      </c>
      <c r="N2254" s="10">
        <v>16686</v>
      </c>
      <c r="O2254" s="10">
        <v>9567</v>
      </c>
      <c r="P2254" s="10">
        <v>26253</v>
      </c>
    </row>
    <row r="2255" spans="1:16" ht="27" customHeight="1" x14ac:dyDescent="0.2">
      <c r="A2255" s="9" t="s">
        <v>8176</v>
      </c>
      <c r="B2255" s="10" t="s">
        <v>8208</v>
      </c>
      <c r="C2255" s="11" t="s">
        <v>18</v>
      </c>
      <c r="D2255" s="11" t="s">
        <v>19</v>
      </c>
      <c r="E2255" s="11" t="s">
        <v>19</v>
      </c>
      <c r="F2255" s="11" t="s">
        <v>8209</v>
      </c>
      <c r="G2255" s="11" t="s">
        <v>83</v>
      </c>
      <c r="H2255" s="11" t="s">
        <v>8210</v>
      </c>
      <c r="I2255" s="11" t="s">
        <v>8211</v>
      </c>
      <c r="J2255" s="12">
        <v>0.62429999999999997</v>
      </c>
      <c r="K2255" s="13">
        <v>6</v>
      </c>
      <c r="L2255" s="14">
        <v>1596</v>
      </c>
      <c r="M2255" s="10">
        <v>989</v>
      </c>
      <c r="N2255" s="10">
        <v>176362</v>
      </c>
      <c r="O2255" s="10">
        <v>77556</v>
      </c>
      <c r="P2255" s="10">
        <v>253918</v>
      </c>
    </row>
    <row r="2256" spans="1:16" ht="27" customHeight="1" x14ac:dyDescent="0.2">
      <c r="A2256" s="9" t="s">
        <v>8176</v>
      </c>
      <c r="B2256" s="10" t="s">
        <v>8208</v>
      </c>
      <c r="C2256" s="11" t="s">
        <v>8212</v>
      </c>
      <c r="D2256" s="11" t="s">
        <v>8213</v>
      </c>
      <c r="E2256" s="11" t="s">
        <v>26</v>
      </c>
      <c r="F2256" s="11" t="s">
        <v>8214</v>
      </c>
      <c r="G2256" s="11" t="s">
        <v>28</v>
      </c>
      <c r="H2256" s="11" t="s">
        <v>8214</v>
      </c>
      <c r="I2256" s="11" t="s">
        <v>8215</v>
      </c>
      <c r="J2256" s="12">
        <v>0.39200000000000002</v>
      </c>
      <c r="K2256" s="13">
        <v>1</v>
      </c>
      <c r="L2256" s="14">
        <v>671</v>
      </c>
      <c r="M2256" s="10">
        <v>263</v>
      </c>
      <c r="N2256" s="10">
        <v>74147</v>
      </c>
      <c r="O2256" s="10">
        <v>20624</v>
      </c>
      <c r="P2256" s="10">
        <v>94771</v>
      </c>
    </row>
    <row r="2257" spans="1:16" ht="27" customHeight="1" x14ac:dyDescent="0.2">
      <c r="A2257" s="9" t="s">
        <v>8176</v>
      </c>
      <c r="B2257" s="10" t="s">
        <v>8216</v>
      </c>
      <c r="C2257" s="11" t="s">
        <v>18</v>
      </c>
      <c r="D2257" s="11" t="s">
        <v>19</v>
      </c>
      <c r="E2257" s="11" t="s">
        <v>19</v>
      </c>
      <c r="F2257" s="11" t="s">
        <v>8217</v>
      </c>
      <c r="G2257" s="11" t="s">
        <v>83</v>
      </c>
      <c r="H2257" s="11" t="s">
        <v>8218</v>
      </c>
      <c r="I2257" s="11" t="s">
        <v>8219</v>
      </c>
      <c r="J2257" s="12">
        <v>0.871</v>
      </c>
      <c r="K2257" s="13">
        <v>17</v>
      </c>
      <c r="L2257" s="14">
        <v>9610</v>
      </c>
      <c r="M2257" s="10">
        <v>7166</v>
      </c>
      <c r="N2257" s="10">
        <v>1061921</v>
      </c>
      <c r="O2257" s="10">
        <v>561950</v>
      </c>
      <c r="P2257" s="10">
        <v>1623871</v>
      </c>
    </row>
    <row r="2258" spans="1:16" ht="27" customHeight="1" x14ac:dyDescent="0.2">
      <c r="A2258" s="9" t="s">
        <v>8176</v>
      </c>
      <c r="B2258" s="10" t="s">
        <v>8216</v>
      </c>
      <c r="C2258" s="11" t="s">
        <v>8220</v>
      </c>
      <c r="D2258" s="11" t="s">
        <v>8221</v>
      </c>
      <c r="E2258" s="11" t="s">
        <v>57</v>
      </c>
      <c r="F2258" s="11" t="s">
        <v>8222</v>
      </c>
      <c r="G2258" s="11" t="s">
        <v>28</v>
      </c>
      <c r="H2258" s="11" t="s">
        <v>8222</v>
      </c>
      <c r="I2258" s="11" t="s">
        <v>8223</v>
      </c>
      <c r="J2258" s="12">
        <v>0.62260000000000004</v>
      </c>
      <c r="K2258" s="13">
        <v>1</v>
      </c>
      <c r="L2258" s="14">
        <v>212</v>
      </c>
      <c r="M2258" s="10">
        <v>132</v>
      </c>
      <c r="N2258" s="10">
        <v>23426</v>
      </c>
      <c r="O2258" s="10">
        <v>10351</v>
      </c>
      <c r="P2258" s="10">
        <v>33777</v>
      </c>
    </row>
    <row r="2259" spans="1:16" ht="27" customHeight="1" x14ac:dyDescent="0.2">
      <c r="A2259" s="9" t="s">
        <v>8224</v>
      </c>
      <c r="B2259" s="10" t="s">
        <v>8225</v>
      </c>
      <c r="C2259" s="11" t="s">
        <v>18</v>
      </c>
      <c r="D2259" s="11" t="s">
        <v>19</v>
      </c>
      <c r="E2259" s="11" t="s">
        <v>19</v>
      </c>
      <c r="F2259" s="11" t="s">
        <v>8226</v>
      </c>
      <c r="G2259" s="11" t="s">
        <v>21</v>
      </c>
      <c r="H2259" s="11" t="s">
        <v>8227</v>
      </c>
      <c r="I2259" s="11" t="s">
        <v>8228</v>
      </c>
      <c r="J2259" s="12">
        <v>0.93869999999999998</v>
      </c>
      <c r="K2259" s="13">
        <v>4</v>
      </c>
      <c r="L2259" s="14">
        <v>339</v>
      </c>
      <c r="M2259" s="10">
        <v>258</v>
      </c>
      <c r="N2259" s="10">
        <v>37460</v>
      </c>
      <c r="O2259" s="10">
        <v>20232</v>
      </c>
      <c r="P2259" s="10">
        <v>57692</v>
      </c>
    </row>
    <row r="2260" spans="1:16" ht="27" customHeight="1" x14ac:dyDescent="0.2">
      <c r="A2260" s="9" t="s">
        <v>8224</v>
      </c>
      <c r="B2260" s="10" t="s">
        <v>8225</v>
      </c>
      <c r="C2260" s="11" t="s">
        <v>8229</v>
      </c>
      <c r="D2260" s="11" t="s">
        <v>8230</v>
      </c>
      <c r="E2260" s="11" t="s">
        <v>26</v>
      </c>
      <c r="F2260" s="11" t="s">
        <v>8227</v>
      </c>
      <c r="G2260" s="11" t="s">
        <v>28</v>
      </c>
      <c r="H2260" s="11" t="s">
        <v>8227</v>
      </c>
      <c r="I2260" s="11" t="s">
        <v>8228</v>
      </c>
      <c r="J2260" s="12">
        <v>0.93869999999999998</v>
      </c>
      <c r="K2260" s="13">
        <v>1</v>
      </c>
      <c r="L2260" s="14">
        <v>163</v>
      </c>
      <c r="M2260" s="10">
        <v>153</v>
      </c>
      <c r="N2260" s="10">
        <v>18012</v>
      </c>
      <c r="O2260" s="10">
        <v>11998</v>
      </c>
      <c r="P2260" s="10">
        <v>30010</v>
      </c>
    </row>
    <row r="2261" spans="1:16" ht="27" customHeight="1" x14ac:dyDescent="0.2">
      <c r="A2261" s="9" t="s">
        <v>8224</v>
      </c>
      <c r="B2261" s="10" t="s">
        <v>8225</v>
      </c>
      <c r="C2261" s="11" t="s">
        <v>8231</v>
      </c>
      <c r="D2261" s="11" t="s">
        <v>8232</v>
      </c>
      <c r="E2261" s="11" t="s">
        <v>57</v>
      </c>
      <c r="F2261" s="11" t="s">
        <v>8233</v>
      </c>
      <c r="G2261" s="11" t="s">
        <v>28</v>
      </c>
      <c r="H2261" s="11" t="s">
        <v>8233</v>
      </c>
      <c r="I2261" s="11" t="s">
        <v>8234</v>
      </c>
      <c r="J2261" s="12">
        <v>0.8821</v>
      </c>
      <c r="K2261" s="13">
        <v>1</v>
      </c>
      <c r="L2261" s="14">
        <v>212</v>
      </c>
      <c r="M2261" s="10">
        <v>187</v>
      </c>
      <c r="N2261" s="10">
        <v>23426</v>
      </c>
      <c r="O2261" s="10">
        <v>14664</v>
      </c>
      <c r="P2261" s="10">
        <v>38090</v>
      </c>
    </row>
    <row r="2262" spans="1:16" ht="27" customHeight="1" x14ac:dyDescent="0.2">
      <c r="A2262" s="9" t="s">
        <v>8224</v>
      </c>
      <c r="B2262" s="10" t="s">
        <v>8235</v>
      </c>
      <c r="C2262" s="11" t="s">
        <v>18</v>
      </c>
      <c r="D2262" s="11" t="s">
        <v>19</v>
      </c>
      <c r="E2262" s="11" t="s">
        <v>19</v>
      </c>
      <c r="F2262" s="11" t="s">
        <v>8236</v>
      </c>
      <c r="G2262" s="11" t="s">
        <v>83</v>
      </c>
      <c r="H2262" s="11" t="s">
        <v>8236</v>
      </c>
      <c r="I2262" s="11" t="s">
        <v>8237</v>
      </c>
      <c r="J2262" s="12">
        <v>0.77780000000000005</v>
      </c>
      <c r="K2262" s="13">
        <v>2</v>
      </c>
      <c r="L2262" s="14">
        <v>54</v>
      </c>
      <c r="M2262" s="10">
        <v>42</v>
      </c>
      <c r="N2262" s="10">
        <v>5967</v>
      </c>
      <c r="O2262" s="10">
        <v>3294</v>
      </c>
      <c r="P2262" s="10">
        <v>9261</v>
      </c>
    </row>
    <row r="2263" spans="1:16" ht="27" customHeight="1" x14ac:dyDescent="0.2">
      <c r="A2263" s="9" t="s">
        <v>8224</v>
      </c>
      <c r="B2263" s="10" t="s">
        <v>8235</v>
      </c>
      <c r="C2263" s="11" t="s">
        <v>8238</v>
      </c>
      <c r="D2263" s="11" t="s">
        <v>8239</v>
      </c>
      <c r="E2263" s="11" t="s">
        <v>26</v>
      </c>
      <c r="F2263" s="11" t="s">
        <v>8240</v>
      </c>
      <c r="G2263" s="11" t="s">
        <v>28</v>
      </c>
      <c r="H2263" s="11" t="s">
        <v>8240</v>
      </c>
      <c r="I2263" s="11" t="s">
        <v>8241</v>
      </c>
      <c r="J2263" s="12">
        <v>0.50109999999999999</v>
      </c>
      <c r="K2263" s="13">
        <v>1</v>
      </c>
      <c r="L2263" s="14">
        <v>463</v>
      </c>
      <c r="M2263" s="10">
        <v>232</v>
      </c>
      <c r="N2263" s="10">
        <v>51162</v>
      </c>
      <c r="O2263" s="10">
        <v>18193</v>
      </c>
      <c r="P2263" s="10">
        <v>69355</v>
      </c>
    </row>
    <row r="2264" spans="1:16" ht="27" customHeight="1" x14ac:dyDescent="0.2">
      <c r="A2264" s="9" t="s">
        <v>8224</v>
      </c>
      <c r="B2264" s="10" t="s">
        <v>8242</v>
      </c>
      <c r="C2264" s="11" t="s">
        <v>18</v>
      </c>
      <c r="D2264" s="11" t="s">
        <v>19</v>
      </c>
      <c r="E2264" s="11" t="s">
        <v>19</v>
      </c>
      <c r="F2264" s="11" t="s">
        <v>8243</v>
      </c>
      <c r="G2264" s="11" t="s">
        <v>83</v>
      </c>
      <c r="H2264" s="11" t="s">
        <v>8244</v>
      </c>
      <c r="I2264" s="11" t="s">
        <v>8245</v>
      </c>
      <c r="J2264" s="12">
        <v>0.89639999999999997</v>
      </c>
      <c r="K2264" s="13">
        <v>23</v>
      </c>
      <c r="L2264" s="14">
        <v>10124</v>
      </c>
      <c r="M2264" s="10">
        <v>7444</v>
      </c>
      <c r="N2264" s="10">
        <v>1118718</v>
      </c>
      <c r="O2264" s="10">
        <v>583750</v>
      </c>
      <c r="P2264" s="10">
        <v>1702468</v>
      </c>
    </row>
    <row r="2265" spans="1:16" ht="27" customHeight="1" x14ac:dyDescent="0.2">
      <c r="A2265" s="9" t="s">
        <v>8224</v>
      </c>
      <c r="B2265" s="10" t="s">
        <v>8242</v>
      </c>
      <c r="C2265" s="11" t="s">
        <v>8246</v>
      </c>
      <c r="D2265" s="11" t="s">
        <v>8247</v>
      </c>
      <c r="E2265" s="11" t="s">
        <v>26</v>
      </c>
      <c r="F2265" s="11" t="s">
        <v>8248</v>
      </c>
      <c r="G2265" s="11" t="s">
        <v>28</v>
      </c>
      <c r="H2265" s="11" t="s">
        <v>8248</v>
      </c>
      <c r="I2265" s="11" t="s">
        <v>8249</v>
      </c>
      <c r="J2265" s="12">
        <v>0.46800000000000003</v>
      </c>
      <c r="K2265" s="13">
        <v>1</v>
      </c>
      <c r="L2265" s="14">
        <v>203</v>
      </c>
      <c r="M2265" s="10">
        <v>95</v>
      </c>
      <c r="N2265" s="10">
        <v>22432</v>
      </c>
      <c r="O2265" s="10">
        <v>7450</v>
      </c>
      <c r="P2265" s="10">
        <v>29882</v>
      </c>
    </row>
    <row r="2266" spans="1:16" ht="27" customHeight="1" x14ac:dyDescent="0.2">
      <c r="A2266" s="9" t="s">
        <v>8224</v>
      </c>
      <c r="B2266" s="10" t="s">
        <v>8242</v>
      </c>
      <c r="C2266" s="11" t="s">
        <v>8250</v>
      </c>
      <c r="D2266" s="11" t="s">
        <v>8251</v>
      </c>
      <c r="E2266" s="11" t="s">
        <v>57</v>
      </c>
      <c r="F2266" s="11" t="s">
        <v>8252</v>
      </c>
      <c r="G2266" s="11" t="s">
        <v>28</v>
      </c>
      <c r="H2266" s="11" t="s">
        <v>8227</v>
      </c>
      <c r="I2266" s="11" t="s">
        <v>8228</v>
      </c>
      <c r="J2266" s="12">
        <v>0.93869999999999998</v>
      </c>
      <c r="K2266" s="13">
        <v>1</v>
      </c>
      <c r="L2266" s="14">
        <v>362</v>
      </c>
      <c r="M2266" s="10">
        <v>194</v>
      </c>
      <c r="N2266" s="10">
        <v>40002</v>
      </c>
      <c r="O2266" s="10">
        <v>15213</v>
      </c>
      <c r="P2266" s="10">
        <v>55215</v>
      </c>
    </row>
    <row r="2267" spans="1:16" ht="27" customHeight="1" x14ac:dyDescent="0.2">
      <c r="A2267" s="9" t="s">
        <v>8224</v>
      </c>
      <c r="B2267" s="10" t="s">
        <v>8253</v>
      </c>
      <c r="C2267" s="11" t="s">
        <v>18</v>
      </c>
      <c r="D2267" s="11" t="s">
        <v>19</v>
      </c>
      <c r="E2267" s="11" t="s">
        <v>19</v>
      </c>
      <c r="F2267" s="11" t="s">
        <v>8254</v>
      </c>
      <c r="G2267" s="11" t="s">
        <v>83</v>
      </c>
      <c r="H2267" s="11" t="s">
        <v>8255</v>
      </c>
      <c r="I2267" s="11" t="s">
        <v>8256</v>
      </c>
      <c r="J2267" s="12">
        <v>0.37180000000000002</v>
      </c>
      <c r="K2267" s="13">
        <v>4</v>
      </c>
      <c r="L2267" s="14">
        <v>1511</v>
      </c>
      <c r="M2267" s="10">
        <v>561</v>
      </c>
      <c r="N2267" s="10">
        <v>166967</v>
      </c>
      <c r="O2267" s="10">
        <v>43994</v>
      </c>
      <c r="P2267" s="10">
        <v>210961</v>
      </c>
    </row>
    <row r="2268" spans="1:16" ht="27" customHeight="1" x14ac:dyDescent="0.2">
      <c r="A2268" s="9" t="s">
        <v>8224</v>
      </c>
      <c r="B2268" s="10" t="s">
        <v>8257</v>
      </c>
      <c r="C2268" s="11" t="s">
        <v>18</v>
      </c>
      <c r="D2268" s="11" t="s">
        <v>19</v>
      </c>
      <c r="E2268" s="11" t="s">
        <v>19</v>
      </c>
      <c r="F2268" s="11" t="s">
        <v>8258</v>
      </c>
      <c r="G2268" s="11" t="s">
        <v>83</v>
      </c>
      <c r="H2268" s="11" t="s">
        <v>8259</v>
      </c>
      <c r="I2268" s="11" t="s">
        <v>8260</v>
      </c>
      <c r="J2268" s="12">
        <v>0.55830000000000002</v>
      </c>
      <c r="K2268" s="13">
        <v>4</v>
      </c>
      <c r="L2268" s="14">
        <v>1393</v>
      </c>
      <c r="M2268" s="10">
        <v>692</v>
      </c>
      <c r="N2268" s="10">
        <v>153929</v>
      </c>
      <c r="O2268" s="10">
        <v>54265</v>
      </c>
      <c r="P2268" s="10">
        <v>208194</v>
      </c>
    </row>
    <row r="2269" spans="1:16" ht="27" customHeight="1" x14ac:dyDescent="0.2">
      <c r="A2269" s="9" t="s">
        <v>8224</v>
      </c>
      <c r="B2269" s="10" t="s">
        <v>8257</v>
      </c>
      <c r="C2269" s="11" t="s">
        <v>8261</v>
      </c>
      <c r="D2269" s="11" t="s">
        <v>8262</v>
      </c>
      <c r="E2269" s="11" t="s">
        <v>57</v>
      </c>
      <c r="F2269" s="11" t="s">
        <v>8263</v>
      </c>
      <c r="G2269" s="11" t="s">
        <v>28</v>
      </c>
      <c r="H2269" s="11" t="s">
        <v>8263</v>
      </c>
      <c r="I2269" s="11" t="s">
        <v>8264</v>
      </c>
      <c r="J2269" s="12">
        <v>0.4138</v>
      </c>
      <c r="K2269" s="13">
        <v>1</v>
      </c>
      <c r="L2269" s="14">
        <v>87</v>
      </c>
      <c r="M2269" s="10">
        <v>36</v>
      </c>
      <c r="N2269" s="10">
        <v>9614</v>
      </c>
      <c r="O2269" s="10">
        <v>2823</v>
      </c>
      <c r="P2269" s="10">
        <v>12437</v>
      </c>
    </row>
    <row r="2270" spans="1:16" ht="27" customHeight="1" x14ac:dyDescent="0.2">
      <c r="A2270" s="9" t="s">
        <v>8224</v>
      </c>
      <c r="B2270" s="18" t="s">
        <v>8265</v>
      </c>
      <c r="C2270" s="11" t="s">
        <v>18</v>
      </c>
      <c r="D2270" s="11" t="s">
        <v>19</v>
      </c>
      <c r="E2270" s="11" t="s">
        <v>19</v>
      </c>
      <c r="F2270" s="11" t="s">
        <v>8266</v>
      </c>
      <c r="G2270" s="11" t="s">
        <v>83</v>
      </c>
      <c r="H2270" s="11" t="s">
        <v>8227</v>
      </c>
      <c r="I2270" s="11" t="s">
        <v>8228</v>
      </c>
      <c r="J2270" s="12">
        <v>0.93869999999999998</v>
      </c>
      <c r="K2270" s="13">
        <v>4</v>
      </c>
      <c r="L2270" s="14">
        <v>1096</v>
      </c>
      <c r="M2270" s="10">
        <v>882</v>
      </c>
      <c r="N2270" s="10">
        <v>121110</v>
      </c>
      <c r="O2270" s="10">
        <v>69166</v>
      </c>
      <c r="P2270" s="10">
        <v>190276</v>
      </c>
    </row>
    <row r="2271" spans="1:16" ht="27" customHeight="1" x14ac:dyDescent="0.2">
      <c r="A2271" s="19" t="s">
        <v>8267</v>
      </c>
      <c r="B2271" s="20"/>
      <c r="C2271" s="20"/>
      <c r="D2271" s="20"/>
      <c r="E2271" s="20"/>
      <c r="F2271" s="20"/>
      <c r="G2271" s="20"/>
      <c r="H2271" s="21"/>
      <c r="I2271" s="21"/>
      <c r="J2271" s="22"/>
      <c r="K2271" s="23">
        <f>SUBTOTAL(109,Table134[Total Number of School Sites in LEA*
B-1])</f>
        <v>11272</v>
      </c>
      <c r="L2271" s="23">
        <f>SUBTOTAL(109,Table134[Total LEA Enrollment
B-2])</f>
        <v>5942256</v>
      </c>
      <c r="M2271" s="23">
        <f>SUBTOTAL(109,Table134[Total LEA FRPM Eligible Pupil Count
B-3])</f>
        <v>3588578</v>
      </c>
      <c r="N2271" s="24">
        <f>SUBTOTAL(109,Table134[AMS Funding Based on Share of Enrollment
C-1])</f>
        <v>656629390</v>
      </c>
      <c r="O2271" s="25">
        <f>SUBTOTAL(109,Table134[AMS Funding Based on Share of FRPM Eligible Pupils
C-2])</f>
        <v>281412610</v>
      </c>
      <c r="P2271" s="25">
        <f>SUBTOTAL(109,Table134[Preliminary AMS Entitlement
C-3])</f>
        <v>938042000</v>
      </c>
    </row>
    <row r="2272" spans="1:16" x14ac:dyDescent="0.2">
      <c r="A2272" s="26" t="s">
        <v>8268</v>
      </c>
    </row>
    <row r="2273" spans="1:1" x14ac:dyDescent="0.2">
      <c r="A2273" s="27" t="s">
        <v>8269</v>
      </c>
    </row>
    <row r="2274" spans="1:1" x14ac:dyDescent="0.2">
      <c r="A2274" s="27" t="s">
        <v>8270</v>
      </c>
    </row>
    <row r="2275" spans="1:1" x14ac:dyDescent="0.2">
      <c r="A2275" s="28" t="s">
        <v>8271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9AC9F-0288-3C41-9EC7-C0D93BA8C048}">
  <sheetPr codeName="Sheet4"/>
  <dimension ref="A1:P2275"/>
  <sheetViews>
    <sheetView workbookViewId="0">
      <selection activeCell="C19" sqref="C19"/>
    </sheetView>
  </sheetViews>
  <sheetFormatPr baseColWidth="10" defaultRowHeight="16" x14ac:dyDescent="0.2"/>
  <cols>
    <col min="1" max="1" width="9" customWidth="1"/>
    <col min="2" max="2" width="13.1640625" bestFit="1" customWidth="1"/>
    <col min="3" max="3" width="12.6640625" bestFit="1" customWidth="1"/>
    <col min="4" max="4" width="13.83203125" bestFit="1" customWidth="1"/>
    <col min="5" max="5" width="13.5" bestFit="1" customWidth="1"/>
    <col min="6" max="6" width="17.1640625" bestFit="1" customWidth="1"/>
    <col min="7" max="7" width="15.33203125" bestFit="1" customWidth="1"/>
    <col min="8" max="8" width="27" customWidth="1"/>
    <col min="9" max="9" width="15.1640625" bestFit="1" customWidth="1"/>
    <col min="10" max="10" width="22.33203125" customWidth="1"/>
    <col min="11" max="11" width="15" bestFit="1" customWidth="1"/>
    <col min="12" max="12" width="15.83203125" bestFit="1" customWidth="1"/>
    <col min="13" max="13" width="15.33203125" bestFit="1" customWidth="1"/>
    <col min="14" max="14" width="15.83203125" bestFit="1" customWidth="1"/>
    <col min="15" max="16" width="15.1640625" bestFit="1" customWidth="1"/>
  </cols>
  <sheetData>
    <row r="1" spans="1:16" ht="183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2" spans="1:16" ht="27" customHeight="1" x14ac:dyDescent="0.2">
      <c r="A2" s="2" t="s">
        <v>16</v>
      </c>
      <c r="B2" s="3" t="s">
        <v>17</v>
      </c>
      <c r="C2" s="4" t="s">
        <v>18</v>
      </c>
      <c r="D2" s="4" t="s">
        <v>19</v>
      </c>
      <c r="E2" s="4" t="s">
        <v>19</v>
      </c>
      <c r="F2" s="4" t="s">
        <v>20</v>
      </c>
      <c r="G2" s="4" t="s">
        <v>21</v>
      </c>
      <c r="H2" s="4" t="s">
        <v>22</v>
      </c>
      <c r="I2" s="4" t="s">
        <v>23</v>
      </c>
      <c r="J2" s="5">
        <v>0.99760000000000004</v>
      </c>
      <c r="K2" s="6">
        <v>4</v>
      </c>
      <c r="L2" s="7">
        <v>103</v>
      </c>
      <c r="M2" s="3">
        <v>94</v>
      </c>
      <c r="N2" s="8">
        <v>11382</v>
      </c>
      <c r="O2" s="8">
        <v>7371</v>
      </c>
      <c r="P2" s="8">
        <v>18753</v>
      </c>
    </row>
    <row r="3" spans="1:16" ht="27" customHeight="1" x14ac:dyDescent="0.2">
      <c r="A3" s="9" t="s">
        <v>16</v>
      </c>
      <c r="B3" s="10" t="s">
        <v>17</v>
      </c>
      <c r="C3" s="11" t="s">
        <v>24</v>
      </c>
      <c r="D3" s="11" t="s">
        <v>25</v>
      </c>
      <c r="E3" s="11" t="s">
        <v>26</v>
      </c>
      <c r="F3" s="11" t="s">
        <v>27</v>
      </c>
      <c r="G3" s="11" t="s">
        <v>28</v>
      </c>
      <c r="H3" s="11" t="s">
        <v>27</v>
      </c>
      <c r="I3" s="11" t="s">
        <v>29</v>
      </c>
      <c r="J3" s="12">
        <v>0.78680000000000005</v>
      </c>
      <c r="K3" s="13">
        <v>1</v>
      </c>
      <c r="L3" s="14">
        <v>272</v>
      </c>
      <c r="M3" s="10">
        <v>214</v>
      </c>
      <c r="N3" s="10">
        <v>30056</v>
      </c>
      <c r="O3" s="10">
        <v>16782</v>
      </c>
      <c r="P3" s="10">
        <v>46838</v>
      </c>
    </row>
    <row r="4" spans="1:16" ht="27" customHeight="1" x14ac:dyDescent="0.2">
      <c r="A4" s="9" t="s">
        <v>16</v>
      </c>
      <c r="B4" s="10" t="s">
        <v>17</v>
      </c>
      <c r="C4" s="11" t="s">
        <v>30</v>
      </c>
      <c r="D4" s="11" t="s">
        <v>31</v>
      </c>
      <c r="E4" s="11" t="s">
        <v>26</v>
      </c>
      <c r="F4" s="11" t="s">
        <v>32</v>
      </c>
      <c r="G4" s="11" t="s">
        <v>28</v>
      </c>
      <c r="H4" s="11" t="s">
        <v>32</v>
      </c>
      <c r="I4" s="11" t="s">
        <v>33</v>
      </c>
      <c r="J4" s="12">
        <v>0.75960000000000005</v>
      </c>
      <c r="K4" s="13">
        <v>1</v>
      </c>
      <c r="L4" s="14">
        <v>183</v>
      </c>
      <c r="M4" s="10">
        <v>139</v>
      </c>
      <c r="N4" s="10">
        <v>20222</v>
      </c>
      <c r="O4" s="10">
        <v>10900</v>
      </c>
      <c r="P4" s="10">
        <v>31122</v>
      </c>
    </row>
    <row r="5" spans="1:16" ht="27" customHeight="1" x14ac:dyDescent="0.2">
      <c r="A5" s="9" t="s">
        <v>16</v>
      </c>
      <c r="B5" s="10" t="s">
        <v>17</v>
      </c>
      <c r="C5" s="11" t="s">
        <v>34</v>
      </c>
      <c r="D5" s="11" t="s">
        <v>35</v>
      </c>
      <c r="E5" s="11" t="s">
        <v>26</v>
      </c>
      <c r="F5" s="11" t="s">
        <v>36</v>
      </c>
      <c r="G5" s="11" t="s">
        <v>28</v>
      </c>
      <c r="H5" s="11" t="s">
        <v>36</v>
      </c>
      <c r="I5" s="11" t="s">
        <v>37</v>
      </c>
      <c r="J5" s="12">
        <v>0.2676</v>
      </c>
      <c r="K5" s="13">
        <v>1</v>
      </c>
      <c r="L5" s="14">
        <v>766</v>
      </c>
      <c r="M5" s="10">
        <v>205</v>
      </c>
      <c r="N5" s="10">
        <v>84644</v>
      </c>
      <c r="O5" s="10">
        <v>16076</v>
      </c>
      <c r="P5" s="10">
        <v>100720</v>
      </c>
    </row>
    <row r="6" spans="1:16" ht="27" customHeight="1" x14ac:dyDescent="0.2">
      <c r="A6" s="9" t="s">
        <v>16</v>
      </c>
      <c r="B6" s="10" t="s">
        <v>17</v>
      </c>
      <c r="C6" s="11" t="s">
        <v>38</v>
      </c>
      <c r="D6" s="11" t="s">
        <v>39</v>
      </c>
      <c r="E6" s="11" t="s">
        <v>26</v>
      </c>
      <c r="F6" s="11" t="s">
        <v>40</v>
      </c>
      <c r="G6" s="11" t="s">
        <v>28</v>
      </c>
      <c r="H6" s="11" t="s">
        <v>40</v>
      </c>
      <c r="I6" s="11" t="s">
        <v>41</v>
      </c>
      <c r="J6" s="12">
        <v>0.26219999999999999</v>
      </c>
      <c r="K6" s="13">
        <v>1</v>
      </c>
      <c r="L6" s="14">
        <v>328</v>
      </c>
      <c r="M6" s="10">
        <v>86</v>
      </c>
      <c r="N6" s="10">
        <v>36245</v>
      </c>
      <c r="O6" s="10">
        <v>6744</v>
      </c>
      <c r="P6" s="10">
        <v>42989</v>
      </c>
    </row>
    <row r="7" spans="1:16" ht="27" customHeight="1" x14ac:dyDescent="0.2">
      <c r="A7" s="9" t="s">
        <v>16</v>
      </c>
      <c r="B7" s="10" t="s">
        <v>17</v>
      </c>
      <c r="C7" s="11" t="s">
        <v>42</v>
      </c>
      <c r="D7" s="11" t="s">
        <v>43</v>
      </c>
      <c r="E7" s="11" t="s">
        <v>26</v>
      </c>
      <c r="F7" s="11" t="s">
        <v>44</v>
      </c>
      <c r="G7" s="11" t="s">
        <v>28</v>
      </c>
      <c r="H7" s="11" t="s">
        <v>22</v>
      </c>
      <c r="I7" s="11" t="s">
        <v>23</v>
      </c>
      <c r="J7" s="12">
        <v>0.99760000000000004</v>
      </c>
      <c r="K7" s="13">
        <v>1</v>
      </c>
      <c r="L7" s="14">
        <v>0</v>
      </c>
      <c r="M7" s="10">
        <v>0</v>
      </c>
      <c r="N7" s="10">
        <v>0</v>
      </c>
      <c r="O7" s="10">
        <v>0</v>
      </c>
      <c r="P7" s="10">
        <v>0</v>
      </c>
    </row>
    <row r="8" spans="1:16" ht="27" customHeight="1" x14ac:dyDescent="0.2">
      <c r="A8" s="9" t="s">
        <v>16</v>
      </c>
      <c r="B8" s="10" t="s">
        <v>17</v>
      </c>
      <c r="C8" s="11" t="s">
        <v>45</v>
      </c>
      <c r="D8" s="11" t="s">
        <v>46</v>
      </c>
      <c r="E8" s="11" t="s">
        <v>26</v>
      </c>
      <c r="F8" s="11" t="s">
        <v>47</v>
      </c>
      <c r="G8" s="11" t="s">
        <v>28</v>
      </c>
      <c r="H8" s="11" t="s">
        <v>22</v>
      </c>
      <c r="I8" s="11" t="s">
        <v>23</v>
      </c>
      <c r="J8" s="12">
        <v>0.99760000000000004</v>
      </c>
      <c r="K8" s="13">
        <v>1</v>
      </c>
      <c r="L8" s="14">
        <v>143</v>
      </c>
      <c r="M8" s="10">
        <v>128</v>
      </c>
      <c r="N8" s="10">
        <v>15802</v>
      </c>
      <c r="O8" s="10">
        <v>10038</v>
      </c>
      <c r="P8" s="10">
        <v>25840</v>
      </c>
    </row>
    <row r="9" spans="1:16" ht="27" customHeight="1" x14ac:dyDescent="0.2">
      <c r="A9" s="9" t="s">
        <v>16</v>
      </c>
      <c r="B9" s="10" t="s">
        <v>17</v>
      </c>
      <c r="C9" s="11" t="s">
        <v>48</v>
      </c>
      <c r="D9" s="11" t="s">
        <v>49</v>
      </c>
      <c r="E9" s="11" t="s">
        <v>26</v>
      </c>
      <c r="F9" s="11" t="s">
        <v>50</v>
      </c>
      <c r="G9" s="11" t="s">
        <v>28</v>
      </c>
      <c r="H9" s="11" t="s">
        <v>22</v>
      </c>
      <c r="I9" s="11" t="s">
        <v>23</v>
      </c>
      <c r="J9" s="12">
        <v>0.99760000000000004</v>
      </c>
      <c r="K9" s="13">
        <v>1</v>
      </c>
      <c r="L9" s="14">
        <v>59</v>
      </c>
      <c r="M9" s="10">
        <v>26</v>
      </c>
      <c r="N9" s="10">
        <v>6520</v>
      </c>
      <c r="O9" s="10">
        <v>2039</v>
      </c>
      <c r="P9" s="10">
        <v>8559</v>
      </c>
    </row>
    <row r="10" spans="1:16" ht="27" customHeight="1" x14ac:dyDescent="0.2">
      <c r="A10" s="9" t="s">
        <v>16</v>
      </c>
      <c r="B10" s="10" t="s">
        <v>17</v>
      </c>
      <c r="C10" s="11" t="s">
        <v>51</v>
      </c>
      <c r="D10" s="11" t="s">
        <v>52</v>
      </c>
      <c r="E10" s="11" t="s">
        <v>26</v>
      </c>
      <c r="F10" s="11" t="s">
        <v>53</v>
      </c>
      <c r="G10" s="11" t="s">
        <v>28</v>
      </c>
      <c r="H10" s="11" t="s">
        <v>53</v>
      </c>
      <c r="I10" s="11" t="s">
        <v>54</v>
      </c>
      <c r="J10" s="12">
        <v>0.27129999999999999</v>
      </c>
      <c r="K10" s="13">
        <v>1</v>
      </c>
      <c r="L10" s="14">
        <v>494</v>
      </c>
      <c r="M10" s="10">
        <v>134</v>
      </c>
      <c r="N10" s="10">
        <v>54588</v>
      </c>
      <c r="O10" s="10">
        <v>10508</v>
      </c>
      <c r="P10" s="10">
        <v>65096</v>
      </c>
    </row>
    <row r="11" spans="1:16" ht="27" customHeight="1" x14ac:dyDescent="0.2">
      <c r="A11" s="9" t="s">
        <v>16</v>
      </c>
      <c r="B11" s="10" t="s">
        <v>17</v>
      </c>
      <c r="C11" s="11" t="s">
        <v>55</v>
      </c>
      <c r="D11" s="11" t="s">
        <v>56</v>
      </c>
      <c r="E11" s="11" t="s">
        <v>57</v>
      </c>
      <c r="F11" s="11" t="s">
        <v>58</v>
      </c>
      <c r="G11" s="11" t="s">
        <v>28</v>
      </c>
      <c r="H11" s="11" t="s">
        <v>22</v>
      </c>
      <c r="I11" s="11" t="s">
        <v>23</v>
      </c>
      <c r="J11" s="12">
        <v>0.99760000000000004</v>
      </c>
      <c r="K11" s="13">
        <v>1</v>
      </c>
      <c r="L11" s="14">
        <v>166</v>
      </c>
      <c r="M11" s="10">
        <v>92</v>
      </c>
      <c r="N11" s="10">
        <v>18343</v>
      </c>
      <c r="O11" s="10">
        <v>7215</v>
      </c>
      <c r="P11" s="10">
        <v>25558</v>
      </c>
    </row>
    <row r="12" spans="1:16" ht="27" customHeight="1" x14ac:dyDescent="0.2">
      <c r="A12" s="9" t="s">
        <v>16</v>
      </c>
      <c r="B12" s="10" t="s">
        <v>17</v>
      </c>
      <c r="C12" s="11" t="s">
        <v>59</v>
      </c>
      <c r="D12" s="11" t="s">
        <v>60</v>
      </c>
      <c r="E12" s="11" t="s">
        <v>26</v>
      </c>
      <c r="F12" s="11" t="s">
        <v>61</v>
      </c>
      <c r="G12" s="11" t="s">
        <v>28</v>
      </c>
      <c r="H12" s="11" t="s">
        <v>22</v>
      </c>
      <c r="I12" s="11" t="s">
        <v>23</v>
      </c>
      <c r="J12" s="12">
        <v>0.99760000000000004</v>
      </c>
      <c r="K12" s="13">
        <v>1</v>
      </c>
      <c r="L12" s="14">
        <v>146</v>
      </c>
      <c r="M12" s="10">
        <v>125</v>
      </c>
      <c r="N12" s="10">
        <v>16133</v>
      </c>
      <c r="O12" s="10">
        <v>9802</v>
      </c>
      <c r="P12" s="10">
        <v>25935</v>
      </c>
    </row>
    <row r="13" spans="1:16" ht="27" customHeight="1" x14ac:dyDescent="0.2">
      <c r="A13" s="9" t="s">
        <v>16</v>
      </c>
      <c r="B13" s="10" t="s">
        <v>17</v>
      </c>
      <c r="C13" s="11" t="s">
        <v>62</v>
      </c>
      <c r="D13" s="11" t="s">
        <v>63</v>
      </c>
      <c r="E13" s="11" t="s">
        <v>26</v>
      </c>
      <c r="F13" s="11" t="s">
        <v>64</v>
      </c>
      <c r="G13" s="11" t="s">
        <v>28</v>
      </c>
      <c r="H13" s="11" t="s">
        <v>64</v>
      </c>
      <c r="I13" s="11" t="s">
        <v>65</v>
      </c>
      <c r="J13" s="12">
        <v>0.42</v>
      </c>
      <c r="K13" s="13">
        <v>1</v>
      </c>
      <c r="L13" s="14">
        <v>150</v>
      </c>
      <c r="M13" s="10">
        <v>63</v>
      </c>
      <c r="N13" s="10">
        <v>16575</v>
      </c>
      <c r="O13" s="10">
        <v>4940</v>
      </c>
      <c r="P13" s="10">
        <v>21515</v>
      </c>
    </row>
    <row r="14" spans="1:16" ht="27" customHeight="1" x14ac:dyDescent="0.2">
      <c r="A14" s="9" t="s">
        <v>16</v>
      </c>
      <c r="B14" s="10" t="s">
        <v>17</v>
      </c>
      <c r="C14" s="11" t="s">
        <v>66</v>
      </c>
      <c r="D14" s="11" t="s">
        <v>67</v>
      </c>
      <c r="E14" s="11" t="s">
        <v>26</v>
      </c>
      <c r="F14" s="11" t="s">
        <v>68</v>
      </c>
      <c r="G14" s="11" t="s">
        <v>28</v>
      </c>
      <c r="H14" s="11" t="s">
        <v>68</v>
      </c>
      <c r="I14" s="11" t="s">
        <v>69</v>
      </c>
      <c r="J14" s="12">
        <v>0.91100000000000003</v>
      </c>
      <c r="K14" s="13">
        <v>1</v>
      </c>
      <c r="L14" s="14">
        <v>483</v>
      </c>
      <c r="M14" s="10">
        <v>440</v>
      </c>
      <c r="N14" s="10">
        <v>53372</v>
      </c>
      <c r="O14" s="10">
        <v>34504</v>
      </c>
      <c r="P14" s="10">
        <v>87876</v>
      </c>
    </row>
    <row r="15" spans="1:16" ht="27" customHeight="1" x14ac:dyDescent="0.2">
      <c r="A15" s="9" t="s">
        <v>16</v>
      </c>
      <c r="B15" s="10" t="s">
        <v>17</v>
      </c>
      <c r="C15" s="11" t="s">
        <v>70</v>
      </c>
      <c r="D15" s="11" t="s">
        <v>71</v>
      </c>
      <c r="E15" s="11" t="s">
        <v>26</v>
      </c>
      <c r="F15" s="11" t="s">
        <v>72</v>
      </c>
      <c r="G15" s="11" t="s">
        <v>28</v>
      </c>
      <c r="H15" s="11" t="s">
        <v>72</v>
      </c>
      <c r="I15" s="11" t="s">
        <v>73</v>
      </c>
      <c r="J15" s="12">
        <v>0.86609999999999998</v>
      </c>
      <c r="K15" s="13">
        <v>1</v>
      </c>
      <c r="L15" s="14">
        <v>463</v>
      </c>
      <c r="M15" s="10">
        <v>401</v>
      </c>
      <c r="N15" s="10">
        <v>51162</v>
      </c>
      <c r="O15" s="10">
        <v>31446</v>
      </c>
      <c r="P15" s="10">
        <v>82608</v>
      </c>
    </row>
    <row r="16" spans="1:16" ht="27" customHeight="1" x14ac:dyDescent="0.2">
      <c r="A16" s="9" t="s">
        <v>16</v>
      </c>
      <c r="B16" s="10" t="s">
        <v>74</v>
      </c>
      <c r="C16" s="11" t="s">
        <v>75</v>
      </c>
      <c r="D16" s="11" t="s">
        <v>19</v>
      </c>
      <c r="E16" s="11" t="s">
        <v>19</v>
      </c>
      <c r="F16" s="11" t="s">
        <v>76</v>
      </c>
      <c r="G16" s="11" t="s">
        <v>77</v>
      </c>
      <c r="H16" s="11" t="s">
        <v>22</v>
      </c>
      <c r="I16" s="11" t="s">
        <v>23</v>
      </c>
      <c r="J16" s="12">
        <v>0.99760000000000004</v>
      </c>
      <c r="K16" s="13">
        <v>1</v>
      </c>
      <c r="L16" s="14">
        <v>55</v>
      </c>
      <c r="M16" s="10">
        <v>16</v>
      </c>
      <c r="N16" s="10">
        <v>6078</v>
      </c>
      <c r="O16" s="10">
        <v>1255</v>
      </c>
      <c r="P16" s="10">
        <v>7333</v>
      </c>
    </row>
    <row r="17" spans="1:16" ht="27" customHeight="1" x14ac:dyDescent="0.2">
      <c r="A17" s="9" t="s">
        <v>16</v>
      </c>
      <c r="B17" s="10" t="s">
        <v>78</v>
      </c>
      <c r="C17" s="11" t="s">
        <v>79</v>
      </c>
      <c r="D17" s="11" t="s">
        <v>19</v>
      </c>
      <c r="E17" s="11" t="s">
        <v>19</v>
      </c>
      <c r="F17" s="11" t="s">
        <v>80</v>
      </c>
      <c r="G17" s="11" t="s">
        <v>77</v>
      </c>
      <c r="H17" s="11" t="s">
        <v>22</v>
      </c>
      <c r="I17" s="11" t="s">
        <v>23</v>
      </c>
      <c r="J17" s="12">
        <v>0.99760000000000004</v>
      </c>
      <c r="K17" s="13">
        <v>1</v>
      </c>
      <c r="L17" s="14">
        <v>312</v>
      </c>
      <c r="M17" s="10">
        <v>310</v>
      </c>
      <c r="N17" s="10">
        <v>34477</v>
      </c>
      <c r="O17" s="10">
        <v>24310</v>
      </c>
      <c r="P17" s="10">
        <v>58787</v>
      </c>
    </row>
    <row r="18" spans="1:16" ht="27" customHeight="1" x14ac:dyDescent="0.2">
      <c r="A18" s="9" t="s">
        <v>16</v>
      </c>
      <c r="B18" s="10" t="s">
        <v>81</v>
      </c>
      <c r="C18" s="11" t="s">
        <v>18</v>
      </c>
      <c r="D18" s="11" t="s">
        <v>19</v>
      </c>
      <c r="E18" s="11" t="s">
        <v>19</v>
      </c>
      <c r="F18" s="11" t="s">
        <v>82</v>
      </c>
      <c r="G18" s="11" t="s">
        <v>83</v>
      </c>
      <c r="H18" s="11" t="s">
        <v>84</v>
      </c>
      <c r="I18" s="11" t="s">
        <v>85</v>
      </c>
      <c r="J18" s="12">
        <v>0.63759999999999994</v>
      </c>
      <c r="K18" s="13">
        <v>17</v>
      </c>
      <c r="L18" s="14">
        <v>8938</v>
      </c>
      <c r="M18" s="10">
        <v>3144</v>
      </c>
      <c r="N18" s="10">
        <v>987663</v>
      </c>
      <c r="O18" s="10">
        <v>246550</v>
      </c>
      <c r="P18" s="10">
        <v>1234213</v>
      </c>
    </row>
    <row r="19" spans="1:16" ht="27" customHeight="1" x14ac:dyDescent="0.2">
      <c r="A19" s="9" t="s">
        <v>16</v>
      </c>
      <c r="B19" s="10" t="s">
        <v>81</v>
      </c>
      <c r="C19" s="11" t="s">
        <v>86</v>
      </c>
      <c r="D19" s="11" t="s">
        <v>87</v>
      </c>
      <c r="E19" s="11" t="s">
        <v>26</v>
      </c>
      <c r="F19" s="11" t="s">
        <v>88</v>
      </c>
      <c r="G19" s="11" t="s">
        <v>28</v>
      </c>
      <c r="H19" s="11" t="s">
        <v>88</v>
      </c>
      <c r="I19" s="11" t="s">
        <v>89</v>
      </c>
      <c r="J19" s="12">
        <v>0.40460000000000002</v>
      </c>
      <c r="K19" s="13">
        <v>1</v>
      </c>
      <c r="L19" s="14">
        <v>524</v>
      </c>
      <c r="M19" s="10">
        <v>212</v>
      </c>
      <c r="N19" s="10">
        <v>57903</v>
      </c>
      <c r="O19" s="10">
        <v>16625</v>
      </c>
      <c r="P19" s="10">
        <v>74528</v>
      </c>
    </row>
    <row r="20" spans="1:16" ht="27" customHeight="1" x14ac:dyDescent="0.2">
      <c r="A20" s="9" t="s">
        <v>16</v>
      </c>
      <c r="B20" s="10" t="s">
        <v>81</v>
      </c>
      <c r="C20" s="11" t="s">
        <v>90</v>
      </c>
      <c r="D20" s="11" t="s">
        <v>91</v>
      </c>
      <c r="E20" s="11" t="s">
        <v>26</v>
      </c>
      <c r="F20" s="11" t="s">
        <v>92</v>
      </c>
      <c r="G20" s="11" t="s">
        <v>28</v>
      </c>
      <c r="H20" s="11" t="s">
        <v>92</v>
      </c>
      <c r="I20" s="11" t="s">
        <v>93</v>
      </c>
      <c r="J20" s="12">
        <v>0.50580000000000003</v>
      </c>
      <c r="K20" s="13">
        <v>1</v>
      </c>
      <c r="L20" s="14">
        <v>607</v>
      </c>
      <c r="M20" s="10">
        <v>307</v>
      </c>
      <c r="N20" s="10">
        <v>67075</v>
      </c>
      <c r="O20" s="10">
        <v>24075</v>
      </c>
      <c r="P20" s="10">
        <v>91150</v>
      </c>
    </row>
    <row r="21" spans="1:16" ht="27" customHeight="1" x14ac:dyDescent="0.2">
      <c r="A21" s="9" t="s">
        <v>16</v>
      </c>
      <c r="B21" s="10" t="s">
        <v>81</v>
      </c>
      <c r="C21" s="11" t="s">
        <v>94</v>
      </c>
      <c r="D21" s="11" t="s">
        <v>95</v>
      </c>
      <c r="E21" s="11" t="s">
        <v>26</v>
      </c>
      <c r="F21" s="11" t="s">
        <v>96</v>
      </c>
      <c r="G21" s="11" t="s">
        <v>28</v>
      </c>
      <c r="H21" s="11" t="s">
        <v>96</v>
      </c>
      <c r="I21" s="11" t="s">
        <v>97</v>
      </c>
      <c r="J21" s="12">
        <v>0.3392</v>
      </c>
      <c r="K21" s="13">
        <v>1</v>
      </c>
      <c r="L21" s="14">
        <v>398</v>
      </c>
      <c r="M21" s="10">
        <v>135</v>
      </c>
      <c r="N21" s="10">
        <v>43980</v>
      </c>
      <c r="O21" s="10">
        <v>10587</v>
      </c>
      <c r="P21" s="10">
        <v>54567</v>
      </c>
    </row>
    <row r="22" spans="1:16" ht="27" customHeight="1" x14ac:dyDescent="0.2">
      <c r="A22" s="9" t="s">
        <v>16</v>
      </c>
      <c r="B22" s="10" t="s">
        <v>98</v>
      </c>
      <c r="C22" s="11" t="s">
        <v>18</v>
      </c>
      <c r="D22" s="11" t="s">
        <v>19</v>
      </c>
      <c r="E22" s="11" t="s">
        <v>19</v>
      </c>
      <c r="F22" s="11" t="s">
        <v>99</v>
      </c>
      <c r="G22" s="11" t="s">
        <v>83</v>
      </c>
      <c r="H22" s="11" t="s">
        <v>100</v>
      </c>
      <c r="I22" s="11" t="s">
        <v>101</v>
      </c>
      <c r="J22" s="12">
        <v>0.36890000000000001</v>
      </c>
      <c r="K22" s="13">
        <v>7</v>
      </c>
      <c r="L22" s="14">
        <v>3566</v>
      </c>
      <c r="M22" s="10">
        <v>1006</v>
      </c>
      <c r="N22" s="10">
        <v>394048</v>
      </c>
      <c r="O22" s="10">
        <v>78888</v>
      </c>
      <c r="P22" s="10">
        <v>472936</v>
      </c>
    </row>
    <row r="23" spans="1:16" ht="27" customHeight="1" x14ac:dyDescent="0.2">
      <c r="A23" s="9" t="s">
        <v>16</v>
      </c>
      <c r="B23" s="10" t="s">
        <v>102</v>
      </c>
      <c r="C23" s="11" t="s">
        <v>18</v>
      </c>
      <c r="D23" s="11" t="s">
        <v>19</v>
      </c>
      <c r="E23" s="11" t="s">
        <v>19</v>
      </c>
      <c r="F23" s="11" t="s">
        <v>103</v>
      </c>
      <c r="G23" s="11" t="s">
        <v>83</v>
      </c>
      <c r="H23" s="11" t="s">
        <v>104</v>
      </c>
      <c r="I23" s="11" t="s">
        <v>105</v>
      </c>
      <c r="J23" s="12">
        <v>0.30420000000000003</v>
      </c>
      <c r="K23" s="13">
        <v>19</v>
      </c>
      <c r="L23" s="14">
        <v>9287</v>
      </c>
      <c r="M23" s="10">
        <v>2333</v>
      </c>
      <c r="N23" s="10">
        <v>1026229</v>
      </c>
      <c r="O23" s="10">
        <v>182952</v>
      </c>
      <c r="P23" s="10">
        <v>1209181</v>
      </c>
    </row>
    <row r="24" spans="1:16" ht="27" customHeight="1" x14ac:dyDescent="0.2">
      <c r="A24" s="9" t="s">
        <v>16</v>
      </c>
      <c r="B24" s="10" t="s">
        <v>106</v>
      </c>
      <c r="C24" s="11" t="s">
        <v>18</v>
      </c>
      <c r="D24" s="11" t="s">
        <v>19</v>
      </c>
      <c r="E24" s="11" t="s">
        <v>19</v>
      </c>
      <c r="F24" s="11" t="s">
        <v>107</v>
      </c>
      <c r="G24" s="11" t="s">
        <v>83</v>
      </c>
      <c r="H24" s="11" t="s">
        <v>108</v>
      </c>
      <c r="I24" s="11" t="s">
        <v>109</v>
      </c>
      <c r="J24" s="12">
        <v>0.50749999999999995</v>
      </c>
      <c r="K24" s="13">
        <v>17</v>
      </c>
      <c r="L24" s="14">
        <v>9291</v>
      </c>
      <c r="M24" s="10">
        <v>3276</v>
      </c>
      <c r="N24" s="10">
        <v>1026671</v>
      </c>
      <c r="O24" s="10">
        <v>256898</v>
      </c>
      <c r="P24" s="10">
        <v>1283569</v>
      </c>
    </row>
    <row r="25" spans="1:16" ht="27" customHeight="1" x14ac:dyDescent="0.2">
      <c r="A25" s="9" t="s">
        <v>16</v>
      </c>
      <c r="B25" s="10" t="s">
        <v>110</v>
      </c>
      <c r="C25" s="11" t="s">
        <v>18</v>
      </c>
      <c r="D25" s="11" t="s">
        <v>19</v>
      </c>
      <c r="E25" s="11" t="s">
        <v>19</v>
      </c>
      <c r="F25" s="11" t="s">
        <v>111</v>
      </c>
      <c r="G25" s="11" t="s">
        <v>83</v>
      </c>
      <c r="H25" s="11" t="s">
        <v>112</v>
      </c>
      <c r="I25" s="11" t="s">
        <v>113</v>
      </c>
      <c r="J25" s="12">
        <v>0.61729999999999996</v>
      </c>
      <c r="K25" s="13">
        <v>4</v>
      </c>
      <c r="L25" s="14">
        <v>644</v>
      </c>
      <c r="M25" s="10">
        <v>397</v>
      </c>
      <c r="N25" s="10">
        <v>71163</v>
      </c>
      <c r="O25" s="10">
        <v>31133</v>
      </c>
      <c r="P25" s="10">
        <v>102296</v>
      </c>
    </row>
    <row r="26" spans="1:16" ht="27" customHeight="1" x14ac:dyDescent="0.2">
      <c r="A26" s="9" t="s">
        <v>16</v>
      </c>
      <c r="B26" s="10" t="s">
        <v>114</v>
      </c>
      <c r="C26" s="11" t="s">
        <v>18</v>
      </c>
      <c r="D26" s="11" t="s">
        <v>19</v>
      </c>
      <c r="E26" s="11" t="s">
        <v>19</v>
      </c>
      <c r="F26" s="11" t="s">
        <v>115</v>
      </c>
      <c r="G26" s="11" t="s">
        <v>83</v>
      </c>
      <c r="H26" s="11" t="s">
        <v>116</v>
      </c>
      <c r="I26" s="11" t="s">
        <v>117</v>
      </c>
      <c r="J26" s="12">
        <v>0.62919999999999998</v>
      </c>
      <c r="K26" s="13">
        <v>44</v>
      </c>
      <c r="L26" s="14">
        <v>33002</v>
      </c>
      <c r="M26" s="10">
        <v>7332</v>
      </c>
      <c r="N26" s="10">
        <v>3646777</v>
      </c>
      <c r="O26" s="10">
        <v>574966</v>
      </c>
      <c r="P26" s="10">
        <v>4221743</v>
      </c>
    </row>
    <row r="27" spans="1:16" ht="27" customHeight="1" x14ac:dyDescent="0.2">
      <c r="A27" s="9" t="s">
        <v>16</v>
      </c>
      <c r="B27" s="10" t="s">
        <v>114</v>
      </c>
      <c r="C27" s="11" t="s">
        <v>118</v>
      </c>
      <c r="D27" s="11" t="s">
        <v>119</v>
      </c>
      <c r="E27" s="11" t="s">
        <v>57</v>
      </c>
      <c r="F27" s="11" t="s">
        <v>120</v>
      </c>
      <c r="G27" s="11" t="s">
        <v>28</v>
      </c>
      <c r="H27" s="11" t="s">
        <v>120</v>
      </c>
      <c r="I27" s="11" t="s">
        <v>121</v>
      </c>
      <c r="J27" s="12">
        <v>0.3392</v>
      </c>
      <c r="K27" s="13">
        <v>1</v>
      </c>
      <c r="L27" s="14">
        <v>401</v>
      </c>
      <c r="M27" s="10">
        <v>136</v>
      </c>
      <c r="N27" s="10">
        <v>44311</v>
      </c>
      <c r="O27" s="10">
        <v>10665</v>
      </c>
      <c r="P27" s="10">
        <v>54976</v>
      </c>
    </row>
    <row r="28" spans="1:16" ht="27" customHeight="1" x14ac:dyDescent="0.2">
      <c r="A28" s="9" t="s">
        <v>16</v>
      </c>
      <c r="B28" s="10" t="s">
        <v>122</v>
      </c>
      <c r="C28" s="11" t="s">
        <v>18</v>
      </c>
      <c r="D28" s="11" t="s">
        <v>19</v>
      </c>
      <c r="E28" s="11" t="s">
        <v>19</v>
      </c>
      <c r="F28" s="11" t="s">
        <v>123</v>
      </c>
      <c r="G28" s="11" t="s">
        <v>83</v>
      </c>
      <c r="H28" s="11" t="s">
        <v>124</v>
      </c>
      <c r="I28" s="11" t="s">
        <v>125</v>
      </c>
      <c r="J28" s="12">
        <v>0.80359999999999998</v>
      </c>
      <c r="K28" s="13">
        <v>30</v>
      </c>
      <c r="L28" s="14">
        <v>18519</v>
      </c>
      <c r="M28" s="10">
        <v>13061</v>
      </c>
      <c r="N28" s="10">
        <v>2046382</v>
      </c>
      <c r="O28" s="10">
        <v>1024231</v>
      </c>
      <c r="P28" s="10">
        <v>3070613</v>
      </c>
    </row>
    <row r="29" spans="1:16" ht="27" customHeight="1" x14ac:dyDescent="0.2">
      <c r="A29" s="9" t="s">
        <v>16</v>
      </c>
      <c r="B29" s="10" t="s">
        <v>122</v>
      </c>
      <c r="C29" s="11" t="s">
        <v>126</v>
      </c>
      <c r="D29" s="11" t="s">
        <v>127</v>
      </c>
      <c r="E29" s="11" t="s">
        <v>26</v>
      </c>
      <c r="F29" s="11" t="s">
        <v>128</v>
      </c>
      <c r="G29" s="11" t="s">
        <v>28</v>
      </c>
      <c r="H29" s="11" t="s">
        <v>22</v>
      </c>
      <c r="I29" s="11" t="s">
        <v>23</v>
      </c>
      <c r="J29" s="12">
        <v>0.99760000000000004</v>
      </c>
      <c r="K29" s="13">
        <v>1</v>
      </c>
      <c r="L29" s="14">
        <v>582</v>
      </c>
      <c r="M29" s="10">
        <v>270</v>
      </c>
      <c r="N29" s="10">
        <v>64312</v>
      </c>
      <c r="O29" s="10">
        <v>21173</v>
      </c>
      <c r="P29" s="10">
        <v>85485</v>
      </c>
    </row>
    <row r="30" spans="1:16" ht="27" customHeight="1" x14ac:dyDescent="0.2">
      <c r="A30" s="9" t="s">
        <v>16</v>
      </c>
      <c r="B30" s="10" t="s">
        <v>122</v>
      </c>
      <c r="C30" s="11" t="s">
        <v>129</v>
      </c>
      <c r="D30" s="11" t="s">
        <v>130</v>
      </c>
      <c r="E30" s="11" t="s">
        <v>26</v>
      </c>
      <c r="F30" s="11" t="s">
        <v>131</v>
      </c>
      <c r="G30" s="11" t="s">
        <v>28</v>
      </c>
      <c r="H30" s="11" t="s">
        <v>131</v>
      </c>
      <c r="I30" s="11" t="s">
        <v>132</v>
      </c>
      <c r="J30" s="12">
        <v>0.68730000000000002</v>
      </c>
      <c r="K30" s="13">
        <v>1</v>
      </c>
      <c r="L30" s="14">
        <v>614</v>
      </c>
      <c r="M30" s="10">
        <v>422</v>
      </c>
      <c r="N30" s="10">
        <v>67848</v>
      </c>
      <c r="O30" s="10">
        <v>33093</v>
      </c>
      <c r="P30" s="10">
        <v>100941</v>
      </c>
    </row>
    <row r="31" spans="1:16" ht="27" customHeight="1" x14ac:dyDescent="0.2">
      <c r="A31" s="9" t="s">
        <v>16</v>
      </c>
      <c r="B31" s="10" t="s">
        <v>122</v>
      </c>
      <c r="C31" s="11" t="s">
        <v>133</v>
      </c>
      <c r="D31" s="11" t="s">
        <v>134</v>
      </c>
      <c r="E31" s="11" t="s">
        <v>26</v>
      </c>
      <c r="F31" s="11" t="s">
        <v>135</v>
      </c>
      <c r="G31" s="11" t="s">
        <v>28</v>
      </c>
      <c r="H31" s="11" t="s">
        <v>135</v>
      </c>
      <c r="I31" s="11" t="s">
        <v>136</v>
      </c>
      <c r="J31" s="12">
        <v>0.26040000000000002</v>
      </c>
      <c r="K31" s="13">
        <v>1</v>
      </c>
      <c r="L31" s="14">
        <v>553</v>
      </c>
      <c r="M31" s="10">
        <v>144</v>
      </c>
      <c r="N31" s="10">
        <v>61107</v>
      </c>
      <c r="O31" s="10">
        <v>11292</v>
      </c>
      <c r="P31" s="10">
        <v>72399</v>
      </c>
    </row>
    <row r="32" spans="1:16" ht="27" customHeight="1" x14ac:dyDescent="0.2">
      <c r="A32" s="9" t="s">
        <v>16</v>
      </c>
      <c r="B32" s="10" t="s">
        <v>122</v>
      </c>
      <c r="C32" s="11" t="s">
        <v>137</v>
      </c>
      <c r="D32" s="11" t="s">
        <v>138</v>
      </c>
      <c r="E32" s="11" t="s">
        <v>26</v>
      </c>
      <c r="F32" s="11" t="s">
        <v>139</v>
      </c>
      <c r="G32" s="11" t="s">
        <v>28</v>
      </c>
      <c r="H32" s="11" t="s">
        <v>139</v>
      </c>
      <c r="I32" s="11" t="s">
        <v>140</v>
      </c>
      <c r="J32" s="12">
        <v>0.61809999999999998</v>
      </c>
      <c r="K32" s="13">
        <v>1</v>
      </c>
      <c r="L32" s="14">
        <v>775</v>
      </c>
      <c r="M32" s="10">
        <v>479</v>
      </c>
      <c r="N32" s="10">
        <v>85639</v>
      </c>
      <c r="O32" s="10">
        <v>37563</v>
      </c>
      <c r="P32" s="10">
        <v>123202</v>
      </c>
    </row>
    <row r="33" spans="1:16" ht="27" customHeight="1" x14ac:dyDescent="0.2">
      <c r="A33" s="9" t="s">
        <v>16</v>
      </c>
      <c r="B33" s="10" t="s">
        <v>141</v>
      </c>
      <c r="C33" s="11" t="s">
        <v>18</v>
      </c>
      <c r="D33" s="11" t="s">
        <v>19</v>
      </c>
      <c r="E33" s="11" t="s">
        <v>19</v>
      </c>
      <c r="F33" s="11" t="s">
        <v>142</v>
      </c>
      <c r="G33" s="11" t="s">
        <v>83</v>
      </c>
      <c r="H33" s="11" t="s">
        <v>143</v>
      </c>
      <c r="I33" s="11" t="s">
        <v>144</v>
      </c>
      <c r="J33" s="12">
        <v>0.62570000000000003</v>
      </c>
      <c r="K33" s="13">
        <v>19</v>
      </c>
      <c r="L33" s="14">
        <v>13095</v>
      </c>
      <c r="M33" s="10">
        <v>3880</v>
      </c>
      <c r="N33" s="10">
        <v>1447018</v>
      </c>
      <c r="O33" s="10">
        <v>304265</v>
      </c>
      <c r="P33" s="10">
        <v>1751283</v>
      </c>
    </row>
    <row r="34" spans="1:16" ht="27" customHeight="1" x14ac:dyDescent="0.2">
      <c r="A34" s="9" t="s">
        <v>16</v>
      </c>
      <c r="B34" s="10" t="s">
        <v>145</v>
      </c>
      <c r="C34" s="11" t="s">
        <v>18</v>
      </c>
      <c r="D34" s="11" t="s">
        <v>19</v>
      </c>
      <c r="E34" s="11" t="s">
        <v>19</v>
      </c>
      <c r="F34" s="11" t="s">
        <v>146</v>
      </c>
      <c r="G34" s="11" t="s">
        <v>83</v>
      </c>
      <c r="H34" s="11" t="s">
        <v>146</v>
      </c>
      <c r="I34" s="11" t="s">
        <v>147</v>
      </c>
      <c r="J34" s="12">
        <v>0.57140000000000002</v>
      </c>
      <c r="K34" s="13">
        <v>2</v>
      </c>
      <c r="L34" s="14">
        <v>21</v>
      </c>
      <c r="M34" s="10">
        <v>12</v>
      </c>
      <c r="N34" s="10">
        <v>2321</v>
      </c>
      <c r="O34" s="10">
        <v>941</v>
      </c>
      <c r="P34" s="10">
        <v>3262</v>
      </c>
    </row>
    <row r="35" spans="1:16" ht="27" customHeight="1" x14ac:dyDescent="0.2">
      <c r="A35" s="9" t="s">
        <v>16</v>
      </c>
      <c r="B35" s="10" t="s">
        <v>148</v>
      </c>
      <c r="C35" s="11" t="s">
        <v>18</v>
      </c>
      <c r="D35" s="11" t="s">
        <v>19</v>
      </c>
      <c r="E35" s="11" t="s">
        <v>19</v>
      </c>
      <c r="F35" s="11" t="s">
        <v>149</v>
      </c>
      <c r="G35" s="11" t="s">
        <v>83</v>
      </c>
      <c r="H35" s="11" t="s">
        <v>150</v>
      </c>
      <c r="I35" s="11" t="s">
        <v>151</v>
      </c>
      <c r="J35" s="12">
        <v>0.59499999999999997</v>
      </c>
      <c r="K35" s="13">
        <v>11</v>
      </c>
      <c r="L35" s="14">
        <v>4952</v>
      </c>
      <c r="M35" s="10">
        <v>2026</v>
      </c>
      <c r="N35" s="10">
        <v>547204</v>
      </c>
      <c r="O35" s="10">
        <v>158877</v>
      </c>
      <c r="P35" s="10">
        <v>706081</v>
      </c>
    </row>
    <row r="36" spans="1:16" ht="27" customHeight="1" x14ac:dyDescent="0.2">
      <c r="A36" s="9" t="s">
        <v>16</v>
      </c>
      <c r="B36" s="10" t="s">
        <v>152</v>
      </c>
      <c r="C36" s="11" t="s">
        <v>18</v>
      </c>
      <c r="D36" s="11" t="s">
        <v>19</v>
      </c>
      <c r="E36" s="11" t="s">
        <v>19</v>
      </c>
      <c r="F36" s="11" t="s">
        <v>153</v>
      </c>
      <c r="G36" s="11" t="s">
        <v>83</v>
      </c>
      <c r="H36" s="11" t="s">
        <v>154</v>
      </c>
      <c r="I36" s="11" t="s">
        <v>155</v>
      </c>
      <c r="J36" s="12">
        <v>0.50690000000000002</v>
      </c>
      <c r="K36" s="13">
        <v>14</v>
      </c>
      <c r="L36" s="14">
        <v>10505</v>
      </c>
      <c r="M36" s="10">
        <v>4183</v>
      </c>
      <c r="N36" s="10">
        <v>1160822</v>
      </c>
      <c r="O36" s="10">
        <v>328026</v>
      </c>
      <c r="P36" s="10">
        <v>1488848</v>
      </c>
    </row>
    <row r="37" spans="1:16" ht="27" customHeight="1" x14ac:dyDescent="0.2">
      <c r="A37" s="9" t="s">
        <v>16</v>
      </c>
      <c r="B37" s="10" t="s">
        <v>156</v>
      </c>
      <c r="C37" s="11" t="s">
        <v>18</v>
      </c>
      <c r="D37" s="11" t="s">
        <v>19</v>
      </c>
      <c r="E37" s="11" t="s">
        <v>19</v>
      </c>
      <c r="F37" s="11" t="s">
        <v>157</v>
      </c>
      <c r="G37" s="11" t="s">
        <v>83</v>
      </c>
      <c r="H37" s="11" t="s">
        <v>22</v>
      </c>
      <c r="I37" s="11" t="s">
        <v>23</v>
      </c>
      <c r="J37" s="12">
        <v>0.99760000000000004</v>
      </c>
      <c r="K37" s="13">
        <v>83</v>
      </c>
      <c r="L37" s="14">
        <v>35300</v>
      </c>
      <c r="M37" s="10">
        <v>27518</v>
      </c>
      <c r="N37" s="10">
        <v>3900711</v>
      </c>
      <c r="O37" s="10">
        <v>2157931</v>
      </c>
      <c r="P37" s="10">
        <v>6058642</v>
      </c>
    </row>
    <row r="38" spans="1:16" ht="27" customHeight="1" x14ac:dyDescent="0.2">
      <c r="A38" s="9" t="s">
        <v>16</v>
      </c>
      <c r="B38" s="10" t="s">
        <v>156</v>
      </c>
      <c r="C38" s="11" t="s">
        <v>158</v>
      </c>
      <c r="D38" s="11" t="s">
        <v>159</v>
      </c>
      <c r="E38" s="11" t="s">
        <v>26</v>
      </c>
      <c r="F38" s="11" t="s">
        <v>160</v>
      </c>
      <c r="G38" s="11" t="s">
        <v>28</v>
      </c>
      <c r="H38" s="11" t="s">
        <v>22</v>
      </c>
      <c r="I38" s="11" t="s">
        <v>23</v>
      </c>
      <c r="J38" s="12">
        <v>0.99760000000000004</v>
      </c>
      <c r="K38" s="13">
        <v>1</v>
      </c>
      <c r="L38" s="14">
        <v>351</v>
      </c>
      <c r="M38" s="10">
        <v>315</v>
      </c>
      <c r="N38" s="10">
        <v>38786</v>
      </c>
      <c r="O38" s="10">
        <v>24702</v>
      </c>
      <c r="P38" s="10">
        <v>63488</v>
      </c>
    </row>
    <row r="39" spans="1:16" ht="27" customHeight="1" x14ac:dyDescent="0.2">
      <c r="A39" s="9" t="s">
        <v>16</v>
      </c>
      <c r="B39" s="10" t="s">
        <v>156</v>
      </c>
      <c r="C39" s="11" t="s">
        <v>161</v>
      </c>
      <c r="D39" s="11" t="s">
        <v>162</v>
      </c>
      <c r="E39" s="11" t="s">
        <v>26</v>
      </c>
      <c r="F39" s="11" t="s">
        <v>163</v>
      </c>
      <c r="G39" s="11" t="s">
        <v>28</v>
      </c>
      <c r="H39" s="11" t="s">
        <v>163</v>
      </c>
      <c r="I39" s="11" t="s">
        <v>164</v>
      </c>
      <c r="J39" s="12">
        <v>0.80520000000000003</v>
      </c>
      <c r="K39" s="13">
        <v>1</v>
      </c>
      <c r="L39" s="14">
        <v>349</v>
      </c>
      <c r="M39" s="10">
        <v>281</v>
      </c>
      <c r="N39" s="10">
        <v>38565</v>
      </c>
      <c r="O39" s="10">
        <v>22036</v>
      </c>
      <c r="P39" s="10">
        <v>60601</v>
      </c>
    </row>
    <row r="40" spans="1:16" ht="27" customHeight="1" x14ac:dyDescent="0.2">
      <c r="A40" s="9" t="s">
        <v>16</v>
      </c>
      <c r="B40" s="10" t="s">
        <v>156</v>
      </c>
      <c r="C40" s="11" t="s">
        <v>165</v>
      </c>
      <c r="D40" s="11" t="s">
        <v>166</v>
      </c>
      <c r="E40" s="11" t="s">
        <v>26</v>
      </c>
      <c r="F40" s="11" t="s">
        <v>167</v>
      </c>
      <c r="G40" s="11" t="s">
        <v>28</v>
      </c>
      <c r="H40" s="11" t="s">
        <v>22</v>
      </c>
      <c r="I40" s="11" t="s">
        <v>23</v>
      </c>
      <c r="J40" s="12">
        <v>0.99760000000000004</v>
      </c>
      <c r="K40" s="13">
        <v>1</v>
      </c>
      <c r="L40" s="14">
        <v>307</v>
      </c>
      <c r="M40" s="10">
        <v>292</v>
      </c>
      <c r="N40" s="10">
        <v>33924</v>
      </c>
      <c r="O40" s="10">
        <v>22898</v>
      </c>
      <c r="P40" s="10">
        <v>56822</v>
      </c>
    </row>
    <row r="41" spans="1:16" ht="27" customHeight="1" x14ac:dyDescent="0.2">
      <c r="A41" s="9" t="s">
        <v>16</v>
      </c>
      <c r="B41" s="10" t="s">
        <v>156</v>
      </c>
      <c r="C41" s="11" t="s">
        <v>168</v>
      </c>
      <c r="D41" s="11" t="s">
        <v>169</v>
      </c>
      <c r="E41" s="11" t="s">
        <v>26</v>
      </c>
      <c r="F41" s="11" t="s">
        <v>170</v>
      </c>
      <c r="G41" s="11" t="s">
        <v>28</v>
      </c>
      <c r="H41" s="11" t="s">
        <v>170</v>
      </c>
      <c r="I41" s="11" t="s">
        <v>171</v>
      </c>
      <c r="J41" s="12">
        <v>0.71699999999999997</v>
      </c>
      <c r="K41" s="13">
        <v>1</v>
      </c>
      <c r="L41" s="14">
        <v>523</v>
      </c>
      <c r="M41" s="10">
        <v>375</v>
      </c>
      <c r="N41" s="10">
        <v>57792</v>
      </c>
      <c r="O41" s="10">
        <v>29407</v>
      </c>
      <c r="P41" s="10">
        <v>87199</v>
      </c>
    </row>
    <row r="42" spans="1:16" ht="27" customHeight="1" x14ac:dyDescent="0.2">
      <c r="A42" s="9" t="s">
        <v>16</v>
      </c>
      <c r="B42" s="10" t="s">
        <v>156</v>
      </c>
      <c r="C42" s="11" t="s">
        <v>172</v>
      </c>
      <c r="D42" s="11" t="s">
        <v>173</v>
      </c>
      <c r="E42" s="11" t="s">
        <v>26</v>
      </c>
      <c r="F42" s="11" t="s">
        <v>174</v>
      </c>
      <c r="G42" s="11" t="s">
        <v>28</v>
      </c>
      <c r="H42" s="11" t="s">
        <v>174</v>
      </c>
      <c r="I42" s="11" t="s">
        <v>175</v>
      </c>
      <c r="J42" s="12">
        <v>0.88329999999999997</v>
      </c>
      <c r="K42" s="13">
        <v>1</v>
      </c>
      <c r="L42" s="14">
        <v>557</v>
      </c>
      <c r="M42" s="10">
        <v>492</v>
      </c>
      <c r="N42" s="10">
        <v>61549</v>
      </c>
      <c r="O42" s="10">
        <v>38582</v>
      </c>
      <c r="P42" s="10">
        <v>100131</v>
      </c>
    </row>
    <row r="43" spans="1:16" ht="27" customHeight="1" x14ac:dyDescent="0.2">
      <c r="A43" s="9" t="s">
        <v>16</v>
      </c>
      <c r="B43" s="10" t="s">
        <v>156</v>
      </c>
      <c r="C43" s="11" t="s">
        <v>176</v>
      </c>
      <c r="D43" s="11" t="s">
        <v>177</v>
      </c>
      <c r="E43" s="11" t="s">
        <v>26</v>
      </c>
      <c r="F43" s="11" t="s">
        <v>178</v>
      </c>
      <c r="G43" s="11" t="s">
        <v>28</v>
      </c>
      <c r="H43" s="11" t="s">
        <v>22</v>
      </c>
      <c r="I43" s="11" t="s">
        <v>23</v>
      </c>
      <c r="J43" s="12">
        <v>0.99760000000000004</v>
      </c>
      <c r="K43" s="13">
        <v>1</v>
      </c>
      <c r="L43" s="14">
        <v>433</v>
      </c>
      <c r="M43" s="10">
        <v>339</v>
      </c>
      <c r="N43" s="10">
        <v>47847</v>
      </c>
      <c r="O43" s="10">
        <v>26584</v>
      </c>
      <c r="P43" s="10">
        <v>74431</v>
      </c>
    </row>
    <row r="44" spans="1:16" ht="27" customHeight="1" x14ac:dyDescent="0.2">
      <c r="A44" s="9" t="s">
        <v>16</v>
      </c>
      <c r="B44" s="10" t="s">
        <v>156</v>
      </c>
      <c r="C44" s="11" t="s">
        <v>179</v>
      </c>
      <c r="D44" s="11" t="s">
        <v>180</v>
      </c>
      <c r="E44" s="11" t="s">
        <v>26</v>
      </c>
      <c r="F44" s="11" t="s">
        <v>181</v>
      </c>
      <c r="G44" s="11" t="s">
        <v>28</v>
      </c>
      <c r="H44" s="11" t="s">
        <v>181</v>
      </c>
      <c r="I44" s="11" t="s">
        <v>182</v>
      </c>
      <c r="J44" s="12">
        <v>0.67359999999999998</v>
      </c>
      <c r="K44" s="13">
        <v>1</v>
      </c>
      <c r="L44" s="14">
        <v>625</v>
      </c>
      <c r="M44" s="10">
        <v>421</v>
      </c>
      <c r="N44" s="10">
        <v>69064</v>
      </c>
      <c r="O44" s="10">
        <v>33014</v>
      </c>
      <c r="P44" s="10">
        <v>102078</v>
      </c>
    </row>
    <row r="45" spans="1:16" ht="27" customHeight="1" x14ac:dyDescent="0.2">
      <c r="A45" s="9" t="s">
        <v>16</v>
      </c>
      <c r="B45" s="10" t="s">
        <v>156</v>
      </c>
      <c r="C45" s="11" t="s">
        <v>183</v>
      </c>
      <c r="D45" s="11" t="s">
        <v>184</v>
      </c>
      <c r="E45" s="11" t="s">
        <v>26</v>
      </c>
      <c r="F45" s="11" t="s">
        <v>185</v>
      </c>
      <c r="G45" s="11" t="s">
        <v>28</v>
      </c>
      <c r="H45" s="11" t="s">
        <v>22</v>
      </c>
      <c r="I45" s="11" t="s">
        <v>23</v>
      </c>
      <c r="J45" s="12">
        <v>0.99760000000000004</v>
      </c>
      <c r="K45" s="13">
        <v>1</v>
      </c>
      <c r="L45" s="14">
        <v>417</v>
      </c>
      <c r="M45" s="10">
        <v>344</v>
      </c>
      <c r="N45" s="10">
        <v>46079</v>
      </c>
      <c r="O45" s="10">
        <v>26976</v>
      </c>
      <c r="P45" s="10">
        <v>73055</v>
      </c>
    </row>
    <row r="46" spans="1:16" ht="27" customHeight="1" x14ac:dyDescent="0.2">
      <c r="A46" s="9" t="s">
        <v>16</v>
      </c>
      <c r="B46" s="10" t="s">
        <v>156</v>
      </c>
      <c r="C46" s="11" t="s">
        <v>186</v>
      </c>
      <c r="D46" s="11" t="s">
        <v>187</v>
      </c>
      <c r="E46" s="11" t="s">
        <v>26</v>
      </c>
      <c r="F46" s="11" t="s">
        <v>188</v>
      </c>
      <c r="G46" s="11" t="s">
        <v>28</v>
      </c>
      <c r="H46" s="11" t="s">
        <v>188</v>
      </c>
      <c r="I46" s="11" t="s">
        <v>189</v>
      </c>
      <c r="J46" s="12">
        <v>0.90959999999999996</v>
      </c>
      <c r="K46" s="13">
        <v>1</v>
      </c>
      <c r="L46" s="14">
        <v>509</v>
      </c>
      <c r="M46" s="10">
        <v>463</v>
      </c>
      <c r="N46" s="10">
        <v>56245</v>
      </c>
      <c r="O46" s="10">
        <v>36308</v>
      </c>
      <c r="P46" s="10">
        <v>92553</v>
      </c>
    </row>
    <row r="47" spans="1:16" ht="27" customHeight="1" x14ac:dyDescent="0.2">
      <c r="A47" s="9" t="s">
        <v>16</v>
      </c>
      <c r="B47" s="10" t="s">
        <v>156</v>
      </c>
      <c r="C47" s="11" t="s">
        <v>190</v>
      </c>
      <c r="D47" s="11" t="s">
        <v>191</v>
      </c>
      <c r="E47" s="11" t="s">
        <v>26</v>
      </c>
      <c r="F47" s="11" t="s">
        <v>192</v>
      </c>
      <c r="G47" s="11" t="s">
        <v>28</v>
      </c>
      <c r="H47" s="11" t="s">
        <v>22</v>
      </c>
      <c r="I47" s="11" t="s">
        <v>23</v>
      </c>
      <c r="J47" s="12">
        <v>0.99760000000000004</v>
      </c>
      <c r="K47" s="13">
        <v>1</v>
      </c>
      <c r="L47" s="14">
        <v>404</v>
      </c>
      <c r="M47" s="10">
        <v>258</v>
      </c>
      <c r="N47" s="10">
        <v>44643</v>
      </c>
      <c r="O47" s="10">
        <v>20232</v>
      </c>
      <c r="P47" s="10">
        <v>64875</v>
      </c>
    </row>
    <row r="48" spans="1:16" ht="27" customHeight="1" x14ac:dyDescent="0.2">
      <c r="A48" s="9" t="s">
        <v>16</v>
      </c>
      <c r="B48" s="10" t="s">
        <v>156</v>
      </c>
      <c r="C48" s="11" t="s">
        <v>193</v>
      </c>
      <c r="D48" s="11" t="s">
        <v>194</v>
      </c>
      <c r="E48" s="11" t="s">
        <v>26</v>
      </c>
      <c r="F48" s="11" t="s">
        <v>195</v>
      </c>
      <c r="G48" s="11" t="s">
        <v>28</v>
      </c>
      <c r="H48" s="11" t="s">
        <v>195</v>
      </c>
      <c r="I48" s="11" t="s">
        <v>196</v>
      </c>
      <c r="J48" s="12">
        <v>0.80869999999999997</v>
      </c>
      <c r="K48" s="13">
        <v>1</v>
      </c>
      <c r="L48" s="14">
        <v>366</v>
      </c>
      <c r="M48" s="10">
        <v>296</v>
      </c>
      <c r="N48" s="10">
        <v>40444</v>
      </c>
      <c r="O48" s="10">
        <v>23212</v>
      </c>
      <c r="P48" s="10">
        <v>63656</v>
      </c>
    </row>
    <row r="49" spans="1:16" ht="27" customHeight="1" x14ac:dyDescent="0.2">
      <c r="A49" s="9" t="s">
        <v>16</v>
      </c>
      <c r="B49" s="10" t="s">
        <v>156</v>
      </c>
      <c r="C49" s="11" t="s">
        <v>197</v>
      </c>
      <c r="D49" s="11" t="s">
        <v>198</v>
      </c>
      <c r="E49" s="11" t="s">
        <v>26</v>
      </c>
      <c r="F49" s="11" t="s">
        <v>199</v>
      </c>
      <c r="G49" s="11" t="s">
        <v>28</v>
      </c>
      <c r="H49" s="11" t="s">
        <v>199</v>
      </c>
      <c r="I49" s="11" t="s">
        <v>200</v>
      </c>
      <c r="J49" s="12">
        <v>0.80789999999999995</v>
      </c>
      <c r="K49" s="13">
        <v>1</v>
      </c>
      <c r="L49" s="14">
        <v>432</v>
      </c>
      <c r="M49" s="10">
        <v>349</v>
      </c>
      <c r="N49" s="10">
        <v>47737</v>
      </c>
      <c r="O49" s="10">
        <v>27368</v>
      </c>
      <c r="P49" s="10">
        <v>75105</v>
      </c>
    </row>
    <row r="50" spans="1:16" ht="27" customHeight="1" x14ac:dyDescent="0.2">
      <c r="A50" s="9" t="s">
        <v>16</v>
      </c>
      <c r="B50" s="10" t="s">
        <v>156</v>
      </c>
      <c r="C50" s="11" t="s">
        <v>201</v>
      </c>
      <c r="D50" s="11" t="s">
        <v>202</v>
      </c>
      <c r="E50" s="11" t="s">
        <v>26</v>
      </c>
      <c r="F50" s="11" t="s">
        <v>203</v>
      </c>
      <c r="G50" s="11" t="s">
        <v>28</v>
      </c>
      <c r="H50" s="11" t="s">
        <v>22</v>
      </c>
      <c r="I50" s="11" t="s">
        <v>23</v>
      </c>
      <c r="J50" s="12">
        <v>0.99760000000000004</v>
      </c>
      <c r="K50" s="13">
        <v>1</v>
      </c>
      <c r="L50" s="14">
        <v>348</v>
      </c>
      <c r="M50" s="10">
        <v>208</v>
      </c>
      <c r="N50" s="10">
        <v>38455</v>
      </c>
      <c r="O50" s="10">
        <v>16311</v>
      </c>
      <c r="P50" s="10">
        <v>54766</v>
      </c>
    </row>
    <row r="51" spans="1:16" ht="27" customHeight="1" x14ac:dyDescent="0.2">
      <c r="A51" s="9" t="s">
        <v>16</v>
      </c>
      <c r="B51" s="10" t="s">
        <v>156</v>
      </c>
      <c r="C51" s="11" t="s">
        <v>204</v>
      </c>
      <c r="D51" s="11" t="s">
        <v>205</v>
      </c>
      <c r="E51" s="11" t="s">
        <v>26</v>
      </c>
      <c r="F51" s="11" t="s">
        <v>206</v>
      </c>
      <c r="G51" s="11" t="s">
        <v>28</v>
      </c>
      <c r="H51" s="11" t="s">
        <v>206</v>
      </c>
      <c r="I51" s="11" t="s">
        <v>207</v>
      </c>
      <c r="J51" s="12">
        <v>0.90049999999999997</v>
      </c>
      <c r="K51" s="13">
        <v>1</v>
      </c>
      <c r="L51" s="14">
        <v>201</v>
      </c>
      <c r="M51" s="10">
        <v>181</v>
      </c>
      <c r="N51" s="10">
        <v>22211</v>
      </c>
      <c r="O51" s="10">
        <v>14194</v>
      </c>
      <c r="P51" s="10">
        <v>36405</v>
      </c>
    </row>
    <row r="52" spans="1:16" ht="27" customHeight="1" x14ac:dyDescent="0.2">
      <c r="A52" s="9" t="s">
        <v>16</v>
      </c>
      <c r="B52" s="10" t="s">
        <v>156</v>
      </c>
      <c r="C52" s="11" t="s">
        <v>208</v>
      </c>
      <c r="D52" s="11" t="s">
        <v>209</v>
      </c>
      <c r="E52" s="11" t="s">
        <v>26</v>
      </c>
      <c r="F52" s="11" t="s">
        <v>210</v>
      </c>
      <c r="G52" s="11" t="s">
        <v>28</v>
      </c>
      <c r="H52" s="11" t="s">
        <v>22</v>
      </c>
      <c r="I52" s="11" t="s">
        <v>23</v>
      </c>
      <c r="J52" s="12">
        <v>0.99760000000000004</v>
      </c>
      <c r="K52" s="13">
        <v>1</v>
      </c>
      <c r="L52" s="14">
        <v>259</v>
      </c>
      <c r="M52" s="10">
        <v>199</v>
      </c>
      <c r="N52" s="10">
        <v>28620</v>
      </c>
      <c r="O52" s="10">
        <v>15605</v>
      </c>
      <c r="P52" s="10">
        <v>44225</v>
      </c>
    </row>
    <row r="53" spans="1:16" ht="27" customHeight="1" x14ac:dyDescent="0.2">
      <c r="A53" s="9" t="s">
        <v>16</v>
      </c>
      <c r="B53" s="10" t="s">
        <v>156</v>
      </c>
      <c r="C53" s="11" t="s">
        <v>211</v>
      </c>
      <c r="D53" s="11" t="s">
        <v>212</v>
      </c>
      <c r="E53" s="11" t="s">
        <v>26</v>
      </c>
      <c r="F53" s="11" t="s">
        <v>213</v>
      </c>
      <c r="G53" s="11" t="s">
        <v>28</v>
      </c>
      <c r="H53" s="11" t="s">
        <v>213</v>
      </c>
      <c r="I53" s="11" t="s">
        <v>214</v>
      </c>
      <c r="J53" s="12">
        <v>0.2326</v>
      </c>
      <c r="K53" s="13">
        <v>1</v>
      </c>
      <c r="L53" s="14">
        <v>533</v>
      </c>
      <c r="M53" s="10">
        <v>124</v>
      </c>
      <c r="N53" s="10">
        <v>58897</v>
      </c>
      <c r="O53" s="10">
        <v>9724</v>
      </c>
      <c r="P53" s="10">
        <v>68621</v>
      </c>
    </row>
    <row r="54" spans="1:16" ht="27" customHeight="1" x14ac:dyDescent="0.2">
      <c r="A54" s="9" t="s">
        <v>16</v>
      </c>
      <c r="B54" s="10" t="s">
        <v>156</v>
      </c>
      <c r="C54" s="11" t="s">
        <v>215</v>
      </c>
      <c r="D54" s="11" t="s">
        <v>216</v>
      </c>
      <c r="E54" s="11" t="s">
        <v>26</v>
      </c>
      <c r="F54" s="11" t="s">
        <v>217</v>
      </c>
      <c r="G54" s="11" t="s">
        <v>28</v>
      </c>
      <c r="H54" s="11" t="s">
        <v>217</v>
      </c>
      <c r="I54" s="11" t="s">
        <v>218</v>
      </c>
      <c r="J54" s="12">
        <v>0.75439999999999996</v>
      </c>
      <c r="K54" s="13">
        <v>1</v>
      </c>
      <c r="L54" s="14">
        <v>456</v>
      </c>
      <c r="M54" s="10">
        <v>344</v>
      </c>
      <c r="N54" s="10">
        <v>50389</v>
      </c>
      <c r="O54" s="10">
        <v>26976</v>
      </c>
      <c r="P54" s="10">
        <v>77365</v>
      </c>
    </row>
    <row r="55" spans="1:16" ht="27" customHeight="1" x14ac:dyDescent="0.2">
      <c r="A55" s="9" t="s">
        <v>16</v>
      </c>
      <c r="B55" s="10" t="s">
        <v>156</v>
      </c>
      <c r="C55" s="11" t="s">
        <v>219</v>
      </c>
      <c r="D55" s="11" t="s">
        <v>220</v>
      </c>
      <c r="E55" s="11" t="s">
        <v>26</v>
      </c>
      <c r="F55" s="11" t="s">
        <v>221</v>
      </c>
      <c r="G55" s="11" t="s">
        <v>28</v>
      </c>
      <c r="H55" s="11" t="s">
        <v>221</v>
      </c>
      <c r="I55" s="11" t="s">
        <v>222</v>
      </c>
      <c r="J55" s="12">
        <v>0.94669999999999999</v>
      </c>
      <c r="K55" s="13">
        <v>1</v>
      </c>
      <c r="L55" s="14">
        <v>544</v>
      </c>
      <c r="M55" s="10">
        <v>515</v>
      </c>
      <c r="N55" s="10">
        <v>60113</v>
      </c>
      <c r="O55" s="10">
        <v>40386</v>
      </c>
      <c r="P55" s="10">
        <v>100499</v>
      </c>
    </row>
    <row r="56" spans="1:16" ht="27" customHeight="1" x14ac:dyDescent="0.2">
      <c r="A56" s="9" t="s">
        <v>16</v>
      </c>
      <c r="B56" s="10" t="s">
        <v>156</v>
      </c>
      <c r="C56" s="11" t="s">
        <v>223</v>
      </c>
      <c r="D56" s="11" t="s">
        <v>224</v>
      </c>
      <c r="E56" s="11" t="s">
        <v>26</v>
      </c>
      <c r="F56" s="11" t="s">
        <v>225</v>
      </c>
      <c r="G56" s="11" t="s">
        <v>28</v>
      </c>
      <c r="H56" s="11" t="s">
        <v>225</v>
      </c>
      <c r="I56" s="11" t="s">
        <v>226</v>
      </c>
      <c r="J56" s="12">
        <v>0.80269999999999997</v>
      </c>
      <c r="K56" s="13">
        <v>1</v>
      </c>
      <c r="L56" s="14">
        <v>451</v>
      </c>
      <c r="M56" s="10">
        <v>362</v>
      </c>
      <c r="N56" s="10">
        <v>49836</v>
      </c>
      <c r="O56" s="10">
        <v>28388</v>
      </c>
      <c r="P56" s="10">
        <v>78224</v>
      </c>
    </row>
    <row r="57" spans="1:16" ht="27" customHeight="1" x14ac:dyDescent="0.2">
      <c r="A57" s="9" t="s">
        <v>16</v>
      </c>
      <c r="B57" s="10" t="s">
        <v>156</v>
      </c>
      <c r="C57" s="11" t="s">
        <v>227</v>
      </c>
      <c r="D57" s="11" t="s">
        <v>228</v>
      </c>
      <c r="E57" s="11" t="s">
        <v>26</v>
      </c>
      <c r="F57" s="11" t="s">
        <v>229</v>
      </c>
      <c r="G57" s="11" t="s">
        <v>28</v>
      </c>
      <c r="H57" s="11" t="s">
        <v>229</v>
      </c>
      <c r="I57" s="11" t="s">
        <v>230</v>
      </c>
      <c r="J57" s="12">
        <v>0.94650000000000001</v>
      </c>
      <c r="K57" s="13">
        <v>1</v>
      </c>
      <c r="L57" s="14">
        <v>243</v>
      </c>
      <c r="M57" s="10">
        <v>230</v>
      </c>
      <c r="N57" s="10">
        <v>26852</v>
      </c>
      <c r="O57" s="10">
        <v>18036</v>
      </c>
      <c r="P57" s="10">
        <v>44888</v>
      </c>
    </row>
    <row r="58" spans="1:16" ht="27" customHeight="1" x14ac:dyDescent="0.2">
      <c r="A58" s="9" t="s">
        <v>16</v>
      </c>
      <c r="B58" s="10" t="s">
        <v>156</v>
      </c>
      <c r="C58" s="11" t="s">
        <v>231</v>
      </c>
      <c r="D58" s="11" t="s">
        <v>232</v>
      </c>
      <c r="E58" s="11" t="s">
        <v>26</v>
      </c>
      <c r="F58" s="11" t="s">
        <v>233</v>
      </c>
      <c r="G58" s="11" t="s">
        <v>28</v>
      </c>
      <c r="H58" s="11" t="s">
        <v>233</v>
      </c>
      <c r="I58" s="11" t="s">
        <v>234</v>
      </c>
      <c r="J58" s="12">
        <v>0.30969999999999998</v>
      </c>
      <c r="K58" s="13">
        <v>1</v>
      </c>
      <c r="L58" s="14">
        <v>339</v>
      </c>
      <c r="M58" s="10">
        <v>105</v>
      </c>
      <c r="N58" s="10">
        <v>37460</v>
      </c>
      <c r="O58" s="10">
        <v>8234</v>
      </c>
      <c r="P58" s="10">
        <v>45694</v>
      </c>
    </row>
    <row r="59" spans="1:16" ht="27" customHeight="1" x14ac:dyDescent="0.2">
      <c r="A59" s="9" t="s">
        <v>16</v>
      </c>
      <c r="B59" s="10" t="s">
        <v>156</v>
      </c>
      <c r="C59" s="11" t="s">
        <v>235</v>
      </c>
      <c r="D59" s="11" t="s">
        <v>236</v>
      </c>
      <c r="E59" s="11" t="s">
        <v>26</v>
      </c>
      <c r="F59" s="11" t="s">
        <v>237</v>
      </c>
      <c r="G59" s="11" t="s">
        <v>28</v>
      </c>
      <c r="H59" s="11" t="s">
        <v>237</v>
      </c>
      <c r="I59" s="11" t="s">
        <v>238</v>
      </c>
      <c r="J59" s="12">
        <v>0.91290000000000004</v>
      </c>
      <c r="K59" s="13">
        <v>1</v>
      </c>
      <c r="L59" s="14">
        <v>712</v>
      </c>
      <c r="M59" s="10">
        <v>650</v>
      </c>
      <c r="N59" s="10">
        <v>78677</v>
      </c>
      <c r="O59" s="10">
        <v>50972</v>
      </c>
      <c r="P59" s="10">
        <v>129649</v>
      </c>
    </row>
    <row r="60" spans="1:16" ht="27" customHeight="1" x14ac:dyDescent="0.2">
      <c r="A60" s="9" t="s">
        <v>16</v>
      </c>
      <c r="B60" s="10" t="s">
        <v>156</v>
      </c>
      <c r="C60" s="11" t="s">
        <v>239</v>
      </c>
      <c r="D60" s="11" t="s">
        <v>240</v>
      </c>
      <c r="E60" s="11" t="s">
        <v>26</v>
      </c>
      <c r="F60" s="11" t="s">
        <v>241</v>
      </c>
      <c r="G60" s="11" t="s">
        <v>28</v>
      </c>
      <c r="H60" s="11" t="s">
        <v>241</v>
      </c>
      <c r="I60" s="11" t="s">
        <v>242</v>
      </c>
      <c r="J60" s="12">
        <v>0.33250000000000002</v>
      </c>
      <c r="K60" s="13">
        <v>1</v>
      </c>
      <c r="L60" s="14">
        <v>779</v>
      </c>
      <c r="M60" s="10">
        <v>259</v>
      </c>
      <c r="N60" s="10">
        <v>86081</v>
      </c>
      <c r="O60" s="10">
        <v>20311</v>
      </c>
      <c r="P60" s="10">
        <v>106392</v>
      </c>
    </row>
    <row r="61" spans="1:16" ht="27" customHeight="1" x14ac:dyDescent="0.2">
      <c r="A61" s="9" t="s">
        <v>16</v>
      </c>
      <c r="B61" s="10" t="s">
        <v>156</v>
      </c>
      <c r="C61" s="11" t="s">
        <v>243</v>
      </c>
      <c r="D61" s="11" t="s">
        <v>244</v>
      </c>
      <c r="E61" s="11" t="s">
        <v>26</v>
      </c>
      <c r="F61" s="11" t="s">
        <v>245</v>
      </c>
      <c r="G61" s="11" t="s">
        <v>28</v>
      </c>
      <c r="H61" s="11" t="s">
        <v>22</v>
      </c>
      <c r="I61" s="11" t="s">
        <v>23</v>
      </c>
      <c r="J61" s="12">
        <v>0.99760000000000004</v>
      </c>
      <c r="K61" s="13">
        <v>1</v>
      </c>
      <c r="L61" s="14">
        <v>226</v>
      </c>
      <c r="M61" s="10">
        <v>192</v>
      </c>
      <c r="N61" s="10">
        <v>24973</v>
      </c>
      <c r="O61" s="10">
        <v>15056</v>
      </c>
      <c r="P61" s="10">
        <v>40029</v>
      </c>
    </row>
    <row r="62" spans="1:16" ht="27" customHeight="1" x14ac:dyDescent="0.2">
      <c r="A62" s="9" t="s">
        <v>16</v>
      </c>
      <c r="B62" s="10" t="s">
        <v>156</v>
      </c>
      <c r="C62" s="11" t="s">
        <v>246</v>
      </c>
      <c r="D62" s="11" t="s">
        <v>247</v>
      </c>
      <c r="E62" s="11" t="s">
        <v>26</v>
      </c>
      <c r="F62" s="11" t="s">
        <v>248</v>
      </c>
      <c r="G62" s="11" t="s">
        <v>28</v>
      </c>
      <c r="H62" s="11" t="s">
        <v>22</v>
      </c>
      <c r="I62" s="11" t="s">
        <v>23</v>
      </c>
      <c r="J62" s="12">
        <v>0.99760000000000004</v>
      </c>
      <c r="K62" s="13">
        <v>1</v>
      </c>
      <c r="L62" s="14">
        <v>225</v>
      </c>
      <c r="M62" s="10">
        <v>142</v>
      </c>
      <c r="N62" s="10">
        <v>24863</v>
      </c>
      <c r="O62" s="10">
        <v>11135</v>
      </c>
      <c r="P62" s="10">
        <v>35998</v>
      </c>
    </row>
    <row r="63" spans="1:16" ht="27" customHeight="1" x14ac:dyDescent="0.2">
      <c r="A63" s="9" t="s">
        <v>16</v>
      </c>
      <c r="B63" s="10" t="s">
        <v>156</v>
      </c>
      <c r="C63" s="11" t="s">
        <v>249</v>
      </c>
      <c r="D63" s="11" t="s">
        <v>250</v>
      </c>
      <c r="E63" s="11" t="s">
        <v>26</v>
      </c>
      <c r="F63" s="11" t="s">
        <v>251</v>
      </c>
      <c r="G63" s="11" t="s">
        <v>28</v>
      </c>
      <c r="H63" s="11" t="s">
        <v>251</v>
      </c>
      <c r="I63" s="11" t="s">
        <v>252</v>
      </c>
      <c r="J63" s="12">
        <v>0.875</v>
      </c>
      <c r="K63" s="13">
        <v>1</v>
      </c>
      <c r="L63" s="14">
        <v>392</v>
      </c>
      <c r="M63" s="10">
        <v>343</v>
      </c>
      <c r="N63" s="10">
        <v>43317</v>
      </c>
      <c r="O63" s="10">
        <v>26898</v>
      </c>
      <c r="P63" s="10">
        <v>70215</v>
      </c>
    </row>
    <row r="64" spans="1:16" ht="27" customHeight="1" x14ac:dyDescent="0.2">
      <c r="A64" s="9" t="s">
        <v>16</v>
      </c>
      <c r="B64" s="10" t="s">
        <v>156</v>
      </c>
      <c r="C64" s="11" t="s">
        <v>253</v>
      </c>
      <c r="D64" s="11" t="s">
        <v>254</v>
      </c>
      <c r="E64" s="11" t="s">
        <v>26</v>
      </c>
      <c r="F64" s="11" t="s">
        <v>255</v>
      </c>
      <c r="G64" s="11" t="s">
        <v>28</v>
      </c>
      <c r="H64" s="11" t="s">
        <v>255</v>
      </c>
      <c r="I64" s="11" t="s">
        <v>256</v>
      </c>
      <c r="J64" s="12">
        <v>0.59660000000000002</v>
      </c>
      <c r="K64" s="13">
        <v>1</v>
      </c>
      <c r="L64" s="14">
        <v>119</v>
      </c>
      <c r="M64" s="10">
        <v>71</v>
      </c>
      <c r="N64" s="10">
        <v>13150</v>
      </c>
      <c r="O64" s="10">
        <v>5568</v>
      </c>
      <c r="P64" s="10">
        <v>18718</v>
      </c>
    </row>
    <row r="65" spans="1:16" ht="27" customHeight="1" x14ac:dyDescent="0.2">
      <c r="A65" s="9" t="s">
        <v>16</v>
      </c>
      <c r="B65" s="10" t="s">
        <v>156</v>
      </c>
      <c r="C65" s="11" t="s">
        <v>257</v>
      </c>
      <c r="D65" s="11" t="s">
        <v>258</v>
      </c>
      <c r="E65" s="11" t="s">
        <v>26</v>
      </c>
      <c r="F65" s="11" t="s">
        <v>259</v>
      </c>
      <c r="G65" s="11" t="s">
        <v>28</v>
      </c>
      <c r="H65" s="11" t="s">
        <v>259</v>
      </c>
      <c r="I65" s="11" t="s">
        <v>260</v>
      </c>
      <c r="J65" s="12">
        <v>0.85770000000000002</v>
      </c>
      <c r="K65" s="13">
        <v>1</v>
      </c>
      <c r="L65" s="14">
        <v>492</v>
      </c>
      <c r="M65" s="10">
        <v>422</v>
      </c>
      <c r="N65" s="10">
        <v>54367</v>
      </c>
      <c r="O65" s="10">
        <v>33093</v>
      </c>
      <c r="P65" s="10">
        <v>87460</v>
      </c>
    </row>
    <row r="66" spans="1:16" ht="27" customHeight="1" x14ac:dyDescent="0.2">
      <c r="A66" s="9" t="s">
        <v>16</v>
      </c>
      <c r="B66" s="10" t="s">
        <v>261</v>
      </c>
      <c r="C66" s="11" t="s">
        <v>18</v>
      </c>
      <c r="D66" s="11" t="s">
        <v>19</v>
      </c>
      <c r="E66" s="11" t="s">
        <v>19</v>
      </c>
      <c r="F66" s="11" t="s">
        <v>262</v>
      </c>
      <c r="G66" s="11" t="s">
        <v>83</v>
      </c>
      <c r="H66" s="11" t="s">
        <v>263</v>
      </c>
      <c r="I66" s="11" t="s">
        <v>264</v>
      </c>
      <c r="J66" s="12">
        <v>4.1700000000000001E-2</v>
      </c>
      <c r="K66" s="13">
        <v>8</v>
      </c>
      <c r="L66" s="14">
        <v>2337</v>
      </c>
      <c r="M66" s="10">
        <v>72</v>
      </c>
      <c r="N66" s="10">
        <v>258242</v>
      </c>
      <c r="O66" s="10">
        <v>5648</v>
      </c>
      <c r="P66" s="10">
        <v>263890</v>
      </c>
    </row>
    <row r="67" spans="1:16" ht="27" customHeight="1" x14ac:dyDescent="0.2">
      <c r="A67" s="9" t="s">
        <v>16</v>
      </c>
      <c r="B67" s="10" t="s">
        <v>265</v>
      </c>
      <c r="C67" s="11" t="s">
        <v>18</v>
      </c>
      <c r="D67" s="11" t="s">
        <v>19</v>
      </c>
      <c r="E67" s="11" t="s">
        <v>19</v>
      </c>
      <c r="F67" s="11" t="s">
        <v>266</v>
      </c>
      <c r="G67" s="11" t="s">
        <v>83</v>
      </c>
      <c r="H67" s="11" t="s">
        <v>267</v>
      </c>
      <c r="I67" s="11" t="s">
        <v>268</v>
      </c>
      <c r="J67" s="12">
        <v>0.82099999999999995</v>
      </c>
      <c r="K67" s="13">
        <v>14</v>
      </c>
      <c r="L67" s="14">
        <v>8674</v>
      </c>
      <c r="M67" s="10">
        <v>6243</v>
      </c>
      <c r="N67" s="10">
        <v>958492</v>
      </c>
      <c r="O67" s="10">
        <v>489569</v>
      </c>
      <c r="P67" s="10">
        <v>1448061</v>
      </c>
    </row>
    <row r="68" spans="1:16" ht="27" customHeight="1" x14ac:dyDescent="0.2">
      <c r="A68" s="9" t="s">
        <v>16</v>
      </c>
      <c r="B68" s="10" t="s">
        <v>269</v>
      </c>
      <c r="C68" s="11" t="s">
        <v>18</v>
      </c>
      <c r="D68" s="11" t="s">
        <v>19</v>
      </c>
      <c r="E68" s="11" t="s">
        <v>19</v>
      </c>
      <c r="F68" s="11" t="s">
        <v>270</v>
      </c>
      <c r="G68" s="11" t="s">
        <v>83</v>
      </c>
      <c r="H68" s="11" t="s">
        <v>271</v>
      </c>
      <c r="I68" s="11" t="s">
        <v>272</v>
      </c>
      <c r="J68" s="12">
        <v>0.85980000000000001</v>
      </c>
      <c r="K68" s="13">
        <v>18</v>
      </c>
      <c r="L68" s="14">
        <v>8549</v>
      </c>
      <c r="M68" s="10">
        <v>6697</v>
      </c>
      <c r="N68" s="10">
        <v>944681</v>
      </c>
      <c r="O68" s="10">
        <v>525172</v>
      </c>
      <c r="P68" s="10">
        <v>1469853</v>
      </c>
    </row>
    <row r="69" spans="1:16" ht="27" customHeight="1" x14ac:dyDescent="0.2">
      <c r="A69" s="9" t="s">
        <v>16</v>
      </c>
      <c r="B69" s="10" t="s">
        <v>269</v>
      </c>
      <c r="C69" s="11" t="s">
        <v>273</v>
      </c>
      <c r="D69" s="11" t="s">
        <v>274</v>
      </c>
      <c r="E69" s="11" t="s">
        <v>26</v>
      </c>
      <c r="F69" s="11" t="s">
        <v>275</v>
      </c>
      <c r="G69" s="11" t="s">
        <v>28</v>
      </c>
      <c r="H69" s="11" t="s">
        <v>22</v>
      </c>
      <c r="I69" s="11" t="s">
        <v>23</v>
      </c>
      <c r="J69" s="12">
        <v>0.99760000000000004</v>
      </c>
      <c r="K69" s="13">
        <v>1</v>
      </c>
      <c r="L69" s="14">
        <v>421</v>
      </c>
      <c r="M69" s="10">
        <v>304</v>
      </c>
      <c r="N69" s="10">
        <v>46521</v>
      </c>
      <c r="O69" s="10">
        <v>23839</v>
      </c>
      <c r="P69" s="10">
        <v>70360</v>
      </c>
    </row>
    <row r="70" spans="1:16" ht="27" customHeight="1" x14ac:dyDescent="0.2">
      <c r="A70" s="9" t="s">
        <v>16</v>
      </c>
      <c r="B70" s="10" t="s">
        <v>269</v>
      </c>
      <c r="C70" s="11" t="s">
        <v>276</v>
      </c>
      <c r="D70" s="11" t="s">
        <v>277</v>
      </c>
      <c r="E70" s="11" t="s">
        <v>26</v>
      </c>
      <c r="F70" s="11" t="s">
        <v>278</v>
      </c>
      <c r="G70" s="11" t="s">
        <v>28</v>
      </c>
      <c r="H70" s="11" t="s">
        <v>22</v>
      </c>
      <c r="I70" s="11" t="s">
        <v>23</v>
      </c>
      <c r="J70" s="12">
        <v>0.99760000000000004</v>
      </c>
      <c r="K70" s="13">
        <v>1</v>
      </c>
      <c r="L70" s="14">
        <v>658</v>
      </c>
      <c r="M70" s="10">
        <v>462</v>
      </c>
      <c r="N70" s="10">
        <v>72710</v>
      </c>
      <c r="O70" s="10">
        <v>36230</v>
      </c>
      <c r="P70" s="10">
        <v>108940</v>
      </c>
    </row>
    <row r="71" spans="1:16" ht="27" customHeight="1" x14ac:dyDescent="0.2">
      <c r="A71" s="9" t="s">
        <v>16</v>
      </c>
      <c r="B71" s="10" t="s">
        <v>279</v>
      </c>
      <c r="C71" s="11" t="s">
        <v>18</v>
      </c>
      <c r="D71" s="11" t="s">
        <v>19</v>
      </c>
      <c r="E71" s="11" t="s">
        <v>19</v>
      </c>
      <c r="F71" s="11" t="s">
        <v>280</v>
      </c>
      <c r="G71" s="11" t="s">
        <v>83</v>
      </c>
      <c r="H71" s="11" t="s">
        <v>281</v>
      </c>
      <c r="I71" s="11" t="s">
        <v>282</v>
      </c>
      <c r="J71" s="12">
        <v>0.17469999999999999</v>
      </c>
      <c r="K71" s="13">
        <v>17</v>
      </c>
      <c r="L71" s="14">
        <v>12618</v>
      </c>
      <c r="M71" s="10">
        <v>1006</v>
      </c>
      <c r="N71" s="10">
        <v>1394312</v>
      </c>
      <c r="O71" s="10">
        <v>78889</v>
      </c>
      <c r="P71" s="10">
        <v>1473201</v>
      </c>
    </row>
    <row r="72" spans="1:16" ht="27" customHeight="1" x14ac:dyDescent="0.2">
      <c r="A72" s="9" t="s">
        <v>16</v>
      </c>
      <c r="B72" s="10" t="s">
        <v>283</v>
      </c>
      <c r="C72" s="11" t="s">
        <v>18</v>
      </c>
      <c r="D72" s="11" t="s">
        <v>19</v>
      </c>
      <c r="E72" s="11" t="s">
        <v>19</v>
      </c>
      <c r="F72" s="11" t="s">
        <v>284</v>
      </c>
      <c r="G72" s="11" t="s">
        <v>83</v>
      </c>
      <c r="H72" s="11" t="s">
        <v>285</v>
      </c>
      <c r="I72" s="11" t="s">
        <v>286</v>
      </c>
      <c r="J72" s="12">
        <v>0.1825</v>
      </c>
      <c r="K72" s="13">
        <v>18</v>
      </c>
      <c r="L72" s="14">
        <v>13902</v>
      </c>
      <c r="M72" s="10">
        <v>1091</v>
      </c>
      <c r="N72" s="10">
        <v>1536195</v>
      </c>
      <c r="O72" s="10">
        <v>85557</v>
      </c>
      <c r="P72" s="10">
        <v>1621752</v>
      </c>
    </row>
    <row r="73" spans="1:16" ht="27" customHeight="1" x14ac:dyDescent="0.2">
      <c r="A73" s="9" t="s">
        <v>16</v>
      </c>
      <c r="B73" s="10" t="s">
        <v>287</v>
      </c>
      <c r="C73" s="11" t="s">
        <v>18</v>
      </c>
      <c r="D73" s="11" t="s">
        <v>19</v>
      </c>
      <c r="E73" s="11" t="s">
        <v>19</v>
      </c>
      <c r="F73" s="11" t="s">
        <v>288</v>
      </c>
      <c r="G73" s="11" t="s">
        <v>83</v>
      </c>
      <c r="H73" s="11" t="s">
        <v>289</v>
      </c>
      <c r="I73" s="11" t="s">
        <v>290</v>
      </c>
      <c r="J73" s="12">
        <v>0.1045</v>
      </c>
      <c r="K73" s="13">
        <v>2</v>
      </c>
      <c r="L73" s="14">
        <v>268</v>
      </c>
      <c r="M73" s="10">
        <v>28</v>
      </c>
      <c r="N73" s="10">
        <v>29614</v>
      </c>
      <c r="O73" s="10">
        <v>2196</v>
      </c>
      <c r="P73" s="10">
        <v>31810</v>
      </c>
    </row>
    <row r="74" spans="1:16" ht="27" customHeight="1" x14ac:dyDescent="0.2">
      <c r="A74" s="9" t="s">
        <v>16</v>
      </c>
      <c r="B74" s="10" t="s">
        <v>291</v>
      </c>
      <c r="C74" s="11" t="s">
        <v>292</v>
      </c>
      <c r="D74" s="11" t="s">
        <v>293</v>
      </c>
      <c r="E74" s="11" t="s">
        <v>26</v>
      </c>
      <c r="F74" s="11" t="s">
        <v>294</v>
      </c>
      <c r="G74" s="11" t="s">
        <v>28</v>
      </c>
      <c r="H74" s="11" t="s">
        <v>22</v>
      </c>
      <c r="I74" s="11" t="s">
        <v>23</v>
      </c>
      <c r="J74" s="12">
        <v>0.99760000000000004</v>
      </c>
      <c r="K74" s="13">
        <v>1</v>
      </c>
      <c r="L74" s="14">
        <v>282</v>
      </c>
      <c r="M74" s="10">
        <v>180</v>
      </c>
      <c r="N74" s="10">
        <v>31161</v>
      </c>
      <c r="O74" s="10">
        <v>14115</v>
      </c>
      <c r="P74" s="10">
        <v>45276</v>
      </c>
    </row>
    <row r="75" spans="1:16" ht="27" customHeight="1" x14ac:dyDescent="0.2">
      <c r="A75" s="9" t="s">
        <v>295</v>
      </c>
      <c r="B75" s="10" t="s">
        <v>296</v>
      </c>
      <c r="C75" s="11" t="s">
        <v>18</v>
      </c>
      <c r="D75" s="11" t="s">
        <v>19</v>
      </c>
      <c r="E75" s="11" t="s">
        <v>19</v>
      </c>
      <c r="F75" s="11" t="s">
        <v>297</v>
      </c>
      <c r="G75" s="11" t="s">
        <v>21</v>
      </c>
      <c r="H75" s="11" t="s">
        <v>298</v>
      </c>
      <c r="I75" s="11" t="s">
        <v>299</v>
      </c>
      <c r="J75" s="12">
        <v>0.6885</v>
      </c>
      <c r="K75" s="13">
        <v>2</v>
      </c>
      <c r="L75" s="14">
        <v>0</v>
      </c>
      <c r="M75" s="10">
        <v>0</v>
      </c>
      <c r="N75" s="10">
        <v>0</v>
      </c>
      <c r="O75" s="10">
        <v>0</v>
      </c>
      <c r="P75" s="10">
        <v>0</v>
      </c>
    </row>
    <row r="76" spans="1:16" ht="27" customHeight="1" x14ac:dyDescent="0.2">
      <c r="A76" s="9" t="s">
        <v>295</v>
      </c>
      <c r="B76" s="10" t="s">
        <v>300</v>
      </c>
      <c r="C76" s="11" t="s">
        <v>18</v>
      </c>
      <c r="D76" s="11" t="s">
        <v>19</v>
      </c>
      <c r="E76" s="11" t="s">
        <v>19</v>
      </c>
      <c r="F76" s="11" t="s">
        <v>301</v>
      </c>
      <c r="G76" s="11" t="s">
        <v>83</v>
      </c>
      <c r="H76" s="11" t="s">
        <v>298</v>
      </c>
      <c r="I76" s="11" t="s">
        <v>299</v>
      </c>
      <c r="J76" s="12">
        <v>0.6885</v>
      </c>
      <c r="K76" s="13">
        <v>4</v>
      </c>
      <c r="L76" s="14">
        <v>72</v>
      </c>
      <c r="M76" s="10">
        <v>46</v>
      </c>
      <c r="N76" s="10">
        <v>7957</v>
      </c>
      <c r="O76" s="10">
        <v>3607</v>
      </c>
      <c r="P76" s="10">
        <v>11564</v>
      </c>
    </row>
    <row r="77" spans="1:16" ht="27" customHeight="1" x14ac:dyDescent="0.2">
      <c r="A77" s="9" t="s">
        <v>302</v>
      </c>
      <c r="B77" s="10" t="s">
        <v>303</v>
      </c>
      <c r="C77" s="11" t="s">
        <v>18</v>
      </c>
      <c r="D77" s="11" t="s">
        <v>19</v>
      </c>
      <c r="E77" s="11" t="s">
        <v>19</v>
      </c>
      <c r="F77" s="11" t="s">
        <v>304</v>
      </c>
      <c r="G77" s="11" t="s">
        <v>21</v>
      </c>
      <c r="H77" s="11" t="s">
        <v>305</v>
      </c>
      <c r="I77" s="11" t="s">
        <v>306</v>
      </c>
      <c r="J77" s="12">
        <v>0.55559999999999998</v>
      </c>
      <c r="K77" s="13">
        <v>3</v>
      </c>
      <c r="L77" s="14">
        <v>146</v>
      </c>
      <c r="M77" s="10">
        <v>77</v>
      </c>
      <c r="N77" s="10">
        <v>16134</v>
      </c>
      <c r="O77" s="10">
        <v>6038</v>
      </c>
      <c r="P77" s="10">
        <v>22172</v>
      </c>
    </row>
    <row r="78" spans="1:16" ht="27" customHeight="1" x14ac:dyDescent="0.2">
      <c r="A78" s="9" t="s">
        <v>302</v>
      </c>
      <c r="B78" s="10" t="s">
        <v>307</v>
      </c>
      <c r="C78" s="11" t="s">
        <v>18</v>
      </c>
      <c r="D78" s="11" t="s">
        <v>19</v>
      </c>
      <c r="E78" s="11" t="s">
        <v>19</v>
      </c>
      <c r="F78" s="11" t="s">
        <v>308</v>
      </c>
      <c r="G78" s="11" t="s">
        <v>83</v>
      </c>
      <c r="H78" s="11" t="s">
        <v>305</v>
      </c>
      <c r="I78" s="11" t="s">
        <v>306</v>
      </c>
      <c r="J78" s="12">
        <v>0.55559999999999998</v>
      </c>
      <c r="K78" s="13">
        <v>13</v>
      </c>
      <c r="L78" s="14">
        <v>4100</v>
      </c>
      <c r="M78" s="10">
        <v>1758</v>
      </c>
      <c r="N78" s="10">
        <v>453058</v>
      </c>
      <c r="O78" s="10">
        <v>137861</v>
      </c>
      <c r="P78" s="10">
        <v>590919</v>
      </c>
    </row>
    <row r="79" spans="1:16" ht="27" customHeight="1" x14ac:dyDescent="0.2">
      <c r="A79" s="9" t="s">
        <v>309</v>
      </c>
      <c r="B79" s="10" t="s">
        <v>310</v>
      </c>
      <c r="C79" s="11" t="s">
        <v>18</v>
      </c>
      <c r="D79" s="11" t="s">
        <v>19</v>
      </c>
      <c r="E79" s="11" t="s">
        <v>19</v>
      </c>
      <c r="F79" s="11" t="s">
        <v>311</v>
      </c>
      <c r="G79" s="11" t="s">
        <v>21</v>
      </c>
      <c r="H79" s="11" t="s">
        <v>312</v>
      </c>
      <c r="I79" s="11" t="s">
        <v>313</v>
      </c>
      <c r="J79" s="12">
        <v>1</v>
      </c>
      <c r="K79" s="13">
        <v>5</v>
      </c>
      <c r="L79" s="14">
        <v>363</v>
      </c>
      <c r="M79" s="10">
        <v>333</v>
      </c>
      <c r="N79" s="10">
        <v>40113</v>
      </c>
      <c r="O79" s="10">
        <v>26114</v>
      </c>
      <c r="P79" s="10">
        <v>66227</v>
      </c>
    </row>
    <row r="80" spans="1:16" ht="27" customHeight="1" x14ac:dyDescent="0.2">
      <c r="A80" s="9" t="s">
        <v>309</v>
      </c>
      <c r="B80" s="10" t="s">
        <v>310</v>
      </c>
      <c r="C80" s="11" t="s">
        <v>314</v>
      </c>
      <c r="D80" s="11" t="s">
        <v>315</v>
      </c>
      <c r="E80" s="11" t="s">
        <v>26</v>
      </c>
      <c r="F80" s="11" t="s">
        <v>316</v>
      </c>
      <c r="G80" s="11" t="s">
        <v>28</v>
      </c>
      <c r="H80" s="11" t="s">
        <v>316</v>
      </c>
      <c r="I80" s="11" t="s">
        <v>317</v>
      </c>
      <c r="J80" s="12">
        <v>0.45639999999999997</v>
      </c>
      <c r="K80" s="13">
        <v>1</v>
      </c>
      <c r="L80" s="14">
        <v>849</v>
      </c>
      <c r="M80" s="10">
        <v>387</v>
      </c>
      <c r="N80" s="10">
        <v>93816</v>
      </c>
      <c r="O80" s="10">
        <v>30348</v>
      </c>
      <c r="P80" s="10">
        <v>124164</v>
      </c>
    </row>
    <row r="81" spans="1:16" ht="27" customHeight="1" x14ac:dyDescent="0.2">
      <c r="A81" s="9" t="s">
        <v>309</v>
      </c>
      <c r="B81" s="10" t="s">
        <v>310</v>
      </c>
      <c r="C81" s="11" t="s">
        <v>318</v>
      </c>
      <c r="D81" s="11" t="s">
        <v>319</v>
      </c>
      <c r="E81" s="11" t="s">
        <v>57</v>
      </c>
      <c r="F81" s="11" t="s">
        <v>320</v>
      </c>
      <c r="G81" s="11" t="s">
        <v>28</v>
      </c>
      <c r="H81" s="11" t="s">
        <v>312</v>
      </c>
      <c r="I81" s="11" t="s">
        <v>313</v>
      </c>
      <c r="J81" s="12">
        <v>1</v>
      </c>
      <c r="K81" s="13">
        <v>1</v>
      </c>
      <c r="L81" s="14">
        <v>71</v>
      </c>
      <c r="M81" s="10">
        <v>67</v>
      </c>
      <c r="N81" s="10">
        <v>7846</v>
      </c>
      <c r="O81" s="10">
        <v>5254</v>
      </c>
      <c r="P81" s="10">
        <v>13100</v>
      </c>
    </row>
    <row r="82" spans="1:16" ht="27" customHeight="1" x14ac:dyDescent="0.2">
      <c r="A82" s="9" t="s">
        <v>309</v>
      </c>
      <c r="B82" s="10" t="s">
        <v>310</v>
      </c>
      <c r="C82" s="11" t="s">
        <v>321</v>
      </c>
      <c r="D82" s="11" t="s">
        <v>322</v>
      </c>
      <c r="E82" s="11" t="s">
        <v>26</v>
      </c>
      <c r="F82" s="11" t="s">
        <v>323</v>
      </c>
      <c r="G82" s="11" t="s">
        <v>28</v>
      </c>
      <c r="H82" s="11" t="s">
        <v>312</v>
      </c>
      <c r="I82" s="11" t="s">
        <v>313</v>
      </c>
      <c r="J82" s="12">
        <v>1</v>
      </c>
      <c r="K82" s="13">
        <v>1</v>
      </c>
      <c r="L82" s="14">
        <v>0</v>
      </c>
      <c r="M82" s="10">
        <v>0</v>
      </c>
      <c r="N82" s="10">
        <v>0</v>
      </c>
      <c r="O82" s="10">
        <v>0</v>
      </c>
      <c r="P82" s="10">
        <v>0</v>
      </c>
    </row>
    <row r="83" spans="1:16" ht="27" customHeight="1" x14ac:dyDescent="0.2">
      <c r="A83" s="9" t="s">
        <v>309</v>
      </c>
      <c r="B83" s="10" t="s">
        <v>310</v>
      </c>
      <c r="C83" s="11" t="s">
        <v>324</v>
      </c>
      <c r="D83" s="11" t="s">
        <v>325</v>
      </c>
      <c r="E83" s="11" t="s">
        <v>57</v>
      </c>
      <c r="F83" s="11" t="s">
        <v>326</v>
      </c>
      <c r="G83" s="11" t="s">
        <v>28</v>
      </c>
      <c r="H83" s="11" t="s">
        <v>326</v>
      </c>
      <c r="I83" s="11" t="s">
        <v>327</v>
      </c>
      <c r="J83" s="12">
        <v>0.84660000000000002</v>
      </c>
      <c r="K83" s="13">
        <v>1</v>
      </c>
      <c r="L83" s="14">
        <v>163</v>
      </c>
      <c r="M83" s="10">
        <v>138</v>
      </c>
      <c r="N83" s="10">
        <v>18012</v>
      </c>
      <c r="O83" s="10">
        <v>10822</v>
      </c>
      <c r="P83" s="10">
        <v>28834</v>
      </c>
    </row>
    <row r="84" spans="1:16" ht="27" customHeight="1" x14ac:dyDescent="0.2">
      <c r="A84" s="9" t="s">
        <v>309</v>
      </c>
      <c r="B84" s="10" t="s">
        <v>328</v>
      </c>
      <c r="C84" s="11" t="s">
        <v>18</v>
      </c>
      <c r="D84" s="11" t="s">
        <v>19</v>
      </c>
      <c r="E84" s="11" t="s">
        <v>19</v>
      </c>
      <c r="F84" s="11" t="s">
        <v>329</v>
      </c>
      <c r="G84" s="11" t="s">
        <v>83</v>
      </c>
      <c r="H84" s="11" t="s">
        <v>329</v>
      </c>
      <c r="I84" s="11" t="s">
        <v>330</v>
      </c>
      <c r="J84" s="12">
        <v>0.72460000000000002</v>
      </c>
      <c r="K84" s="13">
        <v>2</v>
      </c>
      <c r="L84" s="14">
        <v>69</v>
      </c>
      <c r="M84" s="10">
        <v>50</v>
      </c>
      <c r="N84" s="10">
        <v>7625</v>
      </c>
      <c r="O84" s="10">
        <v>3921</v>
      </c>
      <c r="P84" s="10">
        <v>11546</v>
      </c>
    </row>
    <row r="85" spans="1:16" ht="27" customHeight="1" x14ac:dyDescent="0.2">
      <c r="A85" s="9" t="s">
        <v>309</v>
      </c>
      <c r="B85" s="10" t="s">
        <v>331</v>
      </c>
      <c r="C85" s="11" t="s">
        <v>18</v>
      </c>
      <c r="D85" s="11" t="s">
        <v>19</v>
      </c>
      <c r="E85" s="11" t="s">
        <v>19</v>
      </c>
      <c r="F85" s="11" t="s">
        <v>332</v>
      </c>
      <c r="G85" s="11" t="s">
        <v>83</v>
      </c>
      <c r="H85" s="11" t="s">
        <v>333</v>
      </c>
      <c r="I85" s="11" t="s">
        <v>334</v>
      </c>
      <c r="J85" s="12">
        <v>0.62160000000000004</v>
      </c>
      <c r="K85" s="13">
        <v>4</v>
      </c>
      <c r="L85" s="14">
        <v>532</v>
      </c>
      <c r="M85" s="10">
        <v>292</v>
      </c>
      <c r="N85" s="10">
        <v>58787</v>
      </c>
      <c r="O85" s="10">
        <v>22898</v>
      </c>
      <c r="P85" s="10">
        <v>81685</v>
      </c>
    </row>
    <row r="86" spans="1:16" ht="27" customHeight="1" x14ac:dyDescent="0.2">
      <c r="A86" s="9" t="s">
        <v>309</v>
      </c>
      <c r="B86" s="10" t="s">
        <v>335</v>
      </c>
      <c r="C86" s="11" t="s">
        <v>18</v>
      </c>
      <c r="D86" s="11" t="s">
        <v>19</v>
      </c>
      <c r="E86" s="11" t="s">
        <v>19</v>
      </c>
      <c r="F86" s="11" t="s">
        <v>336</v>
      </c>
      <c r="G86" s="11" t="s">
        <v>83</v>
      </c>
      <c r="H86" s="11" t="s">
        <v>337</v>
      </c>
      <c r="I86" s="11" t="s">
        <v>338</v>
      </c>
      <c r="J86" s="12">
        <v>0.89329999999999998</v>
      </c>
      <c r="K86" s="13">
        <v>23</v>
      </c>
      <c r="L86" s="14">
        <v>12245</v>
      </c>
      <c r="M86" s="10">
        <v>6957</v>
      </c>
      <c r="N86" s="10">
        <v>1353093</v>
      </c>
      <c r="O86" s="10">
        <v>545558</v>
      </c>
      <c r="P86" s="10">
        <v>1898651</v>
      </c>
    </row>
    <row r="87" spans="1:16" ht="27" customHeight="1" x14ac:dyDescent="0.2">
      <c r="A87" s="9" t="s">
        <v>309</v>
      </c>
      <c r="B87" s="10" t="s">
        <v>335</v>
      </c>
      <c r="C87" s="11" t="s">
        <v>339</v>
      </c>
      <c r="D87" s="11" t="s">
        <v>340</v>
      </c>
      <c r="E87" s="11" t="s">
        <v>26</v>
      </c>
      <c r="F87" s="11" t="s">
        <v>341</v>
      </c>
      <c r="G87" s="11" t="s">
        <v>28</v>
      </c>
      <c r="H87" s="11" t="s">
        <v>341</v>
      </c>
      <c r="I87" s="11" t="s">
        <v>342</v>
      </c>
      <c r="J87" s="12">
        <v>0.22270000000000001</v>
      </c>
      <c r="K87" s="13">
        <v>1</v>
      </c>
      <c r="L87" s="14">
        <v>211</v>
      </c>
      <c r="M87" s="10">
        <v>47</v>
      </c>
      <c r="N87" s="10">
        <v>23316</v>
      </c>
      <c r="O87" s="10">
        <v>3686</v>
      </c>
      <c r="P87" s="10">
        <v>27002</v>
      </c>
    </row>
    <row r="88" spans="1:16" ht="27" customHeight="1" x14ac:dyDescent="0.2">
      <c r="A88" s="9" t="s">
        <v>309</v>
      </c>
      <c r="B88" s="10" t="s">
        <v>335</v>
      </c>
      <c r="C88" s="11" t="s">
        <v>343</v>
      </c>
      <c r="D88" s="11" t="s">
        <v>344</v>
      </c>
      <c r="E88" s="11" t="s">
        <v>26</v>
      </c>
      <c r="F88" s="11" t="s">
        <v>345</v>
      </c>
      <c r="G88" s="11" t="s">
        <v>28</v>
      </c>
      <c r="H88" s="11" t="s">
        <v>345</v>
      </c>
      <c r="I88" s="11" t="s">
        <v>346</v>
      </c>
      <c r="J88" s="12">
        <v>0.5514</v>
      </c>
      <c r="K88" s="13">
        <v>1</v>
      </c>
      <c r="L88" s="14">
        <v>107</v>
      </c>
      <c r="M88" s="10">
        <v>59</v>
      </c>
      <c r="N88" s="10">
        <v>11824</v>
      </c>
      <c r="O88" s="10">
        <v>4627</v>
      </c>
      <c r="P88" s="10">
        <v>16451</v>
      </c>
    </row>
    <row r="89" spans="1:16" ht="27" customHeight="1" x14ac:dyDescent="0.2">
      <c r="A89" s="9" t="s">
        <v>309</v>
      </c>
      <c r="B89" s="10" t="s">
        <v>335</v>
      </c>
      <c r="C89" s="11" t="s">
        <v>347</v>
      </c>
      <c r="D89" s="11" t="s">
        <v>348</v>
      </c>
      <c r="E89" s="11" t="s">
        <v>26</v>
      </c>
      <c r="F89" s="11" t="s">
        <v>349</v>
      </c>
      <c r="G89" s="11" t="s">
        <v>28</v>
      </c>
      <c r="H89" s="11" t="s">
        <v>312</v>
      </c>
      <c r="I89" s="11" t="s">
        <v>313</v>
      </c>
      <c r="J89" s="12">
        <v>1</v>
      </c>
      <c r="K89" s="13">
        <v>1</v>
      </c>
      <c r="L89" s="14">
        <v>366</v>
      </c>
      <c r="M89" s="10">
        <v>157</v>
      </c>
      <c r="N89" s="10">
        <v>40444</v>
      </c>
      <c r="O89" s="10">
        <v>12312</v>
      </c>
      <c r="P89" s="10">
        <v>52756</v>
      </c>
    </row>
    <row r="90" spans="1:16" ht="27" customHeight="1" x14ac:dyDescent="0.2">
      <c r="A90" s="9" t="s">
        <v>309</v>
      </c>
      <c r="B90" s="10" t="s">
        <v>335</v>
      </c>
      <c r="C90" s="11" t="s">
        <v>350</v>
      </c>
      <c r="D90" s="11" t="s">
        <v>351</v>
      </c>
      <c r="E90" s="11" t="s">
        <v>26</v>
      </c>
      <c r="F90" s="11" t="s">
        <v>352</v>
      </c>
      <c r="G90" s="11" t="s">
        <v>28</v>
      </c>
      <c r="H90" s="11" t="s">
        <v>352</v>
      </c>
      <c r="I90" s="11" t="s">
        <v>353</v>
      </c>
      <c r="J90" s="12">
        <v>0.43880000000000002</v>
      </c>
      <c r="K90" s="13">
        <v>1</v>
      </c>
      <c r="L90" s="14">
        <v>98</v>
      </c>
      <c r="M90" s="10">
        <v>43</v>
      </c>
      <c r="N90" s="10">
        <v>10829</v>
      </c>
      <c r="O90" s="10">
        <v>3372</v>
      </c>
      <c r="P90" s="10">
        <v>14201</v>
      </c>
    </row>
    <row r="91" spans="1:16" ht="27" customHeight="1" x14ac:dyDescent="0.2">
      <c r="A91" s="9" t="s">
        <v>309</v>
      </c>
      <c r="B91" s="10" t="s">
        <v>335</v>
      </c>
      <c r="C91" s="11" t="s">
        <v>354</v>
      </c>
      <c r="D91" s="11" t="s">
        <v>355</v>
      </c>
      <c r="E91" s="11" t="s">
        <v>26</v>
      </c>
      <c r="F91" s="11" t="s">
        <v>356</v>
      </c>
      <c r="G91" s="11" t="s">
        <v>28</v>
      </c>
      <c r="H91" s="11" t="s">
        <v>356</v>
      </c>
      <c r="I91" s="11" t="s">
        <v>357</v>
      </c>
      <c r="J91" s="12">
        <v>0.26029999999999998</v>
      </c>
      <c r="K91" s="13">
        <v>1</v>
      </c>
      <c r="L91" s="14">
        <v>146</v>
      </c>
      <c r="M91" s="10">
        <v>38</v>
      </c>
      <c r="N91" s="10">
        <v>16133</v>
      </c>
      <c r="O91" s="10">
        <v>2980</v>
      </c>
      <c r="P91" s="10">
        <v>19113</v>
      </c>
    </row>
    <row r="92" spans="1:16" ht="27" customHeight="1" x14ac:dyDescent="0.2">
      <c r="A92" s="9" t="s">
        <v>309</v>
      </c>
      <c r="B92" s="10" t="s">
        <v>335</v>
      </c>
      <c r="C92" s="11" t="s">
        <v>358</v>
      </c>
      <c r="D92" s="11" t="s">
        <v>359</v>
      </c>
      <c r="E92" s="11" t="s">
        <v>26</v>
      </c>
      <c r="F92" s="11" t="s">
        <v>360</v>
      </c>
      <c r="G92" s="11" t="s">
        <v>28</v>
      </c>
      <c r="H92" s="11" t="s">
        <v>360</v>
      </c>
      <c r="I92" s="11" t="s">
        <v>361</v>
      </c>
      <c r="J92" s="12">
        <v>0.6552</v>
      </c>
      <c r="K92" s="13">
        <v>1</v>
      </c>
      <c r="L92" s="14">
        <v>87</v>
      </c>
      <c r="M92" s="10">
        <v>57</v>
      </c>
      <c r="N92" s="10">
        <v>9614</v>
      </c>
      <c r="O92" s="10">
        <v>4470</v>
      </c>
      <c r="P92" s="10">
        <v>14084</v>
      </c>
    </row>
    <row r="93" spans="1:16" ht="27" customHeight="1" x14ac:dyDescent="0.2">
      <c r="A93" s="9" t="s">
        <v>309</v>
      </c>
      <c r="B93" s="10" t="s">
        <v>335</v>
      </c>
      <c r="C93" s="11" t="s">
        <v>362</v>
      </c>
      <c r="D93" s="11" t="s">
        <v>363</v>
      </c>
      <c r="E93" s="11" t="s">
        <v>26</v>
      </c>
      <c r="F93" s="11" t="s">
        <v>364</v>
      </c>
      <c r="G93" s="11" t="s">
        <v>28</v>
      </c>
      <c r="H93" s="11" t="s">
        <v>364</v>
      </c>
      <c r="I93" s="11" t="s">
        <v>365</v>
      </c>
      <c r="J93" s="12">
        <v>0.44890000000000002</v>
      </c>
      <c r="K93" s="13">
        <v>1</v>
      </c>
      <c r="L93" s="14">
        <v>225</v>
      </c>
      <c r="M93" s="10">
        <v>101</v>
      </c>
      <c r="N93" s="10">
        <v>24863</v>
      </c>
      <c r="O93" s="10">
        <v>7920</v>
      </c>
      <c r="P93" s="10">
        <v>32783</v>
      </c>
    </row>
    <row r="94" spans="1:16" ht="27" customHeight="1" x14ac:dyDescent="0.2">
      <c r="A94" s="9" t="s">
        <v>309</v>
      </c>
      <c r="B94" s="10" t="s">
        <v>335</v>
      </c>
      <c r="C94" s="11" t="s">
        <v>366</v>
      </c>
      <c r="D94" s="11" t="s">
        <v>367</v>
      </c>
      <c r="E94" s="11" t="s">
        <v>26</v>
      </c>
      <c r="F94" s="11" t="s">
        <v>368</v>
      </c>
      <c r="G94" s="11" t="s">
        <v>28</v>
      </c>
      <c r="H94" s="11" t="s">
        <v>368</v>
      </c>
      <c r="I94" s="11" t="s">
        <v>369</v>
      </c>
      <c r="J94" s="12">
        <v>0.25269999999999998</v>
      </c>
      <c r="K94" s="13">
        <v>1</v>
      </c>
      <c r="L94" s="14">
        <v>566</v>
      </c>
      <c r="M94" s="10">
        <v>143</v>
      </c>
      <c r="N94" s="10">
        <v>62544</v>
      </c>
      <c r="O94" s="10">
        <v>11214</v>
      </c>
      <c r="P94" s="10">
        <v>73758</v>
      </c>
    </row>
    <row r="95" spans="1:16" ht="27" customHeight="1" x14ac:dyDescent="0.2">
      <c r="A95" s="9" t="s">
        <v>309</v>
      </c>
      <c r="B95" s="10" t="s">
        <v>335</v>
      </c>
      <c r="C95" s="11" t="s">
        <v>370</v>
      </c>
      <c r="D95" s="11" t="s">
        <v>371</v>
      </c>
      <c r="E95" s="11" t="s">
        <v>26</v>
      </c>
      <c r="F95" s="11" t="s">
        <v>372</v>
      </c>
      <c r="G95" s="11" t="s">
        <v>28</v>
      </c>
      <c r="H95" s="11" t="s">
        <v>372</v>
      </c>
      <c r="I95" s="11" t="s">
        <v>373</v>
      </c>
      <c r="J95" s="12">
        <v>0.57410000000000005</v>
      </c>
      <c r="K95" s="13">
        <v>1</v>
      </c>
      <c r="L95" s="14">
        <v>263</v>
      </c>
      <c r="M95" s="10">
        <v>151</v>
      </c>
      <c r="N95" s="10">
        <v>29062</v>
      </c>
      <c r="O95" s="10">
        <v>11841</v>
      </c>
      <c r="P95" s="10">
        <v>40903</v>
      </c>
    </row>
    <row r="96" spans="1:16" ht="27" customHeight="1" x14ac:dyDescent="0.2">
      <c r="A96" s="9" t="s">
        <v>309</v>
      </c>
      <c r="B96" s="10" t="s">
        <v>374</v>
      </c>
      <c r="C96" s="11" t="s">
        <v>18</v>
      </c>
      <c r="D96" s="11" t="s">
        <v>19</v>
      </c>
      <c r="E96" s="11" t="s">
        <v>19</v>
      </c>
      <c r="F96" s="11" t="s">
        <v>375</v>
      </c>
      <c r="G96" s="11" t="s">
        <v>83</v>
      </c>
      <c r="H96" s="11" t="s">
        <v>376</v>
      </c>
      <c r="I96" s="11" t="s">
        <v>377</v>
      </c>
      <c r="J96" s="12">
        <v>0.36880000000000002</v>
      </c>
      <c r="K96" s="13">
        <v>4</v>
      </c>
      <c r="L96" s="14">
        <v>1003</v>
      </c>
      <c r="M96" s="10">
        <v>386</v>
      </c>
      <c r="N96" s="10">
        <v>110834</v>
      </c>
      <c r="O96" s="10">
        <v>30269</v>
      </c>
      <c r="P96" s="10">
        <v>141103</v>
      </c>
    </row>
    <row r="97" spans="1:16" ht="27" customHeight="1" x14ac:dyDescent="0.2">
      <c r="A97" s="9" t="s">
        <v>309</v>
      </c>
      <c r="B97" s="10" t="s">
        <v>378</v>
      </c>
      <c r="C97" s="11" t="s">
        <v>18</v>
      </c>
      <c r="D97" s="11" t="s">
        <v>19</v>
      </c>
      <c r="E97" s="11" t="s">
        <v>19</v>
      </c>
      <c r="F97" s="11" t="s">
        <v>379</v>
      </c>
      <c r="G97" s="11" t="s">
        <v>83</v>
      </c>
      <c r="H97" s="11" t="s">
        <v>380</v>
      </c>
      <c r="I97" s="11" t="s">
        <v>381</v>
      </c>
      <c r="J97" s="12">
        <v>0.95650000000000002</v>
      </c>
      <c r="K97" s="13">
        <v>2</v>
      </c>
      <c r="L97" s="14">
        <v>70</v>
      </c>
      <c r="M97" s="10">
        <v>67</v>
      </c>
      <c r="N97" s="10">
        <v>7735</v>
      </c>
      <c r="O97" s="10">
        <v>5254</v>
      </c>
      <c r="P97" s="10">
        <v>12989</v>
      </c>
    </row>
    <row r="98" spans="1:16" ht="27" customHeight="1" x14ac:dyDescent="0.2">
      <c r="A98" s="9" t="s">
        <v>309</v>
      </c>
      <c r="B98" s="10" t="s">
        <v>382</v>
      </c>
      <c r="C98" s="11" t="s">
        <v>18</v>
      </c>
      <c r="D98" s="11" t="s">
        <v>19</v>
      </c>
      <c r="E98" s="11" t="s">
        <v>19</v>
      </c>
      <c r="F98" s="11" t="s">
        <v>383</v>
      </c>
      <c r="G98" s="11" t="s">
        <v>83</v>
      </c>
      <c r="H98" s="11" t="s">
        <v>383</v>
      </c>
      <c r="I98" s="11" t="s">
        <v>384</v>
      </c>
      <c r="J98" s="12">
        <v>0.48449999999999999</v>
      </c>
      <c r="K98" s="13">
        <v>2</v>
      </c>
      <c r="L98" s="14">
        <v>322</v>
      </c>
      <c r="M98" s="10">
        <v>156</v>
      </c>
      <c r="N98" s="10">
        <v>35582</v>
      </c>
      <c r="O98" s="10">
        <v>12233</v>
      </c>
      <c r="P98" s="10">
        <v>47815</v>
      </c>
    </row>
    <row r="99" spans="1:16" ht="27" customHeight="1" x14ac:dyDescent="0.2">
      <c r="A99" s="9" t="s">
        <v>309</v>
      </c>
      <c r="B99" s="10" t="s">
        <v>385</v>
      </c>
      <c r="C99" s="11" t="s">
        <v>18</v>
      </c>
      <c r="D99" s="11" t="s">
        <v>19</v>
      </c>
      <c r="E99" s="11" t="s">
        <v>19</v>
      </c>
      <c r="F99" s="11" t="s">
        <v>386</v>
      </c>
      <c r="G99" s="11" t="s">
        <v>83</v>
      </c>
      <c r="H99" s="11" t="s">
        <v>387</v>
      </c>
      <c r="I99" s="11" t="s">
        <v>388</v>
      </c>
      <c r="J99" s="12">
        <v>0.88100000000000001</v>
      </c>
      <c r="K99" s="13">
        <v>8</v>
      </c>
      <c r="L99" s="14">
        <v>2179</v>
      </c>
      <c r="M99" s="10">
        <v>1652</v>
      </c>
      <c r="N99" s="10">
        <v>240783</v>
      </c>
      <c r="O99" s="10">
        <v>129548</v>
      </c>
      <c r="P99" s="10">
        <v>370331</v>
      </c>
    </row>
    <row r="100" spans="1:16" ht="27" customHeight="1" x14ac:dyDescent="0.2">
      <c r="A100" s="9" t="s">
        <v>309</v>
      </c>
      <c r="B100" s="10" t="s">
        <v>385</v>
      </c>
      <c r="C100" s="11" t="s">
        <v>389</v>
      </c>
      <c r="D100" s="11" t="s">
        <v>390</v>
      </c>
      <c r="E100" s="11" t="s">
        <v>26</v>
      </c>
      <c r="F100" s="11" t="s">
        <v>391</v>
      </c>
      <c r="G100" s="11" t="s">
        <v>28</v>
      </c>
      <c r="H100" s="11" t="s">
        <v>391</v>
      </c>
      <c r="I100" s="11" t="s">
        <v>392</v>
      </c>
      <c r="J100" s="12">
        <v>0.69840000000000002</v>
      </c>
      <c r="K100" s="13">
        <v>1</v>
      </c>
      <c r="L100" s="14">
        <v>63</v>
      </c>
      <c r="M100" s="10">
        <v>44</v>
      </c>
      <c r="N100" s="10">
        <v>6962</v>
      </c>
      <c r="O100" s="10">
        <v>3450</v>
      </c>
      <c r="P100" s="10">
        <v>10412</v>
      </c>
    </row>
    <row r="101" spans="1:16" ht="27" customHeight="1" x14ac:dyDescent="0.2">
      <c r="A101" s="9" t="s">
        <v>309</v>
      </c>
      <c r="B101" s="10" t="s">
        <v>385</v>
      </c>
      <c r="C101" s="11" t="s">
        <v>393</v>
      </c>
      <c r="D101" s="11" t="s">
        <v>394</v>
      </c>
      <c r="E101" s="11" t="s">
        <v>26</v>
      </c>
      <c r="F101" s="11" t="s">
        <v>395</v>
      </c>
      <c r="G101" s="11" t="s">
        <v>28</v>
      </c>
      <c r="H101" s="11" t="s">
        <v>395</v>
      </c>
      <c r="I101" s="11" t="s">
        <v>396</v>
      </c>
      <c r="J101" s="12">
        <v>0.48830000000000001</v>
      </c>
      <c r="K101" s="13">
        <v>1</v>
      </c>
      <c r="L101" s="14">
        <v>428</v>
      </c>
      <c r="M101" s="10">
        <v>209</v>
      </c>
      <c r="N101" s="10">
        <v>47295</v>
      </c>
      <c r="O101" s="10">
        <v>16390</v>
      </c>
      <c r="P101" s="10">
        <v>63685</v>
      </c>
    </row>
    <row r="102" spans="1:16" ht="27" customHeight="1" x14ac:dyDescent="0.2">
      <c r="A102" s="9" t="s">
        <v>309</v>
      </c>
      <c r="B102" s="10" t="s">
        <v>397</v>
      </c>
      <c r="C102" s="11" t="s">
        <v>18</v>
      </c>
      <c r="D102" s="11" t="s">
        <v>19</v>
      </c>
      <c r="E102" s="11" t="s">
        <v>19</v>
      </c>
      <c r="F102" s="11" t="s">
        <v>398</v>
      </c>
      <c r="G102" s="11" t="s">
        <v>83</v>
      </c>
      <c r="H102" s="11" t="s">
        <v>312</v>
      </c>
      <c r="I102" s="11" t="s">
        <v>313</v>
      </c>
      <c r="J102" s="12">
        <v>1</v>
      </c>
      <c r="K102" s="13">
        <v>5</v>
      </c>
      <c r="L102" s="14">
        <v>2346</v>
      </c>
      <c r="M102" s="10">
        <v>1909</v>
      </c>
      <c r="N102" s="10">
        <v>259238</v>
      </c>
      <c r="O102" s="10">
        <v>149701</v>
      </c>
      <c r="P102" s="10">
        <v>408939</v>
      </c>
    </row>
    <row r="103" spans="1:16" ht="27" customHeight="1" x14ac:dyDescent="0.2">
      <c r="A103" s="9" t="s">
        <v>309</v>
      </c>
      <c r="B103" s="10" t="s">
        <v>399</v>
      </c>
      <c r="C103" s="11" t="s">
        <v>18</v>
      </c>
      <c r="D103" s="11" t="s">
        <v>19</v>
      </c>
      <c r="E103" s="11" t="s">
        <v>19</v>
      </c>
      <c r="F103" s="11" t="s">
        <v>400</v>
      </c>
      <c r="G103" s="11" t="s">
        <v>83</v>
      </c>
      <c r="H103" s="11" t="s">
        <v>401</v>
      </c>
      <c r="I103" s="11" t="s">
        <v>402</v>
      </c>
      <c r="J103" s="12">
        <v>0.94120000000000004</v>
      </c>
      <c r="K103" s="13">
        <v>7</v>
      </c>
      <c r="L103" s="14">
        <v>1316</v>
      </c>
      <c r="M103" s="10">
        <v>1077</v>
      </c>
      <c r="N103" s="10">
        <v>145421</v>
      </c>
      <c r="O103" s="10">
        <v>84457</v>
      </c>
      <c r="P103" s="10">
        <v>229878</v>
      </c>
    </row>
    <row r="104" spans="1:16" ht="27" customHeight="1" x14ac:dyDescent="0.2">
      <c r="A104" s="9" t="s">
        <v>309</v>
      </c>
      <c r="B104" s="10" t="s">
        <v>403</v>
      </c>
      <c r="C104" s="11" t="s">
        <v>18</v>
      </c>
      <c r="D104" s="11" t="s">
        <v>19</v>
      </c>
      <c r="E104" s="11" t="s">
        <v>19</v>
      </c>
      <c r="F104" s="11" t="s">
        <v>404</v>
      </c>
      <c r="G104" s="11" t="s">
        <v>83</v>
      </c>
      <c r="H104" s="11" t="s">
        <v>405</v>
      </c>
      <c r="I104" s="11" t="s">
        <v>406</v>
      </c>
      <c r="J104" s="12">
        <v>0.76439999999999997</v>
      </c>
      <c r="K104" s="13">
        <v>12</v>
      </c>
      <c r="L104" s="14">
        <v>1590</v>
      </c>
      <c r="M104" s="10">
        <v>997</v>
      </c>
      <c r="N104" s="10">
        <v>175698</v>
      </c>
      <c r="O104" s="10">
        <v>78184</v>
      </c>
      <c r="P104" s="10">
        <v>253882</v>
      </c>
    </row>
    <row r="105" spans="1:16" ht="27" customHeight="1" x14ac:dyDescent="0.2">
      <c r="A105" s="9" t="s">
        <v>309</v>
      </c>
      <c r="B105" s="10" t="s">
        <v>403</v>
      </c>
      <c r="C105" s="11" t="s">
        <v>407</v>
      </c>
      <c r="D105" s="11" t="s">
        <v>408</v>
      </c>
      <c r="E105" s="11" t="s">
        <v>26</v>
      </c>
      <c r="F105" s="11" t="s">
        <v>409</v>
      </c>
      <c r="G105" s="11" t="s">
        <v>28</v>
      </c>
      <c r="H105" s="11" t="s">
        <v>409</v>
      </c>
      <c r="I105" s="11" t="s">
        <v>410</v>
      </c>
      <c r="J105" s="12">
        <v>0.39839999999999998</v>
      </c>
      <c r="K105" s="13">
        <v>1</v>
      </c>
      <c r="L105" s="14">
        <v>123</v>
      </c>
      <c r="M105" s="10">
        <v>49</v>
      </c>
      <c r="N105" s="10">
        <v>13592</v>
      </c>
      <c r="O105" s="10">
        <v>3843</v>
      </c>
      <c r="P105" s="10">
        <v>17435</v>
      </c>
    </row>
    <row r="106" spans="1:16" ht="27" customHeight="1" x14ac:dyDescent="0.2">
      <c r="A106" s="9" t="s">
        <v>309</v>
      </c>
      <c r="B106" s="10" t="s">
        <v>403</v>
      </c>
      <c r="C106" s="11" t="s">
        <v>411</v>
      </c>
      <c r="D106" s="11" t="s">
        <v>412</v>
      </c>
      <c r="E106" s="11" t="s">
        <v>26</v>
      </c>
      <c r="F106" s="11" t="s">
        <v>413</v>
      </c>
      <c r="G106" s="11" t="s">
        <v>28</v>
      </c>
      <c r="H106" s="11" t="s">
        <v>413</v>
      </c>
      <c r="I106" s="11" t="s">
        <v>414</v>
      </c>
      <c r="J106" s="12">
        <v>0.77110000000000001</v>
      </c>
      <c r="K106" s="13">
        <v>1</v>
      </c>
      <c r="L106" s="14">
        <v>83</v>
      </c>
      <c r="M106" s="10">
        <v>64</v>
      </c>
      <c r="N106" s="10">
        <v>9172</v>
      </c>
      <c r="O106" s="10">
        <v>5019</v>
      </c>
      <c r="P106" s="10">
        <v>14191</v>
      </c>
    </row>
    <row r="107" spans="1:16" ht="27" customHeight="1" x14ac:dyDescent="0.2">
      <c r="A107" s="9" t="s">
        <v>309</v>
      </c>
      <c r="B107" s="10" t="s">
        <v>403</v>
      </c>
      <c r="C107" s="11" t="s">
        <v>415</v>
      </c>
      <c r="D107" s="11" t="s">
        <v>416</v>
      </c>
      <c r="E107" s="11" t="s">
        <v>26</v>
      </c>
      <c r="F107" s="11" t="s">
        <v>417</v>
      </c>
      <c r="G107" s="11" t="s">
        <v>28</v>
      </c>
      <c r="H107" s="11" t="s">
        <v>312</v>
      </c>
      <c r="I107" s="11" t="s">
        <v>313</v>
      </c>
      <c r="J107" s="12">
        <v>1</v>
      </c>
      <c r="K107" s="13">
        <v>1</v>
      </c>
      <c r="L107" s="14">
        <v>143</v>
      </c>
      <c r="M107" s="10">
        <v>45</v>
      </c>
      <c r="N107" s="10">
        <v>15802</v>
      </c>
      <c r="O107" s="10">
        <v>3529</v>
      </c>
      <c r="P107" s="10">
        <v>19331</v>
      </c>
    </row>
    <row r="108" spans="1:16" ht="27" customHeight="1" x14ac:dyDescent="0.2">
      <c r="A108" s="9" t="s">
        <v>309</v>
      </c>
      <c r="B108" s="10" t="s">
        <v>403</v>
      </c>
      <c r="C108" s="11" t="s">
        <v>418</v>
      </c>
      <c r="D108" s="11" t="s">
        <v>419</v>
      </c>
      <c r="E108" s="11" t="s">
        <v>26</v>
      </c>
      <c r="F108" s="11" t="s">
        <v>420</v>
      </c>
      <c r="G108" s="11" t="s">
        <v>28</v>
      </c>
      <c r="H108" s="11" t="s">
        <v>420</v>
      </c>
      <c r="I108" s="11" t="s">
        <v>421</v>
      </c>
      <c r="J108" s="12">
        <v>0.5978</v>
      </c>
      <c r="K108" s="13">
        <v>1</v>
      </c>
      <c r="L108" s="14">
        <v>179</v>
      </c>
      <c r="M108" s="10">
        <v>107</v>
      </c>
      <c r="N108" s="10">
        <v>19780</v>
      </c>
      <c r="O108" s="10">
        <v>8391</v>
      </c>
      <c r="P108" s="10">
        <v>28171</v>
      </c>
    </row>
    <row r="109" spans="1:16" ht="27" customHeight="1" x14ac:dyDescent="0.2">
      <c r="A109" s="9" t="s">
        <v>309</v>
      </c>
      <c r="B109" s="10" t="s">
        <v>422</v>
      </c>
      <c r="C109" s="11" t="s">
        <v>18</v>
      </c>
      <c r="D109" s="11" t="s">
        <v>19</v>
      </c>
      <c r="E109" s="11" t="s">
        <v>19</v>
      </c>
      <c r="F109" s="11" t="s">
        <v>423</v>
      </c>
      <c r="G109" s="11" t="s">
        <v>83</v>
      </c>
      <c r="H109" s="11" t="s">
        <v>424</v>
      </c>
      <c r="I109" s="11" t="s">
        <v>425</v>
      </c>
      <c r="J109" s="12">
        <v>0.87339999999999995</v>
      </c>
      <c r="K109" s="13">
        <v>7</v>
      </c>
      <c r="L109" s="14">
        <v>1671</v>
      </c>
      <c r="M109" s="10">
        <v>1419</v>
      </c>
      <c r="N109" s="10">
        <v>184648</v>
      </c>
      <c r="O109" s="10">
        <v>111275</v>
      </c>
      <c r="P109" s="10">
        <v>295923</v>
      </c>
    </row>
    <row r="110" spans="1:16" ht="27" customHeight="1" x14ac:dyDescent="0.2">
      <c r="A110" s="9" t="s">
        <v>309</v>
      </c>
      <c r="B110" s="10" t="s">
        <v>426</v>
      </c>
      <c r="C110" s="11" t="s">
        <v>18</v>
      </c>
      <c r="D110" s="11" t="s">
        <v>19</v>
      </c>
      <c r="E110" s="11" t="s">
        <v>19</v>
      </c>
      <c r="F110" s="11" t="s">
        <v>427</v>
      </c>
      <c r="G110" s="11" t="s">
        <v>83</v>
      </c>
      <c r="H110" s="11" t="s">
        <v>312</v>
      </c>
      <c r="I110" s="11" t="s">
        <v>313</v>
      </c>
      <c r="J110" s="12">
        <v>1</v>
      </c>
      <c r="K110" s="13">
        <v>2</v>
      </c>
      <c r="L110" s="14">
        <v>30</v>
      </c>
      <c r="M110" s="10">
        <v>30</v>
      </c>
      <c r="N110" s="10">
        <v>3315</v>
      </c>
      <c r="O110" s="10">
        <v>2353</v>
      </c>
      <c r="P110" s="10">
        <v>5668</v>
      </c>
    </row>
    <row r="111" spans="1:16" ht="27" customHeight="1" x14ac:dyDescent="0.2">
      <c r="A111" s="9" t="s">
        <v>309</v>
      </c>
      <c r="B111" s="10" t="s">
        <v>428</v>
      </c>
      <c r="C111" s="11" t="s">
        <v>18</v>
      </c>
      <c r="D111" s="11" t="s">
        <v>19</v>
      </c>
      <c r="E111" s="11" t="s">
        <v>19</v>
      </c>
      <c r="F111" s="11" t="s">
        <v>429</v>
      </c>
      <c r="G111" s="11" t="s">
        <v>83</v>
      </c>
      <c r="H111" s="11" t="s">
        <v>430</v>
      </c>
      <c r="I111" s="11" t="s">
        <v>431</v>
      </c>
      <c r="J111" s="12">
        <v>0.75149999999999995</v>
      </c>
      <c r="K111" s="13">
        <v>6</v>
      </c>
      <c r="L111" s="14">
        <v>2046</v>
      </c>
      <c r="M111" s="10">
        <v>1380</v>
      </c>
      <c r="N111" s="10">
        <v>226086</v>
      </c>
      <c r="O111" s="10">
        <v>108218</v>
      </c>
      <c r="P111" s="10">
        <v>334304</v>
      </c>
    </row>
    <row r="112" spans="1:16" ht="27" customHeight="1" x14ac:dyDescent="0.2">
      <c r="A112" s="9" t="s">
        <v>432</v>
      </c>
      <c r="B112" s="10" t="s">
        <v>433</v>
      </c>
      <c r="C112" s="11" t="s">
        <v>18</v>
      </c>
      <c r="D112" s="11" t="s">
        <v>19</v>
      </c>
      <c r="E112" s="11" t="s">
        <v>19</v>
      </c>
      <c r="F112" s="11" t="s">
        <v>434</v>
      </c>
      <c r="G112" s="11" t="s">
        <v>21</v>
      </c>
      <c r="H112" s="11" t="s">
        <v>435</v>
      </c>
      <c r="I112" s="11" t="s">
        <v>436</v>
      </c>
      <c r="J112" s="12">
        <v>0.69379999999999997</v>
      </c>
      <c r="K112" s="13">
        <v>4</v>
      </c>
      <c r="L112" s="14">
        <v>106</v>
      </c>
      <c r="M112" s="10">
        <v>75</v>
      </c>
      <c r="N112" s="10">
        <v>11714</v>
      </c>
      <c r="O112" s="10">
        <v>5881</v>
      </c>
      <c r="P112" s="10">
        <v>17595</v>
      </c>
    </row>
    <row r="113" spans="1:16" ht="27" customHeight="1" x14ac:dyDescent="0.2">
      <c r="A113" s="9" t="s">
        <v>432</v>
      </c>
      <c r="B113" s="10" t="s">
        <v>433</v>
      </c>
      <c r="C113" s="11" t="s">
        <v>437</v>
      </c>
      <c r="D113" s="11" t="s">
        <v>438</v>
      </c>
      <c r="E113" s="11" t="s">
        <v>57</v>
      </c>
      <c r="F113" s="11" t="s">
        <v>439</v>
      </c>
      <c r="G113" s="11" t="s">
        <v>28</v>
      </c>
      <c r="H113" s="11" t="s">
        <v>439</v>
      </c>
      <c r="I113" s="11" t="s">
        <v>440</v>
      </c>
      <c r="J113" s="12">
        <v>0.50749999999999995</v>
      </c>
      <c r="K113" s="13">
        <v>1</v>
      </c>
      <c r="L113" s="14">
        <v>402</v>
      </c>
      <c r="M113" s="10">
        <v>204</v>
      </c>
      <c r="N113" s="10">
        <v>44422</v>
      </c>
      <c r="O113" s="10">
        <v>15997</v>
      </c>
      <c r="P113" s="10">
        <v>60419</v>
      </c>
    </row>
    <row r="114" spans="1:16" ht="27" customHeight="1" x14ac:dyDescent="0.2">
      <c r="A114" s="9" t="s">
        <v>432</v>
      </c>
      <c r="B114" s="10" t="s">
        <v>441</v>
      </c>
      <c r="C114" s="11" t="s">
        <v>18</v>
      </c>
      <c r="D114" s="11" t="s">
        <v>19</v>
      </c>
      <c r="E114" s="11" t="s">
        <v>19</v>
      </c>
      <c r="F114" s="11" t="s">
        <v>442</v>
      </c>
      <c r="G114" s="11" t="s">
        <v>83</v>
      </c>
      <c r="H114" s="11" t="s">
        <v>435</v>
      </c>
      <c r="I114" s="11" t="s">
        <v>436</v>
      </c>
      <c r="J114" s="12">
        <v>0.69379999999999997</v>
      </c>
      <c r="K114" s="13">
        <v>3</v>
      </c>
      <c r="L114" s="14">
        <v>633</v>
      </c>
      <c r="M114" s="10">
        <v>281</v>
      </c>
      <c r="N114" s="10">
        <v>69947</v>
      </c>
      <c r="O114" s="10">
        <v>22036</v>
      </c>
      <c r="P114" s="10">
        <v>91983</v>
      </c>
    </row>
    <row r="115" spans="1:16" ht="27" customHeight="1" x14ac:dyDescent="0.2">
      <c r="A115" s="9" t="s">
        <v>432</v>
      </c>
      <c r="B115" s="10" t="s">
        <v>443</v>
      </c>
      <c r="C115" s="11" t="s">
        <v>18</v>
      </c>
      <c r="D115" s="11" t="s">
        <v>19</v>
      </c>
      <c r="E115" s="11" t="s">
        <v>19</v>
      </c>
      <c r="F115" s="11" t="s">
        <v>444</v>
      </c>
      <c r="G115" s="11" t="s">
        <v>83</v>
      </c>
      <c r="H115" s="11" t="s">
        <v>435</v>
      </c>
      <c r="I115" s="11" t="s">
        <v>436</v>
      </c>
      <c r="J115" s="12">
        <v>0.69379999999999997</v>
      </c>
      <c r="K115" s="13">
        <v>10</v>
      </c>
      <c r="L115" s="14">
        <v>2949</v>
      </c>
      <c r="M115" s="10">
        <v>1406</v>
      </c>
      <c r="N115" s="10">
        <v>325870</v>
      </c>
      <c r="O115" s="10">
        <v>110258</v>
      </c>
      <c r="P115" s="10">
        <v>436128</v>
      </c>
    </row>
    <row r="116" spans="1:16" ht="27" customHeight="1" x14ac:dyDescent="0.2">
      <c r="A116" s="9" t="s">
        <v>432</v>
      </c>
      <c r="B116" s="10" t="s">
        <v>445</v>
      </c>
      <c r="C116" s="11" t="s">
        <v>18</v>
      </c>
      <c r="D116" s="11" t="s">
        <v>19</v>
      </c>
      <c r="E116" s="11" t="s">
        <v>19</v>
      </c>
      <c r="F116" s="11" t="s">
        <v>446</v>
      </c>
      <c r="G116" s="11" t="s">
        <v>83</v>
      </c>
      <c r="H116" s="11" t="s">
        <v>447</v>
      </c>
      <c r="I116" s="11" t="s">
        <v>448</v>
      </c>
      <c r="J116" s="12">
        <v>0.56810000000000005</v>
      </c>
      <c r="K116" s="13">
        <v>4</v>
      </c>
      <c r="L116" s="14">
        <v>764</v>
      </c>
      <c r="M116" s="10">
        <v>407</v>
      </c>
      <c r="N116" s="10">
        <v>84424</v>
      </c>
      <c r="O116" s="10">
        <v>31916</v>
      </c>
      <c r="P116" s="10">
        <v>116340</v>
      </c>
    </row>
    <row r="117" spans="1:16" ht="27" customHeight="1" x14ac:dyDescent="0.2">
      <c r="A117" s="9" t="s">
        <v>432</v>
      </c>
      <c r="B117" s="10" t="s">
        <v>449</v>
      </c>
      <c r="C117" s="11" t="s">
        <v>18</v>
      </c>
      <c r="D117" s="11" t="s">
        <v>19</v>
      </c>
      <c r="E117" s="11" t="s">
        <v>19</v>
      </c>
      <c r="F117" s="11" t="s">
        <v>450</v>
      </c>
      <c r="G117" s="11" t="s">
        <v>83</v>
      </c>
      <c r="H117" s="11" t="s">
        <v>451</v>
      </c>
      <c r="I117" s="11" t="s">
        <v>452</v>
      </c>
      <c r="J117" s="12">
        <v>0.5</v>
      </c>
      <c r="K117" s="13">
        <v>5</v>
      </c>
      <c r="L117" s="14">
        <v>590</v>
      </c>
      <c r="M117" s="10">
        <v>283</v>
      </c>
      <c r="N117" s="10">
        <v>65196</v>
      </c>
      <c r="O117" s="10">
        <v>22193</v>
      </c>
      <c r="P117" s="10">
        <v>87389</v>
      </c>
    </row>
    <row r="118" spans="1:16" ht="27" customHeight="1" x14ac:dyDescent="0.2">
      <c r="A118" s="9" t="s">
        <v>453</v>
      </c>
      <c r="B118" s="10" t="s">
        <v>454</v>
      </c>
      <c r="C118" s="11" t="s">
        <v>18</v>
      </c>
      <c r="D118" s="11" t="s">
        <v>19</v>
      </c>
      <c r="E118" s="11" t="s">
        <v>19</v>
      </c>
      <c r="F118" s="11" t="s">
        <v>455</v>
      </c>
      <c r="G118" s="11" t="s">
        <v>21</v>
      </c>
      <c r="H118" s="11" t="s">
        <v>456</v>
      </c>
      <c r="I118" s="11" t="s">
        <v>457</v>
      </c>
      <c r="J118" s="12">
        <v>0.94010000000000005</v>
      </c>
      <c r="K118" s="13">
        <v>3</v>
      </c>
      <c r="L118" s="14">
        <v>128</v>
      </c>
      <c r="M118" s="10">
        <v>119</v>
      </c>
      <c r="N118" s="10">
        <v>14145</v>
      </c>
      <c r="O118" s="10">
        <v>9331</v>
      </c>
      <c r="P118" s="10">
        <v>23476</v>
      </c>
    </row>
    <row r="119" spans="1:16" ht="27" customHeight="1" x14ac:dyDescent="0.2">
      <c r="A119" s="9" t="s">
        <v>453</v>
      </c>
      <c r="B119" s="10" t="s">
        <v>458</v>
      </c>
      <c r="C119" s="11" t="s">
        <v>18</v>
      </c>
      <c r="D119" s="11" t="s">
        <v>19</v>
      </c>
      <c r="E119" s="11" t="s">
        <v>19</v>
      </c>
      <c r="F119" s="11" t="s">
        <v>459</v>
      </c>
      <c r="G119" s="11" t="s">
        <v>83</v>
      </c>
      <c r="H119" s="11" t="s">
        <v>460</v>
      </c>
      <c r="I119" s="11" t="s">
        <v>461</v>
      </c>
      <c r="J119" s="12">
        <v>0.67400000000000004</v>
      </c>
      <c r="K119" s="13">
        <v>6</v>
      </c>
      <c r="L119" s="14">
        <v>1545</v>
      </c>
      <c r="M119" s="10">
        <v>985</v>
      </c>
      <c r="N119" s="10">
        <v>170725</v>
      </c>
      <c r="O119" s="10">
        <v>77242</v>
      </c>
      <c r="P119" s="10">
        <v>247967</v>
      </c>
    </row>
    <row r="120" spans="1:16" ht="27" customHeight="1" x14ac:dyDescent="0.2">
      <c r="A120" s="9" t="s">
        <v>453</v>
      </c>
      <c r="B120" s="10" t="s">
        <v>462</v>
      </c>
      <c r="C120" s="11" t="s">
        <v>18</v>
      </c>
      <c r="D120" s="11" t="s">
        <v>19</v>
      </c>
      <c r="E120" s="11" t="s">
        <v>19</v>
      </c>
      <c r="F120" s="11" t="s">
        <v>463</v>
      </c>
      <c r="G120" s="11" t="s">
        <v>83</v>
      </c>
      <c r="H120" s="11" t="s">
        <v>464</v>
      </c>
      <c r="I120" s="11" t="s">
        <v>465</v>
      </c>
      <c r="J120" s="12">
        <v>0.62939999999999996</v>
      </c>
      <c r="K120" s="13">
        <v>4</v>
      </c>
      <c r="L120" s="14">
        <v>344</v>
      </c>
      <c r="M120" s="10">
        <v>215</v>
      </c>
      <c r="N120" s="10">
        <v>38013</v>
      </c>
      <c r="O120" s="10">
        <v>16860</v>
      </c>
      <c r="P120" s="10">
        <v>54873</v>
      </c>
    </row>
    <row r="121" spans="1:16" ht="27" customHeight="1" x14ac:dyDescent="0.2">
      <c r="A121" s="9" t="s">
        <v>453</v>
      </c>
      <c r="B121" s="10" t="s">
        <v>466</v>
      </c>
      <c r="C121" s="11" t="s">
        <v>18</v>
      </c>
      <c r="D121" s="11" t="s">
        <v>19</v>
      </c>
      <c r="E121" s="11" t="s">
        <v>19</v>
      </c>
      <c r="F121" s="11" t="s">
        <v>467</v>
      </c>
      <c r="G121" s="11" t="s">
        <v>83</v>
      </c>
      <c r="H121" s="11" t="s">
        <v>468</v>
      </c>
      <c r="I121" s="11" t="s">
        <v>469</v>
      </c>
      <c r="J121" s="12">
        <v>0.74509999999999998</v>
      </c>
      <c r="K121" s="13">
        <v>6</v>
      </c>
      <c r="L121" s="14">
        <v>1505</v>
      </c>
      <c r="M121" s="10">
        <v>1042</v>
      </c>
      <c r="N121" s="10">
        <v>166306</v>
      </c>
      <c r="O121" s="10">
        <v>81713</v>
      </c>
      <c r="P121" s="10">
        <v>248019</v>
      </c>
    </row>
    <row r="122" spans="1:16" ht="27" customHeight="1" x14ac:dyDescent="0.2">
      <c r="A122" s="9" t="s">
        <v>453</v>
      </c>
      <c r="B122" s="10" t="s">
        <v>470</v>
      </c>
      <c r="C122" s="11" t="s">
        <v>18</v>
      </c>
      <c r="D122" s="11" t="s">
        <v>19</v>
      </c>
      <c r="E122" s="11" t="s">
        <v>19</v>
      </c>
      <c r="F122" s="11" t="s">
        <v>471</v>
      </c>
      <c r="G122" s="11" t="s">
        <v>83</v>
      </c>
      <c r="H122" s="11" t="s">
        <v>456</v>
      </c>
      <c r="I122" s="11" t="s">
        <v>457</v>
      </c>
      <c r="J122" s="12">
        <v>0.94010000000000005</v>
      </c>
      <c r="K122" s="13">
        <v>5</v>
      </c>
      <c r="L122" s="14">
        <v>1371</v>
      </c>
      <c r="M122" s="10">
        <v>1252</v>
      </c>
      <c r="N122" s="10">
        <v>151498</v>
      </c>
      <c r="O122" s="10">
        <v>98181</v>
      </c>
      <c r="P122" s="10">
        <v>249679</v>
      </c>
    </row>
    <row r="123" spans="1:16" ht="27" customHeight="1" x14ac:dyDescent="0.2">
      <c r="A123" s="9" t="s">
        <v>472</v>
      </c>
      <c r="B123" s="10" t="s">
        <v>473</v>
      </c>
      <c r="C123" s="11" t="s">
        <v>18</v>
      </c>
      <c r="D123" s="11" t="s">
        <v>19</v>
      </c>
      <c r="E123" s="11" t="s">
        <v>19</v>
      </c>
      <c r="F123" s="11" t="s">
        <v>474</v>
      </c>
      <c r="G123" s="11" t="s">
        <v>21</v>
      </c>
      <c r="H123" s="11" t="s">
        <v>475</v>
      </c>
      <c r="I123" s="11" t="s">
        <v>476</v>
      </c>
      <c r="J123" s="12">
        <v>0.96099999999999997</v>
      </c>
      <c r="K123" s="13">
        <v>5</v>
      </c>
      <c r="L123" s="14">
        <v>247</v>
      </c>
      <c r="M123" s="10">
        <v>111</v>
      </c>
      <c r="N123" s="10">
        <v>27294</v>
      </c>
      <c r="O123" s="10">
        <v>8704</v>
      </c>
      <c r="P123" s="10">
        <v>35998</v>
      </c>
    </row>
    <row r="124" spans="1:16" ht="27" customHeight="1" x14ac:dyDescent="0.2">
      <c r="A124" s="9" t="s">
        <v>472</v>
      </c>
      <c r="B124" s="10" t="s">
        <v>473</v>
      </c>
      <c r="C124" s="11" t="s">
        <v>477</v>
      </c>
      <c r="D124" s="11" t="s">
        <v>478</v>
      </c>
      <c r="E124" s="11" t="s">
        <v>26</v>
      </c>
      <c r="F124" s="11" t="s">
        <v>479</v>
      </c>
      <c r="G124" s="11" t="s">
        <v>28</v>
      </c>
      <c r="H124" s="11" t="s">
        <v>479</v>
      </c>
      <c r="I124" s="11" t="s">
        <v>480</v>
      </c>
      <c r="J124" s="12">
        <v>0.83540000000000003</v>
      </c>
      <c r="K124" s="13">
        <v>1</v>
      </c>
      <c r="L124" s="14">
        <v>1124</v>
      </c>
      <c r="M124" s="10">
        <v>939</v>
      </c>
      <c r="N124" s="10">
        <v>124204</v>
      </c>
      <c r="O124" s="10">
        <v>73635</v>
      </c>
      <c r="P124" s="10">
        <v>197839</v>
      </c>
    </row>
    <row r="125" spans="1:16" ht="27" customHeight="1" x14ac:dyDescent="0.2">
      <c r="A125" s="9" t="s">
        <v>472</v>
      </c>
      <c r="B125" s="10" t="s">
        <v>473</v>
      </c>
      <c r="C125" s="11" t="s">
        <v>481</v>
      </c>
      <c r="D125" s="11" t="s">
        <v>482</v>
      </c>
      <c r="E125" s="11" t="s">
        <v>26</v>
      </c>
      <c r="F125" s="11" t="s">
        <v>483</v>
      </c>
      <c r="G125" s="11" t="s">
        <v>28</v>
      </c>
      <c r="H125" s="11" t="s">
        <v>483</v>
      </c>
      <c r="I125" s="11" t="s">
        <v>484</v>
      </c>
      <c r="J125" s="12">
        <v>0.73270000000000002</v>
      </c>
      <c r="K125" s="13">
        <v>1</v>
      </c>
      <c r="L125" s="14">
        <v>913</v>
      </c>
      <c r="M125" s="10">
        <v>669</v>
      </c>
      <c r="N125" s="10">
        <v>100888</v>
      </c>
      <c r="O125" s="10">
        <v>52462</v>
      </c>
      <c r="P125" s="10">
        <v>153350</v>
      </c>
    </row>
    <row r="126" spans="1:16" ht="27" customHeight="1" x14ac:dyDescent="0.2">
      <c r="A126" s="9" t="s">
        <v>472</v>
      </c>
      <c r="B126" s="10" t="s">
        <v>473</v>
      </c>
      <c r="C126" s="11" t="s">
        <v>485</v>
      </c>
      <c r="D126" s="11" t="s">
        <v>486</v>
      </c>
      <c r="E126" s="11" t="s">
        <v>26</v>
      </c>
      <c r="F126" s="11" t="s">
        <v>487</v>
      </c>
      <c r="G126" s="11" t="s">
        <v>28</v>
      </c>
      <c r="H126" s="11" t="s">
        <v>475</v>
      </c>
      <c r="I126" s="11" t="s">
        <v>476</v>
      </c>
      <c r="J126" s="12">
        <v>0.96099999999999997</v>
      </c>
      <c r="K126" s="13">
        <v>1</v>
      </c>
      <c r="L126" s="14">
        <v>506</v>
      </c>
      <c r="M126" s="10">
        <v>365</v>
      </c>
      <c r="N126" s="10">
        <v>55914</v>
      </c>
      <c r="O126" s="10">
        <v>28623</v>
      </c>
      <c r="P126" s="10">
        <v>84537</v>
      </c>
    </row>
    <row r="127" spans="1:16" ht="27" customHeight="1" x14ac:dyDescent="0.2">
      <c r="A127" s="9" t="s">
        <v>472</v>
      </c>
      <c r="B127" s="10" t="s">
        <v>473</v>
      </c>
      <c r="C127" s="11" t="s">
        <v>488</v>
      </c>
      <c r="D127" s="11" t="s">
        <v>489</v>
      </c>
      <c r="E127" s="11" t="s">
        <v>26</v>
      </c>
      <c r="F127" s="11" t="s">
        <v>490</v>
      </c>
      <c r="G127" s="11" t="s">
        <v>28</v>
      </c>
      <c r="H127" s="11" t="s">
        <v>490</v>
      </c>
      <c r="I127" s="11" t="s">
        <v>491</v>
      </c>
      <c r="J127" s="12">
        <v>0.3695</v>
      </c>
      <c r="K127" s="13">
        <v>1</v>
      </c>
      <c r="L127" s="14">
        <v>341</v>
      </c>
      <c r="M127" s="10">
        <v>126</v>
      </c>
      <c r="N127" s="10">
        <v>37681</v>
      </c>
      <c r="O127" s="10">
        <v>9881</v>
      </c>
      <c r="P127" s="10">
        <v>47562</v>
      </c>
    </row>
    <row r="128" spans="1:16" ht="27" customHeight="1" x14ac:dyDescent="0.2">
      <c r="A128" s="9" t="s">
        <v>472</v>
      </c>
      <c r="B128" s="10" t="s">
        <v>473</v>
      </c>
      <c r="C128" s="11" t="s">
        <v>492</v>
      </c>
      <c r="D128" s="11" t="s">
        <v>493</v>
      </c>
      <c r="E128" s="11" t="s">
        <v>26</v>
      </c>
      <c r="F128" s="11" t="s">
        <v>494</v>
      </c>
      <c r="G128" s="11" t="s">
        <v>28</v>
      </c>
      <c r="H128" s="11" t="s">
        <v>475</v>
      </c>
      <c r="I128" s="11" t="s">
        <v>476</v>
      </c>
      <c r="J128" s="12">
        <v>0.96099999999999997</v>
      </c>
      <c r="K128" s="13">
        <v>1</v>
      </c>
      <c r="L128" s="14">
        <v>330</v>
      </c>
      <c r="M128" s="10">
        <v>234</v>
      </c>
      <c r="N128" s="10">
        <v>36466</v>
      </c>
      <c r="O128" s="10">
        <v>18350</v>
      </c>
      <c r="P128" s="10">
        <v>54816</v>
      </c>
    </row>
    <row r="129" spans="1:16" ht="27" customHeight="1" x14ac:dyDescent="0.2">
      <c r="A129" s="9" t="s">
        <v>472</v>
      </c>
      <c r="B129" s="10" t="s">
        <v>473</v>
      </c>
      <c r="C129" s="11" t="s">
        <v>495</v>
      </c>
      <c r="D129" s="11" t="s">
        <v>496</v>
      </c>
      <c r="E129" s="11" t="s">
        <v>57</v>
      </c>
      <c r="F129" s="11" t="s">
        <v>497</v>
      </c>
      <c r="G129" s="11" t="s">
        <v>28</v>
      </c>
      <c r="H129" s="11" t="s">
        <v>475</v>
      </c>
      <c r="I129" s="11" t="s">
        <v>476</v>
      </c>
      <c r="J129" s="12">
        <v>0.96099999999999997</v>
      </c>
      <c r="K129" s="13">
        <v>1</v>
      </c>
      <c r="L129" s="14">
        <v>90</v>
      </c>
      <c r="M129" s="10">
        <v>71</v>
      </c>
      <c r="N129" s="10">
        <v>9945</v>
      </c>
      <c r="O129" s="10">
        <v>5568</v>
      </c>
      <c r="P129" s="10">
        <v>15513</v>
      </c>
    </row>
    <row r="130" spans="1:16" ht="27" customHeight="1" x14ac:dyDescent="0.2">
      <c r="A130" s="9" t="s">
        <v>472</v>
      </c>
      <c r="B130" s="10" t="s">
        <v>473</v>
      </c>
      <c r="C130" s="11" t="s">
        <v>498</v>
      </c>
      <c r="D130" s="11" t="s">
        <v>499</v>
      </c>
      <c r="E130" s="11" t="s">
        <v>26</v>
      </c>
      <c r="F130" s="11" t="s">
        <v>500</v>
      </c>
      <c r="G130" s="11" t="s">
        <v>28</v>
      </c>
      <c r="H130" s="11" t="s">
        <v>475</v>
      </c>
      <c r="I130" s="11" t="s">
        <v>476</v>
      </c>
      <c r="J130" s="12">
        <v>0.96099999999999997</v>
      </c>
      <c r="K130" s="13">
        <v>1</v>
      </c>
      <c r="L130" s="14">
        <v>2381</v>
      </c>
      <c r="M130" s="10">
        <v>509</v>
      </c>
      <c r="N130" s="10">
        <v>263104</v>
      </c>
      <c r="O130" s="10">
        <v>39915</v>
      </c>
      <c r="P130" s="10">
        <v>303019</v>
      </c>
    </row>
    <row r="131" spans="1:16" ht="27" customHeight="1" x14ac:dyDescent="0.2">
      <c r="A131" s="9" t="s">
        <v>472</v>
      </c>
      <c r="B131" s="10" t="s">
        <v>473</v>
      </c>
      <c r="C131" s="11" t="s">
        <v>501</v>
      </c>
      <c r="D131" s="11" t="s">
        <v>502</v>
      </c>
      <c r="E131" s="11" t="s">
        <v>26</v>
      </c>
      <c r="F131" s="11" t="s">
        <v>503</v>
      </c>
      <c r="G131" s="11" t="s">
        <v>28</v>
      </c>
      <c r="H131" s="11" t="s">
        <v>475</v>
      </c>
      <c r="I131" s="11" t="s">
        <v>476</v>
      </c>
      <c r="J131" s="12">
        <v>0.96099999999999997</v>
      </c>
      <c r="K131" s="13">
        <v>1</v>
      </c>
      <c r="L131" s="14">
        <v>82</v>
      </c>
      <c r="M131" s="10">
        <v>52</v>
      </c>
      <c r="N131" s="10">
        <v>9061</v>
      </c>
      <c r="O131" s="10">
        <v>4078</v>
      </c>
      <c r="P131" s="10">
        <v>13139</v>
      </c>
    </row>
    <row r="132" spans="1:16" ht="27" customHeight="1" x14ac:dyDescent="0.2">
      <c r="A132" s="9" t="s">
        <v>472</v>
      </c>
      <c r="B132" s="10" t="s">
        <v>504</v>
      </c>
      <c r="C132" s="11" t="s">
        <v>18</v>
      </c>
      <c r="D132" s="11" t="s">
        <v>19</v>
      </c>
      <c r="E132" s="11" t="s">
        <v>19</v>
      </c>
      <c r="F132" s="11" t="s">
        <v>505</v>
      </c>
      <c r="G132" s="11" t="s">
        <v>83</v>
      </c>
      <c r="H132" s="11" t="s">
        <v>475</v>
      </c>
      <c r="I132" s="11" t="s">
        <v>476</v>
      </c>
      <c r="J132" s="12">
        <v>0.96099999999999997</v>
      </c>
      <c r="K132" s="13">
        <v>6</v>
      </c>
      <c r="L132" s="14">
        <v>5389</v>
      </c>
      <c r="M132" s="10">
        <v>418</v>
      </c>
      <c r="N132" s="10">
        <v>595494</v>
      </c>
      <c r="O132" s="10">
        <v>32779</v>
      </c>
      <c r="P132" s="10">
        <v>628273</v>
      </c>
    </row>
    <row r="133" spans="1:16" ht="27" customHeight="1" x14ac:dyDescent="0.2">
      <c r="A133" s="9" t="s">
        <v>472</v>
      </c>
      <c r="B133" s="10" t="s">
        <v>506</v>
      </c>
      <c r="C133" s="11" t="s">
        <v>18</v>
      </c>
      <c r="D133" s="11" t="s">
        <v>19</v>
      </c>
      <c r="E133" s="11" t="s">
        <v>19</v>
      </c>
      <c r="F133" s="11" t="s">
        <v>507</v>
      </c>
      <c r="G133" s="11" t="s">
        <v>83</v>
      </c>
      <c r="H133" s="11" t="s">
        <v>508</v>
      </c>
      <c r="I133" s="11" t="s">
        <v>509</v>
      </c>
      <c r="J133" s="12">
        <v>0.81840000000000002</v>
      </c>
      <c r="K133" s="13">
        <v>26</v>
      </c>
      <c r="L133" s="14">
        <v>15143</v>
      </c>
      <c r="M133" s="10">
        <v>11187</v>
      </c>
      <c r="N133" s="10">
        <v>1673326</v>
      </c>
      <c r="O133" s="10">
        <v>877273</v>
      </c>
      <c r="P133" s="10">
        <v>2550599</v>
      </c>
    </row>
    <row r="134" spans="1:16" ht="27" customHeight="1" x14ac:dyDescent="0.2">
      <c r="A134" s="9" t="s">
        <v>472</v>
      </c>
      <c r="B134" s="10" t="s">
        <v>506</v>
      </c>
      <c r="C134" s="11" t="s">
        <v>510</v>
      </c>
      <c r="D134" s="11" t="s">
        <v>511</v>
      </c>
      <c r="E134" s="11" t="s">
        <v>26</v>
      </c>
      <c r="F134" s="11" t="s">
        <v>512</v>
      </c>
      <c r="G134" s="11" t="s">
        <v>28</v>
      </c>
      <c r="H134" s="11" t="s">
        <v>512</v>
      </c>
      <c r="I134" s="11" t="s">
        <v>513</v>
      </c>
      <c r="J134" s="12">
        <v>0.43070000000000003</v>
      </c>
      <c r="K134" s="13">
        <v>1</v>
      </c>
      <c r="L134" s="14">
        <v>202</v>
      </c>
      <c r="M134" s="10">
        <v>87</v>
      </c>
      <c r="N134" s="10">
        <v>22321</v>
      </c>
      <c r="O134" s="10">
        <v>6822</v>
      </c>
      <c r="P134" s="10">
        <v>29143</v>
      </c>
    </row>
    <row r="135" spans="1:16" ht="27" customHeight="1" x14ac:dyDescent="0.2">
      <c r="A135" s="9" t="s">
        <v>472</v>
      </c>
      <c r="B135" s="10" t="s">
        <v>506</v>
      </c>
      <c r="C135" s="11" t="s">
        <v>514</v>
      </c>
      <c r="D135" s="11" t="s">
        <v>515</v>
      </c>
      <c r="E135" s="11" t="s">
        <v>26</v>
      </c>
      <c r="F135" s="11" t="s">
        <v>516</v>
      </c>
      <c r="G135" s="11" t="s">
        <v>28</v>
      </c>
      <c r="H135" s="11" t="s">
        <v>516</v>
      </c>
      <c r="I135" s="11" t="s">
        <v>517</v>
      </c>
      <c r="J135" s="12">
        <v>0.71030000000000004</v>
      </c>
      <c r="K135" s="13">
        <v>1</v>
      </c>
      <c r="L135" s="14">
        <v>573</v>
      </c>
      <c r="M135" s="10">
        <v>407</v>
      </c>
      <c r="N135" s="10">
        <v>63317</v>
      </c>
      <c r="O135" s="10">
        <v>31917</v>
      </c>
      <c r="P135" s="10">
        <v>95234</v>
      </c>
    </row>
    <row r="136" spans="1:16" ht="27" customHeight="1" x14ac:dyDescent="0.2">
      <c r="A136" s="9" t="s">
        <v>472</v>
      </c>
      <c r="B136" s="10" t="s">
        <v>506</v>
      </c>
      <c r="C136" s="11" t="s">
        <v>518</v>
      </c>
      <c r="D136" s="11" t="s">
        <v>519</v>
      </c>
      <c r="E136" s="11" t="s">
        <v>26</v>
      </c>
      <c r="F136" s="11" t="s">
        <v>520</v>
      </c>
      <c r="G136" s="11" t="s">
        <v>28</v>
      </c>
      <c r="H136" s="11" t="s">
        <v>520</v>
      </c>
      <c r="I136" s="11" t="s">
        <v>521</v>
      </c>
      <c r="J136" s="12">
        <v>0.31369999999999998</v>
      </c>
      <c r="K136" s="13">
        <v>1</v>
      </c>
      <c r="L136" s="14">
        <v>204</v>
      </c>
      <c r="M136" s="10">
        <v>64</v>
      </c>
      <c r="N136" s="10">
        <v>22542</v>
      </c>
      <c r="O136" s="10">
        <v>5019</v>
      </c>
      <c r="P136" s="10">
        <v>27561</v>
      </c>
    </row>
    <row r="137" spans="1:16" ht="27" customHeight="1" x14ac:dyDescent="0.2">
      <c r="A137" s="9" t="s">
        <v>472</v>
      </c>
      <c r="B137" s="10" t="s">
        <v>522</v>
      </c>
      <c r="C137" s="11" t="s">
        <v>18</v>
      </c>
      <c r="D137" s="11" t="s">
        <v>19</v>
      </c>
      <c r="E137" s="11" t="s">
        <v>19</v>
      </c>
      <c r="F137" s="11" t="s">
        <v>523</v>
      </c>
      <c r="G137" s="11" t="s">
        <v>83</v>
      </c>
      <c r="H137" s="11" t="s">
        <v>524</v>
      </c>
      <c r="I137" s="11" t="s">
        <v>525</v>
      </c>
      <c r="J137" s="12">
        <v>0.32379999999999998</v>
      </c>
      <c r="K137" s="13">
        <v>12</v>
      </c>
      <c r="L137" s="14">
        <v>9523</v>
      </c>
      <c r="M137" s="10">
        <v>2137</v>
      </c>
      <c r="N137" s="10">
        <v>1052307</v>
      </c>
      <c r="O137" s="10">
        <v>167581</v>
      </c>
      <c r="P137" s="10">
        <v>1219888</v>
      </c>
    </row>
    <row r="138" spans="1:16" ht="27" customHeight="1" x14ac:dyDescent="0.2">
      <c r="A138" s="9" t="s">
        <v>472</v>
      </c>
      <c r="B138" s="10" t="s">
        <v>526</v>
      </c>
      <c r="C138" s="11" t="s">
        <v>18</v>
      </c>
      <c r="D138" s="11" t="s">
        <v>19</v>
      </c>
      <c r="E138" s="11" t="s">
        <v>19</v>
      </c>
      <c r="F138" s="11" t="s">
        <v>527</v>
      </c>
      <c r="G138" s="11" t="s">
        <v>83</v>
      </c>
      <c r="H138" s="11" t="s">
        <v>528</v>
      </c>
      <c r="I138" s="11" t="s">
        <v>529</v>
      </c>
      <c r="J138" s="12">
        <v>0.35139999999999999</v>
      </c>
      <c r="K138" s="13">
        <v>5</v>
      </c>
      <c r="L138" s="14">
        <v>1230</v>
      </c>
      <c r="M138" s="10">
        <v>387</v>
      </c>
      <c r="N138" s="10">
        <v>135918</v>
      </c>
      <c r="O138" s="10">
        <v>30349</v>
      </c>
      <c r="P138" s="10">
        <v>166267</v>
      </c>
    </row>
    <row r="139" spans="1:16" ht="27" customHeight="1" x14ac:dyDescent="0.2">
      <c r="A139" s="9" t="s">
        <v>472</v>
      </c>
      <c r="B139" s="10" t="s">
        <v>526</v>
      </c>
      <c r="C139" s="11" t="s">
        <v>530</v>
      </c>
      <c r="D139" s="11" t="s">
        <v>531</v>
      </c>
      <c r="E139" s="11" t="s">
        <v>26</v>
      </c>
      <c r="F139" s="11" t="s">
        <v>532</v>
      </c>
      <c r="G139" s="11" t="s">
        <v>28</v>
      </c>
      <c r="H139" s="11" t="s">
        <v>532</v>
      </c>
      <c r="I139" s="11" t="s">
        <v>533</v>
      </c>
      <c r="J139" s="12">
        <v>0.3387</v>
      </c>
      <c r="K139" s="13">
        <v>1</v>
      </c>
      <c r="L139" s="14">
        <v>936</v>
      </c>
      <c r="M139" s="10">
        <v>317</v>
      </c>
      <c r="N139" s="10">
        <v>103430</v>
      </c>
      <c r="O139" s="10">
        <v>24859</v>
      </c>
      <c r="P139" s="10">
        <v>128289</v>
      </c>
    </row>
    <row r="140" spans="1:16" ht="27" customHeight="1" x14ac:dyDescent="0.2">
      <c r="A140" s="9" t="s">
        <v>472</v>
      </c>
      <c r="B140" s="10" t="s">
        <v>534</v>
      </c>
      <c r="C140" s="11" t="s">
        <v>18</v>
      </c>
      <c r="D140" s="11" t="s">
        <v>19</v>
      </c>
      <c r="E140" s="11" t="s">
        <v>19</v>
      </c>
      <c r="F140" s="11" t="s">
        <v>535</v>
      </c>
      <c r="G140" s="11" t="s">
        <v>83</v>
      </c>
      <c r="H140" s="11" t="s">
        <v>535</v>
      </c>
      <c r="I140" s="11" t="s">
        <v>536</v>
      </c>
      <c r="J140" s="12">
        <v>0.1077</v>
      </c>
      <c r="K140" s="13">
        <v>2</v>
      </c>
      <c r="L140" s="14">
        <v>65</v>
      </c>
      <c r="M140" s="10">
        <v>7</v>
      </c>
      <c r="N140" s="10">
        <v>7183</v>
      </c>
      <c r="O140" s="10">
        <v>549</v>
      </c>
      <c r="P140" s="10">
        <v>7732</v>
      </c>
    </row>
    <row r="141" spans="1:16" ht="27" customHeight="1" x14ac:dyDescent="0.2">
      <c r="A141" s="9" t="s">
        <v>472</v>
      </c>
      <c r="B141" s="10" t="s">
        <v>537</v>
      </c>
      <c r="C141" s="11" t="s">
        <v>18</v>
      </c>
      <c r="D141" s="11" t="s">
        <v>19</v>
      </c>
      <c r="E141" s="11" t="s">
        <v>19</v>
      </c>
      <c r="F141" s="11" t="s">
        <v>538</v>
      </c>
      <c r="G141" s="11" t="s">
        <v>83</v>
      </c>
      <c r="H141" s="11" t="s">
        <v>539</v>
      </c>
      <c r="I141" s="11" t="s">
        <v>540</v>
      </c>
      <c r="J141" s="12">
        <v>0.78459999999999996</v>
      </c>
      <c r="K141" s="13">
        <v>5</v>
      </c>
      <c r="L141" s="14">
        <v>1236</v>
      </c>
      <c r="M141" s="10">
        <v>906</v>
      </c>
      <c r="N141" s="10">
        <v>136580</v>
      </c>
      <c r="O141" s="10">
        <v>71048</v>
      </c>
      <c r="P141" s="10">
        <v>207628</v>
      </c>
    </row>
    <row r="142" spans="1:16" ht="27" customHeight="1" x14ac:dyDescent="0.2">
      <c r="A142" s="9" t="s">
        <v>472</v>
      </c>
      <c r="B142" s="10" t="s">
        <v>541</v>
      </c>
      <c r="C142" s="11" t="s">
        <v>18</v>
      </c>
      <c r="D142" s="11" t="s">
        <v>19</v>
      </c>
      <c r="E142" s="11" t="s">
        <v>19</v>
      </c>
      <c r="F142" s="11" t="s">
        <v>542</v>
      </c>
      <c r="G142" s="11" t="s">
        <v>83</v>
      </c>
      <c r="H142" s="11" t="s">
        <v>542</v>
      </c>
      <c r="I142" s="11" t="s">
        <v>543</v>
      </c>
      <c r="J142" s="12">
        <v>0.30149999999999999</v>
      </c>
      <c r="K142" s="13">
        <v>3</v>
      </c>
      <c r="L142" s="14">
        <v>581</v>
      </c>
      <c r="M142" s="10">
        <v>131</v>
      </c>
      <c r="N142" s="10">
        <v>64202</v>
      </c>
      <c r="O142" s="10">
        <v>10273</v>
      </c>
      <c r="P142" s="10">
        <v>74475</v>
      </c>
    </row>
    <row r="143" spans="1:16" ht="27" customHeight="1" x14ac:dyDescent="0.2">
      <c r="A143" s="9" t="s">
        <v>472</v>
      </c>
      <c r="B143" s="10" t="s">
        <v>544</v>
      </c>
      <c r="C143" s="11" t="s">
        <v>18</v>
      </c>
      <c r="D143" s="11" t="s">
        <v>19</v>
      </c>
      <c r="E143" s="11" t="s">
        <v>19</v>
      </c>
      <c r="F143" s="11" t="s">
        <v>545</v>
      </c>
      <c r="G143" s="11" t="s">
        <v>83</v>
      </c>
      <c r="H143" s="11" t="s">
        <v>545</v>
      </c>
      <c r="I143" s="11" t="s">
        <v>546</v>
      </c>
      <c r="J143" s="12">
        <v>8.2500000000000004E-2</v>
      </c>
      <c r="K143" s="13">
        <v>6</v>
      </c>
      <c r="L143" s="14">
        <v>3204</v>
      </c>
      <c r="M143" s="10">
        <v>127</v>
      </c>
      <c r="N143" s="10">
        <v>354047</v>
      </c>
      <c r="O143" s="10">
        <v>9960</v>
      </c>
      <c r="P143" s="10">
        <v>364007</v>
      </c>
    </row>
    <row r="144" spans="1:16" ht="27" customHeight="1" x14ac:dyDescent="0.2">
      <c r="A144" s="9" t="s">
        <v>472</v>
      </c>
      <c r="B144" s="10" t="s">
        <v>547</v>
      </c>
      <c r="C144" s="11" t="s">
        <v>18</v>
      </c>
      <c r="D144" s="11" t="s">
        <v>19</v>
      </c>
      <c r="E144" s="11" t="s">
        <v>19</v>
      </c>
      <c r="F144" s="11" t="s">
        <v>548</v>
      </c>
      <c r="G144" s="11" t="s">
        <v>83</v>
      </c>
      <c r="H144" s="11" t="s">
        <v>475</v>
      </c>
      <c r="I144" s="11" t="s">
        <v>476</v>
      </c>
      <c r="J144" s="12">
        <v>0.96099999999999997</v>
      </c>
      <c r="K144" s="13">
        <v>6</v>
      </c>
      <c r="L144" s="14">
        <v>8203</v>
      </c>
      <c r="M144" s="10">
        <v>2062</v>
      </c>
      <c r="N144" s="10">
        <v>906446</v>
      </c>
      <c r="O144" s="10">
        <v>161700</v>
      </c>
      <c r="P144" s="10">
        <v>1068146</v>
      </c>
    </row>
    <row r="145" spans="1:16" ht="27" customHeight="1" x14ac:dyDescent="0.2">
      <c r="A145" s="9" t="s">
        <v>472</v>
      </c>
      <c r="B145" s="10" t="s">
        <v>549</v>
      </c>
      <c r="C145" s="11" t="s">
        <v>18</v>
      </c>
      <c r="D145" s="11" t="s">
        <v>19</v>
      </c>
      <c r="E145" s="11" t="s">
        <v>19</v>
      </c>
      <c r="F145" s="11" t="s">
        <v>550</v>
      </c>
      <c r="G145" s="11" t="s">
        <v>83</v>
      </c>
      <c r="H145" s="11" t="s">
        <v>551</v>
      </c>
      <c r="I145" s="11" t="s">
        <v>552</v>
      </c>
      <c r="J145" s="12">
        <v>0.56889999999999996</v>
      </c>
      <c r="K145" s="13">
        <v>10</v>
      </c>
      <c r="L145" s="14">
        <v>3794</v>
      </c>
      <c r="M145" s="10">
        <v>1553</v>
      </c>
      <c r="N145" s="10">
        <v>419244</v>
      </c>
      <c r="O145" s="10">
        <v>121785</v>
      </c>
      <c r="P145" s="10">
        <v>541029</v>
      </c>
    </row>
    <row r="146" spans="1:16" ht="27" customHeight="1" x14ac:dyDescent="0.2">
      <c r="A146" s="9" t="s">
        <v>472</v>
      </c>
      <c r="B146" s="10" t="s">
        <v>553</v>
      </c>
      <c r="C146" s="11" t="s">
        <v>18</v>
      </c>
      <c r="D146" s="11" t="s">
        <v>19</v>
      </c>
      <c r="E146" s="11" t="s">
        <v>19</v>
      </c>
      <c r="F146" s="11" t="s">
        <v>554</v>
      </c>
      <c r="G146" s="11" t="s">
        <v>83</v>
      </c>
      <c r="H146" s="11" t="s">
        <v>555</v>
      </c>
      <c r="I146" s="11" t="s">
        <v>556</v>
      </c>
      <c r="J146" s="12">
        <v>4.3799999999999999E-2</v>
      </c>
      <c r="K146" s="13">
        <v>5</v>
      </c>
      <c r="L146" s="14">
        <v>1751</v>
      </c>
      <c r="M146" s="10">
        <v>72</v>
      </c>
      <c r="N146" s="10">
        <v>193489</v>
      </c>
      <c r="O146" s="10">
        <v>5647</v>
      </c>
      <c r="P146" s="10">
        <v>199136</v>
      </c>
    </row>
    <row r="147" spans="1:16" ht="27" customHeight="1" x14ac:dyDescent="0.2">
      <c r="A147" s="9" t="s">
        <v>472</v>
      </c>
      <c r="B147" s="10" t="s">
        <v>557</v>
      </c>
      <c r="C147" s="11" t="s">
        <v>18</v>
      </c>
      <c r="D147" s="11" t="s">
        <v>19</v>
      </c>
      <c r="E147" s="11" t="s">
        <v>19</v>
      </c>
      <c r="F147" s="11" t="s">
        <v>558</v>
      </c>
      <c r="G147" s="11" t="s">
        <v>83</v>
      </c>
      <c r="H147" s="11" t="s">
        <v>559</v>
      </c>
      <c r="I147" s="11" t="s">
        <v>560</v>
      </c>
      <c r="J147" s="12">
        <v>0.83179999999999998</v>
      </c>
      <c r="K147" s="13">
        <v>52</v>
      </c>
      <c r="L147" s="14">
        <v>29015</v>
      </c>
      <c r="M147" s="10">
        <v>11049</v>
      </c>
      <c r="N147" s="10">
        <v>3206201</v>
      </c>
      <c r="O147" s="10">
        <v>866447</v>
      </c>
      <c r="P147" s="10">
        <v>4072648</v>
      </c>
    </row>
    <row r="148" spans="1:16" ht="27" customHeight="1" x14ac:dyDescent="0.2">
      <c r="A148" s="9" t="s">
        <v>472</v>
      </c>
      <c r="B148" s="10" t="s">
        <v>557</v>
      </c>
      <c r="C148" s="11" t="s">
        <v>561</v>
      </c>
      <c r="D148" s="11" t="s">
        <v>562</v>
      </c>
      <c r="E148" s="11" t="s">
        <v>26</v>
      </c>
      <c r="F148" s="11" t="s">
        <v>563</v>
      </c>
      <c r="G148" s="11" t="s">
        <v>28</v>
      </c>
      <c r="H148" s="11" t="s">
        <v>563</v>
      </c>
      <c r="I148" s="11" t="s">
        <v>564</v>
      </c>
      <c r="J148" s="12">
        <v>0.73660000000000003</v>
      </c>
      <c r="K148" s="13">
        <v>1</v>
      </c>
      <c r="L148" s="14">
        <v>672</v>
      </c>
      <c r="M148" s="10">
        <v>495</v>
      </c>
      <c r="N148" s="10">
        <v>74257</v>
      </c>
      <c r="O148" s="10">
        <v>38817</v>
      </c>
      <c r="P148" s="10">
        <v>113074</v>
      </c>
    </row>
    <row r="149" spans="1:16" ht="27" customHeight="1" x14ac:dyDescent="0.2">
      <c r="A149" s="9" t="s">
        <v>472</v>
      </c>
      <c r="B149" s="10" t="s">
        <v>557</v>
      </c>
      <c r="C149" s="11" t="s">
        <v>565</v>
      </c>
      <c r="D149" s="11" t="s">
        <v>566</v>
      </c>
      <c r="E149" s="11" t="s">
        <v>57</v>
      </c>
      <c r="F149" s="11" t="s">
        <v>567</v>
      </c>
      <c r="G149" s="11" t="s">
        <v>28</v>
      </c>
      <c r="H149" s="11" t="s">
        <v>567</v>
      </c>
      <c r="I149" s="11" t="s">
        <v>568</v>
      </c>
      <c r="J149" s="12">
        <v>9.9000000000000005E-2</v>
      </c>
      <c r="K149" s="13">
        <v>1</v>
      </c>
      <c r="L149" s="14">
        <v>293</v>
      </c>
      <c r="M149" s="10">
        <v>29</v>
      </c>
      <c r="N149" s="10">
        <v>32377</v>
      </c>
      <c r="O149" s="10">
        <v>2274</v>
      </c>
      <c r="P149" s="10">
        <v>34651</v>
      </c>
    </row>
    <row r="150" spans="1:16" ht="27" customHeight="1" x14ac:dyDescent="0.2">
      <c r="A150" s="9" t="s">
        <v>472</v>
      </c>
      <c r="B150" s="10" t="s">
        <v>569</v>
      </c>
      <c r="C150" s="11" t="s">
        <v>18</v>
      </c>
      <c r="D150" s="11" t="s">
        <v>19</v>
      </c>
      <c r="E150" s="11" t="s">
        <v>19</v>
      </c>
      <c r="F150" s="11" t="s">
        <v>570</v>
      </c>
      <c r="G150" s="11" t="s">
        <v>83</v>
      </c>
      <c r="H150" s="11" t="s">
        <v>571</v>
      </c>
      <c r="I150" s="11" t="s">
        <v>572</v>
      </c>
      <c r="J150" s="12">
        <v>0.53639999999999999</v>
      </c>
      <c r="K150" s="13">
        <v>10</v>
      </c>
      <c r="L150" s="14">
        <v>5195</v>
      </c>
      <c r="M150" s="10">
        <v>2129</v>
      </c>
      <c r="N150" s="10">
        <v>574056</v>
      </c>
      <c r="O150" s="10">
        <v>166954</v>
      </c>
      <c r="P150" s="10">
        <v>741010</v>
      </c>
    </row>
    <row r="151" spans="1:16" ht="27" customHeight="1" x14ac:dyDescent="0.2">
      <c r="A151" s="9" t="s">
        <v>472</v>
      </c>
      <c r="B151" s="10" t="s">
        <v>573</v>
      </c>
      <c r="C151" s="11" t="s">
        <v>18</v>
      </c>
      <c r="D151" s="11" t="s">
        <v>19</v>
      </c>
      <c r="E151" s="11" t="s">
        <v>19</v>
      </c>
      <c r="F151" s="11" t="s">
        <v>574</v>
      </c>
      <c r="G151" s="11" t="s">
        <v>83</v>
      </c>
      <c r="H151" s="11" t="s">
        <v>575</v>
      </c>
      <c r="I151" s="11" t="s">
        <v>576</v>
      </c>
      <c r="J151" s="12">
        <v>2.5700000000000001E-2</v>
      </c>
      <c r="K151" s="13">
        <v>6</v>
      </c>
      <c r="L151" s="14">
        <v>2511</v>
      </c>
      <c r="M151" s="10">
        <v>62</v>
      </c>
      <c r="N151" s="10">
        <v>277470</v>
      </c>
      <c r="O151" s="10">
        <v>4863</v>
      </c>
      <c r="P151" s="10">
        <v>282333</v>
      </c>
    </row>
    <row r="152" spans="1:16" ht="27" customHeight="1" x14ac:dyDescent="0.2">
      <c r="A152" s="9" t="s">
        <v>472</v>
      </c>
      <c r="B152" s="10" t="s">
        <v>577</v>
      </c>
      <c r="C152" s="11" t="s">
        <v>18</v>
      </c>
      <c r="D152" s="11" t="s">
        <v>19</v>
      </c>
      <c r="E152" s="11" t="s">
        <v>19</v>
      </c>
      <c r="F152" s="11" t="s">
        <v>578</v>
      </c>
      <c r="G152" s="11" t="s">
        <v>83</v>
      </c>
      <c r="H152" s="11" t="s">
        <v>579</v>
      </c>
      <c r="I152" s="11" t="s">
        <v>580</v>
      </c>
      <c r="J152" s="12">
        <v>0.85329999999999995</v>
      </c>
      <c r="K152" s="13">
        <v>14</v>
      </c>
      <c r="L152" s="14">
        <v>10926</v>
      </c>
      <c r="M152" s="10">
        <v>8481</v>
      </c>
      <c r="N152" s="10">
        <v>1207341</v>
      </c>
      <c r="O152" s="10">
        <v>665070</v>
      </c>
      <c r="P152" s="10">
        <v>1872411</v>
      </c>
    </row>
    <row r="153" spans="1:16" ht="27" customHeight="1" x14ac:dyDescent="0.2">
      <c r="A153" s="9" t="s">
        <v>472</v>
      </c>
      <c r="B153" s="10" t="s">
        <v>581</v>
      </c>
      <c r="C153" s="11" t="s">
        <v>18</v>
      </c>
      <c r="D153" s="11" t="s">
        <v>19</v>
      </c>
      <c r="E153" s="11" t="s">
        <v>19</v>
      </c>
      <c r="F153" s="11" t="s">
        <v>582</v>
      </c>
      <c r="G153" s="11" t="s">
        <v>83</v>
      </c>
      <c r="H153" s="11" t="s">
        <v>475</v>
      </c>
      <c r="I153" s="11" t="s">
        <v>476</v>
      </c>
      <c r="J153" s="12">
        <v>0.96099999999999997</v>
      </c>
      <c r="K153" s="13">
        <v>55</v>
      </c>
      <c r="L153" s="14">
        <v>26417</v>
      </c>
      <c r="M153" s="10">
        <v>14339</v>
      </c>
      <c r="N153" s="10">
        <v>2919124</v>
      </c>
      <c r="O153" s="10">
        <v>1124449</v>
      </c>
      <c r="P153" s="10">
        <v>4043573</v>
      </c>
    </row>
    <row r="154" spans="1:16" ht="27" customHeight="1" x14ac:dyDescent="0.2">
      <c r="A154" s="9" t="s">
        <v>472</v>
      </c>
      <c r="B154" s="10" t="s">
        <v>581</v>
      </c>
      <c r="C154" s="11" t="s">
        <v>583</v>
      </c>
      <c r="D154" s="11" t="s">
        <v>584</v>
      </c>
      <c r="E154" s="11" t="s">
        <v>26</v>
      </c>
      <c r="F154" s="11" t="s">
        <v>585</v>
      </c>
      <c r="G154" s="11" t="s">
        <v>28</v>
      </c>
      <c r="H154" s="11" t="s">
        <v>475</v>
      </c>
      <c r="I154" s="11" t="s">
        <v>476</v>
      </c>
      <c r="J154" s="12">
        <v>0.96099999999999997</v>
      </c>
      <c r="K154" s="13">
        <v>1</v>
      </c>
      <c r="L154" s="14">
        <v>556</v>
      </c>
      <c r="M154" s="10">
        <v>354</v>
      </c>
      <c r="N154" s="10">
        <v>61439</v>
      </c>
      <c r="O154" s="10">
        <v>27760</v>
      </c>
      <c r="P154" s="10">
        <v>89199</v>
      </c>
    </row>
    <row r="155" spans="1:16" ht="27" customHeight="1" x14ac:dyDescent="0.2">
      <c r="A155" s="9" t="s">
        <v>472</v>
      </c>
      <c r="B155" s="10" t="s">
        <v>581</v>
      </c>
      <c r="C155" s="11" t="s">
        <v>586</v>
      </c>
      <c r="D155" s="11" t="s">
        <v>587</v>
      </c>
      <c r="E155" s="11" t="s">
        <v>26</v>
      </c>
      <c r="F155" s="11" t="s">
        <v>588</v>
      </c>
      <c r="G155" s="11" t="s">
        <v>28</v>
      </c>
      <c r="H155" s="11" t="s">
        <v>588</v>
      </c>
      <c r="I155" s="11" t="s">
        <v>589</v>
      </c>
      <c r="J155" s="12">
        <v>0.7278</v>
      </c>
      <c r="K155" s="13">
        <v>1</v>
      </c>
      <c r="L155" s="14">
        <v>562</v>
      </c>
      <c r="M155" s="10">
        <v>409</v>
      </c>
      <c r="N155" s="10">
        <v>62102</v>
      </c>
      <c r="O155" s="10">
        <v>32073</v>
      </c>
      <c r="P155" s="10">
        <v>94175</v>
      </c>
    </row>
    <row r="156" spans="1:16" ht="27" customHeight="1" x14ac:dyDescent="0.2">
      <c r="A156" s="9" t="s">
        <v>472</v>
      </c>
      <c r="B156" s="10" t="s">
        <v>581</v>
      </c>
      <c r="C156" s="11" t="s">
        <v>590</v>
      </c>
      <c r="D156" s="11" t="s">
        <v>591</v>
      </c>
      <c r="E156" s="11" t="s">
        <v>26</v>
      </c>
      <c r="F156" s="11" t="s">
        <v>592</v>
      </c>
      <c r="G156" s="11" t="s">
        <v>28</v>
      </c>
      <c r="H156" s="11" t="s">
        <v>475</v>
      </c>
      <c r="I156" s="11" t="s">
        <v>476</v>
      </c>
      <c r="J156" s="12">
        <v>0.96099999999999997</v>
      </c>
      <c r="K156" s="13">
        <v>1</v>
      </c>
      <c r="L156" s="14">
        <v>324</v>
      </c>
      <c r="M156" s="10">
        <v>255</v>
      </c>
      <c r="N156" s="10">
        <v>35803</v>
      </c>
      <c r="O156" s="10">
        <v>19997</v>
      </c>
      <c r="P156" s="10">
        <v>55800</v>
      </c>
    </row>
    <row r="157" spans="1:16" ht="27" customHeight="1" x14ac:dyDescent="0.2">
      <c r="A157" s="9" t="s">
        <v>472</v>
      </c>
      <c r="B157" s="10" t="s">
        <v>581</v>
      </c>
      <c r="C157" s="11" t="s">
        <v>593</v>
      </c>
      <c r="D157" s="11" t="s">
        <v>594</v>
      </c>
      <c r="E157" s="11" t="s">
        <v>26</v>
      </c>
      <c r="F157" s="11" t="s">
        <v>595</v>
      </c>
      <c r="G157" s="11" t="s">
        <v>28</v>
      </c>
      <c r="H157" s="11" t="s">
        <v>595</v>
      </c>
      <c r="I157" s="11" t="s">
        <v>596</v>
      </c>
      <c r="J157" s="12">
        <v>0.81269999999999998</v>
      </c>
      <c r="K157" s="13">
        <v>1</v>
      </c>
      <c r="L157" s="14">
        <v>502</v>
      </c>
      <c r="M157" s="10">
        <v>408</v>
      </c>
      <c r="N157" s="10">
        <v>55472</v>
      </c>
      <c r="O157" s="10">
        <v>31995</v>
      </c>
      <c r="P157" s="10">
        <v>87467</v>
      </c>
    </row>
    <row r="158" spans="1:16" ht="27" customHeight="1" x14ac:dyDescent="0.2">
      <c r="A158" s="9" t="s">
        <v>472</v>
      </c>
      <c r="B158" s="10" t="s">
        <v>581</v>
      </c>
      <c r="C158" s="11" t="s">
        <v>597</v>
      </c>
      <c r="D158" s="11" t="s">
        <v>598</v>
      </c>
      <c r="E158" s="11" t="s">
        <v>26</v>
      </c>
      <c r="F158" s="11" t="s">
        <v>599</v>
      </c>
      <c r="G158" s="11" t="s">
        <v>28</v>
      </c>
      <c r="H158" s="11" t="s">
        <v>599</v>
      </c>
      <c r="I158" s="11" t="s">
        <v>600</v>
      </c>
      <c r="J158" s="12">
        <v>0.69199999999999995</v>
      </c>
      <c r="K158" s="13">
        <v>1</v>
      </c>
      <c r="L158" s="14">
        <v>591</v>
      </c>
      <c r="M158" s="10">
        <v>409</v>
      </c>
      <c r="N158" s="10">
        <v>65306</v>
      </c>
      <c r="O158" s="10">
        <v>32073</v>
      </c>
      <c r="P158" s="10">
        <v>97379</v>
      </c>
    </row>
    <row r="159" spans="1:16" ht="27" customHeight="1" x14ac:dyDescent="0.2">
      <c r="A159" s="9" t="s">
        <v>472</v>
      </c>
      <c r="B159" s="10" t="s">
        <v>581</v>
      </c>
      <c r="C159" s="11" t="s">
        <v>601</v>
      </c>
      <c r="D159" s="11" t="s">
        <v>602</v>
      </c>
      <c r="E159" s="11" t="s">
        <v>26</v>
      </c>
      <c r="F159" s="11" t="s">
        <v>603</v>
      </c>
      <c r="G159" s="11" t="s">
        <v>28</v>
      </c>
      <c r="H159" s="11" t="s">
        <v>603</v>
      </c>
      <c r="I159" s="11" t="s">
        <v>604</v>
      </c>
      <c r="J159" s="12">
        <v>0.76749999999999996</v>
      </c>
      <c r="K159" s="13">
        <v>1</v>
      </c>
      <c r="L159" s="14">
        <v>542</v>
      </c>
      <c r="M159" s="10">
        <v>416</v>
      </c>
      <c r="N159" s="10">
        <v>59892</v>
      </c>
      <c r="O159" s="10">
        <v>32622</v>
      </c>
      <c r="P159" s="10">
        <v>92514</v>
      </c>
    </row>
    <row r="160" spans="1:16" ht="27" customHeight="1" x14ac:dyDescent="0.2">
      <c r="A160" s="9" t="s">
        <v>472</v>
      </c>
      <c r="B160" s="10" t="s">
        <v>581</v>
      </c>
      <c r="C160" s="11" t="s">
        <v>605</v>
      </c>
      <c r="D160" s="11" t="s">
        <v>606</v>
      </c>
      <c r="E160" s="11" t="s">
        <v>26</v>
      </c>
      <c r="F160" s="11" t="s">
        <v>607</v>
      </c>
      <c r="G160" s="11" t="s">
        <v>28</v>
      </c>
      <c r="H160" s="11" t="s">
        <v>475</v>
      </c>
      <c r="I160" s="11" t="s">
        <v>476</v>
      </c>
      <c r="J160" s="12">
        <v>0.96099999999999997</v>
      </c>
      <c r="K160" s="13">
        <v>1</v>
      </c>
      <c r="L160" s="14">
        <v>613</v>
      </c>
      <c r="M160" s="10">
        <v>395</v>
      </c>
      <c r="N160" s="10">
        <v>67738</v>
      </c>
      <c r="O160" s="10">
        <v>30975</v>
      </c>
      <c r="P160" s="10">
        <v>98713</v>
      </c>
    </row>
    <row r="161" spans="1:16" ht="27" customHeight="1" x14ac:dyDescent="0.2">
      <c r="A161" s="9" t="s">
        <v>472</v>
      </c>
      <c r="B161" s="10" t="s">
        <v>581</v>
      </c>
      <c r="C161" s="11" t="s">
        <v>608</v>
      </c>
      <c r="D161" s="11" t="s">
        <v>609</v>
      </c>
      <c r="E161" s="11" t="s">
        <v>26</v>
      </c>
      <c r="F161" s="11" t="s">
        <v>610</v>
      </c>
      <c r="G161" s="11" t="s">
        <v>28</v>
      </c>
      <c r="H161" s="11" t="s">
        <v>610</v>
      </c>
      <c r="I161" s="11" t="s">
        <v>611</v>
      </c>
      <c r="J161" s="12">
        <v>0.54690000000000005</v>
      </c>
      <c r="K161" s="13">
        <v>1</v>
      </c>
      <c r="L161" s="14">
        <v>245</v>
      </c>
      <c r="M161" s="10">
        <v>134</v>
      </c>
      <c r="N161" s="10">
        <v>27073</v>
      </c>
      <c r="O161" s="10">
        <v>10508</v>
      </c>
      <c r="P161" s="10">
        <v>37581</v>
      </c>
    </row>
    <row r="162" spans="1:16" ht="27" customHeight="1" x14ac:dyDescent="0.2">
      <c r="A162" s="9" t="s">
        <v>472</v>
      </c>
      <c r="B162" s="10" t="s">
        <v>612</v>
      </c>
      <c r="C162" s="11" t="s">
        <v>18</v>
      </c>
      <c r="D162" s="11" t="s">
        <v>19</v>
      </c>
      <c r="E162" s="11" t="s">
        <v>19</v>
      </c>
      <c r="F162" s="11" t="s">
        <v>613</v>
      </c>
      <c r="G162" s="11" t="s">
        <v>83</v>
      </c>
      <c r="H162" s="11" t="s">
        <v>614</v>
      </c>
      <c r="I162" s="11" t="s">
        <v>615</v>
      </c>
      <c r="J162" s="12">
        <v>0.14399999999999999</v>
      </c>
      <c r="K162" s="13">
        <v>38</v>
      </c>
      <c r="L162" s="14">
        <v>29796</v>
      </c>
      <c r="M162" s="10">
        <v>2096</v>
      </c>
      <c r="N162" s="10">
        <v>3292506</v>
      </c>
      <c r="O162" s="10">
        <v>164367</v>
      </c>
      <c r="P162" s="10">
        <v>3456873</v>
      </c>
    </row>
    <row r="163" spans="1:16" ht="27" customHeight="1" x14ac:dyDescent="0.2">
      <c r="A163" s="9" t="s">
        <v>472</v>
      </c>
      <c r="B163" s="10" t="s">
        <v>616</v>
      </c>
      <c r="C163" s="11" t="s">
        <v>18</v>
      </c>
      <c r="D163" s="11" t="s">
        <v>19</v>
      </c>
      <c r="E163" s="11" t="s">
        <v>19</v>
      </c>
      <c r="F163" s="11" t="s">
        <v>617</v>
      </c>
      <c r="G163" s="11" t="s">
        <v>83</v>
      </c>
      <c r="H163" s="11" t="s">
        <v>618</v>
      </c>
      <c r="I163" s="11" t="s">
        <v>619</v>
      </c>
      <c r="J163" s="12">
        <v>0.1777</v>
      </c>
      <c r="K163" s="13">
        <v>8</v>
      </c>
      <c r="L163" s="14">
        <v>3456</v>
      </c>
      <c r="M163" s="10">
        <v>443</v>
      </c>
      <c r="N163" s="10">
        <v>381894</v>
      </c>
      <c r="O163" s="10">
        <v>34739</v>
      </c>
      <c r="P163" s="10">
        <v>416633</v>
      </c>
    </row>
    <row r="164" spans="1:16" ht="27" customHeight="1" x14ac:dyDescent="0.2">
      <c r="A164" s="9" t="s">
        <v>472</v>
      </c>
      <c r="B164" s="10" t="s">
        <v>620</v>
      </c>
      <c r="C164" s="11" t="s">
        <v>621</v>
      </c>
      <c r="D164" s="11" t="s">
        <v>622</v>
      </c>
      <c r="E164" s="11" t="s">
        <v>26</v>
      </c>
      <c r="F164" s="11" t="s">
        <v>623</v>
      </c>
      <c r="G164" s="11" t="s">
        <v>28</v>
      </c>
      <c r="H164" s="11" t="s">
        <v>475</v>
      </c>
      <c r="I164" s="11" t="s">
        <v>476</v>
      </c>
      <c r="J164" s="12">
        <v>0.96099999999999997</v>
      </c>
      <c r="K164" s="13">
        <v>1</v>
      </c>
      <c r="L164" s="14">
        <v>331</v>
      </c>
      <c r="M164" s="10">
        <v>258</v>
      </c>
      <c r="N164" s="10">
        <v>36576</v>
      </c>
      <c r="O164" s="10">
        <v>20232</v>
      </c>
      <c r="P164" s="10">
        <v>56808</v>
      </c>
    </row>
    <row r="165" spans="1:16" ht="27" customHeight="1" x14ac:dyDescent="0.2">
      <c r="A165" s="9" t="s">
        <v>624</v>
      </c>
      <c r="B165" s="10" t="s">
        <v>625</v>
      </c>
      <c r="C165" s="11" t="s">
        <v>18</v>
      </c>
      <c r="D165" s="11" t="s">
        <v>19</v>
      </c>
      <c r="E165" s="11" t="s">
        <v>19</v>
      </c>
      <c r="F165" s="11" t="s">
        <v>626</v>
      </c>
      <c r="G165" s="11" t="s">
        <v>21</v>
      </c>
      <c r="H165" s="11" t="s">
        <v>627</v>
      </c>
      <c r="I165" s="11" t="s">
        <v>628</v>
      </c>
      <c r="J165" s="12">
        <v>0.81699999999999995</v>
      </c>
      <c r="K165" s="13">
        <v>3</v>
      </c>
      <c r="L165" s="14">
        <v>29</v>
      </c>
      <c r="M165" s="10">
        <v>27</v>
      </c>
      <c r="N165" s="10">
        <v>3205</v>
      </c>
      <c r="O165" s="10">
        <v>2117</v>
      </c>
      <c r="P165" s="10">
        <v>5322</v>
      </c>
    </row>
    <row r="166" spans="1:16" ht="27" customHeight="1" x14ac:dyDescent="0.2">
      <c r="A166" s="9" t="s">
        <v>624</v>
      </c>
      <c r="B166" s="10" t="s">
        <v>625</v>
      </c>
      <c r="C166" s="11" t="s">
        <v>629</v>
      </c>
      <c r="D166" s="11" t="s">
        <v>630</v>
      </c>
      <c r="E166" s="11" t="s">
        <v>57</v>
      </c>
      <c r="F166" s="11" t="s">
        <v>631</v>
      </c>
      <c r="G166" s="11" t="s">
        <v>28</v>
      </c>
      <c r="H166" s="11" t="s">
        <v>631</v>
      </c>
      <c r="I166" s="11" t="s">
        <v>632</v>
      </c>
      <c r="J166" s="12">
        <v>0.6895</v>
      </c>
      <c r="K166" s="13">
        <v>1</v>
      </c>
      <c r="L166" s="14">
        <v>351</v>
      </c>
      <c r="M166" s="10">
        <v>242</v>
      </c>
      <c r="N166" s="10">
        <v>38786</v>
      </c>
      <c r="O166" s="10">
        <v>18977</v>
      </c>
      <c r="P166" s="10">
        <v>57763</v>
      </c>
    </row>
    <row r="167" spans="1:16" ht="27" customHeight="1" x14ac:dyDescent="0.2">
      <c r="A167" s="9" t="s">
        <v>624</v>
      </c>
      <c r="B167" s="10" t="s">
        <v>633</v>
      </c>
      <c r="C167" s="11" t="s">
        <v>18</v>
      </c>
      <c r="D167" s="11" t="s">
        <v>19</v>
      </c>
      <c r="E167" s="11" t="s">
        <v>19</v>
      </c>
      <c r="F167" s="11" t="s">
        <v>634</v>
      </c>
      <c r="G167" s="11" t="s">
        <v>83</v>
      </c>
      <c r="H167" s="11" t="s">
        <v>627</v>
      </c>
      <c r="I167" s="11" t="s">
        <v>628</v>
      </c>
      <c r="J167" s="12">
        <v>0.81699999999999995</v>
      </c>
      <c r="K167" s="13">
        <v>12</v>
      </c>
      <c r="L167" s="14">
        <v>3693</v>
      </c>
      <c r="M167" s="10">
        <v>2485</v>
      </c>
      <c r="N167" s="10">
        <v>408084</v>
      </c>
      <c r="O167" s="10">
        <v>194871</v>
      </c>
      <c r="P167" s="10">
        <v>602955</v>
      </c>
    </row>
    <row r="168" spans="1:16" ht="27" customHeight="1" x14ac:dyDescent="0.2">
      <c r="A168" s="9" t="s">
        <v>624</v>
      </c>
      <c r="B168" s="10" t="s">
        <v>633</v>
      </c>
      <c r="C168" s="11" t="s">
        <v>635</v>
      </c>
      <c r="D168" s="11" t="s">
        <v>636</v>
      </c>
      <c r="E168" s="11" t="s">
        <v>26</v>
      </c>
      <c r="F168" s="11" t="s">
        <v>637</v>
      </c>
      <c r="G168" s="11" t="s">
        <v>28</v>
      </c>
      <c r="H168" s="11" t="s">
        <v>637</v>
      </c>
      <c r="I168" s="11" t="s">
        <v>638</v>
      </c>
      <c r="J168" s="12">
        <v>0.51449999999999996</v>
      </c>
      <c r="K168" s="13">
        <v>1</v>
      </c>
      <c r="L168" s="14">
        <v>276</v>
      </c>
      <c r="M168" s="10">
        <v>142</v>
      </c>
      <c r="N168" s="10">
        <v>30498</v>
      </c>
      <c r="O168" s="10">
        <v>11135</v>
      </c>
      <c r="P168" s="10">
        <v>41633</v>
      </c>
    </row>
    <row r="169" spans="1:16" ht="27" customHeight="1" x14ac:dyDescent="0.2">
      <c r="A169" s="9" t="s">
        <v>639</v>
      </c>
      <c r="B169" s="10" t="s">
        <v>640</v>
      </c>
      <c r="C169" s="11" t="s">
        <v>18</v>
      </c>
      <c r="D169" s="11" t="s">
        <v>19</v>
      </c>
      <c r="E169" s="11" t="s">
        <v>19</v>
      </c>
      <c r="F169" s="11" t="s">
        <v>641</v>
      </c>
      <c r="G169" s="11" t="s">
        <v>21</v>
      </c>
      <c r="H169" s="11" t="s">
        <v>642</v>
      </c>
      <c r="I169" s="11" t="s">
        <v>643</v>
      </c>
      <c r="J169" s="12">
        <v>0.66669999999999996</v>
      </c>
      <c r="K169" s="13">
        <v>4</v>
      </c>
      <c r="L169" s="14">
        <v>588</v>
      </c>
      <c r="M169" s="10">
        <v>315</v>
      </c>
      <c r="N169" s="10">
        <v>64975</v>
      </c>
      <c r="O169" s="10">
        <v>24702</v>
      </c>
      <c r="P169" s="10">
        <v>89677</v>
      </c>
    </row>
    <row r="170" spans="1:16" ht="27" customHeight="1" x14ac:dyDescent="0.2">
      <c r="A170" s="9" t="s">
        <v>639</v>
      </c>
      <c r="B170" s="10" t="s">
        <v>640</v>
      </c>
      <c r="C170" s="11" t="s">
        <v>644</v>
      </c>
      <c r="D170" s="11" t="s">
        <v>645</v>
      </c>
      <c r="E170" s="11" t="s">
        <v>57</v>
      </c>
      <c r="F170" s="11" t="s">
        <v>646</v>
      </c>
      <c r="G170" s="11" t="s">
        <v>28</v>
      </c>
      <c r="H170" s="11" t="s">
        <v>642</v>
      </c>
      <c r="I170" s="11" t="s">
        <v>643</v>
      </c>
      <c r="J170" s="12">
        <v>0.66669999999999996</v>
      </c>
      <c r="K170" s="13">
        <v>1</v>
      </c>
      <c r="L170" s="14">
        <v>223</v>
      </c>
      <c r="M170" s="10">
        <v>67</v>
      </c>
      <c r="N170" s="10">
        <v>24642</v>
      </c>
      <c r="O170" s="10">
        <v>5254</v>
      </c>
      <c r="P170" s="10">
        <v>29896</v>
      </c>
    </row>
    <row r="171" spans="1:16" ht="27" customHeight="1" x14ac:dyDescent="0.2">
      <c r="A171" s="9" t="s">
        <v>639</v>
      </c>
      <c r="B171" s="10" t="s">
        <v>640</v>
      </c>
      <c r="C171" s="11" t="s">
        <v>647</v>
      </c>
      <c r="D171" s="11" t="s">
        <v>648</v>
      </c>
      <c r="E171" s="11" t="s">
        <v>26</v>
      </c>
      <c r="F171" s="11" t="s">
        <v>649</v>
      </c>
      <c r="G171" s="11" t="s">
        <v>28</v>
      </c>
      <c r="H171" s="11" t="s">
        <v>649</v>
      </c>
      <c r="I171" s="11" t="s">
        <v>650</v>
      </c>
      <c r="J171" s="12">
        <v>0.14460000000000001</v>
      </c>
      <c r="K171" s="13">
        <v>1</v>
      </c>
      <c r="L171" s="14">
        <v>1217</v>
      </c>
      <c r="M171" s="10">
        <v>176</v>
      </c>
      <c r="N171" s="10">
        <v>134481</v>
      </c>
      <c r="O171" s="10">
        <v>13802</v>
      </c>
      <c r="P171" s="10">
        <v>148283</v>
      </c>
    </row>
    <row r="172" spans="1:16" ht="27" customHeight="1" x14ac:dyDescent="0.2">
      <c r="A172" s="9" t="s">
        <v>639</v>
      </c>
      <c r="B172" s="10" t="s">
        <v>640</v>
      </c>
      <c r="C172" s="11" t="s">
        <v>651</v>
      </c>
      <c r="D172" s="11" t="s">
        <v>652</v>
      </c>
      <c r="E172" s="11" t="s">
        <v>57</v>
      </c>
      <c r="F172" s="11" t="s">
        <v>653</v>
      </c>
      <c r="G172" s="11" t="s">
        <v>28</v>
      </c>
      <c r="H172" s="11" t="s">
        <v>642</v>
      </c>
      <c r="I172" s="11" t="s">
        <v>643</v>
      </c>
      <c r="J172" s="12">
        <v>0.66669999999999996</v>
      </c>
      <c r="K172" s="13">
        <v>1</v>
      </c>
      <c r="L172" s="14">
        <v>347</v>
      </c>
      <c r="M172" s="10">
        <v>125</v>
      </c>
      <c r="N172" s="10">
        <v>38344</v>
      </c>
      <c r="O172" s="10">
        <v>9802</v>
      </c>
      <c r="P172" s="10">
        <v>48146</v>
      </c>
    </row>
    <row r="173" spans="1:16" ht="27" customHeight="1" x14ac:dyDescent="0.2">
      <c r="A173" s="9" t="s">
        <v>639</v>
      </c>
      <c r="B173" s="10" t="s">
        <v>640</v>
      </c>
      <c r="C173" s="11" t="s">
        <v>654</v>
      </c>
      <c r="D173" s="11" t="s">
        <v>655</v>
      </c>
      <c r="E173" s="11" t="s">
        <v>57</v>
      </c>
      <c r="F173" s="11" t="s">
        <v>656</v>
      </c>
      <c r="G173" s="11" t="s">
        <v>28</v>
      </c>
      <c r="H173" s="11" t="s">
        <v>642</v>
      </c>
      <c r="I173" s="11" t="s">
        <v>643</v>
      </c>
      <c r="J173" s="12">
        <v>0.66669999999999996</v>
      </c>
      <c r="K173" s="13">
        <v>1</v>
      </c>
      <c r="L173" s="14">
        <v>27</v>
      </c>
      <c r="M173" s="10">
        <v>27</v>
      </c>
      <c r="N173" s="10">
        <v>2984</v>
      </c>
      <c r="O173" s="10">
        <v>2117</v>
      </c>
      <c r="P173" s="10">
        <v>5101</v>
      </c>
    </row>
    <row r="174" spans="1:16" ht="27" customHeight="1" x14ac:dyDescent="0.2">
      <c r="A174" s="9" t="s">
        <v>639</v>
      </c>
      <c r="B174" s="10" t="s">
        <v>657</v>
      </c>
      <c r="C174" s="11" t="s">
        <v>18</v>
      </c>
      <c r="D174" s="11" t="s">
        <v>19</v>
      </c>
      <c r="E174" s="11" t="s">
        <v>19</v>
      </c>
      <c r="F174" s="11" t="s">
        <v>658</v>
      </c>
      <c r="G174" s="11" t="s">
        <v>83</v>
      </c>
      <c r="H174" s="11" t="s">
        <v>659</v>
      </c>
      <c r="I174" s="11" t="s">
        <v>660</v>
      </c>
      <c r="J174" s="12">
        <v>0.42309999999999998</v>
      </c>
      <c r="K174" s="13">
        <v>8</v>
      </c>
      <c r="L174" s="14">
        <v>3453</v>
      </c>
      <c r="M174" s="10">
        <v>656</v>
      </c>
      <c r="N174" s="10">
        <v>381562</v>
      </c>
      <c r="O174" s="10">
        <v>51444</v>
      </c>
      <c r="P174" s="10">
        <v>433006</v>
      </c>
    </row>
    <row r="175" spans="1:16" ht="27" customHeight="1" x14ac:dyDescent="0.2">
      <c r="A175" s="9" t="s">
        <v>639</v>
      </c>
      <c r="B175" s="10" t="s">
        <v>657</v>
      </c>
      <c r="C175" s="11" t="s">
        <v>661</v>
      </c>
      <c r="D175" s="11" t="s">
        <v>662</v>
      </c>
      <c r="E175" s="11" t="s">
        <v>57</v>
      </c>
      <c r="F175" s="11" t="s">
        <v>663</v>
      </c>
      <c r="G175" s="11" t="s">
        <v>28</v>
      </c>
      <c r="H175" s="11" t="s">
        <v>663</v>
      </c>
      <c r="I175" s="11" t="s">
        <v>664</v>
      </c>
      <c r="J175" s="12">
        <v>0.16139999999999999</v>
      </c>
      <c r="K175" s="13">
        <v>1</v>
      </c>
      <c r="L175" s="14">
        <v>694</v>
      </c>
      <c r="M175" s="10">
        <v>112</v>
      </c>
      <c r="N175" s="10">
        <v>76688</v>
      </c>
      <c r="O175" s="10">
        <v>8783</v>
      </c>
      <c r="P175" s="10">
        <v>85471</v>
      </c>
    </row>
    <row r="176" spans="1:16" ht="27" customHeight="1" x14ac:dyDescent="0.2">
      <c r="A176" s="9" t="s">
        <v>639</v>
      </c>
      <c r="B176" s="10" t="s">
        <v>657</v>
      </c>
      <c r="C176" s="11" t="s">
        <v>665</v>
      </c>
      <c r="D176" s="11" t="s">
        <v>666</v>
      </c>
      <c r="E176" s="11" t="s">
        <v>26</v>
      </c>
      <c r="F176" s="11" t="s">
        <v>667</v>
      </c>
      <c r="G176" s="11" t="s">
        <v>28</v>
      </c>
      <c r="H176" s="11" t="s">
        <v>667</v>
      </c>
      <c r="I176" s="11" t="s">
        <v>668</v>
      </c>
      <c r="J176" s="12">
        <v>0.11459999999999999</v>
      </c>
      <c r="K176" s="13">
        <v>1</v>
      </c>
      <c r="L176" s="14">
        <v>515</v>
      </c>
      <c r="M176" s="10">
        <v>59</v>
      </c>
      <c r="N176" s="10">
        <v>56908</v>
      </c>
      <c r="O176" s="10">
        <v>4627</v>
      </c>
      <c r="P176" s="10">
        <v>61535</v>
      </c>
    </row>
    <row r="177" spans="1:16" ht="27" customHeight="1" x14ac:dyDescent="0.2">
      <c r="A177" s="9" t="s">
        <v>639</v>
      </c>
      <c r="B177" s="10" t="s">
        <v>657</v>
      </c>
      <c r="C177" s="11" t="s">
        <v>669</v>
      </c>
      <c r="D177" s="11" t="s">
        <v>670</v>
      </c>
      <c r="E177" s="11" t="s">
        <v>26</v>
      </c>
      <c r="F177" s="11" t="s">
        <v>671</v>
      </c>
      <c r="G177" s="11" t="s">
        <v>28</v>
      </c>
      <c r="H177" s="11" t="s">
        <v>671</v>
      </c>
      <c r="I177" s="11" t="s">
        <v>672</v>
      </c>
      <c r="J177" s="12">
        <v>0.31109999999999999</v>
      </c>
      <c r="K177" s="13">
        <v>1</v>
      </c>
      <c r="L177" s="14">
        <v>135</v>
      </c>
      <c r="M177" s="10">
        <v>42</v>
      </c>
      <c r="N177" s="10">
        <v>14918</v>
      </c>
      <c r="O177" s="10">
        <v>3294</v>
      </c>
      <c r="P177" s="10">
        <v>18212</v>
      </c>
    </row>
    <row r="178" spans="1:16" ht="27" customHeight="1" x14ac:dyDescent="0.2">
      <c r="A178" s="9" t="s">
        <v>639</v>
      </c>
      <c r="B178" s="10" t="s">
        <v>657</v>
      </c>
      <c r="C178" s="11" t="s">
        <v>673</v>
      </c>
      <c r="D178" s="11" t="s">
        <v>674</v>
      </c>
      <c r="E178" s="11" t="s">
        <v>26</v>
      </c>
      <c r="F178" s="11" t="s">
        <v>675</v>
      </c>
      <c r="G178" s="11" t="s">
        <v>28</v>
      </c>
      <c r="H178" s="11" t="s">
        <v>675</v>
      </c>
      <c r="I178" s="11" t="s">
        <v>676</v>
      </c>
      <c r="J178" s="12">
        <v>0.35</v>
      </c>
      <c r="K178" s="13">
        <v>1</v>
      </c>
      <c r="L178" s="14">
        <v>1937</v>
      </c>
      <c r="M178" s="10">
        <v>678</v>
      </c>
      <c r="N178" s="10">
        <v>214042</v>
      </c>
      <c r="O178" s="10">
        <v>53168</v>
      </c>
      <c r="P178" s="10">
        <v>267210</v>
      </c>
    </row>
    <row r="179" spans="1:16" ht="27" customHeight="1" x14ac:dyDescent="0.2">
      <c r="A179" s="9" t="s">
        <v>639</v>
      </c>
      <c r="B179" s="10" t="s">
        <v>657</v>
      </c>
      <c r="C179" s="11" t="s">
        <v>677</v>
      </c>
      <c r="D179" s="11" t="s">
        <v>678</v>
      </c>
      <c r="E179" s="11" t="s">
        <v>57</v>
      </c>
      <c r="F179" s="11" t="s">
        <v>679</v>
      </c>
      <c r="G179" s="11" t="s">
        <v>28</v>
      </c>
      <c r="H179" s="11" t="s">
        <v>679</v>
      </c>
      <c r="I179" s="11" t="s">
        <v>680</v>
      </c>
      <c r="J179" s="12">
        <v>0.1371</v>
      </c>
      <c r="K179" s="13">
        <v>1</v>
      </c>
      <c r="L179" s="14">
        <v>124</v>
      </c>
      <c r="M179" s="10">
        <v>17</v>
      </c>
      <c r="N179" s="10">
        <v>13702</v>
      </c>
      <c r="O179" s="10">
        <v>1333</v>
      </c>
      <c r="P179" s="10">
        <v>15035</v>
      </c>
    </row>
    <row r="180" spans="1:16" ht="27" customHeight="1" x14ac:dyDescent="0.2">
      <c r="A180" s="9" t="s">
        <v>639</v>
      </c>
      <c r="B180" s="10" t="s">
        <v>657</v>
      </c>
      <c r="C180" s="11" t="s">
        <v>681</v>
      </c>
      <c r="D180" s="11" t="s">
        <v>682</v>
      </c>
      <c r="E180" s="11" t="s">
        <v>26</v>
      </c>
      <c r="F180" s="11" t="s">
        <v>683</v>
      </c>
      <c r="G180" s="11" t="s">
        <v>28</v>
      </c>
      <c r="H180" s="11" t="s">
        <v>683</v>
      </c>
      <c r="I180" s="11" t="s">
        <v>684</v>
      </c>
      <c r="J180" s="12">
        <v>0.49390000000000001</v>
      </c>
      <c r="K180" s="13">
        <v>1</v>
      </c>
      <c r="L180" s="14">
        <v>2798</v>
      </c>
      <c r="M180" s="10">
        <v>1382</v>
      </c>
      <c r="N180" s="10">
        <v>309184</v>
      </c>
      <c r="O180" s="10">
        <v>108375</v>
      </c>
      <c r="P180" s="10">
        <v>417559</v>
      </c>
    </row>
    <row r="181" spans="1:16" ht="27" customHeight="1" x14ac:dyDescent="0.2">
      <c r="A181" s="9" t="s">
        <v>639</v>
      </c>
      <c r="B181" s="10" t="s">
        <v>685</v>
      </c>
      <c r="C181" s="11" t="s">
        <v>18</v>
      </c>
      <c r="D181" s="11" t="s">
        <v>19</v>
      </c>
      <c r="E181" s="11" t="s">
        <v>19</v>
      </c>
      <c r="F181" s="11" t="s">
        <v>686</v>
      </c>
      <c r="G181" s="11" t="s">
        <v>83</v>
      </c>
      <c r="H181" s="11" t="s">
        <v>687</v>
      </c>
      <c r="I181" s="11" t="s">
        <v>688</v>
      </c>
      <c r="J181" s="12">
        <v>0.46839999999999998</v>
      </c>
      <c r="K181" s="13">
        <v>2</v>
      </c>
      <c r="L181" s="14">
        <v>412</v>
      </c>
      <c r="M181" s="10">
        <v>193</v>
      </c>
      <c r="N181" s="10">
        <v>45527</v>
      </c>
      <c r="O181" s="10">
        <v>15135</v>
      </c>
      <c r="P181" s="10">
        <v>60662</v>
      </c>
    </row>
    <row r="182" spans="1:16" ht="27" customHeight="1" x14ac:dyDescent="0.2">
      <c r="A182" s="9" t="s">
        <v>639</v>
      </c>
      <c r="B182" s="10" t="s">
        <v>685</v>
      </c>
      <c r="C182" s="11" t="s">
        <v>689</v>
      </c>
      <c r="D182" s="11" t="s">
        <v>690</v>
      </c>
      <c r="E182" s="11" t="s">
        <v>26</v>
      </c>
      <c r="F182" s="11" t="s">
        <v>691</v>
      </c>
      <c r="G182" s="11" t="s">
        <v>28</v>
      </c>
      <c r="H182" s="11" t="s">
        <v>691</v>
      </c>
      <c r="I182" s="11" t="s">
        <v>692</v>
      </c>
      <c r="J182" s="12">
        <v>0.375</v>
      </c>
      <c r="K182" s="13">
        <v>1</v>
      </c>
      <c r="L182" s="14">
        <v>16</v>
      </c>
      <c r="M182" s="10">
        <v>6</v>
      </c>
      <c r="N182" s="10">
        <v>1768</v>
      </c>
      <c r="O182" s="10">
        <v>471</v>
      </c>
      <c r="P182" s="10">
        <v>2239</v>
      </c>
    </row>
    <row r="183" spans="1:16" ht="27" customHeight="1" x14ac:dyDescent="0.2">
      <c r="A183" s="9" t="s">
        <v>639</v>
      </c>
      <c r="B183" s="10" t="s">
        <v>693</v>
      </c>
      <c r="C183" s="11" t="s">
        <v>18</v>
      </c>
      <c r="D183" s="11" t="s">
        <v>19</v>
      </c>
      <c r="E183" s="11" t="s">
        <v>19</v>
      </c>
      <c r="F183" s="11" t="s">
        <v>694</v>
      </c>
      <c r="G183" s="11" t="s">
        <v>83</v>
      </c>
      <c r="H183" s="11" t="s">
        <v>642</v>
      </c>
      <c r="I183" s="11" t="s">
        <v>643</v>
      </c>
      <c r="J183" s="12">
        <v>0.66669999999999996</v>
      </c>
      <c r="K183" s="13">
        <v>6</v>
      </c>
      <c r="L183" s="14">
        <v>6580</v>
      </c>
      <c r="M183" s="10">
        <v>1303</v>
      </c>
      <c r="N183" s="10">
        <v>727101</v>
      </c>
      <c r="O183" s="10">
        <v>102179</v>
      </c>
      <c r="P183" s="10">
        <v>829280</v>
      </c>
    </row>
    <row r="184" spans="1:16" ht="27" customHeight="1" x14ac:dyDescent="0.2">
      <c r="A184" s="9" t="s">
        <v>639</v>
      </c>
      <c r="B184" s="10" t="s">
        <v>693</v>
      </c>
      <c r="C184" s="11" t="s">
        <v>695</v>
      </c>
      <c r="D184" s="11" t="s">
        <v>696</v>
      </c>
      <c r="E184" s="11" t="s">
        <v>57</v>
      </c>
      <c r="F184" s="11" t="s">
        <v>697</v>
      </c>
      <c r="G184" s="11" t="s">
        <v>28</v>
      </c>
      <c r="H184" s="11" t="s">
        <v>642</v>
      </c>
      <c r="I184" s="11" t="s">
        <v>643</v>
      </c>
      <c r="J184" s="12">
        <v>0.66669999999999996</v>
      </c>
      <c r="K184" s="13">
        <v>1</v>
      </c>
      <c r="L184" s="14">
        <v>100</v>
      </c>
      <c r="M184" s="10">
        <v>17</v>
      </c>
      <c r="N184" s="10">
        <v>11050</v>
      </c>
      <c r="O184" s="10">
        <v>1333</v>
      </c>
      <c r="P184" s="10">
        <v>12383</v>
      </c>
    </row>
    <row r="185" spans="1:16" ht="27" customHeight="1" x14ac:dyDescent="0.2">
      <c r="A185" s="9" t="s">
        <v>639</v>
      </c>
      <c r="B185" s="10" t="s">
        <v>698</v>
      </c>
      <c r="C185" s="11" t="s">
        <v>18</v>
      </c>
      <c r="D185" s="11" t="s">
        <v>19</v>
      </c>
      <c r="E185" s="11" t="s">
        <v>19</v>
      </c>
      <c r="F185" s="11" t="s">
        <v>699</v>
      </c>
      <c r="G185" s="11" t="s">
        <v>83</v>
      </c>
      <c r="H185" s="11" t="s">
        <v>700</v>
      </c>
      <c r="I185" s="11" t="s">
        <v>701</v>
      </c>
      <c r="J185" s="12">
        <v>0.39229999999999998</v>
      </c>
      <c r="K185" s="13">
        <v>3</v>
      </c>
      <c r="L185" s="14">
        <v>466</v>
      </c>
      <c r="M185" s="10">
        <v>183</v>
      </c>
      <c r="N185" s="10">
        <v>51494</v>
      </c>
      <c r="O185" s="10">
        <v>14351</v>
      </c>
      <c r="P185" s="10">
        <v>65845</v>
      </c>
    </row>
    <row r="186" spans="1:16" ht="27" customHeight="1" x14ac:dyDescent="0.2">
      <c r="A186" s="9" t="s">
        <v>639</v>
      </c>
      <c r="B186" s="10" t="s">
        <v>702</v>
      </c>
      <c r="C186" s="11" t="s">
        <v>18</v>
      </c>
      <c r="D186" s="11" t="s">
        <v>19</v>
      </c>
      <c r="E186" s="11" t="s">
        <v>19</v>
      </c>
      <c r="F186" s="11" t="s">
        <v>703</v>
      </c>
      <c r="G186" s="11" t="s">
        <v>83</v>
      </c>
      <c r="H186" s="11" t="s">
        <v>704</v>
      </c>
      <c r="I186" s="11" t="s">
        <v>705</v>
      </c>
      <c r="J186" s="12">
        <v>0.29499999999999998</v>
      </c>
      <c r="K186" s="13">
        <v>3</v>
      </c>
      <c r="L186" s="14">
        <v>520</v>
      </c>
      <c r="M186" s="10">
        <v>150</v>
      </c>
      <c r="N186" s="10">
        <v>57460</v>
      </c>
      <c r="O186" s="10">
        <v>11762</v>
      </c>
      <c r="P186" s="10">
        <v>69222</v>
      </c>
    </row>
    <row r="187" spans="1:16" ht="27" customHeight="1" x14ac:dyDescent="0.2">
      <c r="A187" s="9" t="s">
        <v>639</v>
      </c>
      <c r="B187" s="10" t="s">
        <v>706</v>
      </c>
      <c r="C187" s="11" t="s">
        <v>18</v>
      </c>
      <c r="D187" s="11" t="s">
        <v>19</v>
      </c>
      <c r="E187" s="11" t="s">
        <v>19</v>
      </c>
      <c r="F187" s="11" t="s">
        <v>707</v>
      </c>
      <c r="G187" s="11" t="s">
        <v>83</v>
      </c>
      <c r="H187" s="11" t="s">
        <v>707</v>
      </c>
      <c r="I187" s="11" t="s">
        <v>708</v>
      </c>
      <c r="J187" s="12">
        <v>0.3</v>
      </c>
      <c r="K187" s="13">
        <v>2</v>
      </c>
      <c r="L187" s="14">
        <v>10</v>
      </c>
      <c r="M187" s="10">
        <v>3</v>
      </c>
      <c r="N187" s="10">
        <v>1105</v>
      </c>
      <c r="O187" s="10">
        <v>235</v>
      </c>
      <c r="P187" s="10">
        <v>1340</v>
      </c>
    </row>
    <row r="188" spans="1:16" ht="27" customHeight="1" x14ac:dyDescent="0.2">
      <c r="A188" s="9" t="s">
        <v>639</v>
      </c>
      <c r="B188" s="10" t="s">
        <v>709</v>
      </c>
      <c r="C188" s="11" t="s">
        <v>18</v>
      </c>
      <c r="D188" s="11" t="s">
        <v>19</v>
      </c>
      <c r="E188" s="11" t="s">
        <v>19</v>
      </c>
      <c r="F188" s="11" t="s">
        <v>710</v>
      </c>
      <c r="G188" s="11" t="s">
        <v>83</v>
      </c>
      <c r="H188" s="11" t="s">
        <v>711</v>
      </c>
      <c r="I188" s="11" t="s">
        <v>712</v>
      </c>
      <c r="J188" s="12">
        <v>0.56759999999999999</v>
      </c>
      <c r="K188" s="13">
        <v>9</v>
      </c>
      <c r="L188" s="14">
        <v>3678</v>
      </c>
      <c r="M188" s="10">
        <v>1729</v>
      </c>
      <c r="N188" s="10">
        <v>406426</v>
      </c>
      <c r="O188" s="10">
        <v>135587</v>
      </c>
      <c r="P188" s="10">
        <v>542013</v>
      </c>
    </row>
    <row r="189" spans="1:16" ht="27" customHeight="1" x14ac:dyDescent="0.2">
      <c r="A189" s="9" t="s">
        <v>639</v>
      </c>
      <c r="B189" s="10" t="s">
        <v>713</v>
      </c>
      <c r="C189" s="11" t="s">
        <v>18</v>
      </c>
      <c r="D189" s="11" t="s">
        <v>19</v>
      </c>
      <c r="E189" s="11" t="s">
        <v>19</v>
      </c>
      <c r="F189" s="11" t="s">
        <v>714</v>
      </c>
      <c r="G189" s="11" t="s">
        <v>83</v>
      </c>
      <c r="H189" s="11" t="s">
        <v>715</v>
      </c>
      <c r="I189" s="11" t="s">
        <v>716</v>
      </c>
      <c r="J189" s="12">
        <v>0.16919999999999999</v>
      </c>
      <c r="K189" s="13">
        <v>3</v>
      </c>
      <c r="L189" s="14">
        <v>161</v>
      </c>
      <c r="M189" s="10">
        <v>22</v>
      </c>
      <c r="N189" s="10">
        <v>17791</v>
      </c>
      <c r="O189" s="10">
        <v>1726</v>
      </c>
      <c r="P189" s="10">
        <v>19517</v>
      </c>
    </row>
    <row r="190" spans="1:16" ht="27" customHeight="1" x14ac:dyDescent="0.2">
      <c r="A190" s="9" t="s">
        <v>639</v>
      </c>
      <c r="B190" s="10" t="s">
        <v>717</v>
      </c>
      <c r="C190" s="11" t="s">
        <v>18</v>
      </c>
      <c r="D190" s="11" t="s">
        <v>19</v>
      </c>
      <c r="E190" s="11" t="s">
        <v>19</v>
      </c>
      <c r="F190" s="11" t="s">
        <v>718</v>
      </c>
      <c r="G190" s="11" t="s">
        <v>83</v>
      </c>
      <c r="H190" s="11" t="s">
        <v>719</v>
      </c>
      <c r="I190" s="11" t="s">
        <v>720</v>
      </c>
      <c r="J190" s="12">
        <v>0.50429999999999997</v>
      </c>
      <c r="K190" s="13">
        <v>4</v>
      </c>
      <c r="L190" s="14">
        <v>840</v>
      </c>
      <c r="M190" s="10">
        <v>418</v>
      </c>
      <c r="N190" s="10">
        <v>92822</v>
      </c>
      <c r="O190" s="10">
        <v>32779</v>
      </c>
      <c r="P190" s="10">
        <v>125601</v>
      </c>
    </row>
    <row r="191" spans="1:16" ht="27" customHeight="1" x14ac:dyDescent="0.2">
      <c r="A191" s="9" t="s">
        <v>639</v>
      </c>
      <c r="B191" s="10" t="s">
        <v>721</v>
      </c>
      <c r="C191" s="11" t="s">
        <v>18</v>
      </c>
      <c r="D191" s="11" t="s">
        <v>19</v>
      </c>
      <c r="E191" s="11" t="s">
        <v>19</v>
      </c>
      <c r="F191" s="11" t="s">
        <v>427</v>
      </c>
      <c r="G191" s="11" t="s">
        <v>83</v>
      </c>
      <c r="H191" s="11" t="s">
        <v>642</v>
      </c>
      <c r="I191" s="11" t="s">
        <v>643</v>
      </c>
      <c r="J191" s="12">
        <v>0.66669999999999996</v>
      </c>
      <c r="K191" s="13">
        <v>4</v>
      </c>
      <c r="L191" s="14">
        <v>289</v>
      </c>
      <c r="M191" s="10">
        <v>144</v>
      </c>
      <c r="N191" s="10">
        <v>31935</v>
      </c>
      <c r="O191" s="10">
        <v>11293</v>
      </c>
      <c r="P191" s="10">
        <v>43228</v>
      </c>
    </row>
    <row r="192" spans="1:16" ht="27" customHeight="1" x14ac:dyDescent="0.2">
      <c r="A192" s="9" t="s">
        <v>639</v>
      </c>
      <c r="B192" s="10" t="s">
        <v>722</v>
      </c>
      <c r="C192" s="11" t="s">
        <v>18</v>
      </c>
      <c r="D192" s="11" t="s">
        <v>19</v>
      </c>
      <c r="E192" s="11" t="s">
        <v>19</v>
      </c>
      <c r="F192" s="11" t="s">
        <v>723</v>
      </c>
      <c r="G192" s="11" t="s">
        <v>83</v>
      </c>
      <c r="H192" s="11" t="s">
        <v>724</v>
      </c>
      <c r="I192" s="11" t="s">
        <v>725</v>
      </c>
      <c r="J192" s="12">
        <v>0.6613</v>
      </c>
      <c r="K192" s="13">
        <v>4</v>
      </c>
      <c r="L192" s="14">
        <v>1168</v>
      </c>
      <c r="M192" s="10">
        <v>662</v>
      </c>
      <c r="N192" s="10">
        <v>129066</v>
      </c>
      <c r="O192" s="10">
        <v>51913</v>
      </c>
      <c r="P192" s="10">
        <v>180979</v>
      </c>
    </row>
    <row r="193" spans="1:16" ht="27" customHeight="1" x14ac:dyDescent="0.2">
      <c r="A193" s="9" t="s">
        <v>639</v>
      </c>
      <c r="B193" s="10" t="s">
        <v>726</v>
      </c>
      <c r="C193" s="11" t="s">
        <v>18</v>
      </c>
      <c r="D193" s="11" t="s">
        <v>19</v>
      </c>
      <c r="E193" s="11" t="s">
        <v>19</v>
      </c>
      <c r="F193" s="11" t="s">
        <v>727</v>
      </c>
      <c r="G193" s="11" t="s">
        <v>83</v>
      </c>
      <c r="H193" s="11" t="s">
        <v>728</v>
      </c>
      <c r="I193" s="11" t="s">
        <v>729</v>
      </c>
      <c r="J193" s="12">
        <v>0.48010000000000003</v>
      </c>
      <c r="K193" s="13">
        <v>3</v>
      </c>
      <c r="L193" s="14">
        <v>590</v>
      </c>
      <c r="M193" s="10">
        <v>289</v>
      </c>
      <c r="N193" s="10">
        <v>65196</v>
      </c>
      <c r="O193" s="10">
        <v>22663</v>
      </c>
      <c r="P193" s="10">
        <v>87859</v>
      </c>
    </row>
    <row r="194" spans="1:16" ht="27" customHeight="1" x14ac:dyDescent="0.2">
      <c r="A194" s="9" t="s">
        <v>639</v>
      </c>
      <c r="B194" s="10" t="s">
        <v>730</v>
      </c>
      <c r="C194" s="11" t="s">
        <v>18</v>
      </c>
      <c r="D194" s="11" t="s">
        <v>19</v>
      </c>
      <c r="E194" s="11" t="s">
        <v>19</v>
      </c>
      <c r="F194" s="11" t="s">
        <v>731</v>
      </c>
      <c r="G194" s="11" t="s">
        <v>83</v>
      </c>
      <c r="H194" s="11" t="s">
        <v>732</v>
      </c>
      <c r="I194" s="11" t="s">
        <v>733</v>
      </c>
      <c r="J194" s="12">
        <v>0.40350000000000003</v>
      </c>
      <c r="K194" s="13">
        <v>8</v>
      </c>
      <c r="L194" s="14">
        <v>3515</v>
      </c>
      <c r="M194" s="10">
        <v>554</v>
      </c>
      <c r="N194" s="10">
        <v>388412</v>
      </c>
      <c r="O194" s="10">
        <v>43446</v>
      </c>
      <c r="P194" s="10">
        <v>431858</v>
      </c>
    </row>
    <row r="195" spans="1:16" ht="27" customHeight="1" x14ac:dyDescent="0.2">
      <c r="A195" s="9" t="s">
        <v>639</v>
      </c>
      <c r="B195" s="10" t="s">
        <v>734</v>
      </c>
      <c r="C195" s="11" t="s">
        <v>18</v>
      </c>
      <c r="D195" s="11" t="s">
        <v>19</v>
      </c>
      <c r="E195" s="11" t="s">
        <v>19</v>
      </c>
      <c r="F195" s="11" t="s">
        <v>735</v>
      </c>
      <c r="G195" s="11" t="s">
        <v>83</v>
      </c>
      <c r="H195" s="11" t="s">
        <v>735</v>
      </c>
      <c r="I195" s="11" t="s">
        <v>736</v>
      </c>
      <c r="J195" s="12">
        <v>0.61539999999999995</v>
      </c>
      <c r="K195" s="13">
        <v>2</v>
      </c>
      <c r="L195" s="14">
        <v>13</v>
      </c>
      <c r="M195" s="10">
        <v>8</v>
      </c>
      <c r="N195" s="10">
        <v>1437</v>
      </c>
      <c r="O195" s="10">
        <v>627</v>
      </c>
      <c r="P195" s="10">
        <v>2064</v>
      </c>
    </row>
    <row r="196" spans="1:16" ht="27" customHeight="1" x14ac:dyDescent="0.2">
      <c r="A196" s="9" t="s">
        <v>639</v>
      </c>
      <c r="B196" s="10" t="s">
        <v>737</v>
      </c>
      <c r="C196" s="11" t="s">
        <v>18</v>
      </c>
      <c r="D196" s="11" t="s">
        <v>19</v>
      </c>
      <c r="E196" s="11" t="s">
        <v>19</v>
      </c>
      <c r="F196" s="11" t="s">
        <v>738</v>
      </c>
      <c r="G196" s="11" t="s">
        <v>83</v>
      </c>
      <c r="H196" s="11" t="s">
        <v>739</v>
      </c>
      <c r="I196" s="11" t="s">
        <v>740</v>
      </c>
      <c r="J196" s="12">
        <v>0.4622</v>
      </c>
      <c r="K196" s="13">
        <v>6</v>
      </c>
      <c r="L196" s="14">
        <v>1021</v>
      </c>
      <c r="M196" s="10">
        <v>396</v>
      </c>
      <c r="N196" s="10">
        <v>112823</v>
      </c>
      <c r="O196" s="10">
        <v>31055</v>
      </c>
      <c r="P196" s="10">
        <v>143878</v>
      </c>
    </row>
    <row r="197" spans="1:16" ht="27" customHeight="1" x14ac:dyDescent="0.2">
      <c r="A197" s="9" t="s">
        <v>639</v>
      </c>
      <c r="B197" s="10" t="s">
        <v>737</v>
      </c>
      <c r="C197" s="11" t="s">
        <v>741</v>
      </c>
      <c r="D197" s="11" t="s">
        <v>742</v>
      </c>
      <c r="E197" s="11" t="s">
        <v>57</v>
      </c>
      <c r="F197" s="11" t="s">
        <v>743</v>
      </c>
      <c r="G197" s="11" t="s">
        <v>28</v>
      </c>
      <c r="H197" s="11" t="s">
        <v>743</v>
      </c>
      <c r="I197" s="11" t="s">
        <v>744</v>
      </c>
      <c r="J197" s="12">
        <v>0.4123</v>
      </c>
      <c r="K197" s="13">
        <v>1</v>
      </c>
      <c r="L197" s="14">
        <v>228</v>
      </c>
      <c r="M197" s="10">
        <v>94</v>
      </c>
      <c r="N197" s="10">
        <v>25194</v>
      </c>
      <c r="O197" s="10">
        <v>7371</v>
      </c>
      <c r="P197" s="10">
        <v>32565</v>
      </c>
    </row>
    <row r="198" spans="1:16" ht="27" customHeight="1" x14ac:dyDescent="0.2">
      <c r="A198" s="9" t="s">
        <v>745</v>
      </c>
      <c r="B198" s="10" t="s">
        <v>746</v>
      </c>
      <c r="C198" s="11" t="s">
        <v>18</v>
      </c>
      <c r="D198" s="11" t="s">
        <v>19</v>
      </c>
      <c r="E198" s="11" t="s">
        <v>19</v>
      </c>
      <c r="F198" s="11" t="s">
        <v>747</v>
      </c>
      <c r="G198" s="11" t="s">
        <v>21</v>
      </c>
      <c r="H198" s="11" t="s">
        <v>748</v>
      </c>
      <c r="I198" s="11" t="s">
        <v>749</v>
      </c>
      <c r="J198" s="12">
        <v>1</v>
      </c>
      <c r="K198" s="13">
        <v>5</v>
      </c>
      <c r="L198" s="14">
        <v>814</v>
      </c>
      <c r="M198" s="10">
        <v>604</v>
      </c>
      <c r="N198" s="10">
        <v>89949</v>
      </c>
      <c r="O198" s="10">
        <v>47365</v>
      </c>
      <c r="P198" s="10">
        <v>137314</v>
      </c>
    </row>
    <row r="199" spans="1:16" ht="27" customHeight="1" x14ac:dyDescent="0.2">
      <c r="A199" s="9" t="s">
        <v>745</v>
      </c>
      <c r="B199" s="10" t="s">
        <v>746</v>
      </c>
      <c r="C199" s="11" t="s">
        <v>750</v>
      </c>
      <c r="D199" s="11" t="s">
        <v>751</v>
      </c>
      <c r="E199" s="11" t="s">
        <v>26</v>
      </c>
      <c r="F199" s="11" t="s">
        <v>752</v>
      </c>
      <c r="G199" s="11" t="s">
        <v>28</v>
      </c>
      <c r="H199" s="11" t="s">
        <v>752</v>
      </c>
      <c r="I199" s="11" t="s">
        <v>753</v>
      </c>
      <c r="J199" s="12">
        <v>0.91069999999999995</v>
      </c>
      <c r="K199" s="13">
        <v>1</v>
      </c>
      <c r="L199" s="14">
        <v>1567</v>
      </c>
      <c r="M199" s="10">
        <v>1427</v>
      </c>
      <c r="N199" s="10">
        <v>173156</v>
      </c>
      <c r="O199" s="10">
        <v>111904</v>
      </c>
      <c r="P199" s="10">
        <v>285060</v>
      </c>
    </row>
    <row r="200" spans="1:16" ht="27" customHeight="1" x14ac:dyDescent="0.2">
      <c r="A200" s="9" t="s">
        <v>745</v>
      </c>
      <c r="B200" s="10" t="s">
        <v>746</v>
      </c>
      <c r="C200" s="11" t="s">
        <v>754</v>
      </c>
      <c r="D200" s="11" t="s">
        <v>755</v>
      </c>
      <c r="E200" s="11" t="s">
        <v>26</v>
      </c>
      <c r="F200" s="11" t="s">
        <v>756</v>
      </c>
      <c r="G200" s="11" t="s">
        <v>28</v>
      </c>
      <c r="H200" s="11" t="s">
        <v>756</v>
      </c>
      <c r="I200" s="11" t="s">
        <v>757</v>
      </c>
      <c r="J200" s="12">
        <v>0.46429999999999999</v>
      </c>
      <c r="K200" s="13">
        <v>1</v>
      </c>
      <c r="L200" s="14">
        <v>56</v>
      </c>
      <c r="M200" s="10">
        <v>26</v>
      </c>
      <c r="N200" s="10">
        <v>6188</v>
      </c>
      <c r="O200" s="10">
        <v>2039</v>
      </c>
      <c r="P200" s="10">
        <v>8227</v>
      </c>
    </row>
    <row r="201" spans="1:16" ht="27" customHeight="1" x14ac:dyDescent="0.2">
      <c r="A201" s="9" t="s">
        <v>745</v>
      </c>
      <c r="B201" s="10" t="s">
        <v>746</v>
      </c>
      <c r="C201" s="11" t="s">
        <v>758</v>
      </c>
      <c r="D201" s="11" t="s">
        <v>759</v>
      </c>
      <c r="E201" s="11" t="s">
        <v>26</v>
      </c>
      <c r="F201" s="11" t="s">
        <v>760</v>
      </c>
      <c r="G201" s="11" t="s">
        <v>28</v>
      </c>
      <c r="H201" s="11" t="s">
        <v>760</v>
      </c>
      <c r="I201" s="11" t="s">
        <v>761</v>
      </c>
      <c r="J201" s="12">
        <v>0.59309999999999996</v>
      </c>
      <c r="K201" s="13">
        <v>1</v>
      </c>
      <c r="L201" s="14">
        <v>494</v>
      </c>
      <c r="M201" s="10">
        <v>293</v>
      </c>
      <c r="N201" s="10">
        <v>54588</v>
      </c>
      <c r="O201" s="10">
        <v>22977</v>
      </c>
      <c r="P201" s="10">
        <v>77565</v>
      </c>
    </row>
    <row r="202" spans="1:16" ht="27" customHeight="1" x14ac:dyDescent="0.2">
      <c r="A202" s="9" t="s">
        <v>745</v>
      </c>
      <c r="B202" s="10" t="s">
        <v>746</v>
      </c>
      <c r="C202" s="11" t="s">
        <v>762</v>
      </c>
      <c r="D202" s="11" t="s">
        <v>763</v>
      </c>
      <c r="E202" s="11" t="s">
        <v>26</v>
      </c>
      <c r="F202" s="11" t="s">
        <v>764</v>
      </c>
      <c r="G202" s="11" t="s">
        <v>28</v>
      </c>
      <c r="H202" s="11" t="s">
        <v>764</v>
      </c>
      <c r="I202" s="11" t="s">
        <v>765</v>
      </c>
      <c r="J202" s="12">
        <v>0.78859999999999997</v>
      </c>
      <c r="K202" s="13">
        <v>1</v>
      </c>
      <c r="L202" s="14">
        <v>369</v>
      </c>
      <c r="M202" s="10">
        <v>291</v>
      </c>
      <c r="N202" s="10">
        <v>40775</v>
      </c>
      <c r="O202" s="10">
        <v>22820</v>
      </c>
      <c r="P202" s="10">
        <v>63595</v>
      </c>
    </row>
    <row r="203" spans="1:16" ht="27" customHeight="1" x14ac:dyDescent="0.2">
      <c r="A203" s="9" t="s">
        <v>745</v>
      </c>
      <c r="B203" s="10" t="s">
        <v>746</v>
      </c>
      <c r="C203" s="11" t="s">
        <v>766</v>
      </c>
      <c r="D203" s="11" t="s">
        <v>767</v>
      </c>
      <c r="E203" s="11" t="s">
        <v>26</v>
      </c>
      <c r="F203" s="11" t="s">
        <v>768</v>
      </c>
      <c r="G203" s="11" t="s">
        <v>28</v>
      </c>
      <c r="H203" s="11" t="s">
        <v>748</v>
      </c>
      <c r="I203" s="11" t="s">
        <v>749</v>
      </c>
      <c r="J203" s="12">
        <v>1</v>
      </c>
      <c r="K203" s="13">
        <v>1</v>
      </c>
      <c r="L203" s="14">
        <v>238</v>
      </c>
      <c r="M203" s="10">
        <v>118</v>
      </c>
      <c r="N203" s="10">
        <v>26299</v>
      </c>
      <c r="O203" s="10">
        <v>9253</v>
      </c>
      <c r="P203" s="10">
        <v>35552</v>
      </c>
    </row>
    <row r="204" spans="1:16" ht="27" customHeight="1" x14ac:dyDescent="0.2">
      <c r="A204" s="9" t="s">
        <v>745</v>
      </c>
      <c r="B204" s="10" t="s">
        <v>746</v>
      </c>
      <c r="C204" s="11" t="s">
        <v>769</v>
      </c>
      <c r="D204" s="11" t="s">
        <v>770</v>
      </c>
      <c r="E204" s="11" t="s">
        <v>26</v>
      </c>
      <c r="F204" s="11" t="s">
        <v>771</v>
      </c>
      <c r="G204" s="11" t="s">
        <v>28</v>
      </c>
      <c r="H204" s="11" t="s">
        <v>771</v>
      </c>
      <c r="I204" s="11" t="s">
        <v>772</v>
      </c>
      <c r="J204" s="12">
        <v>0.62739999999999996</v>
      </c>
      <c r="K204" s="13">
        <v>1</v>
      </c>
      <c r="L204" s="14">
        <v>212</v>
      </c>
      <c r="M204" s="10">
        <v>133</v>
      </c>
      <c r="N204" s="10">
        <v>23426</v>
      </c>
      <c r="O204" s="10">
        <v>10430</v>
      </c>
      <c r="P204" s="10">
        <v>33856</v>
      </c>
    </row>
    <row r="205" spans="1:16" ht="27" customHeight="1" x14ac:dyDescent="0.2">
      <c r="A205" s="9" t="s">
        <v>745</v>
      </c>
      <c r="B205" s="10" t="s">
        <v>746</v>
      </c>
      <c r="C205" s="11" t="s">
        <v>773</v>
      </c>
      <c r="D205" s="11" t="s">
        <v>774</v>
      </c>
      <c r="E205" s="11" t="s">
        <v>26</v>
      </c>
      <c r="F205" s="11" t="s">
        <v>775</v>
      </c>
      <c r="G205" s="11" t="s">
        <v>28</v>
      </c>
      <c r="H205" s="11" t="s">
        <v>775</v>
      </c>
      <c r="I205" s="11" t="s">
        <v>776</v>
      </c>
      <c r="J205" s="12">
        <v>0.94710000000000005</v>
      </c>
      <c r="K205" s="13">
        <v>1</v>
      </c>
      <c r="L205" s="14">
        <v>416</v>
      </c>
      <c r="M205" s="10">
        <v>394</v>
      </c>
      <c r="N205" s="10">
        <v>45969</v>
      </c>
      <c r="O205" s="10">
        <v>30897</v>
      </c>
      <c r="P205" s="10">
        <v>76866</v>
      </c>
    </row>
    <row r="206" spans="1:16" ht="27" customHeight="1" x14ac:dyDescent="0.2">
      <c r="A206" s="9" t="s">
        <v>745</v>
      </c>
      <c r="B206" s="10" t="s">
        <v>777</v>
      </c>
      <c r="C206" s="11" t="s">
        <v>18</v>
      </c>
      <c r="D206" s="11" t="s">
        <v>19</v>
      </c>
      <c r="E206" s="11" t="s">
        <v>19</v>
      </c>
      <c r="F206" s="11" t="s">
        <v>778</v>
      </c>
      <c r="G206" s="11" t="s">
        <v>83</v>
      </c>
      <c r="H206" s="11" t="s">
        <v>779</v>
      </c>
      <c r="I206" s="11" t="s">
        <v>780</v>
      </c>
      <c r="J206" s="12">
        <v>0.76800000000000002</v>
      </c>
      <c r="K206" s="13">
        <v>2</v>
      </c>
      <c r="L206" s="14">
        <v>181</v>
      </c>
      <c r="M206" s="10">
        <v>139</v>
      </c>
      <c r="N206" s="10">
        <v>20001</v>
      </c>
      <c r="O206" s="10">
        <v>10900</v>
      </c>
      <c r="P206" s="10">
        <v>30901</v>
      </c>
    </row>
    <row r="207" spans="1:16" ht="27" customHeight="1" x14ac:dyDescent="0.2">
      <c r="A207" s="9" t="s">
        <v>745</v>
      </c>
      <c r="B207" s="10" t="s">
        <v>781</v>
      </c>
      <c r="C207" s="11" t="s">
        <v>18</v>
      </c>
      <c r="D207" s="11" t="s">
        <v>19</v>
      </c>
      <c r="E207" s="11" t="s">
        <v>19</v>
      </c>
      <c r="F207" s="11" t="s">
        <v>782</v>
      </c>
      <c r="G207" s="11" t="s">
        <v>83</v>
      </c>
      <c r="H207" s="11" t="s">
        <v>782</v>
      </c>
      <c r="I207" s="11" t="s">
        <v>783</v>
      </c>
      <c r="J207" s="12">
        <v>0.46429999999999999</v>
      </c>
      <c r="K207" s="13">
        <v>2</v>
      </c>
      <c r="L207" s="14">
        <v>28</v>
      </c>
      <c r="M207" s="10">
        <v>13</v>
      </c>
      <c r="N207" s="10">
        <v>3094</v>
      </c>
      <c r="O207" s="10">
        <v>1019</v>
      </c>
      <c r="P207" s="10">
        <v>4113</v>
      </c>
    </row>
    <row r="208" spans="1:16" ht="27" customHeight="1" x14ac:dyDescent="0.2">
      <c r="A208" s="9" t="s">
        <v>745</v>
      </c>
      <c r="B208" s="10" t="s">
        <v>784</v>
      </c>
      <c r="C208" s="11" t="s">
        <v>18</v>
      </c>
      <c r="D208" s="11" t="s">
        <v>19</v>
      </c>
      <c r="E208" s="11" t="s">
        <v>19</v>
      </c>
      <c r="F208" s="11" t="s">
        <v>785</v>
      </c>
      <c r="G208" s="11" t="s">
        <v>83</v>
      </c>
      <c r="H208" s="11" t="s">
        <v>786</v>
      </c>
      <c r="I208" s="11" t="s">
        <v>787</v>
      </c>
      <c r="J208" s="12">
        <v>0.85599999999999998</v>
      </c>
      <c r="K208" s="13">
        <v>2</v>
      </c>
      <c r="L208" s="14">
        <v>126</v>
      </c>
      <c r="M208" s="10">
        <v>108</v>
      </c>
      <c r="N208" s="10">
        <v>13923</v>
      </c>
      <c r="O208" s="10">
        <v>8469</v>
      </c>
      <c r="P208" s="10">
        <v>22392</v>
      </c>
    </row>
    <row r="209" spans="1:16" ht="27" customHeight="1" x14ac:dyDescent="0.2">
      <c r="A209" s="9" t="s">
        <v>745</v>
      </c>
      <c r="B209" s="10" t="s">
        <v>788</v>
      </c>
      <c r="C209" s="11" t="s">
        <v>18</v>
      </c>
      <c r="D209" s="11" t="s">
        <v>19</v>
      </c>
      <c r="E209" s="11" t="s">
        <v>19</v>
      </c>
      <c r="F209" s="11" t="s">
        <v>789</v>
      </c>
      <c r="G209" s="11" t="s">
        <v>83</v>
      </c>
      <c r="H209" s="11" t="s">
        <v>790</v>
      </c>
      <c r="I209" s="11" t="s">
        <v>791</v>
      </c>
      <c r="J209" s="12">
        <v>0.19919999999999999</v>
      </c>
      <c r="K209" s="13">
        <v>2</v>
      </c>
      <c r="L209" s="14">
        <v>241</v>
      </c>
      <c r="M209" s="10">
        <v>48</v>
      </c>
      <c r="N209" s="10">
        <v>26631</v>
      </c>
      <c r="O209" s="10">
        <v>3764</v>
      </c>
      <c r="P209" s="10">
        <v>30395</v>
      </c>
    </row>
    <row r="210" spans="1:16" ht="27" customHeight="1" x14ac:dyDescent="0.2">
      <c r="A210" s="9" t="s">
        <v>745</v>
      </c>
      <c r="B210" s="10" t="s">
        <v>792</v>
      </c>
      <c r="C210" s="11" t="s">
        <v>18</v>
      </c>
      <c r="D210" s="11" t="s">
        <v>19</v>
      </c>
      <c r="E210" s="11" t="s">
        <v>19</v>
      </c>
      <c r="F210" s="11" t="s">
        <v>793</v>
      </c>
      <c r="G210" s="11" t="s">
        <v>83</v>
      </c>
      <c r="H210" s="11" t="s">
        <v>794</v>
      </c>
      <c r="I210" s="11" t="s">
        <v>795</v>
      </c>
      <c r="J210" s="12">
        <v>0.87080000000000002</v>
      </c>
      <c r="K210" s="13">
        <v>50</v>
      </c>
      <c r="L210" s="14">
        <v>43168</v>
      </c>
      <c r="M210" s="10">
        <v>20764</v>
      </c>
      <c r="N210" s="10">
        <v>4770135</v>
      </c>
      <c r="O210" s="10">
        <v>1628289</v>
      </c>
      <c r="P210" s="10">
        <v>6398424</v>
      </c>
    </row>
    <row r="211" spans="1:16" ht="27" customHeight="1" x14ac:dyDescent="0.2">
      <c r="A211" s="9" t="s">
        <v>745</v>
      </c>
      <c r="B211" s="10" t="s">
        <v>792</v>
      </c>
      <c r="C211" s="11" t="s">
        <v>796</v>
      </c>
      <c r="D211" s="11" t="s">
        <v>797</v>
      </c>
      <c r="E211" s="11" t="s">
        <v>57</v>
      </c>
      <c r="F211" s="11" t="s">
        <v>798</v>
      </c>
      <c r="G211" s="11" t="s">
        <v>28</v>
      </c>
      <c r="H211" s="11" t="s">
        <v>798</v>
      </c>
      <c r="I211" s="11" t="s">
        <v>799</v>
      </c>
      <c r="J211" s="12">
        <v>0.5474</v>
      </c>
      <c r="K211" s="13">
        <v>1</v>
      </c>
      <c r="L211" s="14">
        <v>813</v>
      </c>
      <c r="M211" s="10">
        <v>445</v>
      </c>
      <c r="N211" s="10">
        <v>89838</v>
      </c>
      <c r="O211" s="10">
        <v>34896</v>
      </c>
      <c r="P211" s="10">
        <v>124734</v>
      </c>
    </row>
    <row r="212" spans="1:16" ht="27" customHeight="1" x14ac:dyDescent="0.2">
      <c r="A212" s="9" t="s">
        <v>745</v>
      </c>
      <c r="B212" s="10" t="s">
        <v>800</v>
      </c>
      <c r="C212" s="11" t="s">
        <v>18</v>
      </c>
      <c r="D212" s="11" t="s">
        <v>19</v>
      </c>
      <c r="E212" s="11" t="s">
        <v>19</v>
      </c>
      <c r="F212" s="11" t="s">
        <v>801</v>
      </c>
      <c r="G212" s="11" t="s">
        <v>83</v>
      </c>
      <c r="H212" s="11" t="s">
        <v>802</v>
      </c>
      <c r="I212" s="11" t="s">
        <v>803</v>
      </c>
      <c r="J212" s="12">
        <v>0.93820000000000003</v>
      </c>
      <c r="K212" s="13">
        <v>12</v>
      </c>
      <c r="L212" s="14">
        <v>4514</v>
      </c>
      <c r="M212" s="10">
        <v>3985</v>
      </c>
      <c r="N212" s="10">
        <v>498804</v>
      </c>
      <c r="O212" s="10">
        <v>312501</v>
      </c>
      <c r="P212" s="10">
        <v>811305</v>
      </c>
    </row>
    <row r="213" spans="1:16" ht="27" customHeight="1" x14ac:dyDescent="0.2">
      <c r="A213" s="9" t="s">
        <v>745</v>
      </c>
      <c r="B213" s="10" t="s">
        <v>804</v>
      </c>
      <c r="C213" s="11" t="s">
        <v>18</v>
      </c>
      <c r="D213" s="11" t="s">
        <v>19</v>
      </c>
      <c r="E213" s="11" t="s">
        <v>19</v>
      </c>
      <c r="F213" s="11" t="s">
        <v>805</v>
      </c>
      <c r="G213" s="11" t="s">
        <v>83</v>
      </c>
      <c r="H213" s="11" t="s">
        <v>806</v>
      </c>
      <c r="I213" s="11" t="s">
        <v>807</v>
      </c>
      <c r="J213" s="12">
        <v>0.95140000000000002</v>
      </c>
      <c r="K213" s="13">
        <v>10</v>
      </c>
      <c r="L213" s="14">
        <v>2581</v>
      </c>
      <c r="M213" s="10">
        <v>2188</v>
      </c>
      <c r="N213" s="10">
        <v>285207</v>
      </c>
      <c r="O213" s="10">
        <v>171582</v>
      </c>
      <c r="P213" s="10">
        <v>456789</v>
      </c>
    </row>
    <row r="214" spans="1:16" ht="27" customHeight="1" x14ac:dyDescent="0.2">
      <c r="A214" s="9" t="s">
        <v>745</v>
      </c>
      <c r="B214" s="10" t="s">
        <v>808</v>
      </c>
      <c r="C214" s="11" t="s">
        <v>18</v>
      </c>
      <c r="D214" s="11" t="s">
        <v>19</v>
      </c>
      <c r="E214" s="11" t="s">
        <v>19</v>
      </c>
      <c r="F214" s="11" t="s">
        <v>809</v>
      </c>
      <c r="G214" s="11" t="s">
        <v>83</v>
      </c>
      <c r="H214" s="11" t="s">
        <v>810</v>
      </c>
      <c r="I214" s="11" t="s">
        <v>811</v>
      </c>
      <c r="J214" s="12">
        <v>0.99160000000000004</v>
      </c>
      <c r="K214" s="13">
        <v>101</v>
      </c>
      <c r="L214" s="14">
        <v>71852</v>
      </c>
      <c r="M214" s="10">
        <v>63137</v>
      </c>
      <c r="N214" s="10">
        <v>7939766</v>
      </c>
      <c r="O214" s="10">
        <v>4951139</v>
      </c>
      <c r="P214" s="10">
        <v>12890905</v>
      </c>
    </row>
    <row r="215" spans="1:16" ht="27" customHeight="1" x14ac:dyDescent="0.2">
      <c r="A215" s="9" t="s">
        <v>745</v>
      </c>
      <c r="B215" s="10" t="s">
        <v>808</v>
      </c>
      <c r="C215" s="11" t="s">
        <v>812</v>
      </c>
      <c r="D215" s="11" t="s">
        <v>813</v>
      </c>
      <c r="E215" s="11" t="s">
        <v>26</v>
      </c>
      <c r="F215" s="11" t="s">
        <v>814</v>
      </c>
      <c r="G215" s="11" t="s">
        <v>28</v>
      </c>
      <c r="H215" s="11" t="s">
        <v>814</v>
      </c>
      <c r="I215" s="11" t="s">
        <v>815</v>
      </c>
      <c r="J215" s="12">
        <v>0.76849999999999996</v>
      </c>
      <c r="K215" s="13">
        <v>1</v>
      </c>
      <c r="L215" s="14">
        <v>324</v>
      </c>
      <c r="M215" s="10">
        <v>249</v>
      </c>
      <c r="N215" s="10">
        <v>35803</v>
      </c>
      <c r="O215" s="10">
        <v>19526</v>
      </c>
      <c r="P215" s="10">
        <v>55329</v>
      </c>
    </row>
    <row r="216" spans="1:16" ht="27" customHeight="1" x14ac:dyDescent="0.2">
      <c r="A216" s="9" t="s">
        <v>745</v>
      </c>
      <c r="B216" s="10" t="s">
        <v>808</v>
      </c>
      <c r="C216" s="11" t="s">
        <v>816</v>
      </c>
      <c r="D216" s="11" t="s">
        <v>817</v>
      </c>
      <c r="E216" s="11" t="s">
        <v>26</v>
      </c>
      <c r="F216" s="11" t="s">
        <v>818</v>
      </c>
      <c r="G216" s="11" t="s">
        <v>28</v>
      </c>
      <c r="H216" s="11" t="s">
        <v>818</v>
      </c>
      <c r="I216" s="11" t="s">
        <v>819</v>
      </c>
      <c r="J216" s="12">
        <v>0.7601</v>
      </c>
      <c r="K216" s="13">
        <v>1</v>
      </c>
      <c r="L216" s="14">
        <v>321</v>
      </c>
      <c r="M216" s="10">
        <v>244</v>
      </c>
      <c r="N216" s="10">
        <v>35471</v>
      </c>
      <c r="O216" s="10">
        <v>19134</v>
      </c>
      <c r="P216" s="10">
        <v>54605</v>
      </c>
    </row>
    <row r="217" spans="1:16" ht="27" customHeight="1" x14ac:dyDescent="0.2">
      <c r="A217" s="9" t="s">
        <v>745</v>
      </c>
      <c r="B217" s="10" t="s">
        <v>808</v>
      </c>
      <c r="C217" s="11" t="s">
        <v>820</v>
      </c>
      <c r="D217" s="11" t="s">
        <v>821</v>
      </c>
      <c r="E217" s="11" t="s">
        <v>26</v>
      </c>
      <c r="F217" s="11" t="s">
        <v>822</v>
      </c>
      <c r="G217" s="11" t="s">
        <v>28</v>
      </c>
      <c r="H217" s="11" t="s">
        <v>748</v>
      </c>
      <c r="I217" s="11" t="s">
        <v>749</v>
      </c>
      <c r="J217" s="12">
        <v>1</v>
      </c>
      <c r="K217" s="13">
        <v>1</v>
      </c>
      <c r="L217" s="14">
        <v>491</v>
      </c>
      <c r="M217" s="10">
        <v>101</v>
      </c>
      <c r="N217" s="10">
        <v>54256</v>
      </c>
      <c r="O217" s="10">
        <v>7920</v>
      </c>
      <c r="P217" s="10">
        <v>62176</v>
      </c>
    </row>
    <row r="218" spans="1:16" ht="27" customHeight="1" x14ac:dyDescent="0.2">
      <c r="A218" s="9" t="s">
        <v>745</v>
      </c>
      <c r="B218" s="10" t="s">
        <v>808</v>
      </c>
      <c r="C218" s="11" t="s">
        <v>823</v>
      </c>
      <c r="D218" s="11" t="s">
        <v>824</v>
      </c>
      <c r="E218" s="11" t="s">
        <v>57</v>
      </c>
      <c r="F218" s="11" t="s">
        <v>825</v>
      </c>
      <c r="G218" s="11" t="s">
        <v>28</v>
      </c>
      <c r="H218" s="11" t="s">
        <v>825</v>
      </c>
      <c r="I218" s="11" t="s">
        <v>826</v>
      </c>
      <c r="J218" s="12">
        <v>0.44280000000000003</v>
      </c>
      <c r="K218" s="13">
        <v>1</v>
      </c>
      <c r="L218" s="14">
        <v>341</v>
      </c>
      <c r="M218" s="10">
        <v>151</v>
      </c>
      <c r="N218" s="10">
        <v>37681</v>
      </c>
      <c r="O218" s="10">
        <v>11841</v>
      </c>
      <c r="P218" s="10">
        <v>49522</v>
      </c>
    </row>
    <row r="219" spans="1:16" ht="27" customHeight="1" x14ac:dyDescent="0.2">
      <c r="A219" s="9" t="s">
        <v>745</v>
      </c>
      <c r="B219" s="10" t="s">
        <v>808</v>
      </c>
      <c r="C219" s="11" t="s">
        <v>827</v>
      </c>
      <c r="D219" s="11" t="s">
        <v>828</v>
      </c>
      <c r="E219" s="11" t="s">
        <v>26</v>
      </c>
      <c r="F219" s="11" t="s">
        <v>829</v>
      </c>
      <c r="G219" s="11" t="s">
        <v>28</v>
      </c>
      <c r="H219" s="11" t="s">
        <v>829</v>
      </c>
      <c r="I219" s="11" t="s">
        <v>830</v>
      </c>
      <c r="J219" s="12">
        <v>0.76790000000000003</v>
      </c>
      <c r="K219" s="13">
        <v>1</v>
      </c>
      <c r="L219" s="14">
        <v>293</v>
      </c>
      <c r="M219" s="10">
        <v>225</v>
      </c>
      <c r="N219" s="10">
        <v>32377</v>
      </c>
      <c r="O219" s="10">
        <v>17644</v>
      </c>
      <c r="P219" s="10">
        <v>50021</v>
      </c>
    </row>
    <row r="220" spans="1:16" ht="27" customHeight="1" x14ac:dyDescent="0.2">
      <c r="A220" s="9" t="s">
        <v>745</v>
      </c>
      <c r="B220" s="10" t="s">
        <v>808</v>
      </c>
      <c r="C220" s="11" t="s">
        <v>831</v>
      </c>
      <c r="D220" s="11" t="s">
        <v>832</v>
      </c>
      <c r="E220" s="11" t="s">
        <v>26</v>
      </c>
      <c r="F220" s="11" t="s">
        <v>833</v>
      </c>
      <c r="G220" s="11" t="s">
        <v>28</v>
      </c>
      <c r="H220" s="11" t="s">
        <v>833</v>
      </c>
      <c r="I220" s="11" t="s">
        <v>834</v>
      </c>
      <c r="J220" s="12">
        <v>0.27760000000000001</v>
      </c>
      <c r="K220" s="13">
        <v>1</v>
      </c>
      <c r="L220" s="14">
        <v>335</v>
      </c>
      <c r="M220" s="10">
        <v>93</v>
      </c>
      <c r="N220" s="10">
        <v>37018</v>
      </c>
      <c r="O220" s="10">
        <v>7293</v>
      </c>
      <c r="P220" s="10">
        <v>44311</v>
      </c>
    </row>
    <row r="221" spans="1:16" ht="27" customHeight="1" x14ac:dyDescent="0.2">
      <c r="A221" s="9" t="s">
        <v>745</v>
      </c>
      <c r="B221" s="10" t="s">
        <v>808</v>
      </c>
      <c r="C221" s="11" t="s">
        <v>835</v>
      </c>
      <c r="D221" s="11" t="s">
        <v>836</v>
      </c>
      <c r="E221" s="11" t="s">
        <v>26</v>
      </c>
      <c r="F221" s="11" t="s">
        <v>837</v>
      </c>
      <c r="G221" s="11" t="s">
        <v>28</v>
      </c>
      <c r="H221" s="11" t="s">
        <v>837</v>
      </c>
      <c r="I221" s="11" t="s">
        <v>838</v>
      </c>
      <c r="J221" s="12">
        <v>0.87790000000000001</v>
      </c>
      <c r="K221" s="13">
        <v>1</v>
      </c>
      <c r="L221" s="14">
        <v>262</v>
      </c>
      <c r="M221" s="10">
        <v>230</v>
      </c>
      <c r="N221" s="10">
        <v>28951</v>
      </c>
      <c r="O221" s="10">
        <v>18036</v>
      </c>
      <c r="P221" s="10">
        <v>46987</v>
      </c>
    </row>
    <row r="222" spans="1:16" ht="27" customHeight="1" x14ac:dyDescent="0.2">
      <c r="A222" s="9" t="s">
        <v>745</v>
      </c>
      <c r="B222" s="10" t="s">
        <v>808</v>
      </c>
      <c r="C222" s="11" t="s">
        <v>839</v>
      </c>
      <c r="D222" s="11" t="s">
        <v>840</v>
      </c>
      <c r="E222" s="11" t="s">
        <v>26</v>
      </c>
      <c r="F222" s="11" t="s">
        <v>841</v>
      </c>
      <c r="G222" s="11" t="s">
        <v>28</v>
      </c>
      <c r="H222" s="11" t="s">
        <v>748</v>
      </c>
      <c r="I222" s="11" t="s">
        <v>749</v>
      </c>
      <c r="J222" s="12">
        <v>1</v>
      </c>
      <c r="K222" s="13">
        <v>1</v>
      </c>
      <c r="L222" s="14">
        <v>175</v>
      </c>
      <c r="M222" s="10">
        <v>134</v>
      </c>
      <c r="N222" s="10">
        <v>19338</v>
      </c>
      <c r="O222" s="10">
        <v>10508</v>
      </c>
      <c r="P222" s="10">
        <v>29846</v>
      </c>
    </row>
    <row r="223" spans="1:16" ht="27" customHeight="1" x14ac:dyDescent="0.2">
      <c r="A223" s="9" t="s">
        <v>745</v>
      </c>
      <c r="B223" s="10" t="s">
        <v>808</v>
      </c>
      <c r="C223" s="11" t="s">
        <v>842</v>
      </c>
      <c r="D223" s="11" t="s">
        <v>843</v>
      </c>
      <c r="E223" s="11" t="s">
        <v>26</v>
      </c>
      <c r="F223" s="11" t="s">
        <v>844</v>
      </c>
      <c r="G223" s="11" t="s">
        <v>28</v>
      </c>
      <c r="H223" s="11" t="s">
        <v>748</v>
      </c>
      <c r="I223" s="11" t="s">
        <v>749</v>
      </c>
      <c r="J223" s="12">
        <v>1</v>
      </c>
      <c r="K223" s="13">
        <v>1</v>
      </c>
      <c r="L223" s="14">
        <v>188</v>
      </c>
      <c r="M223" s="10">
        <v>158</v>
      </c>
      <c r="N223" s="10">
        <v>20774</v>
      </c>
      <c r="O223" s="10">
        <v>12390</v>
      </c>
      <c r="P223" s="10">
        <v>33164</v>
      </c>
    </row>
    <row r="224" spans="1:16" ht="27" customHeight="1" x14ac:dyDescent="0.2">
      <c r="A224" s="9" t="s">
        <v>745</v>
      </c>
      <c r="B224" s="10" t="s">
        <v>808</v>
      </c>
      <c r="C224" s="11" t="s">
        <v>845</v>
      </c>
      <c r="D224" s="11" t="s">
        <v>846</v>
      </c>
      <c r="E224" s="11" t="s">
        <v>26</v>
      </c>
      <c r="F224" s="11" t="s">
        <v>847</v>
      </c>
      <c r="G224" s="11" t="s">
        <v>28</v>
      </c>
      <c r="H224" s="11" t="s">
        <v>748</v>
      </c>
      <c r="I224" s="11" t="s">
        <v>749</v>
      </c>
      <c r="J224" s="12">
        <v>1</v>
      </c>
      <c r="K224" s="13">
        <v>1</v>
      </c>
      <c r="L224" s="14">
        <v>322</v>
      </c>
      <c r="M224" s="10">
        <v>300</v>
      </c>
      <c r="N224" s="10">
        <v>35582</v>
      </c>
      <c r="O224" s="10">
        <v>23526</v>
      </c>
      <c r="P224" s="10">
        <v>59108</v>
      </c>
    </row>
    <row r="225" spans="1:16" ht="27" customHeight="1" x14ac:dyDescent="0.2">
      <c r="A225" s="9" t="s">
        <v>745</v>
      </c>
      <c r="B225" s="10" t="s">
        <v>848</v>
      </c>
      <c r="C225" s="11" t="s">
        <v>18</v>
      </c>
      <c r="D225" s="11" t="s">
        <v>19</v>
      </c>
      <c r="E225" s="11" t="s">
        <v>19</v>
      </c>
      <c r="F225" s="11" t="s">
        <v>849</v>
      </c>
      <c r="G225" s="11" t="s">
        <v>83</v>
      </c>
      <c r="H225" s="11" t="s">
        <v>850</v>
      </c>
      <c r="I225" s="11" t="s">
        <v>851</v>
      </c>
      <c r="J225" s="12">
        <v>0.85599999999999998</v>
      </c>
      <c r="K225" s="13">
        <v>8</v>
      </c>
      <c r="L225" s="14">
        <v>2188</v>
      </c>
      <c r="M225" s="10">
        <v>1589</v>
      </c>
      <c r="N225" s="10">
        <v>241779</v>
      </c>
      <c r="O225" s="10">
        <v>124608</v>
      </c>
      <c r="P225" s="10">
        <v>366387</v>
      </c>
    </row>
    <row r="226" spans="1:16" ht="27" customHeight="1" x14ac:dyDescent="0.2">
      <c r="A226" s="9" t="s">
        <v>745</v>
      </c>
      <c r="B226" s="10" t="s">
        <v>852</v>
      </c>
      <c r="C226" s="11" t="s">
        <v>18</v>
      </c>
      <c r="D226" s="11" t="s">
        <v>19</v>
      </c>
      <c r="E226" s="11" t="s">
        <v>19</v>
      </c>
      <c r="F226" s="11" t="s">
        <v>853</v>
      </c>
      <c r="G226" s="11" t="s">
        <v>83</v>
      </c>
      <c r="H226" s="11" t="s">
        <v>748</v>
      </c>
      <c r="I226" s="11" t="s">
        <v>749</v>
      </c>
      <c r="J226" s="12">
        <v>1</v>
      </c>
      <c r="K226" s="13">
        <v>4</v>
      </c>
      <c r="L226" s="14">
        <v>1231</v>
      </c>
      <c r="M226" s="10">
        <v>794</v>
      </c>
      <c r="N226" s="10">
        <v>136028</v>
      </c>
      <c r="O226" s="10">
        <v>62264</v>
      </c>
      <c r="P226" s="10">
        <v>198292</v>
      </c>
    </row>
    <row r="227" spans="1:16" ht="27" customHeight="1" x14ac:dyDescent="0.2">
      <c r="A227" s="9" t="s">
        <v>745</v>
      </c>
      <c r="B227" s="10" t="s">
        <v>854</v>
      </c>
      <c r="C227" s="11" t="s">
        <v>18</v>
      </c>
      <c r="D227" s="11" t="s">
        <v>19</v>
      </c>
      <c r="E227" s="11" t="s">
        <v>19</v>
      </c>
      <c r="F227" s="11" t="s">
        <v>855</v>
      </c>
      <c r="G227" s="11" t="s">
        <v>83</v>
      </c>
      <c r="H227" s="11" t="s">
        <v>856</v>
      </c>
      <c r="I227" s="11" t="s">
        <v>857</v>
      </c>
      <c r="J227" s="12">
        <v>0.98570000000000002</v>
      </c>
      <c r="K227" s="13">
        <v>22</v>
      </c>
      <c r="L227" s="14">
        <v>9632</v>
      </c>
      <c r="M227" s="10">
        <v>8491</v>
      </c>
      <c r="N227" s="10">
        <v>1064351</v>
      </c>
      <c r="O227" s="10">
        <v>665856</v>
      </c>
      <c r="P227" s="10">
        <v>1730207</v>
      </c>
    </row>
    <row r="228" spans="1:16" ht="27" customHeight="1" x14ac:dyDescent="0.2">
      <c r="A228" s="9" t="s">
        <v>745</v>
      </c>
      <c r="B228" s="10" t="s">
        <v>854</v>
      </c>
      <c r="C228" s="11" t="s">
        <v>858</v>
      </c>
      <c r="D228" s="11" t="s">
        <v>859</v>
      </c>
      <c r="E228" s="11" t="s">
        <v>57</v>
      </c>
      <c r="F228" s="11" t="s">
        <v>860</v>
      </c>
      <c r="G228" s="11" t="s">
        <v>28</v>
      </c>
      <c r="H228" s="11" t="s">
        <v>860</v>
      </c>
      <c r="I228" s="11" t="s">
        <v>861</v>
      </c>
      <c r="J228" s="12">
        <v>0.86760000000000004</v>
      </c>
      <c r="K228" s="13">
        <v>1</v>
      </c>
      <c r="L228" s="14">
        <v>136</v>
      </c>
      <c r="M228" s="10">
        <v>118</v>
      </c>
      <c r="N228" s="10">
        <v>15028</v>
      </c>
      <c r="O228" s="10">
        <v>9253</v>
      </c>
      <c r="P228" s="10">
        <v>24281</v>
      </c>
    </row>
    <row r="229" spans="1:16" ht="27" customHeight="1" x14ac:dyDescent="0.2">
      <c r="A229" s="9" t="s">
        <v>745</v>
      </c>
      <c r="B229" s="10" t="s">
        <v>854</v>
      </c>
      <c r="C229" s="11" t="s">
        <v>862</v>
      </c>
      <c r="D229" s="11" t="s">
        <v>863</v>
      </c>
      <c r="E229" s="11" t="s">
        <v>57</v>
      </c>
      <c r="F229" s="11" t="s">
        <v>864</v>
      </c>
      <c r="G229" s="11" t="s">
        <v>28</v>
      </c>
      <c r="H229" s="11" t="s">
        <v>748</v>
      </c>
      <c r="I229" s="11" t="s">
        <v>749</v>
      </c>
      <c r="J229" s="12">
        <v>1</v>
      </c>
      <c r="K229" s="13">
        <v>1</v>
      </c>
      <c r="L229" s="14">
        <v>233</v>
      </c>
      <c r="M229" s="10">
        <v>168</v>
      </c>
      <c r="N229" s="10">
        <v>25747</v>
      </c>
      <c r="O229" s="10">
        <v>13174</v>
      </c>
      <c r="P229" s="10">
        <v>38921</v>
      </c>
    </row>
    <row r="230" spans="1:16" ht="27" customHeight="1" x14ac:dyDescent="0.2">
      <c r="A230" s="9" t="s">
        <v>745</v>
      </c>
      <c r="B230" s="10" t="s">
        <v>865</v>
      </c>
      <c r="C230" s="11" t="s">
        <v>18</v>
      </c>
      <c r="D230" s="11" t="s">
        <v>19</v>
      </c>
      <c r="E230" s="11" t="s">
        <v>19</v>
      </c>
      <c r="F230" s="11" t="s">
        <v>866</v>
      </c>
      <c r="G230" s="11" t="s">
        <v>83</v>
      </c>
      <c r="H230" s="11" t="s">
        <v>867</v>
      </c>
      <c r="I230" s="11" t="s">
        <v>868</v>
      </c>
      <c r="J230" s="12">
        <v>0.82930000000000004</v>
      </c>
      <c r="K230" s="13">
        <v>5</v>
      </c>
      <c r="L230" s="14">
        <v>673</v>
      </c>
      <c r="M230" s="10">
        <v>558</v>
      </c>
      <c r="N230" s="10">
        <v>74368</v>
      </c>
      <c r="O230" s="10">
        <v>43759</v>
      </c>
      <c r="P230" s="10">
        <v>118127</v>
      </c>
    </row>
    <row r="231" spans="1:16" ht="27" customHeight="1" x14ac:dyDescent="0.2">
      <c r="A231" s="9" t="s">
        <v>745</v>
      </c>
      <c r="B231" s="10" t="s">
        <v>869</v>
      </c>
      <c r="C231" s="11" t="s">
        <v>18</v>
      </c>
      <c r="D231" s="11" t="s">
        <v>19</v>
      </c>
      <c r="E231" s="11" t="s">
        <v>19</v>
      </c>
      <c r="F231" s="11" t="s">
        <v>870</v>
      </c>
      <c r="G231" s="11" t="s">
        <v>83</v>
      </c>
      <c r="H231" s="11" t="s">
        <v>870</v>
      </c>
      <c r="I231" s="11" t="s">
        <v>871</v>
      </c>
      <c r="J231" s="12">
        <v>0.95269999999999999</v>
      </c>
      <c r="K231" s="13">
        <v>2</v>
      </c>
      <c r="L231" s="14">
        <v>170</v>
      </c>
      <c r="M231" s="10">
        <v>162</v>
      </c>
      <c r="N231" s="10">
        <v>18785</v>
      </c>
      <c r="O231" s="10">
        <v>12704</v>
      </c>
      <c r="P231" s="10">
        <v>31489</v>
      </c>
    </row>
    <row r="232" spans="1:16" ht="27" customHeight="1" x14ac:dyDescent="0.2">
      <c r="A232" s="9" t="s">
        <v>745</v>
      </c>
      <c r="B232" s="10" t="s">
        <v>872</v>
      </c>
      <c r="C232" s="11" t="s">
        <v>18</v>
      </c>
      <c r="D232" s="11" t="s">
        <v>19</v>
      </c>
      <c r="E232" s="11" t="s">
        <v>19</v>
      </c>
      <c r="F232" s="11" t="s">
        <v>873</v>
      </c>
      <c r="G232" s="11" t="s">
        <v>83</v>
      </c>
      <c r="H232" s="11" t="s">
        <v>874</v>
      </c>
      <c r="I232" s="11" t="s">
        <v>875</v>
      </c>
      <c r="J232" s="12">
        <v>0.85040000000000004</v>
      </c>
      <c r="K232" s="13">
        <v>2</v>
      </c>
      <c r="L232" s="14">
        <v>265</v>
      </c>
      <c r="M232" s="10">
        <v>225</v>
      </c>
      <c r="N232" s="10">
        <v>29283</v>
      </c>
      <c r="O232" s="10">
        <v>17644</v>
      </c>
      <c r="P232" s="10">
        <v>46927</v>
      </c>
    </row>
    <row r="233" spans="1:16" ht="27" customHeight="1" x14ac:dyDescent="0.2">
      <c r="A233" s="9" t="s">
        <v>745</v>
      </c>
      <c r="B233" s="10" t="s">
        <v>872</v>
      </c>
      <c r="C233" s="11" t="s">
        <v>876</v>
      </c>
      <c r="D233" s="11" t="s">
        <v>877</v>
      </c>
      <c r="E233" s="11" t="s">
        <v>26</v>
      </c>
      <c r="F233" s="11" t="s">
        <v>878</v>
      </c>
      <c r="G233" s="11" t="s">
        <v>28</v>
      </c>
      <c r="H233" s="11" t="s">
        <v>878</v>
      </c>
      <c r="I233" s="11" t="s">
        <v>879</v>
      </c>
      <c r="J233" s="12">
        <v>0.74490000000000001</v>
      </c>
      <c r="K233" s="13">
        <v>1</v>
      </c>
      <c r="L233" s="14">
        <v>1184</v>
      </c>
      <c r="M233" s="10">
        <v>882</v>
      </c>
      <c r="N233" s="10">
        <v>130834</v>
      </c>
      <c r="O233" s="10">
        <v>69166</v>
      </c>
      <c r="P233" s="10">
        <v>200000</v>
      </c>
    </row>
    <row r="234" spans="1:16" ht="27" customHeight="1" x14ac:dyDescent="0.2">
      <c r="A234" s="9" t="s">
        <v>745</v>
      </c>
      <c r="B234" s="10" t="s">
        <v>880</v>
      </c>
      <c r="C234" s="11" t="s">
        <v>18</v>
      </c>
      <c r="D234" s="11" t="s">
        <v>19</v>
      </c>
      <c r="E234" s="11" t="s">
        <v>19</v>
      </c>
      <c r="F234" s="11" t="s">
        <v>881</v>
      </c>
      <c r="G234" s="11" t="s">
        <v>83</v>
      </c>
      <c r="H234" s="11" t="s">
        <v>881</v>
      </c>
      <c r="I234" s="11" t="s">
        <v>882</v>
      </c>
      <c r="J234" s="12">
        <v>0.90700000000000003</v>
      </c>
      <c r="K234" s="13">
        <v>2</v>
      </c>
      <c r="L234" s="14">
        <v>344</v>
      </c>
      <c r="M234" s="10">
        <v>312</v>
      </c>
      <c r="N234" s="10">
        <v>38013</v>
      </c>
      <c r="O234" s="10">
        <v>24467</v>
      </c>
      <c r="P234" s="10">
        <v>62480</v>
      </c>
    </row>
    <row r="235" spans="1:16" ht="27" customHeight="1" x14ac:dyDescent="0.2">
      <c r="A235" s="9" t="s">
        <v>745</v>
      </c>
      <c r="B235" s="10" t="s">
        <v>883</v>
      </c>
      <c r="C235" s="11" t="s">
        <v>18</v>
      </c>
      <c r="D235" s="11" t="s">
        <v>19</v>
      </c>
      <c r="E235" s="11" t="s">
        <v>19</v>
      </c>
      <c r="F235" s="11" t="s">
        <v>884</v>
      </c>
      <c r="G235" s="11" t="s">
        <v>83</v>
      </c>
      <c r="H235" s="11" t="s">
        <v>885</v>
      </c>
      <c r="I235" s="11" t="s">
        <v>886</v>
      </c>
      <c r="J235" s="12">
        <v>0.98450000000000004</v>
      </c>
      <c r="K235" s="13">
        <v>8</v>
      </c>
      <c r="L235" s="14">
        <v>3384</v>
      </c>
      <c r="M235" s="10">
        <v>3245</v>
      </c>
      <c r="N235" s="10">
        <v>373939</v>
      </c>
      <c r="O235" s="10">
        <v>254470</v>
      </c>
      <c r="P235" s="10">
        <v>628409</v>
      </c>
    </row>
    <row r="236" spans="1:16" ht="27" customHeight="1" x14ac:dyDescent="0.2">
      <c r="A236" s="9" t="s">
        <v>745</v>
      </c>
      <c r="B236" s="10" t="s">
        <v>887</v>
      </c>
      <c r="C236" s="11" t="s">
        <v>18</v>
      </c>
      <c r="D236" s="11" t="s">
        <v>19</v>
      </c>
      <c r="E236" s="11" t="s">
        <v>19</v>
      </c>
      <c r="F236" s="11" t="s">
        <v>888</v>
      </c>
      <c r="G236" s="11" t="s">
        <v>83</v>
      </c>
      <c r="H236" s="11" t="s">
        <v>888</v>
      </c>
      <c r="I236" s="11" t="s">
        <v>889</v>
      </c>
      <c r="J236" s="12">
        <v>0.27539999999999998</v>
      </c>
      <c r="K236" s="13">
        <v>2</v>
      </c>
      <c r="L236" s="14">
        <v>69</v>
      </c>
      <c r="M236" s="10">
        <v>19</v>
      </c>
      <c r="N236" s="10">
        <v>7625</v>
      </c>
      <c r="O236" s="10">
        <v>1490</v>
      </c>
      <c r="P236" s="10">
        <v>9115</v>
      </c>
    </row>
    <row r="237" spans="1:16" ht="27" customHeight="1" x14ac:dyDescent="0.2">
      <c r="A237" s="9" t="s">
        <v>745</v>
      </c>
      <c r="B237" s="10" t="s">
        <v>890</v>
      </c>
      <c r="C237" s="11" t="s">
        <v>18</v>
      </c>
      <c r="D237" s="11" t="s">
        <v>19</v>
      </c>
      <c r="E237" s="11" t="s">
        <v>19</v>
      </c>
      <c r="F237" s="11" t="s">
        <v>891</v>
      </c>
      <c r="G237" s="11" t="s">
        <v>83</v>
      </c>
      <c r="H237" s="11" t="s">
        <v>891</v>
      </c>
      <c r="I237" s="11" t="s">
        <v>892</v>
      </c>
      <c r="J237" s="12">
        <v>0.76470000000000005</v>
      </c>
      <c r="K237" s="13">
        <v>2</v>
      </c>
      <c r="L237" s="14">
        <v>284</v>
      </c>
      <c r="M237" s="10">
        <v>217</v>
      </c>
      <c r="N237" s="10">
        <v>31383</v>
      </c>
      <c r="O237" s="10">
        <v>17017</v>
      </c>
      <c r="P237" s="10">
        <v>48400</v>
      </c>
    </row>
    <row r="238" spans="1:16" ht="27" customHeight="1" x14ac:dyDescent="0.2">
      <c r="A238" s="9" t="s">
        <v>745</v>
      </c>
      <c r="B238" s="10" t="s">
        <v>890</v>
      </c>
      <c r="C238" s="11" t="s">
        <v>893</v>
      </c>
      <c r="D238" s="11" t="s">
        <v>894</v>
      </c>
      <c r="E238" s="11" t="s">
        <v>26</v>
      </c>
      <c r="F238" s="11" t="s">
        <v>895</v>
      </c>
      <c r="G238" s="11" t="s">
        <v>28</v>
      </c>
      <c r="H238" s="11" t="s">
        <v>895</v>
      </c>
      <c r="I238" s="11" t="s">
        <v>896</v>
      </c>
      <c r="J238" s="12">
        <v>0.97899999999999998</v>
      </c>
      <c r="K238" s="13">
        <v>1</v>
      </c>
      <c r="L238" s="14">
        <v>238</v>
      </c>
      <c r="M238" s="10">
        <v>233</v>
      </c>
      <c r="N238" s="10">
        <v>26299</v>
      </c>
      <c r="O238" s="10">
        <v>18272</v>
      </c>
      <c r="P238" s="10">
        <v>44571</v>
      </c>
    </row>
    <row r="239" spans="1:16" ht="27" customHeight="1" x14ac:dyDescent="0.2">
      <c r="A239" s="9" t="s">
        <v>745</v>
      </c>
      <c r="B239" s="10" t="s">
        <v>897</v>
      </c>
      <c r="C239" s="11" t="s">
        <v>18</v>
      </c>
      <c r="D239" s="11" t="s">
        <v>19</v>
      </c>
      <c r="E239" s="11" t="s">
        <v>19</v>
      </c>
      <c r="F239" s="11" t="s">
        <v>898</v>
      </c>
      <c r="G239" s="11" t="s">
        <v>83</v>
      </c>
      <c r="H239" s="11" t="s">
        <v>899</v>
      </c>
      <c r="I239" s="11" t="s">
        <v>900</v>
      </c>
      <c r="J239" s="12">
        <v>0.93389999999999995</v>
      </c>
      <c r="K239" s="13">
        <v>19</v>
      </c>
      <c r="L239" s="14">
        <v>12165</v>
      </c>
      <c r="M239" s="10">
        <v>8672</v>
      </c>
      <c r="N239" s="10">
        <v>1344254</v>
      </c>
      <c r="O239" s="10">
        <v>680050</v>
      </c>
      <c r="P239" s="10">
        <v>2024304</v>
      </c>
    </row>
    <row r="240" spans="1:16" ht="27" customHeight="1" x14ac:dyDescent="0.2">
      <c r="A240" s="9" t="s">
        <v>745</v>
      </c>
      <c r="B240" s="10" t="s">
        <v>897</v>
      </c>
      <c r="C240" s="11" t="s">
        <v>901</v>
      </c>
      <c r="D240" s="11" t="s">
        <v>902</v>
      </c>
      <c r="E240" s="11" t="s">
        <v>57</v>
      </c>
      <c r="F240" s="11" t="s">
        <v>903</v>
      </c>
      <c r="G240" s="11" t="s">
        <v>28</v>
      </c>
      <c r="H240" s="11" t="s">
        <v>903</v>
      </c>
      <c r="I240" s="11" t="s">
        <v>904</v>
      </c>
      <c r="J240" s="12">
        <v>0.31209999999999999</v>
      </c>
      <c r="K240" s="13">
        <v>1</v>
      </c>
      <c r="L240" s="14">
        <v>596</v>
      </c>
      <c r="M240" s="10">
        <v>186</v>
      </c>
      <c r="N240" s="10">
        <v>65859</v>
      </c>
      <c r="O240" s="10">
        <v>14586</v>
      </c>
      <c r="P240" s="10">
        <v>80445</v>
      </c>
    </row>
    <row r="241" spans="1:16" ht="27" customHeight="1" x14ac:dyDescent="0.2">
      <c r="A241" s="9" t="s">
        <v>745</v>
      </c>
      <c r="B241" s="10" t="s">
        <v>897</v>
      </c>
      <c r="C241" s="11" t="s">
        <v>905</v>
      </c>
      <c r="D241" s="11" t="s">
        <v>906</v>
      </c>
      <c r="E241" s="11" t="s">
        <v>57</v>
      </c>
      <c r="F241" s="11" t="s">
        <v>907</v>
      </c>
      <c r="G241" s="11" t="s">
        <v>28</v>
      </c>
      <c r="H241" s="11" t="s">
        <v>907</v>
      </c>
      <c r="I241" s="11" t="s">
        <v>908</v>
      </c>
      <c r="J241" s="12">
        <v>0.65380000000000005</v>
      </c>
      <c r="K241" s="13">
        <v>1</v>
      </c>
      <c r="L241" s="14">
        <v>624</v>
      </c>
      <c r="M241" s="10">
        <v>408</v>
      </c>
      <c r="N241" s="10">
        <v>68953</v>
      </c>
      <c r="O241" s="10">
        <v>31995</v>
      </c>
      <c r="P241" s="10">
        <v>100948</v>
      </c>
    </row>
    <row r="242" spans="1:16" ht="27" customHeight="1" x14ac:dyDescent="0.2">
      <c r="A242" s="9" t="s">
        <v>745</v>
      </c>
      <c r="B242" s="10" t="s">
        <v>909</v>
      </c>
      <c r="C242" s="11" t="s">
        <v>18</v>
      </c>
      <c r="D242" s="11" t="s">
        <v>19</v>
      </c>
      <c r="E242" s="11" t="s">
        <v>19</v>
      </c>
      <c r="F242" s="11" t="s">
        <v>910</v>
      </c>
      <c r="G242" s="11" t="s">
        <v>83</v>
      </c>
      <c r="H242" s="11" t="s">
        <v>911</v>
      </c>
      <c r="I242" s="11" t="s">
        <v>912</v>
      </c>
      <c r="J242" s="12">
        <v>0.96919999999999995</v>
      </c>
      <c r="K242" s="13">
        <v>13</v>
      </c>
      <c r="L242" s="14">
        <v>5970</v>
      </c>
      <c r="M242" s="10">
        <v>5377</v>
      </c>
      <c r="N242" s="10">
        <v>659695</v>
      </c>
      <c r="O242" s="10">
        <v>421659</v>
      </c>
      <c r="P242" s="10">
        <v>1081354</v>
      </c>
    </row>
    <row r="243" spans="1:16" ht="27" customHeight="1" x14ac:dyDescent="0.2">
      <c r="A243" s="9" t="s">
        <v>745</v>
      </c>
      <c r="B243" s="10" t="s">
        <v>913</v>
      </c>
      <c r="C243" s="11" t="s">
        <v>18</v>
      </c>
      <c r="D243" s="11" t="s">
        <v>19</v>
      </c>
      <c r="E243" s="11" t="s">
        <v>19</v>
      </c>
      <c r="F243" s="11" t="s">
        <v>914</v>
      </c>
      <c r="G243" s="11" t="s">
        <v>83</v>
      </c>
      <c r="H243" s="11" t="s">
        <v>914</v>
      </c>
      <c r="I243" s="11" t="s">
        <v>915</v>
      </c>
      <c r="J243" s="12">
        <v>0.8196</v>
      </c>
      <c r="K243" s="13">
        <v>2</v>
      </c>
      <c r="L243" s="14">
        <v>476</v>
      </c>
      <c r="M243" s="10">
        <v>390</v>
      </c>
      <c r="N243" s="10">
        <v>52599</v>
      </c>
      <c r="O243" s="10">
        <v>30583</v>
      </c>
      <c r="P243" s="10">
        <v>83182</v>
      </c>
    </row>
    <row r="244" spans="1:16" ht="27" customHeight="1" x14ac:dyDescent="0.2">
      <c r="A244" s="9" t="s">
        <v>745</v>
      </c>
      <c r="B244" s="10" t="s">
        <v>916</v>
      </c>
      <c r="C244" s="11" t="s">
        <v>18</v>
      </c>
      <c r="D244" s="11" t="s">
        <v>19</v>
      </c>
      <c r="E244" s="11" t="s">
        <v>19</v>
      </c>
      <c r="F244" s="11" t="s">
        <v>917</v>
      </c>
      <c r="G244" s="11" t="s">
        <v>83</v>
      </c>
      <c r="H244" s="11" t="s">
        <v>917</v>
      </c>
      <c r="I244" s="11" t="s">
        <v>918</v>
      </c>
      <c r="J244" s="12">
        <v>0.71009999999999995</v>
      </c>
      <c r="K244" s="13">
        <v>2</v>
      </c>
      <c r="L244" s="14">
        <v>331</v>
      </c>
      <c r="M244" s="10">
        <v>235</v>
      </c>
      <c r="N244" s="10">
        <v>36577</v>
      </c>
      <c r="O244" s="10">
        <v>18429</v>
      </c>
      <c r="P244" s="10">
        <v>55006</v>
      </c>
    </row>
    <row r="245" spans="1:16" ht="27" customHeight="1" x14ac:dyDescent="0.2">
      <c r="A245" s="9" t="s">
        <v>745</v>
      </c>
      <c r="B245" s="10" t="s">
        <v>916</v>
      </c>
      <c r="C245" s="11" t="s">
        <v>919</v>
      </c>
      <c r="D245" s="11" t="s">
        <v>920</v>
      </c>
      <c r="E245" s="11" t="s">
        <v>57</v>
      </c>
      <c r="F245" s="11" t="s">
        <v>921</v>
      </c>
      <c r="G245" s="11" t="s">
        <v>28</v>
      </c>
      <c r="H245" s="11" t="s">
        <v>921</v>
      </c>
      <c r="I245" s="11" t="s">
        <v>922</v>
      </c>
      <c r="J245" s="12">
        <v>0.73040000000000005</v>
      </c>
      <c r="K245" s="13">
        <v>1</v>
      </c>
      <c r="L245" s="14">
        <v>204</v>
      </c>
      <c r="M245" s="10">
        <v>149</v>
      </c>
      <c r="N245" s="10">
        <v>22542</v>
      </c>
      <c r="O245" s="10">
        <v>11684</v>
      </c>
      <c r="P245" s="10">
        <v>34226</v>
      </c>
    </row>
    <row r="246" spans="1:16" ht="27" customHeight="1" x14ac:dyDescent="0.2">
      <c r="A246" s="9" t="s">
        <v>745</v>
      </c>
      <c r="B246" s="10" t="s">
        <v>923</v>
      </c>
      <c r="C246" s="11" t="s">
        <v>18</v>
      </c>
      <c r="D246" s="11" t="s">
        <v>19</v>
      </c>
      <c r="E246" s="11" t="s">
        <v>19</v>
      </c>
      <c r="F246" s="11" t="s">
        <v>924</v>
      </c>
      <c r="G246" s="11" t="s">
        <v>83</v>
      </c>
      <c r="H246" s="11" t="s">
        <v>924</v>
      </c>
      <c r="I246" s="11" t="s">
        <v>925</v>
      </c>
      <c r="J246" s="12">
        <v>0.98529999999999995</v>
      </c>
      <c r="K246" s="13">
        <v>2</v>
      </c>
      <c r="L246" s="14">
        <v>153</v>
      </c>
      <c r="M246" s="10">
        <v>151</v>
      </c>
      <c r="N246" s="10">
        <v>16907</v>
      </c>
      <c r="O246" s="10">
        <v>11841</v>
      </c>
      <c r="P246" s="10">
        <v>28748</v>
      </c>
    </row>
    <row r="247" spans="1:16" ht="27" customHeight="1" x14ac:dyDescent="0.2">
      <c r="A247" s="9" t="s">
        <v>745</v>
      </c>
      <c r="B247" s="10" t="s">
        <v>923</v>
      </c>
      <c r="C247" s="11" t="s">
        <v>926</v>
      </c>
      <c r="D247" s="11" t="s">
        <v>927</v>
      </c>
      <c r="E247" s="11" t="s">
        <v>26</v>
      </c>
      <c r="F247" s="11" t="s">
        <v>928</v>
      </c>
      <c r="G247" s="11" t="s">
        <v>28</v>
      </c>
      <c r="H247" s="11" t="s">
        <v>928</v>
      </c>
      <c r="I247" s="11" t="s">
        <v>929</v>
      </c>
      <c r="J247" s="12">
        <v>0.47789999999999999</v>
      </c>
      <c r="K247" s="13">
        <v>1</v>
      </c>
      <c r="L247" s="14">
        <v>2551</v>
      </c>
      <c r="M247" s="10">
        <v>1219</v>
      </c>
      <c r="N247" s="10">
        <v>281890</v>
      </c>
      <c r="O247" s="10">
        <v>95593</v>
      </c>
      <c r="P247" s="10">
        <v>377483</v>
      </c>
    </row>
    <row r="248" spans="1:16" ht="27" customHeight="1" x14ac:dyDescent="0.2">
      <c r="A248" s="9" t="s">
        <v>745</v>
      </c>
      <c r="B248" s="10" t="s">
        <v>923</v>
      </c>
      <c r="C248" s="11" t="s">
        <v>930</v>
      </c>
      <c r="D248" s="11" t="s">
        <v>931</v>
      </c>
      <c r="E248" s="11" t="s">
        <v>26</v>
      </c>
      <c r="F248" s="11" t="s">
        <v>932</v>
      </c>
      <c r="G248" s="11" t="s">
        <v>28</v>
      </c>
      <c r="H248" s="11" t="s">
        <v>932</v>
      </c>
      <c r="I248" s="11" t="s">
        <v>933</v>
      </c>
      <c r="J248" s="12">
        <v>0.87280000000000002</v>
      </c>
      <c r="K248" s="13">
        <v>1</v>
      </c>
      <c r="L248" s="14">
        <v>1203</v>
      </c>
      <c r="M248" s="10">
        <v>1050</v>
      </c>
      <c r="N248" s="10">
        <v>132933</v>
      </c>
      <c r="O248" s="10">
        <v>82340</v>
      </c>
      <c r="P248" s="10">
        <v>215273</v>
      </c>
    </row>
    <row r="249" spans="1:16" ht="27" customHeight="1" x14ac:dyDescent="0.2">
      <c r="A249" s="9" t="s">
        <v>745</v>
      </c>
      <c r="B249" s="10" t="s">
        <v>934</v>
      </c>
      <c r="C249" s="11" t="s">
        <v>18</v>
      </c>
      <c r="D249" s="11" t="s">
        <v>19</v>
      </c>
      <c r="E249" s="11" t="s">
        <v>19</v>
      </c>
      <c r="F249" s="11" t="s">
        <v>935</v>
      </c>
      <c r="G249" s="11" t="s">
        <v>83</v>
      </c>
      <c r="H249" s="11" t="s">
        <v>936</v>
      </c>
      <c r="I249" s="11" t="s">
        <v>937</v>
      </c>
      <c r="J249" s="12">
        <v>0.94120000000000004</v>
      </c>
      <c r="K249" s="13">
        <v>7</v>
      </c>
      <c r="L249" s="14">
        <v>2297</v>
      </c>
      <c r="M249" s="10">
        <v>2059</v>
      </c>
      <c r="N249" s="10">
        <v>253823</v>
      </c>
      <c r="O249" s="10">
        <v>161464</v>
      </c>
      <c r="P249" s="10">
        <v>415287</v>
      </c>
    </row>
    <row r="250" spans="1:16" ht="27" customHeight="1" x14ac:dyDescent="0.2">
      <c r="A250" s="9" t="s">
        <v>745</v>
      </c>
      <c r="B250" s="10" t="s">
        <v>938</v>
      </c>
      <c r="C250" s="11" t="s">
        <v>18</v>
      </c>
      <c r="D250" s="11" t="s">
        <v>19</v>
      </c>
      <c r="E250" s="11" t="s">
        <v>19</v>
      </c>
      <c r="F250" s="11" t="s">
        <v>939</v>
      </c>
      <c r="G250" s="11" t="s">
        <v>83</v>
      </c>
      <c r="H250" s="11" t="s">
        <v>940</v>
      </c>
      <c r="I250" s="11" t="s">
        <v>941</v>
      </c>
      <c r="J250" s="12">
        <v>0.94199999999999995</v>
      </c>
      <c r="K250" s="13">
        <v>26</v>
      </c>
      <c r="L250" s="14">
        <v>15996</v>
      </c>
      <c r="M250" s="10">
        <v>12756</v>
      </c>
      <c r="N250" s="10">
        <v>1767586</v>
      </c>
      <c r="O250" s="10">
        <v>1000311</v>
      </c>
      <c r="P250" s="10">
        <v>2767897</v>
      </c>
    </row>
    <row r="251" spans="1:16" ht="27" customHeight="1" x14ac:dyDescent="0.2">
      <c r="A251" s="9" t="s">
        <v>745</v>
      </c>
      <c r="B251" s="10" t="s">
        <v>942</v>
      </c>
      <c r="C251" s="11" t="s">
        <v>18</v>
      </c>
      <c r="D251" s="11" t="s">
        <v>19</v>
      </c>
      <c r="E251" s="11" t="s">
        <v>19</v>
      </c>
      <c r="F251" s="11" t="s">
        <v>943</v>
      </c>
      <c r="G251" s="11" t="s">
        <v>83</v>
      </c>
      <c r="H251" s="11" t="s">
        <v>944</v>
      </c>
      <c r="I251" s="11" t="s">
        <v>945</v>
      </c>
      <c r="J251" s="12">
        <v>0.86240000000000006</v>
      </c>
      <c r="K251" s="13">
        <v>9</v>
      </c>
      <c r="L251" s="14">
        <v>5478</v>
      </c>
      <c r="M251" s="10">
        <v>4519</v>
      </c>
      <c r="N251" s="10">
        <v>605327</v>
      </c>
      <c r="O251" s="10">
        <v>354375</v>
      </c>
      <c r="P251" s="10">
        <v>959702</v>
      </c>
    </row>
    <row r="252" spans="1:16" ht="27" customHeight="1" x14ac:dyDescent="0.2">
      <c r="A252" s="9" t="s">
        <v>745</v>
      </c>
      <c r="B252" s="10" t="s">
        <v>946</v>
      </c>
      <c r="C252" s="11" t="s">
        <v>18</v>
      </c>
      <c r="D252" s="11" t="s">
        <v>19</v>
      </c>
      <c r="E252" s="11" t="s">
        <v>19</v>
      </c>
      <c r="F252" s="11" t="s">
        <v>947</v>
      </c>
      <c r="G252" s="11" t="s">
        <v>83</v>
      </c>
      <c r="H252" s="11" t="s">
        <v>948</v>
      </c>
      <c r="I252" s="11" t="s">
        <v>949</v>
      </c>
      <c r="J252" s="12">
        <v>0.97850000000000004</v>
      </c>
      <c r="K252" s="13">
        <v>8</v>
      </c>
      <c r="L252" s="14">
        <v>4023</v>
      </c>
      <c r="M252" s="10">
        <v>3937</v>
      </c>
      <c r="N252" s="10">
        <v>444549</v>
      </c>
      <c r="O252" s="10">
        <v>308734</v>
      </c>
      <c r="P252" s="10">
        <v>753283</v>
      </c>
    </row>
    <row r="253" spans="1:16" ht="27" customHeight="1" x14ac:dyDescent="0.2">
      <c r="A253" s="9" t="s">
        <v>745</v>
      </c>
      <c r="B253" s="10" t="s">
        <v>950</v>
      </c>
      <c r="C253" s="11" t="s">
        <v>18</v>
      </c>
      <c r="D253" s="11" t="s">
        <v>19</v>
      </c>
      <c r="E253" s="11" t="s">
        <v>19</v>
      </c>
      <c r="F253" s="11" t="s">
        <v>951</v>
      </c>
      <c r="G253" s="11" t="s">
        <v>83</v>
      </c>
      <c r="H253" s="11" t="s">
        <v>748</v>
      </c>
      <c r="I253" s="11" t="s">
        <v>749</v>
      </c>
      <c r="J253" s="12">
        <v>1</v>
      </c>
      <c r="K253" s="13">
        <v>7</v>
      </c>
      <c r="L253" s="14">
        <v>1391</v>
      </c>
      <c r="M253" s="10">
        <v>1270</v>
      </c>
      <c r="N253" s="10">
        <v>153708</v>
      </c>
      <c r="O253" s="10">
        <v>99593</v>
      </c>
      <c r="P253" s="10">
        <v>253301</v>
      </c>
    </row>
    <row r="254" spans="1:16" ht="27" customHeight="1" x14ac:dyDescent="0.2">
      <c r="A254" s="9" t="s">
        <v>745</v>
      </c>
      <c r="B254" s="10" t="s">
        <v>952</v>
      </c>
      <c r="C254" s="11" t="s">
        <v>18</v>
      </c>
      <c r="D254" s="11" t="s">
        <v>19</v>
      </c>
      <c r="E254" s="11" t="s">
        <v>19</v>
      </c>
      <c r="F254" s="11" t="s">
        <v>953</v>
      </c>
      <c r="G254" s="11" t="s">
        <v>83</v>
      </c>
      <c r="H254" s="11" t="s">
        <v>954</v>
      </c>
      <c r="I254" s="11" t="s">
        <v>955</v>
      </c>
      <c r="J254" s="12">
        <v>0.46970000000000001</v>
      </c>
      <c r="K254" s="13">
        <v>7</v>
      </c>
      <c r="L254" s="14">
        <v>1325</v>
      </c>
      <c r="M254" s="10">
        <v>557</v>
      </c>
      <c r="N254" s="10">
        <v>146415</v>
      </c>
      <c r="O254" s="10">
        <v>43679</v>
      </c>
      <c r="P254" s="10">
        <v>190094</v>
      </c>
    </row>
    <row r="255" spans="1:16" ht="27" customHeight="1" x14ac:dyDescent="0.2">
      <c r="A255" s="9" t="s">
        <v>745</v>
      </c>
      <c r="B255" s="10" t="s">
        <v>956</v>
      </c>
      <c r="C255" s="11" t="s">
        <v>18</v>
      </c>
      <c r="D255" s="11" t="s">
        <v>19</v>
      </c>
      <c r="E255" s="11" t="s">
        <v>19</v>
      </c>
      <c r="F255" s="11" t="s">
        <v>957</v>
      </c>
      <c r="G255" s="11" t="s">
        <v>83</v>
      </c>
      <c r="H255" s="11" t="s">
        <v>958</v>
      </c>
      <c r="I255" s="11" t="s">
        <v>959</v>
      </c>
      <c r="J255" s="12">
        <v>0.89410000000000001</v>
      </c>
      <c r="K255" s="13">
        <v>6</v>
      </c>
      <c r="L255" s="14">
        <v>1547</v>
      </c>
      <c r="M255" s="10">
        <v>1342</v>
      </c>
      <c r="N255" s="10">
        <v>170946</v>
      </c>
      <c r="O255" s="10">
        <v>105237</v>
      </c>
      <c r="P255" s="10">
        <v>276183</v>
      </c>
    </row>
    <row r="256" spans="1:16" ht="27" customHeight="1" x14ac:dyDescent="0.2">
      <c r="A256" s="9" t="s">
        <v>745</v>
      </c>
      <c r="B256" s="10" t="s">
        <v>960</v>
      </c>
      <c r="C256" s="11" t="s">
        <v>18</v>
      </c>
      <c r="D256" s="11" t="s">
        <v>19</v>
      </c>
      <c r="E256" s="11" t="s">
        <v>19</v>
      </c>
      <c r="F256" s="11" t="s">
        <v>961</v>
      </c>
      <c r="G256" s="11" t="s">
        <v>83</v>
      </c>
      <c r="H256" s="11" t="s">
        <v>962</v>
      </c>
      <c r="I256" s="11" t="s">
        <v>963</v>
      </c>
      <c r="J256" s="12">
        <v>0.87309999999999999</v>
      </c>
      <c r="K256" s="13">
        <v>4</v>
      </c>
      <c r="L256" s="14">
        <v>1616</v>
      </c>
      <c r="M256" s="10">
        <v>1429</v>
      </c>
      <c r="N256" s="10">
        <v>178572</v>
      </c>
      <c r="O256" s="10">
        <v>112061</v>
      </c>
      <c r="P256" s="10">
        <v>290633</v>
      </c>
    </row>
    <row r="257" spans="1:16" ht="27" customHeight="1" x14ac:dyDescent="0.2">
      <c r="A257" s="9" t="s">
        <v>745</v>
      </c>
      <c r="B257" s="10" t="s">
        <v>964</v>
      </c>
      <c r="C257" s="11" t="s">
        <v>18</v>
      </c>
      <c r="D257" s="11" t="s">
        <v>19</v>
      </c>
      <c r="E257" s="11" t="s">
        <v>19</v>
      </c>
      <c r="F257" s="11" t="s">
        <v>965</v>
      </c>
      <c r="G257" s="11" t="s">
        <v>83</v>
      </c>
      <c r="H257" s="11" t="s">
        <v>966</v>
      </c>
      <c r="I257" s="11" t="s">
        <v>967</v>
      </c>
      <c r="J257" s="12">
        <v>0.96409999999999996</v>
      </c>
      <c r="K257" s="13">
        <v>8</v>
      </c>
      <c r="L257" s="14">
        <v>2617</v>
      </c>
      <c r="M257" s="10">
        <v>2241</v>
      </c>
      <c r="N257" s="10">
        <v>289183</v>
      </c>
      <c r="O257" s="10">
        <v>175736</v>
      </c>
      <c r="P257" s="10">
        <v>464919</v>
      </c>
    </row>
    <row r="258" spans="1:16" ht="27" customHeight="1" x14ac:dyDescent="0.2">
      <c r="A258" s="9" t="s">
        <v>745</v>
      </c>
      <c r="B258" s="10" t="s">
        <v>964</v>
      </c>
      <c r="C258" s="11" t="s">
        <v>968</v>
      </c>
      <c r="D258" s="11" t="s">
        <v>969</v>
      </c>
      <c r="E258" s="11" t="s">
        <v>26</v>
      </c>
      <c r="F258" s="11" t="s">
        <v>970</v>
      </c>
      <c r="G258" s="11" t="s">
        <v>28</v>
      </c>
      <c r="H258" s="11" t="s">
        <v>970</v>
      </c>
      <c r="I258" s="11" t="s">
        <v>971</v>
      </c>
      <c r="J258" s="12">
        <v>0.98750000000000004</v>
      </c>
      <c r="K258" s="13">
        <v>1</v>
      </c>
      <c r="L258" s="14">
        <v>319</v>
      </c>
      <c r="M258" s="10">
        <v>315</v>
      </c>
      <c r="N258" s="10">
        <v>35250</v>
      </c>
      <c r="O258" s="10">
        <v>24702</v>
      </c>
      <c r="P258" s="10">
        <v>59952</v>
      </c>
    </row>
    <row r="259" spans="1:16" ht="27" customHeight="1" x14ac:dyDescent="0.2">
      <c r="A259" s="9" t="s">
        <v>972</v>
      </c>
      <c r="B259" s="10" t="s">
        <v>973</v>
      </c>
      <c r="C259" s="11" t="s">
        <v>18</v>
      </c>
      <c r="D259" s="11" t="s">
        <v>19</v>
      </c>
      <c r="E259" s="11" t="s">
        <v>19</v>
      </c>
      <c r="F259" s="11" t="s">
        <v>974</v>
      </c>
      <c r="G259" s="11" t="s">
        <v>21</v>
      </c>
      <c r="H259" s="11" t="s">
        <v>975</v>
      </c>
      <c r="I259" s="11" t="s">
        <v>976</v>
      </c>
      <c r="J259" s="12">
        <v>0.92169999999999996</v>
      </c>
      <c r="K259" s="13">
        <v>2</v>
      </c>
      <c r="L259" s="14">
        <v>209</v>
      </c>
      <c r="M259" s="10">
        <v>179</v>
      </c>
      <c r="N259" s="10">
        <v>23095</v>
      </c>
      <c r="O259" s="10">
        <v>14037</v>
      </c>
      <c r="P259" s="10">
        <v>37132</v>
      </c>
    </row>
    <row r="260" spans="1:16" ht="27" customHeight="1" x14ac:dyDescent="0.2">
      <c r="A260" s="9" t="s">
        <v>972</v>
      </c>
      <c r="B260" s="10" t="s">
        <v>973</v>
      </c>
      <c r="C260" s="11" t="s">
        <v>977</v>
      </c>
      <c r="D260" s="11" t="s">
        <v>978</v>
      </c>
      <c r="E260" s="11" t="s">
        <v>26</v>
      </c>
      <c r="F260" s="11" t="s">
        <v>979</v>
      </c>
      <c r="G260" s="11" t="s">
        <v>28</v>
      </c>
      <c r="H260" s="11" t="s">
        <v>979</v>
      </c>
      <c r="I260" s="11" t="s">
        <v>980</v>
      </c>
      <c r="J260" s="12">
        <v>0.55730000000000002</v>
      </c>
      <c r="K260" s="13">
        <v>1</v>
      </c>
      <c r="L260" s="14">
        <v>192</v>
      </c>
      <c r="M260" s="10">
        <v>107</v>
      </c>
      <c r="N260" s="10">
        <v>21216</v>
      </c>
      <c r="O260" s="10">
        <v>8391</v>
      </c>
      <c r="P260" s="10">
        <v>29607</v>
      </c>
    </row>
    <row r="261" spans="1:16" ht="27" customHeight="1" x14ac:dyDescent="0.2">
      <c r="A261" s="9" t="s">
        <v>972</v>
      </c>
      <c r="B261" s="10" t="s">
        <v>973</v>
      </c>
      <c r="C261" s="11" t="s">
        <v>981</v>
      </c>
      <c r="D261" s="11" t="s">
        <v>982</v>
      </c>
      <c r="E261" s="11" t="s">
        <v>57</v>
      </c>
      <c r="F261" s="11" t="s">
        <v>983</v>
      </c>
      <c r="G261" s="11" t="s">
        <v>28</v>
      </c>
      <c r="H261" s="11" t="s">
        <v>975</v>
      </c>
      <c r="I261" s="11" t="s">
        <v>976</v>
      </c>
      <c r="J261" s="12">
        <v>0.92169999999999996</v>
      </c>
      <c r="K261" s="13">
        <v>1</v>
      </c>
      <c r="L261" s="14">
        <v>91</v>
      </c>
      <c r="M261" s="10">
        <v>24</v>
      </c>
      <c r="N261" s="10">
        <v>10056</v>
      </c>
      <c r="O261" s="10">
        <v>1882</v>
      </c>
      <c r="P261" s="10">
        <v>11938</v>
      </c>
    </row>
    <row r="262" spans="1:16" ht="27" customHeight="1" x14ac:dyDescent="0.2">
      <c r="A262" s="9" t="s">
        <v>972</v>
      </c>
      <c r="B262" s="10" t="s">
        <v>973</v>
      </c>
      <c r="C262" s="11" t="s">
        <v>984</v>
      </c>
      <c r="D262" s="11" t="s">
        <v>985</v>
      </c>
      <c r="E262" s="11" t="s">
        <v>57</v>
      </c>
      <c r="F262" s="11" t="s">
        <v>986</v>
      </c>
      <c r="G262" s="11" t="s">
        <v>28</v>
      </c>
      <c r="H262" s="11" t="s">
        <v>975</v>
      </c>
      <c r="I262" s="11" t="s">
        <v>976</v>
      </c>
      <c r="J262" s="12">
        <v>0.92169999999999996</v>
      </c>
      <c r="K262" s="13">
        <v>1</v>
      </c>
      <c r="L262" s="14">
        <v>153</v>
      </c>
      <c r="M262" s="10">
        <v>107</v>
      </c>
      <c r="N262" s="10">
        <v>16907</v>
      </c>
      <c r="O262" s="10">
        <v>8391</v>
      </c>
      <c r="P262" s="10">
        <v>25298</v>
      </c>
    </row>
    <row r="263" spans="1:16" ht="27" customHeight="1" x14ac:dyDescent="0.2">
      <c r="A263" s="9" t="s">
        <v>972</v>
      </c>
      <c r="B263" s="10" t="s">
        <v>987</v>
      </c>
      <c r="C263" s="11" t="s">
        <v>18</v>
      </c>
      <c r="D263" s="11" t="s">
        <v>19</v>
      </c>
      <c r="E263" s="11" t="s">
        <v>19</v>
      </c>
      <c r="F263" s="11" t="s">
        <v>988</v>
      </c>
      <c r="G263" s="11" t="s">
        <v>83</v>
      </c>
      <c r="H263" s="11" t="s">
        <v>988</v>
      </c>
      <c r="I263" s="11" t="s">
        <v>989</v>
      </c>
      <c r="J263" s="12">
        <v>0.45950000000000002</v>
      </c>
      <c r="K263" s="13">
        <v>2</v>
      </c>
      <c r="L263" s="14">
        <v>185</v>
      </c>
      <c r="M263" s="10">
        <v>85</v>
      </c>
      <c r="N263" s="10">
        <v>20443</v>
      </c>
      <c r="O263" s="10">
        <v>6666</v>
      </c>
      <c r="P263" s="10">
        <v>27109</v>
      </c>
    </row>
    <row r="264" spans="1:16" ht="27" customHeight="1" x14ac:dyDescent="0.2">
      <c r="A264" s="9" t="s">
        <v>972</v>
      </c>
      <c r="B264" s="10" t="s">
        <v>990</v>
      </c>
      <c r="C264" s="11" t="s">
        <v>18</v>
      </c>
      <c r="D264" s="11" t="s">
        <v>19</v>
      </c>
      <c r="E264" s="11" t="s">
        <v>19</v>
      </c>
      <c r="F264" s="11" t="s">
        <v>991</v>
      </c>
      <c r="G264" s="11" t="s">
        <v>83</v>
      </c>
      <c r="H264" s="11" t="s">
        <v>991</v>
      </c>
      <c r="I264" s="11" t="s">
        <v>992</v>
      </c>
      <c r="J264" s="12">
        <v>0.43240000000000001</v>
      </c>
      <c r="K264" s="13">
        <v>2</v>
      </c>
      <c r="L264" s="14">
        <v>185</v>
      </c>
      <c r="M264" s="10">
        <v>80</v>
      </c>
      <c r="N264" s="10">
        <v>20443</v>
      </c>
      <c r="O264" s="10">
        <v>6274</v>
      </c>
      <c r="P264" s="10">
        <v>26717</v>
      </c>
    </row>
    <row r="265" spans="1:16" ht="27" customHeight="1" x14ac:dyDescent="0.2">
      <c r="A265" s="9" t="s">
        <v>972</v>
      </c>
      <c r="B265" s="10" t="s">
        <v>990</v>
      </c>
      <c r="C265" s="11" t="s">
        <v>993</v>
      </c>
      <c r="D265" s="11" t="s">
        <v>994</v>
      </c>
      <c r="E265" s="11" t="s">
        <v>26</v>
      </c>
      <c r="F265" s="11" t="s">
        <v>995</v>
      </c>
      <c r="G265" s="11" t="s">
        <v>28</v>
      </c>
      <c r="H265" s="11" t="s">
        <v>995</v>
      </c>
      <c r="I265" s="11" t="s">
        <v>996</v>
      </c>
      <c r="J265" s="12">
        <v>0.55740000000000001</v>
      </c>
      <c r="K265" s="13">
        <v>1</v>
      </c>
      <c r="L265" s="14">
        <v>723</v>
      </c>
      <c r="M265" s="10">
        <v>403</v>
      </c>
      <c r="N265" s="10">
        <v>79893</v>
      </c>
      <c r="O265" s="10">
        <v>31603</v>
      </c>
      <c r="P265" s="10">
        <v>111496</v>
      </c>
    </row>
    <row r="266" spans="1:16" ht="27" customHeight="1" x14ac:dyDescent="0.2">
      <c r="A266" s="9" t="s">
        <v>972</v>
      </c>
      <c r="B266" s="10" t="s">
        <v>997</v>
      </c>
      <c r="C266" s="11" t="s">
        <v>18</v>
      </c>
      <c r="D266" s="11" t="s">
        <v>19</v>
      </c>
      <c r="E266" s="11" t="s">
        <v>19</v>
      </c>
      <c r="F266" s="11" t="s">
        <v>998</v>
      </c>
      <c r="G266" s="11" t="s">
        <v>83</v>
      </c>
      <c r="H266" s="11" t="s">
        <v>998</v>
      </c>
      <c r="I266" s="11" t="s">
        <v>999</v>
      </c>
      <c r="J266" s="12">
        <v>0.46729999999999999</v>
      </c>
      <c r="K266" s="13">
        <v>2</v>
      </c>
      <c r="L266" s="14">
        <v>199</v>
      </c>
      <c r="M266" s="10">
        <v>93</v>
      </c>
      <c r="N266" s="10">
        <v>21990</v>
      </c>
      <c r="O266" s="10">
        <v>7293</v>
      </c>
      <c r="P266" s="10">
        <v>29283</v>
      </c>
    </row>
    <row r="267" spans="1:16" ht="27" customHeight="1" x14ac:dyDescent="0.2">
      <c r="A267" s="9" t="s">
        <v>972</v>
      </c>
      <c r="B267" s="10" t="s">
        <v>1000</v>
      </c>
      <c r="C267" s="11" t="s">
        <v>18</v>
      </c>
      <c r="D267" s="11" t="s">
        <v>19</v>
      </c>
      <c r="E267" s="11" t="s">
        <v>19</v>
      </c>
      <c r="F267" s="11" t="s">
        <v>1001</v>
      </c>
      <c r="G267" s="11" t="s">
        <v>83</v>
      </c>
      <c r="H267" s="11" t="s">
        <v>1002</v>
      </c>
      <c r="I267" s="11" t="s">
        <v>1003</v>
      </c>
      <c r="J267" s="12">
        <v>0.68120000000000003</v>
      </c>
      <c r="K267" s="13">
        <v>4</v>
      </c>
      <c r="L267" s="14">
        <v>133</v>
      </c>
      <c r="M267" s="10">
        <v>90</v>
      </c>
      <c r="N267" s="10">
        <v>14697</v>
      </c>
      <c r="O267" s="10">
        <v>7058</v>
      </c>
      <c r="P267" s="10">
        <v>21755</v>
      </c>
    </row>
    <row r="268" spans="1:16" ht="27" customHeight="1" x14ac:dyDescent="0.2">
      <c r="A268" s="9" t="s">
        <v>972</v>
      </c>
      <c r="B268" s="10" t="s">
        <v>1004</v>
      </c>
      <c r="C268" s="11" t="s">
        <v>18</v>
      </c>
      <c r="D268" s="11" t="s">
        <v>19</v>
      </c>
      <c r="E268" s="11" t="s">
        <v>19</v>
      </c>
      <c r="F268" s="11" t="s">
        <v>1005</v>
      </c>
      <c r="G268" s="11" t="s">
        <v>83</v>
      </c>
      <c r="H268" s="11" t="s">
        <v>1006</v>
      </c>
      <c r="I268" s="11" t="s">
        <v>1007</v>
      </c>
      <c r="J268" s="12">
        <v>0.64100000000000001</v>
      </c>
      <c r="K268" s="13">
        <v>5</v>
      </c>
      <c r="L268" s="14">
        <v>88</v>
      </c>
      <c r="M268" s="10">
        <v>56</v>
      </c>
      <c r="N268" s="10">
        <v>9725</v>
      </c>
      <c r="O268" s="10">
        <v>4391</v>
      </c>
      <c r="P268" s="10">
        <v>14116</v>
      </c>
    </row>
    <row r="269" spans="1:16" ht="27" customHeight="1" x14ac:dyDescent="0.2">
      <c r="A269" s="9" t="s">
        <v>972</v>
      </c>
      <c r="B269" s="10" t="s">
        <v>1008</v>
      </c>
      <c r="C269" s="11" t="s">
        <v>18</v>
      </c>
      <c r="D269" s="11" t="s">
        <v>19</v>
      </c>
      <c r="E269" s="11" t="s">
        <v>19</v>
      </c>
      <c r="F269" s="11" t="s">
        <v>1009</v>
      </c>
      <c r="G269" s="11" t="s">
        <v>83</v>
      </c>
      <c r="H269" s="11" t="s">
        <v>1010</v>
      </c>
      <c r="I269" s="11" t="s">
        <v>1011</v>
      </c>
      <c r="J269" s="12">
        <v>0.81059999999999999</v>
      </c>
      <c r="K269" s="13">
        <v>5</v>
      </c>
      <c r="L269" s="14">
        <v>1391</v>
      </c>
      <c r="M269" s="10">
        <v>1102</v>
      </c>
      <c r="N269" s="10">
        <v>153708</v>
      </c>
      <c r="O269" s="10">
        <v>86417</v>
      </c>
      <c r="P269" s="10">
        <v>240125</v>
      </c>
    </row>
    <row r="270" spans="1:16" ht="27" customHeight="1" x14ac:dyDescent="0.2">
      <c r="A270" s="9" t="s">
        <v>972</v>
      </c>
      <c r="B270" s="10" t="s">
        <v>1012</v>
      </c>
      <c r="C270" s="11" t="s">
        <v>18</v>
      </c>
      <c r="D270" s="11" t="s">
        <v>19</v>
      </c>
      <c r="E270" s="11" t="s">
        <v>19</v>
      </c>
      <c r="F270" s="11" t="s">
        <v>1013</v>
      </c>
      <c r="G270" s="11" t="s">
        <v>83</v>
      </c>
      <c r="H270" s="11" t="s">
        <v>1014</v>
      </c>
      <c r="I270" s="11" t="s">
        <v>1015</v>
      </c>
      <c r="J270" s="12">
        <v>0.85250000000000004</v>
      </c>
      <c r="K270" s="13">
        <v>7</v>
      </c>
      <c r="L270" s="14">
        <v>2262</v>
      </c>
      <c r="M270" s="10">
        <v>1796</v>
      </c>
      <c r="N270" s="10">
        <v>249955</v>
      </c>
      <c r="O270" s="10">
        <v>140840</v>
      </c>
      <c r="P270" s="10">
        <v>390795</v>
      </c>
    </row>
    <row r="271" spans="1:16" ht="27" customHeight="1" x14ac:dyDescent="0.2">
      <c r="A271" s="9" t="s">
        <v>972</v>
      </c>
      <c r="B271" s="10" t="s">
        <v>1016</v>
      </c>
      <c r="C271" s="11" t="s">
        <v>18</v>
      </c>
      <c r="D271" s="11" t="s">
        <v>19</v>
      </c>
      <c r="E271" s="11" t="s">
        <v>19</v>
      </c>
      <c r="F271" s="11" t="s">
        <v>1017</v>
      </c>
      <c r="G271" s="11" t="s">
        <v>83</v>
      </c>
      <c r="H271" s="11" t="s">
        <v>975</v>
      </c>
      <c r="I271" s="11" t="s">
        <v>976</v>
      </c>
      <c r="J271" s="12">
        <v>0.92169999999999996</v>
      </c>
      <c r="K271" s="13">
        <v>5</v>
      </c>
      <c r="L271" s="14">
        <v>735</v>
      </c>
      <c r="M271" s="10">
        <v>567</v>
      </c>
      <c r="N271" s="10">
        <v>81219</v>
      </c>
      <c r="O271" s="10">
        <v>44463</v>
      </c>
      <c r="P271" s="10">
        <v>125682</v>
      </c>
    </row>
    <row r="272" spans="1:16" ht="27" customHeight="1" x14ac:dyDescent="0.2">
      <c r="A272" s="9" t="s">
        <v>1018</v>
      </c>
      <c r="B272" s="10" t="s">
        <v>1019</v>
      </c>
      <c r="C272" s="11" t="s">
        <v>18</v>
      </c>
      <c r="D272" s="11" t="s">
        <v>19</v>
      </c>
      <c r="E272" s="11" t="s">
        <v>19</v>
      </c>
      <c r="F272" s="11" t="s">
        <v>1020</v>
      </c>
      <c r="G272" s="11" t="s">
        <v>21</v>
      </c>
      <c r="H272" s="11" t="s">
        <v>1021</v>
      </c>
      <c r="I272" s="11" t="s">
        <v>1022</v>
      </c>
      <c r="J272" s="12">
        <v>1</v>
      </c>
      <c r="K272" s="13">
        <v>6</v>
      </c>
      <c r="L272" s="14">
        <v>310</v>
      </c>
      <c r="M272" s="10">
        <v>299</v>
      </c>
      <c r="N272" s="10">
        <v>34257</v>
      </c>
      <c r="O272" s="10">
        <v>23448</v>
      </c>
      <c r="P272" s="10">
        <v>57705</v>
      </c>
    </row>
    <row r="273" spans="1:16" ht="27" customHeight="1" x14ac:dyDescent="0.2">
      <c r="A273" s="9" t="s">
        <v>1018</v>
      </c>
      <c r="B273" s="10" t="s">
        <v>1019</v>
      </c>
      <c r="C273" s="11" t="s">
        <v>1023</v>
      </c>
      <c r="D273" s="11" t="s">
        <v>1024</v>
      </c>
      <c r="E273" s="11" t="s">
        <v>26</v>
      </c>
      <c r="F273" s="11" t="s">
        <v>1025</v>
      </c>
      <c r="G273" s="11" t="s">
        <v>28</v>
      </c>
      <c r="H273" s="11" t="s">
        <v>1025</v>
      </c>
      <c r="I273" s="11" t="s">
        <v>1026</v>
      </c>
      <c r="J273" s="12">
        <v>0.18179999999999999</v>
      </c>
      <c r="K273" s="13">
        <v>1</v>
      </c>
      <c r="L273" s="14">
        <v>154</v>
      </c>
      <c r="M273" s="10">
        <v>28</v>
      </c>
      <c r="N273" s="10">
        <v>17017</v>
      </c>
      <c r="O273" s="10">
        <v>2196</v>
      </c>
      <c r="P273" s="10">
        <v>19213</v>
      </c>
    </row>
    <row r="274" spans="1:16" ht="27" customHeight="1" x14ac:dyDescent="0.2">
      <c r="A274" s="9" t="s">
        <v>1018</v>
      </c>
      <c r="B274" s="10" t="s">
        <v>1019</v>
      </c>
      <c r="C274" s="11" t="s">
        <v>1027</v>
      </c>
      <c r="D274" s="11" t="s">
        <v>1028</v>
      </c>
      <c r="E274" s="11" t="s">
        <v>26</v>
      </c>
      <c r="F274" s="11" t="s">
        <v>1029</v>
      </c>
      <c r="G274" s="11" t="s">
        <v>28</v>
      </c>
      <c r="H274" s="11" t="s">
        <v>1029</v>
      </c>
      <c r="I274" s="11" t="s">
        <v>1030</v>
      </c>
      <c r="J274" s="12">
        <v>0.76380000000000003</v>
      </c>
      <c r="K274" s="13">
        <v>1</v>
      </c>
      <c r="L274" s="14">
        <v>309</v>
      </c>
      <c r="M274" s="10">
        <v>236</v>
      </c>
      <c r="N274" s="10">
        <v>34145</v>
      </c>
      <c r="O274" s="10">
        <v>18507</v>
      </c>
      <c r="P274" s="10">
        <v>52652</v>
      </c>
    </row>
    <row r="275" spans="1:16" ht="27" customHeight="1" x14ac:dyDescent="0.2">
      <c r="A275" s="9" t="s">
        <v>1018</v>
      </c>
      <c r="B275" s="10" t="s">
        <v>1019</v>
      </c>
      <c r="C275" s="11" t="s">
        <v>1031</v>
      </c>
      <c r="D275" s="11" t="s">
        <v>1032</v>
      </c>
      <c r="E275" s="11" t="s">
        <v>26</v>
      </c>
      <c r="F275" s="11" t="s">
        <v>1033</v>
      </c>
      <c r="G275" s="11" t="s">
        <v>28</v>
      </c>
      <c r="H275" s="11" t="s">
        <v>1033</v>
      </c>
      <c r="I275" s="11" t="s">
        <v>1034</v>
      </c>
      <c r="J275" s="12">
        <v>0.59760000000000002</v>
      </c>
      <c r="K275" s="13">
        <v>1</v>
      </c>
      <c r="L275" s="14">
        <v>82</v>
      </c>
      <c r="M275" s="10">
        <v>49</v>
      </c>
      <c r="N275" s="10">
        <v>9061</v>
      </c>
      <c r="O275" s="10">
        <v>3843</v>
      </c>
      <c r="P275" s="10">
        <v>12904</v>
      </c>
    </row>
    <row r="276" spans="1:16" ht="27" customHeight="1" x14ac:dyDescent="0.2">
      <c r="A276" s="9" t="s">
        <v>1018</v>
      </c>
      <c r="B276" s="10" t="s">
        <v>1035</v>
      </c>
      <c r="C276" s="11" t="s">
        <v>18</v>
      </c>
      <c r="D276" s="11" t="s">
        <v>19</v>
      </c>
      <c r="E276" s="11" t="s">
        <v>19</v>
      </c>
      <c r="F276" s="11" t="s">
        <v>1036</v>
      </c>
      <c r="G276" s="11" t="s">
        <v>83</v>
      </c>
      <c r="H276" s="11" t="s">
        <v>1036</v>
      </c>
      <c r="I276" s="11" t="s">
        <v>1037</v>
      </c>
      <c r="J276" s="12">
        <v>0.76339999999999997</v>
      </c>
      <c r="K276" s="13">
        <v>3</v>
      </c>
      <c r="L276" s="14">
        <v>489</v>
      </c>
      <c r="M276" s="10">
        <v>339</v>
      </c>
      <c r="N276" s="10">
        <v>54035</v>
      </c>
      <c r="O276" s="10">
        <v>26584</v>
      </c>
      <c r="P276" s="10">
        <v>80619</v>
      </c>
    </row>
    <row r="277" spans="1:16" ht="27" customHeight="1" x14ac:dyDescent="0.2">
      <c r="A277" s="9" t="s">
        <v>1018</v>
      </c>
      <c r="B277" s="10" t="s">
        <v>1035</v>
      </c>
      <c r="C277" s="11" t="s">
        <v>1038</v>
      </c>
      <c r="D277" s="11" t="s">
        <v>1039</v>
      </c>
      <c r="E277" s="11" t="s">
        <v>26</v>
      </c>
      <c r="F277" s="11" t="s">
        <v>1040</v>
      </c>
      <c r="G277" s="11" t="s">
        <v>28</v>
      </c>
      <c r="H277" s="11" t="s">
        <v>1040</v>
      </c>
      <c r="I277" s="11" t="s">
        <v>1041</v>
      </c>
      <c r="J277" s="12">
        <v>0.4088</v>
      </c>
      <c r="K277" s="13">
        <v>1</v>
      </c>
      <c r="L277" s="14">
        <v>137</v>
      </c>
      <c r="M277" s="10">
        <v>56</v>
      </c>
      <c r="N277" s="10">
        <v>15139</v>
      </c>
      <c r="O277" s="10">
        <v>4391</v>
      </c>
      <c r="P277" s="10">
        <v>19530</v>
      </c>
    </row>
    <row r="278" spans="1:16" ht="27" customHeight="1" x14ac:dyDescent="0.2">
      <c r="A278" s="9" t="s">
        <v>1018</v>
      </c>
      <c r="B278" s="10" t="s">
        <v>1035</v>
      </c>
      <c r="C278" s="11" t="s">
        <v>1042</v>
      </c>
      <c r="D278" s="11" t="s">
        <v>1043</v>
      </c>
      <c r="E278" s="11" t="s">
        <v>26</v>
      </c>
      <c r="F278" s="11" t="s">
        <v>1044</v>
      </c>
      <c r="G278" s="11" t="s">
        <v>28</v>
      </c>
      <c r="H278" s="11" t="s">
        <v>1044</v>
      </c>
      <c r="I278" s="11" t="s">
        <v>1045</v>
      </c>
      <c r="J278" s="12">
        <v>0.41239999999999999</v>
      </c>
      <c r="K278" s="13">
        <v>1</v>
      </c>
      <c r="L278" s="14">
        <v>97</v>
      </c>
      <c r="M278" s="10">
        <v>40</v>
      </c>
      <c r="N278" s="10">
        <v>10719</v>
      </c>
      <c r="O278" s="10">
        <v>3137</v>
      </c>
      <c r="P278" s="10">
        <v>13856</v>
      </c>
    </row>
    <row r="279" spans="1:16" ht="27" customHeight="1" x14ac:dyDescent="0.2">
      <c r="A279" s="9" t="s">
        <v>1018</v>
      </c>
      <c r="B279" s="10" t="s">
        <v>1035</v>
      </c>
      <c r="C279" s="11" t="s">
        <v>1046</v>
      </c>
      <c r="D279" s="11" t="s">
        <v>1047</v>
      </c>
      <c r="E279" s="11" t="s">
        <v>26</v>
      </c>
      <c r="F279" s="11" t="s">
        <v>1048</v>
      </c>
      <c r="G279" s="11" t="s">
        <v>28</v>
      </c>
      <c r="H279" s="11" t="s">
        <v>1048</v>
      </c>
      <c r="I279" s="11" t="s">
        <v>1049</v>
      </c>
      <c r="J279" s="12">
        <v>0.39779999999999999</v>
      </c>
      <c r="K279" s="13">
        <v>1</v>
      </c>
      <c r="L279" s="14">
        <v>181</v>
      </c>
      <c r="M279" s="10">
        <v>72</v>
      </c>
      <c r="N279" s="10">
        <v>20001</v>
      </c>
      <c r="O279" s="10">
        <v>5646</v>
      </c>
      <c r="P279" s="10">
        <v>25647</v>
      </c>
    </row>
    <row r="280" spans="1:16" ht="27" customHeight="1" x14ac:dyDescent="0.2">
      <c r="A280" s="9" t="s">
        <v>1018</v>
      </c>
      <c r="B280" s="10" t="s">
        <v>1035</v>
      </c>
      <c r="C280" s="11" t="s">
        <v>1050</v>
      </c>
      <c r="D280" s="11" t="s">
        <v>1051</v>
      </c>
      <c r="E280" s="11" t="s">
        <v>26</v>
      </c>
      <c r="F280" s="11" t="s">
        <v>1052</v>
      </c>
      <c r="G280" s="11" t="s">
        <v>28</v>
      </c>
      <c r="H280" s="11" t="s">
        <v>1052</v>
      </c>
      <c r="I280" s="11" t="s">
        <v>1053</v>
      </c>
      <c r="J280" s="12">
        <v>0.63439999999999996</v>
      </c>
      <c r="K280" s="13">
        <v>1</v>
      </c>
      <c r="L280" s="14">
        <v>227</v>
      </c>
      <c r="M280" s="10">
        <v>144</v>
      </c>
      <c r="N280" s="10">
        <v>25084</v>
      </c>
      <c r="O280" s="10">
        <v>11292</v>
      </c>
      <c r="P280" s="10">
        <v>36376</v>
      </c>
    </row>
    <row r="281" spans="1:16" ht="27" customHeight="1" x14ac:dyDescent="0.2">
      <c r="A281" s="9" t="s">
        <v>1018</v>
      </c>
      <c r="B281" s="10" t="s">
        <v>1054</v>
      </c>
      <c r="C281" s="11" t="s">
        <v>18</v>
      </c>
      <c r="D281" s="11" t="s">
        <v>19</v>
      </c>
      <c r="E281" s="11" t="s">
        <v>19</v>
      </c>
      <c r="F281" s="11" t="s">
        <v>1055</v>
      </c>
      <c r="G281" s="11" t="s">
        <v>83</v>
      </c>
      <c r="H281" s="11" t="s">
        <v>1021</v>
      </c>
      <c r="I281" s="11" t="s">
        <v>1022</v>
      </c>
      <c r="J281" s="12">
        <v>1</v>
      </c>
      <c r="K281" s="13">
        <v>5</v>
      </c>
      <c r="L281" s="14">
        <v>1676</v>
      </c>
      <c r="M281" s="10">
        <v>746</v>
      </c>
      <c r="N281" s="10">
        <v>185202</v>
      </c>
      <c r="O281" s="10">
        <v>58501</v>
      </c>
      <c r="P281" s="10">
        <v>243703</v>
      </c>
    </row>
    <row r="282" spans="1:16" ht="27" customHeight="1" x14ac:dyDescent="0.2">
      <c r="A282" s="9" t="s">
        <v>1018</v>
      </c>
      <c r="B282" s="10" t="s">
        <v>1054</v>
      </c>
      <c r="C282" s="11" t="s">
        <v>1056</v>
      </c>
      <c r="D282" s="11" t="s">
        <v>1057</v>
      </c>
      <c r="E282" s="11" t="s">
        <v>57</v>
      </c>
      <c r="F282" s="11" t="s">
        <v>1058</v>
      </c>
      <c r="G282" s="11" t="s">
        <v>28</v>
      </c>
      <c r="H282" s="11" t="s">
        <v>1021</v>
      </c>
      <c r="I282" s="11" t="s">
        <v>1022</v>
      </c>
      <c r="J282" s="12">
        <v>1</v>
      </c>
      <c r="K282" s="13">
        <v>1</v>
      </c>
      <c r="L282" s="14">
        <v>109</v>
      </c>
      <c r="M282" s="10">
        <v>39</v>
      </c>
      <c r="N282" s="10">
        <v>12045</v>
      </c>
      <c r="O282" s="10">
        <v>3058</v>
      </c>
      <c r="P282" s="10">
        <v>15103</v>
      </c>
    </row>
    <row r="283" spans="1:16" ht="27" customHeight="1" x14ac:dyDescent="0.2">
      <c r="A283" s="9" t="s">
        <v>1018</v>
      </c>
      <c r="B283" s="10" t="s">
        <v>1054</v>
      </c>
      <c r="C283" s="11" t="s">
        <v>1059</v>
      </c>
      <c r="D283" s="11" t="s">
        <v>1060</v>
      </c>
      <c r="E283" s="11" t="s">
        <v>26</v>
      </c>
      <c r="F283" s="11" t="s">
        <v>1061</v>
      </c>
      <c r="G283" s="11" t="s">
        <v>28</v>
      </c>
      <c r="H283" s="11" t="s">
        <v>1061</v>
      </c>
      <c r="I283" s="11" t="s">
        <v>1062</v>
      </c>
      <c r="J283" s="12">
        <v>0.4294</v>
      </c>
      <c r="K283" s="13">
        <v>1</v>
      </c>
      <c r="L283" s="14">
        <v>177</v>
      </c>
      <c r="M283" s="10">
        <v>76</v>
      </c>
      <c r="N283" s="10">
        <v>19559</v>
      </c>
      <c r="O283" s="10">
        <v>5960</v>
      </c>
      <c r="P283" s="10">
        <v>25519</v>
      </c>
    </row>
    <row r="284" spans="1:16" ht="27" customHeight="1" x14ac:dyDescent="0.2">
      <c r="A284" s="9" t="s">
        <v>1018</v>
      </c>
      <c r="B284" s="10" t="s">
        <v>1063</v>
      </c>
      <c r="C284" s="11" t="s">
        <v>18</v>
      </c>
      <c r="D284" s="11" t="s">
        <v>19</v>
      </c>
      <c r="E284" s="11" t="s">
        <v>19</v>
      </c>
      <c r="F284" s="11" t="s">
        <v>1064</v>
      </c>
      <c r="G284" s="11" t="s">
        <v>83</v>
      </c>
      <c r="H284" s="11" t="s">
        <v>1065</v>
      </c>
      <c r="I284" s="11" t="s">
        <v>1066</v>
      </c>
      <c r="J284" s="12">
        <v>0.4667</v>
      </c>
      <c r="K284" s="13">
        <v>2</v>
      </c>
      <c r="L284" s="14">
        <v>16</v>
      </c>
      <c r="M284" s="10">
        <v>7</v>
      </c>
      <c r="N284" s="10">
        <v>1769</v>
      </c>
      <c r="O284" s="10">
        <v>549</v>
      </c>
      <c r="P284" s="10">
        <v>2318</v>
      </c>
    </row>
    <row r="285" spans="1:16" ht="27" customHeight="1" x14ac:dyDescent="0.2">
      <c r="A285" s="9" t="s">
        <v>1018</v>
      </c>
      <c r="B285" s="10" t="s">
        <v>1067</v>
      </c>
      <c r="C285" s="11" t="s">
        <v>18</v>
      </c>
      <c r="D285" s="11" t="s">
        <v>19</v>
      </c>
      <c r="E285" s="11" t="s">
        <v>19</v>
      </c>
      <c r="F285" s="11" t="s">
        <v>1068</v>
      </c>
      <c r="G285" s="11" t="s">
        <v>83</v>
      </c>
      <c r="H285" s="11" t="s">
        <v>1068</v>
      </c>
      <c r="I285" s="11" t="s">
        <v>1069</v>
      </c>
      <c r="J285" s="12">
        <v>0.6512</v>
      </c>
      <c r="K285" s="13">
        <v>2</v>
      </c>
      <c r="L285" s="14">
        <v>174</v>
      </c>
      <c r="M285" s="10">
        <v>113</v>
      </c>
      <c r="N285" s="10">
        <v>19227</v>
      </c>
      <c r="O285" s="10">
        <v>8861</v>
      </c>
      <c r="P285" s="10">
        <v>28088</v>
      </c>
    </row>
    <row r="286" spans="1:16" ht="27" customHeight="1" x14ac:dyDescent="0.2">
      <c r="A286" s="9" t="s">
        <v>1018</v>
      </c>
      <c r="B286" s="10" t="s">
        <v>1070</v>
      </c>
      <c r="C286" s="11" t="s">
        <v>18</v>
      </c>
      <c r="D286" s="11" t="s">
        <v>19</v>
      </c>
      <c r="E286" s="11" t="s">
        <v>19</v>
      </c>
      <c r="F286" s="11" t="s">
        <v>1071</v>
      </c>
      <c r="G286" s="11" t="s">
        <v>83</v>
      </c>
      <c r="H286" s="11" t="s">
        <v>1071</v>
      </c>
      <c r="I286" s="11" t="s">
        <v>1072</v>
      </c>
      <c r="J286" s="12">
        <v>0.78380000000000005</v>
      </c>
      <c r="K286" s="13">
        <v>2</v>
      </c>
      <c r="L286" s="14">
        <v>37</v>
      </c>
      <c r="M286" s="10">
        <v>29</v>
      </c>
      <c r="N286" s="10">
        <v>4089</v>
      </c>
      <c r="O286" s="10">
        <v>2274</v>
      </c>
      <c r="P286" s="10">
        <v>6363</v>
      </c>
    </row>
    <row r="287" spans="1:16" ht="27" customHeight="1" x14ac:dyDescent="0.2">
      <c r="A287" s="9" t="s">
        <v>1018</v>
      </c>
      <c r="B287" s="10" t="s">
        <v>1073</v>
      </c>
      <c r="C287" s="11" t="s">
        <v>18</v>
      </c>
      <c r="D287" s="11" t="s">
        <v>19</v>
      </c>
      <c r="E287" s="11" t="s">
        <v>19</v>
      </c>
      <c r="F287" s="11" t="s">
        <v>1074</v>
      </c>
      <c r="G287" s="11" t="s">
        <v>83</v>
      </c>
      <c r="H287" s="11" t="s">
        <v>1075</v>
      </c>
      <c r="I287" s="11" t="s">
        <v>1076</v>
      </c>
      <c r="J287" s="12">
        <v>0.59209999999999996</v>
      </c>
      <c r="K287" s="13">
        <v>2</v>
      </c>
      <c r="L287" s="14">
        <v>153</v>
      </c>
      <c r="M287" s="10">
        <v>91</v>
      </c>
      <c r="N287" s="10">
        <v>16907</v>
      </c>
      <c r="O287" s="10">
        <v>7136</v>
      </c>
      <c r="P287" s="10">
        <v>24043</v>
      </c>
    </row>
    <row r="288" spans="1:16" ht="27" customHeight="1" x14ac:dyDescent="0.2">
      <c r="A288" s="9" t="s">
        <v>1018</v>
      </c>
      <c r="B288" s="10" t="s">
        <v>1077</v>
      </c>
      <c r="C288" s="11" t="s">
        <v>18</v>
      </c>
      <c r="D288" s="11" t="s">
        <v>19</v>
      </c>
      <c r="E288" s="11" t="s">
        <v>19</v>
      </c>
      <c r="F288" s="11" t="s">
        <v>1078</v>
      </c>
      <c r="G288" s="11" t="s">
        <v>83</v>
      </c>
      <c r="H288" s="11" t="s">
        <v>1078</v>
      </c>
      <c r="I288" s="11" t="s">
        <v>1079</v>
      </c>
      <c r="J288" s="12">
        <v>0.45960000000000001</v>
      </c>
      <c r="K288" s="13">
        <v>3</v>
      </c>
      <c r="L288" s="14">
        <v>569</v>
      </c>
      <c r="M288" s="10">
        <v>257</v>
      </c>
      <c r="N288" s="10">
        <v>62876</v>
      </c>
      <c r="O288" s="10">
        <v>20153</v>
      </c>
      <c r="P288" s="10">
        <v>83029</v>
      </c>
    </row>
    <row r="289" spans="1:16" ht="27" customHeight="1" x14ac:dyDescent="0.2">
      <c r="A289" s="9" t="s">
        <v>1018</v>
      </c>
      <c r="B289" s="10" t="s">
        <v>1080</v>
      </c>
      <c r="C289" s="11" t="s">
        <v>18</v>
      </c>
      <c r="D289" s="11" t="s">
        <v>19</v>
      </c>
      <c r="E289" s="11" t="s">
        <v>19</v>
      </c>
      <c r="F289" s="11" t="s">
        <v>1081</v>
      </c>
      <c r="G289" s="11" t="s">
        <v>83</v>
      </c>
      <c r="H289" s="11" t="s">
        <v>1081</v>
      </c>
      <c r="I289" s="11" t="s">
        <v>1082</v>
      </c>
      <c r="J289" s="12">
        <v>0.34260000000000002</v>
      </c>
      <c r="K289" s="13">
        <v>2</v>
      </c>
      <c r="L289" s="14">
        <v>108</v>
      </c>
      <c r="M289" s="10">
        <v>37</v>
      </c>
      <c r="N289" s="10">
        <v>11934</v>
      </c>
      <c r="O289" s="10">
        <v>2902</v>
      </c>
      <c r="P289" s="10">
        <v>14836</v>
      </c>
    </row>
    <row r="290" spans="1:16" ht="27" customHeight="1" x14ac:dyDescent="0.2">
      <c r="A290" s="9" t="s">
        <v>1018</v>
      </c>
      <c r="B290" s="10" t="s">
        <v>1083</v>
      </c>
      <c r="C290" s="11" t="s">
        <v>18</v>
      </c>
      <c r="D290" s="11" t="s">
        <v>19</v>
      </c>
      <c r="E290" s="11" t="s">
        <v>19</v>
      </c>
      <c r="F290" s="11" t="s">
        <v>1084</v>
      </c>
      <c r="G290" s="11" t="s">
        <v>83</v>
      </c>
      <c r="H290" s="11" t="s">
        <v>1021</v>
      </c>
      <c r="I290" s="11" t="s">
        <v>1022</v>
      </c>
      <c r="J290" s="12">
        <v>1</v>
      </c>
      <c r="K290" s="13">
        <v>4</v>
      </c>
      <c r="L290" s="14">
        <v>1066</v>
      </c>
      <c r="M290" s="10">
        <v>481</v>
      </c>
      <c r="N290" s="10">
        <v>117794</v>
      </c>
      <c r="O290" s="10">
        <v>37720</v>
      </c>
      <c r="P290" s="10">
        <v>155514</v>
      </c>
    </row>
    <row r="291" spans="1:16" ht="27" customHeight="1" x14ac:dyDescent="0.2">
      <c r="A291" s="9" t="s">
        <v>1018</v>
      </c>
      <c r="B291" s="10" t="s">
        <v>1085</v>
      </c>
      <c r="C291" s="11" t="s">
        <v>18</v>
      </c>
      <c r="D291" s="11" t="s">
        <v>19</v>
      </c>
      <c r="E291" s="11" t="s">
        <v>19</v>
      </c>
      <c r="F291" s="11" t="s">
        <v>1086</v>
      </c>
      <c r="G291" s="11" t="s">
        <v>83</v>
      </c>
      <c r="H291" s="11" t="s">
        <v>1086</v>
      </c>
      <c r="I291" s="11" t="s">
        <v>1087</v>
      </c>
      <c r="J291" s="12">
        <v>0.40529999999999999</v>
      </c>
      <c r="K291" s="13">
        <v>2</v>
      </c>
      <c r="L291" s="14">
        <v>266</v>
      </c>
      <c r="M291" s="10">
        <v>108</v>
      </c>
      <c r="N291" s="10">
        <v>29393</v>
      </c>
      <c r="O291" s="10">
        <v>8469</v>
      </c>
      <c r="P291" s="10">
        <v>37862</v>
      </c>
    </row>
    <row r="292" spans="1:16" ht="27" customHeight="1" x14ac:dyDescent="0.2">
      <c r="A292" s="9" t="s">
        <v>1018</v>
      </c>
      <c r="B292" s="10" t="s">
        <v>1085</v>
      </c>
      <c r="C292" s="11" t="s">
        <v>1088</v>
      </c>
      <c r="D292" s="11" t="s">
        <v>1089</v>
      </c>
      <c r="E292" s="11" t="s">
        <v>57</v>
      </c>
      <c r="F292" s="11" t="s">
        <v>1090</v>
      </c>
      <c r="G292" s="11" t="s">
        <v>28</v>
      </c>
      <c r="H292" s="11" t="s">
        <v>1021</v>
      </c>
      <c r="I292" s="11" t="s">
        <v>1022</v>
      </c>
      <c r="J292" s="12">
        <v>1</v>
      </c>
      <c r="K292" s="13">
        <v>1</v>
      </c>
      <c r="L292" s="14">
        <v>43</v>
      </c>
      <c r="M292" s="10">
        <v>20</v>
      </c>
      <c r="N292" s="10">
        <v>4752</v>
      </c>
      <c r="O292" s="10">
        <v>1568</v>
      </c>
      <c r="P292" s="10">
        <v>6320</v>
      </c>
    </row>
    <row r="293" spans="1:16" ht="27" customHeight="1" x14ac:dyDescent="0.2">
      <c r="A293" s="9" t="s">
        <v>1018</v>
      </c>
      <c r="B293" s="10" t="s">
        <v>1091</v>
      </c>
      <c r="C293" s="11" t="s">
        <v>18</v>
      </c>
      <c r="D293" s="11" t="s">
        <v>19</v>
      </c>
      <c r="E293" s="11" t="s">
        <v>19</v>
      </c>
      <c r="F293" s="11" t="s">
        <v>1092</v>
      </c>
      <c r="G293" s="11" t="s">
        <v>83</v>
      </c>
      <c r="H293" s="11" t="s">
        <v>1092</v>
      </c>
      <c r="I293" s="11" t="s">
        <v>1093</v>
      </c>
      <c r="J293" s="12">
        <v>0.27539999999999998</v>
      </c>
      <c r="K293" s="13">
        <v>2</v>
      </c>
      <c r="L293" s="14">
        <v>69</v>
      </c>
      <c r="M293" s="10">
        <v>19</v>
      </c>
      <c r="N293" s="10">
        <v>7625</v>
      </c>
      <c r="O293" s="10">
        <v>1490</v>
      </c>
      <c r="P293" s="10">
        <v>9115</v>
      </c>
    </row>
    <row r="294" spans="1:16" ht="27" customHeight="1" x14ac:dyDescent="0.2">
      <c r="A294" s="9" t="s">
        <v>1018</v>
      </c>
      <c r="B294" s="10" t="s">
        <v>1094</v>
      </c>
      <c r="C294" s="11" t="s">
        <v>18</v>
      </c>
      <c r="D294" s="11" t="s">
        <v>19</v>
      </c>
      <c r="E294" s="11" t="s">
        <v>19</v>
      </c>
      <c r="F294" s="11" t="s">
        <v>1095</v>
      </c>
      <c r="G294" s="11" t="s">
        <v>83</v>
      </c>
      <c r="H294" s="11" t="s">
        <v>1095</v>
      </c>
      <c r="I294" s="11" t="s">
        <v>1096</v>
      </c>
      <c r="J294" s="12">
        <v>0.71430000000000005</v>
      </c>
      <c r="K294" s="13">
        <v>2</v>
      </c>
      <c r="L294" s="14">
        <v>14</v>
      </c>
      <c r="M294" s="10">
        <v>10</v>
      </c>
      <c r="N294" s="10">
        <v>1547</v>
      </c>
      <c r="O294" s="10">
        <v>784</v>
      </c>
      <c r="P294" s="10">
        <v>2331</v>
      </c>
    </row>
    <row r="295" spans="1:16" ht="27" customHeight="1" x14ac:dyDescent="0.2">
      <c r="A295" s="9" t="s">
        <v>1018</v>
      </c>
      <c r="B295" s="10" t="s">
        <v>1097</v>
      </c>
      <c r="C295" s="11" t="s">
        <v>18</v>
      </c>
      <c r="D295" s="11" t="s">
        <v>19</v>
      </c>
      <c r="E295" s="11" t="s">
        <v>19</v>
      </c>
      <c r="F295" s="11" t="s">
        <v>1098</v>
      </c>
      <c r="G295" s="11" t="s">
        <v>83</v>
      </c>
      <c r="H295" s="11" t="s">
        <v>1098</v>
      </c>
      <c r="I295" s="11" t="s">
        <v>1099</v>
      </c>
      <c r="J295" s="12">
        <v>0.4194</v>
      </c>
      <c r="K295" s="13">
        <v>2</v>
      </c>
      <c r="L295" s="14">
        <v>218</v>
      </c>
      <c r="M295" s="10">
        <v>91</v>
      </c>
      <c r="N295" s="10">
        <v>24090</v>
      </c>
      <c r="O295" s="10">
        <v>7136</v>
      </c>
      <c r="P295" s="10">
        <v>31226</v>
      </c>
    </row>
    <row r="296" spans="1:16" ht="27" customHeight="1" x14ac:dyDescent="0.2">
      <c r="A296" s="9" t="s">
        <v>1018</v>
      </c>
      <c r="B296" s="10" t="s">
        <v>1100</v>
      </c>
      <c r="C296" s="11" t="s">
        <v>18</v>
      </c>
      <c r="D296" s="11" t="s">
        <v>19</v>
      </c>
      <c r="E296" s="11" t="s">
        <v>19</v>
      </c>
      <c r="F296" s="11" t="s">
        <v>1101</v>
      </c>
      <c r="G296" s="11" t="s">
        <v>83</v>
      </c>
      <c r="H296" s="11" t="s">
        <v>1102</v>
      </c>
      <c r="I296" s="11" t="s">
        <v>1103</v>
      </c>
      <c r="J296" s="12">
        <v>0.30070000000000002</v>
      </c>
      <c r="K296" s="13">
        <v>2</v>
      </c>
      <c r="L296" s="14">
        <v>461</v>
      </c>
      <c r="M296" s="10">
        <v>139</v>
      </c>
      <c r="N296" s="10">
        <v>50941</v>
      </c>
      <c r="O296" s="10">
        <v>10900</v>
      </c>
      <c r="P296" s="10">
        <v>61841</v>
      </c>
    </row>
    <row r="297" spans="1:16" ht="27" customHeight="1" x14ac:dyDescent="0.2">
      <c r="A297" s="9" t="s">
        <v>1018</v>
      </c>
      <c r="B297" s="10" t="s">
        <v>1104</v>
      </c>
      <c r="C297" s="11" t="s">
        <v>18</v>
      </c>
      <c r="D297" s="11" t="s">
        <v>19</v>
      </c>
      <c r="E297" s="11" t="s">
        <v>19</v>
      </c>
      <c r="F297" s="11" t="s">
        <v>1105</v>
      </c>
      <c r="G297" s="11" t="s">
        <v>83</v>
      </c>
      <c r="H297" s="11" t="s">
        <v>1106</v>
      </c>
      <c r="I297" s="11" t="s">
        <v>1107</v>
      </c>
      <c r="J297" s="12">
        <v>0.88890000000000002</v>
      </c>
      <c r="K297" s="13">
        <v>8</v>
      </c>
      <c r="L297" s="14">
        <v>968</v>
      </c>
      <c r="M297" s="10">
        <v>726</v>
      </c>
      <c r="N297" s="10">
        <v>106967</v>
      </c>
      <c r="O297" s="10">
        <v>56932</v>
      </c>
      <c r="P297" s="10">
        <v>163899</v>
      </c>
    </row>
    <row r="298" spans="1:16" ht="27" customHeight="1" x14ac:dyDescent="0.2">
      <c r="A298" s="9" t="s">
        <v>1018</v>
      </c>
      <c r="B298" s="10" t="s">
        <v>1108</v>
      </c>
      <c r="C298" s="11" t="s">
        <v>18</v>
      </c>
      <c r="D298" s="11" t="s">
        <v>19</v>
      </c>
      <c r="E298" s="11" t="s">
        <v>19</v>
      </c>
      <c r="F298" s="11" t="s">
        <v>1109</v>
      </c>
      <c r="G298" s="11" t="s">
        <v>83</v>
      </c>
      <c r="H298" s="11" t="s">
        <v>1109</v>
      </c>
      <c r="I298" s="11" t="s">
        <v>1110</v>
      </c>
      <c r="J298" s="12">
        <v>0.5625</v>
      </c>
      <c r="K298" s="13">
        <v>2</v>
      </c>
      <c r="L298" s="14">
        <v>32</v>
      </c>
      <c r="M298" s="10">
        <v>18</v>
      </c>
      <c r="N298" s="10">
        <v>3536</v>
      </c>
      <c r="O298" s="10">
        <v>1412</v>
      </c>
      <c r="P298" s="10">
        <v>4948</v>
      </c>
    </row>
    <row r="299" spans="1:16" ht="27" customHeight="1" x14ac:dyDescent="0.2">
      <c r="A299" s="9" t="s">
        <v>1018</v>
      </c>
      <c r="B299" s="10" t="s">
        <v>1111</v>
      </c>
      <c r="C299" s="11" t="s">
        <v>18</v>
      </c>
      <c r="D299" s="11" t="s">
        <v>19</v>
      </c>
      <c r="E299" s="11" t="s">
        <v>19</v>
      </c>
      <c r="F299" s="11" t="s">
        <v>1112</v>
      </c>
      <c r="G299" s="11" t="s">
        <v>83</v>
      </c>
      <c r="H299" s="11" t="s">
        <v>1113</v>
      </c>
      <c r="I299" s="11" t="s">
        <v>1114</v>
      </c>
      <c r="J299" s="12">
        <v>0.93200000000000005</v>
      </c>
      <c r="K299" s="13">
        <v>2</v>
      </c>
      <c r="L299" s="14">
        <v>106</v>
      </c>
      <c r="M299" s="10">
        <v>99</v>
      </c>
      <c r="N299" s="10">
        <v>11714</v>
      </c>
      <c r="O299" s="10">
        <v>7763</v>
      </c>
      <c r="P299" s="10">
        <v>19477</v>
      </c>
    </row>
    <row r="300" spans="1:16" ht="27" customHeight="1" x14ac:dyDescent="0.2">
      <c r="A300" s="9" t="s">
        <v>1018</v>
      </c>
      <c r="B300" s="10" t="s">
        <v>1115</v>
      </c>
      <c r="C300" s="11" t="s">
        <v>18</v>
      </c>
      <c r="D300" s="11" t="s">
        <v>19</v>
      </c>
      <c r="E300" s="11" t="s">
        <v>19</v>
      </c>
      <c r="F300" s="11" t="s">
        <v>1116</v>
      </c>
      <c r="G300" s="11" t="s">
        <v>83</v>
      </c>
      <c r="H300" s="11" t="s">
        <v>1116</v>
      </c>
      <c r="I300" s="11" t="s">
        <v>1117</v>
      </c>
      <c r="J300" s="12">
        <v>0.66669999999999996</v>
      </c>
      <c r="K300" s="13">
        <v>2</v>
      </c>
      <c r="L300" s="14">
        <v>6</v>
      </c>
      <c r="M300" s="10">
        <v>4</v>
      </c>
      <c r="N300" s="10">
        <v>663</v>
      </c>
      <c r="O300" s="10">
        <v>314</v>
      </c>
      <c r="P300" s="10">
        <v>977</v>
      </c>
    </row>
    <row r="301" spans="1:16" ht="27" customHeight="1" x14ac:dyDescent="0.2">
      <c r="A301" s="9" t="s">
        <v>1018</v>
      </c>
      <c r="B301" s="10" t="s">
        <v>1118</v>
      </c>
      <c r="C301" s="11" t="s">
        <v>18</v>
      </c>
      <c r="D301" s="11" t="s">
        <v>19</v>
      </c>
      <c r="E301" s="11" t="s">
        <v>19</v>
      </c>
      <c r="F301" s="11" t="s">
        <v>1119</v>
      </c>
      <c r="G301" s="11" t="s">
        <v>83</v>
      </c>
      <c r="H301" s="11" t="s">
        <v>1120</v>
      </c>
      <c r="I301" s="11" t="s">
        <v>1121</v>
      </c>
      <c r="J301" s="12">
        <v>0.67749999999999999</v>
      </c>
      <c r="K301" s="13">
        <v>4</v>
      </c>
      <c r="L301" s="14">
        <v>942</v>
      </c>
      <c r="M301" s="10">
        <v>562</v>
      </c>
      <c r="N301" s="10">
        <v>104092</v>
      </c>
      <c r="O301" s="10">
        <v>44071</v>
      </c>
      <c r="P301" s="10">
        <v>148163</v>
      </c>
    </row>
    <row r="302" spans="1:16" ht="27" customHeight="1" x14ac:dyDescent="0.2">
      <c r="A302" s="9" t="s">
        <v>1018</v>
      </c>
      <c r="B302" s="10" t="s">
        <v>1122</v>
      </c>
      <c r="C302" s="11" t="s">
        <v>18</v>
      </c>
      <c r="D302" s="11" t="s">
        <v>19</v>
      </c>
      <c r="E302" s="11" t="s">
        <v>19</v>
      </c>
      <c r="F302" s="11" t="s">
        <v>1021</v>
      </c>
      <c r="G302" s="11" t="s">
        <v>83</v>
      </c>
      <c r="H302" s="11" t="s">
        <v>1021</v>
      </c>
      <c r="I302" s="11" t="s">
        <v>1022</v>
      </c>
      <c r="J302" s="12">
        <v>1</v>
      </c>
      <c r="K302" s="13">
        <v>2</v>
      </c>
      <c r="L302" s="14">
        <v>10</v>
      </c>
      <c r="M302" s="10">
        <v>10</v>
      </c>
      <c r="N302" s="10">
        <v>1105</v>
      </c>
      <c r="O302" s="10">
        <v>784</v>
      </c>
      <c r="P302" s="10">
        <v>1889</v>
      </c>
    </row>
    <row r="303" spans="1:16" ht="27" customHeight="1" x14ac:dyDescent="0.2">
      <c r="A303" s="9" t="s">
        <v>1018</v>
      </c>
      <c r="B303" s="10" t="s">
        <v>1123</v>
      </c>
      <c r="C303" s="11" t="s">
        <v>18</v>
      </c>
      <c r="D303" s="11" t="s">
        <v>19</v>
      </c>
      <c r="E303" s="11" t="s">
        <v>19</v>
      </c>
      <c r="F303" s="11" t="s">
        <v>881</v>
      </c>
      <c r="G303" s="11" t="s">
        <v>83</v>
      </c>
      <c r="H303" s="11" t="s">
        <v>881</v>
      </c>
      <c r="I303" s="11" t="s">
        <v>1124</v>
      </c>
      <c r="J303" s="12">
        <v>0.51770000000000005</v>
      </c>
      <c r="K303" s="13">
        <v>2</v>
      </c>
      <c r="L303" s="14">
        <v>545</v>
      </c>
      <c r="M303" s="10">
        <v>282</v>
      </c>
      <c r="N303" s="10">
        <v>60223</v>
      </c>
      <c r="O303" s="10">
        <v>22114</v>
      </c>
      <c r="P303" s="10">
        <v>82337</v>
      </c>
    </row>
    <row r="304" spans="1:16" ht="27" customHeight="1" x14ac:dyDescent="0.2">
      <c r="A304" s="9" t="s">
        <v>1018</v>
      </c>
      <c r="B304" s="10" t="s">
        <v>1123</v>
      </c>
      <c r="C304" s="11" t="s">
        <v>1125</v>
      </c>
      <c r="D304" s="11" t="s">
        <v>1126</v>
      </c>
      <c r="E304" s="11" t="s">
        <v>26</v>
      </c>
      <c r="F304" s="11" t="s">
        <v>1127</v>
      </c>
      <c r="G304" s="11" t="s">
        <v>28</v>
      </c>
      <c r="H304" s="11" t="s">
        <v>1127</v>
      </c>
      <c r="I304" s="11" t="s">
        <v>1128</v>
      </c>
      <c r="J304" s="12">
        <v>0.76470000000000005</v>
      </c>
      <c r="K304" s="13">
        <v>1</v>
      </c>
      <c r="L304" s="14">
        <v>34</v>
      </c>
      <c r="M304" s="10">
        <v>26</v>
      </c>
      <c r="N304" s="10">
        <v>3757</v>
      </c>
      <c r="O304" s="10">
        <v>2039</v>
      </c>
      <c r="P304" s="10">
        <v>5796</v>
      </c>
    </row>
    <row r="305" spans="1:16" ht="27" customHeight="1" x14ac:dyDescent="0.2">
      <c r="A305" s="9" t="s">
        <v>1018</v>
      </c>
      <c r="B305" s="10" t="s">
        <v>1129</v>
      </c>
      <c r="C305" s="11" t="s">
        <v>18</v>
      </c>
      <c r="D305" s="11" t="s">
        <v>19</v>
      </c>
      <c r="E305" s="11" t="s">
        <v>19</v>
      </c>
      <c r="F305" s="11" t="s">
        <v>1130</v>
      </c>
      <c r="G305" s="11" t="s">
        <v>83</v>
      </c>
      <c r="H305" s="11" t="s">
        <v>1130</v>
      </c>
      <c r="I305" s="11" t="s">
        <v>1131</v>
      </c>
      <c r="J305" s="12">
        <v>0.82050000000000001</v>
      </c>
      <c r="K305" s="13">
        <v>2</v>
      </c>
      <c r="L305" s="14">
        <v>79</v>
      </c>
      <c r="M305" s="10">
        <v>65</v>
      </c>
      <c r="N305" s="10">
        <v>8730</v>
      </c>
      <c r="O305" s="10">
        <v>5097</v>
      </c>
      <c r="P305" s="10">
        <v>13827</v>
      </c>
    </row>
    <row r="306" spans="1:16" ht="27" customHeight="1" x14ac:dyDescent="0.2">
      <c r="A306" s="9" t="s">
        <v>1018</v>
      </c>
      <c r="B306" s="10" t="s">
        <v>1132</v>
      </c>
      <c r="C306" s="11" t="s">
        <v>18</v>
      </c>
      <c r="D306" s="11" t="s">
        <v>19</v>
      </c>
      <c r="E306" s="11" t="s">
        <v>19</v>
      </c>
      <c r="F306" s="11" t="s">
        <v>1133</v>
      </c>
      <c r="G306" s="11" t="s">
        <v>83</v>
      </c>
      <c r="H306" s="11" t="s">
        <v>1134</v>
      </c>
      <c r="I306" s="11" t="s">
        <v>1135</v>
      </c>
      <c r="J306" s="12">
        <v>0.76690000000000003</v>
      </c>
      <c r="K306" s="13">
        <v>3</v>
      </c>
      <c r="L306" s="14">
        <v>343</v>
      </c>
      <c r="M306" s="10">
        <v>263</v>
      </c>
      <c r="N306" s="10">
        <v>37902</v>
      </c>
      <c r="O306" s="10">
        <v>20624</v>
      </c>
      <c r="P306" s="10">
        <v>58526</v>
      </c>
    </row>
    <row r="307" spans="1:16" ht="27" customHeight="1" x14ac:dyDescent="0.2">
      <c r="A307" s="9" t="s">
        <v>1018</v>
      </c>
      <c r="B307" s="10" t="s">
        <v>1136</v>
      </c>
      <c r="C307" s="11" t="s">
        <v>18</v>
      </c>
      <c r="D307" s="11" t="s">
        <v>19</v>
      </c>
      <c r="E307" s="11" t="s">
        <v>19</v>
      </c>
      <c r="F307" s="11" t="s">
        <v>1137</v>
      </c>
      <c r="G307" s="11" t="s">
        <v>83</v>
      </c>
      <c r="H307" s="11" t="s">
        <v>1138</v>
      </c>
      <c r="I307" s="11" t="s">
        <v>1139</v>
      </c>
      <c r="J307" s="12">
        <v>0.72529999999999994</v>
      </c>
      <c r="K307" s="13">
        <v>2</v>
      </c>
      <c r="L307" s="14">
        <v>182</v>
      </c>
      <c r="M307" s="10">
        <v>132</v>
      </c>
      <c r="N307" s="10">
        <v>20111</v>
      </c>
      <c r="O307" s="10">
        <v>10351</v>
      </c>
      <c r="P307" s="10">
        <v>30462</v>
      </c>
    </row>
    <row r="308" spans="1:16" ht="27" customHeight="1" x14ac:dyDescent="0.2">
      <c r="A308" s="9" t="s">
        <v>1018</v>
      </c>
      <c r="B308" s="10" t="s">
        <v>1140</v>
      </c>
      <c r="C308" s="11" t="s">
        <v>18</v>
      </c>
      <c r="D308" s="11" t="s">
        <v>19</v>
      </c>
      <c r="E308" s="11" t="s">
        <v>19</v>
      </c>
      <c r="F308" s="11" t="s">
        <v>1141</v>
      </c>
      <c r="G308" s="11" t="s">
        <v>83</v>
      </c>
      <c r="H308" s="11" t="s">
        <v>1142</v>
      </c>
      <c r="I308" s="11" t="s">
        <v>1143</v>
      </c>
      <c r="J308" s="12">
        <v>0.75590000000000002</v>
      </c>
      <c r="K308" s="13">
        <v>3</v>
      </c>
      <c r="L308" s="14">
        <v>353</v>
      </c>
      <c r="M308" s="10">
        <v>261</v>
      </c>
      <c r="N308" s="10">
        <v>39008</v>
      </c>
      <c r="O308" s="10">
        <v>20467</v>
      </c>
      <c r="P308" s="10">
        <v>59475</v>
      </c>
    </row>
    <row r="309" spans="1:16" ht="27" customHeight="1" x14ac:dyDescent="0.2">
      <c r="A309" s="9" t="s">
        <v>1018</v>
      </c>
      <c r="B309" s="10" t="s">
        <v>1140</v>
      </c>
      <c r="C309" s="11" t="s">
        <v>1144</v>
      </c>
      <c r="D309" s="11" t="s">
        <v>1145</v>
      </c>
      <c r="E309" s="11" t="s">
        <v>26</v>
      </c>
      <c r="F309" s="11" t="s">
        <v>1146</v>
      </c>
      <c r="G309" s="11" t="s">
        <v>28</v>
      </c>
      <c r="H309" s="11" t="s">
        <v>1146</v>
      </c>
      <c r="I309" s="11" t="s">
        <v>1147</v>
      </c>
      <c r="J309" s="12">
        <v>0.70630000000000004</v>
      </c>
      <c r="K309" s="13">
        <v>1</v>
      </c>
      <c r="L309" s="14">
        <v>429</v>
      </c>
      <c r="M309" s="10">
        <v>303</v>
      </c>
      <c r="N309" s="10">
        <v>47405</v>
      </c>
      <c r="O309" s="10">
        <v>23761</v>
      </c>
      <c r="P309" s="10">
        <v>71166</v>
      </c>
    </row>
    <row r="310" spans="1:16" ht="27" customHeight="1" x14ac:dyDescent="0.2">
      <c r="A310" s="9" t="s">
        <v>1018</v>
      </c>
      <c r="B310" s="10" t="s">
        <v>1140</v>
      </c>
      <c r="C310" s="11" t="s">
        <v>1148</v>
      </c>
      <c r="D310" s="11" t="s">
        <v>1149</v>
      </c>
      <c r="E310" s="11" t="s">
        <v>57</v>
      </c>
      <c r="F310" s="11" t="s">
        <v>1150</v>
      </c>
      <c r="G310" s="11" t="s">
        <v>28</v>
      </c>
      <c r="H310" s="11" t="s">
        <v>1150</v>
      </c>
      <c r="I310" s="11" t="s">
        <v>1151</v>
      </c>
      <c r="J310" s="12">
        <v>0.72599999999999998</v>
      </c>
      <c r="K310" s="13">
        <v>1</v>
      </c>
      <c r="L310" s="14">
        <v>73</v>
      </c>
      <c r="M310" s="10">
        <v>53</v>
      </c>
      <c r="N310" s="10">
        <v>8067</v>
      </c>
      <c r="O310" s="10">
        <v>4156</v>
      </c>
      <c r="P310" s="10">
        <v>12223</v>
      </c>
    </row>
    <row r="311" spans="1:16" ht="27" customHeight="1" x14ac:dyDescent="0.2">
      <c r="A311" s="9" t="s">
        <v>1018</v>
      </c>
      <c r="B311" s="10" t="s">
        <v>1152</v>
      </c>
      <c r="C311" s="11" t="s">
        <v>18</v>
      </c>
      <c r="D311" s="11" t="s">
        <v>19</v>
      </c>
      <c r="E311" s="11" t="s">
        <v>19</v>
      </c>
      <c r="F311" s="11" t="s">
        <v>1153</v>
      </c>
      <c r="G311" s="11" t="s">
        <v>83</v>
      </c>
      <c r="H311" s="11" t="s">
        <v>1154</v>
      </c>
      <c r="I311" s="11" t="s">
        <v>1155</v>
      </c>
      <c r="J311" s="12">
        <v>1</v>
      </c>
      <c r="K311" s="13">
        <v>9</v>
      </c>
      <c r="L311" s="14">
        <v>711</v>
      </c>
      <c r="M311" s="10">
        <v>459</v>
      </c>
      <c r="N311" s="10">
        <v>78568</v>
      </c>
      <c r="O311" s="10">
        <v>35994</v>
      </c>
      <c r="P311" s="10">
        <v>114562</v>
      </c>
    </row>
    <row r="312" spans="1:16" ht="27" customHeight="1" x14ac:dyDescent="0.2">
      <c r="A312" s="9" t="s">
        <v>1018</v>
      </c>
      <c r="B312" s="10" t="s">
        <v>1156</v>
      </c>
      <c r="C312" s="11" t="s">
        <v>18</v>
      </c>
      <c r="D312" s="11" t="s">
        <v>19</v>
      </c>
      <c r="E312" s="11" t="s">
        <v>19</v>
      </c>
      <c r="F312" s="11" t="s">
        <v>1157</v>
      </c>
      <c r="G312" s="11" t="s">
        <v>83</v>
      </c>
      <c r="H312" s="11" t="s">
        <v>1158</v>
      </c>
      <c r="I312" s="11" t="s">
        <v>1159</v>
      </c>
      <c r="J312" s="12">
        <v>0.62719999999999998</v>
      </c>
      <c r="K312" s="13">
        <v>2</v>
      </c>
      <c r="L312" s="14">
        <v>170</v>
      </c>
      <c r="M312" s="10">
        <v>107</v>
      </c>
      <c r="N312" s="10">
        <v>18785</v>
      </c>
      <c r="O312" s="10">
        <v>8391</v>
      </c>
      <c r="P312" s="10">
        <v>27176</v>
      </c>
    </row>
    <row r="313" spans="1:16" ht="27" customHeight="1" x14ac:dyDescent="0.2">
      <c r="A313" s="9" t="s">
        <v>1018</v>
      </c>
      <c r="B313" s="10" t="s">
        <v>1160</v>
      </c>
      <c r="C313" s="11" t="s">
        <v>18</v>
      </c>
      <c r="D313" s="11" t="s">
        <v>19</v>
      </c>
      <c r="E313" s="11" t="s">
        <v>19</v>
      </c>
      <c r="F313" s="11" t="s">
        <v>1161</v>
      </c>
      <c r="G313" s="11" t="s">
        <v>83</v>
      </c>
      <c r="H313" s="11" t="s">
        <v>1162</v>
      </c>
      <c r="I313" s="11" t="s">
        <v>1163</v>
      </c>
      <c r="J313" s="12">
        <v>0.48549999999999999</v>
      </c>
      <c r="K313" s="13">
        <v>3</v>
      </c>
      <c r="L313" s="14">
        <v>469</v>
      </c>
      <c r="M313" s="10">
        <v>230</v>
      </c>
      <c r="N313" s="10">
        <v>51826</v>
      </c>
      <c r="O313" s="10">
        <v>18036</v>
      </c>
      <c r="P313" s="10">
        <v>69862</v>
      </c>
    </row>
    <row r="314" spans="1:16" ht="27" customHeight="1" x14ac:dyDescent="0.2">
      <c r="A314" s="9" t="s">
        <v>1018</v>
      </c>
      <c r="B314" s="10" t="s">
        <v>1164</v>
      </c>
      <c r="C314" s="11" t="s">
        <v>18</v>
      </c>
      <c r="D314" s="11" t="s">
        <v>19</v>
      </c>
      <c r="E314" s="11" t="s">
        <v>19</v>
      </c>
      <c r="F314" s="11" t="s">
        <v>1165</v>
      </c>
      <c r="G314" s="11" t="s">
        <v>83</v>
      </c>
      <c r="H314" s="11" t="s">
        <v>1166</v>
      </c>
      <c r="I314" s="11" t="s">
        <v>1167</v>
      </c>
      <c r="J314" s="12">
        <v>0.2</v>
      </c>
      <c r="K314" s="13">
        <v>4</v>
      </c>
      <c r="L314" s="14">
        <v>34</v>
      </c>
      <c r="M314" s="10">
        <v>8</v>
      </c>
      <c r="N314" s="10">
        <v>3758</v>
      </c>
      <c r="O314" s="10">
        <v>627</v>
      </c>
      <c r="P314" s="10">
        <v>4385</v>
      </c>
    </row>
    <row r="315" spans="1:16" ht="27" customHeight="1" x14ac:dyDescent="0.2">
      <c r="A315" s="9" t="s">
        <v>1018</v>
      </c>
      <c r="B315" s="10" t="s">
        <v>1168</v>
      </c>
      <c r="C315" s="11" t="s">
        <v>18</v>
      </c>
      <c r="D315" s="11" t="s">
        <v>19</v>
      </c>
      <c r="E315" s="11" t="s">
        <v>19</v>
      </c>
      <c r="F315" s="11" t="s">
        <v>1169</v>
      </c>
      <c r="G315" s="11" t="s">
        <v>83</v>
      </c>
      <c r="H315" s="11" t="s">
        <v>1170</v>
      </c>
      <c r="I315" s="11" t="s">
        <v>1171</v>
      </c>
      <c r="J315" s="12">
        <v>0.90310000000000001</v>
      </c>
      <c r="K315" s="13">
        <v>9</v>
      </c>
      <c r="L315" s="14">
        <v>3681</v>
      </c>
      <c r="M315" s="10">
        <v>2656</v>
      </c>
      <c r="N315" s="10">
        <v>406758</v>
      </c>
      <c r="O315" s="10">
        <v>208280</v>
      </c>
      <c r="P315" s="10">
        <v>615038</v>
      </c>
    </row>
    <row r="316" spans="1:16" ht="27" customHeight="1" x14ac:dyDescent="0.2">
      <c r="A316" s="9" t="s">
        <v>1018</v>
      </c>
      <c r="B316" s="10" t="s">
        <v>1168</v>
      </c>
      <c r="C316" s="11" t="s">
        <v>1172</v>
      </c>
      <c r="D316" s="11" t="s">
        <v>1173</v>
      </c>
      <c r="E316" s="11" t="s">
        <v>26</v>
      </c>
      <c r="F316" s="11" t="s">
        <v>1174</v>
      </c>
      <c r="G316" s="11" t="s">
        <v>28</v>
      </c>
      <c r="H316" s="11" t="s">
        <v>1174</v>
      </c>
      <c r="I316" s="11" t="s">
        <v>1175</v>
      </c>
      <c r="J316" s="12">
        <v>0.79139999999999999</v>
      </c>
      <c r="K316" s="13">
        <v>1</v>
      </c>
      <c r="L316" s="14">
        <v>139</v>
      </c>
      <c r="M316" s="10">
        <v>110</v>
      </c>
      <c r="N316" s="10">
        <v>15360</v>
      </c>
      <c r="O316" s="10">
        <v>8626</v>
      </c>
      <c r="P316" s="10">
        <v>23986</v>
      </c>
    </row>
    <row r="317" spans="1:16" ht="27" customHeight="1" x14ac:dyDescent="0.2">
      <c r="A317" s="9" t="s">
        <v>1018</v>
      </c>
      <c r="B317" s="10" t="s">
        <v>1176</v>
      </c>
      <c r="C317" s="11" t="s">
        <v>18</v>
      </c>
      <c r="D317" s="11" t="s">
        <v>19</v>
      </c>
      <c r="E317" s="11" t="s">
        <v>19</v>
      </c>
      <c r="F317" s="11" t="s">
        <v>1177</v>
      </c>
      <c r="G317" s="11" t="s">
        <v>83</v>
      </c>
      <c r="H317" s="11" t="s">
        <v>1178</v>
      </c>
      <c r="I317" s="11" t="s">
        <v>1179</v>
      </c>
      <c r="J317" s="12">
        <v>0.82310000000000005</v>
      </c>
      <c r="K317" s="13">
        <v>5</v>
      </c>
      <c r="L317" s="14">
        <v>1118</v>
      </c>
      <c r="M317" s="10">
        <v>899</v>
      </c>
      <c r="N317" s="10">
        <v>123541</v>
      </c>
      <c r="O317" s="10">
        <v>70499</v>
      </c>
      <c r="P317" s="10">
        <v>194040</v>
      </c>
    </row>
    <row r="318" spans="1:16" ht="27" customHeight="1" x14ac:dyDescent="0.2">
      <c r="A318" s="9" t="s">
        <v>1018</v>
      </c>
      <c r="B318" s="10" t="s">
        <v>1176</v>
      </c>
      <c r="C318" s="11" t="s">
        <v>1180</v>
      </c>
      <c r="D318" s="11" t="s">
        <v>1181</v>
      </c>
      <c r="E318" s="11" t="s">
        <v>26</v>
      </c>
      <c r="F318" s="11" t="s">
        <v>1182</v>
      </c>
      <c r="G318" s="11" t="s">
        <v>28</v>
      </c>
      <c r="H318" s="11" t="s">
        <v>1182</v>
      </c>
      <c r="I318" s="11" t="s">
        <v>1183</v>
      </c>
      <c r="J318" s="12">
        <v>0.39729999999999999</v>
      </c>
      <c r="K318" s="13">
        <v>1</v>
      </c>
      <c r="L318" s="14">
        <v>219</v>
      </c>
      <c r="M318" s="10">
        <v>87</v>
      </c>
      <c r="N318" s="10">
        <v>24200</v>
      </c>
      <c r="O318" s="10">
        <v>6822</v>
      </c>
      <c r="P318" s="10">
        <v>31022</v>
      </c>
    </row>
    <row r="319" spans="1:16" ht="27" customHeight="1" x14ac:dyDescent="0.2">
      <c r="A319" s="9" t="s">
        <v>1184</v>
      </c>
      <c r="B319" s="10" t="s">
        <v>1185</v>
      </c>
      <c r="C319" s="11" t="s">
        <v>18</v>
      </c>
      <c r="D319" s="11" t="s">
        <v>19</v>
      </c>
      <c r="E319" s="11" t="s">
        <v>19</v>
      </c>
      <c r="F319" s="11" t="s">
        <v>1186</v>
      </c>
      <c r="G319" s="11" t="s">
        <v>21</v>
      </c>
      <c r="H319" s="11" t="s">
        <v>1187</v>
      </c>
      <c r="I319" s="11" t="s">
        <v>1188</v>
      </c>
      <c r="J319" s="12">
        <v>0.96</v>
      </c>
      <c r="K319" s="13">
        <v>4</v>
      </c>
      <c r="L319" s="14">
        <v>1128</v>
      </c>
      <c r="M319" s="10">
        <v>894</v>
      </c>
      <c r="N319" s="10">
        <v>124646</v>
      </c>
      <c r="O319" s="10">
        <v>70107</v>
      </c>
      <c r="P319" s="10">
        <v>194753</v>
      </c>
    </row>
    <row r="320" spans="1:16" ht="27" customHeight="1" x14ac:dyDescent="0.2">
      <c r="A320" s="9" t="s">
        <v>1184</v>
      </c>
      <c r="B320" s="10" t="s">
        <v>1185</v>
      </c>
      <c r="C320" s="11" t="s">
        <v>1189</v>
      </c>
      <c r="D320" s="11" t="s">
        <v>1190</v>
      </c>
      <c r="E320" s="11" t="s">
        <v>57</v>
      </c>
      <c r="F320" s="11" t="s">
        <v>1191</v>
      </c>
      <c r="G320" s="11" t="s">
        <v>28</v>
      </c>
      <c r="H320" s="11" t="s">
        <v>1187</v>
      </c>
      <c r="I320" s="11" t="s">
        <v>1188</v>
      </c>
      <c r="J320" s="12">
        <v>0.96</v>
      </c>
      <c r="K320" s="13">
        <v>1</v>
      </c>
      <c r="L320" s="14">
        <v>206</v>
      </c>
      <c r="M320" s="10">
        <v>196</v>
      </c>
      <c r="N320" s="10">
        <v>22763</v>
      </c>
      <c r="O320" s="10">
        <v>15370</v>
      </c>
      <c r="P320" s="10">
        <v>38133</v>
      </c>
    </row>
    <row r="321" spans="1:16" ht="27" customHeight="1" x14ac:dyDescent="0.2">
      <c r="A321" s="9" t="s">
        <v>1184</v>
      </c>
      <c r="B321" s="10" t="s">
        <v>1192</v>
      </c>
      <c r="C321" s="11" t="s">
        <v>18</v>
      </c>
      <c r="D321" s="11" t="s">
        <v>19</v>
      </c>
      <c r="E321" s="11" t="s">
        <v>19</v>
      </c>
      <c r="F321" s="11" t="s">
        <v>1193</v>
      </c>
      <c r="G321" s="11" t="s">
        <v>83</v>
      </c>
      <c r="H321" s="11" t="s">
        <v>1194</v>
      </c>
      <c r="I321" s="11" t="s">
        <v>1195</v>
      </c>
      <c r="J321" s="12">
        <v>0.92569999999999997</v>
      </c>
      <c r="K321" s="13">
        <v>6</v>
      </c>
      <c r="L321" s="14">
        <v>3911</v>
      </c>
      <c r="M321" s="10">
        <v>3307</v>
      </c>
      <c r="N321" s="10">
        <v>432171</v>
      </c>
      <c r="O321" s="10">
        <v>259331</v>
      </c>
      <c r="P321" s="10">
        <v>691502</v>
      </c>
    </row>
    <row r="322" spans="1:16" ht="27" customHeight="1" x14ac:dyDescent="0.2">
      <c r="A322" s="9" t="s">
        <v>1184</v>
      </c>
      <c r="B322" s="10" t="s">
        <v>1196</v>
      </c>
      <c r="C322" s="11" t="s">
        <v>18</v>
      </c>
      <c r="D322" s="11" t="s">
        <v>19</v>
      </c>
      <c r="E322" s="11" t="s">
        <v>19</v>
      </c>
      <c r="F322" s="11" t="s">
        <v>1197</v>
      </c>
      <c r="G322" s="11" t="s">
        <v>83</v>
      </c>
      <c r="H322" s="11" t="s">
        <v>1187</v>
      </c>
      <c r="I322" s="11" t="s">
        <v>1188</v>
      </c>
      <c r="J322" s="12">
        <v>0.96</v>
      </c>
      <c r="K322" s="13">
        <v>4</v>
      </c>
      <c r="L322" s="14">
        <v>2055</v>
      </c>
      <c r="M322" s="10">
        <v>1483</v>
      </c>
      <c r="N322" s="10">
        <v>227081</v>
      </c>
      <c r="O322" s="10">
        <v>116295</v>
      </c>
      <c r="P322" s="10">
        <v>343376</v>
      </c>
    </row>
    <row r="323" spans="1:16" ht="27" customHeight="1" x14ac:dyDescent="0.2">
      <c r="A323" s="9" t="s">
        <v>1184</v>
      </c>
      <c r="B323" s="10" t="s">
        <v>1198</v>
      </c>
      <c r="C323" s="11" t="s">
        <v>18</v>
      </c>
      <c r="D323" s="11" t="s">
        <v>19</v>
      </c>
      <c r="E323" s="11" t="s">
        <v>19</v>
      </c>
      <c r="F323" s="11" t="s">
        <v>1199</v>
      </c>
      <c r="G323" s="11" t="s">
        <v>83</v>
      </c>
      <c r="H323" s="11" t="s">
        <v>1200</v>
      </c>
      <c r="I323" s="11" t="s">
        <v>1201</v>
      </c>
      <c r="J323" s="12">
        <v>0.95340000000000003</v>
      </c>
      <c r="K323" s="13">
        <v>13</v>
      </c>
      <c r="L323" s="14">
        <v>8455</v>
      </c>
      <c r="M323" s="10">
        <v>7255</v>
      </c>
      <c r="N323" s="10">
        <v>934294</v>
      </c>
      <c r="O323" s="10">
        <v>568932</v>
      </c>
      <c r="P323" s="10">
        <v>1503226</v>
      </c>
    </row>
    <row r="324" spans="1:16" ht="27" customHeight="1" x14ac:dyDescent="0.2">
      <c r="A324" s="9" t="s">
        <v>1184</v>
      </c>
      <c r="B324" s="10" t="s">
        <v>1202</v>
      </c>
      <c r="C324" s="11" t="s">
        <v>18</v>
      </c>
      <c r="D324" s="11" t="s">
        <v>19</v>
      </c>
      <c r="E324" s="11" t="s">
        <v>19</v>
      </c>
      <c r="F324" s="11" t="s">
        <v>1203</v>
      </c>
      <c r="G324" s="11" t="s">
        <v>83</v>
      </c>
      <c r="H324" s="11" t="s">
        <v>1187</v>
      </c>
      <c r="I324" s="11" t="s">
        <v>1188</v>
      </c>
      <c r="J324" s="12">
        <v>0.96</v>
      </c>
      <c r="K324" s="13">
        <v>5</v>
      </c>
      <c r="L324" s="14">
        <v>1175</v>
      </c>
      <c r="M324" s="10">
        <v>1027</v>
      </c>
      <c r="N324" s="10">
        <v>129840</v>
      </c>
      <c r="O324" s="10">
        <v>80535</v>
      </c>
      <c r="P324" s="10">
        <v>210375</v>
      </c>
    </row>
    <row r="325" spans="1:16" ht="27" customHeight="1" x14ac:dyDescent="0.2">
      <c r="A325" s="9" t="s">
        <v>1184</v>
      </c>
      <c r="B325" s="10" t="s">
        <v>1204</v>
      </c>
      <c r="C325" s="11" t="s">
        <v>18</v>
      </c>
      <c r="D325" s="11" t="s">
        <v>19</v>
      </c>
      <c r="E325" s="11" t="s">
        <v>19</v>
      </c>
      <c r="F325" s="11" t="s">
        <v>1205</v>
      </c>
      <c r="G325" s="11" t="s">
        <v>83</v>
      </c>
      <c r="H325" s="11" t="s">
        <v>1187</v>
      </c>
      <c r="I325" s="11" t="s">
        <v>1188</v>
      </c>
      <c r="J325" s="12">
        <v>0.96</v>
      </c>
      <c r="K325" s="13">
        <v>6</v>
      </c>
      <c r="L325" s="14">
        <v>4093</v>
      </c>
      <c r="M325" s="10">
        <v>3137</v>
      </c>
      <c r="N325" s="10">
        <v>452284</v>
      </c>
      <c r="O325" s="10">
        <v>246000</v>
      </c>
      <c r="P325" s="10">
        <v>698284</v>
      </c>
    </row>
    <row r="326" spans="1:16" ht="27" customHeight="1" x14ac:dyDescent="0.2">
      <c r="A326" s="9" t="s">
        <v>1184</v>
      </c>
      <c r="B326" s="10" t="s">
        <v>1206</v>
      </c>
      <c r="C326" s="11" t="s">
        <v>18</v>
      </c>
      <c r="D326" s="11" t="s">
        <v>19</v>
      </c>
      <c r="E326" s="11" t="s">
        <v>19</v>
      </c>
      <c r="F326" s="11" t="s">
        <v>1207</v>
      </c>
      <c r="G326" s="11" t="s">
        <v>83</v>
      </c>
      <c r="H326" s="11" t="s">
        <v>1208</v>
      </c>
      <c r="I326" s="11" t="s">
        <v>1209</v>
      </c>
      <c r="J326" s="12">
        <v>0.89080000000000004</v>
      </c>
      <c r="K326" s="13">
        <v>13</v>
      </c>
      <c r="L326" s="14">
        <v>5184</v>
      </c>
      <c r="M326" s="10">
        <v>4139</v>
      </c>
      <c r="N326" s="10">
        <v>572840</v>
      </c>
      <c r="O326" s="10">
        <v>324575</v>
      </c>
      <c r="P326" s="10">
        <v>897415</v>
      </c>
    </row>
    <row r="327" spans="1:16" ht="27" customHeight="1" x14ac:dyDescent="0.2">
      <c r="A327" s="9" t="s">
        <v>1184</v>
      </c>
      <c r="B327" s="10" t="s">
        <v>1206</v>
      </c>
      <c r="C327" s="11" t="s">
        <v>1210</v>
      </c>
      <c r="D327" s="11" t="s">
        <v>1211</v>
      </c>
      <c r="E327" s="11" t="s">
        <v>26</v>
      </c>
      <c r="F327" s="11" t="s">
        <v>1212</v>
      </c>
      <c r="G327" s="11" t="s">
        <v>28</v>
      </c>
      <c r="H327" s="11" t="s">
        <v>1212</v>
      </c>
      <c r="I327" s="11" t="s">
        <v>1213</v>
      </c>
      <c r="J327" s="12">
        <v>0.74790000000000001</v>
      </c>
      <c r="K327" s="13">
        <v>1</v>
      </c>
      <c r="L327" s="14">
        <v>238</v>
      </c>
      <c r="M327" s="10">
        <v>178</v>
      </c>
      <c r="N327" s="10">
        <v>26299</v>
      </c>
      <c r="O327" s="10">
        <v>13959</v>
      </c>
      <c r="P327" s="10">
        <v>40258</v>
      </c>
    </row>
    <row r="328" spans="1:16" ht="27" customHeight="1" x14ac:dyDescent="0.2">
      <c r="A328" s="9" t="s">
        <v>1184</v>
      </c>
      <c r="B328" s="10" t="s">
        <v>1206</v>
      </c>
      <c r="C328" s="11" t="s">
        <v>1214</v>
      </c>
      <c r="D328" s="11" t="s">
        <v>1215</v>
      </c>
      <c r="E328" s="11" t="s">
        <v>57</v>
      </c>
      <c r="F328" s="11" t="s">
        <v>1216</v>
      </c>
      <c r="G328" s="11" t="s">
        <v>28</v>
      </c>
      <c r="H328" s="11" t="s">
        <v>1216</v>
      </c>
      <c r="I328" s="11" t="s">
        <v>1217</v>
      </c>
      <c r="J328" s="12">
        <v>0.51849999999999996</v>
      </c>
      <c r="K328" s="13">
        <v>1</v>
      </c>
      <c r="L328" s="14">
        <v>135</v>
      </c>
      <c r="M328" s="10">
        <v>70</v>
      </c>
      <c r="N328" s="10">
        <v>14918</v>
      </c>
      <c r="O328" s="10">
        <v>5489</v>
      </c>
      <c r="P328" s="10">
        <v>20407</v>
      </c>
    </row>
    <row r="329" spans="1:16" ht="27" customHeight="1" x14ac:dyDescent="0.2">
      <c r="A329" s="9" t="s">
        <v>1184</v>
      </c>
      <c r="B329" s="10" t="s">
        <v>1218</v>
      </c>
      <c r="C329" s="11" t="s">
        <v>18</v>
      </c>
      <c r="D329" s="11" t="s">
        <v>19</v>
      </c>
      <c r="E329" s="11" t="s">
        <v>19</v>
      </c>
      <c r="F329" s="11" t="s">
        <v>1219</v>
      </c>
      <c r="G329" s="11" t="s">
        <v>83</v>
      </c>
      <c r="H329" s="11" t="s">
        <v>1220</v>
      </c>
      <c r="I329" s="11" t="s">
        <v>1221</v>
      </c>
      <c r="J329" s="12">
        <v>0.70430000000000004</v>
      </c>
      <c r="K329" s="13">
        <v>3</v>
      </c>
      <c r="L329" s="14">
        <v>1191</v>
      </c>
      <c r="M329" s="10">
        <v>835</v>
      </c>
      <c r="N329" s="10">
        <v>131607</v>
      </c>
      <c r="O329" s="10">
        <v>65480</v>
      </c>
      <c r="P329" s="10">
        <v>197087</v>
      </c>
    </row>
    <row r="330" spans="1:16" ht="27" customHeight="1" x14ac:dyDescent="0.2">
      <c r="A330" s="9" t="s">
        <v>1184</v>
      </c>
      <c r="B330" s="10" t="s">
        <v>1222</v>
      </c>
      <c r="C330" s="11" t="s">
        <v>18</v>
      </c>
      <c r="D330" s="11" t="s">
        <v>19</v>
      </c>
      <c r="E330" s="11" t="s">
        <v>19</v>
      </c>
      <c r="F330" s="11" t="s">
        <v>1223</v>
      </c>
      <c r="G330" s="11" t="s">
        <v>83</v>
      </c>
      <c r="H330" s="11" t="s">
        <v>1224</v>
      </c>
      <c r="I330" s="11" t="s">
        <v>1225</v>
      </c>
      <c r="J330" s="12">
        <v>0.84250000000000003</v>
      </c>
      <c r="K330" s="13">
        <v>7</v>
      </c>
      <c r="L330" s="14">
        <v>1578</v>
      </c>
      <c r="M330" s="10">
        <v>1247</v>
      </c>
      <c r="N330" s="10">
        <v>174371</v>
      </c>
      <c r="O330" s="10">
        <v>97787</v>
      </c>
      <c r="P330" s="10">
        <v>272158</v>
      </c>
    </row>
    <row r="331" spans="1:16" ht="27" customHeight="1" x14ac:dyDescent="0.2">
      <c r="A331" s="9" t="s">
        <v>1184</v>
      </c>
      <c r="B331" s="10" t="s">
        <v>1226</v>
      </c>
      <c r="C331" s="11" t="s">
        <v>18</v>
      </c>
      <c r="D331" s="11" t="s">
        <v>19</v>
      </c>
      <c r="E331" s="11" t="s">
        <v>19</v>
      </c>
      <c r="F331" s="11" t="s">
        <v>1227</v>
      </c>
      <c r="G331" s="11" t="s">
        <v>83</v>
      </c>
      <c r="H331" s="11" t="s">
        <v>1228</v>
      </c>
      <c r="I331" s="11" t="s">
        <v>1229</v>
      </c>
      <c r="J331" s="12">
        <v>0.60140000000000005</v>
      </c>
      <c r="K331" s="13">
        <v>7</v>
      </c>
      <c r="L331" s="14">
        <v>4573</v>
      </c>
      <c r="M331" s="10">
        <v>2597</v>
      </c>
      <c r="N331" s="10">
        <v>505324</v>
      </c>
      <c r="O331" s="10">
        <v>203655</v>
      </c>
      <c r="P331" s="10">
        <v>708979</v>
      </c>
    </row>
    <row r="332" spans="1:16" ht="27" customHeight="1" x14ac:dyDescent="0.2">
      <c r="A332" s="9" t="s">
        <v>1184</v>
      </c>
      <c r="B332" s="10" t="s">
        <v>1230</v>
      </c>
      <c r="C332" s="11" t="s">
        <v>18</v>
      </c>
      <c r="D332" s="11" t="s">
        <v>19</v>
      </c>
      <c r="E332" s="11" t="s">
        <v>19</v>
      </c>
      <c r="F332" s="11" t="s">
        <v>1231</v>
      </c>
      <c r="G332" s="11" t="s">
        <v>83</v>
      </c>
      <c r="H332" s="11" t="s">
        <v>1231</v>
      </c>
      <c r="I332" s="11" t="s">
        <v>1232</v>
      </c>
      <c r="J332" s="12">
        <v>0.128</v>
      </c>
      <c r="K332" s="13">
        <v>2</v>
      </c>
      <c r="L332" s="14">
        <v>125</v>
      </c>
      <c r="M332" s="10">
        <v>16</v>
      </c>
      <c r="N332" s="10">
        <v>13813</v>
      </c>
      <c r="O332" s="10">
        <v>1255</v>
      </c>
      <c r="P332" s="10">
        <v>15068</v>
      </c>
    </row>
    <row r="333" spans="1:16" ht="27" customHeight="1" x14ac:dyDescent="0.2">
      <c r="A333" s="9" t="s">
        <v>1184</v>
      </c>
      <c r="B333" s="10" t="s">
        <v>1233</v>
      </c>
      <c r="C333" s="11" t="s">
        <v>18</v>
      </c>
      <c r="D333" s="11" t="s">
        <v>19</v>
      </c>
      <c r="E333" s="11" t="s">
        <v>19</v>
      </c>
      <c r="F333" s="11" t="s">
        <v>1234</v>
      </c>
      <c r="G333" s="11" t="s">
        <v>83</v>
      </c>
      <c r="H333" s="11" t="s">
        <v>1235</v>
      </c>
      <c r="I333" s="11" t="s">
        <v>1236</v>
      </c>
      <c r="J333" s="12">
        <v>0.38629999999999998</v>
      </c>
      <c r="K333" s="13">
        <v>2</v>
      </c>
      <c r="L333" s="14">
        <v>1211</v>
      </c>
      <c r="M333" s="10">
        <v>468</v>
      </c>
      <c r="N333" s="10">
        <v>133818</v>
      </c>
      <c r="O333" s="10">
        <v>36700</v>
      </c>
      <c r="P333" s="10">
        <v>170518</v>
      </c>
    </row>
    <row r="334" spans="1:16" ht="27" customHeight="1" x14ac:dyDescent="0.2">
      <c r="A334" s="9" t="s">
        <v>1184</v>
      </c>
      <c r="B334" s="10" t="s">
        <v>1237</v>
      </c>
      <c r="C334" s="11" t="s">
        <v>18</v>
      </c>
      <c r="D334" s="11" t="s">
        <v>19</v>
      </c>
      <c r="E334" s="11" t="s">
        <v>19</v>
      </c>
      <c r="F334" s="11" t="s">
        <v>1238</v>
      </c>
      <c r="G334" s="11" t="s">
        <v>83</v>
      </c>
      <c r="H334" s="11" t="s">
        <v>1239</v>
      </c>
      <c r="I334" s="11" t="s">
        <v>1240</v>
      </c>
      <c r="J334" s="12">
        <v>0.84109999999999996</v>
      </c>
      <c r="K334" s="13">
        <v>2</v>
      </c>
      <c r="L334" s="14">
        <v>386</v>
      </c>
      <c r="M334" s="10">
        <v>325</v>
      </c>
      <c r="N334" s="10">
        <v>42654</v>
      </c>
      <c r="O334" s="10">
        <v>25486</v>
      </c>
      <c r="P334" s="10">
        <v>68140</v>
      </c>
    </row>
    <row r="335" spans="1:16" ht="27" customHeight="1" x14ac:dyDescent="0.2">
      <c r="A335" s="9" t="s">
        <v>1184</v>
      </c>
      <c r="B335" s="10" t="s">
        <v>1241</v>
      </c>
      <c r="C335" s="11" t="s">
        <v>18</v>
      </c>
      <c r="D335" s="11" t="s">
        <v>19</v>
      </c>
      <c r="E335" s="11" t="s">
        <v>19</v>
      </c>
      <c r="F335" s="11" t="s">
        <v>1242</v>
      </c>
      <c r="G335" s="11" t="s">
        <v>83</v>
      </c>
      <c r="H335" s="11" t="s">
        <v>1242</v>
      </c>
      <c r="I335" s="11" t="s">
        <v>1243</v>
      </c>
      <c r="J335" s="12">
        <v>0.4</v>
      </c>
      <c r="K335" s="13">
        <v>2</v>
      </c>
      <c r="L335" s="14">
        <v>65</v>
      </c>
      <c r="M335" s="10">
        <v>26</v>
      </c>
      <c r="N335" s="10">
        <v>7183</v>
      </c>
      <c r="O335" s="10">
        <v>2039</v>
      </c>
      <c r="P335" s="10">
        <v>9222</v>
      </c>
    </row>
    <row r="336" spans="1:16" ht="27" customHeight="1" x14ac:dyDescent="0.2">
      <c r="A336" s="9" t="s">
        <v>1184</v>
      </c>
      <c r="B336" s="10" t="s">
        <v>1244</v>
      </c>
      <c r="C336" s="11" t="s">
        <v>18</v>
      </c>
      <c r="D336" s="11" t="s">
        <v>19</v>
      </c>
      <c r="E336" s="11" t="s">
        <v>19</v>
      </c>
      <c r="F336" s="11" t="s">
        <v>1245</v>
      </c>
      <c r="G336" s="11" t="s">
        <v>83</v>
      </c>
      <c r="H336" s="11" t="s">
        <v>1246</v>
      </c>
      <c r="I336" s="11" t="s">
        <v>1247</v>
      </c>
      <c r="J336" s="12">
        <v>0.6522</v>
      </c>
      <c r="K336" s="13">
        <v>6</v>
      </c>
      <c r="L336" s="14">
        <v>606</v>
      </c>
      <c r="M336" s="10">
        <v>412</v>
      </c>
      <c r="N336" s="10">
        <v>66964</v>
      </c>
      <c r="O336" s="10">
        <v>32308</v>
      </c>
      <c r="P336" s="10">
        <v>99272</v>
      </c>
    </row>
    <row r="337" spans="1:16" ht="27" customHeight="1" x14ac:dyDescent="0.2">
      <c r="A337" s="9" t="s">
        <v>1184</v>
      </c>
      <c r="B337" s="10" t="s">
        <v>1248</v>
      </c>
      <c r="C337" s="11" t="s">
        <v>18</v>
      </c>
      <c r="D337" s="11" t="s">
        <v>19</v>
      </c>
      <c r="E337" s="11" t="s">
        <v>19</v>
      </c>
      <c r="F337" s="11" t="s">
        <v>1249</v>
      </c>
      <c r="G337" s="11" t="s">
        <v>83</v>
      </c>
      <c r="H337" s="11" t="s">
        <v>1250</v>
      </c>
      <c r="I337" s="11" t="s">
        <v>1251</v>
      </c>
      <c r="J337" s="12">
        <v>0.94799999999999995</v>
      </c>
      <c r="K337" s="13">
        <v>2</v>
      </c>
      <c r="L337" s="14">
        <v>348</v>
      </c>
      <c r="M337" s="10">
        <v>330</v>
      </c>
      <c r="N337" s="10">
        <v>38455</v>
      </c>
      <c r="O337" s="10">
        <v>25878</v>
      </c>
      <c r="P337" s="10">
        <v>64333</v>
      </c>
    </row>
    <row r="338" spans="1:16" ht="27" customHeight="1" x14ac:dyDescent="0.2">
      <c r="A338" s="9" t="s">
        <v>1184</v>
      </c>
      <c r="B338" s="10" t="s">
        <v>1252</v>
      </c>
      <c r="C338" s="11" t="s">
        <v>18</v>
      </c>
      <c r="D338" s="11" t="s">
        <v>19</v>
      </c>
      <c r="E338" s="11" t="s">
        <v>19</v>
      </c>
      <c r="F338" s="11" t="s">
        <v>1253</v>
      </c>
      <c r="G338" s="11" t="s">
        <v>83</v>
      </c>
      <c r="H338" s="11" t="s">
        <v>1254</v>
      </c>
      <c r="I338" s="11" t="s">
        <v>1255</v>
      </c>
      <c r="J338" s="12">
        <v>0.93730000000000002</v>
      </c>
      <c r="K338" s="13">
        <v>2</v>
      </c>
      <c r="L338" s="14">
        <v>341</v>
      </c>
      <c r="M338" s="10">
        <v>320</v>
      </c>
      <c r="N338" s="10">
        <v>37681</v>
      </c>
      <c r="O338" s="10">
        <v>25094</v>
      </c>
      <c r="P338" s="10">
        <v>62775</v>
      </c>
    </row>
    <row r="339" spans="1:16" ht="27" customHeight="1" x14ac:dyDescent="0.2">
      <c r="A339" s="9" t="s">
        <v>1256</v>
      </c>
      <c r="B339" s="10" t="s">
        <v>1257</v>
      </c>
      <c r="C339" s="11" t="s">
        <v>18</v>
      </c>
      <c r="D339" s="11" t="s">
        <v>19</v>
      </c>
      <c r="E339" s="11" t="s">
        <v>19</v>
      </c>
      <c r="F339" s="11" t="s">
        <v>1258</v>
      </c>
      <c r="G339" s="11" t="s">
        <v>21</v>
      </c>
      <c r="H339" s="11" t="s">
        <v>1259</v>
      </c>
      <c r="I339" s="11" t="s">
        <v>1260</v>
      </c>
      <c r="J339" s="12">
        <v>0.63029999999999997</v>
      </c>
      <c r="K339" s="13">
        <v>3</v>
      </c>
      <c r="L339" s="14">
        <v>131</v>
      </c>
      <c r="M339" s="10">
        <v>84</v>
      </c>
      <c r="N339" s="10">
        <v>14476</v>
      </c>
      <c r="O339" s="10">
        <v>6587</v>
      </c>
      <c r="P339" s="10">
        <v>21063</v>
      </c>
    </row>
    <row r="340" spans="1:16" ht="27" customHeight="1" x14ac:dyDescent="0.2">
      <c r="A340" s="9" t="s">
        <v>1256</v>
      </c>
      <c r="B340" s="10" t="s">
        <v>1257</v>
      </c>
      <c r="C340" s="11" t="s">
        <v>1261</v>
      </c>
      <c r="D340" s="11" t="s">
        <v>1262</v>
      </c>
      <c r="E340" s="11" t="s">
        <v>26</v>
      </c>
      <c r="F340" s="11" t="s">
        <v>1263</v>
      </c>
      <c r="G340" s="11" t="s">
        <v>28</v>
      </c>
      <c r="H340" s="11" t="s">
        <v>1259</v>
      </c>
      <c r="I340" s="11" t="s">
        <v>1260</v>
      </c>
      <c r="J340" s="12">
        <v>0.63029999999999997</v>
      </c>
      <c r="K340" s="13">
        <v>1</v>
      </c>
      <c r="L340" s="14">
        <v>667</v>
      </c>
      <c r="M340" s="10">
        <v>619</v>
      </c>
      <c r="N340" s="10">
        <v>73705</v>
      </c>
      <c r="O340" s="10">
        <v>48541</v>
      </c>
      <c r="P340" s="10">
        <v>122246</v>
      </c>
    </row>
    <row r="341" spans="1:16" ht="27" customHeight="1" x14ac:dyDescent="0.2">
      <c r="A341" s="9" t="s">
        <v>1256</v>
      </c>
      <c r="B341" s="10" t="s">
        <v>1257</v>
      </c>
      <c r="C341" s="11" t="s">
        <v>1264</v>
      </c>
      <c r="D341" s="11" t="s">
        <v>1265</v>
      </c>
      <c r="E341" s="11" t="s">
        <v>26</v>
      </c>
      <c r="F341" s="11" t="s">
        <v>1266</v>
      </c>
      <c r="G341" s="11" t="s">
        <v>28</v>
      </c>
      <c r="H341" s="11" t="s">
        <v>1259</v>
      </c>
      <c r="I341" s="11" t="s">
        <v>1260</v>
      </c>
      <c r="J341" s="12">
        <v>0.63029999999999997</v>
      </c>
      <c r="K341" s="13">
        <v>1</v>
      </c>
      <c r="L341" s="14">
        <v>202</v>
      </c>
      <c r="M341" s="10">
        <v>163</v>
      </c>
      <c r="N341" s="10">
        <v>22321</v>
      </c>
      <c r="O341" s="10">
        <v>12782</v>
      </c>
      <c r="P341" s="10">
        <v>35103</v>
      </c>
    </row>
    <row r="342" spans="1:16" ht="27" customHeight="1" x14ac:dyDescent="0.2">
      <c r="A342" s="9" t="s">
        <v>1256</v>
      </c>
      <c r="B342" s="10" t="s">
        <v>1257</v>
      </c>
      <c r="C342" s="11" t="s">
        <v>1267</v>
      </c>
      <c r="D342" s="11" t="s">
        <v>1268</v>
      </c>
      <c r="E342" s="11" t="s">
        <v>26</v>
      </c>
      <c r="F342" s="11" t="s">
        <v>1269</v>
      </c>
      <c r="G342" s="11" t="s">
        <v>28</v>
      </c>
      <c r="H342" s="11" t="s">
        <v>1259</v>
      </c>
      <c r="I342" s="11" t="s">
        <v>1260</v>
      </c>
      <c r="J342" s="12">
        <v>0.63029999999999997</v>
      </c>
      <c r="K342" s="13">
        <v>1</v>
      </c>
      <c r="L342" s="14">
        <v>230</v>
      </c>
      <c r="M342" s="10">
        <v>218</v>
      </c>
      <c r="N342" s="10">
        <v>25415</v>
      </c>
      <c r="O342" s="10">
        <v>17095</v>
      </c>
      <c r="P342" s="10">
        <v>42510</v>
      </c>
    </row>
    <row r="343" spans="1:16" ht="27" customHeight="1" x14ac:dyDescent="0.2">
      <c r="A343" s="9" t="s">
        <v>1256</v>
      </c>
      <c r="B343" s="10" t="s">
        <v>1270</v>
      </c>
      <c r="C343" s="11" t="s">
        <v>18</v>
      </c>
      <c r="D343" s="11" t="s">
        <v>19</v>
      </c>
      <c r="E343" s="11" t="s">
        <v>19</v>
      </c>
      <c r="F343" s="11" t="s">
        <v>1271</v>
      </c>
      <c r="G343" s="11" t="s">
        <v>83</v>
      </c>
      <c r="H343" s="11" t="s">
        <v>1272</v>
      </c>
      <c r="I343" s="11" t="s">
        <v>1273</v>
      </c>
      <c r="J343" s="12">
        <v>0.59199999999999997</v>
      </c>
      <c r="K343" s="13">
        <v>3</v>
      </c>
      <c r="L343" s="14">
        <v>159</v>
      </c>
      <c r="M343" s="10">
        <v>94</v>
      </c>
      <c r="N343" s="10">
        <v>17570</v>
      </c>
      <c r="O343" s="10">
        <v>7371</v>
      </c>
      <c r="P343" s="10">
        <v>24941</v>
      </c>
    </row>
    <row r="344" spans="1:16" ht="27" customHeight="1" x14ac:dyDescent="0.2">
      <c r="A344" s="9" t="s">
        <v>1256</v>
      </c>
      <c r="B344" s="10" t="s">
        <v>1274</v>
      </c>
      <c r="C344" s="11" t="s">
        <v>18</v>
      </c>
      <c r="D344" s="11" t="s">
        <v>19</v>
      </c>
      <c r="E344" s="11" t="s">
        <v>19</v>
      </c>
      <c r="F344" s="11" t="s">
        <v>1275</v>
      </c>
      <c r="G344" s="11" t="s">
        <v>83</v>
      </c>
      <c r="H344" s="11" t="s">
        <v>1276</v>
      </c>
      <c r="I344" s="11" t="s">
        <v>1277</v>
      </c>
      <c r="J344" s="12">
        <v>0.4118</v>
      </c>
      <c r="K344" s="13">
        <v>5</v>
      </c>
      <c r="L344" s="14">
        <v>24</v>
      </c>
      <c r="M344" s="10">
        <v>10</v>
      </c>
      <c r="N344" s="10">
        <v>2653</v>
      </c>
      <c r="O344" s="10">
        <v>784</v>
      </c>
      <c r="P344" s="10">
        <v>3437</v>
      </c>
    </row>
    <row r="345" spans="1:16" ht="27" customHeight="1" x14ac:dyDescent="0.2">
      <c r="A345" s="9" t="s">
        <v>1256</v>
      </c>
      <c r="B345" s="10" t="s">
        <v>1278</v>
      </c>
      <c r="C345" s="11" t="s">
        <v>18</v>
      </c>
      <c r="D345" s="11" t="s">
        <v>19</v>
      </c>
      <c r="E345" s="11" t="s">
        <v>19</v>
      </c>
      <c r="F345" s="11" t="s">
        <v>1279</v>
      </c>
      <c r="G345" s="11" t="s">
        <v>83</v>
      </c>
      <c r="H345" s="11" t="s">
        <v>1259</v>
      </c>
      <c r="I345" s="11" t="s">
        <v>1260</v>
      </c>
      <c r="J345" s="12">
        <v>0.63029999999999997</v>
      </c>
      <c r="K345" s="13">
        <v>4</v>
      </c>
      <c r="L345" s="14">
        <v>326</v>
      </c>
      <c r="M345" s="10">
        <v>191</v>
      </c>
      <c r="N345" s="10">
        <v>36025</v>
      </c>
      <c r="O345" s="10">
        <v>14978</v>
      </c>
      <c r="P345" s="10">
        <v>51003</v>
      </c>
    </row>
    <row r="346" spans="1:16" ht="27" customHeight="1" x14ac:dyDescent="0.2">
      <c r="A346" s="9" t="s">
        <v>1256</v>
      </c>
      <c r="B346" s="10" t="s">
        <v>1280</v>
      </c>
      <c r="C346" s="11" t="s">
        <v>18</v>
      </c>
      <c r="D346" s="11" t="s">
        <v>19</v>
      </c>
      <c r="E346" s="11" t="s">
        <v>19</v>
      </c>
      <c r="F346" s="11" t="s">
        <v>1281</v>
      </c>
      <c r="G346" s="11" t="s">
        <v>83</v>
      </c>
      <c r="H346" s="11" t="s">
        <v>1282</v>
      </c>
      <c r="I346" s="11" t="s">
        <v>1283</v>
      </c>
      <c r="J346" s="12">
        <v>0.55069999999999997</v>
      </c>
      <c r="K346" s="13">
        <v>3</v>
      </c>
      <c r="L346" s="14">
        <v>89</v>
      </c>
      <c r="M346" s="10">
        <v>48</v>
      </c>
      <c r="N346" s="10">
        <v>9836</v>
      </c>
      <c r="O346" s="10">
        <v>3764</v>
      </c>
      <c r="P346" s="10">
        <v>13600</v>
      </c>
    </row>
    <row r="347" spans="1:16" ht="27" customHeight="1" x14ac:dyDescent="0.2">
      <c r="A347" s="9" t="s">
        <v>1256</v>
      </c>
      <c r="B347" s="10" t="s">
        <v>1284</v>
      </c>
      <c r="C347" s="11" t="s">
        <v>18</v>
      </c>
      <c r="D347" s="11" t="s">
        <v>19</v>
      </c>
      <c r="E347" s="11" t="s">
        <v>19</v>
      </c>
      <c r="F347" s="11" t="s">
        <v>1285</v>
      </c>
      <c r="G347" s="11" t="s">
        <v>83</v>
      </c>
      <c r="H347" s="11" t="s">
        <v>1286</v>
      </c>
      <c r="I347" s="11" t="s">
        <v>1287</v>
      </c>
      <c r="J347" s="12">
        <v>0.34920000000000001</v>
      </c>
      <c r="K347" s="13">
        <v>2</v>
      </c>
      <c r="L347" s="14">
        <v>65</v>
      </c>
      <c r="M347" s="10">
        <v>23</v>
      </c>
      <c r="N347" s="10">
        <v>7183</v>
      </c>
      <c r="O347" s="10">
        <v>1803</v>
      </c>
      <c r="P347" s="10">
        <v>8986</v>
      </c>
    </row>
    <row r="348" spans="1:16" ht="27" customHeight="1" x14ac:dyDescent="0.2">
      <c r="A348" s="9" t="s">
        <v>1256</v>
      </c>
      <c r="B348" s="10" t="s">
        <v>1288</v>
      </c>
      <c r="C348" s="11" t="s">
        <v>18</v>
      </c>
      <c r="D348" s="11" t="s">
        <v>19</v>
      </c>
      <c r="E348" s="11" t="s">
        <v>19</v>
      </c>
      <c r="F348" s="11" t="s">
        <v>1289</v>
      </c>
      <c r="G348" s="11" t="s">
        <v>83</v>
      </c>
      <c r="H348" s="11" t="s">
        <v>1290</v>
      </c>
      <c r="I348" s="11" t="s">
        <v>1291</v>
      </c>
      <c r="J348" s="12">
        <v>0.55059999999999998</v>
      </c>
      <c r="K348" s="13">
        <v>7</v>
      </c>
      <c r="L348" s="14">
        <v>1943</v>
      </c>
      <c r="M348" s="10">
        <v>953</v>
      </c>
      <c r="N348" s="10">
        <v>214706</v>
      </c>
      <c r="O348" s="10">
        <v>74733</v>
      </c>
      <c r="P348" s="10">
        <v>289439</v>
      </c>
    </row>
    <row r="349" spans="1:16" ht="27" customHeight="1" x14ac:dyDescent="0.2">
      <c r="A349" s="9" t="s">
        <v>1292</v>
      </c>
      <c r="B349" s="10" t="s">
        <v>1293</v>
      </c>
      <c r="C349" s="11" t="s">
        <v>18</v>
      </c>
      <c r="D349" s="11" t="s">
        <v>19</v>
      </c>
      <c r="E349" s="11" t="s">
        <v>19</v>
      </c>
      <c r="F349" s="11" t="s">
        <v>1294</v>
      </c>
      <c r="G349" s="11" t="s">
        <v>21</v>
      </c>
      <c r="H349" s="11" t="s">
        <v>1295</v>
      </c>
      <c r="I349" s="11" t="s">
        <v>1296</v>
      </c>
      <c r="J349" s="12">
        <v>1</v>
      </c>
      <c r="K349" s="13">
        <v>4</v>
      </c>
      <c r="L349" s="14">
        <v>1676</v>
      </c>
      <c r="M349" s="10">
        <v>1522</v>
      </c>
      <c r="N349" s="10">
        <v>185200</v>
      </c>
      <c r="O349" s="10">
        <v>119354</v>
      </c>
      <c r="P349" s="10">
        <v>304554</v>
      </c>
    </row>
    <row r="350" spans="1:16" ht="27" customHeight="1" x14ac:dyDescent="0.2">
      <c r="A350" s="9" t="s">
        <v>1292</v>
      </c>
      <c r="B350" s="10" t="s">
        <v>1293</v>
      </c>
      <c r="C350" s="11" t="s">
        <v>1297</v>
      </c>
      <c r="D350" s="11" t="s">
        <v>1298</v>
      </c>
      <c r="E350" s="11" t="s">
        <v>26</v>
      </c>
      <c r="F350" s="11" t="s">
        <v>1299</v>
      </c>
      <c r="G350" s="11" t="s">
        <v>28</v>
      </c>
      <c r="H350" s="11" t="s">
        <v>1299</v>
      </c>
      <c r="I350" s="11" t="s">
        <v>1300</v>
      </c>
      <c r="J350" s="12">
        <v>0.78469999999999995</v>
      </c>
      <c r="K350" s="13">
        <v>1</v>
      </c>
      <c r="L350" s="14">
        <v>1900</v>
      </c>
      <c r="M350" s="10">
        <v>1491</v>
      </c>
      <c r="N350" s="10">
        <v>209953</v>
      </c>
      <c r="O350" s="10">
        <v>116923</v>
      </c>
      <c r="P350" s="10">
        <v>326876</v>
      </c>
    </row>
    <row r="351" spans="1:16" ht="27" customHeight="1" x14ac:dyDescent="0.2">
      <c r="A351" s="9" t="s">
        <v>1292</v>
      </c>
      <c r="B351" s="10" t="s">
        <v>1293</v>
      </c>
      <c r="C351" s="11" t="s">
        <v>1301</v>
      </c>
      <c r="D351" s="11" t="s">
        <v>1302</v>
      </c>
      <c r="E351" s="11" t="s">
        <v>26</v>
      </c>
      <c r="F351" s="11" t="s">
        <v>1303</v>
      </c>
      <c r="G351" s="11" t="s">
        <v>28</v>
      </c>
      <c r="H351" s="11" t="s">
        <v>1303</v>
      </c>
      <c r="I351" s="11" t="s">
        <v>1304</v>
      </c>
      <c r="J351" s="12">
        <v>0.91749999999999998</v>
      </c>
      <c r="K351" s="13">
        <v>1</v>
      </c>
      <c r="L351" s="14">
        <v>824</v>
      </c>
      <c r="M351" s="10">
        <v>756</v>
      </c>
      <c r="N351" s="10">
        <v>91053</v>
      </c>
      <c r="O351" s="10">
        <v>59285</v>
      </c>
      <c r="P351" s="10">
        <v>150338</v>
      </c>
    </row>
    <row r="352" spans="1:16" ht="27" customHeight="1" x14ac:dyDescent="0.2">
      <c r="A352" s="9" t="s">
        <v>1292</v>
      </c>
      <c r="B352" s="10" t="s">
        <v>1293</v>
      </c>
      <c r="C352" s="11" t="s">
        <v>1305</v>
      </c>
      <c r="D352" s="11" t="s">
        <v>1306</v>
      </c>
      <c r="E352" s="11" t="s">
        <v>26</v>
      </c>
      <c r="F352" s="11" t="s">
        <v>1307</v>
      </c>
      <c r="G352" s="11" t="s">
        <v>28</v>
      </c>
      <c r="H352" s="11" t="s">
        <v>1307</v>
      </c>
      <c r="I352" s="11" t="s">
        <v>1308</v>
      </c>
      <c r="J352" s="12">
        <v>0.67459999999999998</v>
      </c>
      <c r="K352" s="13">
        <v>1</v>
      </c>
      <c r="L352" s="14">
        <v>504</v>
      </c>
      <c r="M352" s="10">
        <v>340</v>
      </c>
      <c r="N352" s="10">
        <v>55693</v>
      </c>
      <c r="O352" s="10">
        <v>26662</v>
      </c>
      <c r="P352" s="10">
        <v>82355</v>
      </c>
    </row>
    <row r="353" spans="1:16" ht="27" customHeight="1" x14ac:dyDescent="0.2">
      <c r="A353" s="9" t="s">
        <v>1292</v>
      </c>
      <c r="B353" s="10" t="s">
        <v>1293</v>
      </c>
      <c r="C353" s="11" t="s">
        <v>1309</v>
      </c>
      <c r="D353" s="11" t="s">
        <v>1310</v>
      </c>
      <c r="E353" s="11" t="s">
        <v>57</v>
      </c>
      <c r="F353" s="11" t="s">
        <v>1311</v>
      </c>
      <c r="G353" s="11" t="s">
        <v>28</v>
      </c>
      <c r="H353" s="11" t="s">
        <v>1311</v>
      </c>
      <c r="I353" s="11" t="s">
        <v>1312</v>
      </c>
      <c r="J353" s="12">
        <v>0.38629999999999998</v>
      </c>
      <c r="K353" s="13">
        <v>1</v>
      </c>
      <c r="L353" s="14">
        <v>1108</v>
      </c>
      <c r="M353" s="10">
        <v>428</v>
      </c>
      <c r="N353" s="10">
        <v>122436</v>
      </c>
      <c r="O353" s="10">
        <v>33563</v>
      </c>
      <c r="P353" s="10">
        <v>155999</v>
      </c>
    </row>
    <row r="354" spans="1:16" ht="27" customHeight="1" x14ac:dyDescent="0.2">
      <c r="A354" s="9" t="s">
        <v>1292</v>
      </c>
      <c r="B354" s="10" t="s">
        <v>1293</v>
      </c>
      <c r="C354" s="11" t="s">
        <v>1313</v>
      </c>
      <c r="D354" s="11" t="s">
        <v>1314</v>
      </c>
      <c r="E354" s="11" t="s">
        <v>26</v>
      </c>
      <c r="F354" s="11" t="s">
        <v>1315</v>
      </c>
      <c r="G354" s="11" t="s">
        <v>28</v>
      </c>
      <c r="H354" s="11" t="s">
        <v>1315</v>
      </c>
      <c r="I354" s="11" t="s">
        <v>1316</v>
      </c>
      <c r="J354" s="12">
        <v>0.44259999999999999</v>
      </c>
      <c r="K354" s="13">
        <v>1</v>
      </c>
      <c r="L354" s="14">
        <v>183</v>
      </c>
      <c r="M354" s="10">
        <v>81</v>
      </c>
      <c r="N354" s="10">
        <v>20222</v>
      </c>
      <c r="O354" s="10">
        <v>6352</v>
      </c>
      <c r="P354" s="10">
        <v>26574</v>
      </c>
    </row>
    <row r="355" spans="1:16" ht="27" customHeight="1" x14ac:dyDescent="0.2">
      <c r="A355" s="9" t="s">
        <v>1292</v>
      </c>
      <c r="B355" s="10" t="s">
        <v>1317</v>
      </c>
      <c r="C355" s="11" t="s">
        <v>18</v>
      </c>
      <c r="D355" s="11" t="s">
        <v>19</v>
      </c>
      <c r="E355" s="11" t="s">
        <v>19</v>
      </c>
      <c r="F355" s="11" t="s">
        <v>1318</v>
      </c>
      <c r="G355" s="11" t="s">
        <v>83</v>
      </c>
      <c r="H355" s="11" t="s">
        <v>794</v>
      </c>
      <c r="I355" s="11" t="s">
        <v>1319</v>
      </c>
      <c r="J355" s="12">
        <v>0.95199999999999996</v>
      </c>
      <c r="K355" s="13">
        <v>5</v>
      </c>
      <c r="L355" s="14">
        <v>3049</v>
      </c>
      <c r="M355" s="10">
        <v>2864</v>
      </c>
      <c r="N355" s="10">
        <v>336920</v>
      </c>
      <c r="O355" s="10">
        <v>224593</v>
      </c>
      <c r="P355" s="10">
        <v>561513</v>
      </c>
    </row>
    <row r="356" spans="1:16" ht="27" customHeight="1" x14ac:dyDescent="0.2">
      <c r="A356" s="9" t="s">
        <v>1292</v>
      </c>
      <c r="B356" s="10" t="s">
        <v>1320</v>
      </c>
      <c r="C356" s="11" t="s">
        <v>18</v>
      </c>
      <c r="D356" s="11" t="s">
        <v>19</v>
      </c>
      <c r="E356" s="11" t="s">
        <v>19</v>
      </c>
      <c r="F356" s="11" t="s">
        <v>1321</v>
      </c>
      <c r="G356" s="11" t="s">
        <v>83</v>
      </c>
      <c r="H356" s="11" t="s">
        <v>1322</v>
      </c>
      <c r="I356" s="11" t="s">
        <v>1323</v>
      </c>
      <c r="J356" s="12">
        <v>0.96940000000000004</v>
      </c>
      <c r="K356" s="13">
        <v>46</v>
      </c>
      <c r="L356" s="14">
        <v>29559</v>
      </c>
      <c r="M356" s="10">
        <v>25762</v>
      </c>
      <c r="N356" s="10">
        <v>3266317</v>
      </c>
      <c r="O356" s="10">
        <v>2020228</v>
      </c>
      <c r="P356" s="10">
        <v>5286545</v>
      </c>
    </row>
    <row r="357" spans="1:16" ht="27" customHeight="1" x14ac:dyDescent="0.2">
      <c r="A357" s="9" t="s">
        <v>1292</v>
      </c>
      <c r="B357" s="10" t="s">
        <v>1324</v>
      </c>
      <c r="C357" s="11" t="s">
        <v>18</v>
      </c>
      <c r="D357" s="11" t="s">
        <v>19</v>
      </c>
      <c r="E357" s="11" t="s">
        <v>19</v>
      </c>
      <c r="F357" s="11" t="s">
        <v>1325</v>
      </c>
      <c r="G357" s="11" t="s">
        <v>83</v>
      </c>
      <c r="H357" s="11" t="s">
        <v>1325</v>
      </c>
      <c r="I357" s="11" t="s">
        <v>1326</v>
      </c>
      <c r="J357" s="12">
        <v>0.98099999999999998</v>
      </c>
      <c r="K357" s="13">
        <v>5</v>
      </c>
      <c r="L357" s="14">
        <v>1957</v>
      </c>
      <c r="M357" s="10">
        <v>1865</v>
      </c>
      <c r="N357" s="10">
        <v>216252</v>
      </c>
      <c r="O357" s="10">
        <v>146252</v>
      </c>
      <c r="P357" s="10">
        <v>362504</v>
      </c>
    </row>
    <row r="358" spans="1:16" ht="27" customHeight="1" x14ac:dyDescent="0.2">
      <c r="A358" s="9" t="s">
        <v>1292</v>
      </c>
      <c r="B358" s="10" t="s">
        <v>1327</v>
      </c>
      <c r="C358" s="11" t="s">
        <v>18</v>
      </c>
      <c r="D358" s="11" t="s">
        <v>19</v>
      </c>
      <c r="E358" s="11" t="s">
        <v>19</v>
      </c>
      <c r="F358" s="11" t="s">
        <v>1328</v>
      </c>
      <c r="G358" s="11" t="s">
        <v>83</v>
      </c>
      <c r="H358" s="11" t="s">
        <v>1328</v>
      </c>
      <c r="I358" s="11" t="s">
        <v>1329</v>
      </c>
      <c r="J358" s="12">
        <v>0.6875</v>
      </c>
      <c r="K358" s="13">
        <v>2</v>
      </c>
      <c r="L358" s="14">
        <v>17</v>
      </c>
      <c r="M358" s="10">
        <v>11</v>
      </c>
      <c r="N358" s="10">
        <v>1879</v>
      </c>
      <c r="O358" s="10">
        <v>863</v>
      </c>
      <c r="P358" s="10">
        <v>2742</v>
      </c>
    </row>
    <row r="359" spans="1:16" ht="27" customHeight="1" x14ac:dyDescent="0.2">
      <c r="A359" s="9" t="s">
        <v>1292</v>
      </c>
      <c r="B359" s="10" t="s">
        <v>1330</v>
      </c>
      <c r="C359" s="11" t="s">
        <v>18</v>
      </c>
      <c r="D359" s="11" t="s">
        <v>19</v>
      </c>
      <c r="E359" s="11" t="s">
        <v>19</v>
      </c>
      <c r="F359" s="11" t="s">
        <v>1331</v>
      </c>
      <c r="G359" s="11" t="s">
        <v>83</v>
      </c>
      <c r="H359" s="11" t="s">
        <v>1332</v>
      </c>
      <c r="I359" s="11" t="s">
        <v>1333</v>
      </c>
      <c r="J359" s="12">
        <v>0.93920000000000003</v>
      </c>
      <c r="K359" s="13">
        <v>26</v>
      </c>
      <c r="L359" s="14">
        <v>19494</v>
      </c>
      <c r="M359" s="10">
        <v>14705</v>
      </c>
      <c r="N359" s="10">
        <v>2154119</v>
      </c>
      <c r="O359" s="10">
        <v>1153151</v>
      </c>
      <c r="P359" s="10">
        <v>3307270</v>
      </c>
    </row>
    <row r="360" spans="1:16" ht="27" customHeight="1" x14ac:dyDescent="0.2">
      <c r="A360" s="9" t="s">
        <v>1292</v>
      </c>
      <c r="B360" s="10" t="s">
        <v>1334</v>
      </c>
      <c r="C360" s="11" t="s">
        <v>18</v>
      </c>
      <c r="D360" s="11" t="s">
        <v>19</v>
      </c>
      <c r="E360" s="11" t="s">
        <v>19</v>
      </c>
      <c r="F360" s="11" t="s">
        <v>1335</v>
      </c>
      <c r="G360" s="11" t="s">
        <v>83</v>
      </c>
      <c r="H360" s="11" t="s">
        <v>1336</v>
      </c>
      <c r="I360" s="11" t="s">
        <v>1337</v>
      </c>
      <c r="J360" s="12">
        <v>0.91369999999999996</v>
      </c>
      <c r="K360" s="13">
        <v>2</v>
      </c>
      <c r="L360" s="14">
        <v>334</v>
      </c>
      <c r="M360" s="10">
        <v>305</v>
      </c>
      <c r="N360" s="10">
        <v>36908</v>
      </c>
      <c r="O360" s="10">
        <v>23918</v>
      </c>
      <c r="P360" s="10">
        <v>60826</v>
      </c>
    </row>
    <row r="361" spans="1:16" ht="27" customHeight="1" x14ac:dyDescent="0.2">
      <c r="A361" s="9" t="s">
        <v>1292</v>
      </c>
      <c r="B361" s="10" t="s">
        <v>1338</v>
      </c>
      <c r="C361" s="11" t="s">
        <v>18</v>
      </c>
      <c r="D361" s="11" t="s">
        <v>19</v>
      </c>
      <c r="E361" s="11" t="s">
        <v>19</v>
      </c>
      <c r="F361" s="11" t="s">
        <v>1339</v>
      </c>
      <c r="G361" s="11" t="s">
        <v>83</v>
      </c>
      <c r="H361" s="11" t="s">
        <v>1340</v>
      </c>
      <c r="I361" s="11" t="s">
        <v>1341</v>
      </c>
      <c r="J361" s="12">
        <v>0.70269999999999999</v>
      </c>
      <c r="K361" s="13">
        <v>2</v>
      </c>
      <c r="L361" s="14">
        <v>74</v>
      </c>
      <c r="M361" s="10">
        <v>52</v>
      </c>
      <c r="N361" s="10">
        <v>8177</v>
      </c>
      <c r="O361" s="10">
        <v>4078</v>
      </c>
      <c r="P361" s="10">
        <v>12255</v>
      </c>
    </row>
    <row r="362" spans="1:16" ht="27" customHeight="1" x14ac:dyDescent="0.2">
      <c r="A362" s="9" t="s">
        <v>1292</v>
      </c>
      <c r="B362" s="10" t="s">
        <v>1342</v>
      </c>
      <c r="C362" s="11" t="s">
        <v>18</v>
      </c>
      <c r="D362" s="11" t="s">
        <v>19</v>
      </c>
      <c r="E362" s="11" t="s">
        <v>19</v>
      </c>
      <c r="F362" s="11" t="s">
        <v>1343</v>
      </c>
      <c r="G362" s="11" t="s">
        <v>83</v>
      </c>
      <c r="H362" s="11" t="s">
        <v>1344</v>
      </c>
      <c r="I362" s="11" t="s">
        <v>1345</v>
      </c>
      <c r="J362" s="12">
        <v>0.94120000000000004</v>
      </c>
      <c r="K362" s="13">
        <v>10</v>
      </c>
      <c r="L362" s="14">
        <v>4740</v>
      </c>
      <c r="M362" s="10">
        <v>4093</v>
      </c>
      <c r="N362" s="10">
        <v>523778</v>
      </c>
      <c r="O362" s="10">
        <v>320970</v>
      </c>
      <c r="P362" s="10">
        <v>844748</v>
      </c>
    </row>
    <row r="363" spans="1:16" ht="27" customHeight="1" x14ac:dyDescent="0.2">
      <c r="A363" s="9" t="s">
        <v>1292</v>
      </c>
      <c r="B363" s="10" t="s">
        <v>1342</v>
      </c>
      <c r="C363" s="11" t="s">
        <v>1346</v>
      </c>
      <c r="D363" s="11" t="s">
        <v>1347</v>
      </c>
      <c r="E363" s="11" t="s">
        <v>57</v>
      </c>
      <c r="F363" s="11" t="s">
        <v>1348</v>
      </c>
      <c r="G363" s="11" t="s">
        <v>28</v>
      </c>
      <c r="H363" s="11" t="s">
        <v>1348</v>
      </c>
      <c r="I363" s="11" t="s">
        <v>1349</v>
      </c>
      <c r="J363" s="12">
        <v>0.87519999999999998</v>
      </c>
      <c r="K363" s="13">
        <v>1</v>
      </c>
      <c r="L363" s="14">
        <v>622</v>
      </c>
      <c r="M363" s="10">
        <v>544</v>
      </c>
      <c r="N363" s="10">
        <v>68732</v>
      </c>
      <c r="O363" s="10">
        <v>42660</v>
      </c>
      <c r="P363" s="10">
        <v>111392</v>
      </c>
    </row>
    <row r="364" spans="1:16" ht="27" customHeight="1" x14ac:dyDescent="0.2">
      <c r="A364" s="9" t="s">
        <v>1292</v>
      </c>
      <c r="B364" s="10" t="s">
        <v>1342</v>
      </c>
      <c r="C364" s="11" t="s">
        <v>1350</v>
      </c>
      <c r="D364" s="11" t="s">
        <v>1351</v>
      </c>
      <c r="E364" s="11" t="s">
        <v>57</v>
      </c>
      <c r="F364" s="11" t="s">
        <v>1352</v>
      </c>
      <c r="G364" s="11" t="s">
        <v>28</v>
      </c>
      <c r="H364" s="11" t="s">
        <v>1295</v>
      </c>
      <c r="I364" s="11" t="s">
        <v>1296</v>
      </c>
      <c r="J364" s="12">
        <v>1</v>
      </c>
      <c r="K364" s="13">
        <v>1</v>
      </c>
      <c r="L364" s="14">
        <v>604</v>
      </c>
      <c r="M364" s="10">
        <v>529</v>
      </c>
      <c r="N364" s="10">
        <v>66743</v>
      </c>
      <c r="O364" s="10">
        <v>41484</v>
      </c>
      <c r="P364" s="10">
        <v>108227</v>
      </c>
    </row>
    <row r="365" spans="1:16" ht="27" customHeight="1" x14ac:dyDescent="0.2">
      <c r="A365" s="9" t="s">
        <v>1292</v>
      </c>
      <c r="B365" s="10" t="s">
        <v>1342</v>
      </c>
      <c r="C365" s="11" t="s">
        <v>1353</v>
      </c>
      <c r="D365" s="11" t="s">
        <v>1354</v>
      </c>
      <c r="E365" s="11" t="s">
        <v>57</v>
      </c>
      <c r="F365" s="11" t="s">
        <v>1355</v>
      </c>
      <c r="G365" s="11" t="s">
        <v>28</v>
      </c>
      <c r="H365" s="11" t="s">
        <v>1355</v>
      </c>
      <c r="I365" s="11" t="s">
        <v>1356</v>
      </c>
      <c r="J365" s="12">
        <v>0.89539999999999997</v>
      </c>
      <c r="K365" s="13">
        <v>1</v>
      </c>
      <c r="L365" s="14">
        <v>507</v>
      </c>
      <c r="M365" s="10">
        <v>454</v>
      </c>
      <c r="N365" s="10">
        <v>56024</v>
      </c>
      <c r="O365" s="10">
        <v>35602</v>
      </c>
      <c r="P365" s="10">
        <v>91626</v>
      </c>
    </row>
    <row r="366" spans="1:16" ht="27" customHeight="1" x14ac:dyDescent="0.2">
      <c r="A366" s="9" t="s">
        <v>1292</v>
      </c>
      <c r="B366" s="10" t="s">
        <v>1357</v>
      </c>
      <c r="C366" s="11" t="s">
        <v>18</v>
      </c>
      <c r="D366" s="11" t="s">
        <v>19</v>
      </c>
      <c r="E366" s="11" t="s">
        <v>19</v>
      </c>
      <c r="F366" s="11" t="s">
        <v>1358</v>
      </c>
      <c r="G366" s="11" t="s">
        <v>83</v>
      </c>
      <c r="H366" s="11" t="s">
        <v>1295</v>
      </c>
      <c r="I366" s="11" t="s">
        <v>1296</v>
      </c>
      <c r="J366" s="12">
        <v>1</v>
      </c>
      <c r="K366" s="13">
        <v>5</v>
      </c>
      <c r="L366" s="14">
        <v>4142</v>
      </c>
      <c r="M366" s="10">
        <v>3727</v>
      </c>
      <c r="N366" s="10">
        <v>457698</v>
      </c>
      <c r="O366" s="10">
        <v>292268</v>
      </c>
      <c r="P366" s="10">
        <v>749966</v>
      </c>
    </row>
    <row r="367" spans="1:16" ht="27" customHeight="1" x14ac:dyDescent="0.2">
      <c r="A367" s="9" t="s">
        <v>1292</v>
      </c>
      <c r="B367" s="10" t="s">
        <v>1359</v>
      </c>
      <c r="C367" s="11" t="s">
        <v>18</v>
      </c>
      <c r="D367" s="11" t="s">
        <v>19</v>
      </c>
      <c r="E367" s="11" t="s">
        <v>19</v>
      </c>
      <c r="F367" s="11" t="s">
        <v>1295</v>
      </c>
      <c r="G367" s="11" t="s">
        <v>83</v>
      </c>
      <c r="H367" s="11" t="s">
        <v>1295</v>
      </c>
      <c r="I367" s="11" t="s">
        <v>1296</v>
      </c>
      <c r="J367" s="12">
        <v>1</v>
      </c>
      <c r="K367" s="13">
        <v>2</v>
      </c>
      <c r="L367" s="14">
        <v>229</v>
      </c>
      <c r="M367" s="10">
        <v>229</v>
      </c>
      <c r="N367" s="10">
        <v>25305</v>
      </c>
      <c r="O367" s="10">
        <v>17958</v>
      </c>
      <c r="P367" s="10">
        <v>43263</v>
      </c>
    </row>
    <row r="368" spans="1:16" ht="27" customHeight="1" x14ac:dyDescent="0.2">
      <c r="A368" s="9" t="s">
        <v>1292</v>
      </c>
      <c r="B368" s="10" t="s">
        <v>1360</v>
      </c>
      <c r="C368" s="11" t="s">
        <v>18</v>
      </c>
      <c r="D368" s="11" t="s">
        <v>19</v>
      </c>
      <c r="E368" s="11" t="s">
        <v>19</v>
      </c>
      <c r="F368" s="11" t="s">
        <v>1361</v>
      </c>
      <c r="G368" s="11" t="s">
        <v>83</v>
      </c>
      <c r="H368" s="11" t="s">
        <v>1362</v>
      </c>
      <c r="I368" s="11" t="s">
        <v>1363</v>
      </c>
      <c r="J368" s="12">
        <v>0.86909999999999998</v>
      </c>
      <c r="K368" s="13">
        <v>3</v>
      </c>
      <c r="L368" s="14">
        <v>1171</v>
      </c>
      <c r="M368" s="10">
        <v>1011</v>
      </c>
      <c r="N368" s="10">
        <v>129398</v>
      </c>
      <c r="O368" s="10">
        <v>79281</v>
      </c>
      <c r="P368" s="10">
        <v>208679</v>
      </c>
    </row>
    <row r="369" spans="1:16" ht="27" customHeight="1" x14ac:dyDescent="0.2">
      <c r="A369" s="9" t="s">
        <v>1292</v>
      </c>
      <c r="B369" s="10" t="s">
        <v>1364</v>
      </c>
      <c r="C369" s="11" t="s">
        <v>18</v>
      </c>
      <c r="D369" s="11" t="s">
        <v>19</v>
      </c>
      <c r="E369" s="11" t="s">
        <v>19</v>
      </c>
      <c r="F369" s="11" t="s">
        <v>1365</v>
      </c>
      <c r="G369" s="11" t="s">
        <v>83</v>
      </c>
      <c r="H369" s="11" t="s">
        <v>1365</v>
      </c>
      <c r="I369" s="11" t="s">
        <v>1366</v>
      </c>
      <c r="J369" s="12">
        <v>0.77910000000000001</v>
      </c>
      <c r="K369" s="13">
        <v>2</v>
      </c>
      <c r="L369" s="14">
        <v>163</v>
      </c>
      <c r="M369" s="10">
        <v>127</v>
      </c>
      <c r="N369" s="10">
        <v>18012</v>
      </c>
      <c r="O369" s="10">
        <v>9959</v>
      </c>
      <c r="P369" s="10">
        <v>27971</v>
      </c>
    </row>
    <row r="370" spans="1:16" ht="27" customHeight="1" x14ac:dyDescent="0.2">
      <c r="A370" s="9" t="s">
        <v>1292</v>
      </c>
      <c r="B370" s="10" t="s">
        <v>1367</v>
      </c>
      <c r="C370" s="11" t="s">
        <v>18</v>
      </c>
      <c r="D370" s="11" t="s">
        <v>19</v>
      </c>
      <c r="E370" s="11" t="s">
        <v>19</v>
      </c>
      <c r="F370" s="11" t="s">
        <v>1368</v>
      </c>
      <c r="G370" s="11" t="s">
        <v>83</v>
      </c>
      <c r="H370" s="11" t="s">
        <v>1369</v>
      </c>
      <c r="I370" s="11" t="s">
        <v>1370</v>
      </c>
      <c r="J370" s="12">
        <v>0.95179999999999998</v>
      </c>
      <c r="K370" s="13">
        <v>5</v>
      </c>
      <c r="L370" s="14">
        <v>2684</v>
      </c>
      <c r="M370" s="10">
        <v>2446</v>
      </c>
      <c r="N370" s="10">
        <v>296587</v>
      </c>
      <c r="O370" s="10">
        <v>191812</v>
      </c>
      <c r="P370" s="10">
        <v>488399</v>
      </c>
    </row>
    <row r="371" spans="1:16" ht="27" customHeight="1" x14ac:dyDescent="0.2">
      <c r="A371" s="9" t="s">
        <v>1292</v>
      </c>
      <c r="B371" s="10" t="s">
        <v>1371</v>
      </c>
      <c r="C371" s="11" t="s">
        <v>18</v>
      </c>
      <c r="D371" s="11" t="s">
        <v>19</v>
      </c>
      <c r="E371" s="11" t="s">
        <v>19</v>
      </c>
      <c r="F371" s="11" t="s">
        <v>1372</v>
      </c>
      <c r="G371" s="11" t="s">
        <v>83</v>
      </c>
      <c r="H371" s="11" t="s">
        <v>1373</v>
      </c>
      <c r="I371" s="11" t="s">
        <v>1374</v>
      </c>
      <c r="J371" s="12">
        <v>0.59160000000000001</v>
      </c>
      <c r="K371" s="13">
        <v>6</v>
      </c>
      <c r="L371" s="14">
        <v>3055</v>
      </c>
      <c r="M371" s="10">
        <v>1690</v>
      </c>
      <c r="N371" s="10">
        <v>337583</v>
      </c>
      <c r="O371" s="10">
        <v>132528</v>
      </c>
      <c r="P371" s="10">
        <v>470111</v>
      </c>
    </row>
    <row r="372" spans="1:16" ht="27" customHeight="1" x14ac:dyDescent="0.2">
      <c r="A372" s="9" t="s">
        <v>1292</v>
      </c>
      <c r="B372" s="10" t="s">
        <v>1375</v>
      </c>
      <c r="C372" s="11" t="s">
        <v>18</v>
      </c>
      <c r="D372" s="11" t="s">
        <v>19</v>
      </c>
      <c r="E372" s="11" t="s">
        <v>19</v>
      </c>
      <c r="F372" s="11" t="s">
        <v>1376</v>
      </c>
      <c r="G372" s="11" t="s">
        <v>83</v>
      </c>
      <c r="H372" s="11" t="s">
        <v>1376</v>
      </c>
      <c r="I372" s="11" t="s">
        <v>1377</v>
      </c>
      <c r="J372" s="12">
        <v>0.62570000000000003</v>
      </c>
      <c r="K372" s="13">
        <v>2</v>
      </c>
      <c r="L372" s="14">
        <v>180</v>
      </c>
      <c r="M372" s="10">
        <v>113</v>
      </c>
      <c r="N372" s="10">
        <v>19890</v>
      </c>
      <c r="O372" s="10">
        <v>8861</v>
      </c>
      <c r="P372" s="10">
        <v>28751</v>
      </c>
    </row>
    <row r="373" spans="1:16" ht="27" customHeight="1" x14ac:dyDescent="0.2">
      <c r="A373" s="9" t="s">
        <v>1292</v>
      </c>
      <c r="B373" s="10" t="s">
        <v>1378</v>
      </c>
      <c r="C373" s="11" t="s">
        <v>18</v>
      </c>
      <c r="D373" s="11" t="s">
        <v>19</v>
      </c>
      <c r="E373" s="11" t="s">
        <v>19</v>
      </c>
      <c r="F373" s="11" t="s">
        <v>1379</v>
      </c>
      <c r="G373" s="11" t="s">
        <v>83</v>
      </c>
      <c r="H373" s="11" t="s">
        <v>1014</v>
      </c>
      <c r="I373" s="11" t="s">
        <v>1380</v>
      </c>
      <c r="J373" s="12">
        <v>0.9476</v>
      </c>
      <c r="K373" s="13">
        <v>14</v>
      </c>
      <c r="L373" s="14">
        <v>9319</v>
      </c>
      <c r="M373" s="10">
        <v>8544</v>
      </c>
      <c r="N373" s="10">
        <v>1029765</v>
      </c>
      <c r="O373" s="10">
        <v>670013</v>
      </c>
      <c r="P373" s="10">
        <v>1699778</v>
      </c>
    </row>
    <row r="374" spans="1:16" ht="27" customHeight="1" x14ac:dyDescent="0.2">
      <c r="A374" s="9" t="s">
        <v>1292</v>
      </c>
      <c r="B374" s="10" t="s">
        <v>1381</v>
      </c>
      <c r="C374" s="11" t="s">
        <v>18</v>
      </c>
      <c r="D374" s="11" t="s">
        <v>19</v>
      </c>
      <c r="E374" s="11" t="s">
        <v>19</v>
      </c>
      <c r="F374" s="11" t="s">
        <v>1382</v>
      </c>
      <c r="G374" s="11" t="s">
        <v>83</v>
      </c>
      <c r="H374" s="11" t="s">
        <v>1295</v>
      </c>
      <c r="I374" s="11" t="s">
        <v>1296</v>
      </c>
      <c r="J374" s="12">
        <v>1</v>
      </c>
      <c r="K374" s="13">
        <v>25</v>
      </c>
      <c r="L374" s="14">
        <v>42462</v>
      </c>
      <c r="M374" s="10">
        <v>31800</v>
      </c>
      <c r="N374" s="10">
        <v>4692124</v>
      </c>
      <c r="O374" s="10">
        <v>2493723</v>
      </c>
      <c r="P374" s="10">
        <v>7185847</v>
      </c>
    </row>
    <row r="375" spans="1:16" ht="27" customHeight="1" x14ac:dyDescent="0.2">
      <c r="A375" s="9" t="s">
        <v>1292</v>
      </c>
      <c r="B375" s="10" t="s">
        <v>1381</v>
      </c>
      <c r="C375" s="11" t="s">
        <v>1383</v>
      </c>
      <c r="D375" s="11" t="s">
        <v>1384</v>
      </c>
      <c r="E375" s="11" t="s">
        <v>57</v>
      </c>
      <c r="F375" s="11" t="s">
        <v>1385</v>
      </c>
      <c r="G375" s="11" t="s">
        <v>28</v>
      </c>
      <c r="H375" s="11" t="s">
        <v>1295</v>
      </c>
      <c r="I375" s="11" t="s">
        <v>1296</v>
      </c>
      <c r="J375" s="12">
        <v>1</v>
      </c>
      <c r="K375" s="13">
        <v>1</v>
      </c>
      <c r="L375" s="14">
        <v>571</v>
      </c>
      <c r="M375" s="10">
        <v>542</v>
      </c>
      <c r="N375" s="10">
        <v>63096</v>
      </c>
      <c r="O375" s="10">
        <v>42503</v>
      </c>
      <c r="P375" s="10">
        <v>105599</v>
      </c>
    </row>
    <row r="376" spans="1:16" ht="27" customHeight="1" x14ac:dyDescent="0.2">
      <c r="A376" s="9" t="s">
        <v>1292</v>
      </c>
      <c r="B376" s="10" t="s">
        <v>1386</v>
      </c>
      <c r="C376" s="11" t="s">
        <v>18</v>
      </c>
      <c r="D376" s="11" t="s">
        <v>19</v>
      </c>
      <c r="E376" s="11" t="s">
        <v>19</v>
      </c>
      <c r="F376" s="11" t="s">
        <v>1387</v>
      </c>
      <c r="G376" s="11" t="s">
        <v>83</v>
      </c>
      <c r="H376" s="11" t="s">
        <v>1388</v>
      </c>
      <c r="I376" s="11" t="s">
        <v>1389</v>
      </c>
      <c r="J376" s="12">
        <v>0.86119999999999997</v>
      </c>
      <c r="K376" s="13">
        <v>4</v>
      </c>
      <c r="L376" s="14">
        <v>871</v>
      </c>
      <c r="M376" s="10">
        <v>713</v>
      </c>
      <c r="N376" s="10">
        <v>96247</v>
      </c>
      <c r="O376" s="10">
        <v>55912</v>
      </c>
      <c r="P376" s="10">
        <v>152159</v>
      </c>
    </row>
    <row r="377" spans="1:16" ht="27" customHeight="1" x14ac:dyDescent="0.2">
      <c r="A377" s="9" t="s">
        <v>1292</v>
      </c>
      <c r="B377" s="10" t="s">
        <v>1390</v>
      </c>
      <c r="C377" s="11" t="s">
        <v>18</v>
      </c>
      <c r="D377" s="11" t="s">
        <v>19</v>
      </c>
      <c r="E377" s="11" t="s">
        <v>19</v>
      </c>
      <c r="F377" s="11" t="s">
        <v>1391</v>
      </c>
      <c r="G377" s="11" t="s">
        <v>83</v>
      </c>
      <c r="H377" s="11" t="s">
        <v>1392</v>
      </c>
      <c r="I377" s="11" t="s">
        <v>1393</v>
      </c>
      <c r="J377" s="12">
        <v>0.7077</v>
      </c>
      <c r="K377" s="13">
        <v>3</v>
      </c>
      <c r="L377" s="14">
        <v>1577</v>
      </c>
      <c r="M377" s="10">
        <v>1039</v>
      </c>
      <c r="N377" s="10">
        <v>174261</v>
      </c>
      <c r="O377" s="10">
        <v>81478</v>
      </c>
      <c r="P377" s="10">
        <v>255739</v>
      </c>
    </row>
    <row r="378" spans="1:16" ht="27" customHeight="1" x14ac:dyDescent="0.2">
      <c r="A378" s="9" t="s">
        <v>1292</v>
      </c>
      <c r="B378" s="10" t="s">
        <v>1394</v>
      </c>
      <c r="C378" s="11" t="s">
        <v>18</v>
      </c>
      <c r="D378" s="11" t="s">
        <v>19</v>
      </c>
      <c r="E378" s="11" t="s">
        <v>19</v>
      </c>
      <c r="F378" s="11" t="s">
        <v>1395</v>
      </c>
      <c r="G378" s="11" t="s">
        <v>83</v>
      </c>
      <c r="H378" s="11" t="s">
        <v>1396</v>
      </c>
      <c r="I378" s="11" t="s">
        <v>1397</v>
      </c>
      <c r="J378" s="12">
        <v>0.874</v>
      </c>
      <c r="K378" s="13">
        <v>5</v>
      </c>
      <c r="L378" s="14">
        <v>2783</v>
      </c>
      <c r="M378" s="10">
        <v>2361</v>
      </c>
      <c r="N378" s="10">
        <v>307528</v>
      </c>
      <c r="O378" s="10">
        <v>185146</v>
      </c>
      <c r="P378" s="10">
        <v>492674</v>
      </c>
    </row>
    <row r="379" spans="1:16" ht="27" customHeight="1" x14ac:dyDescent="0.2">
      <c r="A379" s="9" t="s">
        <v>1292</v>
      </c>
      <c r="B379" s="10" t="s">
        <v>1398</v>
      </c>
      <c r="C379" s="11" t="s">
        <v>18</v>
      </c>
      <c r="D379" s="11" t="s">
        <v>19</v>
      </c>
      <c r="E379" s="11" t="s">
        <v>19</v>
      </c>
      <c r="F379" s="11" t="s">
        <v>1399</v>
      </c>
      <c r="G379" s="11" t="s">
        <v>83</v>
      </c>
      <c r="H379" s="11" t="s">
        <v>1400</v>
      </c>
      <c r="I379" s="11" t="s">
        <v>1401</v>
      </c>
      <c r="J379" s="12">
        <v>0.91220000000000001</v>
      </c>
      <c r="K379" s="13">
        <v>5</v>
      </c>
      <c r="L379" s="14">
        <v>2590</v>
      </c>
      <c r="M379" s="10">
        <v>2219</v>
      </c>
      <c r="N379" s="10">
        <v>286198</v>
      </c>
      <c r="O379" s="10">
        <v>174012</v>
      </c>
      <c r="P379" s="10">
        <v>460210</v>
      </c>
    </row>
    <row r="380" spans="1:16" ht="27" customHeight="1" x14ac:dyDescent="0.2">
      <c r="A380" s="9" t="s">
        <v>1292</v>
      </c>
      <c r="B380" s="10" t="s">
        <v>1398</v>
      </c>
      <c r="C380" s="11" t="s">
        <v>1402</v>
      </c>
      <c r="D380" s="11" t="s">
        <v>1403</v>
      </c>
      <c r="E380" s="11" t="s">
        <v>26</v>
      </c>
      <c r="F380" s="11" t="s">
        <v>1404</v>
      </c>
      <c r="G380" s="11" t="s">
        <v>28</v>
      </c>
      <c r="H380" s="11" t="s">
        <v>1404</v>
      </c>
      <c r="I380" s="11" t="s">
        <v>1405</v>
      </c>
      <c r="J380" s="12">
        <v>0.74660000000000004</v>
      </c>
      <c r="K380" s="13">
        <v>1</v>
      </c>
      <c r="L380" s="14">
        <v>801</v>
      </c>
      <c r="M380" s="10">
        <v>598</v>
      </c>
      <c r="N380" s="10">
        <v>88512</v>
      </c>
      <c r="O380" s="10">
        <v>46895</v>
      </c>
      <c r="P380" s="10">
        <v>135407</v>
      </c>
    </row>
    <row r="381" spans="1:16" ht="27" customHeight="1" x14ac:dyDescent="0.2">
      <c r="A381" s="9" t="s">
        <v>1292</v>
      </c>
      <c r="B381" s="10" t="s">
        <v>1406</v>
      </c>
      <c r="C381" s="11" t="s">
        <v>18</v>
      </c>
      <c r="D381" s="11" t="s">
        <v>19</v>
      </c>
      <c r="E381" s="11" t="s">
        <v>19</v>
      </c>
      <c r="F381" s="11" t="s">
        <v>1407</v>
      </c>
      <c r="G381" s="11" t="s">
        <v>83</v>
      </c>
      <c r="H381" s="11" t="s">
        <v>1408</v>
      </c>
      <c r="I381" s="11" t="s">
        <v>1409</v>
      </c>
      <c r="J381" s="12">
        <v>0.66669999999999996</v>
      </c>
      <c r="K381" s="13">
        <v>2</v>
      </c>
      <c r="L381" s="14">
        <v>18</v>
      </c>
      <c r="M381" s="10">
        <v>12</v>
      </c>
      <c r="N381" s="10">
        <v>1989</v>
      </c>
      <c r="O381" s="10">
        <v>941</v>
      </c>
      <c r="P381" s="10">
        <v>2930</v>
      </c>
    </row>
    <row r="382" spans="1:16" ht="27" customHeight="1" x14ac:dyDescent="0.2">
      <c r="A382" s="9" t="s">
        <v>1292</v>
      </c>
      <c r="B382" s="10" t="s">
        <v>1410</v>
      </c>
      <c r="C382" s="11" t="s">
        <v>18</v>
      </c>
      <c r="D382" s="11" t="s">
        <v>19</v>
      </c>
      <c r="E382" s="11" t="s">
        <v>19</v>
      </c>
      <c r="F382" s="11" t="s">
        <v>1411</v>
      </c>
      <c r="G382" s="11" t="s">
        <v>83</v>
      </c>
      <c r="H382" s="11" t="s">
        <v>1412</v>
      </c>
      <c r="I382" s="11" t="s">
        <v>1413</v>
      </c>
      <c r="J382" s="12">
        <v>0.75560000000000005</v>
      </c>
      <c r="K382" s="13">
        <v>3</v>
      </c>
      <c r="L382" s="14">
        <v>299</v>
      </c>
      <c r="M382" s="10">
        <v>225</v>
      </c>
      <c r="N382" s="10">
        <v>33040</v>
      </c>
      <c r="O382" s="10">
        <v>17644</v>
      </c>
      <c r="P382" s="10">
        <v>50684</v>
      </c>
    </row>
    <row r="383" spans="1:16" ht="27" customHeight="1" x14ac:dyDescent="0.2">
      <c r="A383" s="9" t="s">
        <v>1292</v>
      </c>
      <c r="B383" s="10" t="s">
        <v>1414</v>
      </c>
      <c r="C383" s="11" t="s">
        <v>18</v>
      </c>
      <c r="D383" s="11" t="s">
        <v>19</v>
      </c>
      <c r="E383" s="11" t="s">
        <v>19</v>
      </c>
      <c r="F383" s="11" t="s">
        <v>1415</v>
      </c>
      <c r="G383" s="11" t="s">
        <v>83</v>
      </c>
      <c r="H383" s="11" t="s">
        <v>1415</v>
      </c>
      <c r="I383" s="11" t="s">
        <v>1416</v>
      </c>
      <c r="J383" s="12">
        <v>0.53400000000000003</v>
      </c>
      <c r="K383" s="13">
        <v>2</v>
      </c>
      <c r="L383" s="14">
        <v>294</v>
      </c>
      <c r="M383" s="10">
        <v>157</v>
      </c>
      <c r="N383" s="10">
        <v>32487</v>
      </c>
      <c r="O383" s="10">
        <v>12312</v>
      </c>
      <c r="P383" s="10">
        <v>44799</v>
      </c>
    </row>
    <row r="384" spans="1:16" ht="27" customHeight="1" x14ac:dyDescent="0.2">
      <c r="A384" s="9" t="s">
        <v>1292</v>
      </c>
      <c r="B384" s="10" t="s">
        <v>1417</v>
      </c>
      <c r="C384" s="11" t="s">
        <v>18</v>
      </c>
      <c r="D384" s="11" t="s">
        <v>19</v>
      </c>
      <c r="E384" s="11" t="s">
        <v>19</v>
      </c>
      <c r="F384" s="11" t="s">
        <v>1418</v>
      </c>
      <c r="G384" s="11" t="s">
        <v>83</v>
      </c>
      <c r="H384" s="11" t="s">
        <v>1419</v>
      </c>
      <c r="I384" s="11" t="s">
        <v>1420</v>
      </c>
      <c r="J384" s="12">
        <v>1</v>
      </c>
      <c r="K384" s="13">
        <v>4</v>
      </c>
      <c r="L384" s="14">
        <v>318</v>
      </c>
      <c r="M384" s="10">
        <v>316</v>
      </c>
      <c r="N384" s="10">
        <v>35140</v>
      </c>
      <c r="O384" s="10">
        <v>24780</v>
      </c>
      <c r="P384" s="10">
        <v>59920</v>
      </c>
    </row>
    <row r="385" spans="1:16" ht="27" customHeight="1" x14ac:dyDescent="0.2">
      <c r="A385" s="9" t="s">
        <v>1292</v>
      </c>
      <c r="B385" s="10" t="s">
        <v>1417</v>
      </c>
      <c r="C385" s="11" t="s">
        <v>1421</v>
      </c>
      <c r="D385" s="11" t="s">
        <v>1422</v>
      </c>
      <c r="E385" s="11" t="s">
        <v>26</v>
      </c>
      <c r="F385" s="11" t="s">
        <v>1423</v>
      </c>
      <c r="G385" s="11" t="s">
        <v>28</v>
      </c>
      <c r="H385" s="11" t="s">
        <v>1295</v>
      </c>
      <c r="I385" s="11" t="s">
        <v>1296</v>
      </c>
      <c r="J385" s="12">
        <v>1</v>
      </c>
      <c r="K385" s="13">
        <v>1</v>
      </c>
      <c r="L385" s="14">
        <v>306</v>
      </c>
      <c r="M385" s="10">
        <v>221</v>
      </c>
      <c r="N385" s="10">
        <v>33814</v>
      </c>
      <c r="O385" s="10">
        <v>17331</v>
      </c>
      <c r="P385" s="10">
        <v>51145</v>
      </c>
    </row>
    <row r="386" spans="1:16" ht="27" customHeight="1" x14ac:dyDescent="0.2">
      <c r="A386" s="9" t="s">
        <v>1292</v>
      </c>
      <c r="B386" s="10" t="s">
        <v>1417</v>
      </c>
      <c r="C386" s="11" t="s">
        <v>1424</v>
      </c>
      <c r="D386" s="11" t="s">
        <v>1425</v>
      </c>
      <c r="E386" s="11" t="s">
        <v>26</v>
      </c>
      <c r="F386" s="11" t="s">
        <v>1426</v>
      </c>
      <c r="G386" s="11" t="s">
        <v>28</v>
      </c>
      <c r="H386" s="11" t="s">
        <v>1426</v>
      </c>
      <c r="I386" s="11" t="s">
        <v>1427</v>
      </c>
      <c r="J386" s="12">
        <v>0.19639999999999999</v>
      </c>
      <c r="K386" s="13">
        <v>1</v>
      </c>
      <c r="L386" s="14">
        <v>56</v>
      </c>
      <c r="M386" s="10">
        <v>11</v>
      </c>
      <c r="N386" s="10">
        <v>6188</v>
      </c>
      <c r="O386" s="10">
        <v>863</v>
      </c>
      <c r="P386" s="10">
        <v>7051</v>
      </c>
    </row>
    <row r="387" spans="1:16" ht="27" customHeight="1" x14ac:dyDescent="0.2">
      <c r="A387" s="9" t="s">
        <v>1292</v>
      </c>
      <c r="B387" s="10" t="s">
        <v>1417</v>
      </c>
      <c r="C387" s="11" t="s">
        <v>1428</v>
      </c>
      <c r="D387" s="11" t="s">
        <v>1429</v>
      </c>
      <c r="E387" s="11" t="s">
        <v>26</v>
      </c>
      <c r="F387" s="11" t="s">
        <v>1430</v>
      </c>
      <c r="G387" s="11" t="s">
        <v>28</v>
      </c>
      <c r="H387" s="11" t="s">
        <v>1430</v>
      </c>
      <c r="I387" s="11" t="s">
        <v>1431</v>
      </c>
      <c r="J387" s="12">
        <v>0.42359999999999998</v>
      </c>
      <c r="K387" s="13">
        <v>1</v>
      </c>
      <c r="L387" s="14">
        <v>6751</v>
      </c>
      <c r="M387" s="10">
        <v>2860</v>
      </c>
      <c r="N387" s="10">
        <v>745997</v>
      </c>
      <c r="O387" s="10">
        <v>224278</v>
      </c>
      <c r="P387" s="10">
        <v>970275</v>
      </c>
    </row>
    <row r="388" spans="1:16" ht="27" customHeight="1" x14ac:dyDescent="0.2">
      <c r="A388" s="9" t="s">
        <v>1292</v>
      </c>
      <c r="B388" s="10" t="s">
        <v>1417</v>
      </c>
      <c r="C388" s="11" t="s">
        <v>1432</v>
      </c>
      <c r="D388" s="11" t="s">
        <v>1433</v>
      </c>
      <c r="E388" s="11" t="s">
        <v>26</v>
      </c>
      <c r="F388" s="11" t="s">
        <v>1434</v>
      </c>
      <c r="G388" s="11" t="s">
        <v>28</v>
      </c>
      <c r="H388" s="11" t="s">
        <v>1434</v>
      </c>
      <c r="I388" s="11" t="s">
        <v>1435</v>
      </c>
      <c r="J388" s="12">
        <v>0.74960000000000004</v>
      </c>
      <c r="K388" s="13">
        <v>1</v>
      </c>
      <c r="L388" s="14">
        <v>1130</v>
      </c>
      <c r="M388" s="10">
        <v>847</v>
      </c>
      <c r="N388" s="10">
        <v>124867</v>
      </c>
      <c r="O388" s="10">
        <v>66421</v>
      </c>
      <c r="P388" s="10">
        <v>191288</v>
      </c>
    </row>
    <row r="389" spans="1:16" ht="27" customHeight="1" x14ac:dyDescent="0.2">
      <c r="A389" s="9" t="s">
        <v>1292</v>
      </c>
      <c r="B389" s="10" t="s">
        <v>1417</v>
      </c>
      <c r="C389" s="11" t="s">
        <v>1436</v>
      </c>
      <c r="D389" s="11" t="s">
        <v>1437</v>
      </c>
      <c r="E389" s="11" t="s">
        <v>26</v>
      </c>
      <c r="F389" s="11" t="s">
        <v>1438</v>
      </c>
      <c r="G389" s="11" t="s">
        <v>28</v>
      </c>
      <c r="H389" s="11" t="s">
        <v>1438</v>
      </c>
      <c r="I389" s="11" t="s">
        <v>1439</v>
      </c>
      <c r="J389" s="12">
        <v>0.43020000000000003</v>
      </c>
      <c r="K389" s="13">
        <v>1</v>
      </c>
      <c r="L389" s="14">
        <v>4700</v>
      </c>
      <c r="M389" s="10">
        <v>2022</v>
      </c>
      <c r="N389" s="10">
        <v>519358</v>
      </c>
      <c r="O389" s="10">
        <v>158563</v>
      </c>
      <c r="P389" s="10">
        <v>677921</v>
      </c>
    </row>
    <row r="390" spans="1:16" ht="27" customHeight="1" x14ac:dyDescent="0.2">
      <c r="A390" s="9" t="s">
        <v>1292</v>
      </c>
      <c r="B390" s="10" t="s">
        <v>1440</v>
      </c>
      <c r="C390" s="11" t="s">
        <v>18</v>
      </c>
      <c r="D390" s="11" t="s">
        <v>19</v>
      </c>
      <c r="E390" s="11" t="s">
        <v>19</v>
      </c>
      <c r="F390" s="11" t="s">
        <v>1441</v>
      </c>
      <c r="G390" s="11" t="s">
        <v>83</v>
      </c>
      <c r="H390" s="11" t="s">
        <v>1441</v>
      </c>
      <c r="I390" s="11" t="s">
        <v>1442</v>
      </c>
      <c r="J390" s="12">
        <v>0.54430000000000001</v>
      </c>
      <c r="K390" s="13">
        <v>2</v>
      </c>
      <c r="L390" s="14">
        <v>80</v>
      </c>
      <c r="M390" s="10">
        <v>44</v>
      </c>
      <c r="N390" s="10">
        <v>8840</v>
      </c>
      <c r="O390" s="10">
        <v>3450</v>
      </c>
      <c r="P390" s="10">
        <v>12290</v>
      </c>
    </row>
    <row r="391" spans="1:16" ht="27" customHeight="1" x14ac:dyDescent="0.2">
      <c r="A391" s="9" t="s">
        <v>1292</v>
      </c>
      <c r="B391" s="10" t="s">
        <v>1443</v>
      </c>
      <c r="C391" s="11" t="s">
        <v>18</v>
      </c>
      <c r="D391" s="11" t="s">
        <v>19</v>
      </c>
      <c r="E391" s="11" t="s">
        <v>19</v>
      </c>
      <c r="F391" s="11" t="s">
        <v>1444</v>
      </c>
      <c r="G391" s="11" t="s">
        <v>83</v>
      </c>
      <c r="H391" s="11" t="s">
        <v>1444</v>
      </c>
      <c r="I391" s="11" t="s">
        <v>1445</v>
      </c>
      <c r="J391" s="12">
        <v>0.55289999999999995</v>
      </c>
      <c r="K391" s="13">
        <v>2</v>
      </c>
      <c r="L391" s="14">
        <v>85</v>
      </c>
      <c r="M391" s="10">
        <v>47</v>
      </c>
      <c r="N391" s="10">
        <v>9393</v>
      </c>
      <c r="O391" s="10">
        <v>3686</v>
      </c>
      <c r="P391" s="10">
        <v>13079</v>
      </c>
    </row>
    <row r="392" spans="1:16" ht="27" customHeight="1" x14ac:dyDescent="0.2">
      <c r="A392" s="9" t="s">
        <v>1292</v>
      </c>
      <c r="B392" s="10" t="s">
        <v>1446</v>
      </c>
      <c r="C392" s="11" t="s">
        <v>18</v>
      </c>
      <c r="D392" s="11" t="s">
        <v>19</v>
      </c>
      <c r="E392" s="11" t="s">
        <v>19</v>
      </c>
      <c r="F392" s="11" t="s">
        <v>1447</v>
      </c>
      <c r="G392" s="11" t="s">
        <v>83</v>
      </c>
      <c r="H392" s="11" t="s">
        <v>1448</v>
      </c>
      <c r="I392" s="11" t="s">
        <v>1449</v>
      </c>
      <c r="J392" s="12">
        <v>0.93479999999999996</v>
      </c>
      <c r="K392" s="13">
        <v>7</v>
      </c>
      <c r="L392" s="14">
        <v>3015</v>
      </c>
      <c r="M392" s="10">
        <v>2685</v>
      </c>
      <c r="N392" s="10">
        <v>333163</v>
      </c>
      <c r="O392" s="10">
        <v>210556</v>
      </c>
      <c r="P392" s="10">
        <v>543719</v>
      </c>
    </row>
    <row r="393" spans="1:16" ht="27" customHeight="1" x14ac:dyDescent="0.2">
      <c r="A393" s="9" t="s">
        <v>1292</v>
      </c>
      <c r="B393" s="10" t="s">
        <v>1450</v>
      </c>
      <c r="C393" s="11" t="s">
        <v>18</v>
      </c>
      <c r="D393" s="11" t="s">
        <v>19</v>
      </c>
      <c r="E393" s="11" t="s">
        <v>19</v>
      </c>
      <c r="F393" s="11" t="s">
        <v>1451</v>
      </c>
      <c r="G393" s="11" t="s">
        <v>83</v>
      </c>
      <c r="H393" s="11" t="s">
        <v>1452</v>
      </c>
      <c r="I393" s="11" t="s">
        <v>1453</v>
      </c>
      <c r="J393" s="12">
        <v>0.68620000000000003</v>
      </c>
      <c r="K393" s="13">
        <v>7</v>
      </c>
      <c r="L393" s="14">
        <v>1743</v>
      </c>
      <c r="M393" s="10">
        <v>488</v>
      </c>
      <c r="N393" s="10">
        <v>192604</v>
      </c>
      <c r="O393" s="10">
        <v>38268</v>
      </c>
      <c r="P393" s="10">
        <v>230872</v>
      </c>
    </row>
    <row r="394" spans="1:16" ht="27" customHeight="1" x14ac:dyDescent="0.2">
      <c r="A394" s="9" t="s">
        <v>1292</v>
      </c>
      <c r="B394" s="10" t="s">
        <v>1454</v>
      </c>
      <c r="C394" s="11" t="s">
        <v>18</v>
      </c>
      <c r="D394" s="11" t="s">
        <v>19</v>
      </c>
      <c r="E394" s="11" t="s">
        <v>19</v>
      </c>
      <c r="F394" s="11" t="s">
        <v>1455</v>
      </c>
      <c r="G394" s="11" t="s">
        <v>83</v>
      </c>
      <c r="H394" s="11" t="s">
        <v>1456</v>
      </c>
      <c r="I394" s="11" t="s">
        <v>1457</v>
      </c>
      <c r="J394" s="12">
        <v>0.34760000000000002</v>
      </c>
      <c r="K394" s="13">
        <v>6</v>
      </c>
      <c r="L394" s="14">
        <v>3892</v>
      </c>
      <c r="M394" s="10">
        <v>1258</v>
      </c>
      <c r="N394" s="10">
        <v>430072</v>
      </c>
      <c r="O394" s="10">
        <v>98651</v>
      </c>
      <c r="P394" s="10">
        <v>528723</v>
      </c>
    </row>
    <row r="395" spans="1:16" ht="27" customHeight="1" x14ac:dyDescent="0.2">
      <c r="A395" s="9" t="s">
        <v>1292</v>
      </c>
      <c r="B395" s="10" t="s">
        <v>1458</v>
      </c>
      <c r="C395" s="11" t="s">
        <v>18</v>
      </c>
      <c r="D395" s="11" t="s">
        <v>19</v>
      </c>
      <c r="E395" s="11" t="s">
        <v>19</v>
      </c>
      <c r="F395" s="11" t="s">
        <v>1459</v>
      </c>
      <c r="G395" s="11" t="s">
        <v>83</v>
      </c>
      <c r="H395" s="11" t="s">
        <v>1460</v>
      </c>
      <c r="I395" s="11" t="s">
        <v>1461</v>
      </c>
      <c r="J395" s="12">
        <v>0.9022</v>
      </c>
      <c r="K395" s="13">
        <v>2</v>
      </c>
      <c r="L395" s="14">
        <v>184</v>
      </c>
      <c r="M395" s="10">
        <v>166</v>
      </c>
      <c r="N395" s="10">
        <v>20332</v>
      </c>
      <c r="O395" s="10">
        <v>13018</v>
      </c>
      <c r="P395" s="10">
        <v>33350</v>
      </c>
    </row>
    <row r="396" spans="1:16" ht="27" customHeight="1" x14ac:dyDescent="0.2">
      <c r="A396" s="9" t="s">
        <v>1292</v>
      </c>
      <c r="B396" s="10" t="s">
        <v>1462</v>
      </c>
      <c r="C396" s="11" t="s">
        <v>18</v>
      </c>
      <c r="D396" s="11" t="s">
        <v>19</v>
      </c>
      <c r="E396" s="11" t="s">
        <v>19</v>
      </c>
      <c r="F396" s="11" t="s">
        <v>1463</v>
      </c>
      <c r="G396" s="11" t="s">
        <v>83</v>
      </c>
      <c r="H396" s="11" t="s">
        <v>1464</v>
      </c>
      <c r="I396" s="11" t="s">
        <v>1465</v>
      </c>
      <c r="J396" s="12">
        <v>0.52749999999999997</v>
      </c>
      <c r="K396" s="13">
        <v>10</v>
      </c>
      <c r="L396" s="14">
        <v>6121</v>
      </c>
      <c r="M396" s="10">
        <v>2016</v>
      </c>
      <c r="N396" s="10">
        <v>676381</v>
      </c>
      <c r="O396" s="10">
        <v>158091</v>
      </c>
      <c r="P396" s="10">
        <v>834472</v>
      </c>
    </row>
    <row r="397" spans="1:16" ht="27" customHeight="1" x14ac:dyDescent="0.2">
      <c r="A397" s="9" t="s">
        <v>1292</v>
      </c>
      <c r="B397" s="10" t="s">
        <v>1466</v>
      </c>
      <c r="C397" s="11" t="s">
        <v>18</v>
      </c>
      <c r="D397" s="11" t="s">
        <v>19</v>
      </c>
      <c r="E397" s="11" t="s">
        <v>19</v>
      </c>
      <c r="F397" s="11" t="s">
        <v>1467</v>
      </c>
      <c r="G397" s="11" t="s">
        <v>83</v>
      </c>
      <c r="H397" s="11" t="s">
        <v>1467</v>
      </c>
      <c r="I397" s="11" t="s">
        <v>1468</v>
      </c>
      <c r="J397" s="12">
        <v>0.62909999999999999</v>
      </c>
      <c r="K397" s="13">
        <v>2</v>
      </c>
      <c r="L397" s="14">
        <v>151</v>
      </c>
      <c r="M397" s="10">
        <v>95</v>
      </c>
      <c r="N397" s="10">
        <v>16686</v>
      </c>
      <c r="O397" s="10">
        <v>7450</v>
      </c>
      <c r="P397" s="10">
        <v>24136</v>
      </c>
    </row>
    <row r="398" spans="1:16" ht="27" customHeight="1" x14ac:dyDescent="0.2">
      <c r="A398" s="9" t="s">
        <v>1292</v>
      </c>
      <c r="B398" s="10" t="s">
        <v>1469</v>
      </c>
      <c r="C398" s="11" t="s">
        <v>18</v>
      </c>
      <c r="D398" s="11" t="s">
        <v>19</v>
      </c>
      <c r="E398" s="11" t="s">
        <v>19</v>
      </c>
      <c r="F398" s="11" t="s">
        <v>1470</v>
      </c>
      <c r="G398" s="11" t="s">
        <v>83</v>
      </c>
      <c r="H398" s="11" t="s">
        <v>1471</v>
      </c>
      <c r="I398" s="11" t="s">
        <v>1472</v>
      </c>
      <c r="J398" s="12">
        <v>0.94189999999999996</v>
      </c>
      <c r="K398" s="13">
        <v>7</v>
      </c>
      <c r="L398" s="14">
        <v>3687</v>
      </c>
      <c r="M398" s="10">
        <v>3096</v>
      </c>
      <c r="N398" s="10">
        <v>407419</v>
      </c>
      <c r="O398" s="10">
        <v>242784</v>
      </c>
      <c r="P398" s="10">
        <v>650203</v>
      </c>
    </row>
    <row r="399" spans="1:16" ht="27" customHeight="1" x14ac:dyDescent="0.2">
      <c r="A399" s="9" t="s">
        <v>1292</v>
      </c>
      <c r="B399" s="10" t="s">
        <v>1473</v>
      </c>
      <c r="C399" s="11" t="s">
        <v>18</v>
      </c>
      <c r="D399" s="11" t="s">
        <v>19</v>
      </c>
      <c r="E399" s="11" t="s">
        <v>19</v>
      </c>
      <c r="F399" s="11" t="s">
        <v>1474</v>
      </c>
      <c r="G399" s="11" t="s">
        <v>83</v>
      </c>
      <c r="H399" s="11" t="s">
        <v>1475</v>
      </c>
      <c r="I399" s="11" t="s">
        <v>1476</v>
      </c>
      <c r="J399" s="12">
        <v>0.70930000000000004</v>
      </c>
      <c r="K399" s="13">
        <v>2</v>
      </c>
      <c r="L399" s="14">
        <v>346</v>
      </c>
      <c r="M399" s="10">
        <v>245</v>
      </c>
      <c r="N399" s="10">
        <v>38234</v>
      </c>
      <c r="O399" s="10">
        <v>19213</v>
      </c>
      <c r="P399" s="10">
        <v>57447</v>
      </c>
    </row>
    <row r="400" spans="1:16" ht="27" customHeight="1" x14ac:dyDescent="0.2">
      <c r="A400" s="9" t="s">
        <v>1292</v>
      </c>
      <c r="B400" s="10" t="s">
        <v>1477</v>
      </c>
      <c r="C400" s="11" t="s">
        <v>18</v>
      </c>
      <c r="D400" s="11" t="s">
        <v>19</v>
      </c>
      <c r="E400" s="11" t="s">
        <v>19</v>
      </c>
      <c r="F400" s="11" t="s">
        <v>1478</v>
      </c>
      <c r="G400" s="11" t="s">
        <v>83</v>
      </c>
      <c r="H400" s="11" t="s">
        <v>1478</v>
      </c>
      <c r="I400" s="11" t="s">
        <v>1479</v>
      </c>
      <c r="J400" s="12">
        <v>0.95650000000000002</v>
      </c>
      <c r="K400" s="13">
        <v>5</v>
      </c>
      <c r="L400" s="14">
        <v>3074</v>
      </c>
      <c r="M400" s="10">
        <v>2733</v>
      </c>
      <c r="N400" s="10">
        <v>339682</v>
      </c>
      <c r="O400" s="10">
        <v>214319</v>
      </c>
      <c r="P400" s="10">
        <v>554001</v>
      </c>
    </row>
    <row r="401" spans="1:16" ht="27" customHeight="1" x14ac:dyDescent="0.2">
      <c r="A401" s="9" t="s">
        <v>1292</v>
      </c>
      <c r="B401" s="10" t="s">
        <v>1480</v>
      </c>
      <c r="C401" s="11" t="s">
        <v>18</v>
      </c>
      <c r="D401" s="11" t="s">
        <v>19</v>
      </c>
      <c r="E401" s="11" t="s">
        <v>19</v>
      </c>
      <c r="F401" s="11" t="s">
        <v>1481</v>
      </c>
      <c r="G401" s="11" t="s">
        <v>83</v>
      </c>
      <c r="H401" s="11" t="s">
        <v>1482</v>
      </c>
      <c r="I401" s="11" t="s">
        <v>1483</v>
      </c>
      <c r="J401" s="12">
        <v>0.98350000000000004</v>
      </c>
      <c r="K401" s="13">
        <v>7</v>
      </c>
      <c r="L401" s="14">
        <v>2424</v>
      </c>
      <c r="M401" s="10">
        <v>2162</v>
      </c>
      <c r="N401" s="10">
        <v>267857</v>
      </c>
      <c r="O401" s="10">
        <v>169542</v>
      </c>
      <c r="P401" s="10">
        <v>437399</v>
      </c>
    </row>
    <row r="402" spans="1:16" ht="27" customHeight="1" x14ac:dyDescent="0.2">
      <c r="A402" s="9" t="s">
        <v>1292</v>
      </c>
      <c r="B402" s="10" t="s">
        <v>1484</v>
      </c>
      <c r="C402" s="11" t="s">
        <v>18</v>
      </c>
      <c r="D402" s="11" t="s">
        <v>19</v>
      </c>
      <c r="E402" s="11" t="s">
        <v>19</v>
      </c>
      <c r="F402" s="11" t="s">
        <v>1485</v>
      </c>
      <c r="G402" s="11" t="s">
        <v>83</v>
      </c>
      <c r="H402" s="11" t="s">
        <v>1295</v>
      </c>
      <c r="I402" s="11" t="s">
        <v>1296</v>
      </c>
      <c r="J402" s="12">
        <v>1</v>
      </c>
      <c r="K402" s="13">
        <v>3</v>
      </c>
      <c r="L402" s="14">
        <v>1186</v>
      </c>
      <c r="M402" s="10">
        <v>727</v>
      </c>
      <c r="N402" s="10">
        <v>131055</v>
      </c>
      <c r="O402" s="10">
        <v>57010</v>
      </c>
      <c r="P402" s="10">
        <v>188065</v>
      </c>
    </row>
    <row r="403" spans="1:16" ht="27" customHeight="1" x14ac:dyDescent="0.2">
      <c r="A403" s="9" t="s">
        <v>1292</v>
      </c>
      <c r="B403" s="10" t="s">
        <v>1486</v>
      </c>
      <c r="C403" s="11" t="s">
        <v>18</v>
      </c>
      <c r="D403" s="11" t="s">
        <v>19</v>
      </c>
      <c r="E403" s="11" t="s">
        <v>19</v>
      </c>
      <c r="F403" s="11" t="s">
        <v>1487</v>
      </c>
      <c r="G403" s="11" t="s">
        <v>83</v>
      </c>
      <c r="H403" s="11" t="s">
        <v>1488</v>
      </c>
      <c r="I403" s="11" t="s">
        <v>1489</v>
      </c>
      <c r="J403" s="12">
        <v>0.43459999999999999</v>
      </c>
      <c r="K403" s="13">
        <v>8</v>
      </c>
      <c r="L403" s="14">
        <v>4187</v>
      </c>
      <c r="M403" s="10">
        <v>1445</v>
      </c>
      <c r="N403" s="10">
        <v>462671</v>
      </c>
      <c r="O403" s="10">
        <v>113316</v>
      </c>
      <c r="P403" s="10">
        <v>575987</v>
      </c>
    </row>
    <row r="404" spans="1:16" ht="27" customHeight="1" x14ac:dyDescent="0.2">
      <c r="A404" s="9" t="s">
        <v>1292</v>
      </c>
      <c r="B404" s="10" t="s">
        <v>1490</v>
      </c>
      <c r="C404" s="11" t="s">
        <v>18</v>
      </c>
      <c r="D404" s="11" t="s">
        <v>19</v>
      </c>
      <c r="E404" s="11" t="s">
        <v>19</v>
      </c>
      <c r="F404" s="11" t="s">
        <v>1491</v>
      </c>
      <c r="G404" s="11" t="s">
        <v>83</v>
      </c>
      <c r="H404" s="11" t="s">
        <v>1491</v>
      </c>
      <c r="I404" s="11" t="s">
        <v>1492</v>
      </c>
      <c r="J404" s="12">
        <v>1</v>
      </c>
      <c r="K404" s="13">
        <v>3</v>
      </c>
      <c r="L404" s="14">
        <v>678</v>
      </c>
      <c r="M404" s="10">
        <v>678</v>
      </c>
      <c r="N404" s="10">
        <v>74920</v>
      </c>
      <c r="O404" s="10">
        <v>53168</v>
      </c>
      <c r="P404" s="10">
        <v>128088</v>
      </c>
    </row>
    <row r="405" spans="1:16" ht="27" customHeight="1" x14ac:dyDescent="0.2">
      <c r="A405" s="9" t="s">
        <v>1292</v>
      </c>
      <c r="B405" s="10" t="s">
        <v>1493</v>
      </c>
      <c r="C405" s="11" t="s">
        <v>18</v>
      </c>
      <c r="D405" s="11" t="s">
        <v>19</v>
      </c>
      <c r="E405" s="11" t="s">
        <v>19</v>
      </c>
      <c r="F405" s="11" t="s">
        <v>1494</v>
      </c>
      <c r="G405" s="11" t="s">
        <v>83</v>
      </c>
      <c r="H405" s="11" t="s">
        <v>1495</v>
      </c>
      <c r="I405" s="11" t="s">
        <v>1496</v>
      </c>
      <c r="J405" s="12">
        <v>0.95420000000000005</v>
      </c>
      <c r="K405" s="13">
        <v>7</v>
      </c>
      <c r="L405" s="14">
        <v>3445</v>
      </c>
      <c r="M405" s="10">
        <v>3188</v>
      </c>
      <c r="N405" s="10">
        <v>380678</v>
      </c>
      <c r="O405" s="10">
        <v>250000</v>
      </c>
      <c r="P405" s="10">
        <v>630678</v>
      </c>
    </row>
    <row r="406" spans="1:16" ht="27" customHeight="1" x14ac:dyDescent="0.2">
      <c r="A406" s="9" t="s">
        <v>1292</v>
      </c>
      <c r="B406" s="10" t="s">
        <v>1497</v>
      </c>
      <c r="C406" s="11" t="s">
        <v>18</v>
      </c>
      <c r="D406" s="11" t="s">
        <v>19</v>
      </c>
      <c r="E406" s="11" t="s">
        <v>19</v>
      </c>
      <c r="F406" s="11" t="s">
        <v>1498</v>
      </c>
      <c r="G406" s="11" t="s">
        <v>83</v>
      </c>
      <c r="H406" s="11" t="s">
        <v>1295</v>
      </c>
      <c r="I406" s="11" t="s">
        <v>1296</v>
      </c>
      <c r="J406" s="12">
        <v>1</v>
      </c>
      <c r="K406" s="13">
        <v>3</v>
      </c>
      <c r="L406" s="14">
        <v>1853</v>
      </c>
      <c r="M406" s="10">
        <v>1612</v>
      </c>
      <c r="N406" s="10">
        <v>204759</v>
      </c>
      <c r="O406" s="10">
        <v>126411</v>
      </c>
      <c r="P406" s="10">
        <v>331170</v>
      </c>
    </row>
    <row r="407" spans="1:16" ht="27" customHeight="1" x14ac:dyDescent="0.2">
      <c r="A407" s="9" t="s">
        <v>1292</v>
      </c>
      <c r="B407" s="10" t="s">
        <v>1499</v>
      </c>
      <c r="C407" s="11" t="s">
        <v>18</v>
      </c>
      <c r="D407" s="11" t="s">
        <v>19</v>
      </c>
      <c r="E407" s="11" t="s">
        <v>19</v>
      </c>
      <c r="F407" s="11" t="s">
        <v>1500</v>
      </c>
      <c r="G407" s="11" t="s">
        <v>83</v>
      </c>
      <c r="H407" s="11" t="s">
        <v>1501</v>
      </c>
      <c r="I407" s="11" t="s">
        <v>1502</v>
      </c>
      <c r="J407" s="12">
        <v>0.47649999999999998</v>
      </c>
      <c r="K407" s="13">
        <v>3</v>
      </c>
      <c r="L407" s="14">
        <v>1018</v>
      </c>
      <c r="M407" s="10">
        <v>505</v>
      </c>
      <c r="N407" s="10">
        <v>112491</v>
      </c>
      <c r="O407" s="10">
        <v>39602</v>
      </c>
      <c r="P407" s="10">
        <v>152093</v>
      </c>
    </row>
    <row r="408" spans="1:16" ht="27" customHeight="1" x14ac:dyDescent="0.2">
      <c r="A408" s="9" t="s">
        <v>1292</v>
      </c>
      <c r="B408" s="10" t="s">
        <v>1503</v>
      </c>
      <c r="C408" s="11" t="s">
        <v>18</v>
      </c>
      <c r="D408" s="11" t="s">
        <v>19</v>
      </c>
      <c r="E408" s="11" t="s">
        <v>19</v>
      </c>
      <c r="F408" s="11" t="s">
        <v>1504</v>
      </c>
      <c r="G408" s="11" t="s">
        <v>83</v>
      </c>
      <c r="H408" s="11" t="s">
        <v>1505</v>
      </c>
      <c r="I408" s="11" t="s">
        <v>1506</v>
      </c>
      <c r="J408" s="12">
        <v>0.70479999999999998</v>
      </c>
      <c r="K408" s="13">
        <v>12</v>
      </c>
      <c r="L408" s="14">
        <v>5190</v>
      </c>
      <c r="M408" s="10">
        <v>2433</v>
      </c>
      <c r="N408" s="10">
        <v>573504</v>
      </c>
      <c r="O408" s="10">
        <v>190792</v>
      </c>
      <c r="P408" s="10">
        <v>764296</v>
      </c>
    </row>
    <row r="409" spans="1:16" ht="27" customHeight="1" x14ac:dyDescent="0.2">
      <c r="A409" s="9" t="s">
        <v>1292</v>
      </c>
      <c r="B409" s="10" t="s">
        <v>1507</v>
      </c>
      <c r="C409" s="11" t="s">
        <v>18</v>
      </c>
      <c r="D409" s="11" t="s">
        <v>19</v>
      </c>
      <c r="E409" s="11" t="s">
        <v>19</v>
      </c>
      <c r="F409" s="11" t="s">
        <v>1508</v>
      </c>
      <c r="G409" s="11" t="s">
        <v>83</v>
      </c>
      <c r="H409" s="11" t="s">
        <v>1509</v>
      </c>
      <c r="I409" s="11" t="s">
        <v>1510</v>
      </c>
      <c r="J409" s="12">
        <v>0.9395</v>
      </c>
      <c r="K409" s="13">
        <v>8</v>
      </c>
      <c r="L409" s="14">
        <v>3417</v>
      </c>
      <c r="M409" s="10">
        <v>3011</v>
      </c>
      <c r="N409" s="10">
        <v>377584</v>
      </c>
      <c r="O409" s="10">
        <v>236119</v>
      </c>
      <c r="P409" s="10">
        <v>613703</v>
      </c>
    </row>
    <row r="410" spans="1:16" ht="27" customHeight="1" x14ac:dyDescent="0.2">
      <c r="A410" s="9" t="s">
        <v>1292</v>
      </c>
      <c r="B410" s="10" t="s">
        <v>1511</v>
      </c>
      <c r="C410" s="11" t="s">
        <v>18</v>
      </c>
      <c r="D410" s="11" t="s">
        <v>19</v>
      </c>
      <c r="E410" s="11" t="s">
        <v>19</v>
      </c>
      <c r="F410" s="11" t="s">
        <v>1512</v>
      </c>
      <c r="G410" s="11" t="s">
        <v>83</v>
      </c>
      <c r="H410" s="11" t="s">
        <v>1513</v>
      </c>
      <c r="I410" s="11" t="s">
        <v>1514</v>
      </c>
      <c r="J410" s="12">
        <v>0.75819999999999999</v>
      </c>
      <c r="K410" s="13">
        <v>4</v>
      </c>
      <c r="L410" s="14">
        <v>686</v>
      </c>
      <c r="M410" s="10">
        <v>526</v>
      </c>
      <c r="N410" s="10">
        <v>75804</v>
      </c>
      <c r="O410" s="10">
        <v>41249</v>
      </c>
      <c r="P410" s="10">
        <v>117053</v>
      </c>
    </row>
    <row r="411" spans="1:16" ht="27" customHeight="1" x14ac:dyDescent="0.2">
      <c r="A411" s="9" t="s">
        <v>1515</v>
      </c>
      <c r="B411" s="10" t="s">
        <v>1516</v>
      </c>
      <c r="C411" s="11" t="s">
        <v>18</v>
      </c>
      <c r="D411" s="11" t="s">
        <v>19</v>
      </c>
      <c r="E411" s="11" t="s">
        <v>19</v>
      </c>
      <c r="F411" s="11" t="s">
        <v>1517</v>
      </c>
      <c r="G411" s="11" t="s">
        <v>21</v>
      </c>
      <c r="H411" s="11" t="s">
        <v>1518</v>
      </c>
      <c r="I411" s="11" t="s">
        <v>1519</v>
      </c>
      <c r="J411" s="12">
        <v>0.96230000000000004</v>
      </c>
      <c r="K411" s="13">
        <v>4</v>
      </c>
      <c r="L411" s="14">
        <v>573</v>
      </c>
      <c r="M411" s="10">
        <v>440</v>
      </c>
      <c r="N411" s="10">
        <v>63318</v>
      </c>
      <c r="O411" s="10">
        <v>34504</v>
      </c>
      <c r="P411" s="10">
        <v>97822</v>
      </c>
    </row>
    <row r="412" spans="1:16" ht="27" customHeight="1" x14ac:dyDescent="0.2">
      <c r="A412" s="9" t="s">
        <v>1515</v>
      </c>
      <c r="B412" s="10" t="s">
        <v>1520</v>
      </c>
      <c r="C412" s="11" t="s">
        <v>18</v>
      </c>
      <c r="D412" s="11" t="s">
        <v>19</v>
      </c>
      <c r="E412" s="11" t="s">
        <v>19</v>
      </c>
      <c r="F412" s="11" t="s">
        <v>1521</v>
      </c>
      <c r="G412" s="11" t="s">
        <v>83</v>
      </c>
      <c r="H412" s="11" t="s">
        <v>1522</v>
      </c>
      <c r="I412" s="11" t="s">
        <v>1523</v>
      </c>
      <c r="J412" s="12">
        <v>0.877</v>
      </c>
      <c r="K412" s="13">
        <v>3</v>
      </c>
      <c r="L412" s="14">
        <v>982</v>
      </c>
      <c r="M412" s="10">
        <v>864</v>
      </c>
      <c r="N412" s="10">
        <v>108512</v>
      </c>
      <c r="O412" s="10">
        <v>67754</v>
      </c>
      <c r="P412" s="10">
        <v>176266</v>
      </c>
    </row>
    <row r="413" spans="1:16" ht="27" customHeight="1" x14ac:dyDescent="0.2">
      <c r="A413" s="9" t="s">
        <v>1515</v>
      </c>
      <c r="B413" s="10" t="s">
        <v>1520</v>
      </c>
      <c r="C413" s="11" t="s">
        <v>1524</v>
      </c>
      <c r="D413" s="11" t="s">
        <v>1525</v>
      </c>
      <c r="E413" s="11" t="s">
        <v>57</v>
      </c>
      <c r="F413" s="11" t="s">
        <v>1526</v>
      </c>
      <c r="G413" s="11" t="s">
        <v>28</v>
      </c>
      <c r="H413" s="11" t="s">
        <v>1526</v>
      </c>
      <c r="I413" s="11" t="s">
        <v>1527</v>
      </c>
      <c r="J413" s="12">
        <v>0.78849999999999998</v>
      </c>
      <c r="K413" s="13">
        <v>1</v>
      </c>
      <c r="L413" s="14">
        <v>156</v>
      </c>
      <c r="M413" s="10">
        <v>123</v>
      </c>
      <c r="N413" s="10">
        <v>17238</v>
      </c>
      <c r="O413" s="10">
        <v>9646</v>
      </c>
      <c r="P413" s="10">
        <v>26884</v>
      </c>
    </row>
    <row r="414" spans="1:16" ht="27" customHeight="1" x14ac:dyDescent="0.2">
      <c r="A414" s="9" t="s">
        <v>1515</v>
      </c>
      <c r="B414" s="10" t="s">
        <v>1520</v>
      </c>
      <c r="C414" s="11" t="s">
        <v>1528</v>
      </c>
      <c r="D414" s="11" t="s">
        <v>1529</v>
      </c>
      <c r="E414" s="11" t="s">
        <v>26</v>
      </c>
      <c r="F414" s="11" t="s">
        <v>1530</v>
      </c>
      <c r="G414" s="11" t="s">
        <v>28</v>
      </c>
      <c r="H414" s="11" t="s">
        <v>1530</v>
      </c>
      <c r="I414" s="11" t="s">
        <v>1531</v>
      </c>
      <c r="J414" s="12">
        <v>0.71120000000000005</v>
      </c>
      <c r="K414" s="13">
        <v>1</v>
      </c>
      <c r="L414" s="14">
        <v>547</v>
      </c>
      <c r="M414" s="10">
        <v>389</v>
      </c>
      <c r="N414" s="10">
        <v>60444</v>
      </c>
      <c r="O414" s="10">
        <v>30505</v>
      </c>
      <c r="P414" s="10">
        <v>90949</v>
      </c>
    </row>
    <row r="415" spans="1:16" ht="27" customHeight="1" x14ac:dyDescent="0.2">
      <c r="A415" s="9" t="s">
        <v>1515</v>
      </c>
      <c r="B415" s="10" t="s">
        <v>1532</v>
      </c>
      <c r="C415" s="11" t="s">
        <v>18</v>
      </c>
      <c r="D415" s="11" t="s">
        <v>19</v>
      </c>
      <c r="E415" s="11" t="s">
        <v>19</v>
      </c>
      <c r="F415" s="11" t="s">
        <v>1533</v>
      </c>
      <c r="G415" s="11" t="s">
        <v>83</v>
      </c>
      <c r="H415" s="11" t="s">
        <v>1534</v>
      </c>
      <c r="I415" s="11" t="s">
        <v>1535</v>
      </c>
      <c r="J415" s="12">
        <v>0.84750000000000003</v>
      </c>
      <c r="K415" s="13">
        <v>5</v>
      </c>
      <c r="L415" s="14">
        <v>1674</v>
      </c>
      <c r="M415" s="10">
        <v>746</v>
      </c>
      <c r="N415" s="10">
        <v>184980</v>
      </c>
      <c r="O415" s="10">
        <v>58501</v>
      </c>
      <c r="P415" s="10">
        <v>243481</v>
      </c>
    </row>
    <row r="416" spans="1:16" ht="27" customHeight="1" x14ac:dyDescent="0.2">
      <c r="A416" s="9" t="s">
        <v>1515</v>
      </c>
      <c r="B416" s="10" t="s">
        <v>1536</v>
      </c>
      <c r="C416" s="11" t="s">
        <v>18</v>
      </c>
      <c r="D416" s="11" t="s">
        <v>19</v>
      </c>
      <c r="E416" s="11" t="s">
        <v>19</v>
      </c>
      <c r="F416" s="11" t="s">
        <v>1537</v>
      </c>
      <c r="G416" s="11" t="s">
        <v>83</v>
      </c>
      <c r="H416" s="11" t="s">
        <v>1538</v>
      </c>
      <c r="I416" s="11" t="s">
        <v>1539</v>
      </c>
      <c r="J416" s="12">
        <v>0.9284</v>
      </c>
      <c r="K416" s="13">
        <v>9</v>
      </c>
      <c r="L416" s="14">
        <v>3344</v>
      </c>
      <c r="M416" s="10">
        <v>2939</v>
      </c>
      <c r="N416" s="10">
        <v>369518</v>
      </c>
      <c r="O416" s="10">
        <v>230473</v>
      </c>
      <c r="P416" s="10">
        <v>599991</v>
      </c>
    </row>
    <row r="417" spans="1:16" ht="27" customHeight="1" x14ac:dyDescent="0.2">
      <c r="A417" s="9" t="s">
        <v>1515</v>
      </c>
      <c r="B417" s="10" t="s">
        <v>1540</v>
      </c>
      <c r="C417" s="11" t="s">
        <v>18</v>
      </c>
      <c r="D417" s="11" t="s">
        <v>19</v>
      </c>
      <c r="E417" s="11" t="s">
        <v>19</v>
      </c>
      <c r="F417" s="11" t="s">
        <v>1541</v>
      </c>
      <c r="G417" s="11" t="s">
        <v>83</v>
      </c>
      <c r="H417" s="11" t="s">
        <v>1518</v>
      </c>
      <c r="I417" s="11" t="s">
        <v>1519</v>
      </c>
      <c r="J417" s="12">
        <v>0.96230000000000004</v>
      </c>
      <c r="K417" s="13">
        <v>13</v>
      </c>
      <c r="L417" s="14">
        <v>5526</v>
      </c>
      <c r="M417" s="10">
        <v>4324</v>
      </c>
      <c r="N417" s="10">
        <v>610632</v>
      </c>
      <c r="O417" s="10">
        <v>339083</v>
      </c>
      <c r="P417" s="10">
        <v>949715</v>
      </c>
    </row>
    <row r="418" spans="1:16" ht="27" customHeight="1" x14ac:dyDescent="0.2">
      <c r="A418" s="9" t="s">
        <v>1515</v>
      </c>
      <c r="B418" s="10" t="s">
        <v>1542</v>
      </c>
      <c r="C418" s="11" t="s">
        <v>18</v>
      </c>
      <c r="D418" s="11" t="s">
        <v>19</v>
      </c>
      <c r="E418" s="11" t="s">
        <v>19</v>
      </c>
      <c r="F418" s="11" t="s">
        <v>1543</v>
      </c>
      <c r="G418" s="11" t="s">
        <v>83</v>
      </c>
      <c r="H418" s="11" t="s">
        <v>1518</v>
      </c>
      <c r="I418" s="11" t="s">
        <v>1519</v>
      </c>
      <c r="J418" s="12">
        <v>0.96230000000000004</v>
      </c>
      <c r="K418" s="13">
        <v>6</v>
      </c>
      <c r="L418" s="14">
        <v>4071</v>
      </c>
      <c r="M418" s="10">
        <v>2999</v>
      </c>
      <c r="N418" s="10">
        <v>449853</v>
      </c>
      <c r="O418" s="10">
        <v>235178</v>
      </c>
      <c r="P418" s="10">
        <v>685031</v>
      </c>
    </row>
    <row r="419" spans="1:16" ht="27" customHeight="1" x14ac:dyDescent="0.2">
      <c r="A419" s="9" t="s">
        <v>1515</v>
      </c>
      <c r="B419" s="10" t="s">
        <v>1542</v>
      </c>
      <c r="C419" s="11" t="s">
        <v>1544</v>
      </c>
      <c r="D419" s="11" t="s">
        <v>1545</v>
      </c>
      <c r="E419" s="11" t="s">
        <v>57</v>
      </c>
      <c r="F419" s="11" t="s">
        <v>1546</v>
      </c>
      <c r="G419" s="11" t="s">
        <v>28</v>
      </c>
      <c r="H419" s="11" t="s">
        <v>1518</v>
      </c>
      <c r="I419" s="11" t="s">
        <v>1519</v>
      </c>
      <c r="J419" s="12">
        <v>0.96230000000000004</v>
      </c>
      <c r="K419" s="13">
        <v>1</v>
      </c>
      <c r="L419" s="14">
        <v>166</v>
      </c>
      <c r="M419" s="10">
        <v>113</v>
      </c>
      <c r="N419" s="10">
        <v>18343</v>
      </c>
      <c r="O419" s="10">
        <v>8861</v>
      </c>
      <c r="P419" s="10">
        <v>27204</v>
      </c>
    </row>
    <row r="420" spans="1:16" ht="27" customHeight="1" x14ac:dyDescent="0.2">
      <c r="A420" s="9" t="s">
        <v>1515</v>
      </c>
      <c r="B420" s="10" t="s">
        <v>1547</v>
      </c>
      <c r="C420" s="11" t="s">
        <v>18</v>
      </c>
      <c r="D420" s="11" t="s">
        <v>19</v>
      </c>
      <c r="E420" s="11" t="s">
        <v>19</v>
      </c>
      <c r="F420" s="11" t="s">
        <v>1548</v>
      </c>
      <c r="G420" s="11" t="s">
        <v>83</v>
      </c>
      <c r="H420" s="11" t="s">
        <v>1549</v>
      </c>
      <c r="I420" s="11" t="s">
        <v>1550</v>
      </c>
      <c r="J420" s="12">
        <v>0.42859999999999998</v>
      </c>
      <c r="K420" s="13">
        <v>2</v>
      </c>
      <c r="L420" s="14">
        <v>392</v>
      </c>
      <c r="M420" s="10">
        <v>168</v>
      </c>
      <c r="N420" s="10">
        <v>43317</v>
      </c>
      <c r="O420" s="10">
        <v>13174</v>
      </c>
      <c r="P420" s="10">
        <v>56491</v>
      </c>
    </row>
    <row r="421" spans="1:16" ht="27" customHeight="1" x14ac:dyDescent="0.2">
      <c r="A421" s="9" t="s">
        <v>1515</v>
      </c>
      <c r="B421" s="10" t="s">
        <v>1551</v>
      </c>
      <c r="C421" s="11" t="s">
        <v>18</v>
      </c>
      <c r="D421" s="11" t="s">
        <v>19</v>
      </c>
      <c r="E421" s="11" t="s">
        <v>19</v>
      </c>
      <c r="F421" s="11" t="s">
        <v>1552</v>
      </c>
      <c r="G421" s="11" t="s">
        <v>83</v>
      </c>
      <c r="H421" s="11" t="s">
        <v>1553</v>
      </c>
      <c r="I421" s="11" t="s">
        <v>1554</v>
      </c>
      <c r="J421" s="12">
        <v>0.30009999999999998</v>
      </c>
      <c r="K421" s="13">
        <v>2</v>
      </c>
      <c r="L421" s="14">
        <v>823</v>
      </c>
      <c r="M421" s="10">
        <v>247</v>
      </c>
      <c r="N421" s="10">
        <v>90943</v>
      </c>
      <c r="O421" s="10">
        <v>19369</v>
      </c>
      <c r="P421" s="10">
        <v>110312</v>
      </c>
    </row>
    <row r="422" spans="1:16" ht="27" customHeight="1" x14ac:dyDescent="0.2">
      <c r="A422" s="9" t="s">
        <v>1515</v>
      </c>
      <c r="B422" s="10" t="s">
        <v>1555</v>
      </c>
      <c r="C422" s="11" t="s">
        <v>18</v>
      </c>
      <c r="D422" s="11" t="s">
        <v>19</v>
      </c>
      <c r="E422" s="11" t="s">
        <v>19</v>
      </c>
      <c r="F422" s="11" t="s">
        <v>1556</v>
      </c>
      <c r="G422" s="11" t="s">
        <v>83</v>
      </c>
      <c r="H422" s="11" t="s">
        <v>1557</v>
      </c>
      <c r="I422" s="11" t="s">
        <v>1558</v>
      </c>
      <c r="J422" s="12">
        <v>0.746</v>
      </c>
      <c r="K422" s="13">
        <v>2</v>
      </c>
      <c r="L422" s="14">
        <v>378</v>
      </c>
      <c r="M422" s="10">
        <v>282</v>
      </c>
      <c r="N422" s="10">
        <v>41770</v>
      </c>
      <c r="O422" s="10">
        <v>22114</v>
      </c>
      <c r="P422" s="10">
        <v>63884</v>
      </c>
    </row>
    <row r="423" spans="1:16" ht="27" customHeight="1" x14ac:dyDescent="0.2">
      <c r="A423" s="9" t="s">
        <v>1515</v>
      </c>
      <c r="B423" s="10" t="s">
        <v>1555</v>
      </c>
      <c r="C423" s="11" t="s">
        <v>1559</v>
      </c>
      <c r="D423" s="11" t="s">
        <v>1560</v>
      </c>
      <c r="E423" s="11" t="s">
        <v>26</v>
      </c>
      <c r="F423" s="11" t="s">
        <v>1561</v>
      </c>
      <c r="G423" s="11" t="s">
        <v>28</v>
      </c>
      <c r="H423" s="11" t="s">
        <v>1561</v>
      </c>
      <c r="I423" s="11" t="s">
        <v>1562</v>
      </c>
      <c r="J423" s="12">
        <v>0.89080000000000004</v>
      </c>
      <c r="K423" s="13">
        <v>1</v>
      </c>
      <c r="L423" s="14">
        <v>1044</v>
      </c>
      <c r="M423" s="10">
        <v>930</v>
      </c>
      <c r="N423" s="10">
        <v>115364</v>
      </c>
      <c r="O423" s="10">
        <v>72930</v>
      </c>
      <c r="P423" s="10">
        <v>188294</v>
      </c>
    </row>
    <row r="424" spans="1:16" ht="27" customHeight="1" x14ac:dyDescent="0.2">
      <c r="A424" s="9" t="s">
        <v>1515</v>
      </c>
      <c r="B424" s="10" t="s">
        <v>1555</v>
      </c>
      <c r="C424" s="11" t="s">
        <v>1563</v>
      </c>
      <c r="D424" s="11" t="s">
        <v>1564</v>
      </c>
      <c r="E424" s="11" t="s">
        <v>57</v>
      </c>
      <c r="F424" s="11" t="s">
        <v>1565</v>
      </c>
      <c r="G424" s="11" t="s">
        <v>28</v>
      </c>
      <c r="H424" s="11" t="s">
        <v>1565</v>
      </c>
      <c r="I424" s="11" t="s">
        <v>1566</v>
      </c>
      <c r="J424" s="12">
        <v>0.75</v>
      </c>
      <c r="K424" s="13">
        <v>1</v>
      </c>
      <c r="L424" s="14">
        <v>56</v>
      </c>
      <c r="M424" s="10">
        <v>42</v>
      </c>
      <c r="N424" s="10">
        <v>6188</v>
      </c>
      <c r="O424" s="10">
        <v>3294</v>
      </c>
      <c r="P424" s="10">
        <v>9482</v>
      </c>
    </row>
    <row r="425" spans="1:16" ht="27" customHeight="1" x14ac:dyDescent="0.2">
      <c r="A425" s="9" t="s">
        <v>1515</v>
      </c>
      <c r="B425" s="10" t="s">
        <v>1567</v>
      </c>
      <c r="C425" s="11" t="s">
        <v>18</v>
      </c>
      <c r="D425" s="11" t="s">
        <v>19</v>
      </c>
      <c r="E425" s="11" t="s">
        <v>19</v>
      </c>
      <c r="F425" s="11" t="s">
        <v>1568</v>
      </c>
      <c r="G425" s="11" t="s">
        <v>83</v>
      </c>
      <c r="H425" s="11" t="s">
        <v>1569</v>
      </c>
      <c r="I425" s="11" t="s">
        <v>1570</v>
      </c>
      <c r="J425" s="12">
        <v>0.92859999999999998</v>
      </c>
      <c r="K425" s="13">
        <v>2</v>
      </c>
      <c r="L425" s="14">
        <v>238</v>
      </c>
      <c r="M425" s="10">
        <v>221</v>
      </c>
      <c r="N425" s="10">
        <v>26299</v>
      </c>
      <c r="O425" s="10">
        <v>17331</v>
      </c>
      <c r="P425" s="10">
        <v>43630</v>
      </c>
    </row>
    <row r="426" spans="1:16" ht="27" customHeight="1" x14ac:dyDescent="0.2">
      <c r="A426" s="9" t="s">
        <v>1515</v>
      </c>
      <c r="B426" s="10" t="s">
        <v>1571</v>
      </c>
      <c r="C426" s="11" t="s">
        <v>18</v>
      </c>
      <c r="D426" s="11" t="s">
        <v>19</v>
      </c>
      <c r="E426" s="11" t="s">
        <v>19</v>
      </c>
      <c r="F426" s="11" t="s">
        <v>1572</v>
      </c>
      <c r="G426" s="11" t="s">
        <v>83</v>
      </c>
      <c r="H426" s="11" t="s">
        <v>1573</v>
      </c>
      <c r="I426" s="11" t="s">
        <v>1574</v>
      </c>
      <c r="J426" s="12">
        <v>0.80379999999999996</v>
      </c>
      <c r="K426" s="13">
        <v>8</v>
      </c>
      <c r="L426" s="14">
        <v>3093</v>
      </c>
      <c r="M426" s="10">
        <v>2403</v>
      </c>
      <c r="N426" s="10">
        <v>341781</v>
      </c>
      <c r="O426" s="10">
        <v>188439</v>
      </c>
      <c r="P426" s="10">
        <v>530220</v>
      </c>
    </row>
    <row r="427" spans="1:16" ht="27" customHeight="1" x14ac:dyDescent="0.2">
      <c r="A427" s="9" t="s">
        <v>1515</v>
      </c>
      <c r="B427" s="10" t="s">
        <v>1571</v>
      </c>
      <c r="C427" s="11" t="s">
        <v>1575</v>
      </c>
      <c r="D427" s="11" t="s">
        <v>1576</v>
      </c>
      <c r="E427" s="11" t="s">
        <v>57</v>
      </c>
      <c r="F427" s="11" t="s">
        <v>1577</v>
      </c>
      <c r="G427" s="11" t="s">
        <v>28</v>
      </c>
      <c r="H427" s="11" t="s">
        <v>1518</v>
      </c>
      <c r="I427" s="11" t="s">
        <v>1519</v>
      </c>
      <c r="J427" s="12">
        <v>0.96230000000000004</v>
      </c>
      <c r="K427" s="13">
        <v>1</v>
      </c>
      <c r="L427" s="14">
        <v>136</v>
      </c>
      <c r="M427" s="10">
        <v>86</v>
      </c>
      <c r="N427" s="10">
        <v>15028</v>
      </c>
      <c r="O427" s="10">
        <v>6744</v>
      </c>
      <c r="P427" s="10">
        <v>21772</v>
      </c>
    </row>
    <row r="428" spans="1:16" ht="27" customHeight="1" x14ac:dyDescent="0.2">
      <c r="A428" s="9" t="s">
        <v>1515</v>
      </c>
      <c r="B428" s="10" t="s">
        <v>1578</v>
      </c>
      <c r="C428" s="11" t="s">
        <v>18</v>
      </c>
      <c r="D428" s="11" t="s">
        <v>19</v>
      </c>
      <c r="E428" s="11" t="s">
        <v>19</v>
      </c>
      <c r="F428" s="11" t="s">
        <v>1579</v>
      </c>
      <c r="G428" s="11" t="s">
        <v>83</v>
      </c>
      <c r="H428" s="11" t="s">
        <v>1518</v>
      </c>
      <c r="I428" s="11" t="s">
        <v>1519</v>
      </c>
      <c r="J428" s="12">
        <v>0.96230000000000004</v>
      </c>
      <c r="K428" s="13">
        <v>3</v>
      </c>
      <c r="L428" s="14">
        <v>1946</v>
      </c>
      <c r="M428" s="10">
        <v>1023</v>
      </c>
      <c r="N428" s="10">
        <v>215037</v>
      </c>
      <c r="O428" s="10">
        <v>80223</v>
      </c>
      <c r="P428" s="10">
        <v>295260</v>
      </c>
    </row>
    <row r="429" spans="1:16" ht="27" customHeight="1" x14ac:dyDescent="0.2">
      <c r="A429" s="9" t="s">
        <v>1515</v>
      </c>
      <c r="B429" s="10" t="s">
        <v>1578</v>
      </c>
      <c r="C429" s="11" t="s">
        <v>1580</v>
      </c>
      <c r="D429" s="11" t="s">
        <v>1581</v>
      </c>
      <c r="E429" s="11" t="s">
        <v>26</v>
      </c>
      <c r="F429" s="11" t="s">
        <v>1582</v>
      </c>
      <c r="G429" s="11" t="s">
        <v>28</v>
      </c>
      <c r="H429" s="11" t="s">
        <v>1518</v>
      </c>
      <c r="I429" s="11" t="s">
        <v>1519</v>
      </c>
      <c r="J429" s="12">
        <v>0.96230000000000004</v>
      </c>
      <c r="K429" s="13">
        <v>1</v>
      </c>
      <c r="L429" s="14">
        <v>237</v>
      </c>
      <c r="M429" s="10">
        <v>70</v>
      </c>
      <c r="N429" s="10">
        <v>26189</v>
      </c>
      <c r="O429" s="10">
        <v>5489</v>
      </c>
      <c r="P429" s="10">
        <v>31678</v>
      </c>
    </row>
    <row r="430" spans="1:16" ht="27" customHeight="1" x14ac:dyDescent="0.2">
      <c r="A430" s="9" t="s">
        <v>1515</v>
      </c>
      <c r="B430" s="10" t="s">
        <v>1578</v>
      </c>
      <c r="C430" s="11" t="s">
        <v>1583</v>
      </c>
      <c r="D430" s="11" t="s">
        <v>1584</v>
      </c>
      <c r="E430" s="11" t="s">
        <v>26</v>
      </c>
      <c r="F430" s="11" t="s">
        <v>1585</v>
      </c>
      <c r="G430" s="11" t="s">
        <v>28</v>
      </c>
      <c r="H430" s="11" t="s">
        <v>1518</v>
      </c>
      <c r="I430" s="11" t="s">
        <v>1519</v>
      </c>
      <c r="J430" s="12">
        <v>0.96230000000000004</v>
      </c>
      <c r="K430" s="13">
        <v>1</v>
      </c>
      <c r="L430" s="14">
        <v>162</v>
      </c>
      <c r="M430" s="10">
        <v>78</v>
      </c>
      <c r="N430" s="10">
        <v>17901</v>
      </c>
      <c r="O430" s="10">
        <v>6117</v>
      </c>
      <c r="P430" s="10">
        <v>24018</v>
      </c>
    </row>
    <row r="431" spans="1:16" ht="27" customHeight="1" x14ac:dyDescent="0.2">
      <c r="A431" s="9" t="s">
        <v>1515</v>
      </c>
      <c r="B431" s="10" t="s">
        <v>1586</v>
      </c>
      <c r="C431" s="11" t="s">
        <v>18</v>
      </c>
      <c r="D431" s="11" t="s">
        <v>19</v>
      </c>
      <c r="E431" s="11" t="s">
        <v>19</v>
      </c>
      <c r="F431" s="11" t="s">
        <v>427</v>
      </c>
      <c r="G431" s="11" t="s">
        <v>83</v>
      </c>
      <c r="H431" s="11" t="s">
        <v>1587</v>
      </c>
      <c r="I431" s="11" t="s">
        <v>1588</v>
      </c>
      <c r="J431" s="12">
        <v>0.49</v>
      </c>
      <c r="K431" s="13">
        <v>4</v>
      </c>
      <c r="L431" s="14">
        <v>1573</v>
      </c>
      <c r="M431" s="10">
        <v>717</v>
      </c>
      <c r="N431" s="10">
        <v>173819</v>
      </c>
      <c r="O431" s="10">
        <v>56227</v>
      </c>
      <c r="P431" s="10">
        <v>230046</v>
      </c>
    </row>
    <row r="432" spans="1:16" ht="27" customHeight="1" x14ac:dyDescent="0.2">
      <c r="A432" s="9" t="s">
        <v>1515</v>
      </c>
      <c r="B432" s="10" t="s">
        <v>1589</v>
      </c>
      <c r="C432" s="11" t="s">
        <v>18</v>
      </c>
      <c r="D432" s="11" t="s">
        <v>19</v>
      </c>
      <c r="E432" s="11" t="s">
        <v>19</v>
      </c>
      <c r="F432" s="11" t="s">
        <v>1590</v>
      </c>
      <c r="G432" s="11" t="s">
        <v>83</v>
      </c>
      <c r="H432" s="11" t="s">
        <v>1591</v>
      </c>
      <c r="I432" s="11" t="s">
        <v>1592</v>
      </c>
      <c r="J432" s="12">
        <v>0.95250000000000001</v>
      </c>
      <c r="K432" s="13">
        <v>10</v>
      </c>
      <c r="L432" s="14">
        <v>2763</v>
      </c>
      <c r="M432" s="10">
        <v>2518</v>
      </c>
      <c r="N432" s="10">
        <v>305317</v>
      </c>
      <c r="O432" s="10">
        <v>197457</v>
      </c>
      <c r="P432" s="10">
        <v>502774</v>
      </c>
    </row>
    <row r="433" spans="1:16" ht="27" customHeight="1" x14ac:dyDescent="0.2">
      <c r="A433" s="9" t="s">
        <v>1593</v>
      </c>
      <c r="B433" s="10" t="s">
        <v>1594</v>
      </c>
      <c r="C433" s="11" t="s">
        <v>18</v>
      </c>
      <c r="D433" s="11" t="s">
        <v>19</v>
      </c>
      <c r="E433" s="11" t="s">
        <v>19</v>
      </c>
      <c r="F433" s="11" t="s">
        <v>1595</v>
      </c>
      <c r="G433" s="11" t="s">
        <v>21</v>
      </c>
      <c r="H433" s="11" t="s">
        <v>1596</v>
      </c>
      <c r="I433" s="11" t="s">
        <v>1597</v>
      </c>
      <c r="J433" s="12">
        <v>0.89339999999999997</v>
      </c>
      <c r="K433" s="13">
        <v>4</v>
      </c>
      <c r="L433" s="14">
        <v>287</v>
      </c>
      <c r="M433" s="10">
        <v>255</v>
      </c>
      <c r="N433" s="10">
        <v>31714</v>
      </c>
      <c r="O433" s="10">
        <v>19997</v>
      </c>
      <c r="P433" s="10">
        <v>51711</v>
      </c>
    </row>
    <row r="434" spans="1:16" ht="27" customHeight="1" x14ac:dyDescent="0.2">
      <c r="A434" s="9" t="s">
        <v>1593</v>
      </c>
      <c r="B434" s="10" t="s">
        <v>1598</v>
      </c>
      <c r="C434" s="11" t="s">
        <v>18</v>
      </c>
      <c r="D434" s="11" t="s">
        <v>19</v>
      </c>
      <c r="E434" s="11" t="s">
        <v>19</v>
      </c>
      <c r="F434" s="11" t="s">
        <v>1599</v>
      </c>
      <c r="G434" s="11" t="s">
        <v>83</v>
      </c>
      <c r="H434" s="11" t="s">
        <v>1600</v>
      </c>
      <c r="I434" s="11" t="s">
        <v>1601</v>
      </c>
      <c r="J434" s="12">
        <v>0.79290000000000005</v>
      </c>
      <c r="K434" s="13">
        <v>8</v>
      </c>
      <c r="L434" s="14">
        <v>1845</v>
      </c>
      <c r="M434" s="10">
        <v>1293</v>
      </c>
      <c r="N434" s="10">
        <v>203876</v>
      </c>
      <c r="O434" s="10">
        <v>101396</v>
      </c>
      <c r="P434" s="10">
        <v>305272</v>
      </c>
    </row>
    <row r="435" spans="1:16" ht="27" customHeight="1" x14ac:dyDescent="0.2">
      <c r="A435" s="9" t="s">
        <v>1593</v>
      </c>
      <c r="B435" s="10" t="s">
        <v>1598</v>
      </c>
      <c r="C435" s="11" t="s">
        <v>1602</v>
      </c>
      <c r="D435" s="11" t="s">
        <v>1603</v>
      </c>
      <c r="E435" s="11" t="s">
        <v>26</v>
      </c>
      <c r="F435" s="11" t="s">
        <v>1604</v>
      </c>
      <c r="G435" s="11" t="s">
        <v>28</v>
      </c>
      <c r="H435" s="11" t="s">
        <v>1604</v>
      </c>
      <c r="I435" s="11" t="s">
        <v>1605</v>
      </c>
      <c r="J435" s="12">
        <v>0</v>
      </c>
      <c r="K435" s="13">
        <v>1</v>
      </c>
      <c r="L435" s="14">
        <v>0</v>
      </c>
      <c r="M435" s="10">
        <v>0</v>
      </c>
      <c r="N435" s="10">
        <v>0</v>
      </c>
      <c r="O435" s="10">
        <v>0</v>
      </c>
      <c r="P435" s="10">
        <v>0</v>
      </c>
    </row>
    <row r="436" spans="1:16" ht="27" customHeight="1" x14ac:dyDescent="0.2">
      <c r="A436" s="9" t="s">
        <v>1593</v>
      </c>
      <c r="B436" s="10" t="s">
        <v>1606</v>
      </c>
      <c r="C436" s="11" t="s">
        <v>18</v>
      </c>
      <c r="D436" s="11" t="s">
        <v>19</v>
      </c>
      <c r="E436" s="11" t="s">
        <v>19</v>
      </c>
      <c r="F436" s="11" t="s">
        <v>1607</v>
      </c>
      <c r="G436" s="11" t="s">
        <v>83</v>
      </c>
      <c r="H436" s="11" t="s">
        <v>1596</v>
      </c>
      <c r="I436" s="11" t="s">
        <v>1597</v>
      </c>
      <c r="J436" s="12">
        <v>0.89339999999999997</v>
      </c>
      <c r="K436" s="13">
        <v>12</v>
      </c>
      <c r="L436" s="14">
        <v>3527</v>
      </c>
      <c r="M436" s="10">
        <v>2926</v>
      </c>
      <c r="N436" s="10">
        <v>389739</v>
      </c>
      <c r="O436" s="10">
        <v>229456</v>
      </c>
      <c r="P436" s="10">
        <v>619195</v>
      </c>
    </row>
    <row r="437" spans="1:16" ht="27" customHeight="1" x14ac:dyDescent="0.2">
      <c r="A437" s="9" t="s">
        <v>1593</v>
      </c>
      <c r="B437" s="10" t="s">
        <v>1608</v>
      </c>
      <c r="C437" s="11" t="s">
        <v>18</v>
      </c>
      <c r="D437" s="11" t="s">
        <v>19</v>
      </c>
      <c r="E437" s="11" t="s">
        <v>19</v>
      </c>
      <c r="F437" s="11" t="s">
        <v>1609</v>
      </c>
      <c r="G437" s="11" t="s">
        <v>83</v>
      </c>
      <c r="H437" s="11" t="s">
        <v>1610</v>
      </c>
      <c r="I437" s="11" t="s">
        <v>1611</v>
      </c>
      <c r="J437" s="12">
        <v>0.65739999999999998</v>
      </c>
      <c r="K437" s="13">
        <v>7</v>
      </c>
      <c r="L437" s="14">
        <v>1349</v>
      </c>
      <c r="M437" s="10">
        <v>873</v>
      </c>
      <c r="N437" s="10">
        <v>149068</v>
      </c>
      <c r="O437" s="10">
        <v>68460</v>
      </c>
      <c r="P437" s="10">
        <v>217528</v>
      </c>
    </row>
    <row r="438" spans="1:16" ht="27" customHeight="1" x14ac:dyDescent="0.2">
      <c r="A438" s="9" t="s">
        <v>1593</v>
      </c>
      <c r="B438" s="10" t="s">
        <v>1612</v>
      </c>
      <c r="C438" s="11" t="s">
        <v>18</v>
      </c>
      <c r="D438" s="11" t="s">
        <v>19</v>
      </c>
      <c r="E438" s="11" t="s">
        <v>19</v>
      </c>
      <c r="F438" s="11" t="s">
        <v>1613</v>
      </c>
      <c r="G438" s="11" t="s">
        <v>83</v>
      </c>
      <c r="H438" s="11" t="s">
        <v>1613</v>
      </c>
      <c r="I438" s="11" t="s">
        <v>1614</v>
      </c>
      <c r="J438" s="12">
        <v>0.78600000000000003</v>
      </c>
      <c r="K438" s="13">
        <v>2</v>
      </c>
      <c r="L438" s="14">
        <v>299</v>
      </c>
      <c r="M438" s="10">
        <v>235</v>
      </c>
      <c r="N438" s="10">
        <v>33040</v>
      </c>
      <c r="O438" s="10">
        <v>18428</v>
      </c>
      <c r="P438" s="10">
        <v>51468</v>
      </c>
    </row>
    <row r="439" spans="1:16" ht="27" customHeight="1" x14ac:dyDescent="0.2">
      <c r="A439" s="9" t="s">
        <v>1593</v>
      </c>
      <c r="B439" s="10" t="s">
        <v>1615</v>
      </c>
      <c r="C439" s="11" t="s">
        <v>18</v>
      </c>
      <c r="D439" s="11" t="s">
        <v>19</v>
      </c>
      <c r="E439" s="11" t="s">
        <v>19</v>
      </c>
      <c r="F439" s="11" t="s">
        <v>1616</v>
      </c>
      <c r="G439" s="11" t="s">
        <v>83</v>
      </c>
      <c r="H439" s="11" t="s">
        <v>1617</v>
      </c>
      <c r="I439" s="11" t="s">
        <v>1618</v>
      </c>
      <c r="J439" s="12">
        <v>0.66479999999999995</v>
      </c>
      <c r="K439" s="13">
        <v>7</v>
      </c>
      <c r="L439" s="14">
        <v>1448</v>
      </c>
      <c r="M439" s="10">
        <v>684</v>
      </c>
      <c r="N439" s="10">
        <v>160007</v>
      </c>
      <c r="O439" s="10">
        <v>53638</v>
      </c>
      <c r="P439" s="10">
        <v>213645</v>
      </c>
    </row>
    <row r="440" spans="1:16" ht="27" customHeight="1" x14ac:dyDescent="0.2">
      <c r="A440" s="9" t="s">
        <v>1593</v>
      </c>
      <c r="B440" s="10" t="s">
        <v>1615</v>
      </c>
      <c r="C440" s="11" t="s">
        <v>1619</v>
      </c>
      <c r="D440" s="11" t="s">
        <v>1620</v>
      </c>
      <c r="E440" s="11" t="s">
        <v>26</v>
      </c>
      <c r="F440" s="11" t="s">
        <v>1621</v>
      </c>
      <c r="G440" s="11" t="s">
        <v>28</v>
      </c>
      <c r="H440" s="11" t="s">
        <v>1621</v>
      </c>
      <c r="I440" s="11" t="s">
        <v>1622</v>
      </c>
      <c r="J440" s="12">
        <v>0.70669999999999999</v>
      </c>
      <c r="K440" s="13">
        <v>1</v>
      </c>
      <c r="L440" s="14">
        <v>75</v>
      </c>
      <c r="M440" s="10">
        <v>53</v>
      </c>
      <c r="N440" s="10">
        <v>8288</v>
      </c>
      <c r="O440" s="10">
        <v>4156</v>
      </c>
      <c r="P440" s="10">
        <v>12444</v>
      </c>
    </row>
    <row r="441" spans="1:16" ht="27" customHeight="1" x14ac:dyDescent="0.2">
      <c r="A441" s="9" t="s">
        <v>1593</v>
      </c>
      <c r="B441" s="10" t="s">
        <v>1615</v>
      </c>
      <c r="C441" s="11" t="s">
        <v>1623</v>
      </c>
      <c r="D441" s="11" t="s">
        <v>1624</v>
      </c>
      <c r="E441" s="11" t="s">
        <v>26</v>
      </c>
      <c r="F441" s="11" t="s">
        <v>1625</v>
      </c>
      <c r="G441" s="11" t="s">
        <v>28</v>
      </c>
      <c r="H441" s="11" t="s">
        <v>1625</v>
      </c>
      <c r="I441" s="11" t="s">
        <v>1626</v>
      </c>
      <c r="J441" s="12">
        <v>0.59740000000000004</v>
      </c>
      <c r="K441" s="13">
        <v>1</v>
      </c>
      <c r="L441" s="14">
        <v>154</v>
      </c>
      <c r="M441" s="10">
        <v>92</v>
      </c>
      <c r="N441" s="10">
        <v>17017</v>
      </c>
      <c r="O441" s="10">
        <v>7215</v>
      </c>
      <c r="P441" s="10">
        <v>24232</v>
      </c>
    </row>
    <row r="442" spans="1:16" ht="27" customHeight="1" x14ac:dyDescent="0.2">
      <c r="A442" s="9" t="s">
        <v>1593</v>
      </c>
      <c r="B442" s="10" t="s">
        <v>1627</v>
      </c>
      <c r="C442" s="11" t="s">
        <v>18</v>
      </c>
      <c r="D442" s="11" t="s">
        <v>19</v>
      </c>
      <c r="E442" s="11" t="s">
        <v>19</v>
      </c>
      <c r="F442" s="11" t="s">
        <v>1628</v>
      </c>
      <c r="G442" s="11" t="s">
        <v>83</v>
      </c>
      <c r="H442" s="11" t="s">
        <v>1629</v>
      </c>
      <c r="I442" s="11" t="s">
        <v>1630</v>
      </c>
      <c r="J442" s="12">
        <v>0.84660000000000002</v>
      </c>
      <c r="K442" s="13">
        <v>6</v>
      </c>
      <c r="L442" s="14">
        <v>893</v>
      </c>
      <c r="M442" s="10">
        <v>754</v>
      </c>
      <c r="N442" s="10">
        <v>98678</v>
      </c>
      <c r="O442" s="10">
        <v>59127</v>
      </c>
      <c r="P442" s="10">
        <v>157805</v>
      </c>
    </row>
    <row r="443" spans="1:16" ht="27" customHeight="1" x14ac:dyDescent="0.2">
      <c r="A443" s="9" t="s">
        <v>1631</v>
      </c>
      <c r="B443" s="10" t="s">
        <v>1632</v>
      </c>
      <c r="C443" s="11" t="s">
        <v>18</v>
      </c>
      <c r="D443" s="11" t="s">
        <v>19</v>
      </c>
      <c r="E443" s="11" t="s">
        <v>19</v>
      </c>
      <c r="F443" s="11" t="s">
        <v>1633</v>
      </c>
      <c r="G443" s="11" t="s">
        <v>21</v>
      </c>
      <c r="H443" s="11" t="s">
        <v>1634</v>
      </c>
      <c r="I443" s="11" t="s">
        <v>1635</v>
      </c>
      <c r="J443" s="12">
        <v>1</v>
      </c>
      <c r="K443" s="13">
        <v>4</v>
      </c>
      <c r="L443" s="14">
        <v>59</v>
      </c>
      <c r="M443" s="10">
        <v>49</v>
      </c>
      <c r="N443" s="10">
        <v>6520</v>
      </c>
      <c r="O443" s="10">
        <v>3843</v>
      </c>
      <c r="P443" s="10">
        <v>10363</v>
      </c>
    </row>
    <row r="444" spans="1:16" ht="27" customHeight="1" x14ac:dyDescent="0.2">
      <c r="A444" s="9" t="s">
        <v>1631</v>
      </c>
      <c r="B444" s="10" t="s">
        <v>1636</v>
      </c>
      <c r="C444" s="11" t="s">
        <v>18</v>
      </c>
      <c r="D444" s="11" t="s">
        <v>19</v>
      </c>
      <c r="E444" s="11" t="s">
        <v>19</v>
      </c>
      <c r="F444" s="11" t="s">
        <v>1637</v>
      </c>
      <c r="G444" s="11" t="s">
        <v>83</v>
      </c>
      <c r="H444" s="11" t="s">
        <v>1638</v>
      </c>
      <c r="I444" s="11" t="s">
        <v>1639</v>
      </c>
      <c r="J444" s="12">
        <v>0.70830000000000004</v>
      </c>
      <c r="K444" s="13">
        <v>3</v>
      </c>
      <c r="L444" s="14">
        <v>132</v>
      </c>
      <c r="M444" s="10">
        <v>87</v>
      </c>
      <c r="N444" s="10">
        <v>14586</v>
      </c>
      <c r="O444" s="10">
        <v>6822</v>
      </c>
      <c r="P444" s="10">
        <v>21408</v>
      </c>
    </row>
    <row r="445" spans="1:16" ht="27" customHeight="1" x14ac:dyDescent="0.2">
      <c r="A445" s="9" t="s">
        <v>1631</v>
      </c>
      <c r="B445" s="10" t="s">
        <v>1640</v>
      </c>
      <c r="C445" s="11" t="s">
        <v>18</v>
      </c>
      <c r="D445" s="11" t="s">
        <v>19</v>
      </c>
      <c r="E445" s="11" t="s">
        <v>19</v>
      </c>
      <c r="F445" s="11" t="s">
        <v>1641</v>
      </c>
      <c r="G445" s="11" t="s">
        <v>83</v>
      </c>
      <c r="H445" s="11" t="s">
        <v>1642</v>
      </c>
      <c r="I445" s="11" t="s">
        <v>1643</v>
      </c>
      <c r="J445" s="12">
        <v>0.41589999999999999</v>
      </c>
      <c r="K445" s="13">
        <v>2</v>
      </c>
      <c r="L445" s="14">
        <v>315</v>
      </c>
      <c r="M445" s="10">
        <v>131</v>
      </c>
      <c r="N445" s="10">
        <v>34808</v>
      </c>
      <c r="O445" s="10">
        <v>10273</v>
      </c>
      <c r="P445" s="10">
        <v>45081</v>
      </c>
    </row>
    <row r="446" spans="1:16" ht="27" customHeight="1" x14ac:dyDescent="0.2">
      <c r="A446" s="9" t="s">
        <v>1631</v>
      </c>
      <c r="B446" s="10" t="s">
        <v>1644</v>
      </c>
      <c r="C446" s="11" t="s">
        <v>18</v>
      </c>
      <c r="D446" s="11" t="s">
        <v>19</v>
      </c>
      <c r="E446" s="11" t="s">
        <v>19</v>
      </c>
      <c r="F446" s="11" t="s">
        <v>1645</v>
      </c>
      <c r="G446" s="11" t="s">
        <v>83</v>
      </c>
      <c r="H446" s="11" t="s">
        <v>1645</v>
      </c>
      <c r="I446" s="11" t="s">
        <v>1646</v>
      </c>
      <c r="J446" s="12">
        <v>0.57069999999999999</v>
      </c>
      <c r="K446" s="13">
        <v>2</v>
      </c>
      <c r="L446" s="14">
        <v>198</v>
      </c>
      <c r="M446" s="10">
        <v>113</v>
      </c>
      <c r="N446" s="10">
        <v>21879</v>
      </c>
      <c r="O446" s="10">
        <v>8861</v>
      </c>
      <c r="P446" s="10">
        <v>30740</v>
      </c>
    </row>
    <row r="447" spans="1:16" ht="27" customHeight="1" x14ac:dyDescent="0.2">
      <c r="A447" s="9" t="s">
        <v>1631</v>
      </c>
      <c r="B447" s="10" t="s">
        <v>1647</v>
      </c>
      <c r="C447" s="11" t="s">
        <v>18</v>
      </c>
      <c r="D447" s="11" t="s">
        <v>19</v>
      </c>
      <c r="E447" s="11" t="s">
        <v>19</v>
      </c>
      <c r="F447" s="11" t="s">
        <v>1648</v>
      </c>
      <c r="G447" s="11" t="s">
        <v>83</v>
      </c>
      <c r="H447" s="11" t="s">
        <v>1634</v>
      </c>
      <c r="I447" s="11" t="s">
        <v>1635</v>
      </c>
      <c r="J447" s="12">
        <v>1</v>
      </c>
      <c r="K447" s="13">
        <v>4</v>
      </c>
      <c r="L447" s="14">
        <v>864</v>
      </c>
      <c r="M447" s="10">
        <v>304</v>
      </c>
      <c r="N447" s="10">
        <v>95473</v>
      </c>
      <c r="O447" s="10">
        <v>23839</v>
      </c>
      <c r="P447" s="10">
        <v>119312</v>
      </c>
    </row>
    <row r="448" spans="1:16" ht="27" customHeight="1" x14ac:dyDescent="0.2">
      <c r="A448" s="9" t="s">
        <v>1631</v>
      </c>
      <c r="B448" s="10" t="s">
        <v>1649</v>
      </c>
      <c r="C448" s="11" t="s">
        <v>18</v>
      </c>
      <c r="D448" s="11" t="s">
        <v>19</v>
      </c>
      <c r="E448" s="11" t="s">
        <v>19</v>
      </c>
      <c r="F448" s="11" t="s">
        <v>1650</v>
      </c>
      <c r="G448" s="11" t="s">
        <v>83</v>
      </c>
      <c r="H448" s="11" t="s">
        <v>1634</v>
      </c>
      <c r="I448" s="11" t="s">
        <v>1635</v>
      </c>
      <c r="J448" s="12">
        <v>1</v>
      </c>
      <c r="K448" s="13">
        <v>2</v>
      </c>
      <c r="L448" s="14">
        <v>9</v>
      </c>
      <c r="M448" s="10">
        <v>9</v>
      </c>
      <c r="N448" s="10">
        <v>995</v>
      </c>
      <c r="O448" s="10">
        <v>706</v>
      </c>
      <c r="P448" s="10">
        <v>1701</v>
      </c>
    </row>
    <row r="449" spans="1:16" ht="27" customHeight="1" x14ac:dyDescent="0.2">
      <c r="A449" s="9" t="s">
        <v>1631</v>
      </c>
      <c r="B449" s="10" t="s">
        <v>1651</v>
      </c>
      <c r="C449" s="11" t="s">
        <v>18</v>
      </c>
      <c r="D449" s="11" t="s">
        <v>19</v>
      </c>
      <c r="E449" s="11" t="s">
        <v>19</v>
      </c>
      <c r="F449" s="11" t="s">
        <v>1652</v>
      </c>
      <c r="G449" s="11" t="s">
        <v>83</v>
      </c>
      <c r="H449" s="11" t="s">
        <v>1652</v>
      </c>
      <c r="I449" s="11" t="s">
        <v>1653</v>
      </c>
      <c r="J449" s="12">
        <v>0.1832</v>
      </c>
      <c r="K449" s="13">
        <v>2</v>
      </c>
      <c r="L449" s="14">
        <v>191</v>
      </c>
      <c r="M449" s="10">
        <v>35</v>
      </c>
      <c r="N449" s="10">
        <v>21106</v>
      </c>
      <c r="O449" s="10">
        <v>2745</v>
      </c>
      <c r="P449" s="10">
        <v>23851</v>
      </c>
    </row>
    <row r="450" spans="1:16" ht="27" customHeight="1" x14ac:dyDescent="0.2">
      <c r="A450" s="9" t="s">
        <v>1631</v>
      </c>
      <c r="B450" s="10" t="s">
        <v>1654</v>
      </c>
      <c r="C450" s="11" t="s">
        <v>18</v>
      </c>
      <c r="D450" s="11" t="s">
        <v>19</v>
      </c>
      <c r="E450" s="11" t="s">
        <v>19</v>
      </c>
      <c r="F450" s="11" t="s">
        <v>1655</v>
      </c>
      <c r="G450" s="11" t="s">
        <v>83</v>
      </c>
      <c r="H450" s="11" t="s">
        <v>1656</v>
      </c>
      <c r="I450" s="11" t="s">
        <v>1657</v>
      </c>
      <c r="J450" s="12">
        <v>0.56520000000000004</v>
      </c>
      <c r="K450" s="13">
        <v>2</v>
      </c>
      <c r="L450" s="14">
        <v>207</v>
      </c>
      <c r="M450" s="10">
        <v>117</v>
      </c>
      <c r="N450" s="10">
        <v>22874</v>
      </c>
      <c r="O450" s="10">
        <v>9175</v>
      </c>
      <c r="P450" s="10">
        <v>32049</v>
      </c>
    </row>
    <row r="451" spans="1:16" ht="27" customHeight="1" x14ac:dyDescent="0.2">
      <c r="A451" s="9" t="s">
        <v>1631</v>
      </c>
      <c r="B451" s="10" t="s">
        <v>1658</v>
      </c>
      <c r="C451" s="11" t="s">
        <v>18</v>
      </c>
      <c r="D451" s="11" t="s">
        <v>19</v>
      </c>
      <c r="E451" s="11" t="s">
        <v>19</v>
      </c>
      <c r="F451" s="11" t="s">
        <v>1659</v>
      </c>
      <c r="G451" s="11" t="s">
        <v>83</v>
      </c>
      <c r="H451" s="11" t="s">
        <v>1660</v>
      </c>
      <c r="I451" s="11" t="s">
        <v>1661</v>
      </c>
      <c r="J451" s="12">
        <v>0.65239999999999998</v>
      </c>
      <c r="K451" s="13">
        <v>4</v>
      </c>
      <c r="L451" s="14">
        <v>1044</v>
      </c>
      <c r="M451" s="10">
        <v>672</v>
      </c>
      <c r="N451" s="10">
        <v>115364</v>
      </c>
      <c r="O451" s="10">
        <v>52698</v>
      </c>
      <c r="P451" s="10">
        <v>168062</v>
      </c>
    </row>
    <row r="452" spans="1:16" ht="27" customHeight="1" x14ac:dyDescent="0.2">
      <c r="A452" s="9" t="s">
        <v>1631</v>
      </c>
      <c r="B452" s="10" t="s">
        <v>1658</v>
      </c>
      <c r="C452" s="11" t="s">
        <v>1662</v>
      </c>
      <c r="D452" s="11" t="s">
        <v>1663</v>
      </c>
      <c r="E452" s="11" t="s">
        <v>26</v>
      </c>
      <c r="F452" s="11" t="s">
        <v>1664</v>
      </c>
      <c r="G452" s="11" t="s">
        <v>28</v>
      </c>
      <c r="H452" s="11" t="s">
        <v>1664</v>
      </c>
      <c r="I452" s="11" t="s">
        <v>1665</v>
      </c>
      <c r="J452" s="12">
        <v>0.60840000000000005</v>
      </c>
      <c r="K452" s="13">
        <v>1</v>
      </c>
      <c r="L452" s="14">
        <v>143</v>
      </c>
      <c r="M452" s="10">
        <v>87</v>
      </c>
      <c r="N452" s="10">
        <v>15802</v>
      </c>
      <c r="O452" s="10">
        <v>6822</v>
      </c>
      <c r="P452" s="10">
        <v>22624</v>
      </c>
    </row>
    <row r="453" spans="1:16" ht="27" customHeight="1" x14ac:dyDescent="0.2">
      <c r="A453" s="9" t="s">
        <v>1631</v>
      </c>
      <c r="B453" s="10" t="s">
        <v>1666</v>
      </c>
      <c r="C453" s="11" t="s">
        <v>18</v>
      </c>
      <c r="D453" s="11" t="s">
        <v>19</v>
      </c>
      <c r="E453" s="11" t="s">
        <v>19</v>
      </c>
      <c r="F453" s="11" t="s">
        <v>1667</v>
      </c>
      <c r="G453" s="11" t="s">
        <v>83</v>
      </c>
      <c r="H453" s="11" t="s">
        <v>1668</v>
      </c>
      <c r="I453" s="11" t="s">
        <v>1669</v>
      </c>
      <c r="J453" s="12">
        <v>0.79779999999999995</v>
      </c>
      <c r="K453" s="13">
        <v>3</v>
      </c>
      <c r="L453" s="14">
        <v>174</v>
      </c>
      <c r="M453" s="10">
        <v>130</v>
      </c>
      <c r="N453" s="10">
        <v>19228</v>
      </c>
      <c r="O453" s="10">
        <v>10195</v>
      </c>
      <c r="P453" s="10">
        <v>29423</v>
      </c>
    </row>
    <row r="454" spans="1:16" ht="27" customHeight="1" x14ac:dyDescent="0.2">
      <c r="A454" s="9" t="s">
        <v>1631</v>
      </c>
      <c r="B454" s="10" t="s">
        <v>1670</v>
      </c>
      <c r="C454" s="11" t="s">
        <v>18</v>
      </c>
      <c r="D454" s="11" t="s">
        <v>19</v>
      </c>
      <c r="E454" s="11" t="s">
        <v>19</v>
      </c>
      <c r="F454" s="11" t="s">
        <v>1671</v>
      </c>
      <c r="G454" s="11" t="s">
        <v>83</v>
      </c>
      <c r="H454" s="11" t="s">
        <v>1672</v>
      </c>
      <c r="I454" s="11" t="s">
        <v>1673</v>
      </c>
      <c r="J454" s="12">
        <v>0.8478</v>
      </c>
      <c r="K454" s="13">
        <v>4</v>
      </c>
      <c r="L454" s="14">
        <v>101</v>
      </c>
      <c r="M454" s="10">
        <v>85</v>
      </c>
      <c r="N454" s="10">
        <v>11161</v>
      </c>
      <c r="O454" s="10">
        <v>6666</v>
      </c>
      <c r="P454" s="10">
        <v>17827</v>
      </c>
    </row>
    <row r="455" spans="1:16" ht="27" customHeight="1" x14ac:dyDescent="0.2">
      <c r="A455" s="9" t="s">
        <v>1631</v>
      </c>
      <c r="B455" s="10" t="s">
        <v>1670</v>
      </c>
      <c r="C455" s="11" t="s">
        <v>1674</v>
      </c>
      <c r="D455" s="11" t="s">
        <v>1675</v>
      </c>
      <c r="E455" s="11" t="s">
        <v>57</v>
      </c>
      <c r="F455" s="11" t="s">
        <v>1676</v>
      </c>
      <c r="G455" s="11" t="s">
        <v>28</v>
      </c>
      <c r="H455" s="11" t="s">
        <v>1676</v>
      </c>
      <c r="I455" s="11" t="s">
        <v>1677</v>
      </c>
      <c r="J455" s="12">
        <v>0.63270000000000004</v>
      </c>
      <c r="K455" s="13">
        <v>1</v>
      </c>
      <c r="L455" s="14">
        <v>147</v>
      </c>
      <c r="M455" s="10">
        <v>93</v>
      </c>
      <c r="N455" s="10">
        <v>16244</v>
      </c>
      <c r="O455" s="10">
        <v>7293</v>
      </c>
      <c r="P455" s="10">
        <v>23537</v>
      </c>
    </row>
    <row r="456" spans="1:16" ht="27" customHeight="1" x14ac:dyDescent="0.2">
      <c r="A456" s="9" t="s">
        <v>1631</v>
      </c>
      <c r="B456" s="10" t="s">
        <v>1670</v>
      </c>
      <c r="C456" s="11" t="s">
        <v>1678</v>
      </c>
      <c r="D456" s="11" t="s">
        <v>1679</v>
      </c>
      <c r="E456" s="11" t="s">
        <v>26</v>
      </c>
      <c r="F456" s="11" t="s">
        <v>1680</v>
      </c>
      <c r="G456" s="11" t="s">
        <v>28</v>
      </c>
      <c r="H456" s="11" t="s">
        <v>1680</v>
      </c>
      <c r="I456" s="11" t="s">
        <v>1681</v>
      </c>
      <c r="J456" s="12">
        <v>0.62929999999999997</v>
      </c>
      <c r="K456" s="13">
        <v>1</v>
      </c>
      <c r="L456" s="14">
        <v>232</v>
      </c>
      <c r="M456" s="10">
        <v>146</v>
      </c>
      <c r="N456" s="10">
        <v>25636</v>
      </c>
      <c r="O456" s="10">
        <v>11449</v>
      </c>
      <c r="P456" s="10">
        <v>37085</v>
      </c>
    </row>
    <row r="457" spans="1:16" ht="27" customHeight="1" x14ac:dyDescent="0.2">
      <c r="A457" s="9" t="s">
        <v>1682</v>
      </c>
      <c r="B457" s="10" t="s">
        <v>1683</v>
      </c>
      <c r="C457" s="11" t="s">
        <v>18</v>
      </c>
      <c r="D457" s="11" t="s">
        <v>19</v>
      </c>
      <c r="E457" s="11" t="s">
        <v>19</v>
      </c>
      <c r="F457" s="11" t="s">
        <v>1684</v>
      </c>
      <c r="G457" s="11" t="s">
        <v>21</v>
      </c>
      <c r="H457" s="11" t="s">
        <v>1685</v>
      </c>
      <c r="I457" s="11" t="s">
        <v>1686</v>
      </c>
      <c r="J457" s="12">
        <v>1</v>
      </c>
      <c r="K457" s="13">
        <v>11</v>
      </c>
      <c r="L457" s="14">
        <v>2602</v>
      </c>
      <c r="M457" s="10">
        <v>1761</v>
      </c>
      <c r="N457" s="10">
        <v>287524</v>
      </c>
      <c r="O457" s="10">
        <v>138095</v>
      </c>
      <c r="P457" s="10">
        <v>425619</v>
      </c>
    </row>
    <row r="458" spans="1:16" ht="27" customHeight="1" x14ac:dyDescent="0.2">
      <c r="A458" s="9" t="s">
        <v>1682</v>
      </c>
      <c r="B458" s="10" t="s">
        <v>1683</v>
      </c>
      <c r="C458" s="11" t="s">
        <v>1687</v>
      </c>
      <c r="D458" s="11" t="s">
        <v>1688</v>
      </c>
      <c r="E458" s="11" t="s">
        <v>26</v>
      </c>
      <c r="F458" s="11" t="s">
        <v>1689</v>
      </c>
      <c r="G458" s="11" t="s">
        <v>28</v>
      </c>
      <c r="H458" s="11" t="s">
        <v>1689</v>
      </c>
      <c r="I458" s="11" t="s">
        <v>1690</v>
      </c>
      <c r="J458" s="12">
        <v>0</v>
      </c>
      <c r="K458" s="13">
        <v>1</v>
      </c>
      <c r="L458" s="14">
        <v>0</v>
      </c>
      <c r="M458" s="10">
        <v>0</v>
      </c>
      <c r="N458" s="10">
        <v>0</v>
      </c>
      <c r="O458" s="10">
        <v>0</v>
      </c>
      <c r="P458" s="10">
        <v>0</v>
      </c>
    </row>
    <row r="459" spans="1:16" ht="27" customHeight="1" x14ac:dyDescent="0.2">
      <c r="A459" s="9" t="s">
        <v>1682</v>
      </c>
      <c r="B459" s="10" t="s">
        <v>1683</v>
      </c>
      <c r="C459" s="11" t="s">
        <v>1691</v>
      </c>
      <c r="D459" s="11" t="s">
        <v>1692</v>
      </c>
      <c r="E459" s="11" t="s">
        <v>26</v>
      </c>
      <c r="F459" s="11" t="s">
        <v>1693</v>
      </c>
      <c r="G459" s="11" t="s">
        <v>28</v>
      </c>
      <c r="H459" s="11" t="s">
        <v>1693</v>
      </c>
      <c r="I459" s="11" t="s">
        <v>1694</v>
      </c>
      <c r="J459" s="12">
        <v>1</v>
      </c>
      <c r="K459" s="13">
        <v>1</v>
      </c>
      <c r="L459" s="14">
        <v>14</v>
      </c>
      <c r="M459" s="10">
        <v>14</v>
      </c>
      <c r="N459" s="10">
        <v>1547</v>
      </c>
      <c r="O459" s="10">
        <v>1098</v>
      </c>
      <c r="P459" s="10">
        <v>2645</v>
      </c>
    </row>
    <row r="460" spans="1:16" ht="27" customHeight="1" x14ac:dyDescent="0.2">
      <c r="A460" s="9" t="s">
        <v>1682</v>
      </c>
      <c r="B460" s="10" t="s">
        <v>1683</v>
      </c>
      <c r="C460" s="11" t="s">
        <v>1695</v>
      </c>
      <c r="D460" s="11" t="s">
        <v>1696</v>
      </c>
      <c r="E460" s="11" t="s">
        <v>26</v>
      </c>
      <c r="F460" s="11" t="s">
        <v>1697</v>
      </c>
      <c r="G460" s="11" t="s">
        <v>28</v>
      </c>
      <c r="H460" s="11" t="s">
        <v>1697</v>
      </c>
      <c r="I460" s="11" t="s">
        <v>1698</v>
      </c>
      <c r="J460" s="12">
        <v>0.80289999999999995</v>
      </c>
      <c r="K460" s="13">
        <v>1</v>
      </c>
      <c r="L460" s="14">
        <v>421</v>
      </c>
      <c r="M460" s="10">
        <v>338</v>
      </c>
      <c r="N460" s="10">
        <v>46521</v>
      </c>
      <c r="O460" s="10">
        <v>26506</v>
      </c>
      <c r="P460" s="10">
        <v>73027</v>
      </c>
    </row>
    <row r="461" spans="1:16" ht="27" customHeight="1" x14ac:dyDescent="0.2">
      <c r="A461" s="9" t="s">
        <v>1682</v>
      </c>
      <c r="B461" s="10" t="s">
        <v>1683</v>
      </c>
      <c r="C461" s="11" t="s">
        <v>1699</v>
      </c>
      <c r="D461" s="11" t="s">
        <v>1700</v>
      </c>
      <c r="E461" s="11" t="s">
        <v>26</v>
      </c>
      <c r="F461" s="11" t="s">
        <v>1701</v>
      </c>
      <c r="G461" s="11" t="s">
        <v>28</v>
      </c>
      <c r="H461" s="11" t="s">
        <v>1701</v>
      </c>
      <c r="I461" s="11" t="s">
        <v>1702</v>
      </c>
      <c r="J461" s="12">
        <v>0.89049999999999996</v>
      </c>
      <c r="K461" s="13">
        <v>1</v>
      </c>
      <c r="L461" s="14">
        <v>557</v>
      </c>
      <c r="M461" s="10">
        <v>496</v>
      </c>
      <c r="N461" s="10">
        <v>61549</v>
      </c>
      <c r="O461" s="10">
        <v>38896</v>
      </c>
      <c r="P461" s="10">
        <v>100445</v>
      </c>
    </row>
    <row r="462" spans="1:16" ht="27" customHeight="1" x14ac:dyDescent="0.2">
      <c r="A462" s="9" t="s">
        <v>1682</v>
      </c>
      <c r="B462" s="10" t="s">
        <v>1683</v>
      </c>
      <c r="C462" s="11" t="s">
        <v>1703</v>
      </c>
      <c r="D462" s="11" t="s">
        <v>1704</v>
      </c>
      <c r="E462" s="11" t="s">
        <v>26</v>
      </c>
      <c r="F462" s="11" t="s">
        <v>1705</v>
      </c>
      <c r="G462" s="11" t="s">
        <v>28</v>
      </c>
      <c r="H462" s="11" t="s">
        <v>1705</v>
      </c>
      <c r="I462" s="11" t="s">
        <v>1706</v>
      </c>
      <c r="J462" s="12">
        <v>0.6623</v>
      </c>
      <c r="K462" s="13">
        <v>1</v>
      </c>
      <c r="L462" s="14">
        <v>379</v>
      </c>
      <c r="M462" s="10">
        <v>251</v>
      </c>
      <c r="N462" s="10">
        <v>41880</v>
      </c>
      <c r="O462" s="10">
        <v>19683</v>
      </c>
      <c r="P462" s="10">
        <v>61563</v>
      </c>
    </row>
    <row r="463" spans="1:16" ht="27" customHeight="1" x14ac:dyDescent="0.2">
      <c r="A463" s="9" t="s">
        <v>1682</v>
      </c>
      <c r="B463" s="10" t="s">
        <v>1683</v>
      </c>
      <c r="C463" s="11" t="s">
        <v>1707</v>
      </c>
      <c r="D463" s="11" t="s">
        <v>1708</v>
      </c>
      <c r="E463" s="11" t="s">
        <v>26</v>
      </c>
      <c r="F463" s="11" t="s">
        <v>1709</v>
      </c>
      <c r="G463" s="11" t="s">
        <v>28</v>
      </c>
      <c r="H463" s="11" t="s">
        <v>1709</v>
      </c>
      <c r="I463" s="11" t="s">
        <v>1710</v>
      </c>
      <c r="J463" s="12">
        <v>0.84540000000000004</v>
      </c>
      <c r="K463" s="13">
        <v>1</v>
      </c>
      <c r="L463" s="14">
        <v>511</v>
      </c>
      <c r="M463" s="10">
        <v>432</v>
      </c>
      <c r="N463" s="10">
        <v>56466</v>
      </c>
      <c r="O463" s="10">
        <v>33877</v>
      </c>
      <c r="P463" s="10">
        <v>90343</v>
      </c>
    </row>
    <row r="464" spans="1:16" ht="27" customHeight="1" x14ac:dyDescent="0.2">
      <c r="A464" s="9" t="s">
        <v>1682</v>
      </c>
      <c r="B464" s="10" t="s">
        <v>1683</v>
      </c>
      <c r="C464" s="11" t="s">
        <v>1711</v>
      </c>
      <c r="D464" s="11" t="s">
        <v>1712</v>
      </c>
      <c r="E464" s="11" t="s">
        <v>26</v>
      </c>
      <c r="F464" s="11" t="s">
        <v>1713</v>
      </c>
      <c r="G464" s="11" t="s">
        <v>28</v>
      </c>
      <c r="H464" s="11" t="s">
        <v>1685</v>
      </c>
      <c r="I464" s="11" t="s">
        <v>1686</v>
      </c>
      <c r="J464" s="12">
        <v>1</v>
      </c>
      <c r="K464" s="13">
        <v>1</v>
      </c>
      <c r="L464" s="14">
        <v>349</v>
      </c>
      <c r="M464" s="10">
        <v>324</v>
      </c>
      <c r="N464" s="10">
        <v>38565</v>
      </c>
      <c r="O464" s="10">
        <v>25408</v>
      </c>
      <c r="P464" s="10">
        <v>63973</v>
      </c>
    </row>
    <row r="465" spans="1:16" ht="27" customHeight="1" x14ac:dyDescent="0.2">
      <c r="A465" s="9" t="s">
        <v>1682</v>
      </c>
      <c r="B465" s="10" t="s">
        <v>1683</v>
      </c>
      <c r="C465" s="11" t="s">
        <v>1714</v>
      </c>
      <c r="D465" s="11" t="s">
        <v>1715</v>
      </c>
      <c r="E465" s="11" t="s">
        <v>26</v>
      </c>
      <c r="F465" s="11" t="s">
        <v>1716</v>
      </c>
      <c r="G465" s="11" t="s">
        <v>28</v>
      </c>
      <c r="H465" s="11" t="s">
        <v>1685</v>
      </c>
      <c r="I465" s="11" t="s">
        <v>1686</v>
      </c>
      <c r="J465" s="12">
        <v>1</v>
      </c>
      <c r="K465" s="13">
        <v>1</v>
      </c>
      <c r="L465" s="14">
        <v>358</v>
      </c>
      <c r="M465" s="10">
        <v>325</v>
      </c>
      <c r="N465" s="10">
        <v>39560</v>
      </c>
      <c r="O465" s="10">
        <v>25486</v>
      </c>
      <c r="P465" s="10">
        <v>65046</v>
      </c>
    </row>
    <row r="466" spans="1:16" ht="27" customHeight="1" x14ac:dyDescent="0.2">
      <c r="A466" s="9" t="s">
        <v>1682</v>
      </c>
      <c r="B466" s="10" t="s">
        <v>1683</v>
      </c>
      <c r="C466" s="11" t="s">
        <v>1717</v>
      </c>
      <c r="D466" s="11" t="s">
        <v>1718</v>
      </c>
      <c r="E466" s="11" t="s">
        <v>26</v>
      </c>
      <c r="F466" s="11" t="s">
        <v>1719</v>
      </c>
      <c r="G466" s="11" t="s">
        <v>28</v>
      </c>
      <c r="H466" s="11" t="s">
        <v>1719</v>
      </c>
      <c r="I466" s="11" t="s">
        <v>1720</v>
      </c>
      <c r="J466" s="12">
        <v>0.48480000000000001</v>
      </c>
      <c r="K466" s="13">
        <v>1</v>
      </c>
      <c r="L466" s="14">
        <v>526</v>
      </c>
      <c r="M466" s="10">
        <v>255</v>
      </c>
      <c r="N466" s="10">
        <v>58124</v>
      </c>
      <c r="O466" s="10">
        <v>19997</v>
      </c>
      <c r="P466" s="10">
        <v>78121</v>
      </c>
    </row>
    <row r="467" spans="1:16" ht="27" customHeight="1" x14ac:dyDescent="0.2">
      <c r="A467" s="9" t="s">
        <v>1682</v>
      </c>
      <c r="B467" s="10" t="s">
        <v>1683</v>
      </c>
      <c r="C467" s="11" t="s">
        <v>1721</v>
      </c>
      <c r="D467" s="11" t="s">
        <v>1722</v>
      </c>
      <c r="E467" s="11" t="s">
        <v>26</v>
      </c>
      <c r="F467" s="11" t="s">
        <v>1723</v>
      </c>
      <c r="G467" s="11" t="s">
        <v>28</v>
      </c>
      <c r="H467" s="11" t="s">
        <v>1685</v>
      </c>
      <c r="I467" s="11" t="s">
        <v>1686</v>
      </c>
      <c r="J467" s="12">
        <v>1</v>
      </c>
      <c r="K467" s="13">
        <v>1</v>
      </c>
      <c r="L467" s="14">
        <v>116</v>
      </c>
      <c r="M467" s="10">
        <v>114</v>
      </c>
      <c r="N467" s="10">
        <v>12818</v>
      </c>
      <c r="O467" s="10">
        <v>8940</v>
      </c>
      <c r="P467" s="10">
        <v>21758</v>
      </c>
    </row>
    <row r="468" spans="1:16" ht="27" customHeight="1" x14ac:dyDescent="0.2">
      <c r="A468" s="9" t="s">
        <v>1682</v>
      </c>
      <c r="B468" s="10" t="s">
        <v>1683</v>
      </c>
      <c r="C468" s="11" t="s">
        <v>1724</v>
      </c>
      <c r="D468" s="11" t="s">
        <v>1725</v>
      </c>
      <c r="E468" s="11" t="s">
        <v>26</v>
      </c>
      <c r="F468" s="11" t="s">
        <v>1726</v>
      </c>
      <c r="G468" s="11" t="s">
        <v>28</v>
      </c>
      <c r="H468" s="11" t="s">
        <v>1685</v>
      </c>
      <c r="I468" s="11" t="s">
        <v>1686</v>
      </c>
      <c r="J468" s="12">
        <v>1</v>
      </c>
      <c r="K468" s="13">
        <v>1</v>
      </c>
      <c r="L468" s="14">
        <v>95</v>
      </c>
      <c r="M468" s="10">
        <v>55</v>
      </c>
      <c r="N468" s="10">
        <v>10498</v>
      </c>
      <c r="O468" s="10">
        <v>4313</v>
      </c>
      <c r="P468" s="10">
        <v>14811</v>
      </c>
    </row>
    <row r="469" spans="1:16" ht="27" customHeight="1" x14ac:dyDescent="0.2">
      <c r="A469" s="9" t="s">
        <v>1682</v>
      </c>
      <c r="B469" s="10" t="s">
        <v>1683</v>
      </c>
      <c r="C469" s="11" t="s">
        <v>1727</v>
      </c>
      <c r="D469" s="11" t="s">
        <v>1728</v>
      </c>
      <c r="E469" s="11" t="s">
        <v>26</v>
      </c>
      <c r="F469" s="11" t="s">
        <v>1729</v>
      </c>
      <c r="G469" s="11" t="s">
        <v>28</v>
      </c>
      <c r="H469" s="11" t="s">
        <v>1685</v>
      </c>
      <c r="I469" s="11" t="s">
        <v>1686</v>
      </c>
      <c r="J469" s="12">
        <v>1</v>
      </c>
      <c r="K469" s="13">
        <v>1</v>
      </c>
      <c r="L469" s="14">
        <v>133</v>
      </c>
      <c r="M469" s="10">
        <v>133</v>
      </c>
      <c r="N469" s="10">
        <v>14697</v>
      </c>
      <c r="O469" s="10">
        <v>10430</v>
      </c>
      <c r="P469" s="10">
        <v>25127</v>
      </c>
    </row>
    <row r="470" spans="1:16" ht="27" customHeight="1" x14ac:dyDescent="0.2">
      <c r="A470" s="9" t="s">
        <v>1682</v>
      </c>
      <c r="B470" s="10" t="s">
        <v>1683</v>
      </c>
      <c r="C470" s="11" t="s">
        <v>1730</v>
      </c>
      <c r="D470" s="11" t="s">
        <v>1731</v>
      </c>
      <c r="E470" s="11" t="s">
        <v>26</v>
      </c>
      <c r="F470" s="11" t="s">
        <v>1732</v>
      </c>
      <c r="G470" s="11" t="s">
        <v>28</v>
      </c>
      <c r="H470" s="11" t="s">
        <v>1732</v>
      </c>
      <c r="I470" s="11" t="s">
        <v>1733</v>
      </c>
      <c r="J470" s="12">
        <v>0.68279999999999996</v>
      </c>
      <c r="K470" s="13">
        <v>1</v>
      </c>
      <c r="L470" s="14">
        <v>145</v>
      </c>
      <c r="M470" s="10">
        <v>99</v>
      </c>
      <c r="N470" s="10">
        <v>16023</v>
      </c>
      <c r="O470" s="10">
        <v>7763</v>
      </c>
      <c r="P470" s="10">
        <v>23786</v>
      </c>
    </row>
    <row r="471" spans="1:16" ht="27" customHeight="1" x14ac:dyDescent="0.2">
      <c r="A471" s="9" t="s">
        <v>1682</v>
      </c>
      <c r="B471" s="10" t="s">
        <v>1683</v>
      </c>
      <c r="C471" s="11" t="s">
        <v>1734</v>
      </c>
      <c r="D471" s="11" t="s">
        <v>1735</v>
      </c>
      <c r="E471" s="11" t="s">
        <v>26</v>
      </c>
      <c r="F471" s="11" t="s">
        <v>1736</v>
      </c>
      <c r="G471" s="11" t="s">
        <v>28</v>
      </c>
      <c r="H471" s="11" t="s">
        <v>1685</v>
      </c>
      <c r="I471" s="11" t="s">
        <v>1686</v>
      </c>
      <c r="J471" s="12">
        <v>1</v>
      </c>
      <c r="K471" s="13">
        <v>1</v>
      </c>
      <c r="L471" s="14">
        <v>224</v>
      </c>
      <c r="M471" s="10">
        <v>193</v>
      </c>
      <c r="N471" s="10">
        <v>24752</v>
      </c>
      <c r="O471" s="10">
        <v>15135</v>
      </c>
      <c r="P471" s="10">
        <v>39887</v>
      </c>
    </row>
    <row r="472" spans="1:16" ht="27" customHeight="1" x14ac:dyDescent="0.2">
      <c r="A472" s="9" t="s">
        <v>1682</v>
      </c>
      <c r="B472" s="10" t="s">
        <v>1683</v>
      </c>
      <c r="C472" s="11" t="s">
        <v>1737</v>
      </c>
      <c r="D472" s="11" t="s">
        <v>1738</v>
      </c>
      <c r="E472" s="11" t="s">
        <v>26</v>
      </c>
      <c r="F472" s="11" t="s">
        <v>1739</v>
      </c>
      <c r="G472" s="11" t="s">
        <v>28</v>
      </c>
      <c r="H472" s="11" t="s">
        <v>1685</v>
      </c>
      <c r="I472" s="11" t="s">
        <v>1686</v>
      </c>
      <c r="J472" s="12">
        <v>1</v>
      </c>
      <c r="K472" s="13">
        <v>1</v>
      </c>
      <c r="L472" s="14">
        <v>315</v>
      </c>
      <c r="M472" s="10">
        <v>279</v>
      </c>
      <c r="N472" s="10">
        <v>34808</v>
      </c>
      <c r="O472" s="10">
        <v>21879</v>
      </c>
      <c r="P472" s="10">
        <v>56687</v>
      </c>
    </row>
    <row r="473" spans="1:16" ht="27" customHeight="1" x14ac:dyDescent="0.2">
      <c r="A473" s="9" t="s">
        <v>1682</v>
      </c>
      <c r="B473" s="10" t="s">
        <v>1683</v>
      </c>
      <c r="C473" s="11" t="s">
        <v>1740</v>
      </c>
      <c r="D473" s="11" t="s">
        <v>1741</v>
      </c>
      <c r="E473" s="11" t="s">
        <v>26</v>
      </c>
      <c r="F473" s="11" t="s">
        <v>1742</v>
      </c>
      <c r="G473" s="11" t="s">
        <v>28</v>
      </c>
      <c r="H473" s="11" t="s">
        <v>1742</v>
      </c>
      <c r="I473" s="11" t="s">
        <v>1743</v>
      </c>
      <c r="J473" s="12">
        <v>0.76119999999999999</v>
      </c>
      <c r="K473" s="13">
        <v>1</v>
      </c>
      <c r="L473" s="14">
        <v>268</v>
      </c>
      <c r="M473" s="10">
        <v>204</v>
      </c>
      <c r="N473" s="10">
        <v>29614</v>
      </c>
      <c r="O473" s="10">
        <v>15997</v>
      </c>
      <c r="P473" s="10">
        <v>45611</v>
      </c>
    </row>
    <row r="474" spans="1:16" ht="27" customHeight="1" x14ac:dyDescent="0.2">
      <c r="A474" s="9" t="s">
        <v>1682</v>
      </c>
      <c r="B474" s="10" t="s">
        <v>1683</v>
      </c>
      <c r="C474" s="11" t="s">
        <v>1744</v>
      </c>
      <c r="D474" s="11" t="s">
        <v>1745</v>
      </c>
      <c r="E474" s="11" t="s">
        <v>26</v>
      </c>
      <c r="F474" s="11" t="s">
        <v>1746</v>
      </c>
      <c r="G474" s="11" t="s">
        <v>28</v>
      </c>
      <c r="H474" s="11" t="s">
        <v>1746</v>
      </c>
      <c r="I474" s="11" t="s">
        <v>1747</v>
      </c>
      <c r="J474" s="12">
        <v>0.71850000000000003</v>
      </c>
      <c r="K474" s="13">
        <v>1</v>
      </c>
      <c r="L474" s="14">
        <v>238</v>
      </c>
      <c r="M474" s="10">
        <v>171</v>
      </c>
      <c r="N474" s="10">
        <v>26299</v>
      </c>
      <c r="O474" s="10">
        <v>13410</v>
      </c>
      <c r="P474" s="10">
        <v>39709</v>
      </c>
    </row>
    <row r="475" spans="1:16" ht="27" customHeight="1" x14ac:dyDescent="0.2">
      <c r="A475" s="9" t="s">
        <v>1682</v>
      </c>
      <c r="B475" s="10" t="s">
        <v>1683</v>
      </c>
      <c r="C475" s="11" t="s">
        <v>1748</v>
      </c>
      <c r="D475" s="11" t="s">
        <v>1749</v>
      </c>
      <c r="E475" s="11" t="s">
        <v>26</v>
      </c>
      <c r="F475" s="11" t="s">
        <v>1750</v>
      </c>
      <c r="G475" s="11" t="s">
        <v>28</v>
      </c>
      <c r="H475" s="11" t="s">
        <v>1685</v>
      </c>
      <c r="I475" s="11" t="s">
        <v>1686</v>
      </c>
      <c r="J475" s="12">
        <v>1</v>
      </c>
      <c r="K475" s="13">
        <v>1</v>
      </c>
      <c r="L475" s="14">
        <v>187</v>
      </c>
      <c r="M475" s="10">
        <v>168</v>
      </c>
      <c r="N475" s="10">
        <v>20664</v>
      </c>
      <c r="O475" s="10">
        <v>13174</v>
      </c>
      <c r="P475" s="10">
        <v>33838</v>
      </c>
    </row>
    <row r="476" spans="1:16" ht="27" customHeight="1" x14ac:dyDescent="0.2">
      <c r="A476" s="9" t="s">
        <v>1682</v>
      </c>
      <c r="B476" s="10" t="s">
        <v>1683</v>
      </c>
      <c r="C476" s="11" t="s">
        <v>1751</v>
      </c>
      <c r="D476" s="11" t="s">
        <v>1752</v>
      </c>
      <c r="E476" s="11" t="s">
        <v>26</v>
      </c>
      <c r="F476" s="11" t="s">
        <v>1753</v>
      </c>
      <c r="G476" s="11" t="s">
        <v>28</v>
      </c>
      <c r="H476" s="11" t="s">
        <v>1753</v>
      </c>
      <c r="I476" s="11" t="s">
        <v>1754</v>
      </c>
      <c r="J476" s="12">
        <v>0.58330000000000004</v>
      </c>
      <c r="K476" s="13">
        <v>1</v>
      </c>
      <c r="L476" s="14">
        <v>72</v>
      </c>
      <c r="M476" s="10">
        <v>42</v>
      </c>
      <c r="N476" s="10">
        <v>7956</v>
      </c>
      <c r="O476" s="10">
        <v>3294</v>
      </c>
      <c r="P476" s="10">
        <v>11250</v>
      </c>
    </row>
    <row r="477" spans="1:16" ht="27" customHeight="1" x14ac:dyDescent="0.2">
      <c r="A477" s="9" t="s">
        <v>1682</v>
      </c>
      <c r="B477" s="10" t="s">
        <v>1683</v>
      </c>
      <c r="C477" s="11" t="s">
        <v>1755</v>
      </c>
      <c r="D477" s="11" t="s">
        <v>1756</v>
      </c>
      <c r="E477" s="11" t="s">
        <v>26</v>
      </c>
      <c r="F477" s="11" t="s">
        <v>1757</v>
      </c>
      <c r="G477" s="11" t="s">
        <v>28</v>
      </c>
      <c r="H477" s="11" t="s">
        <v>1685</v>
      </c>
      <c r="I477" s="11" t="s">
        <v>1686</v>
      </c>
      <c r="J477" s="12">
        <v>1</v>
      </c>
      <c r="K477" s="13">
        <v>1</v>
      </c>
      <c r="L477" s="14">
        <v>38</v>
      </c>
      <c r="M477" s="10">
        <v>30</v>
      </c>
      <c r="N477" s="10">
        <v>4199</v>
      </c>
      <c r="O477" s="10">
        <v>2353</v>
      </c>
      <c r="P477" s="10">
        <v>6552</v>
      </c>
    </row>
    <row r="478" spans="1:16" ht="27" customHeight="1" x14ac:dyDescent="0.2">
      <c r="A478" s="9" t="s">
        <v>1682</v>
      </c>
      <c r="B478" s="10" t="s">
        <v>1683</v>
      </c>
      <c r="C478" s="11" t="s">
        <v>1758</v>
      </c>
      <c r="D478" s="11" t="s">
        <v>1759</v>
      </c>
      <c r="E478" s="11" t="s">
        <v>26</v>
      </c>
      <c r="F478" s="11" t="s">
        <v>1760</v>
      </c>
      <c r="G478" s="11" t="s">
        <v>28</v>
      </c>
      <c r="H478" s="11" t="s">
        <v>1685</v>
      </c>
      <c r="I478" s="11" t="s">
        <v>1686</v>
      </c>
      <c r="J478" s="12">
        <v>1</v>
      </c>
      <c r="K478" s="13">
        <v>1</v>
      </c>
      <c r="L478" s="14">
        <v>221</v>
      </c>
      <c r="M478" s="10">
        <v>190</v>
      </c>
      <c r="N478" s="10">
        <v>24421</v>
      </c>
      <c r="O478" s="10">
        <v>14900</v>
      </c>
      <c r="P478" s="10">
        <v>39321</v>
      </c>
    </row>
    <row r="479" spans="1:16" ht="27" customHeight="1" x14ac:dyDescent="0.2">
      <c r="A479" s="9" t="s">
        <v>1682</v>
      </c>
      <c r="B479" s="10" t="s">
        <v>1683</v>
      </c>
      <c r="C479" s="11" t="s">
        <v>1761</v>
      </c>
      <c r="D479" s="11" t="s">
        <v>1762</v>
      </c>
      <c r="E479" s="11" t="s">
        <v>26</v>
      </c>
      <c r="F479" s="11" t="s">
        <v>1763</v>
      </c>
      <c r="G479" s="11" t="s">
        <v>28</v>
      </c>
      <c r="H479" s="11" t="s">
        <v>1763</v>
      </c>
      <c r="I479" s="11" t="s">
        <v>1764</v>
      </c>
      <c r="J479" s="12">
        <v>0.7722</v>
      </c>
      <c r="K479" s="13">
        <v>1</v>
      </c>
      <c r="L479" s="14">
        <v>158</v>
      </c>
      <c r="M479" s="10">
        <v>122</v>
      </c>
      <c r="N479" s="10">
        <v>17459</v>
      </c>
      <c r="O479" s="10">
        <v>9567</v>
      </c>
      <c r="P479" s="10">
        <v>27026</v>
      </c>
    </row>
    <row r="480" spans="1:16" ht="27" customHeight="1" x14ac:dyDescent="0.2">
      <c r="A480" s="9" t="s">
        <v>1682</v>
      </c>
      <c r="B480" s="10" t="s">
        <v>1683</v>
      </c>
      <c r="C480" s="11" t="s">
        <v>1765</v>
      </c>
      <c r="D480" s="11" t="s">
        <v>1766</v>
      </c>
      <c r="E480" s="11" t="s">
        <v>26</v>
      </c>
      <c r="F480" s="11" t="s">
        <v>1767</v>
      </c>
      <c r="G480" s="11" t="s">
        <v>28</v>
      </c>
      <c r="H480" s="11" t="s">
        <v>1685</v>
      </c>
      <c r="I480" s="11" t="s">
        <v>1686</v>
      </c>
      <c r="J480" s="12">
        <v>1</v>
      </c>
      <c r="K480" s="13">
        <v>1</v>
      </c>
      <c r="L480" s="14">
        <v>118</v>
      </c>
      <c r="M480" s="10">
        <v>73</v>
      </c>
      <c r="N480" s="10">
        <v>13039</v>
      </c>
      <c r="O480" s="10">
        <v>5725</v>
      </c>
      <c r="P480" s="10">
        <v>18764</v>
      </c>
    </row>
    <row r="481" spans="1:16" ht="27" customHeight="1" x14ac:dyDescent="0.2">
      <c r="A481" s="9" t="s">
        <v>1682</v>
      </c>
      <c r="B481" s="10" t="s">
        <v>1683</v>
      </c>
      <c r="C481" s="11" t="s">
        <v>1768</v>
      </c>
      <c r="D481" s="11" t="s">
        <v>1769</v>
      </c>
      <c r="E481" s="11" t="s">
        <v>26</v>
      </c>
      <c r="F481" s="11" t="s">
        <v>1770</v>
      </c>
      <c r="G481" s="11" t="s">
        <v>28</v>
      </c>
      <c r="H481" s="11" t="s">
        <v>1685</v>
      </c>
      <c r="I481" s="11" t="s">
        <v>1686</v>
      </c>
      <c r="J481" s="12">
        <v>1</v>
      </c>
      <c r="K481" s="13">
        <v>1</v>
      </c>
      <c r="L481" s="14">
        <v>67</v>
      </c>
      <c r="M481" s="10">
        <v>44</v>
      </c>
      <c r="N481" s="10">
        <v>7404</v>
      </c>
      <c r="O481" s="10">
        <v>3450</v>
      </c>
      <c r="P481" s="10">
        <v>10854</v>
      </c>
    </row>
    <row r="482" spans="1:16" ht="27" customHeight="1" x14ac:dyDescent="0.2">
      <c r="A482" s="9" t="s">
        <v>1682</v>
      </c>
      <c r="B482" s="10" t="s">
        <v>1683</v>
      </c>
      <c r="C482" s="11" t="s">
        <v>1771</v>
      </c>
      <c r="D482" s="11" t="s">
        <v>1772</v>
      </c>
      <c r="E482" s="11" t="s">
        <v>26</v>
      </c>
      <c r="F482" s="11" t="s">
        <v>1773</v>
      </c>
      <c r="G482" s="11" t="s">
        <v>28</v>
      </c>
      <c r="H482" s="11" t="s">
        <v>1773</v>
      </c>
      <c r="I482" s="11" t="s">
        <v>1774</v>
      </c>
      <c r="J482" s="12">
        <v>0.23430000000000001</v>
      </c>
      <c r="K482" s="13">
        <v>1</v>
      </c>
      <c r="L482" s="14">
        <v>461</v>
      </c>
      <c r="M482" s="10">
        <v>108</v>
      </c>
      <c r="N482" s="10">
        <v>50941</v>
      </c>
      <c r="O482" s="10">
        <v>8469</v>
      </c>
      <c r="P482" s="10">
        <v>59410</v>
      </c>
    </row>
    <row r="483" spans="1:16" ht="27" customHeight="1" x14ac:dyDescent="0.2">
      <c r="A483" s="9" t="s">
        <v>1682</v>
      </c>
      <c r="B483" s="10" t="s">
        <v>1683</v>
      </c>
      <c r="C483" s="11" t="s">
        <v>1775</v>
      </c>
      <c r="D483" s="11" t="s">
        <v>1776</v>
      </c>
      <c r="E483" s="11" t="s">
        <v>26</v>
      </c>
      <c r="F483" s="11" t="s">
        <v>1777</v>
      </c>
      <c r="G483" s="11" t="s">
        <v>28</v>
      </c>
      <c r="H483" s="11" t="s">
        <v>1777</v>
      </c>
      <c r="I483" s="11" t="s">
        <v>1778</v>
      </c>
      <c r="J483" s="12">
        <v>0.79110000000000003</v>
      </c>
      <c r="K483" s="13">
        <v>1</v>
      </c>
      <c r="L483" s="14">
        <v>694</v>
      </c>
      <c r="M483" s="10">
        <v>549</v>
      </c>
      <c r="N483" s="10">
        <v>76688</v>
      </c>
      <c r="O483" s="10">
        <v>43052</v>
      </c>
      <c r="P483" s="10">
        <v>119740</v>
      </c>
    </row>
    <row r="484" spans="1:16" ht="27" customHeight="1" x14ac:dyDescent="0.2">
      <c r="A484" s="9" t="s">
        <v>1682</v>
      </c>
      <c r="B484" s="10" t="s">
        <v>1779</v>
      </c>
      <c r="C484" s="11" t="s">
        <v>18</v>
      </c>
      <c r="D484" s="11" t="s">
        <v>19</v>
      </c>
      <c r="E484" s="11" t="s">
        <v>19</v>
      </c>
      <c r="F484" s="11" t="s">
        <v>1780</v>
      </c>
      <c r="G484" s="11" t="s">
        <v>83</v>
      </c>
      <c r="H484" s="11" t="s">
        <v>1781</v>
      </c>
      <c r="I484" s="11" t="s">
        <v>1782</v>
      </c>
      <c r="J484" s="12">
        <v>0.96319999999999995</v>
      </c>
      <c r="K484" s="13">
        <v>32</v>
      </c>
      <c r="L484" s="14">
        <v>18480</v>
      </c>
      <c r="M484" s="10">
        <v>10455</v>
      </c>
      <c r="N484" s="10">
        <v>2042071</v>
      </c>
      <c r="O484" s="10">
        <v>819872</v>
      </c>
      <c r="P484" s="10">
        <v>2861943</v>
      </c>
    </row>
    <row r="485" spans="1:16" ht="27" customHeight="1" x14ac:dyDescent="0.2">
      <c r="A485" s="9" t="s">
        <v>1682</v>
      </c>
      <c r="B485" s="10" t="s">
        <v>1783</v>
      </c>
      <c r="C485" s="11" t="s">
        <v>18</v>
      </c>
      <c r="D485" s="11" t="s">
        <v>19</v>
      </c>
      <c r="E485" s="11" t="s">
        <v>19</v>
      </c>
      <c r="F485" s="11" t="s">
        <v>1784</v>
      </c>
      <c r="G485" s="11" t="s">
        <v>83</v>
      </c>
      <c r="H485" s="11" t="s">
        <v>1685</v>
      </c>
      <c r="I485" s="11" t="s">
        <v>1686</v>
      </c>
      <c r="J485" s="12">
        <v>1</v>
      </c>
      <c r="K485" s="13">
        <v>13</v>
      </c>
      <c r="L485" s="14">
        <v>21336</v>
      </c>
      <c r="M485" s="10">
        <v>12901</v>
      </c>
      <c r="N485" s="10">
        <v>2357664</v>
      </c>
      <c r="O485" s="10">
        <v>1011682</v>
      </c>
      <c r="P485" s="10">
        <v>3369346</v>
      </c>
    </row>
    <row r="486" spans="1:16" ht="27" customHeight="1" x14ac:dyDescent="0.2">
      <c r="A486" s="9" t="s">
        <v>1682</v>
      </c>
      <c r="B486" s="10" t="s">
        <v>1783</v>
      </c>
      <c r="C486" s="11" t="s">
        <v>1785</v>
      </c>
      <c r="D486" s="11" t="s">
        <v>1786</v>
      </c>
      <c r="E486" s="11" t="s">
        <v>57</v>
      </c>
      <c r="F486" s="11" t="s">
        <v>1787</v>
      </c>
      <c r="G486" s="11" t="s">
        <v>28</v>
      </c>
      <c r="H486" s="11" t="s">
        <v>1787</v>
      </c>
      <c r="I486" s="11" t="s">
        <v>1788</v>
      </c>
      <c r="J486" s="12">
        <v>0.65410000000000001</v>
      </c>
      <c r="K486" s="13">
        <v>1</v>
      </c>
      <c r="L486" s="14">
        <v>665</v>
      </c>
      <c r="M486" s="10">
        <v>435</v>
      </c>
      <c r="N486" s="10">
        <v>73484</v>
      </c>
      <c r="O486" s="10">
        <v>34112</v>
      </c>
      <c r="P486" s="10">
        <v>107596</v>
      </c>
    </row>
    <row r="487" spans="1:16" ht="27" customHeight="1" x14ac:dyDescent="0.2">
      <c r="A487" s="9" t="s">
        <v>1682</v>
      </c>
      <c r="B487" s="10" t="s">
        <v>1783</v>
      </c>
      <c r="C487" s="11" t="s">
        <v>1789</v>
      </c>
      <c r="D487" s="11" t="s">
        <v>1790</v>
      </c>
      <c r="E487" s="11" t="s">
        <v>26</v>
      </c>
      <c r="F487" s="11" t="s">
        <v>1791</v>
      </c>
      <c r="G487" s="11" t="s">
        <v>28</v>
      </c>
      <c r="H487" s="11" t="s">
        <v>1791</v>
      </c>
      <c r="I487" s="11" t="s">
        <v>1792</v>
      </c>
      <c r="J487" s="12">
        <v>0</v>
      </c>
      <c r="K487" s="13">
        <v>1</v>
      </c>
      <c r="L487" s="14">
        <v>0</v>
      </c>
      <c r="M487" s="10">
        <v>0</v>
      </c>
      <c r="N487" s="10">
        <v>0</v>
      </c>
      <c r="O487" s="10">
        <v>0</v>
      </c>
      <c r="P487" s="10">
        <v>0</v>
      </c>
    </row>
    <row r="488" spans="1:16" ht="27" customHeight="1" x14ac:dyDescent="0.2">
      <c r="A488" s="9" t="s">
        <v>1682</v>
      </c>
      <c r="B488" s="10" t="s">
        <v>1783</v>
      </c>
      <c r="C488" s="11" t="s">
        <v>1793</v>
      </c>
      <c r="D488" s="11" t="s">
        <v>1794</v>
      </c>
      <c r="E488" s="11" t="s">
        <v>26</v>
      </c>
      <c r="F488" s="11" t="s">
        <v>1795</v>
      </c>
      <c r="G488" s="11" t="s">
        <v>28</v>
      </c>
      <c r="H488" s="11" t="s">
        <v>1685</v>
      </c>
      <c r="I488" s="11" t="s">
        <v>1686</v>
      </c>
      <c r="J488" s="12">
        <v>1</v>
      </c>
      <c r="K488" s="13">
        <v>1</v>
      </c>
      <c r="L488" s="14">
        <v>742</v>
      </c>
      <c r="M488" s="10">
        <v>629</v>
      </c>
      <c r="N488" s="10">
        <v>81992</v>
      </c>
      <c r="O488" s="10">
        <v>49326</v>
      </c>
      <c r="P488" s="10">
        <v>131318</v>
      </c>
    </row>
    <row r="489" spans="1:16" ht="27" customHeight="1" x14ac:dyDescent="0.2">
      <c r="A489" s="9" t="s">
        <v>1682</v>
      </c>
      <c r="B489" s="10" t="s">
        <v>1796</v>
      </c>
      <c r="C489" s="11" t="s">
        <v>18</v>
      </c>
      <c r="D489" s="11" t="s">
        <v>19</v>
      </c>
      <c r="E489" s="11" t="s">
        <v>19</v>
      </c>
      <c r="F489" s="11" t="s">
        <v>1797</v>
      </c>
      <c r="G489" s="11" t="s">
        <v>83</v>
      </c>
      <c r="H489" s="11" t="s">
        <v>1798</v>
      </c>
      <c r="I489" s="11" t="s">
        <v>1799</v>
      </c>
      <c r="J489" s="12">
        <v>0.4103</v>
      </c>
      <c r="K489" s="13">
        <v>12</v>
      </c>
      <c r="L489" s="14">
        <v>8864</v>
      </c>
      <c r="M489" s="10">
        <v>2795</v>
      </c>
      <c r="N489" s="10">
        <v>979487</v>
      </c>
      <c r="O489" s="10">
        <v>219182</v>
      </c>
      <c r="P489" s="10">
        <v>1198669</v>
      </c>
    </row>
    <row r="490" spans="1:16" ht="27" customHeight="1" x14ac:dyDescent="0.2">
      <c r="A490" s="9" t="s">
        <v>1682</v>
      </c>
      <c r="B490" s="10" t="s">
        <v>1800</v>
      </c>
      <c r="C490" s="11" t="s">
        <v>18</v>
      </c>
      <c r="D490" s="11" t="s">
        <v>19</v>
      </c>
      <c r="E490" s="11" t="s">
        <v>19</v>
      </c>
      <c r="F490" s="11" t="s">
        <v>1801</v>
      </c>
      <c r="G490" s="11" t="s">
        <v>83</v>
      </c>
      <c r="H490" s="11" t="s">
        <v>1802</v>
      </c>
      <c r="I490" s="11" t="s">
        <v>1803</v>
      </c>
      <c r="J490" s="12">
        <v>0.89219999999999999</v>
      </c>
      <c r="K490" s="13">
        <v>12</v>
      </c>
      <c r="L490" s="14">
        <v>5569</v>
      </c>
      <c r="M490" s="10">
        <v>4823</v>
      </c>
      <c r="N490" s="10">
        <v>615386</v>
      </c>
      <c r="O490" s="10">
        <v>378215</v>
      </c>
      <c r="P490" s="10">
        <v>993601</v>
      </c>
    </row>
    <row r="491" spans="1:16" ht="27" customHeight="1" x14ac:dyDescent="0.2">
      <c r="A491" s="9" t="s">
        <v>1682</v>
      </c>
      <c r="B491" s="10" t="s">
        <v>1804</v>
      </c>
      <c r="C491" s="11" t="s">
        <v>18</v>
      </c>
      <c r="D491" s="11" t="s">
        <v>19</v>
      </c>
      <c r="E491" s="11" t="s">
        <v>19</v>
      </c>
      <c r="F491" s="11" t="s">
        <v>1805</v>
      </c>
      <c r="G491" s="11" t="s">
        <v>83</v>
      </c>
      <c r="H491" s="11" t="s">
        <v>1806</v>
      </c>
      <c r="I491" s="11" t="s">
        <v>1807</v>
      </c>
      <c r="J491" s="12">
        <v>0.93330000000000002</v>
      </c>
      <c r="K491" s="13">
        <v>18</v>
      </c>
      <c r="L491" s="14">
        <v>10419</v>
      </c>
      <c r="M491" s="10">
        <v>9147</v>
      </c>
      <c r="N491" s="10">
        <v>1151317</v>
      </c>
      <c r="O491" s="10">
        <v>717298</v>
      </c>
      <c r="P491" s="10">
        <v>1868615</v>
      </c>
    </row>
    <row r="492" spans="1:16" ht="27" customHeight="1" x14ac:dyDescent="0.2">
      <c r="A492" s="9" t="s">
        <v>1682</v>
      </c>
      <c r="B492" s="10" t="s">
        <v>1804</v>
      </c>
      <c r="C492" s="11" t="s">
        <v>1808</v>
      </c>
      <c r="D492" s="11" t="s">
        <v>1809</v>
      </c>
      <c r="E492" s="11" t="s">
        <v>26</v>
      </c>
      <c r="F492" s="11" t="s">
        <v>1810</v>
      </c>
      <c r="G492" s="11" t="s">
        <v>28</v>
      </c>
      <c r="H492" s="11" t="s">
        <v>1685</v>
      </c>
      <c r="I492" s="11" t="s">
        <v>1686</v>
      </c>
      <c r="J492" s="12">
        <v>1</v>
      </c>
      <c r="K492" s="13">
        <v>1</v>
      </c>
      <c r="L492" s="14">
        <v>480</v>
      </c>
      <c r="M492" s="10">
        <v>383</v>
      </c>
      <c r="N492" s="10">
        <v>53041</v>
      </c>
      <c r="O492" s="10">
        <v>30034</v>
      </c>
      <c r="P492" s="10">
        <v>83075</v>
      </c>
    </row>
    <row r="493" spans="1:16" ht="27" customHeight="1" x14ac:dyDescent="0.2">
      <c r="A493" s="9" t="s">
        <v>1682</v>
      </c>
      <c r="B493" s="10" t="s">
        <v>1811</v>
      </c>
      <c r="C493" s="11" t="s">
        <v>18</v>
      </c>
      <c r="D493" s="11" t="s">
        <v>19</v>
      </c>
      <c r="E493" s="11" t="s">
        <v>19</v>
      </c>
      <c r="F493" s="11" t="s">
        <v>1812</v>
      </c>
      <c r="G493" s="11" t="s">
        <v>83</v>
      </c>
      <c r="H493" s="11" t="s">
        <v>1813</v>
      </c>
      <c r="I493" s="11" t="s">
        <v>1814</v>
      </c>
      <c r="J493" s="12">
        <v>0.93659999999999999</v>
      </c>
      <c r="K493" s="13">
        <v>8</v>
      </c>
      <c r="L493" s="14">
        <v>3023</v>
      </c>
      <c r="M493" s="10">
        <v>2733</v>
      </c>
      <c r="N493" s="10">
        <v>334047</v>
      </c>
      <c r="O493" s="10">
        <v>214320</v>
      </c>
      <c r="P493" s="10">
        <v>548367</v>
      </c>
    </row>
    <row r="494" spans="1:16" ht="27" customHeight="1" x14ac:dyDescent="0.2">
      <c r="A494" s="9" t="s">
        <v>1682</v>
      </c>
      <c r="B494" s="10" t="s">
        <v>1815</v>
      </c>
      <c r="C494" s="11" t="s">
        <v>18</v>
      </c>
      <c r="D494" s="11" t="s">
        <v>19</v>
      </c>
      <c r="E494" s="11" t="s">
        <v>19</v>
      </c>
      <c r="F494" s="11" t="s">
        <v>1816</v>
      </c>
      <c r="G494" s="11" t="s">
        <v>83</v>
      </c>
      <c r="H494" s="11" t="s">
        <v>1817</v>
      </c>
      <c r="I494" s="11" t="s">
        <v>1818</v>
      </c>
      <c r="J494" s="12">
        <v>0.90259999999999996</v>
      </c>
      <c r="K494" s="13">
        <v>16</v>
      </c>
      <c r="L494" s="14">
        <v>10295</v>
      </c>
      <c r="M494" s="10">
        <v>7939</v>
      </c>
      <c r="N494" s="10">
        <v>1137612</v>
      </c>
      <c r="O494" s="10">
        <v>622570</v>
      </c>
      <c r="P494" s="10">
        <v>1760182</v>
      </c>
    </row>
    <row r="495" spans="1:16" ht="27" customHeight="1" x14ac:dyDescent="0.2">
      <c r="A495" s="9" t="s">
        <v>1682</v>
      </c>
      <c r="B495" s="10" t="s">
        <v>1819</v>
      </c>
      <c r="C495" s="11" t="s">
        <v>18</v>
      </c>
      <c r="D495" s="11" t="s">
        <v>19</v>
      </c>
      <c r="E495" s="11" t="s">
        <v>19</v>
      </c>
      <c r="F495" s="11" t="s">
        <v>1820</v>
      </c>
      <c r="G495" s="11" t="s">
        <v>83</v>
      </c>
      <c r="H495" s="11" t="s">
        <v>1821</v>
      </c>
      <c r="I495" s="11" t="s">
        <v>1822</v>
      </c>
      <c r="J495" s="12">
        <v>0.17699999999999999</v>
      </c>
      <c r="K495" s="13">
        <v>7</v>
      </c>
      <c r="L495" s="14">
        <v>3151</v>
      </c>
      <c r="M495" s="10">
        <v>515</v>
      </c>
      <c r="N495" s="10">
        <v>348191</v>
      </c>
      <c r="O495" s="10">
        <v>40386</v>
      </c>
      <c r="P495" s="10">
        <v>388577</v>
      </c>
    </row>
    <row r="496" spans="1:16" ht="27" customHeight="1" x14ac:dyDescent="0.2">
      <c r="A496" s="9" t="s">
        <v>1682</v>
      </c>
      <c r="B496" s="10" t="s">
        <v>1823</v>
      </c>
      <c r="C496" s="11" t="s">
        <v>18</v>
      </c>
      <c r="D496" s="11" t="s">
        <v>19</v>
      </c>
      <c r="E496" s="11" t="s">
        <v>19</v>
      </c>
      <c r="F496" s="11" t="s">
        <v>1824</v>
      </c>
      <c r="G496" s="11" t="s">
        <v>83</v>
      </c>
      <c r="H496" s="11" t="s">
        <v>1825</v>
      </c>
      <c r="I496" s="11" t="s">
        <v>1826</v>
      </c>
      <c r="J496" s="12">
        <v>0.51319999999999999</v>
      </c>
      <c r="K496" s="13">
        <v>16</v>
      </c>
      <c r="L496" s="14">
        <v>9970</v>
      </c>
      <c r="M496" s="10">
        <v>3383</v>
      </c>
      <c r="N496" s="10">
        <v>1101703</v>
      </c>
      <c r="O496" s="10">
        <v>265291</v>
      </c>
      <c r="P496" s="10">
        <v>1366994</v>
      </c>
    </row>
    <row r="497" spans="1:16" ht="27" customHeight="1" x14ac:dyDescent="0.2">
      <c r="A497" s="9" t="s">
        <v>1682</v>
      </c>
      <c r="B497" s="10" t="s">
        <v>1827</v>
      </c>
      <c r="C497" s="11" t="s">
        <v>18</v>
      </c>
      <c r="D497" s="11" t="s">
        <v>19</v>
      </c>
      <c r="E497" s="11" t="s">
        <v>19</v>
      </c>
      <c r="F497" s="11" t="s">
        <v>1828</v>
      </c>
      <c r="G497" s="11" t="s">
        <v>83</v>
      </c>
      <c r="H497" s="11" t="s">
        <v>1829</v>
      </c>
      <c r="I497" s="11" t="s">
        <v>1830</v>
      </c>
      <c r="J497" s="12">
        <v>0.5</v>
      </c>
      <c r="K497" s="13">
        <v>22</v>
      </c>
      <c r="L497" s="14">
        <v>14494</v>
      </c>
      <c r="M497" s="10">
        <v>4448</v>
      </c>
      <c r="N497" s="10">
        <v>1601612</v>
      </c>
      <c r="O497" s="10">
        <v>348810</v>
      </c>
      <c r="P497" s="10">
        <v>1950422</v>
      </c>
    </row>
    <row r="498" spans="1:16" ht="27" customHeight="1" x14ac:dyDescent="0.2">
      <c r="A498" s="9" t="s">
        <v>1682</v>
      </c>
      <c r="B498" s="10" t="s">
        <v>1831</v>
      </c>
      <c r="C498" s="11" t="s">
        <v>18</v>
      </c>
      <c r="D498" s="11" t="s">
        <v>19</v>
      </c>
      <c r="E498" s="11" t="s">
        <v>19</v>
      </c>
      <c r="F498" s="11" t="s">
        <v>1832</v>
      </c>
      <c r="G498" s="11" t="s">
        <v>83</v>
      </c>
      <c r="H498" s="11" t="s">
        <v>1833</v>
      </c>
      <c r="I498" s="11" t="s">
        <v>1834</v>
      </c>
      <c r="J498" s="12">
        <v>0.58120000000000005</v>
      </c>
      <c r="K498" s="13">
        <v>6</v>
      </c>
      <c r="L498" s="14">
        <v>1959</v>
      </c>
      <c r="M498" s="10">
        <v>981</v>
      </c>
      <c r="N498" s="10">
        <v>216473</v>
      </c>
      <c r="O498" s="10">
        <v>76929</v>
      </c>
      <c r="P498" s="10">
        <v>293402</v>
      </c>
    </row>
    <row r="499" spans="1:16" ht="27" customHeight="1" x14ac:dyDescent="0.2">
      <c r="A499" s="9" t="s">
        <v>1682</v>
      </c>
      <c r="B499" s="10" t="s">
        <v>1835</v>
      </c>
      <c r="C499" s="11" t="s">
        <v>18</v>
      </c>
      <c r="D499" s="11" t="s">
        <v>19</v>
      </c>
      <c r="E499" s="11" t="s">
        <v>19</v>
      </c>
      <c r="F499" s="11" t="s">
        <v>1836</v>
      </c>
      <c r="G499" s="11" t="s">
        <v>83</v>
      </c>
      <c r="H499" s="11" t="s">
        <v>1685</v>
      </c>
      <c r="I499" s="11" t="s">
        <v>1686</v>
      </c>
      <c r="J499" s="12">
        <v>1</v>
      </c>
      <c r="K499" s="13">
        <v>6</v>
      </c>
      <c r="L499" s="14">
        <v>5874</v>
      </c>
      <c r="M499" s="10">
        <v>4327</v>
      </c>
      <c r="N499" s="10">
        <v>649087</v>
      </c>
      <c r="O499" s="10">
        <v>339320</v>
      </c>
      <c r="P499" s="10">
        <v>988407</v>
      </c>
    </row>
    <row r="500" spans="1:16" ht="27" customHeight="1" x14ac:dyDescent="0.2">
      <c r="A500" s="9" t="s">
        <v>1682</v>
      </c>
      <c r="B500" s="10" t="s">
        <v>1835</v>
      </c>
      <c r="C500" s="11" t="s">
        <v>1837</v>
      </c>
      <c r="D500" s="11" t="s">
        <v>1838</v>
      </c>
      <c r="E500" s="11" t="s">
        <v>26</v>
      </c>
      <c r="F500" s="11" t="s">
        <v>1839</v>
      </c>
      <c r="G500" s="11" t="s">
        <v>28</v>
      </c>
      <c r="H500" s="11" t="s">
        <v>1685</v>
      </c>
      <c r="I500" s="11" t="s">
        <v>1686</v>
      </c>
      <c r="J500" s="12">
        <v>1</v>
      </c>
      <c r="K500" s="13">
        <v>1</v>
      </c>
      <c r="L500" s="14">
        <v>461</v>
      </c>
      <c r="M500" s="10">
        <v>26</v>
      </c>
      <c r="N500" s="10">
        <v>50941</v>
      </c>
      <c r="O500" s="10">
        <v>2039</v>
      </c>
      <c r="P500" s="10">
        <v>52980</v>
      </c>
    </row>
    <row r="501" spans="1:16" ht="27" customHeight="1" x14ac:dyDescent="0.2">
      <c r="A501" s="9" t="s">
        <v>1682</v>
      </c>
      <c r="B501" s="10" t="s">
        <v>1835</v>
      </c>
      <c r="C501" s="11" t="s">
        <v>1840</v>
      </c>
      <c r="D501" s="11" t="s">
        <v>1841</v>
      </c>
      <c r="E501" s="11" t="s">
        <v>26</v>
      </c>
      <c r="F501" s="11" t="s">
        <v>1842</v>
      </c>
      <c r="G501" s="11" t="s">
        <v>28</v>
      </c>
      <c r="H501" s="11" t="s">
        <v>1685</v>
      </c>
      <c r="I501" s="11" t="s">
        <v>1686</v>
      </c>
      <c r="J501" s="12">
        <v>1</v>
      </c>
      <c r="K501" s="13">
        <v>1</v>
      </c>
      <c r="L501" s="14">
        <v>348</v>
      </c>
      <c r="M501" s="10">
        <v>15</v>
      </c>
      <c r="N501" s="10">
        <v>38455</v>
      </c>
      <c r="O501" s="10">
        <v>1176</v>
      </c>
      <c r="P501" s="10">
        <v>39631</v>
      </c>
    </row>
    <row r="502" spans="1:16" ht="27" customHeight="1" x14ac:dyDescent="0.2">
      <c r="A502" s="9" t="s">
        <v>1682</v>
      </c>
      <c r="B502" s="10" t="s">
        <v>1843</v>
      </c>
      <c r="C502" s="11" t="s">
        <v>18</v>
      </c>
      <c r="D502" s="11" t="s">
        <v>19</v>
      </c>
      <c r="E502" s="11" t="s">
        <v>19</v>
      </c>
      <c r="F502" s="11" t="s">
        <v>1844</v>
      </c>
      <c r="G502" s="11" t="s">
        <v>83</v>
      </c>
      <c r="H502" s="11" t="s">
        <v>1845</v>
      </c>
      <c r="I502" s="11" t="s">
        <v>1846</v>
      </c>
      <c r="J502" s="12">
        <v>0.67320000000000002</v>
      </c>
      <c r="K502" s="13">
        <v>11</v>
      </c>
      <c r="L502" s="14">
        <v>4305</v>
      </c>
      <c r="M502" s="10">
        <v>2642</v>
      </c>
      <c r="N502" s="10">
        <v>475711</v>
      </c>
      <c r="O502" s="10">
        <v>207181</v>
      </c>
      <c r="P502" s="10">
        <v>682892</v>
      </c>
    </row>
    <row r="503" spans="1:16" ht="27" customHeight="1" x14ac:dyDescent="0.2">
      <c r="A503" s="9" t="s">
        <v>1682</v>
      </c>
      <c r="B503" s="10" t="s">
        <v>1847</v>
      </c>
      <c r="C503" s="11" t="s">
        <v>18</v>
      </c>
      <c r="D503" s="11" t="s">
        <v>19</v>
      </c>
      <c r="E503" s="11" t="s">
        <v>19</v>
      </c>
      <c r="F503" s="11" t="s">
        <v>1848</v>
      </c>
      <c r="G503" s="11" t="s">
        <v>83</v>
      </c>
      <c r="H503" s="11" t="s">
        <v>1849</v>
      </c>
      <c r="I503" s="11" t="s">
        <v>1850</v>
      </c>
      <c r="J503" s="12">
        <v>0.5</v>
      </c>
      <c r="K503" s="13">
        <v>12</v>
      </c>
      <c r="L503" s="14">
        <v>6461</v>
      </c>
      <c r="M503" s="10">
        <v>2131</v>
      </c>
      <c r="N503" s="10">
        <v>713953</v>
      </c>
      <c r="O503" s="10">
        <v>167110</v>
      </c>
      <c r="P503" s="10">
        <v>881063</v>
      </c>
    </row>
    <row r="504" spans="1:16" ht="27" customHeight="1" x14ac:dyDescent="0.2">
      <c r="A504" s="9" t="s">
        <v>1682</v>
      </c>
      <c r="B504" s="10" t="s">
        <v>1851</v>
      </c>
      <c r="C504" s="11" t="s">
        <v>18</v>
      </c>
      <c r="D504" s="11" t="s">
        <v>19</v>
      </c>
      <c r="E504" s="11" t="s">
        <v>19</v>
      </c>
      <c r="F504" s="11" t="s">
        <v>1852</v>
      </c>
      <c r="G504" s="11" t="s">
        <v>83</v>
      </c>
      <c r="H504" s="11" t="s">
        <v>1853</v>
      </c>
      <c r="I504" s="11" t="s">
        <v>1854</v>
      </c>
      <c r="J504" s="12">
        <v>0.78290000000000004</v>
      </c>
      <c r="K504" s="13">
        <v>19</v>
      </c>
      <c r="L504" s="14">
        <v>11290</v>
      </c>
      <c r="M504" s="10">
        <v>7382</v>
      </c>
      <c r="N504" s="10">
        <v>1247563</v>
      </c>
      <c r="O504" s="10">
        <v>578887</v>
      </c>
      <c r="P504" s="10">
        <v>1826450</v>
      </c>
    </row>
    <row r="505" spans="1:16" ht="27" customHeight="1" x14ac:dyDescent="0.2">
      <c r="A505" s="9" t="s">
        <v>1682</v>
      </c>
      <c r="B505" s="10" t="s">
        <v>1855</v>
      </c>
      <c r="C505" s="11" t="s">
        <v>18</v>
      </c>
      <c r="D505" s="11" t="s">
        <v>19</v>
      </c>
      <c r="E505" s="11" t="s">
        <v>19</v>
      </c>
      <c r="F505" s="11" t="s">
        <v>1856</v>
      </c>
      <c r="G505" s="11" t="s">
        <v>83</v>
      </c>
      <c r="H505" s="11" t="s">
        <v>1857</v>
      </c>
      <c r="I505" s="11" t="s">
        <v>1858</v>
      </c>
      <c r="J505" s="12">
        <v>0.53169999999999995</v>
      </c>
      <c r="K505" s="13">
        <v>10</v>
      </c>
      <c r="L505" s="14">
        <v>6900</v>
      </c>
      <c r="M505" s="10">
        <v>2554</v>
      </c>
      <c r="N505" s="10">
        <v>762461</v>
      </c>
      <c r="O505" s="10">
        <v>200282</v>
      </c>
      <c r="P505" s="10">
        <v>962743</v>
      </c>
    </row>
    <row r="506" spans="1:16" ht="27" customHeight="1" x14ac:dyDescent="0.2">
      <c r="A506" s="9" t="s">
        <v>1682</v>
      </c>
      <c r="B506" s="10" t="s">
        <v>1859</v>
      </c>
      <c r="C506" s="11" t="s">
        <v>18</v>
      </c>
      <c r="D506" s="11" t="s">
        <v>19</v>
      </c>
      <c r="E506" s="11" t="s">
        <v>19</v>
      </c>
      <c r="F506" s="11" t="s">
        <v>1860</v>
      </c>
      <c r="G506" s="11" t="s">
        <v>83</v>
      </c>
      <c r="H506" s="11" t="s">
        <v>1861</v>
      </c>
      <c r="I506" s="11" t="s">
        <v>1862</v>
      </c>
      <c r="J506" s="12">
        <v>0.80759999999999998</v>
      </c>
      <c r="K506" s="13">
        <v>23</v>
      </c>
      <c r="L506" s="14">
        <v>22455</v>
      </c>
      <c r="M506" s="10">
        <v>15728</v>
      </c>
      <c r="N506" s="10">
        <v>2481315</v>
      </c>
      <c r="O506" s="10">
        <v>1233375</v>
      </c>
      <c r="P506" s="10">
        <v>3714690</v>
      </c>
    </row>
    <row r="507" spans="1:16" ht="27" customHeight="1" x14ac:dyDescent="0.2">
      <c r="A507" s="9" t="s">
        <v>1682</v>
      </c>
      <c r="B507" s="10" t="s">
        <v>1863</v>
      </c>
      <c r="C507" s="11" t="s">
        <v>18</v>
      </c>
      <c r="D507" s="11" t="s">
        <v>19</v>
      </c>
      <c r="E507" s="11" t="s">
        <v>19</v>
      </c>
      <c r="F507" s="11" t="s">
        <v>1864</v>
      </c>
      <c r="G507" s="11" t="s">
        <v>83</v>
      </c>
      <c r="H507" s="11" t="s">
        <v>1865</v>
      </c>
      <c r="I507" s="11" t="s">
        <v>1866</v>
      </c>
      <c r="J507" s="12">
        <v>0.71499999999999997</v>
      </c>
      <c r="K507" s="13">
        <v>7</v>
      </c>
      <c r="L507" s="14">
        <v>3188</v>
      </c>
      <c r="M507" s="10">
        <v>1772</v>
      </c>
      <c r="N507" s="10">
        <v>352279</v>
      </c>
      <c r="O507" s="10">
        <v>138959</v>
      </c>
      <c r="P507" s="10">
        <v>491238</v>
      </c>
    </row>
    <row r="508" spans="1:16" ht="27" customHeight="1" x14ac:dyDescent="0.2">
      <c r="A508" s="9" t="s">
        <v>1682</v>
      </c>
      <c r="B508" s="10" t="s">
        <v>1863</v>
      </c>
      <c r="C508" s="11" t="s">
        <v>1867</v>
      </c>
      <c r="D508" s="11" t="s">
        <v>1868</v>
      </c>
      <c r="E508" s="11" t="s">
        <v>26</v>
      </c>
      <c r="F508" s="11" t="s">
        <v>1869</v>
      </c>
      <c r="G508" s="11" t="s">
        <v>28</v>
      </c>
      <c r="H508" s="11" t="s">
        <v>1869</v>
      </c>
      <c r="I508" s="11" t="s">
        <v>1870</v>
      </c>
      <c r="J508" s="12">
        <v>0.625</v>
      </c>
      <c r="K508" s="13">
        <v>1</v>
      </c>
      <c r="L508" s="14">
        <v>88</v>
      </c>
      <c r="M508" s="10">
        <v>55</v>
      </c>
      <c r="N508" s="10">
        <v>9724</v>
      </c>
      <c r="O508" s="10">
        <v>4313</v>
      </c>
      <c r="P508" s="10">
        <v>14037</v>
      </c>
    </row>
    <row r="509" spans="1:16" ht="27" customHeight="1" x14ac:dyDescent="0.2">
      <c r="A509" s="9" t="s">
        <v>1682</v>
      </c>
      <c r="B509" s="10" t="s">
        <v>1863</v>
      </c>
      <c r="C509" s="11" t="s">
        <v>1871</v>
      </c>
      <c r="D509" s="11" t="s">
        <v>1872</v>
      </c>
      <c r="E509" s="11" t="s">
        <v>26</v>
      </c>
      <c r="F509" s="11" t="s">
        <v>1873</v>
      </c>
      <c r="G509" s="11" t="s">
        <v>28</v>
      </c>
      <c r="H509" s="11" t="s">
        <v>1685</v>
      </c>
      <c r="I509" s="11" t="s">
        <v>1686</v>
      </c>
      <c r="J509" s="12">
        <v>1</v>
      </c>
      <c r="K509" s="13">
        <v>1</v>
      </c>
      <c r="L509" s="14">
        <v>945</v>
      </c>
      <c r="M509" s="10">
        <v>184</v>
      </c>
      <c r="N509" s="10">
        <v>104424</v>
      </c>
      <c r="O509" s="10">
        <v>14429</v>
      </c>
      <c r="P509" s="10">
        <v>118853</v>
      </c>
    </row>
    <row r="510" spans="1:16" ht="27" customHeight="1" x14ac:dyDescent="0.2">
      <c r="A510" s="9" t="s">
        <v>1682</v>
      </c>
      <c r="B510" s="10" t="s">
        <v>1863</v>
      </c>
      <c r="C510" s="11" t="s">
        <v>1874</v>
      </c>
      <c r="D510" s="11" t="s">
        <v>1875</v>
      </c>
      <c r="E510" s="11" t="s">
        <v>26</v>
      </c>
      <c r="F510" s="11" t="s">
        <v>1876</v>
      </c>
      <c r="G510" s="11" t="s">
        <v>28</v>
      </c>
      <c r="H510" s="11" t="s">
        <v>1685</v>
      </c>
      <c r="I510" s="11" t="s">
        <v>1686</v>
      </c>
      <c r="J510" s="12">
        <v>1</v>
      </c>
      <c r="K510" s="13">
        <v>1</v>
      </c>
      <c r="L510" s="14">
        <v>2354</v>
      </c>
      <c r="M510" s="10">
        <v>2057</v>
      </c>
      <c r="N510" s="10">
        <v>260121</v>
      </c>
      <c r="O510" s="10">
        <v>161308</v>
      </c>
      <c r="P510" s="10">
        <v>421429</v>
      </c>
    </row>
    <row r="511" spans="1:16" ht="27" customHeight="1" x14ac:dyDescent="0.2">
      <c r="A511" s="9" t="s">
        <v>1682</v>
      </c>
      <c r="B511" s="10" t="s">
        <v>1877</v>
      </c>
      <c r="C511" s="11" t="s">
        <v>18</v>
      </c>
      <c r="D511" s="11" t="s">
        <v>19</v>
      </c>
      <c r="E511" s="11" t="s">
        <v>19</v>
      </c>
      <c r="F511" s="11" t="s">
        <v>1878</v>
      </c>
      <c r="G511" s="11" t="s">
        <v>83</v>
      </c>
      <c r="H511" s="11" t="s">
        <v>1879</v>
      </c>
      <c r="I511" s="11" t="s">
        <v>1880</v>
      </c>
      <c r="J511" s="12">
        <v>0.93789999999999996</v>
      </c>
      <c r="K511" s="13">
        <v>7</v>
      </c>
      <c r="L511" s="14">
        <v>3143</v>
      </c>
      <c r="M511" s="10">
        <v>2829</v>
      </c>
      <c r="N511" s="10">
        <v>347308</v>
      </c>
      <c r="O511" s="10">
        <v>221847</v>
      </c>
      <c r="P511" s="10">
        <v>569155</v>
      </c>
    </row>
    <row r="512" spans="1:16" ht="27" customHeight="1" x14ac:dyDescent="0.2">
      <c r="A512" s="9" t="s">
        <v>1682</v>
      </c>
      <c r="B512" s="10" t="s">
        <v>1881</v>
      </c>
      <c r="C512" s="11" t="s">
        <v>18</v>
      </c>
      <c r="D512" s="11" t="s">
        <v>19</v>
      </c>
      <c r="E512" s="11" t="s">
        <v>19</v>
      </c>
      <c r="F512" s="11" t="s">
        <v>1882</v>
      </c>
      <c r="G512" s="11" t="s">
        <v>83</v>
      </c>
      <c r="H512" s="11" t="s">
        <v>1883</v>
      </c>
      <c r="I512" s="11" t="s">
        <v>1884</v>
      </c>
      <c r="J512" s="12">
        <v>0.871</v>
      </c>
      <c r="K512" s="13">
        <v>14</v>
      </c>
      <c r="L512" s="14">
        <v>7802</v>
      </c>
      <c r="M512" s="10">
        <v>4431</v>
      </c>
      <c r="N512" s="10">
        <v>862134</v>
      </c>
      <c r="O512" s="10">
        <v>347474</v>
      </c>
      <c r="P512" s="10">
        <v>1209608</v>
      </c>
    </row>
    <row r="513" spans="1:16" ht="27" customHeight="1" x14ac:dyDescent="0.2">
      <c r="A513" s="9" t="s">
        <v>1682</v>
      </c>
      <c r="B513" s="10" t="s">
        <v>1885</v>
      </c>
      <c r="C513" s="11" t="s">
        <v>18</v>
      </c>
      <c r="D513" s="11" t="s">
        <v>19</v>
      </c>
      <c r="E513" s="11" t="s">
        <v>19</v>
      </c>
      <c r="F513" s="11" t="s">
        <v>1886</v>
      </c>
      <c r="G513" s="11" t="s">
        <v>83</v>
      </c>
      <c r="H513" s="11" t="s">
        <v>1887</v>
      </c>
      <c r="I513" s="11" t="s">
        <v>1888</v>
      </c>
      <c r="J513" s="12">
        <v>0.95379999999999998</v>
      </c>
      <c r="K513" s="13">
        <v>16</v>
      </c>
      <c r="L513" s="14">
        <v>7359</v>
      </c>
      <c r="M513" s="10">
        <v>6214</v>
      </c>
      <c r="N513" s="10">
        <v>813183</v>
      </c>
      <c r="O513" s="10">
        <v>487295</v>
      </c>
      <c r="P513" s="10">
        <v>1300478</v>
      </c>
    </row>
    <row r="514" spans="1:16" ht="27" customHeight="1" x14ac:dyDescent="0.2">
      <c r="A514" s="9" t="s">
        <v>1682</v>
      </c>
      <c r="B514" s="10" t="s">
        <v>1889</v>
      </c>
      <c r="C514" s="11" t="s">
        <v>18</v>
      </c>
      <c r="D514" s="11" t="s">
        <v>19</v>
      </c>
      <c r="E514" s="11" t="s">
        <v>19</v>
      </c>
      <c r="F514" s="11" t="s">
        <v>1890</v>
      </c>
      <c r="G514" s="11" t="s">
        <v>83</v>
      </c>
      <c r="H514" s="11" t="s">
        <v>1685</v>
      </c>
      <c r="I514" s="11" t="s">
        <v>1686</v>
      </c>
      <c r="J514" s="12">
        <v>1</v>
      </c>
      <c r="K514" s="13">
        <v>8</v>
      </c>
      <c r="L514" s="14">
        <v>7860</v>
      </c>
      <c r="M514" s="10">
        <v>6797</v>
      </c>
      <c r="N514" s="10">
        <v>868543</v>
      </c>
      <c r="O514" s="10">
        <v>533013</v>
      </c>
      <c r="P514" s="10">
        <v>1401556</v>
      </c>
    </row>
    <row r="515" spans="1:16" ht="27" customHeight="1" x14ac:dyDescent="0.2">
      <c r="A515" s="9" t="s">
        <v>1682</v>
      </c>
      <c r="B515" s="10" t="s">
        <v>1891</v>
      </c>
      <c r="C515" s="11" t="s">
        <v>18</v>
      </c>
      <c r="D515" s="11" t="s">
        <v>19</v>
      </c>
      <c r="E515" s="11" t="s">
        <v>19</v>
      </c>
      <c r="F515" s="11" t="s">
        <v>1892</v>
      </c>
      <c r="G515" s="11" t="s">
        <v>83</v>
      </c>
      <c r="H515" s="11" t="s">
        <v>1893</v>
      </c>
      <c r="I515" s="11" t="s">
        <v>1894</v>
      </c>
      <c r="J515" s="12">
        <v>0.85560000000000003</v>
      </c>
      <c r="K515" s="13">
        <v>15</v>
      </c>
      <c r="L515" s="14">
        <v>7537</v>
      </c>
      <c r="M515" s="10">
        <v>5948</v>
      </c>
      <c r="N515" s="10">
        <v>832852</v>
      </c>
      <c r="O515" s="10">
        <v>466436</v>
      </c>
      <c r="P515" s="10">
        <v>1299288</v>
      </c>
    </row>
    <row r="516" spans="1:16" ht="27" customHeight="1" x14ac:dyDescent="0.2">
      <c r="A516" s="9" t="s">
        <v>1682</v>
      </c>
      <c r="B516" s="10" t="s">
        <v>1895</v>
      </c>
      <c r="C516" s="11" t="s">
        <v>18</v>
      </c>
      <c r="D516" s="11" t="s">
        <v>19</v>
      </c>
      <c r="E516" s="11" t="s">
        <v>19</v>
      </c>
      <c r="F516" s="11" t="s">
        <v>1896</v>
      </c>
      <c r="G516" s="11" t="s">
        <v>83</v>
      </c>
      <c r="H516" s="11" t="s">
        <v>1897</v>
      </c>
      <c r="I516" s="11" t="s">
        <v>1898</v>
      </c>
      <c r="J516" s="12">
        <v>9.4399999999999998E-2</v>
      </c>
      <c r="K516" s="13">
        <v>6</v>
      </c>
      <c r="L516" s="14">
        <v>3532</v>
      </c>
      <c r="M516" s="10">
        <v>375</v>
      </c>
      <c r="N516" s="10">
        <v>390292</v>
      </c>
      <c r="O516" s="10">
        <v>29408</v>
      </c>
      <c r="P516" s="10">
        <v>419700</v>
      </c>
    </row>
    <row r="517" spans="1:16" ht="27" customHeight="1" x14ac:dyDescent="0.2">
      <c r="A517" s="9" t="s">
        <v>1682</v>
      </c>
      <c r="B517" s="10" t="s">
        <v>1899</v>
      </c>
      <c r="C517" s="11" t="s">
        <v>18</v>
      </c>
      <c r="D517" s="11" t="s">
        <v>19</v>
      </c>
      <c r="E517" s="11" t="s">
        <v>19</v>
      </c>
      <c r="F517" s="11" t="s">
        <v>1900</v>
      </c>
      <c r="G517" s="11" t="s">
        <v>83</v>
      </c>
      <c r="H517" s="11" t="s">
        <v>1901</v>
      </c>
      <c r="I517" s="11" t="s">
        <v>1902</v>
      </c>
      <c r="J517" s="12">
        <v>0.83489999999999998</v>
      </c>
      <c r="K517" s="13">
        <v>13</v>
      </c>
      <c r="L517" s="14">
        <v>4405</v>
      </c>
      <c r="M517" s="10">
        <v>3034</v>
      </c>
      <c r="N517" s="10">
        <v>486760</v>
      </c>
      <c r="O517" s="10">
        <v>237922</v>
      </c>
      <c r="P517" s="10">
        <v>724682</v>
      </c>
    </row>
    <row r="518" spans="1:16" ht="27" customHeight="1" x14ac:dyDescent="0.2">
      <c r="A518" s="9" t="s">
        <v>1682</v>
      </c>
      <c r="B518" s="10" t="s">
        <v>1903</v>
      </c>
      <c r="C518" s="11" t="s">
        <v>18</v>
      </c>
      <c r="D518" s="11" t="s">
        <v>19</v>
      </c>
      <c r="E518" s="11" t="s">
        <v>19</v>
      </c>
      <c r="F518" s="11" t="s">
        <v>1904</v>
      </c>
      <c r="G518" s="11" t="s">
        <v>83</v>
      </c>
      <c r="H518" s="11" t="s">
        <v>1821</v>
      </c>
      <c r="I518" s="11" t="s">
        <v>1905</v>
      </c>
      <c r="J518" s="12">
        <v>0.75780000000000003</v>
      </c>
      <c r="K518" s="13">
        <v>35</v>
      </c>
      <c r="L518" s="14">
        <v>24802</v>
      </c>
      <c r="M518" s="10">
        <v>11352</v>
      </c>
      <c r="N518" s="10">
        <v>2740661</v>
      </c>
      <c r="O518" s="10">
        <v>890213</v>
      </c>
      <c r="P518" s="10">
        <v>3630874</v>
      </c>
    </row>
    <row r="519" spans="1:16" ht="27" customHeight="1" x14ac:dyDescent="0.2">
      <c r="A519" s="9" t="s">
        <v>1682</v>
      </c>
      <c r="B519" s="10" t="s">
        <v>1906</v>
      </c>
      <c r="C519" s="11" t="s">
        <v>18</v>
      </c>
      <c r="D519" s="11" t="s">
        <v>19</v>
      </c>
      <c r="E519" s="11" t="s">
        <v>19</v>
      </c>
      <c r="F519" s="11" t="s">
        <v>1907</v>
      </c>
      <c r="G519" s="11" t="s">
        <v>83</v>
      </c>
      <c r="H519" s="11" t="s">
        <v>1908</v>
      </c>
      <c r="I519" s="11" t="s">
        <v>1909</v>
      </c>
      <c r="J519" s="12">
        <v>0.6532</v>
      </c>
      <c r="K519" s="13">
        <v>11</v>
      </c>
      <c r="L519" s="14">
        <v>6552</v>
      </c>
      <c r="M519" s="10">
        <v>2786</v>
      </c>
      <c r="N519" s="10">
        <v>724006</v>
      </c>
      <c r="O519" s="10">
        <v>218476</v>
      </c>
      <c r="P519" s="10">
        <v>942482</v>
      </c>
    </row>
    <row r="520" spans="1:16" ht="27" customHeight="1" x14ac:dyDescent="0.2">
      <c r="A520" s="9" t="s">
        <v>1682</v>
      </c>
      <c r="B520" s="10" t="s">
        <v>1910</v>
      </c>
      <c r="C520" s="11" t="s">
        <v>18</v>
      </c>
      <c r="D520" s="11" t="s">
        <v>19</v>
      </c>
      <c r="E520" s="11" t="s">
        <v>19</v>
      </c>
      <c r="F520" s="11" t="s">
        <v>1911</v>
      </c>
      <c r="G520" s="11" t="s">
        <v>83</v>
      </c>
      <c r="H520" s="11" t="s">
        <v>1912</v>
      </c>
      <c r="I520" s="11" t="s">
        <v>1913</v>
      </c>
      <c r="J520" s="12">
        <v>0.63859999999999995</v>
      </c>
      <c r="K520" s="13">
        <v>2</v>
      </c>
      <c r="L520" s="14">
        <v>83</v>
      </c>
      <c r="M520" s="10">
        <v>53</v>
      </c>
      <c r="N520" s="10">
        <v>9172</v>
      </c>
      <c r="O520" s="10">
        <v>4156</v>
      </c>
      <c r="P520" s="10">
        <v>13328</v>
      </c>
    </row>
    <row r="521" spans="1:16" ht="27" customHeight="1" x14ac:dyDescent="0.2">
      <c r="A521" s="9" t="s">
        <v>1682</v>
      </c>
      <c r="B521" s="10" t="s">
        <v>1910</v>
      </c>
      <c r="C521" s="11" t="s">
        <v>1914</v>
      </c>
      <c r="D521" s="11" t="s">
        <v>1915</v>
      </c>
      <c r="E521" s="11" t="s">
        <v>26</v>
      </c>
      <c r="F521" s="11" t="s">
        <v>1916</v>
      </c>
      <c r="G521" s="11" t="s">
        <v>28</v>
      </c>
      <c r="H521" s="11" t="s">
        <v>1916</v>
      </c>
      <c r="I521" s="11" t="s">
        <v>1917</v>
      </c>
      <c r="J521" s="12">
        <v>0.38300000000000001</v>
      </c>
      <c r="K521" s="13">
        <v>1</v>
      </c>
      <c r="L521" s="14">
        <v>1188</v>
      </c>
      <c r="M521" s="10">
        <v>455</v>
      </c>
      <c r="N521" s="10">
        <v>131276</v>
      </c>
      <c r="O521" s="10">
        <v>35681</v>
      </c>
      <c r="P521" s="10">
        <v>166957</v>
      </c>
    </row>
    <row r="522" spans="1:16" ht="27" customHeight="1" x14ac:dyDescent="0.2">
      <c r="A522" s="9" t="s">
        <v>1682</v>
      </c>
      <c r="B522" s="10" t="s">
        <v>1918</v>
      </c>
      <c r="C522" s="11" t="s">
        <v>18</v>
      </c>
      <c r="D522" s="11" t="s">
        <v>19</v>
      </c>
      <c r="E522" s="11" t="s">
        <v>19</v>
      </c>
      <c r="F522" s="11" t="s">
        <v>1919</v>
      </c>
      <c r="G522" s="11" t="s">
        <v>83</v>
      </c>
      <c r="H522" s="11" t="s">
        <v>1920</v>
      </c>
      <c r="I522" s="11" t="s">
        <v>1921</v>
      </c>
      <c r="J522" s="12">
        <v>0.74180000000000001</v>
      </c>
      <c r="K522" s="13">
        <v>11</v>
      </c>
      <c r="L522" s="14">
        <v>6729</v>
      </c>
      <c r="M522" s="10">
        <v>4296</v>
      </c>
      <c r="N522" s="10">
        <v>743564</v>
      </c>
      <c r="O522" s="10">
        <v>336888</v>
      </c>
      <c r="P522" s="10">
        <v>1080452</v>
      </c>
    </row>
    <row r="523" spans="1:16" ht="27" customHeight="1" x14ac:dyDescent="0.2">
      <c r="A523" s="9" t="s">
        <v>1682</v>
      </c>
      <c r="B523" s="10" t="s">
        <v>1918</v>
      </c>
      <c r="C523" s="11" t="s">
        <v>1922</v>
      </c>
      <c r="D523" s="11" t="s">
        <v>1923</v>
      </c>
      <c r="E523" s="11" t="s">
        <v>57</v>
      </c>
      <c r="F523" s="11" t="s">
        <v>1924</v>
      </c>
      <c r="G523" s="11" t="s">
        <v>28</v>
      </c>
      <c r="H523" s="11" t="s">
        <v>1685</v>
      </c>
      <c r="I523" s="11" t="s">
        <v>1686</v>
      </c>
      <c r="J523" s="12">
        <v>1</v>
      </c>
      <c r="K523" s="13">
        <v>1</v>
      </c>
      <c r="L523" s="14">
        <v>534</v>
      </c>
      <c r="M523" s="10">
        <v>266</v>
      </c>
      <c r="N523" s="10">
        <v>59008</v>
      </c>
      <c r="O523" s="10">
        <v>20859</v>
      </c>
      <c r="P523" s="10">
        <v>79867</v>
      </c>
    </row>
    <row r="524" spans="1:16" ht="27" customHeight="1" x14ac:dyDescent="0.2">
      <c r="A524" s="9" t="s">
        <v>1682</v>
      </c>
      <c r="B524" s="10" t="s">
        <v>1925</v>
      </c>
      <c r="C524" s="11" t="s">
        <v>18</v>
      </c>
      <c r="D524" s="11" t="s">
        <v>19</v>
      </c>
      <c r="E524" s="11" t="s">
        <v>19</v>
      </c>
      <c r="F524" s="11" t="s">
        <v>1926</v>
      </c>
      <c r="G524" s="11" t="s">
        <v>83</v>
      </c>
      <c r="H524" s="11" t="s">
        <v>1927</v>
      </c>
      <c r="I524" s="11" t="s">
        <v>1928</v>
      </c>
      <c r="J524" s="12">
        <v>7.4899999999999994E-2</v>
      </c>
      <c r="K524" s="13">
        <v>4</v>
      </c>
      <c r="L524" s="14">
        <v>1279</v>
      </c>
      <c r="M524" s="10">
        <v>92</v>
      </c>
      <c r="N524" s="10">
        <v>141331</v>
      </c>
      <c r="O524" s="10">
        <v>7214</v>
      </c>
      <c r="P524" s="10">
        <v>148545</v>
      </c>
    </row>
    <row r="525" spans="1:16" ht="27" customHeight="1" x14ac:dyDescent="0.2">
      <c r="A525" s="9" t="s">
        <v>1682</v>
      </c>
      <c r="B525" s="10" t="s">
        <v>1929</v>
      </c>
      <c r="C525" s="11" t="s">
        <v>18</v>
      </c>
      <c r="D525" s="11" t="s">
        <v>19</v>
      </c>
      <c r="E525" s="11" t="s">
        <v>19</v>
      </c>
      <c r="F525" s="11" t="s">
        <v>1930</v>
      </c>
      <c r="G525" s="11" t="s">
        <v>83</v>
      </c>
      <c r="H525" s="11" t="s">
        <v>1931</v>
      </c>
      <c r="I525" s="11" t="s">
        <v>1932</v>
      </c>
      <c r="J525" s="12">
        <v>0.35370000000000001</v>
      </c>
      <c r="K525" s="13">
        <v>2</v>
      </c>
      <c r="L525" s="14">
        <v>158</v>
      </c>
      <c r="M525" s="10">
        <v>53</v>
      </c>
      <c r="N525" s="10">
        <v>17460</v>
      </c>
      <c r="O525" s="10">
        <v>4156</v>
      </c>
      <c r="P525" s="10">
        <v>21616</v>
      </c>
    </row>
    <row r="526" spans="1:16" ht="27" customHeight="1" x14ac:dyDescent="0.2">
      <c r="A526" s="9" t="s">
        <v>1682</v>
      </c>
      <c r="B526" s="10" t="s">
        <v>1933</v>
      </c>
      <c r="C526" s="11" t="s">
        <v>18</v>
      </c>
      <c r="D526" s="11" t="s">
        <v>19</v>
      </c>
      <c r="E526" s="11" t="s">
        <v>19</v>
      </c>
      <c r="F526" s="11" t="s">
        <v>1934</v>
      </c>
      <c r="G526" s="11" t="s">
        <v>83</v>
      </c>
      <c r="H526" s="11" t="s">
        <v>1935</v>
      </c>
      <c r="I526" s="11" t="s">
        <v>1936</v>
      </c>
      <c r="J526" s="12">
        <v>0.89849999999999997</v>
      </c>
      <c r="K526" s="13">
        <v>15</v>
      </c>
      <c r="L526" s="14">
        <v>6582</v>
      </c>
      <c r="M526" s="10">
        <v>5264</v>
      </c>
      <c r="N526" s="10">
        <v>727322</v>
      </c>
      <c r="O526" s="10">
        <v>412797</v>
      </c>
      <c r="P526" s="10">
        <v>1140119</v>
      </c>
    </row>
    <row r="527" spans="1:16" ht="27" customHeight="1" x14ac:dyDescent="0.2">
      <c r="A527" s="9" t="s">
        <v>1682</v>
      </c>
      <c r="B527" s="10" t="s">
        <v>1933</v>
      </c>
      <c r="C527" s="11" t="s">
        <v>1937</v>
      </c>
      <c r="D527" s="11" t="s">
        <v>1938</v>
      </c>
      <c r="E527" s="11" t="s">
        <v>26</v>
      </c>
      <c r="F527" s="11" t="s">
        <v>1939</v>
      </c>
      <c r="G527" s="11" t="s">
        <v>28</v>
      </c>
      <c r="H527" s="11" t="s">
        <v>1939</v>
      </c>
      <c r="I527" s="11" t="s">
        <v>1940</v>
      </c>
      <c r="J527" s="12">
        <v>0.62119999999999997</v>
      </c>
      <c r="K527" s="13">
        <v>1</v>
      </c>
      <c r="L527" s="14">
        <v>396</v>
      </c>
      <c r="M527" s="10">
        <v>246</v>
      </c>
      <c r="N527" s="10">
        <v>43759</v>
      </c>
      <c r="O527" s="10">
        <v>19291</v>
      </c>
      <c r="P527" s="10">
        <v>63050</v>
      </c>
    </row>
    <row r="528" spans="1:16" ht="27" customHeight="1" x14ac:dyDescent="0.2">
      <c r="A528" s="9" t="s">
        <v>1682</v>
      </c>
      <c r="B528" s="10" t="s">
        <v>1933</v>
      </c>
      <c r="C528" s="11" t="s">
        <v>1941</v>
      </c>
      <c r="D528" s="11" t="s">
        <v>1942</v>
      </c>
      <c r="E528" s="11" t="s">
        <v>26</v>
      </c>
      <c r="F528" s="11" t="s">
        <v>1943</v>
      </c>
      <c r="G528" s="11" t="s">
        <v>28</v>
      </c>
      <c r="H528" s="11" t="s">
        <v>1685</v>
      </c>
      <c r="I528" s="11" t="s">
        <v>1686</v>
      </c>
      <c r="J528" s="12">
        <v>1</v>
      </c>
      <c r="K528" s="13">
        <v>1</v>
      </c>
      <c r="L528" s="14">
        <v>195</v>
      </c>
      <c r="M528" s="10">
        <v>86</v>
      </c>
      <c r="N528" s="10">
        <v>21548</v>
      </c>
      <c r="O528" s="10">
        <v>6744</v>
      </c>
      <c r="P528" s="10">
        <v>28292</v>
      </c>
    </row>
    <row r="529" spans="1:16" ht="27" customHeight="1" x14ac:dyDescent="0.2">
      <c r="A529" s="9" t="s">
        <v>1682</v>
      </c>
      <c r="B529" s="10" t="s">
        <v>1933</v>
      </c>
      <c r="C529" s="11" t="s">
        <v>1944</v>
      </c>
      <c r="D529" s="11" t="s">
        <v>1945</v>
      </c>
      <c r="E529" s="11" t="s">
        <v>26</v>
      </c>
      <c r="F529" s="11" t="s">
        <v>1946</v>
      </c>
      <c r="G529" s="11" t="s">
        <v>28</v>
      </c>
      <c r="H529" s="11" t="s">
        <v>1946</v>
      </c>
      <c r="I529" s="11" t="s">
        <v>1947</v>
      </c>
      <c r="J529" s="12">
        <v>0.96</v>
      </c>
      <c r="K529" s="13">
        <v>1</v>
      </c>
      <c r="L529" s="14">
        <v>375</v>
      </c>
      <c r="M529" s="10">
        <v>360</v>
      </c>
      <c r="N529" s="10">
        <v>41438</v>
      </c>
      <c r="O529" s="10">
        <v>28231</v>
      </c>
      <c r="P529" s="10">
        <v>69669</v>
      </c>
    </row>
    <row r="530" spans="1:16" ht="27" customHeight="1" x14ac:dyDescent="0.2">
      <c r="A530" s="9" t="s">
        <v>1682</v>
      </c>
      <c r="B530" s="10" t="s">
        <v>1933</v>
      </c>
      <c r="C530" s="11" t="s">
        <v>1948</v>
      </c>
      <c r="D530" s="11" t="s">
        <v>1949</v>
      </c>
      <c r="E530" s="11" t="s">
        <v>26</v>
      </c>
      <c r="F530" s="11" t="s">
        <v>1950</v>
      </c>
      <c r="G530" s="11" t="s">
        <v>28</v>
      </c>
      <c r="H530" s="11" t="s">
        <v>1685</v>
      </c>
      <c r="I530" s="11" t="s">
        <v>1686</v>
      </c>
      <c r="J530" s="12">
        <v>1</v>
      </c>
      <c r="K530" s="13">
        <v>1</v>
      </c>
      <c r="L530" s="14">
        <v>70</v>
      </c>
      <c r="M530" s="10">
        <v>69</v>
      </c>
      <c r="N530" s="10">
        <v>7735</v>
      </c>
      <c r="O530" s="10">
        <v>5411</v>
      </c>
      <c r="P530" s="10">
        <v>13146</v>
      </c>
    </row>
    <row r="531" spans="1:16" ht="27" customHeight="1" x14ac:dyDescent="0.2">
      <c r="A531" s="9" t="s">
        <v>1682</v>
      </c>
      <c r="B531" s="10" t="s">
        <v>1933</v>
      </c>
      <c r="C531" s="11" t="s">
        <v>1951</v>
      </c>
      <c r="D531" s="11" t="s">
        <v>1952</v>
      </c>
      <c r="E531" s="11" t="s">
        <v>57</v>
      </c>
      <c r="F531" s="11" t="s">
        <v>1953</v>
      </c>
      <c r="G531" s="11" t="s">
        <v>28</v>
      </c>
      <c r="H531" s="11" t="s">
        <v>1685</v>
      </c>
      <c r="I531" s="11" t="s">
        <v>1686</v>
      </c>
      <c r="J531" s="12">
        <v>1</v>
      </c>
      <c r="K531" s="13">
        <v>1</v>
      </c>
      <c r="L531" s="14">
        <v>289</v>
      </c>
      <c r="M531" s="10">
        <v>260</v>
      </c>
      <c r="N531" s="10">
        <v>31935</v>
      </c>
      <c r="O531" s="10">
        <v>20389</v>
      </c>
      <c r="P531" s="10">
        <v>52324</v>
      </c>
    </row>
    <row r="532" spans="1:16" ht="27" customHeight="1" x14ac:dyDescent="0.2">
      <c r="A532" s="9" t="s">
        <v>1682</v>
      </c>
      <c r="B532" s="10" t="s">
        <v>1933</v>
      </c>
      <c r="C532" s="11" t="s">
        <v>1954</v>
      </c>
      <c r="D532" s="11" t="s">
        <v>1955</v>
      </c>
      <c r="E532" s="11" t="s">
        <v>26</v>
      </c>
      <c r="F532" s="11" t="s">
        <v>1956</v>
      </c>
      <c r="G532" s="11" t="s">
        <v>28</v>
      </c>
      <c r="H532" s="11" t="s">
        <v>1685</v>
      </c>
      <c r="I532" s="11" t="s">
        <v>1686</v>
      </c>
      <c r="J532" s="12">
        <v>1</v>
      </c>
      <c r="K532" s="13">
        <v>1</v>
      </c>
      <c r="L532" s="14">
        <v>621</v>
      </c>
      <c r="M532" s="10">
        <v>574</v>
      </c>
      <c r="N532" s="10">
        <v>68622</v>
      </c>
      <c r="O532" s="10">
        <v>45012</v>
      </c>
      <c r="P532" s="10">
        <v>113634</v>
      </c>
    </row>
    <row r="533" spans="1:16" ht="27" customHeight="1" x14ac:dyDescent="0.2">
      <c r="A533" s="9" t="s">
        <v>1682</v>
      </c>
      <c r="B533" s="10" t="s">
        <v>1933</v>
      </c>
      <c r="C533" s="11" t="s">
        <v>1957</v>
      </c>
      <c r="D533" s="11" t="s">
        <v>1958</v>
      </c>
      <c r="E533" s="11" t="s">
        <v>57</v>
      </c>
      <c r="F533" s="11" t="s">
        <v>1959</v>
      </c>
      <c r="G533" s="11" t="s">
        <v>28</v>
      </c>
      <c r="H533" s="11" t="s">
        <v>1959</v>
      </c>
      <c r="I533" s="11" t="s">
        <v>1960</v>
      </c>
      <c r="J533" s="12">
        <v>0.70530000000000004</v>
      </c>
      <c r="K533" s="13">
        <v>1</v>
      </c>
      <c r="L533" s="14">
        <v>604</v>
      </c>
      <c r="M533" s="10">
        <v>426</v>
      </c>
      <c r="N533" s="10">
        <v>66743</v>
      </c>
      <c r="O533" s="10">
        <v>33406</v>
      </c>
      <c r="P533" s="10">
        <v>100149</v>
      </c>
    </row>
    <row r="534" spans="1:16" ht="27" customHeight="1" x14ac:dyDescent="0.2">
      <c r="A534" s="9" t="s">
        <v>1682</v>
      </c>
      <c r="B534" s="10" t="s">
        <v>1961</v>
      </c>
      <c r="C534" s="11" t="s">
        <v>18</v>
      </c>
      <c r="D534" s="11" t="s">
        <v>19</v>
      </c>
      <c r="E534" s="11" t="s">
        <v>19</v>
      </c>
      <c r="F534" s="11" t="s">
        <v>1962</v>
      </c>
      <c r="G534" s="11" t="s">
        <v>83</v>
      </c>
      <c r="H534" s="11" t="s">
        <v>1963</v>
      </c>
      <c r="I534" s="11" t="s">
        <v>1964</v>
      </c>
      <c r="J534" s="12">
        <v>0.85399999999999998</v>
      </c>
      <c r="K534" s="13">
        <v>8</v>
      </c>
      <c r="L534" s="14">
        <v>2704</v>
      </c>
      <c r="M534" s="10">
        <v>2122</v>
      </c>
      <c r="N534" s="10">
        <v>298796</v>
      </c>
      <c r="O534" s="10">
        <v>166406</v>
      </c>
      <c r="P534" s="10">
        <v>465202</v>
      </c>
    </row>
    <row r="535" spans="1:16" ht="27" customHeight="1" x14ac:dyDescent="0.2">
      <c r="A535" s="9" t="s">
        <v>1682</v>
      </c>
      <c r="B535" s="10" t="s">
        <v>1961</v>
      </c>
      <c r="C535" s="11" t="s">
        <v>1965</v>
      </c>
      <c r="D535" s="11" t="s">
        <v>1966</v>
      </c>
      <c r="E535" s="11" t="s">
        <v>26</v>
      </c>
      <c r="F535" s="11" t="s">
        <v>1967</v>
      </c>
      <c r="G535" s="11" t="s">
        <v>28</v>
      </c>
      <c r="H535" s="11" t="s">
        <v>1967</v>
      </c>
      <c r="I535" s="11" t="s">
        <v>1968</v>
      </c>
      <c r="J535" s="12">
        <v>0.43940000000000001</v>
      </c>
      <c r="K535" s="13">
        <v>1</v>
      </c>
      <c r="L535" s="14">
        <v>437</v>
      </c>
      <c r="M535" s="10">
        <v>192</v>
      </c>
      <c r="N535" s="10">
        <v>48289</v>
      </c>
      <c r="O535" s="10">
        <v>15056</v>
      </c>
      <c r="P535" s="10">
        <v>63345</v>
      </c>
    </row>
    <row r="536" spans="1:16" ht="27" customHeight="1" x14ac:dyDescent="0.2">
      <c r="A536" s="9" t="s">
        <v>1682</v>
      </c>
      <c r="B536" s="10" t="s">
        <v>1969</v>
      </c>
      <c r="C536" s="11" t="s">
        <v>18</v>
      </c>
      <c r="D536" s="11" t="s">
        <v>19</v>
      </c>
      <c r="E536" s="11" t="s">
        <v>19</v>
      </c>
      <c r="F536" s="11" t="s">
        <v>1970</v>
      </c>
      <c r="G536" s="11" t="s">
        <v>83</v>
      </c>
      <c r="H536" s="11" t="s">
        <v>1971</v>
      </c>
      <c r="I536" s="11" t="s">
        <v>1972</v>
      </c>
      <c r="J536" s="12">
        <v>5.79E-2</v>
      </c>
      <c r="K536" s="13">
        <v>5</v>
      </c>
      <c r="L536" s="14">
        <v>3892</v>
      </c>
      <c r="M536" s="10">
        <v>199</v>
      </c>
      <c r="N536" s="10">
        <v>430073</v>
      </c>
      <c r="O536" s="10">
        <v>15605</v>
      </c>
      <c r="P536" s="10">
        <v>445678</v>
      </c>
    </row>
    <row r="537" spans="1:16" ht="27" customHeight="1" x14ac:dyDescent="0.2">
      <c r="A537" s="9" t="s">
        <v>1682</v>
      </c>
      <c r="B537" s="10" t="s">
        <v>1973</v>
      </c>
      <c r="C537" s="11" t="s">
        <v>18</v>
      </c>
      <c r="D537" s="11" t="s">
        <v>19</v>
      </c>
      <c r="E537" s="11" t="s">
        <v>19</v>
      </c>
      <c r="F537" s="11" t="s">
        <v>1974</v>
      </c>
      <c r="G537" s="11" t="s">
        <v>83</v>
      </c>
      <c r="H537" s="11" t="s">
        <v>1975</v>
      </c>
      <c r="I537" s="11" t="s">
        <v>1976</v>
      </c>
      <c r="J537" s="12">
        <v>0.95630000000000004</v>
      </c>
      <c r="K537" s="13">
        <v>25</v>
      </c>
      <c r="L537" s="14">
        <v>14614</v>
      </c>
      <c r="M537" s="10">
        <v>13220</v>
      </c>
      <c r="N537" s="10">
        <v>1614873</v>
      </c>
      <c r="O537" s="10">
        <v>1036698</v>
      </c>
      <c r="P537" s="10">
        <v>2651571</v>
      </c>
    </row>
    <row r="538" spans="1:16" ht="27" customHeight="1" x14ac:dyDescent="0.2">
      <c r="A538" s="9" t="s">
        <v>1682</v>
      </c>
      <c r="B538" s="10" t="s">
        <v>1973</v>
      </c>
      <c r="C538" s="11" t="s">
        <v>1977</v>
      </c>
      <c r="D538" s="11" t="s">
        <v>1978</v>
      </c>
      <c r="E538" s="11" t="s">
        <v>26</v>
      </c>
      <c r="F538" s="11" t="s">
        <v>1979</v>
      </c>
      <c r="G538" s="11" t="s">
        <v>28</v>
      </c>
      <c r="H538" s="11" t="s">
        <v>1979</v>
      </c>
      <c r="I538" s="11" t="s">
        <v>1980</v>
      </c>
      <c r="J538" s="12">
        <v>0.71740000000000004</v>
      </c>
      <c r="K538" s="13">
        <v>1</v>
      </c>
      <c r="L538" s="14">
        <v>276</v>
      </c>
      <c r="M538" s="10">
        <v>198</v>
      </c>
      <c r="N538" s="10">
        <v>30498</v>
      </c>
      <c r="O538" s="10">
        <v>15527</v>
      </c>
      <c r="P538" s="10">
        <v>46025</v>
      </c>
    </row>
    <row r="539" spans="1:16" ht="27" customHeight="1" x14ac:dyDescent="0.2">
      <c r="A539" s="9" t="s">
        <v>1682</v>
      </c>
      <c r="B539" s="10" t="s">
        <v>1973</v>
      </c>
      <c r="C539" s="11" t="s">
        <v>1981</v>
      </c>
      <c r="D539" s="11" t="s">
        <v>1982</v>
      </c>
      <c r="E539" s="11" t="s">
        <v>26</v>
      </c>
      <c r="F539" s="11" t="s">
        <v>1983</v>
      </c>
      <c r="G539" s="11" t="s">
        <v>28</v>
      </c>
      <c r="H539" s="11" t="s">
        <v>1983</v>
      </c>
      <c r="I539" s="11" t="s">
        <v>1984</v>
      </c>
      <c r="J539" s="12">
        <v>0.74219999999999997</v>
      </c>
      <c r="K539" s="13">
        <v>1</v>
      </c>
      <c r="L539" s="14">
        <v>741</v>
      </c>
      <c r="M539" s="10">
        <v>550</v>
      </c>
      <c r="N539" s="10">
        <v>81882</v>
      </c>
      <c r="O539" s="10">
        <v>43130</v>
      </c>
      <c r="P539" s="10">
        <v>125012</v>
      </c>
    </row>
    <row r="540" spans="1:16" ht="27" customHeight="1" x14ac:dyDescent="0.2">
      <c r="A540" s="9" t="s">
        <v>1682</v>
      </c>
      <c r="B540" s="10" t="s">
        <v>1985</v>
      </c>
      <c r="C540" s="11" t="s">
        <v>18</v>
      </c>
      <c r="D540" s="11" t="s">
        <v>19</v>
      </c>
      <c r="E540" s="11" t="s">
        <v>19</v>
      </c>
      <c r="F540" s="11" t="s">
        <v>1986</v>
      </c>
      <c r="G540" s="11" t="s">
        <v>83</v>
      </c>
      <c r="H540" s="11" t="s">
        <v>1987</v>
      </c>
      <c r="I540" s="11" t="s">
        <v>1988</v>
      </c>
      <c r="J540" s="12">
        <v>0.3861</v>
      </c>
      <c r="K540" s="13">
        <v>18</v>
      </c>
      <c r="L540" s="14">
        <v>9760</v>
      </c>
      <c r="M540" s="10">
        <v>2332</v>
      </c>
      <c r="N540" s="10">
        <v>1078496</v>
      </c>
      <c r="O540" s="10">
        <v>182874</v>
      </c>
      <c r="P540" s="10">
        <v>1261370</v>
      </c>
    </row>
    <row r="541" spans="1:16" ht="27" customHeight="1" x14ac:dyDescent="0.2">
      <c r="A541" s="9" t="s">
        <v>1682</v>
      </c>
      <c r="B541" s="10" t="s">
        <v>1989</v>
      </c>
      <c r="C541" s="11" t="s">
        <v>18</v>
      </c>
      <c r="D541" s="11" t="s">
        <v>19</v>
      </c>
      <c r="E541" s="11" t="s">
        <v>19</v>
      </c>
      <c r="F541" s="11" t="s">
        <v>1990</v>
      </c>
      <c r="G541" s="11" t="s">
        <v>83</v>
      </c>
      <c r="H541" s="11" t="s">
        <v>1991</v>
      </c>
      <c r="I541" s="11" t="s">
        <v>1992</v>
      </c>
      <c r="J541" s="12">
        <v>0.90149999999999997</v>
      </c>
      <c r="K541" s="13">
        <v>10</v>
      </c>
      <c r="L541" s="14">
        <v>4808</v>
      </c>
      <c r="M541" s="10">
        <v>3823</v>
      </c>
      <c r="N541" s="10">
        <v>531291</v>
      </c>
      <c r="O541" s="10">
        <v>299796</v>
      </c>
      <c r="P541" s="10">
        <v>831087</v>
      </c>
    </row>
    <row r="542" spans="1:16" ht="27" customHeight="1" x14ac:dyDescent="0.2">
      <c r="A542" s="9" t="s">
        <v>1682</v>
      </c>
      <c r="B542" s="10" t="s">
        <v>1989</v>
      </c>
      <c r="C542" s="11" t="s">
        <v>1993</v>
      </c>
      <c r="D542" s="11" t="s">
        <v>1994</v>
      </c>
      <c r="E542" s="11" t="s">
        <v>26</v>
      </c>
      <c r="F542" s="11" t="s">
        <v>1995</v>
      </c>
      <c r="G542" s="11" t="s">
        <v>28</v>
      </c>
      <c r="H542" s="11" t="s">
        <v>1685</v>
      </c>
      <c r="I542" s="11" t="s">
        <v>1686</v>
      </c>
      <c r="J542" s="12">
        <v>1</v>
      </c>
      <c r="K542" s="13">
        <v>1</v>
      </c>
      <c r="L542" s="14">
        <v>502</v>
      </c>
      <c r="M542" s="10">
        <v>391</v>
      </c>
      <c r="N542" s="10">
        <v>55472</v>
      </c>
      <c r="O542" s="10">
        <v>30662</v>
      </c>
      <c r="P542" s="10">
        <v>86134</v>
      </c>
    </row>
    <row r="543" spans="1:16" ht="27" customHeight="1" x14ac:dyDescent="0.2">
      <c r="A543" s="9" t="s">
        <v>1682</v>
      </c>
      <c r="B543" s="10" t="s">
        <v>1996</v>
      </c>
      <c r="C543" s="11" t="s">
        <v>18</v>
      </c>
      <c r="D543" s="11" t="s">
        <v>19</v>
      </c>
      <c r="E543" s="11" t="s">
        <v>19</v>
      </c>
      <c r="F543" s="11" t="s">
        <v>1997</v>
      </c>
      <c r="G543" s="11" t="s">
        <v>83</v>
      </c>
      <c r="H543" s="11" t="s">
        <v>1998</v>
      </c>
      <c r="I543" s="11" t="s">
        <v>1999</v>
      </c>
      <c r="J543" s="12">
        <v>0.92889999999999995</v>
      </c>
      <c r="K543" s="13">
        <v>7</v>
      </c>
      <c r="L543" s="14">
        <v>4519</v>
      </c>
      <c r="M543" s="10">
        <v>4156</v>
      </c>
      <c r="N543" s="10">
        <v>499357</v>
      </c>
      <c r="O543" s="10">
        <v>325909</v>
      </c>
      <c r="P543" s="10">
        <v>825266</v>
      </c>
    </row>
    <row r="544" spans="1:16" ht="27" customHeight="1" x14ac:dyDescent="0.2">
      <c r="A544" s="9" t="s">
        <v>1682</v>
      </c>
      <c r="B544" s="10" t="s">
        <v>1996</v>
      </c>
      <c r="C544" s="11" t="s">
        <v>2000</v>
      </c>
      <c r="D544" s="11" t="s">
        <v>2001</v>
      </c>
      <c r="E544" s="11" t="s">
        <v>26</v>
      </c>
      <c r="F544" s="11" t="s">
        <v>2002</v>
      </c>
      <c r="G544" s="11" t="s">
        <v>28</v>
      </c>
      <c r="H544" s="11" t="s">
        <v>1685</v>
      </c>
      <c r="I544" s="11" t="s">
        <v>1686</v>
      </c>
      <c r="J544" s="12">
        <v>1</v>
      </c>
      <c r="K544" s="13">
        <v>1</v>
      </c>
      <c r="L544" s="14">
        <v>583</v>
      </c>
      <c r="M544" s="10">
        <v>503</v>
      </c>
      <c r="N544" s="10">
        <v>64422</v>
      </c>
      <c r="O544" s="10">
        <v>39445</v>
      </c>
      <c r="P544" s="10">
        <v>103867</v>
      </c>
    </row>
    <row r="545" spans="1:16" ht="27" customHeight="1" x14ac:dyDescent="0.2">
      <c r="A545" s="9" t="s">
        <v>1682</v>
      </c>
      <c r="B545" s="10" t="s">
        <v>1996</v>
      </c>
      <c r="C545" s="11" t="s">
        <v>2003</v>
      </c>
      <c r="D545" s="11" t="s">
        <v>2004</v>
      </c>
      <c r="E545" s="11" t="s">
        <v>26</v>
      </c>
      <c r="F545" s="11" t="s">
        <v>2005</v>
      </c>
      <c r="G545" s="11" t="s">
        <v>28</v>
      </c>
      <c r="H545" s="11" t="s">
        <v>1685</v>
      </c>
      <c r="I545" s="11" t="s">
        <v>1686</v>
      </c>
      <c r="J545" s="12">
        <v>1</v>
      </c>
      <c r="K545" s="13">
        <v>1</v>
      </c>
      <c r="L545" s="14">
        <v>452</v>
      </c>
      <c r="M545" s="10">
        <v>375</v>
      </c>
      <c r="N545" s="10">
        <v>49947</v>
      </c>
      <c r="O545" s="10">
        <v>29407</v>
      </c>
      <c r="P545" s="10">
        <v>79354</v>
      </c>
    </row>
    <row r="546" spans="1:16" ht="27" customHeight="1" x14ac:dyDescent="0.2">
      <c r="A546" s="9" t="s">
        <v>1682</v>
      </c>
      <c r="B546" s="10" t="s">
        <v>1996</v>
      </c>
      <c r="C546" s="11" t="s">
        <v>2006</v>
      </c>
      <c r="D546" s="11" t="s">
        <v>2007</v>
      </c>
      <c r="E546" s="11" t="s">
        <v>26</v>
      </c>
      <c r="F546" s="11" t="s">
        <v>2008</v>
      </c>
      <c r="G546" s="11" t="s">
        <v>28</v>
      </c>
      <c r="H546" s="11" t="s">
        <v>1685</v>
      </c>
      <c r="I546" s="11" t="s">
        <v>1686</v>
      </c>
      <c r="J546" s="12">
        <v>1</v>
      </c>
      <c r="K546" s="13">
        <v>1</v>
      </c>
      <c r="L546" s="14">
        <v>655</v>
      </c>
      <c r="M546" s="10">
        <v>611</v>
      </c>
      <c r="N546" s="10">
        <v>72379</v>
      </c>
      <c r="O546" s="10">
        <v>47914</v>
      </c>
      <c r="P546" s="10">
        <v>120293</v>
      </c>
    </row>
    <row r="547" spans="1:16" ht="27" customHeight="1" x14ac:dyDescent="0.2">
      <c r="A547" s="9" t="s">
        <v>1682</v>
      </c>
      <c r="B547" s="10" t="s">
        <v>2009</v>
      </c>
      <c r="C547" s="11" t="s">
        <v>18</v>
      </c>
      <c r="D547" s="11" t="s">
        <v>19</v>
      </c>
      <c r="E547" s="11" t="s">
        <v>19</v>
      </c>
      <c r="F547" s="11" t="s">
        <v>2010</v>
      </c>
      <c r="G547" s="11" t="s">
        <v>83</v>
      </c>
      <c r="H547" s="11" t="s">
        <v>2011</v>
      </c>
      <c r="I547" s="11" t="s">
        <v>2012</v>
      </c>
      <c r="J547" s="12">
        <v>0.84809999999999997</v>
      </c>
      <c r="K547" s="13">
        <v>10</v>
      </c>
      <c r="L547" s="14">
        <v>3818</v>
      </c>
      <c r="M547" s="10">
        <v>2727</v>
      </c>
      <c r="N547" s="10">
        <v>421897</v>
      </c>
      <c r="O547" s="10">
        <v>213851</v>
      </c>
      <c r="P547" s="10">
        <v>635748</v>
      </c>
    </row>
    <row r="548" spans="1:16" ht="27" customHeight="1" x14ac:dyDescent="0.2">
      <c r="A548" s="9" t="s">
        <v>1682</v>
      </c>
      <c r="B548" s="10" t="s">
        <v>2013</v>
      </c>
      <c r="C548" s="11" t="s">
        <v>18</v>
      </c>
      <c r="D548" s="11" t="s">
        <v>19</v>
      </c>
      <c r="E548" s="11" t="s">
        <v>19</v>
      </c>
      <c r="F548" s="11" t="s">
        <v>2014</v>
      </c>
      <c r="G548" s="11" t="s">
        <v>83</v>
      </c>
      <c r="H548" s="11" t="s">
        <v>2015</v>
      </c>
      <c r="I548" s="11" t="s">
        <v>2016</v>
      </c>
      <c r="J548" s="12">
        <v>0.75860000000000005</v>
      </c>
      <c r="K548" s="13">
        <v>85</v>
      </c>
      <c r="L548" s="14">
        <v>66584</v>
      </c>
      <c r="M548" s="10">
        <v>35601</v>
      </c>
      <c r="N548" s="10">
        <v>7357640</v>
      </c>
      <c r="O548" s="10">
        <v>2791793</v>
      </c>
      <c r="P548" s="10">
        <v>10149433</v>
      </c>
    </row>
    <row r="549" spans="1:16" ht="27" customHeight="1" x14ac:dyDescent="0.2">
      <c r="A549" s="9" t="s">
        <v>1682</v>
      </c>
      <c r="B549" s="10" t="s">
        <v>2013</v>
      </c>
      <c r="C549" s="11" t="s">
        <v>2017</v>
      </c>
      <c r="D549" s="11" t="s">
        <v>2018</v>
      </c>
      <c r="E549" s="11" t="s">
        <v>26</v>
      </c>
      <c r="F549" s="11" t="s">
        <v>2019</v>
      </c>
      <c r="G549" s="11" t="s">
        <v>28</v>
      </c>
      <c r="H549" s="11" t="s">
        <v>1685</v>
      </c>
      <c r="I549" s="11" t="s">
        <v>1686</v>
      </c>
      <c r="J549" s="12">
        <v>1</v>
      </c>
      <c r="K549" s="13">
        <v>1</v>
      </c>
      <c r="L549" s="14">
        <v>233</v>
      </c>
      <c r="M549" s="10">
        <v>63</v>
      </c>
      <c r="N549" s="10">
        <v>25747</v>
      </c>
      <c r="O549" s="10">
        <v>4940</v>
      </c>
      <c r="P549" s="10">
        <v>30687</v>
      </c>
    </row>
    <row r="550" spans="1:16" ht="27" customHeight="1" x14ac:dyDescent="0.2">
      <c r="A550" s="9" t="s">
        <v>1682</v>
      </c>
      <c r="B550" s="10" t="s">
        <v>2013</v>
      </c>
      <c r="C550" s="11" t="s">
        <v>2020</v>
      </c>
      <c r="D550" s="11" t="s">
        <v>2021</v>
      </c>
      <c r="E550" s="11" t="s">
        <v>26</v>
      </c>
      <c r="F550" s="11" t="s">
        <v>2022</v>
      </c>
      <c r="G550" s="11" t="s">
        <v>28</v>
      </c>
      <c r="H550" s="11" t="s">
        <v>1685</v>
      </c>
      <c r="I550" s="11" t="s">
        <v>1686</v>
      </c>
      <c r="J550" s="12">
        <v>1</v>
      </c>
      <c r="K550" s="13">
        <v>1</v>
      </c>
      <c r="L550" s="14">
        <v>39</v>
      </c>
      <c r="M550" s="10">
        <v>35</v>
      </c>
      <c r="N550" s="10">
        <v>4310</v>
      </c>
      <c r="O550" s="10">
        <v>2745</v>
      </c>
      <c r="P550" s="10">
        <v>7055</v>
      </c>
    </row>
    <row r="551" spans="1:16" ht="27" customHeight="1" x14ac:dyDescent="0.2">
      <c r="A551" s="9" t="s">
        <v>1682</v>
      </c>
      <c r="B551" s="10" t="s">
        <v>2023</v>
      </c>
      <c r="C551" s="11" t="s">
        <v>18</v>
      </c>
      <c r="D551" s="11" t="s">
        <v>19</v>
      </c>
      <c r="E551" s="11" t="s">
        <v>19</v>
      </c>
      <c r="F551" s="11" t="s">
        <v>2024</v>
      </c>
      <c r="G551" s="11" t="s">
        <v>83</v>
      </c>
      <c r="H551" s="11" t="s">
        <v>1685</v>
      </c>
      <c r="I551" s="11" t="s">
        <v>1686</v>
      </c>
      <c r="J551" s="12">
        <v>1</v>
      </c>
      <c r="K551" s="13">
        <v>735</v>
      </c>
      <c r="L551" s="14">
        <v>399465</v>
      </c>
      <c r="M551" s="10">
        <v>343005</v>
      </c>
      <c r="N551" s="10">
        <v>44141547</v>
      </c>
      <c r="O551" s="10">
        <v>26898106</v>
      </c>
      <c r="P551" s="10">
        <v>71039653</v>
      </c>
    </row>
    <row r="552" spans="1:16" ht="27" customHeight="1" x14ac:dyDescent="0.2">
      <c r="A552" s="9" t="s">
        <v>1682</v>
      </c>
      <c r="B552" s="10" t="s">
        <v>2023</v>
      </c>
      <c r="C552" s="11" t="s">
        <v>2025</v>
      </c>
      <c r="D552" s="11" t="s">
        <v>2026</v>
      </c>
      <c r="E552" s="11" t="s">
        <v>26</v>
      </c>
      <c r="F552" s="11" t="s">
        <v>2027</v>
      </c>
      <c r="G552" s="11" t="s">
        <v>28</v>
      </c>
      <c r="H552" s="11" t="s">
        <v>2027</v>
      </c>
      <c r="I552" s="11" t="s">
        <v>2028</v>
      </c>
      <c r="J552" s="12">
        <v>0.99750000000000005</v>
      </c>
      <c r="K552" s="13">
        <v>1</v>
      </c>
      <c r="L552" s="14">
        <v>408</v>
      </c>
      <c r="M552" s="10">
        <v>407</v>
      </c>
      <c r="N552" s="10">
        <v>45085</v>
      </c>
      <c r="O552" s="10">
        <v>31917</v>
      </c>
      <c r="P552" s="10">
        <v>77002</v>
      </c>
    </row>
    <row r="553" spans="1:16" ht="27" customHeight="1" x14ac:dyDescent="0.2">
      <c r="A553" s="9" t="s">
        <v>1682</v>
      </c>
      <c r="B553" s="10" t="s">
        <v>2023</v>
      </c>
      <c r="C553" s="11" t="s">
        <v>2029</v>
      </c>
      <c r="D553" s="11" t="s">
        <v>2030</v>
      </c>
      <c r="E553" s="11" t="s">
        <v>26</v>
      </c>
      <c r="F553" s="11" t="s">
        <v>2031</v>
      </c>
      <c r="G553" s="11" t="s">
        <v>28</v>
      </c>
      <c r="H553" s="11" t="s">
        <v>1685</v>
      </c>
      <c r="I553" s="11" t="s">
        <v>1686</v>
      </c>
      <c r="J553" s="12">
        <v>1</v>
      </c>
      <c r="K553" s="13">
        <v>1</v>
      </c>
      <c r="L553" s="14">
        <v>479</v>
      </c>
      <c r="M553" s="10">
        <v>460</v>
      </c>
      <c r="N553" s="10">
        <v>52930</v>
      </c>
      <c r="O553" s="10">
        <v>36073</v>
      </c>
      <c r="P553" s="10">
        <v>89003</v>
      </c>
    </row>
    <row r="554" spans="1:16" ht="27" customHeight="1" x14ac:dyDescent="0.2">
      <c r="A554" s="9" t="s">
        <v>1682</v>
      </c>
      <c r="B554" s="10" t="s">
        <v>2023</v>
      </c>
      <c r="C554" s="11" t="s">
        <v>2032</v>
      </c>
      <c r="D554" s="11" t="s">
        <v>2033</v>
      </c>
      <c r="E554" s="11" t="s">
        <v>26</v>
      </c>
      <c r="F554" s="11" t="s">
        <v>2034</v>
      </c>
      <c r="G554" s="11" t="s">
        <v>28</v>
      </c>
      <c r="H554" s="11" t="s">
        <v>1685</v>
      </c>
      <c r="I554" s="11" t="s">
        <v>1686</v>
      </c>
      <c r="J554" s="12">
        <v>1</v>
      </c>
      <c r="K554" s="13">
        <v>1</v>
      </c>
      <c r="L554" s="14">
        <v>359</v>
      </c>
      <c r="M554" s="10">
        <v>172</v>
      </c>
      <c r="N554" s="10">
        <v>39670</v>
      </c>
      <c r="O554" s="10">
        <v>13488</v>
      </c>
      <c r="P554" s="10">
        <v>53158</v>
      </c>
    </row>
    <row r="555" spans="1:16" ht="27" customHeight="1" x14ac:dyDescent="0.2">
      <c r="A555" s="9" t="s">
        <v>1682</v>
      </c>
      <c r="B555" s="10" t="s">
        <v>2023</v>
      </c>
      <c r="C555" s="11" t="s">
        <v>2035</v>
      </c>
      <c r="D555" s="11" t="s">
        <v>2036</v>
      </c>
      <c r="E555" s="11" t="s">
        <v>26</v>
      </c>
      <c r="F555" s="11" t="s">
        <v>2037</v>
      </c>
      <c r="G555" s="11" t="s">
        <v>28</v>
      </c>
      <c r="H555" s="11" t="s">
        <v>2037</v>
      </c>
      <c r="I555" s="11" t="s">
        <v>2038</v>
      </c>
      <c r="J555" s="12">
        <v>0.96599999999999997</v>
      </c>
      <c r="K555" s="13">
        <v>1</v>
      </c>
      <c r="L555" s="14">
        <v>500</v>
      </c>
      <c r="M555" s="10">
        <v>483</v>
      </c>
      <c r="N555" s="10">
        <v>55251</v>
      </c>
      <c r="O555" s="10">
        <v>37876</v>
      </c>
      <c r="P555" s="10">
        <v>93127</v>
      </c>
    </row>
    <row r="556" spans="1:16" ht="27" customHeight="1" x14ac:dyDescent="0.2">
      <c r="A556" s="9" t="s">
        <v>1682</v>
      </c>
      <c r="B556" s="10" t="s">
        <v>2023</v>
      </c>
      <c r="C556" s="11" t="s">
        <v>2039</v>
      </c>
      <c r="D556" s="11" t="s">
        <v>2040</v>
      </c>
      <c r="E556" s="11" t="s">
        <v>26</v>
      </c>
      <c r="F556" s="11" t="s">
        <v>2041</v>
      </c>
      <c r="G556" s="11" t="s">
        <v>28</v>
      </c>
      <c r="H556" s="11" t="s">
        <v>1685</v>
      </c>
      <c r="I556" s="11" t="s">
        <v>1686</v>
      </c>
      <c r="J556" s="12">
        <v>1</v>
      </c>
      <c r="K556" s="13">
        <v>1</v>
      </c>
      <c r="L556" s="14">
        <v>464</v>
      </c>
      <c r="M556" s="10">
        <v>338</v>
      </c>
      <c r="N556" s="10">
        <v>51273</v>
      </c>
      <c r="O556" s="10">
        <v>26506</v>
      </c>
      <c r="P556" s="10">
        <v>77779</v>
      </c>
    </row>
    <row r="557" spans="1:16" ht="27" customHeight="1" x14ac:dyDescent="0.2">
      <c r="A557" s="9" t="s">
        <v>1682</v>
      </c>
      <c r="B557" s="10" t="s">
        <v>2023</v>
      </c>
      <c r="C557" s="11" t="s">
        <v>2042</v>
      </c>
      <c r="D557" s="11" t="s">
        <v>2043</v>
      </c>
      <c r="E557" s="11" t="s">
        <v>26</v>
      </c>
      <c r="F557" s="11" t="s">
        <v>2044</v>
      </c>
      <c r="G557" s="11" t="s">
        <v>28</v>
      </c>
      <c r="H557" s="11" t="s">
        <v>1685</v>
      </c>
      <c r="I557" s="11" t="s">
        <v>1686</v>
      </c>
      <c r="J557" s="12">
        <v>1</v>
      </c>
      <c r="K557" s="13">
        <v>1</v>
      </c>
      <c r="L557" s="14">
        <v>481</v>
      </c>
      <c r="M557" s="10">
        <v>408</v>
      </c>
      <c r="N557" s="10">
        <v>53151</v>
      </c>
      <c r="O557" s="10">
        <v>31995</v>
      </c>
      <c r="P557" s="10">
        <v>85146</v>
      </c>
    </row>
    <row r="558" spans="1:16" ht="27" customHeight="1" x14ac:dyDescent="0.2">
      <c r="A558" s="9" t="s">
        <v>1682</v>
      </c>
      <c r="B558" s="10" t="s">
        <v>2023</v>
      </c>
      <c r="C558" s="11" t="s">
        <v>2045</v>
      </c>
      <c r="D558" s="11" t="s">
        <v>2046</v>
      </c>
      <c r="E558" s="11" t="s">
        <v>26</v>
      </c>
      <c r="F558" s="11" t="s">
        <v>2047</v>
      </c>
      <c r="G558" s="11" t="s">
        <v>28</v>
      </c>
      <c r="H558" s="11" t="s">
        <v>1685</v>
      </c>
      <c r="I558" s="11" t="s">
        <v>1686</v>
      </c>
      <c r="J558" s="12">
        <v>1</v>
      </c>
      <c r="K558" s="13">
        <v>1</v>
      </c>
      <c r="L558" s="14">
        <v>513</v>
      </c>
      <c r="M558" s="10">
        <v>458</v>
      </c>
      <c r="N558" s="10">
        <v>56687</v>
      </c>
      <c r="O558" s="10">
        <v>35916</v>
      </c>
      <c r="P558" s="10">
        <v>92603</v>
      </c>
    </row>
    <row r="559" spans="1:16" ht="27" customHeight="1" x14ac:dyDescent="0.2">
      <c r="A559" s="9" t="s">
        <v>1682</v>
      </c>
      <c r="B559" s="10" t="s">
        <v>2023</v>
      </c>
      <c r="C559" s="11" t="s">
        <v>2048</v>
      </c>
      <c r="D559" s="11" t="s">
        <v>2049</v>
      </c>
      <c r="E559" s="11" t="s">
        <v>26</v>
      </c>
      <c r="F559" s="11" t="s">
        <v>2050</v>
      </c>
      <c r="G559" s="11" t="s">
        <v>28</v>
      </c>
      <c r="H559" s="11" t="s">
        <v>1685</v>
      </c>
      <c r="I559" s="11" t="s">
        <v>1686</v>
      </c>
      <c r="J559" s="12">
        <v>1</v>
      </c>
      <c r="K559" s="13">
        <v>1</v>
      </c>
      <c r="L559" s="14">
        <v>375</v>
      </c>
      <c r="M559" s="10">
        <v>368</v>
      </c>
      <c r="N559" s="10">
        <v>41438</v>
      </c>
      <c r="O559" s="10">
        <v>28858</v>
      </c>
      <c r="P559" s="10">
        <v>70296</v>
      </c>
    </row>
    <row r="560" spans="1:16" ht="27" customHeight="1" x14ac:dyDescent="0.2">
      <c r="A560" s="9" t="s">
        <v>1682</v>
      </c>
      <c r="B560" s="10" t="s">
        <v>2023</v>
      </c>
      <c r="C560" s="11" t="s">
        <v>2051</v>
      </c>
      <c r="D560" s="11" t="s">
        <v>2052</v>
      </c>
      <c r="E560" s="11" t="s">
        <v>26</v>
      </c>
      <c r="F560" s="11" t="s">
        <v>2053</v>
      </c>
      <c r="G560" s="11" t="s">
        <v>28</v>
      </c>
      <c r="H560" s="11" t="s">
        <v>1685</v>
      </c>
      <c r="I560" s="11" t="s">
        <v>1686</v>
      </c>
      <c r="J560" s="12">
        <v>1</v>
      </c>
      <c r="K560" s="13">
        <v>1</v>
      </c>
      <c r="L560" s="14">
        <v>472</v>
      </c>
      <c r="M560" s="10">
        <v>447</v>
      </c>
      <c r="N560" s="10">
        <v>52157</v>
      </c>
      <c r="O560" s="10">
        <v>35053</v>
      </c>
      <c r="P560" s="10">
        <v>87210</v>
      </c>
    </row>
    <row r="561" spans="1:16" ht="27" customHeight="1" x14ac:dyDescent="0.2">
      <c r="A561" s="9" t="s">
        <v>1682</v>
      </c>
      <c r="B561" s="10" t="s">
        <v>2023</v>
      </c>
      <c r="C561" s="11" t="s">
        <v>2054</v>
      </c>
      <c r="D561" s="11" t="s">
        <v>2055</v>
      </c>
      <c r="E561" s="11" t="s">
        <v>26</v>
      </c>
      <c r="F561" s="11" t="s">
        <v>2056</v>
      </c>
      <c r="G561" s="11" t="s">
        <v>28</v>
      </c>
      <c r="H561" s="11" t="s">
        <v>1685</v>
      </c>
      <c r="I561" s="11" t="s">
        <v>1686</v>
      </c>
      <c r="J561" s="12">
        <v>1</v>
      </c>
      <c r="K561" s="13">
        <v>1</v>
      </c>
      <c r="L561" s="14">
        <v>147</v>
      </c>
      <c r="M561" s="10">
        <v>145</v>
      </c>
      <c r="N561" s="10">
        <v>16244</v>
      </c>
      <c r="O561" s="10">
        <v>11371</v>
      </c>
      <c r="P561" s="10">
        <v>27615</v>
      </c>
    </row>
    <row r="562" spans="1:16" ht="27" customHeight="1" x14ac:dyDescent="0.2">
      <c r="A562" s="9" t="s">
        <v>1682</v>
      </c>
      <c r="B562" s="10" t="s">
        <v>2023</v>
      </c>
      <c r="C562" s="11" t="s">
        <v>2057</v>
      </c>
      <c r="D562" s="11" t="s">
        <v>2058</v>
      </c>
      <c r="E562" s="11" t="s">
        <v>26</v>
      </c>
      <c r="F562" s="11" t="s">
        <v>2059</v>
      </c>
      <c r="G562" s="11" t="s">
        <v>28</v>
      </c>
      <c r="H562" s="11" t="s">
        <v>1685</v>
      </c>
      <c r="I562" s="11" t="s">
        <v>1686</v>
      </c>
      <c r="J562" s="12">
        <v>1</v>
      </c>
      <c r="K562" s="13">
        <v>1</v>
      </c>
      <c r="L562" s="14">
        <v>606</v>
      </c>
      <c r="M562" s="10">
        <v>573</v>
      </c>
      <c r="N562" s="10">
        <v>66964</v>
      </c>
      <c r="O562" s="10">
        <v>44934</v>
      </c>
      <c r="P562" s="10">
        <v>111898</v>
      </c>
    </row>
    <row r="563" spans="1:16" ht="27" customHeight="1" x14ac:dyDescent="0.2">
      <c r="A563" s="9" t="s">
        <v>1682</v>
      </c>
      <c r="B563" s="10" t="s">
        <v>2023</v>
      </c>
      <c r="C563" s="11" t="s">
        <v>2060</v>
      </c>
      <c r="D563" s="11" t="s">
        <v>2061</v>
      </c>
      <c r="E563" s="11" t="s">
        <v>26</v>
      </c>
      <c r="F563" s="11" t="s">
        <v>2062</v>
      </c>
      <c r="G563" s="11" t="s">
        <v>28</v>
      </c>
      <c r="H563" s="11" t="s">
        <v>2062</v>
      </c>
      <c r="I563" s="11" t="s">
        <v>2063</v>
      </c>
      <c r="J563" s="12">
        <v>0.64539999999999997</v>
      </c>
      <c r="K563" s="13">
        <v>1</v>
      </c>
      <c r="L563" s="14">
        <v>454</v>
      </c>
      <c r="M563" s="10">
        <v>293</v>
      </c>
      <c r="N563" s="10">
        <v>50168</v>
      </c>
      <c r="O563" s="10">
        <v>22977</v>
      </c>
      <c r="P563" s="10">
        <v>73145</v>
      </c>
    </row>
    <row r="564" spans="1:16" ht="27" customHeight="1" x14ac:dyDescent="0.2">
      <c r="A564" s="9" t="s">
        <v>1682</v>
      </c>
      <c r="B564" s="10" t="s">
        <v>2023</v>
      </c>
      <c r="C564" s="11" t="s">
        <v>2064</v>
      </c>
      <c r="D564" s="11" t="s">
        <v>2065</v>
      </c>
      <c r="E564" s="11" t="s">
        <v>26</v>
      </c>
      <c r="F564" s="11" t="s">
        <v>2066</v>
      </c>
      <c r="G564" s="11" t="s">
        <v>28</v>
      </c>
      <c r="H564" s="11" t="s">
        <v>2066</v>
      </c>
      <c r="I564" s="11" t="s">
        <v>2067</v>
      </c>
      <c r="J564" s="12">
        <v>0.16489999999999999</v>
      </c>
      <c r="K564" s="13">
        <v>1</v>
      </c>
      <c r="L564" s="14">
        <v>552</v>
      </c>
      <c r="M564" s="10">
        <v>91</v>
      </c>
      <c r="N564" s="10">
        <v>60997</v>
      </c>
      <c r="O564" s="10">
        <v>7136</v>
      </c>
      <c r="P564" s="10">
        <v>68133</v>
      </c>
    </row>
    <row r="565" spans="1:16" ht="27" customHeight="1" x14ac:dyDescent="0.2">
      <c r="A565" s="9" t="s">
        <v>1682</v>
      </c>
      <c r="B565" s="10" t="s">
        <v>2023</v>
      </c>
      <c r="C565" s="11" t="s">
        <v>2068</v>
      </c>
      <c r="D565" s="11" t="s">
        <v>2069</v>
      </c>
      <c r="E565" s="11" t="s">
        <v>26</v>
      </c>
      <c r="F565" s="11" t="s">
        <v>2070</v>
      </c>
      <c r="G565" s="11" t="s">
        <v>28</v>
      </c>
      <c r="H565" s="11" t="s">
        <v>2070</v>
      </c>
      <c r="I565" s="11" t="s">
        <v>2071</v>
      </c>
      <c r="J565" s="12">
        <v>0.92279999999999995</v>
      </c>
      <c r="K565" s="13">
        <v>1</v>
      </c>
      <c r="L565" s="14">
        <v>272</v>
      </c>
      <c r="M565" s="10">
        <v>251</v>
      </c>
      <c r="N565" s="10">
        <v>30056</v>
      </c>
      <c r="O565" s="10">
        <v>19683</v>
      </c>
      <c r="P565" s="10">
        <v>49739</v>
      </c>
    </row>
    <row r="566" spans="1:16" ht="27" customHeight="1" x14ac:dyDescent="0.2">
      <c r="A566" s="9" t="s">
        <v>1682</v>
      </c>
      <c r="B566" s="10" t="s">
        <v>2023</v>
      </c>
      <c r="C566" s="11" t="s">
        <v>2072</v>
      </c>
      <c r="D566" s="11" t="s">
        <v>2073</v>
      </c>
      <c r="E566" s="11" t="s">
        <v>26</v>
      </c>
      <c r="F566" s="11" t="s">
        <v>2074</v>
      </c>
      <c r="G566" s="11" t="s">
        <v>28</v>
      </c>
      <c r="H566" s="11" t="s">
        <v>1685</v>
      </c>
      <c r="I566" s="11" t="s">
        <v>1686</v>
      </c>
      <c r="J566" s="12">
        <v>1</v>
      </c>
      <c r="K566" s="13">
        <v>1</v>
      </c>
      <c r="L566" s="14">
        <v>617</v>
      </c>
      <c r="M566" s="10">
        <v>598</v>
      </c>
      <c r="N566" s="10">
        <v>68180</v>
      </c>
      <c r="O566" s="10">
        <v>46895</v>
      </c>
      <c r="P566" s="10">
        <v>115075</v>
      </c>
    </row>
    <row r="567" spans="1:16" ht="27" customHeight="1" x14ac:dyDescent="0.2">
      <c r="A567" s="9" t="s">
        <v>1682</v>
      </c>
      <c r="B567" s="10" t="s">
        <v>2023</v>
      </c>
      <c r="C567" s="11" t="s">
        <v>2075</v>
      </c>
      <c r="D567" s="11" t="s">
        <v>2076</v>
      </c>
      <c r="E567" s="11" t="s">
        <v>26</v>
      </c>
      <c r="F567" s="11" t="s">
        <v>2077</v>
      </c>
      <c r="G567" s="11" t="s">
        <v>28</v>
      </c>
      <c r="H567" s="11" t="s">
        <v>1685</v>
      </c>
      <c r="I567" s="11" t="s">
        <v>1686</v>
      </c>
      <c r="J567" s="12">
        <v>1</v>
      </c>
      <c r="K567" s="13">
        <v>1</v>
      </c>
      <c r="L567" s="14">
        <v>298</v>
      </c>
      <c r="M567" s="10">
        <v>266</v>
      </c>
      <c r="N567" s="10">
        <v>32929</v>
      </c>
      <c r="O567" s="10">
        <v>20859</v>
      </c>
      <c r="P567" s="10">
        <v>53788</v>
      </c>
    </row>
    <row r="568" spans="1:16" ht="27" customHeight="1" x14ac:dyDescent="0.2">
      <c r="A568" s="9" t="s">
        <v>1682</v>
      </c>
      <c r="B568" s="10" t="s">
        <v>2023</v>
      </c>
      <c r="C568" s="11" t="s">
        <v>2078</v>
      </c>
      <c r="D568" s="11" t="s">
        <v>2079</v>
      </c>
      <c r="E568" s="11" t="s">
        <v>26</v>
      </c>
      <c r="F568" s="11" t="s">
        <v>2080</v>
      </c>
      <c r="G568" s="11" t="s">
        <v>28</v>
      </c>
      <c r="H568" s="11" t="s">
        <v>2080</v>
      </c>
      <c r="I568" s="11" t="s">
        <v>2081</v>
      </c>
      <c r="J568" s="12">
        <v>0.97340000000000004</v>
      </c>
      <c r="K568" s="13">
        <v>1</v>
      </c>
      <c r="L568" s="14">
        <v>414</v>
      </c>
      <c r="M568" s="10">
        <v>403</v>
      </c>
      <c r="N568" s="10">
        <v>45748</v>
      </c>
      <c r="O568" s="10">
        <v>31603</v>
      </c>
      <c r="P568" s="10">
        <v>77351</v>
      </c>
    </row>
    <row r="569" spans="1:16" ht="27" customHeight="1" x14ac:dyDescent="0.2">
      <c r="A569" s="9" t="s">
        <v>1682</v>
      </c>
      <c r="B569" s="10" t="s">
        <v>2023</v>
      </c>
      <c r="C569" s="11" t="s">
        <v>2082</v>
      </c>
      <c r="D569" s="11" t="s">
        <v>2083</v>
      </c>
      <c r="E569" s="11" t="s">
        <v>57</v>
      </c>
      <c r="F569" s="11" t="s">
        <v>2084</v>
      </c>
      <c r="G569" s="11" t="s">
        <v>28</v>
      </c>
      <c r="H569" s="11" t="s">
        <v>2084</v>
      </c>
      <c r="I569" s="11" t="s">
        <v>2085</v>
      </c>
      <c r="J569" s="12">
        <v>0.86209999999999998</v>
      </c>
      <c r="K569" s="13">
        <v>1</v>
      </c>
      <c r="L569" s="14">
        <v>609</v>
      </c>
      <c r="M569" s="10">
        <v>525</v>
      </c>
      <c r="N569" s="10">
        <v>67296</v>
      </c>
      <c r="O569" s="10">
        <v>41170</v>
      </c>
      <c r="P569" s="10">
        <v>108466</v>
      </c>
    </row>
    <row r="570" spans="1:16" ht="27" customHeight="1" x14ac:dyDescent="0.2">
      <c r="A570" s="9" t="s">
        <v>1682</v>
      </c>
      <c r="B570" s="10" t="s">
        <v>2023</v>
      </c>
      <c r="C570" s="11" t="s">
        <v>2086</v>
      </c>
      <c r="D570" s="11" t="s">
        <v>2087</v>
      </c>
      <c r="E570" s="11" t="s">
        <v>26</v>
      </c>
      <c r="F570" s="11" t="s">
        <v>2088</v>
      </c>
      <c r="G570" s="11" t="s">
        <v>28</v>
      </c>
      <c r="H570" s="11" t="s">
        <v>2088</v>
      </c>
      <c r="I570" s="11" t="s">
        <v>2089</v>
      </c>
      <c r="J570" s="12">
        <v>0.82120000000000004</v>
      </c>
      <c r="K570" s="13">
        <v>1</v>
      </c>
      <c r="L570" s="14">
        <v>744</v>
      </c>
      <c r="M570" s="10">
        <v>611</v>
      </c>
      <c r="N570" s="10">
        <v>82213</v>
      </c>
      <c r="O570" s="10">
        <v>47914</v>
      </c>
      <c r="P570" s="10">
        <v>130127</v>
      </c>
    </row>
    <row r="571" spans="1:16" ht="27" customHeight="1" x14ac:dyDescent="0.2">
      <c r="A571" s="9" t="s">
        <v>1682</v>
      </c>
      <c r="B571" s="10" t="s">
        <v>2023</v>
      </c>
      <c r="C571" s="11" t="s">
        <v>2090</v>
      </c>
      <c r="D571" s="11" t="s">
        <v>2091</v>
      </c>
      <c r="E571" s="11" t="s">
        <v>26</v>
      </c>
      <c r="F571" s="11" t="s">
        <v>2092</v>
      </c>
      <c r="G571" s="11" t="s">
        <v>28</v>
      </c>
      <c r="H571" s="11" t="s">
        <v>2092</v>
      </c>
      <c r="I571" s="11" t="s">
        <v>2093</v>
      </c>
      <c r="J571" s="12">
        <v>0.77590000000000003</v>
      </c>
      <c r="K571" s="13">
        <v>1</v>
      </c>
      <c r="L571" s="14">
        <v>522</v>
      </c>
      <c r="M571" s="10">
        <v>405</v>
      </c>
      <c r="N571" s="10">
        <v>57682</v>
      </c>
      <c r="O571" s="10">
        <v>31760</v>
      </c>
      <c r="P571" s="10">
        <v>89442</v>
      </c>
    </row>
    <row r="572" spans="1:16" ht="27" customHeight="1" x14ac:dyDescent="0.2">
      <c r="A572" s="9" t="s">
        <v>1682</v>
      </c>
      <c r="B572" s="10" t="s">
        <v>2023</v>
      </c>
      <c r="C572" s="11" t="s">
        <v>2094</v>
      </c>
      <c r="D572" s="11" t="s">
        <v>2095</v>
      </c>
      <c r="E572" s="11" t="s">
        <v>26</v>
      </c>
      <c r="F572" s="11" t="s">
        <v>2096</v>
      </c>
      <c r="G572" s="11" t="s">
        <v>28</v>
      </c>
      <c r="H572" s="11" t="s">
        <v>2096</v>
      </c>
      <c r="I572" s="11" t="s">
        <v>2097</v>
      </c>
      <c r="J572" s="12">
        <v>0.9607</v>
      </c>
      <c r="K572" s="13">
        <v>1</v>
      </c>
      <c r="L572" s="14">
        <v>305</v>
      </c>
      <c r="M572" s="10">
        <v>293</v>
      </c>
      <c r="N572" s="10">
        <v>33703</v>
      </c>
      <c r="O572" s="10">
        <v>22977</v>
      </c>
      <c r="P572" s="10">
        <v>56680</v>
      </c>
    </row>
    <row r="573" spans="1:16" ht="27" customHeight="1" x14ac:dyDescent="0.2">
      <c r="A573" s="9" t="s">
        <v>1682</v>
      </c>
      <c r="B573" s="10" t="s">
        <v>2023</v>
      </c>
      <c r="C573" s="11" t="s">
        <v>2098</v>
      </c>
      <c r="D573" s="11" t="s">
        <v>2099</v>
      </c>
      <c r="E573" s="11" t="s">
        <v>26</v>
      </c>
      <c r="F573" s="11" t="s">
        <v>2100</v>
      </c>
      <c r="G573" s="11" t="s">
        <v>28</v>
      </c>
      <c r="H573" s="11" t="s">
        <v>1685</v>
      </c>
      <c r="I573" s="11" t="s">
        <v>1686</v>
      </c>
      <c r="J573" s="12">
        <v>1</v>
      </c>
      <c r="K573" s="13">
        <v>1</v>
      </c>
      <c r="L573" s="14">
        <v>414</v>
      </c>
      <c r="M573" s="10">
        <v>380</v>
      </c>
      <c r="N573" s="10">
        <v>45748</v>
      </c>
      <c r="O573" s="10">
        <v>29799</v>
      </c>
      <c r="P573" s="10">
        <v>75547</v>
      </c>
    </row>
    <row r="574" spans="1:16" ht="27" customHeight="1" x14ac:dyDescent="0.2">
      <c r="A574" s="9" t="s">
        <v>1682</v>
      </c>
      <c r="B574" s="10" t="s">
        <v>2023</v>
      </c>
      <c r="C574" s="11" t="s">
        <v>2101</v>
      </c>
      <c r="D574" s="11" t="s">
        <v>2102</v>
      </c>
      <c r="E574" s="11" t="s">
        <v>26</v>
      </c>
      <c r="F574" s="11" t="s">
        <v>2103</v>
      </c>
      <c r="G574" s="11" t="s">
        <v>28</v>
      </c>
      <c r="H574" s="11" t="s">
        <v>1685</v>
      </c>
      <c r="I574" s="11" t="s">
        <v>1686</v>
      </c>
      <c r="J574" s="12">
        <v>1</v>
      </c>
      <c r="K574" s="13">
        <v>1</v>
      </c>
      <c r="L574" s="14">
        <v>605</v>
      </c>
      <c r="M574" s="10">
        <v>590</v>
      </c>
      <c r="N574" s="10">
        <v>66853</v>
      </c>
      <c r="O574" s="10">
        <v>46267</v>
      </c>
      <c r="P574" s="10">
        <v>113120</v>
      </c>
    </row>
    <row r="575" spans="1:16" ht="27" customHeight="1" x14ac:dyDescent="0.2">
      <c r="A575" s="9" t="s">
        <v>1682</v>
      </c>
      <c r="B575" s="10" t="s">
        <v>2023</v>
      </c>
      <c r="C575" s="11" t="s">
        <v>2104</v>
      </c>
      <c r="D575" s="11" t="s">
        <v>2105</v>
      </c>
      <c r="E575" s="11" t="s">
        <v>26</v>
      </c>
      <c r="F575" s="11" t="s">
        <v>2106</v>
      </c>
      <c r="G575" s="11" t="s">
        <v>28</v>
      </c>
      <c r="H575" s="11" t="s">
        <v>2106</v>
      </c>
      <c r="I575" s="11" t="s">
        <v>2107</v>
      </c>
      <c r="J575" s="12">
        <v>0.93989999999999996</v>
      </c>
      <c r="K575" s="13">
        <v>1</v>
      </c>
      <c r="L575" s="14">
        <v>998</v>
      </c>
      <c r="M575" s="10">
        <v>938</v>
      </c>
      <c r="N575" s="10">
        <v>110281</v>
      </c>
      <c r="O575" s="10">
        <v>73557</v>
      </c>
      <c r="P575" s="10">
        <v>183838</v>
      </c>
    </row>
    <row r="576" spans="1:16" ht="27" customHeight="1" x14ac:dyDescent="0.2">
      <c r="A576" s="9" t="s">
        <v>1682</v>
      </c>
      <c r="B576" s="10" t="s">
        <v>2023</v>
      </c>
      <c r="C576" s="11" t="s">
        <v>2108</v>
      </c>
      <c r="D576" s="11" t="s">
        <v>2109</v>
      </c>
      <c r="E576" s="11" t="s">
        <v>26</v>
      </c>
      <c r="F576" s="11" t="s">
        <v>2110</v>
      </c>
      <c r="G576" s="11" t="s">
        <v>28</v>
      </c>
      <c r="H576" s="11" t="s">
        <v>1685</v>
      </c>
      <c r="I576" s="11" t="s">
        <v>1686</v>
      </c>
      <c r="J576" s="12">
        <v>1</v>
      </c>
      <c r="K576" s="13">
        <v>1</v>
      </c>
      <c r="L576" s="14">
        <v>337</v>
      </c>
      <c r="M576" s="10">
        <v>281</v>
      </c>
      <c r="N576" s="10">
        <v>37239</v>
      </c>
      <c r="O576" s="10">
        <v>22036</v>
      </c>
      <c r="P576" s="10">
        <v>59275</v>
      </c>
    </row>
    <row r="577" spans="1:16" ht="27" customHeight="1" x14ac:dyDescent="0.2">
      <c r="A577" s="9" t="s">
        <v>1682</v>
      </c>
      <c r="B577" s="10" t="s">
        <v>2023</v>
      </c>
      <c r="C577" s="11" t="s">
        <v>2111</v>
      </c>
      <c r="D577" s="11" t="s">
        <v>2112</v>
      </c>
      <c r="E577" s="11" t="s">
        <v>26</v>
      </c>
      <c r="F577" s="11" t="s">
        <v>2113</v>
      </c>
      <c r="G577" s="11" t="s">
        <v>28</v>
      </c>
      <c r="H577" s="11" t="s">
        <v>1685</v>
      </c>
      <c r="I577" s="11" t="s">
        <v>1686</v>
      </c>
      <c r="J577" s="12">
        <v>1</v>
      </c>
      <c r="K577" s="13">
        <v>1</v>
      </c>
      <c r="L577" s="14">
        <v>928</v>
      </c>
      <c r="M577" s="10">
        <v>620</v>
      </c>
      <c r="N577" s="10">
        <v>102546</v>
      </c>
      <c r="O577" s="10">
        <v>48620</v>
      </c>
      <c r="P577" s="10">
        <v>151166</v>
      </c>
    </row>
    <row r="578" spans="1:16" ht="27" customHeight="1" x14ac:dyDescent="0.2">
      <c r="A578" s="9" t="s">
        <v>1682</v>
      </c>
      <c r="B578" s="10" t="s">
        <v>2023</v>
      </c>
      <c r="C578" s="11" t="s">
        <v>2114</v>
      </c>
      <c r="D578" s="11" t="s">
        <v>2115</v>
      </c>
      <c r="E578" s="11" t="s">
        <v>26</v>
      </c>
      <c r="F578" s="11" t="s">
        <v>2116</v>
      </c>
      <c r="G578" s="11" t="s">
        <v>28</v>
      </c>
      <c r="H578" s="11" t="s">
        <v>1685</v>
      </c>
      <c r="I578" s="11" t="s">
        <v>1686</v>
      </c>
      <c r="J578" s="12">
        <v>1</v>
      </c>
      <c r="K578" s="13">
        <v>1</v>
      </c>
      <c r="L578" s="14">
        <v>458</v>
      </c>
      <c r="M578" s="10">
        <v>259</v>
      </c>
      <c r="N578" s="10">
        <v>50610</v>
      </c>
      <c r="O578" s="10">
        <v>20311</v>
      </c>
      <c r="P578" s="10">
        <v>70921</v>
      </c>
    </row>
    <row r="579" spans="1:16" ht="27" customHeight="1" x14ac:dyDescent="0.2">
      <c r="A579" s="9" t="s">
        <v>1682</v>
      </c>
      <c r="B579" s="10" t="s">
        <v>2023</v>
      </c>
      <c r="C579" s="11" t="s">
        <v>2117</v>
      </c>
      <c r="D579" s="11" t="s">
        <v>2118</v>
      </c>
      <c r="E579" s="11" t="s">
        <v>26</v>
      </c>
      <c r="F579" s="11" t="s">
        <v>2119</v>
      </c>
      <c r="G579" s="11" t="s">
        <v>28</v>
      </c>
      <c r="H579" s="11" t="s">
        <v>2119</v>
      </c>
      <c r="I579" s="11" t="s">
        <v>2120</v>
      </c>
      <c r="J579" s="12">
        <v>0.87619999999999998</v>
      </c>
      <c r="K579" s="13">
        <v>1</v>
      </c>
      <c r="L579" s="14">
        <v>412</v>
      </c>
      <c r="M579" s="10">
        <v>361</v>
      </c>
      <c r="N579" s="10">
        <v>45527</v>
      </c>
      <c r="O579" s="10">
        <v>28309</v>
      </c>
      <c r="P579" s="10">
        <v>73836</v>
      </c>
    </row>
    <row r="580" spans="1:16" ht="27" customHeight="1" x14ac:dyDescent="0.2">
      <c r="A580" s="9" t="s">
        <v>1682</v>
      </c>
      <c r="B580" s="10" t="s">
        <v>2023</v>
      </c>
      <c r="C580" s="11" t="s">
        <v>2121</v>
      </c>
      <c r="D580" s="11" t="s">
        <v>2122</v>
      </c>
      <c r="E580" s="11" t="s">
        <v>26</v>
      </c>
      <c r="F580" s="11" t="s">
        <v>2123</v>
      </c>
      <c r="G580" s="11" t="s">
        <v>28</v>
      </c>
      <c r="H580" s="11" t="s">
        <v>1685</v>
      </c>
      <c r="I580" s="11" t="s">
        <v>1686</v>
      </c>
      <c r="J580" s="12">
        <v>1</v>
      </c>
      <c r="K580" s="13">
        <v>1</v>
      </c>
      <c r="L580" s="14">
        <v>608</v>
      </c>
      <c r="M580" s="10">
        <v>596</v>
      </c>
      <c r="N580" s="10">
        <v>67185</v>
      </c>
      <c r="O580" s="10">
        <v>46738</v>
      </c>
      <c r="P580" s="10">
        <v>113923</v>
      </c>
    </row>
    <row r="581" spans="1:16" ht="27" customHeight="1" x14ac:dyDescent="0.2">
      <c r="A581" s="9" t="s">
        <v>1682</v>
      </c>
      <c r="B581" s="10" t="s">
        <v>2023</v>
      </c>
      <c r="C581" s="11" t="s">
        <v>2124</v>
      </c>
      <c r="D581" s="11" t="s">
        <v>2125</v>
      </c>
      <c r="E581" s="11" t="s">
        <v>26</v>
      </c>
      <c r="F581" s="11" t="s">
        <v>2126</v>
      </c>
      <c r="G581" s="11" t="s">
        <v>28</v>
      </c>
      <c r="H581" s="11" t="s">
        <v>2126</v>
      </c>
      <c r="I581" s="11" t="s">
        <v>2127</v>
      </c>
      <c r="J581" s="12">
        <v>0.90080000000000005</v>
      </c>
      <c r="K581" s="13">
        <v>1</v>
      </c>
      <c r="L581" s="14">
        <v>524</v>
      </c>
      <c r="M581" s="10">
        <v>472</v>
      </c>
      <c r="N581" s="10">
        <v>57903</v>
      </c>
      <c r="O581" s="10">
        <v>37014</v>
      </c>
      <c r="P581" s="10">
        <v>94917</v>
      </c>
    </row>
    <row r="582" spans="1:16" ht="27" customHeight="1" x14ac:dyDescent="0.2">
      <c r="A582" s="9" t="s">
        <v>1682</v>
      </c>
      <c r="B582" s="10" t="s">
        <v>2023</v>
      </c>
      <c r="C582" s="11" t="s">
        <v>2128</v>
      </c>
      <c r="D582" s="11" t="s">
        <v>2129</v>
      </c>
      <c r="E582" s="11" t="s">
        <v>26</v>
      </c>
      <c r="F582" s="11" t="s">
        <v>2130</v>
      </c>
      <c r="G582" s="11" t="s">
        <v>28</v>
      </c>
      <c r="H582" s="11" t="s">
        <v>2130</v>
      </c>
      <c r="I582" s="11" t="s">
        <v>2131</v>
      </c>
      <c r="J582" s="12">
        <v>0.4778</v>
      </c>
      <c r="K582" s="13">
        <v>1</v>
      </c>
      <c r="L582" s="14">
        <v>1620</v>
      </c>
      <c r="M582" s="10">
        <v>774</v>
      </c>
      <c r="N582" s="10">
        <v>179013</v>
      </c>
      <c r="O582" s="10">
        <v>60696</v>
      </c>
      <c r="P582" s="10">
        <v>239709</v>
      </c>
    </row>
    <row r="583" spans="1:16" ht="27" customHeight="1" x14ac:dyDescent="0.2">
      <c r="A583" s="9" t="s">
        <v>1682</v>
      </c>
      <c r="B583" s="10" t="s">
        <v>2023</v>
      </c>
      <c r="C583" s="11" t="s">
        <v>2132</v>
      </c>
      <c r="D583" s="11" t="s">
        <v>2133</v>
      </c>
      <c r="E583" s="11" t="s">
        <v>26</v>
      </c>
      <c r="F583" s="11" t="s">
        <v>2134</v>
      </c>
      <c r="G583" s="11" t="s">
        <v>28</v>
      </c>
      <c r="H583" s="11" t="s">
        <v>1685</v>
      </c>
      <c r="I583" s="11" t="s">
        <v>1686</v>
      </c>
      <c r="J583" s="12">
        <v>1</v>
      </c>
      <c r="K583" s="13">
        <v>1</v>
      </c>
      <c r="L583" s="14">
        <v>611</v>
      </c>
      <c r="M583" s="10">
        <v>514</v>
      </c>
      <c r="N583" s="10">
        <v>67517</v>
      </c>
      <c r="O583" s="10">
        <v>40307</v>
      </c>
      <c r="P583" s="10">
        <v>107824</v>
      </c>
    </row>
    <row r="584" spans="1:16" ht="27" customHeight="1" x14ac:dyDescent="0.2">
      <c r="A584" s="9" t="s">
        <v>1682</v>
      </c>
      <c r="B584" s="10" t="s">
        <v>2023</v>
      </c>
      <c r="C584" s="11" t="s">
        <v>2135</v>
      </c>
      <c r="D584" s="11" t="s">
        <v>2136</v>
      </c>
      <c r="E584" s="11" t="s">
        <v>26</v>
      </c>
      <c r="F584" s="11" t="s">
        <v>2137</v>
      </c>
      <c r="G584" s="11" t="s">
        <v>28</v>
      </c>
      <c r="H584" s="11" t="s">
        <v>1685</v>
      </c>
      <c r="I584" s="11" t="s">
        <v>1686</v>
      </c>
      <c r="J584" s="12">
        <v>1</v>
      </c>
      <c r="K584" s="13">
        <v>1</v>
      </c>
      <c r="L584" s="14">
        <v>449</v>
      </c>
      <c r="M584" s="10">
        <v>390</v>
      </c>
      <c r="N584" s="10">
        <v>49615</v>
      </c>
      <c r="O584" s="10">
        <v>30583</v>
      </c>
      <c r="P584" s="10">
        <v>80198</v>
      </c>
    </row>
    <row r="585" spans="1:16" ht="27" customHeight="1" x14ac:dyDescent="0.2">
      <c r="A585" s="9" t="s">
        <v>1682</v>
      </c>
      <c r="B585" s="10" t="s">
        <v>2023</v>
      </c>
      <c r="C585" s="11" t="s">
        <v>2138</v>
      </c>
      <c r="D585" s="11" t="s">
        <v>2139</v>
      </c>
      <c r="E585" s="11" t="s">
        <v>26</v>
      </c>
      <c r="F585" s="11" t="s">
        <v>2140</v>
      </c>
      <c r="G585" s="11" t="s">
        <v>28</v>
      </c>
      <c r="H585" s="11" t="s">
        <v>2140</v>
      </c>
      <c r="I585" s="11" t="s">
        <v>2141</v>
      </c>
      <c r="J585" s="12">
        <v>0.23699999999999999</v>
      </c>
      <c r="K585" s="13">
        <v>1</v>
      </c>
      <c r="L585" s="14">
        <v>405</v>
      </c>
      <c r="M585" s="10">
        <v>96</v>
      </c>
      <c r="N585" s="10">
        <v>44753</v>
      </c>
      <c r="O585" s="10">
        <v>7528</v>
      </c>
      <c r="P585" s="10">
        <v>52281</v>
      </c>
    </row>
    <row r="586" spans="1:16" ht="27" customHeight="1" x14ac:dyDescent="0.2">
      <c r="A586" s="9" t="s">
        <v>1682</v>
      </c>
      <c r="B586" s="10" t="s">
        <v>2023</v>
      </c>
      <c r="C586" s="11" t="s">
        <v>2142</v>
      </c>
      <c r="D586" s="11" t="s">
        <v>2143</v>
      </c>
      <c r="E586" s="11" t="s">
        <v>26</v>
      </c>
      <c r="F586" s="11" t="s">
        <v>2144</v>
      </c>
      <c r="G586" s="11" t="s">
        <v>28</v>
      </c>
      <c r="H586" s="11" t="s">
        <v>2144</v>
      </c>
      <c r="I586" s="11" t="s">
        <v>2145</v>
      </c>
      <c r="J586" s="12">
        <v>0.79620000000000002</v>
      </c>
      <c r="K586" s="13">
        <v>1</v>
      </c>
      <c r="L586" s="14">
        <v>265</v>
      </c>
      <c r="M586" s="10">
        <v>211</v>
      </c>
      <c r="N586" s="10">
        <v>29283</v>
      </c>
      <c r="O586" s="10">
        <v>16546</v>
      </c>
      <c r="P586" s="10">
        <v>45829</v>
      </c>
    </row>
    <row r="587" spans="1:16" ht="27" customHeight="1" x14ac:dyDescent="0.2">
      <c r="A587" s="9" t="s">
        <v>1682</v>
      </c>
      <c r="B587" s="10" t="s">
        <v>2023</v>
      </c>
      <c r="C587" s="11" t="s">
        <v>2146</v>
      </c>
      <c r="D587" s="11" t="s">
        <v>2147</v>
      </c>
      <c r="E587" s="11" t="s">
        <v>26</v>
      </c>
      <c r="F587" s="11" t="s">
        <v>2148</v>
      </c>
      <c r="G587" s="11" t="s">
        <v>28</v>
      </c>
      <c r="H587" s="11" t="s">
        <v>2148</v>
      </c>
      <c r="I587" s="11" t="s">
        <v>2149</v>
      </c>
      <c r="J587" s="12">
        <v>0.90369999999999995</v>
      </c>
      <c r="K587" s="13">
        <v>1</v>
      </c>
      <c r="L587" s="14">
        <v>405</v>
      </c>
      <c r="M587" s="10">
        <v>366</v>
      </c>
      <c r="N587" s="10">
        <v>44753</v>
      </c>
      <c r="O587" s="10">
        <v>28701</v>
      </c>
      <c r="P587" s="10">
        <v>73454</v>
      </c>
    </row>
    <row r="588" spans="1:16" ht="27" customHeight="1" x14ac:dyDescent="0.2">
      <c r="A588" s="9" t="s">
        <v>1682</v>
      </c>
      <c r="B588" s="10" t="s">
        <v>2023</v>
      </c>
      <c r="C588" s="11" t="s">
        <v>2150</v>
      </c>
      <c r="D588" s="11" t="s">
        <v>2151</v>
      </c>
      <c r="E588" s="11" t="s">
        <v>26</v>
      </c>
      <c r="F588" s="11" t="s">
        <v>2152</v>
      </c>
      <c r="G588" s="11" t="s">
        <v>28</v>
      </c>
      <c r="H588" s="11" t="s">
        <v>1685</v>
      </c>
      <c r="I588" s="11" t="s">
        <v>1686</v>
      </c>
      <c r="J588" s="12">
        <v>1</v>
      </c>
      <c r="K588" s="13">
        <v>1</v>
      </c>
      <c r="L588" s="14">
        <v>79</v>
      </c>
      <c r="M588" s="10">
        <v>77</v>
      </c>
      <c r="N588" s="10">
        <v>8730</v>
      </c>
      <c r="O588" s="10">
        <v>6038</v>
      </c>
      <c r="P588" s="10">
        <v>14768</v>
      </c>
    </row>
    <row r="589" spans="1:16" ht="27" customHeight="1" x14ac:dyDescent="0.2">
      <c r="A589" s="9" t="s">
        <v>1682</v>
      </c>
      <c r="B589" s="10" t="s">
        <v>2023</v>
      </c>
      <c r="C589" s="11" t="s">
        <v>2153</v>
      </c>
      <c r="D589" s="11" t="s">
        <v>2154</v>
      </c>
      <c r="E589" s="11" t="s">
        <v>26</v>
      </c>
      <c r="F589" s="11" t="s">
        <v>2155</v>
      </c>
      <c r="G589" s="11" t="s">
        <v>28</v>
      </c>
      <c r="H589" s="11" t="s">
        <v>1685</v>
      </c>
      <c r="I589" s="11" t="s">
        <v>1686</v>
      </c>
      <c r="J589" s="12">
        <v>1</v>
      </c>
      <c r="K589" s="13">
        <v>1</v>
      </c>
      <c r="L589" s="14">
        <v>614</v>
      </c>
      <c r="M589" s="10">
        <v>606</v>
      </c>
      <c r="N589" s="10">
        <v>67848</v>
      </c>
      <c r="O589" s="10">
        <v>47522</v>
      </c>
      <c r="P589" s="10">
        <v>115370</v>
      </c>
    </row>
    <row r="590" spans="1:16" ht="27" customHeight="1" x14ac:dyDescent="0.2">
      <c r="A590" s="9" t="s">
        <v>1682</v>
      </c>
      <c r="B590" s="10" t="s">
        <v>2023</v>
      </c>
      <c r="C590" s="11" t="s">
        <v>2156</v>
      </c>
      <c r="D590" s="11" t="s">
        <v>2157</v>
      </c>
      <c r="E590" s="11" t="s">
        <v>26</v>
      </c>
      <c r="F590" s="11" t="s">
        <v>2158</v>
      </c>
      <c r="G590" s="11" t="s">
        <v>28</v>
      </c>
      <c r="H590" s="11" t="s">
        <v>1685</v>
      </c>
      <c r="I590" s="11" t="s">
        <v>1686</v>
      </c>
      <c r="J590" s="12">
        <v>1</v>
      </c>
      <c r="K590" s="13">
        <v>1</v>
      </c>
      <c r="L590" s="14">
        <v>466</v>
      </c>
      <c r="M590" s="10">
        <v>449</v>
      </c>
      <c r="N590" s="10">
        <v>51494</v>
      </c>
      <c r="O590" s="10">
        <v>35210</v>
      </c>
      <c r="P590" s="10">
        <v>86704</v>
      </c>
    </row>
    <row r="591" spans="1:16" ht="27" customHeight="1" x14ac:dyDescent="0.2">
      <c r="A591" s="9" t="s">
        <v>1682</v>
      </c>
      <c r="B591" s="10" t="s">
        <v>2023</v>
      </c>
      <c r="C591" s="11" t="s">
        <v>2159</v>
      </c>
      <c r="D591" s="11" t="s">
        <v>2160</v>
      </c>
      <c r="E591" s="11" t="s">
        <v>26</v>
      </c>
      <c r="F591" s="11" t="s">
        <v>2161</v>
      </c>
      <c r="G591" s="11" t="s">
        <v>28</v>
      </c>
      <c r="H591" s="11" t="s">
        <v>1685</v>
      </c>
      <c r="I591" s="11" t="s">
        <v>1686</v>
      </c>
      <c r="J591" s="12">
        <v>1</v>
      </c>
      <c r="K591" s="13">
        <v>1</v>
      </c>
      <c r="L591" s="14">
        <v>400</v>
      </c>
      <c r="M591" s="10">
        <v>393</v>
      </c>
      <c r="N591" s="10">
        <v>44201</v>
      </c>
      <c r="O591" s="10">
        <v>30819</v>
      </c>
      <c r="P591" s="10">
        <v>75020</v>
      </c>
    </row>
    <row r="592" spans="1:16" ht="27" customHeight="1" x14ac:dyDescent="0.2">
      <c r="A592" s="9" t="s">
        <v>1682</v>
      </c>
      <c r="B592" s="10" t="s">
        <v>2023</v>
      </c>
      <c r="C592" s="11" t="s">
        <v>2162</v>
      </c>
      <c r="D592" s="11" t="s">
        <v>2163</v>
      </c>
      <c r="E592" s="11" t="s">
        <v>26</v>
      </c>
      <c r="F592" s="11" t="s">
        <v>2164</v>
      </c>
      <c r="G592" s="11" t="s">
        <v>28</v>
      </c>
      <c r="H592" s="11" t="s">
        <v>1685</v>
      </c>
      <c r="I592" s="11" t="s">
        <v>1686</v>
      </c>
      <c r="J592" s="12">
        <v>1</v>
      </c>
      <c r="K592" s="13">
        <v>1</v>
      </c>
      <c r="L592" s="14">
        <v>622</v>
      </c>
      <c r="M592" s="10">
        <v>609</v>
      </c>
      <c r="N592" s="10">
        <v>68732</v>
      </c>
      <c r="O592" s="10">
        <v>47757</v>
      </c>
      <c r="P592" s="10">
        <v>116489</v>
      </c>
    </row>
    <row r="593" spans="1:16" ht="27" customHeight="1" x14ac:dyDescent="0.2">
      <c r="A593" s="9" t="s">
        <v>1682</v>
      </c>
      <c r="B593" s="10" t="s">
        <v>2023</v>
      </c>
      <c r="C593" s="11" t="s">
        <v>2165</v>
      </c>
      <c r="D593" s="11" t="s">
        <v>2166</v>
      </c>
      <c r="E593" s="11" t="s">
        <v>26</v>
      </c>
      <c r="F593" s="11" t="s">
        <v>2167</v>
      </c>
      <c r="G593" s="11" t="s">
        <v>28</v>
      </c>
      <c r="H593" s="11" t="s">
        <v>1685</v>
      </c>
      <c r="I593" s="11" t="s">
        <v>1686</v>
      </c>
      <c r="J593" s="12">
        <v>1</v>
      </c>
      <c r="K593" s="13">
        <v>1</v>
      </c>
      <c r="L593" s="14">
        <v>604</v>
      </c>
      <c r="M593" s="10">
        <v>582</v>
      </c>
      <c r="N593" s="10">
        <v>66743</v>
      </c>
      <c r="O593" s="10">
        <v>45640</v>
      </c>
      <c r="P593" s="10">
        <v>112383</v>
      </c>
    </row>
    <row r="594" spans="1:16" ht="27" customHeight="1" x14ac:dyDescent="0.2">
      <c r="A594" s="9" t="s">
        <v>1682</v>
      </c>
      <c r="B594" s="10" t="s">
        <v>2023</v>
      </c>
      <c r="C594" s="11" t="s">
        <v>2168</v>
      </c>
      <c r="D594" s="11" t="s">
        <v>2169</v>
      </c>
      <c r="E594" s="11" t="s">
        <v>26</v>
      </c>
      <c r="F594" s="11" t="s">
        <v>2170</v>
      </c>
      <c r="G594" s="11" t="s">
        <v>28</v>
      </c>
      <c r="H594" s="11" t="s">
        <v>1685</v>
      </c>
      <c r="I594" s="11" t="s">
        <v>1686</v>
      </c>
      <c r="J594" s="12">
        <v>1</v>
      </c>
      <c r="K594" s="13">
        <v>1</v>
      </c>
      <c r="L594" s="14">
        <v>572</v>
      </c>
      <c r="M594" s="10">
        <v>547</v>
      </c>
      <c r="N594" s="10">
        <v>63207</v>
      </c>
      <c r="O594" s="10">
        <v>42895</v>
      </c>
      <c r="P594" s="10">
        <v>106102</v>
      </c>
    </row>
    <row r="595" spans="1:16" ht="27" customHeight="1" x14ac:dyDescent="0.2">
      <c r="A595" s="9" t="s">
        <v>1682</v>
      </c>
      <c r="B595" s="10" t="s">
        <v>2023</v>
      </c>
      <c r="C595" s="11" t="s">
        <v>2171</v>
      </c>
      <c r="D595" s="11" t="s">
        <v>2172</v>
      </c>
      <c r="E595" s="11" t="s">
        <v>26</v>
      </c>
      <c r="F595" s="11" t="s">
        <v>2173</v>
      </c>
      <c r="G595" s="11" t="s">
        <v>28</v>
      </c>
      <c r="H595" s="11" t="s">
        <v>2173</v>
      </c>
      <c r="I595" s="11" t="s">
        <v>2174</v>
      </c>
      <c r="J595" s="12">
        <v>0.97640000000000005</v>
      </c>
      <c r="K595" s="13">
        <v>1</v>
      </c>
      <c r="L595" s="14">
        <v>976</v>
      </c>
      <c r="M595" s="10">
        <v>953</v>
      </c>
      <c r="N595" s="10">
        <v>107850</v>
      </c>
      <c r="O595" s="10">
        <v>74733</v>
      </c>
      <c r="P595" s="10">
        <v>182583</v>
      </c>
    </row>
    <row r="596" spans="1:16" ht="27" customHeight="1" x14ac:dyDescent="0.2">
      <c r="A596" s="9" t="s">
        <v>1682</v>
      </c>
      <c r="B596" s="10" t="s">
        <v>2023</v>
      </c>
      <c r="C596" s="11" t="s">
        <v>2175</v>
      </c>
      <c r="D596" s="11" t="s">
        <v>2176</v>
      </c>
      <c r="E596" s="11" t="s">
        <v>26</v>
      </c>
      <c r="F596" s="11" t="s">
        <v>2177</v>
      </c>
      <c r="G596" s="11" t="s">
        <v>28</v>
      </c>
      <c r="H596" s="11" t="s">
        <v>1685</v>
      </c>
      <c r="I596" s="11" t="s">
        <v>1686</v>
      </c>
      <c r="J596" s="12">
        <v>1</v>
      </c>
      <c r="K596" s="13">
        <v>1</v>
      </c>
      <c r="L596" s="14">
        <v>570</v>
      </c>
      <c r="M596" s="10">
        <v>506</v>
      </c>
      <c r="N596" s="10">
        <v>62986</v>
      </c>
      <c r="O596" s="10">
        <v>39680</v>
      </c>
      <c r="P596" s="10">
        <v>102666</v>
      </c>
    </row>
    <row r="597" spans="1:16" ht="27" customHeight="1" x14ac:dyDescent="0.2">
      <c r="A597" s="9" t="s">
        <v>1682</v>
      </c>
      <c r="B597" s="10" t="s">
        <v>2023</v>
      </c>
      <c r="C597" s="11" t="s">
        <v>2178</v>
      </c>
      <c r="D597" s="11" t="s">
        <v>2179</v>
      </c>
      <c r="E597" s="11" t="s">
        <v>57</v>
      </c>
      <c r="F597" s="11" t="s">
        <v>2180</v>
      </c>
      <c r="G597" s="11" t="s">
        <v>28</v>
      </c>
      <c r="H597" s="11" t="s">
        <v>2180</v>
      </c>
      <c r="I597" s="11" t="s">
        <v>2181</v>
      </c>
      <c r="J597" s="12">
        <v>0.1477</v>
      </c>
      <c r="K597" s="13">
        <v>1</v>
      </c>
      <c r="L597" s="14">
        <v>501</v>
      </c>
      <c r="M597" s="10">
        <v>74</v>
      </c>
      <c r="N597" s="10">
        <v>55361</v>
      </c>
      <c r="O597" s="10">
        <v>5803</v>
      </c>
      <c r="P597" s="10">
        <v>61164</v>
      </c>
    </row>
    <row r="598" spans="1:16" ht="27" customHeight="1" x14ac:dyDescent="0.2">
      <c r="A598" s="9" t="s">
        <v>1682</v>
      </c>
      <c r="B598" s="10" t="s">
        <v>2023</v>
      </c>
      <c r="C598" s="11" t="s">
        <v>2182</v>
      </c>
      <c r="D598" s="11" t="s">
        <v>2183</v>
      </c>
      <c r="E598" s="11" t="s">
        <v>26</v>
      </c>
      <c r="F598" s="11" t="s">
        <v>2184</v>
      </c>
      <c r="G598" s="11" t="s">
        <v>28</v>
      </c>
      <c r="H598" s="11" t="s">
        <v>1685</v>
      </c>
      <c r="I598" s="11" t="s">
        <v>1686</v>
      </c>
      <c r="J598" s="12">
        <v>1</v>
      </c>
      <c r="K598" s="13">
        <v>1</v>
      </c>
      <c r="L598" s="14">
        <v>277</v>
      </c>
      <c r="M598" s="10">
        <v>258</v>
      </c>
      <c r="N598" s="10">
        <v>30609</v>
      </c>
      <c r="O598" s="10">
        <v>20232</v>
      </c>
      <c r="P598" s="10">
        <v>50841</v>
      </c>
    </row>
    <row r="599" spans="1:16" ht="27" customHeight="1" x14ac:dyDescent="0.2">
      <c r="A599" s="9" t="s">
        <v>1682</v>
      </c>
      <c r="B599" s="10" t="s">
        <v>2023</v>
      </c>
      <c r="C599" s="11" t="s">
        <v>2185</v>
      </c>
      <c r="D599" s="11" t="s">
        <v>2186</v>
      </c>
      <c r="E599" s="11" t="s">
        <v>26</v>
      </c>
      <c r="F599" s="11" t="s">
        <v>2187</v>
      </c>
      <c r="G599" s="11" t="s">
        <v>28</v>
      </c>
      <c r="H599" s="11" t="s">
        <v>2187</v>
      </c>
      <c r="I599" s="11" t="s">
        <v>2188</v>
      </c>
      <c r="J599" s="12">
        <v>0.46079999999999999</v>
      </c>
      <c r="K599" s="13">
        <v>1</v>
      </c>
      <c r="L599" s="14">
        <v>395</v>
      </c>
      <c r="M599" s="10">
        <v>182</v>
      </c>
      <c r="N599" s="10">
        <v>43648</v>
      </c>
      <c r="O599" s="10">
        <v>14272</v>
      </c>
      <c r="P599" s="10">
        <v>57920</v>
      </c>
    </row>
    <row r="600" spans="1:16" ht="27" customHeight="1" x14ac:dyDescent="0.2">
      <c r="A600" s="9" t="s">
        <v>1682</v>
      </c>
      <c r="B600" s="10" t="s">
        <v>2023</v>
      </c>
      <c r="C600" s="11" t="s">
        <v>2189</v>
      </c>
      <c r="D600" s="11" t="s">
        <v>2190</v>
      </c>
      <c r="E600" s="11" t="s">
        <v>26</v>
      </c>
      <c r="F600" s="11" t="s">
        <v>2191</v>
      </c>
      <c r="G600" s="11" t="s">
        <v>28</v>
      </c>
      <c r="H600" s="11" t="s">
        <v>1685</v>
      </c>
      <c r="I600" s="11" t="s">
        <v>1686</v>
      </c>
      <c r="J600" s="12">
        <v>1</v>
      </c>
      <c r="K600" s="13">
        <v>1</v>
      </c>
      <c r="L600" s="14">
        <v>521</v>
      </c>
      <c r="M600" s="10">
        <v>491</v>
      </c>
      <c r="N600" s="10">
        <v>57571</v>
      </c>
      <c r="O600" s="10">
        <v>38504</v>
      </c>
      <c r="P600" s="10">
        <v>96075</v>
      </c>
    </row>
    <row r="601" spans="1:16" ht="27" customHeight="1" x14ac:dyDescent="0.2">
      <c r="A601" s="9" t="s">
        <v>1682</v>
      </c>
      <c r="B601" s="10" t="s">
        <v>2023</v>
      </c>
      <c r="C601" s="11" t="s">
        <v>2192</v>
      </c>
      <c r="D601" s="11" t="s">
        <v>2193</v>
      </c>
      <c r="E601" s="11" t="s">
        <v>26</v>
      </c>
      <c r="F601" s="11" t="s">
        <v>2194</v>
      </c>
      <c r="G601" s="11" t="s">
        <v>28</v>
      </c>
      <c r="H601" s="11" t="s">
        <v>2194</v>
      </c>
      <c r="I601" s="11" t="s">
        <v>2195</v>
      </c>
      <c r="J601" s="12">
        <v>0.68210000000000004</v>
      </c>
      <c r="K601" s="13">
        <v>1</v>
      </c>
      <c r="L601" s="14">
        <v>324</v>
      </c>
      <c r="M601" s="10">
        <v>221</v>
      </c>
      <c r="N601" s="10">
        <v>35803</v>
      </c>
      <c r="O601" s="10">
        <v>17331</v>
      </c>
      <c r="P601" s="10">
        <v>53134</v>
      </c>
    </row>
    <row r="602" spans="1:16" ht="27" customHeight="1" x14ac:dyDescent="0.2">
      <c r="A602" s="9" t="s">
        <v>1682</v>
      </c>
      <c r="B602" s="10" t="s">
        <v>2023</v>
      </c>
      <c r="C602" s="11" t="s">
        <v>2196</v>
      </c>
      <c r="D602" s="11" t="s">
        <v>2197</v>
      </c>
      <c r="E602" s="11" t="s">
        <v>26</v>
      </c>
      <c r="F602" s="11" t="s">
        <v>2198</v>
      </c>
      <c r="G602" s="11" t="s">
        <v>28</v>
      </c>
      <c r="H602" s="11" t="s">
        <v>1685</v>
      </c>
      <c r="I602" s="11" t="s">
        <v>1686</v>
      </c>
      <c r="J602" s="12">
        <v>1</v>
      </c>
      <c r="K602" s="13">
        <v>1</v>
      </c>
      <c r="L602" s="14">
        <v>277</v>
      </c>
      <c r="M602" s="10">
        <v>247</v>
      </c>
      <c r="N602" s="10">
        <v>30609</v>
      </c>
      <c r="O602" s="10">
        <v>19369</v>
      </c>
      <c r="P602" s="10">
        <v>49978</v>
      </c>
    </row>
    <row r="603" spans="1:16" ht="27" customHeight="1" x14ac:dyDescent="0.2">
      <c r="A603" s="9" t="s">
        <v>1682</v>
      </c>
      <c r="B603" s="10" t="s">
        <v>2023</v>
      </c>
      <c r="C603" s="11" t="s">
        <v>2199</v>
      </c>
      <c r="D603" s="11" t="s">
        <v>2200</v>
      </c>
      <c r="E603" s="11" t="s">
        <v>26</v>
      </c>
      <c r="F603" s="11" t="s">
        <v>2201</v>
      </c>
      <c r="G603" s="11" t="s">
        <v>28</v>
      </c>
      <c r="H603" s="11" t="s">
        <v>2201</v>
      </c>
      <c r="I603" s="11" t="s">
        <v>2202</v>
      </c>
      <c r="J603" s="12">
        <v>0.67579999999999996</v>
      </c>
      <c r="K603" s="13">
        <v>1</v>
      </c>
      <c r="L603" s="14">
        <v>364</v>
      </c>
      <c r="M603" s="10">
        <v>246</v>
      </c>
      <c r="N603" s="10">
        <v>40223</v>
      </c>
      <c r="O603" s="10">
        <v>19291</v>
      </c>
      <c r="P603" s="10">
        <v>59514</v>
      </c>
    </row>
    <row r="604" spans="1:16" ht="27" customHeight="1" x14ac:dyDescent="0.2">
      <c r="A604" s="9" t="s">
        <v>1682</v>
      </c>
      <c r="B604" s="10" t="s">
        <v>2023</v>
      </c>
      <c r="C604" s="11" t="s">
        <v>2203</v>
      </c>
      <c r="D604" s="11" t="s">
        <v>2204</v>
      </c>
      <c r="E604" s="11" t="s">
        <v>26</v>
      </c>
      <c r="F604" s="11" t="s">
        <v>2205</v>
      </c>
      <c r="G604" s="11" t="s">
        <v>28</v>
      </c>
      <c r="H604" s="11" t="s">
        <v>2205</v>
      </c>
      <c r="I604" s="11" t="s">
        <v>2206</v>
      </c>
      <c r="J604" s="12">
        <v>0.85529999999999995</v>
      </c>
      <c r="K604" s="13">
        <v>1</v>
      </c>
      <c r="L604" s="14">
        <v>532</v>
      </c>
      <c r="M604" s="10">
        <v>455</v>
      </c>
      <c r="N604" s="10">
        <v>58787</v>
      </c>
      <c r="O604" s="10">
        <v>35681</v>
      </c>
      <c r="P604" s="10">
        <v>94468</v>
      </c>
    </row>
    <row r="605" spans="1:16" ht="27" customHeight="1" x14ac:dyDescent="0.2">
      <c r="A605" s="9" t="s">
        <v>1682</v>
      </c>
      <c r="B605" s="10" t="s">
        <v>2023</v>
      </c>
      <c r="C605" s="11" t="s">
        <v>2207</v>
      </c>
      <c r="D605" s="11" t="s">
        <v>2208</v>
      </c>
      <c r="E605" s="11" t="s">
        <v>26</v>
      </c>
      <c r="F605" s="11" t="s">
        <v>2209</v>
      </c>
      <c r="G605" s="11" t="s">
        <v>28</v>
      </c>
      <c r="H605" s="11" t="s">
        <v>1685</v>
      </c>
      <c r="I605" s="11" t="s">
        <v>1686</v>
      </c>
      <c r="J605" s="12">
        <v>1</v>
      </c>
      <c r="K605" s="13">
        <v>1</v>
      </c>
      <c r="L605" s="14">
        <v>139</v>
      </c>
      <c r="M605" s="10">
        <v>69</v>
      </c>
      <c r="N605" s="10">
        <v>15360</v>
      </c>
      <c r="O605" s="10">
        <v>5411</v>
      </c>
      <c r="P605" s="10">
        <v>20771</v>
      </c>
    </row>
    <row r="606" spans="1:16" ht="27" customHeight="1" x14ac:dyDescent="0.2">
      <c r="A606" s="9" t="s">
        <v>1682</v>
      </c>
      <c r="B606" s="10" t="s">
        <v>2023</v>
      </c>
      <c r="C606" s="11" t="s">
        <v>2210</v>
      </c>
      <c r="D606" s="11" t="s">
        <v>2211</v>
      </c>
      <c r="E606" s="11" t="s">
        <v>26</v>
      </c>
      <c r="F606" s="11" t="s">
        <v>2212</v>
      </c>
      <c r="G606" s="11" t="s">
        <v>28</v>
      </c>
      <c r="H606" s="11" t="s">
        <v>2212</v>
      </c>
      <c r="I606" s="11" t="s">
        <v>2213</v>
      </c>
      <c r="J606" s="12">
        <v>0.9385</v>
      </c>
      <c r="K606" s="13">
        <v>1</v>
      </c>
      <c r="L606" s="14">
        <v>260</v>
      </c>
      <c r="M606" s="10">
        <v>244</v>
      </c>
      <c r="N606" s="10">
        <v>28730</v>
      </c>
      <c r="O606" s="10">
        <v>19134</v>
      </c>
      <c r="P606" s="10">
        <v>47864</v>
      </c>
    </row>
    <row r="607" spans="1:16" ht="27" customHeight="1" x14ac:dyDescent="0.2">
      <c r="A607" s="9" t="s">
        <v>1682</v>
      </c>
      <c r="B607" s="10" t="s">
        <v>2023</v>
      </c>
      <c r="C607" s="11" t="s">
        <v>2214</v>
      </c>
      <c r="D607" s="11" t="s">
        <v>2215</v>
      </c>
      <c r="E607" s="11" t="s">
        <v>26</v>
      </c>
      <c r="F607" s="11" t="s">
        <v>2216</v>
      </c>
      <c r="G607" s="11" t="s">
        <v>28</v>
      </c>
      <c r="H607" s="11" t="s">
        <v>1685</v>
      </c>
      <c r="I607" s="11" t="s">
        <v>1686</v>
      </c>
      <c r="J607" s="12">
        <v>1</v>
      </c>
      <c r="K607" s="13">
        <v>1</v>
      </c>
      <c r="L607" s="14">
        <v>191</v>
      </c>
      <c r="M607" s="10">
        <v>99</v>
      </c>
      <c r="N607" s="10">
        <v>21106</v>
      </c>
      <c r="O607" s="10">
        <v>7763</v>
      </c>
      <c r="P607" s="10">
        <v>28869</v>
      </c>
    </row>
    <row r="608" spans="1:16" ht="27" customHeight="1" x14ac:dyDescent="0.2">
      <c r="A608" s="9" t="s">
        <v>1682</v>
      </c>
      <c r="B608" s="10" t="s">
        <v>2023</v>
      </c>
      <c r="C608" s="11" t="s">
        <v>2217</v>
      </c>
      <c r="D608" s="11" t="s">
        <v>2218</v>
      </c>
      <c r="E608" s="11" t="s">
        <v>26</v>
      </c>
      <c r="F608" s="11" t="s">
        <v>2219</v>
      </c>
      <c r="G608" s="11" t="s">
        <v>28</v>
      </c>
      <c r="H608" s="11" t="s">
        <v>1685</v>
      </c>
      <c r="I608" s="11" t="s">
        <v>1686</v>
      </c>
      <c r="J608" s="12">
        <v>1</v>
      </c>
      <c r="K608" s="13">
        <v>1</v>
      </c>
      <c r="L608" s="14">
        <v>209</v>
      </c>
      <c r="M608" s="10">
        <v>200</v>
      </c>
      <c r="N608" s="10">
        <v>23095</v>
      </c>
      <c r="O608" s="10">
        <v>15684</v>
      </c>
      <c r="P608" s="10">
        <v>38779</v>
      </c>
    </row>
    <row r="609" spans="1:16" ht="27" customHeight="1" x14ac:dyDescent="0.2">
      <c r="A609" s="9" t="s">
        <v>1682</v>
      </c>
      <c r="B609" s="10" t="s">
        <v>2023</v>
      </c>
      <c r="C609" s="11" t="s">
        <v>2220</v>
      </c>
      <c r="D609" s="11" t="s">
        <v>2221</v>
      </c>
      <c r="E609" s="11" t="s">
        <v>26</v>
      </c>
      <c r="F609" s="11" t="s">
        <v>2222</v>
      </c>
      <c r="G609" s="11" t="s">
        <v>28</v>
      </c>
      <c r="H609" s="11" t="s">
        <v>1685</v>
      </c>
      <c r="I609" s="11" t="s">
        <v>1686</v>
      </c>
      <c r="J609" s="12">
        <v>1</v>
      </c>
      <c r="K609" s="13">
        <v>1</v>
      </c>
      <c r="L609" s="14">
        <v>462</v>
      </c>
      <c r="M609" s="10">
        <v>439</v>
      </c>
      <c r="N609" s="10">
        <v>51052</v>
      </c>
      <c r="O609" s="10">
        <v>34426</v>
      </c>
      <c r="P609" s="10">
        <v>85478</v>
      </c>
    </row>
    <row r="610" spans="1:16" ht="27" customHeight="1" x14ac:dyDescent="0.2">
      <c r="A610" s="9" t="s">
        <v>1682</v>
      </c>
      <c r="B610" s="10" t="s">
        <v>2023</v>
      </c>
      <c r="C610" s="11" t="s">
        <v>2223</v>
      </c>
      <c r="D610" s="11" t="s">
        <v>2224</v>
      </c>
      <c r="E610" s="11" t="s">
        <v>57</v>
      </c>
      <c r="F610" s="11" t="s">
        <v>2225</v>
      </c>
      <c r="G610" s="11" t="s">
        <v>28</v>
      </c>
      <c r="H610" s="11" t="s">
        <v>2225</v>
      </c>
      <c r="I610" s="11" t="s">
        <v>2226</v>
      </c>
      <c r="J610" s="12">
        <v>0.72060000000000002</v>
      </c>
      <c r="K610" s="13">
        <v>1</v>
      </c>
      <c r="L610" s="14">
        <v>204</v>
      </c>
      <c r="M610" s="10">
        <v>147</v>
      </c>
      <c r="N610" s="10">
        <v>22542</v>
      </c>
      <c r="O610" s="10">
        <v>11528</v>
      </c>
      <c r="P610" s="10">
        <v>34070</v>
      </c>
    </row>
    <row r="611" spans="1:16" ht="27" customHeight="1" x14ac:dyDescent="0.2">
      <c r="A611" s="9" t="s">
        <v>1682</v>
      </c>
      <c r="B611" s="10" t="s">
        <v>2023</v>
      </c>
      <c r="C611" s="11" t="s">
        <v>2227</v>
      </c>
      <c r="D611" s="11" t="s">
        <v>2228</v>
      </c>
      <c r="E611" s="11" t="s">
        <v>26</v>
      </c>
      <c r="F611" s="11" t="s">
        <v>2229</v>
      </c>
      <c r="G611" s="11" t="s">
        <v>28</v>
      </c>
      <c r="H611" s="11" t="s">
        <v>1685</v>
      </c>
      <c r="I611" s="11" t="s">
        <v>1686</v>
      </c>
      <c r="J611" s="12">
        <v>1</v>
      </c>
      <c r="K611" s="13">
        <v>1</v>
      </c>
      <c r="L611" s="14">
        <v>497</v>
      </c>
      <c r="M611" s="10">
        <v>480</v>
      </c>
      <c r="N611" s="10">
        <v>54919</v>
      </c>
      <c r="O611" s="10">
        <v>37641</v>
      </c>
      <c r="P611" s="10">
        <v>92560</v>
      </c>
    </row>
    <row r="612" spans="1:16" ht="27" customHeight="1" x14ac:dyDescent="0.2">
      <c r="A612" s="9" t="s">
        <v>1682</v>
      </c>
      <c r="B612" s="10" t="s">
        <v>2023</v>
      </c>
      <c r="C612" s="11" t="s">
        <v>2230</v>
      </c>
      <c r="D612" s="11" t="s">
        <v>2231</v>
      </c>
      <c r="E612" s="11" t="s">
        <v>26</v>
      </c>
      <c r="F612" s="11" t="s">
        <v>2232</v>
      </c>
      <c r="G612" s="11" t="s">
        <v>28</v>
      </c>
      <c r="H612" s="11" t="s">
        <v>1685</v>
      </c>
      <c r="I612" s="11" t="s">
        <v>1686</v>
      </c>
      <c r="J612" s="12">
        <v>1</v>
      </c>
      <c r="K612" s="13">
        <v>1</v>
      </c>
      <c r="L612" s="14">
        <v>339</v>
      </c>
      <c r="M612" s="10">
        <v>303</v>
      </c>
      <c r="N612" s="10">
        <v>37460</v>
      </c>
      <c r="O612" s="10">
        <v>23761</v>
      </c>
      <c r="P612" s="10">
        <v>61221</v>
      </c>
    </row>
    <row r="613" spans="1:16" ht="27" customHeight="1" x14ac:dyDescent="0.2">
      <c r="A613" s="9" t="s">
        <v>1682</v>
      </c>
      <c r="B613" s="10" t="s">
        <v>2023</v>
      </c>
      <c r="C613" s="11" t="s">
        <v>2233</v>
      </c>
      <c r="D613" s="11" t="s">
        <v>2234</v>
      </c>
      <c r="E613" s="11" t="s">
        <v>26</v>
      </c>
      <c r="F613" s="11" t="s">
        <v>2235</v>
      </c>
      <c r="G613" s="11" t="s">
        <v>28</v>
      </c>
      <c r="H613" s="11" t="s">
        <v>1685</v>
      </c>
      <c r="I613" s="11" t="s">
        <v>1686</v>
      </c>
      <c r="J613" s="12">
        <v>1</v>
      </c>
      <c r="K613" s="13">
        <v>1</v>
      </c>
      <c r="L613" s="14">
        <v>329</v>
      </c>
      <c r="M613" s="10">
        <v>291</v>
      </c>
      <c r="N613" s="10">
        <v>36355</v>
      </c>
      <c r="O613" s="10">
        <v>22820</v>
      </c>
      <c r="P613" s="10">
        <v>59175</v>
      </c>
    </row>
    <row r="614" spans="1:16" ht="27" customHeight="1" x14ac:dyDescent="0.2">
      <c r="A614" s="9" t="s">
        <v>1682</v>
      </c>
      <c r="B614" s="10" t="s">
        <v>2023</v>
      </c>
      <c r="C614" s="11" t="s">
        <v>2236</v>
      </c>
      <c r="D614" s="11" t="s">
        <v>2237</v>
      </c>
      <c r="E614" s="11" t="s">
        <v>26</v>
      </c>
      <c r="F614" s="11" t="s">
        <v>2238</v>
      </c>
      <c r="G614" s="11" t="s">
        <v>28</v>
      </c>
      <c r="H614" s="11" t="s">
        <v>2238</v>
      </c>
      <c r="I614" s="11" t="s">
        <v>2239</v>
      </c>
      <c r="J614" s="12">
        <v>0.96079999999999999</v>
      </c>
      <c r="K614" s="13">
        <v>1</v>
      </c>
      <c r="L614" s="14">
        <v>102</v>
      </c>
      <c r="M614" s="10">
        <v>98</v>
      </c>
      <c r="N614" s="10">
        <v>11271</v>
      </c>
      <c r="O614" s="10">
        <v>7685</v>
      </c>
      <c r="P614" s="10">
        <v>18956</v>
      </c>
    </row>
    <row r="615" spans="1:16" ht="27" customHeight="1" x14ac:dyDescent="0.2">
      <c r="A615" s="9" t="s">
        <v>1682</v>
      </c>
      <c r="B615" s="10" t="s">
        <v>2023</v>
      </c>
      <c r="C615" s="11" t="s">
        <v>2240</v>
      </c>
      <c r="D615" s="11" t="s">
        <v>2241</v>
      </c>
      <c r="E615" s="11" t="s">
        <v>26</v>
      </c>
      <c r="F615" s="11" t="s">
        <v>2242</v>
      </c>
      <c r="G615" s="11" t="s">
        <v>28</v>
      </c>
      <c r="H615" s="11" t="s">
        <v>1685</v>
      </c>
      <c r="I615" s="11" t="s">
        <v>1686</v>
      </c>
      <c r="J615" s="12">
        <v>1</v>
      </c>
      <c r="K615" s="13">
        <v>1</v>
      </c>
      <c r="L615" s="14">
        <v>91</v>
      </c>
      <c r="M615" s="10">
        <v>85</v>
      </c>
      <c r="N615" s="10">
        <v>10056</v>
      </c>
      <c r="O615" s="10">
        <v>6666</v>
      </c>
      <c r="P615" s="10">
        <v>16722</v>
      </c>
    </row>
    <row r="616" spans="1:16" ht="27" customHeight="1" x14ac:dyDescent="0.2">
      <c r="A616" s="9" t="s">
        <v>1682</v>
      </c>
      <c r="B616" s="10" t="s">
        <v>2023</v>
      </c>
      <c r="C616" s="11" t="s">
        <v>2243</v>
      </c>
      <c r="D616" s="11" t="s">
        <v>2244</v>
      </c>
      <c r="E616" s="11" t="s">
        <v>26</v>
      </c>
      <c r="F616" s="11" t="s">
        <v>2245</v>
      </c>
      <c r="G616" s="11" t="s">
        <v>28</v>
      </c>
      <c r="H616" s="11" t="s">
        <v>2245</v>
      </c>
      <c r="I616" s="11" t="s">
        <v>2246</v>
      </c>
      <c r="J616" s="12">
        <v>0.80989999999999995</v>
      </c>
      <c r="K616" s="13">
        <v>1</v>
      </c>
      <c r="L616" s="14">
        <v>263</v>
      </c>
      <c r="M616" s="10">
        <v>213</v>
      </c>
      <c r="N616" s="10">
        <v>29062</v>
      </c>
      <c r="O616" s="10">
        <v>16703</v>
      </c>
      <c r="P616" s="10">
        <v>45765</v>
      </c>
    </row>
    <row r="617" spans="1:16" ht="27" customHeight="1" x14ac:dyDescent="0.2">
      <c r="A617" s="9" t="s">
        <v>1682</v>
      </c>
      <c r="B617" s="10" t="s">
        <v>2023</v>
      </c>
      <c r="C617" s="11" t="s">
        <v>2247</v>
      </c>
      <c r="D617" s="11" t="s">
        <v>2248</v>
      </c>
      <c r="E617" s="11" t="s">
        <v>26</v>
      </c>
      <c r="F617" s="11" t="s">
        <v>2249</v>
      </c>
      <c r="G617" s="11" t="s">
        <v>28</v>
      </c>
      <c r="H617" s="11" t="s">
        <v>1685</v>
      </c>
      <c r="I617" s="11" t="s">
        <v>1686</v>
      </c>
      <c r="J617" s="12">
        <v>1</v>
      </c>
      <c r="K617" s="13">
        <v>1</v>
      </c>
      <c r="L617" s="14">
        <v>298</v>
      </c>
      <c r="M617" s="10">
        <v>264</v>
      </c>
      <c r="N617" s="10">
        <v>32929</v>
      </c>
      <c r="O617" s="10">
        <v>20703</v>
      </c>
      <c r="P617" s="10">
        <v>53632</v>
      </c>
    </row>
    <row r="618" spans="1:16" ht="27" customHeight="1" x14ac:dyDescent="0.2">
      <c r="A618" s="9" t="s">
        <v>1682</v>
      </c>
      <c r="B618" s="10" t="s">
        <v>2023</v>
      </c>
      <c r="C618" s="11" t="s">
        <v>2250</v>
      </c>
      <c r="D618" s="11" t="s">
        <v>2251</v>
      </c>
      <c r="E618" s="11" t="s">
        <v>26</v>
      </c>
      <c r="F618" s="11" t="s">
        <v>2252</v>
      </c>
      <c r="G618" s="11" t="s">
        <v>28</v>
      </c>
      <c r="H618" s="11" t="s">
        <v>1685</v>
      </c>
      <c r="I618" s="11" t="s">
        <v>1686</v>
      </c>
      <c r="J618" s="12">
        <v>1</v>
      </c>
      <c r="K618" s="13">
        <v>1</v>
      </c>
      <c r="L618" s="14">
        <v>447</v>
      </c>
      <c r="M618" s="10">
        <v>445</v>
      </c>
      <c r="N618" s="10">
        <v>49394</v>
      </c>
      <c r="O618" s="10">
        <v>34896</v>
      </c>
      <c r="P618" s="10">
        <v>84290</v>
      </c>
    </row>
    <row r="619" spans="1:16" ht="27" customHeight="1" x14ac:dyDescent="0.2">
      <c r="A619" s="9" t="s">
        <v>1682</v>
      </c>
      <c r="B619" s="10" t="s">
        <v>2023</v>
      </c>
      <c r="C619" s="11" t="s">
        <v>2253</v>
      </c>
      <c r="D619" s="11" t="s">
        <v>2254</v>
      </c>
      <c r="E619" s="11" t="s">
        <v>26</v>
      </c>
      <c r="F619" s="11" t="s">
        <v>2255</v>
      </c>
      <c r="G619" s="11" t="s">
        <v>28</v>
      </c>
      <c r="H619" s="11" t="s">
        <v>2255</v>
      </c>
      <c r="I619" s="11" t="s">
        <v>2256</v>
      </c>
      <c r="J619" s="12">
        <v>0.79139999999999999</v>
      </c>
      <c r="K619" s="13">
        <v>1</v>
      </c>
      <c r="L619" s="14">
        <v>561</v>
      </c>
      <c r="M619" s="10">
        <v>444</v>
      </c>
      <c r="N619" s="10">
        <v>61991</v>
      </c>
      <c r="O619" s="10">
        <v>34818</v>
      </c>
      <c r="P619" s="10">
        <v>96809</v>
      </c>
    </row>
    <row r="620" spans="1:16" ht="27" customHeight="1" x14ac:dyDescent="0.2">
      <c r="A620" s="9" t="s">
        <v>1682</v>
      </c>
      <c r="B620" s="10" t="s">
        <v>2023</v>
      </c>
      <c r="C620" s="11" t="s">
        <v>2257</v>
      </c>
      <c r="D620" s="11" t="s">
        <v>2258</v>
      </c>
      <c r="E620" s="11" t="s">
        <v>26</v>
      </c>
      <c r="F620" s="11" t="s">
        <v>2259</v>
      </c>
      <c r="G620" s="11" t="s">
        <v>28</v>
      </c>
      <c r="H620" s="11" t="s">
        <v>1685</v>
      </c>
      <c r="I620" s="11" t="s">
        <v>1686</v>
      </c>
      <c r="J620" s="12">
        <v>1</v>
      </c>
      <c r="K620" s="13">
        <v>1</v>
      </c>
      <c r="L620" s="14">
        <v>151</v>
      </c>
      <c r="M620" s="10">
        <v>126</v>
      </c>
      <c r="N620" s="10">
        <v>16686</v>
      </c>
      <c r="O620" s="10">
        <v>9881</v>
      </c>
      <c r="P620" s="10">
        <v>26567</v>
      </c>
    </row>
    <row r="621" spans="1:16" ht="27" customHeight="1" x14ac:dyDescent="0.2">
      <c r="A621" s="9" t="s">
        <v>1682</v>
      </c>
      <c r="B621" s="10" t="s">
        <v>2023</v>
      </c>
      <c r="C621" s="11" t="s">
        <v>2260</v>
      </c>
      <c r="D621" s="11" t="s">
        <v>2261</v>
      </c>
      <c r="E621" s="11" t="s">
        <v>26</v>
      </c>
      <c r="F621" s="11" t="s">
        <v>2262</v>
      </c>
      <c r="G621" s="11" t="s">
        <v>28</v>
      </c>
      <c r="H621" s="11" t="s">
        <v>2262</v>
      </c>
      <c r="I621" s="11" t="s">
        <v>2263</v>
      </c>
      <c r="J621" s="12">
        <v>0.97609999999999997</v>
      </c>
      <c r="K621" s="13">
        <v>1</v>
      </c>
      <c r="L621" s="14">
        <v>293</v>
      </c>
      <c r="M621" s="10">
        <v>286</v>
      </c>
      <c r="N621" s="10">
        <v>32377</v>
      </c>
      <c r="O621" s="10">
        <v>22428</v>
      </c>
      <c r="P621" s="10">
        <v>54805</v>
      </c>
    </row>
    <row r="622" spans="1:16" ht="27" customHeight="1" x14ac:dyDescent="0.2">
      <c r="A622" s="9" t="s">
        <v>1682</v>
      </c>
      <c r="B622" s="10" t="s">
        <v>2023</v>
      </c>
      <c r="C622" s="11" t="s">
        <v>2264</v>
      </c>
      <c r="D622" s="11" t="s">
        <v>2265</v>
      </c>
      <c r="E622" s="11" t="s">
        <v>26</v>
      </c>
      <c r="F622" s="11" t="s">
        <v>2266</v>
      </c>
      <c r="G622" s="11" t="s">
        <v>28</v>
      </c>
      <c r="H622" s="11" t="s">
        <v>2266</v>
      </c>
      <c r="I622" s="11" t="s">
        <v>2267</v>
      </c>
      <c r="J622" s="12">
        <v>0.97989999999999999</v>
      </c>
      <c r="K622" s="13">
        <v>1</v>
      </c>
      <c r="L622" s="14">
        <v>249</v>
      </c>
      <c r="M622" s="10">
        <v>244</v>
      </c>
      <c r="N622" s="10">
        <v>27515</v>
      </c>
      <c r="O622" s="10">
        <v>19134</v>
      </c>
      <c r="P622" s="10">
        <v>46649</v>
      </c>
    </row>
    <row r="623" spans="1:16" ht="27" customHeight="1" x14ac:dyDescent="0.2">
      <c r="A623" s="9" t="s">
        <v>1682</v>
      </c>
      <c r="B623" s="10" t="s">
        <v>2023</v>
      </c>
      <c r="C623" s="11" t="s">
        <v>2268</v>
      </c>
      <c r="D623" s="11" t="s">
        <v>2269</v>
      </c>
      <c r="E623" s="11" t="s">
        <v>26</v>
      </c>
      <c r="F623" s="11" t="s">
        <v>2270</v>
      </c>
      <c r="G623" s="11" t="s">
        <v>28</v>
      </c>
      <c r="H623" s="11" t="s">
        <v>2270</v>
      </c>
      <c r="I623" s="11" t="s">
        <v>2271</v>
      </c>
      <c r="J623" s="12">
        <v>0.22650000000000001</v>
      </c>
      <c r="K623" s="13">
        <v>1</v>
      </c>
      <c r="L623" s="14">
        <v>393</v>
      </c>
      <c r="M623" s="10">
        <v>89</v>
      </c>
      <c r="N623" s="10">
        <v>43427</v>
      </c>
      <c r="O623" s="10">
        <v>6979</v>
      </c>
      <c r="P623" s="10">
        <v>50406</v>
      </c>
    </row>
    <row r="624" spans="1:16" ht="27" customHeight="1" x14ac:dyDescent="0.2">
      <c r="A624" s="9" t="s">
        <v>1682</v>
      </c>
      <c r="B624" s="10" t="s">
        <v>2023</v>
      </c>
      <c r="C624" s="11" t="s">
        <v>2272</v>
      </c>
      <c r="D624" s="11" t="s">
        <v>2273</v>
      </c>
      <c r="E624" s="11" t="s">
        <v>26</v>
      </c>
      <c r="F624" s="11" t="s">
        <v>2274</v>
      </c>
      <c r="G624" s="11" t="s">
        <v>28</v>
      </c>
      <c r="H624" s="11" t="s">
        <v>1685</v>
      </c>
      <c r="I624" s="11" t="s">
        <v>1686</v>
      </c>
      <c r="J624" s="12">
        <v>1</v>
      </c>
      <c r="K624" s="13">
        <v>1</v>
      </c>
      <c r="L624" s="14">
        <v>1256</v>
      </c>
      <c r="M624" s="10">
        <v>1172</v>
      </c>
      <c r="N624" s="10">
        <v>138790</v>
      </c>
      <c r="O624" s="10">
        <v>91907</v>
      </c>
      <c r="P624" s="10">
        <v>230697</v>
      </c>
    </row>
    <row r="625" spans="1:16" ht="27" customHeight="1" x14ac:dyDescent="0.2">
      <c r="A625" s="9" t="s">
        <v>1682</v>
      </c>
      <c r="B625" s="10" t="s">
        <v>2023</v>
      </c>
      <c r="C625" s="11" t="s">
        <v>2275</v>
      </c>
      <c r="D625" s="11" t="s">
        <v>2276</v>
      </c>
      <c r="E625" s="11" t="s">
        <v>26</v>
      </c>
      <c r="F625" s="11" t="s">
        <v>2277</v>
      </c>
      <c r="G625" s="11" t="s">
        <v>28</v>
      </c>
      <c r="H625" s="11" t="s">
        <v>2277</v>
      </c>
      <c r="I625" s="11" t="s">
        <v>2278</v>
      </c>
      <c r="J625" s="12">
        <v>0.91610000000000003</v>
      </c>
      <c r="K625" s="13">
        <v>1</v>
      </c>
      <c r="L625" s="14">
        <v>453</v>
      </c>
      <c r="M625" s="10">
        <v>415</v>
      </c>
      <c r="N625" s="10">
        <v>50057</v>
      </c>
      <c r="O625" s="10">
        <v>32544</v>
      </c>
      <c r="P625" s="10">
        <v>82601</v>
      </c>
    </row>
    <row r="626" spans="1:16" ht="27" customHeight="1" x14ac:dyDescent="0.2">
      <c r="A626" s="9" t="s">
        <v>1682</v>
      </c>
      <c r="B626" s="10" t="s">
        <v>2023</v>
      </c>
      <c r="C626" s="11" t="s">
        <v>2279</v>
      </c>
      <c r="D626" s="11" t="s">
        <v>2280</v>
      </c>
      <c r="E626" s="11" t="s">
        <v>26</v>
      </c>
      <c r="F626" s="11" t="s">
        <v>2281</v>
      </c>
      <c r="G626" s="11" t="s">
        <v>28</v>
      </c>
      <c r="H626" s="11" t="s">
        <v>2281</v>
      </c>
      <c r="I626" s="11" t="s">
        <v>2282</v>
      </c>
      <c r="J626" s="12">
        <v>0.96020000000000005</v>
      </c>
      <c r="K626" s="13">
        <v>1</v>
      </c>
      <c r="L626" s="14">
        <v>528</v>
      </c>
      <c r="M626" s="10">
        <v>507</v>
      </c>
      <c r="N626" s="10">
        <v>58345</v>
      </c>
      <c r="O626" s="10">
        <v>39758</v>
      </c>
      <c r="P626" s="10">
        <v>98103</v>
      </c>
    </row>
    <row r="627" spans="1:16" ht="27" customHeight="1" x14ac:dyDescent="0.2">
      <c r="A627" s="9" t="s">
        <v>1682</v>
      </c>
      <c r="B627" s="10" t="s">
        <v>2023</v>
      </c>
      <c r="C627" s="11" t="s">
        <v>2283</v>
      </c>
      <c r="D627" s="11" t="s">
        <v>2284</v>
      </c>
      <c r="E627" s="11" t="s">
        <v>26</v>
      </c>
      <c r="F627" s="11" t="s">
        <v>2285</v>
      </c>
      <c r="G627" s="11" t="s">
        <v>28</v>
      </c>
      <c r="H627" s="11" t="s">
        <v>1685</v>
      </c>
      <c r="I627" s="11" t="s">
        <v>1686</v>
      </c>
      <c r="J627" s="12">
        <v>1</v>
      </c>
      <c r="K627" s="13">
        <v>1</v>
      </c>
      <c r="L627" s="14">
        <v>510</v>
      </c>
      <c r="M627" s="10">
        <v>487</v>
      </c>
      <c r="N627" s="10">
        <v>56356</v>
      </c>
      <c r="O627" s="10">
        <v>38190</v>
      </c>
      <c r="P627" s="10">
        <v>94546</v>
      </c>
    </row>
    <row r="628" spans="1:16" ht="27" customHeight="1" x14ac:dyDescent="0.2">
      <c r="A628" s="9" t="s">
        <v>1682</v>
      </c>
      <c r="B628" s="10" t="s">
        <v>2023</v>
      </c>
      <c r="C628" s="11" t="s">
        <v>2286</v>
      </c>
      <c r="D628" s="11" t="s">
        <v>2287</v>
      </c>
      <c r="E628" s="11" t="s">
        <v>26</v>
      </c>
      <c r="F628" s="11" t="s">
        <v>2288</v>
      </c>
      <c r="G628" s="11" t="s">
        <v>28</v>
      </c>
      <c r="H628" s="11" t="s">
        <v>1685</v>
      </c>
      <c r="I628" s="11" t="s">
        <v>1686</v>
      </c>
      <c r="J628" s="12">
        <v>1</v>
      </c>
      <c r="K628" s="13">
        <v>1</v>
      </c>
      <c r="L628" s="14">
        <v>460</v>
      </c>
      <c r="M628" s="10">
        <v>455</v>
      </c>
      <c r="N628" s="10">
        <v>50831</v>
      </c>
      <c r="O628" s="10">
        <v>35681</v>
      </c>
      <c r="P628" s="10">
        <v>86512</v>
      </c>
    </row>
    <row r="629" spans="1:16" ht="27" customHeight="1" x14ac:dyDescent="0.2">
      <c r="A629" s="9" t="s">
        <v>1682</v>
      </c>
      <c r="B629" s="10" t="s">
        <v>2023</v>
      </c>
      <c r="C629" s="11" t="s">
        <v>2289</v>
      </c>
      <c r="D629" s="11" t="s">
        <v>2290</v>
      </c>
      <c r="E629" s="11" t="s">
        <v>26</v>
      </c>
      <c r="F629" s="11" t="s">
        <v>2291</v>
      </c>
      <c r="G629" s="11" t="s">
        <v>28</v>
      </c>
      <c r="H629" s="11" t="s">
        <v>2291</v>
      </c>
      <c r="I629" s="11" t="s">
        <v>2292</v>
      </c>
      <c r="J629" s="12">
        <v>0.63529999999999998</v>
      </c>
      <c r="K629" s="13">
        <v>1</v>
      </c>
      <c r="L629" s="14">
        <v>255</v>
      </c>
      <c r="M629" s="10">
        <v>162</v>
      </c>
      <c r="N629" s="10">
        <v>28178</v>
      </c>
      <c r="O629" s="10">
        <v>12704</v>
      </c>
      <c r="P629" s="10">
        <v>40882</v>
      </c>
    </row>
    <row r="630" spans="1:16" ht="27" customHeight="1" x14ac:dyDescent="0.2">
      <c r="A630" s="9" t="s">
        <v>1682</v>
      </c>
      <c r="B630" s="10" t="s">
        <v>2023</v>
      </c>
      <c r="C630" s="11" t="s">
        <v>2293</v>
      </c>
      <c r="D630" s="11" t="s">
        <v>2294</v>
      </c>
      <c r="E630" s="11" t="s">
        <v>26</v>
      </c>
      <c r="F630" s="11" t="s">
        <v>2295</v>
      </c>
      <c r="G630" s="11" t="s">
        <v>28</v>
      </c>
      <c r="H630" s="11" t="s">
        <v>2295</v>
      </c>
      <c r="I630" s="11" t="s">
        <v>2296</v>
      </c>
      <c r="J630" s="12">
        <v>0.92720000000000002</v>
      </c>
      <c r="K630" s="13">
        <v>1</v>
      </c>
      <c r="L630" s="14">
        <v>453</v>
      </c>
      <c r="M630" s="10">
        <v>420</v>
      </c>
      <c r="N630" s="10">
        <v>50057</v>
      </c>
      <c r="O630" s="10">
        <v>32936</v>
      </c>
      <c r="P630" s="10">
        <v>82993</v>
      </c>
    </row>
    <row r="631" spans="1:16" ht="27" customHeight="1" x14ac:dyDescent="0.2">
      <c r="A631" s="9" t="s">
        <v>1682</v>
      </c>
      <c r="B631" s="10" t="s">
        <v>2023</v>
      </c>
      <c r="C631" s="11" t="s">
        <v>2297</v>
      </c>
      <c r="D631" s="11" t="s">
        <v>2298</v>
      </c>
      <c r="E631" s="11" t="s">
        <v>26</v>
      </c>
      <c r="F631" s="11" t="s">
        <v>2299</v>
      </c>
      <c r="G631" s="11" t="s">
        <v>28</v>
      </c>
      <c r="H631" s="11" t="s">
        <v>2299</v>
      </c>
      <c r="I631" s="11" t="s">
        <v>2300</v>
      </c>
      <c r="J631" s="12">
        <v>0.71430000000000005</v>
      </c>
      <c r="K631" s="13">
        <v>1</v>
      </c>
      <c r="L631" s="14">
        <v>315</v>
      </c>
      <c r="M631" s="10">
        <v>225</v>
      </c>
      <c r="N631" s="10">
        <v>34808</v>
      </c>
      <c r="O631" s="10">
        <v>17644</v>
      </c>
      <c r="P631" s="10">
        <v>52452</v>
      </c>
    </row>
    <row r="632" spans="1:16" ht="27" customHeight="1" x14ac:dyDescent="0.2">
      <c r="A632" s="9" t="s">
        <v>1682</v>
      </c>
      <c r="B632" s="10" t="s">
        <v>2023</v>
      </c>
      <c r="C632" s="11" t="s">
        <v>2301</v>
      </c>
      <c r="D632" s="11" t="s">
        <v>2302</v>
      </c>
      <c r="E632" s="11" t="s">
        <v>26</v>
      </c>
      <c r="F632" s="11" t="s">
        <v>2303</v>
      </c>
      <c r="G632" s="11" t="s">
        <v>28</v>
      </c>
      <c r="H632" s="11" t="s">
        <v>1685</v>
      </c>
      <c r="I632" s="11" t="s">
        <v>1686</v>
      </c>
      <c r="J632" s="12">
        <v>1</v>
      </c>
      <c r="K632" s="13">
        <v>1</v>
      </c>
      <c r="L632" s="14">
        <v>399</v>
      </c>
      <c r="M632" s="10">
        <v>392</v>
      </c>
      <c r="N632" s="10">
        <v>44090</v>
      </c>
      <c r="O632" s="10">
        <v>30740</v>
      </c>
      <c r="P632" s="10">
        <v>74830</v>
      </c>
    </row>
    <row r="633" spans="1:16" ht="27" customHeight="1" x14ac:dyDescent="0.2">
      <c r="A633" s="9" t="s">
        <v>1682</v>
      </c>
      <c r="B633" s="10" t="s">
        <v>2023</v>
      </c>
      <c r="C633" s="11" t="s">
        <v>2304</v>
      </c>
      <c r="D633" s="11" t="s">
        <v>2305</v>
      </c>
      <c r="E633" s="11" t="s">
        <v>26</v>
      </c>
      <c r="F633" s="11" t="s">
        <v>2306</v>
      </c>
      <c r="G633" s="11" t="s">
        <v>28</v>
      </c>
      <c r="H633" s="11" t="s">
        <v>2306</v>
      </c>
      <c r="I633" s="11" t="s">
        <v>2307</v>
      </c>
      <c r="J633" s="12">
        <v>0.76619999999999999</v>
      </c>
      <c r="K633" s="13">
        <v>1</v>
      </c>
      <c r="L633" s="14">
        <v>325</v>
      </c>
      <c r="M633" s="10">
        <v>249</v>
      </c>
      <c r="N633" s="10">
        <v>35913</v>
      </c>
      <c r="O633" s="10">
        <v>19526</v>
      </c>
      <c r="P633" s="10">
        <v>55439</v>
      </c>
    </row>
    <row r="634" spans="1:16" ht="27" customHeight="1" x14ac:dyDescent="0.2">
      <c r="A634" s="9" t="s">
        <v>1682</v>
      </c>
      <c r="B634" s="10" t="s">
        <v>2023</v>
      </c>
      <c r="C634" s="11" t="s">
        <v>2308</v>
      </c>
      <c r="D634" s="11" t="s">
        <v>2309</v>
      </c>
      <c r="E634" s="11" t="s">
        <v>26</v>
      </c>
      <c r="F634" s="11" t="s">
        <v>2310</v>
      </c>
      <c r="G634" s="11" t="s">
        <v>28</v>
      </c>
      <c r="H634" s="11" t="s">
        <v>2310</v>
      </c>
      <c r="I634" s="11" t="s">
        <v>2311</v>
      </c>
      <c r="J634" s="12">
        <v>0.87829999999999997</v>
      </c>
      <c r="K634" s="13">
        <v>1</v>
      </c>
      <c r="L634" s="14">
        <v>304</v>
      </c>
      <c r="M634" s="10">
        <v>267</v>
      </c>
      <c r="N634" s="10">
        <v>33593</v>
      </c>
      <c r="O634" s="10">
        <v>20938</v>
      </c>
      <c r="P634" s="10">
        <v>54531</v>
      </c>
    </row>
    <row r="635" spans="1:16" ht="27" customHeight="1" x14ac:dyDescent="0.2">
      <c r="A635" s="9" t="s">
        <v>1682</v>
      </c>
      <c r="B635" s="10" t="s">
        <v>2023</v>
      </c>
      <c r="C635" s="11" t="s">
        <v>2312</v>
      </c>
      <c r="D635" s="11" t="s">
        <v>2313</v>
      </c>
      <c r="E635" s="11" t="s">
        <v>26</v>
      </c>
      <c r="F635" s="11" t="s">
        <v>2314</v>
      </c>
      <c r="G635" s="11" t="s">
        <v>28</v>
      </c>
      <c r="H635" s="11" t="s">
        <v>1685</v>
      </c>
      <c r="I635" s="11" t="s">
        <v>1686</v>
      </c>
      <c r="J635" s="12">
        <v>1</v>
      </c>
      <c r="K635" s="13">
        <v>1</v>
      </c>
      <c r="L635" s="14">
        <v>507</v>
      </c>
      <c r="M635" s="10">
        <v>491</v>
      </c>
      <c r="N635" s="10">
        <v>56024</v>
      </c>
      <c r="O635" s="10">
        <v>38504</v>
      </c>
      <c r="P635" s="10">
        <v>94528</v>
      </c>
    </row>
    <row r="636" spans="1:16" ht="27" customHeight="1" x14ac:dyDescent="0.2">
      <c r="A636" s="9" t="s">
        <v>1682</v>
      </c>
      <c r="B636" s="10" t="s">
        <v>2023</v>
      </c>
      <c r="C636" s="11" t="s">
        <v>2315</v>
      </c>
      <c r="D636" s="11" t="s">
        <v>2316</v>
      </c>
      <c r="E636" s="11" t="s">
        <v>26</v>
      </c>
      <c r="F636" s="11" t="s">
        <v>2317</v>
      </c>
      <c r="G636" s="11" t="s">
        <v>28</v>
      </c>
      <c r="H636" s="11" t="s">
        <v>1685</v>
      </c>
      <c r="I636" s="11" t="s">
        <v>1686</v>
      </c>
      <c r="J636" s="12">
        <v>1</v>
      </c>
      <c r="K636" s="13">
        <v>1</v>
      </c>
      <c r="L636" s="14">
        <v>205</v>
      </c>
      <c r="M636" s="10">
        <v>200</v>
      </c>
      <c r="N636" s="10">
        <v>22653</v>
      </c>
      <c r="O636" s="10">
        <v>15684</v>
      </c>
      <c r="P636" s="10">
        <v>38337</v>
      </c>
    </row>
    <row r="637" spans="1:16" ht="27" customHeight="1" x14ac:dyDescent="0.2">
      <c r="A637" s="9" t="s">
        <v>1682</v>
      </c>
      <c r="B637" s="10" t="s">
        <v>2023</v>
      </c>
      <c r="C637" s="11" t="s">
        <v>2318</v>
      </c>
      <c r="D637" s="11" t="s">
        <v>2319</v>
      </c>
      <c r="E637" s="11" t="s">
        <v>26</v>
      </c>
      <c r="F637" s="11" t="s">
        <v>2320</v>
      </c>
      <c r="G637" s="11" t="s">
        <v>28</v>
      </c>
      <c r="H637" s="11" t="s">
        <v>2320</v>
      </c>
      <c r="I637" s="11" t="s">
        <v>2321</v>
      </c>
      <c r="J637" s="12">
        <v>0.97699999999999998</v>
      </c>
      <c r="K637" s="13">
        <v>1</v>
      </c>
      <c r="L637" s="14">
        <v>564</v>
      </c>
      <c r="M637" s="10">
        <v>551</v>
      </c>
      <c r="N637" s="10">
        <v>62323</v>
      </c>
      <c r="O637" s="10">
        <v>43209</v>
      </c>
      <c r="P637" s="10">
        <v>105532</v>
      </c>
    </row>
    <row r="638" spans="1:16" ht="27" customHeight="1" x14ac:dyDescent="0.2">
      <c r="A638" s="9" t="s">
        <v>1682</v>
      </c>
      <c r="B638" s="10" t="s">
        <v>2023</v>
      </c>
      <c r="C638" s="11" t="s">
        <v>2322</v>
      </c>
      <c r="D638" s="11" t="s">
        <v>2323</v>
      </c>
      <c r="E638" s="11" t="s">
        <v>26</v>
      </c>
      <c r="F638" s="11" t="s">
        <v>2324</v>
      </c>
      <c r="G638" s="11" t="s">
        <v>28</v>
      </c>
      <c r="H638" s="11" t="s">
        <v>2324</v>
      </c>
      <c r="I638" s="11" t="s">
        <v>2325</v>
      </c>
      <c r="J638" s="12">
        <v>0.91920000000000002</v>
      </c>
      <c r="K638" s="13">
        <v>1</v>
      </c>
      <c r="L638" s="14">
        <v>1077</v>
      </c>
      <c r="M638" s="10">
        <v>990</v>
      </c>
      <c r="N638" s="10">
        <v>119010</v>
      </c>
      <c r="O638" s="10">
        <v>77635</v>
      </c>
      <c r="P638" s="10">
        <v>196645</v>
      </c>
    </row>
    <row r="639" spans="1:16" ht="27" customHeight="1" x14ac:dyDescent="0.2">
      <c r="A639" s="9" t="s">
        <v>1682</v>
      </c>
      <c r="B639" s="10" t="s">
        <v>2023</v>
      </c>
      <c r="C639" s="11" t="s">
        <v>2326</v>
      </c>
      <c r="D639" s="11" t="s">
        <v>2327</v>
      </c>
      <c r="E639" s="11" t="s">
        <v>26</v>
      </c>
      <c r="F639" s="11" t="s">
        <v>2328</v>
      </c>
      <c r="G639" s="11" t="s">
        <v>28</v>
      </c>
      <c r="H639" s="11" t="s">
        <v>1685</v>
      </c>
      <c r="I639" s="11" t="s">
        <v>1686</v>
      </c>
      <c r="J639" s="12">
        <v>1</v>
      </c>
      <c r="K639" s="13">
        <v>1</v>
      </c>
      <c r="L639" s="14">
        <v>431</v>
      </c>
      <c r="M639" s="10">
        <v>409</v>
      </c>
      <c r="N639" s="10">
        <v>47626</v>
      </c>
      <c r="O639" s="10">
        <v>32073</v>
      </c>
      <c r="P639" s="10">
        <v>79699</v>
      </c>
    </row>
    <row r="640" spans="1:16" ht="27" customHeight="1" x14ac:dyDescent="0.2">
      <c r="A640" s="9" t="s">
        <v>1682</v>
      </c>
      <c r="B640" s="10" t="s">
        <v>2023</v>
      </c>
      <c r="C640" s="11" t="s">
        <v>2329</v>
      </c>
      <c r="D640" s="11" t="s">
        <v>2330</v>
      </c>
      <c r="E640" s="11" t="s">
        <v>26</v>
      </c>
      <c r="F640" s="11" t="s">
        <v>2331</v>
      </c>
      <c r="G640" s="11" t="s">
        <v>28</v>
      </c>
      <c r="H640" s="11" t="s">
        <v>1685</v>
      </c>
      <c r="I640" s="11" t="s">
        <v>1686</v>
      </c>
      <c r="J640" s="12">
        <v>1</v>
      </c>
      <c r="K640" s="13">
        <v>1</v>
      </c>
      <c r="L640" s="14">
        <v>403</v>
      </c>
      <c r="M640" s="10">
        <v>395</v>
      </c>
      <c r="N640" s="10">
        <v>44532</v>
      </c>
      <c r="O640" s="10">
        <v>30975</v>
      </c>
      <c r="P640" s="10">
        <v>75507</v>
      </c>
    </row>
    <row r="641" spans="1:16" ht="27" customHeight="1" x14ac:dyDescent="0.2">
      <c r="A641" s="9" t="s">
        <v>1682</v>
      </c>
      <c r="B641" s="10" t="s">
        <v>2023</v>
      </c>
      <c r="C641" s="11" t="s">
        <v>2332</v>
      </c>
      <c r="D641" s="11" t="s">
        <v>2333</v>
      </c>
      <c r="E641" s="11" t="s">
        <v>26</v>
      </c>
      <c r="F641" s="11" t="s">
        <v>2334</v>
      </c>
      <c r="G641" s="11" t="s">
        <v>28</v>
      </c>
      <c r="H641" s="11" t="s">
        <v>1685</v>
      </c>
      <c r="I641" s="11" t="s">
        <v>1686</v>
      </c>
      <c r="J641" s="12">
        <v>1</v>
      </c>
      <c r="K641" s="13">
        <v>1</v>
      </c>
      <c r="L641" s="14">
        <v>491</v>
      </c>
      <c r="M641" s="10">
        <v>480</v>
      </c>
      <c r="N641" s="10">
        <v>54256</v>
      </c>
      <c r="O641" s="10">
        <v>37641</v>
      </c>
      <c r="P641" s="10">
        <v>91897</v>
      </c>
    </row>
    <row r="642" spans="1:16" ht="27" customHeight="1" x14ac:dyDescent="0.2">
      <c r="A642" s="9" t="s">
        <v>1682</v>
      </c>
      <c r="B642" s="10" t="s">
        <v>2023</v>
      </c>
      <c r="C642" s="11" t="s">
        <v>2335</v>
      </c>
      <c r="D642" s="11" t="s">
        <v>2336</v>
      </c>
      <c r="E642" s="11" t="s">
        <v>26</v>
      </c>
      <c r="F642" s="11" t="s">
        <v>2337</v>
      </c>
      <c r="G642" s="11" t="s">
        <v>28</v>
      </c>
      <c r="H642" s="11" t="s">
        <v>2337</v>
      </c>
      <c r="I642" s="11" t="s">
        <v>2338</v>
      </c>
      <c r="J642" s="12">
        <v>0.49070000000000003</v>
      </c>
      <c r="K642" s="13">
        <v>1</v>
      </c>
      <c r="L642" s="14">
        <v>428</v>
      </c>
      <c r="M642" s="10">
        <v>210</v>
      </c>
      <c r="N642" s="10">
        <v>47295</v>
      </c>
      <c r="O642" s="10">
        <v>16468</v>
      </c>
      <c r="P642" s="10">
        <v>63763</v>
      </c>
    </row>
    <row r="643" spans="1:16" ht="27" customHeight="1" x14ac:dyDescent="0.2">
      <c r="A643" s="9" t="s">
        <v>1682</v>
      </c>
      <c r="B643" s="10" t="s">
        <v>2023</v>
      </c>
      <c r="C643" s="11" t="s">
        <v>2339</v>
      </c>
      <c r="D643" s="11" t="s">
        <v>2340</v>
      </c>
      <c r="E643" s="11" t="s">
        <v>26</v>
      </c>
      <c r="F643" s="11" t="s">
        <v>2341</v>
      </c>
      <c r="G643" s="11" t="s">
        <v>28</v>
      </c>
      <c r="H643" s="11" t="s">
        <v>2341</v>
      </c>
      <c r="I643" s="11" t="s">
        <v>2342</v>
      </c>
      <c r="J643" s="12">
        <v>0.93610000000000004</v>
      </c>
      <c r="K643" s="13">
        <v>1</v>
      </c>
      <c r="L643" s="14">
        <v>736</v>
      </c>
      <c r="M643" s="10">
        <v>689</v>
      </c>
      <c r="N643" s="10">
        <v>81329</v>
      </c>
      <c r="O643" s="10">
        <v>54031</v>
      </c>
      <c r="P643" s="10">
        <v>135360</v>
      </c>
    </row>
    <row r="644" spans="1:16" ht="27" customHeight="1" x14ac:dyDescent="0.2">
      <c r="A644" s="9" t="s">
        <v>1682</v>
      </c>
      <c r="B644" s="10" t="s">
        <v>2023</v>
      </c>
      <c r="C644" s="11" t="s">
        <v>2343</v>
      </c>
      <c r="D644" s="11" t="s">
        <v>2344</v>
      </c>
      <c r="E644" s="11" t="s">
        <v>26</v>
      </c>
      <c r="F644" s="11" t="s">
        <v>2345</v>
      </c>
      <c r="G644" s="11" t="s">
        <v>28</v>
      </c>
      <c r="H644" s="11" t="s">
        <v>1685</v>
      </c>
      <c r="I644" s="11" t="s">
        <v>1686</v>
      </c>
      <c r="J644" s="12">
        <v>1</v>
      </c>
      <c r="K644" s="13">
        <v>1</v>
      </c>
      <c r="L644" s="14">
        <v>432</v>
      </c>
      <c r="M644" s="10">
        <v>398</v>
      </c>
      <c r="N644" s="10">
        <v>47737</v>
      </c>
      <c r="O644" s="10">
        <v>31211</v>
      </c>
      <c r="P644" s="10">
        <v>78948</v>
      </c>
    </row>
    <row r="645" spans="1:16" ht="27" customHeight="1" x14ac:dyDescent="0.2">
      <c r="A645" s="9" t="s">
        <v>1682</v>
      </c>
      <c r="B645" s="10" t="s">
        <v>2023</v>
      </c>
      <c r="C645" s="11" t="s">
        <v>2346</v>
      </c>
      <c r="D645" s="11" t="s">
        <v>2347</v>
      </c>
      <c r="E645" s="11" t="s">
        <v>26</v>
      </c>
      <c r="F645" s="11" t="s">
        <v>2348</v>
      </c>
      <c r="G645" s="11" t="s">
        <v>28</v>
      </c>
      <c r="H645" s="11" t="s">
        <v>2348</v>
      </c>
      <c r="I645" s="11" t="s">
        <v>2349</v>
      </c>
      <c r="J645" s="12">
        <v>0.7611</v>
      </c>
      <c r="K645" s="13">
        <v>1</v>
      </c>
      <c r="L645" s="14">
        <v>339</v>
      </c>
      <c r="M645" s="10">
        <v>258</v>
      </c>
      <c r="N645" s="10">
        <v>37460</v>
      </c>
      <c r="O645" s="10">
        <v>20232</v>
      </c>
      <c r="P645" s="10">
        <v>57692</v>
      </c>
    </row>
    <row r="646" spans="1:16" ht="27" customHeight="1" x14ac:dyDescent="0.2">
      <c r="A646" s="9" t="s">
        <v>1682</v>
      </c>
      <c r="B646" s="10" t="s">
        <v>2023</v>
      </c>
      <c r="C646" s="11" t="s">
        <v>2350</v>
      </c>
      <c r="D646" s="11" t="s">
        <v>2351</v>
      </c>
      <c r="E646" s="11" t="s">
        <v>26</v>
      </c>
      <c r="F646" s="11" t="s">
        <v>2352</v>
      </c>
      <c r="G646" s="11" t="s">
        <v>28</v>
      </c>
      <c r="H646" s="11" t="s">
        <v>2352</v>
      </c>
      <c r="I646" s="11" t="s">
        <v>2353</v>
      </c>
      <c r="J646" s="12">
        <v>0.82489999999999997</v>
      </c>
      <c r="K646" s="13">
        <v>1</v>
      </c>
      <c r="L646" s="14">
        <v>337</v>
      </c>
      <c r="M646" s="10">
        <v>278</v>
      </c>
      <c r="N646" s="10">
        <v>37239</v>
      </c>
      <c r="O646" s="10">
        <v>21800</v>
      </c>
      <c r="P646" s="10">
        <v>59039</v>
      </c>
    </row>
    <row r="647" spans="1:16" ht="27" customHeight="1" x14ac:dyDescent="0.2">
      <c r="A647" s="9" t="s">
        <v>1682</v>
      </c>
      <c r="B647" s="10" t="s">
        <v>2023</v>
      </c>
      <c r="C647" s="11" t="s">
        <v>2354</v>
      </c>
      <c r="D647" s="11" t="s">
        <v>2355</v>
      </c>
      <c r="E647" s="11" t="s">
        <v>26</v>
      </c>
      <c r="F647" s="11" t="s">
        <v>2356</v>
      </c>
      <c r="G647" s="11" t="s">
        <v>28</v>
      </c>
      <c r="H647" s="11" t="s">
        <v>2356</v>
      </c>
      <c r="I647" s="11" t="s">
        <v>2357</v>
      </c>
      <c r="J647" s="12">
        <v>0.86880000000000002</v>
      </c>
      <c r="K647" s="13">
        <v>1</v>
      </c>
      <c r="L647" s="14">
        <v>161</v>
      </c>
      <c r="M647" s="10">
        <v>140</v>
      </c>
      <c r="N647" s="10">
        <v>17791</v>
      </c>
      <c r="O647" s="10">
        <v>10979</v>
      </c>
      <c r="P647" s="10">
        <v>28770</v>
      </c>
    </row>
    <row r="648" spans="1:16" ht="27" customHeight="1" x14ac:dyDescent="0.2">
      <c r="A648" s="9" t="s">
        <v>1682</v>
      </c>
      <c r="B648" s="10" t="s">
        <v>2023</v>
      </c>
      <c r="C648" s="11" t="s">
        <v>2358</v>
      </c>
      <c r="D648" s="11" t="s">
        <v>2359</v>
      </c>
      <c r="E648" s="11" t="s">
        <v>26</v>
      </c>
      <c r="F648" s="11" t="s">
        <v>2360</v>
      </c>
      <c r="G648" s="11" t="s">
        <v>28</v>
      </c>
      <c r="H648" s="11" t="s">
        <v>2360</v>
      </c>
      <c r="I648" s="11" t="s">
        <v>2361</v>
      </c>
      <c r="J648" s="12">
        <v>0.77600000000000002</v>
      </c>
      <c r="K648" s="13">
        <v>1</v>
      </c>
      <c r="L648" s="14">
        <v>375</v>
      </c>
      <c r="M648" s="10">
        <v>291</v>
      </c>
      <c r="N648" s="10">
        <v>41438</v>
      </c>
      <c r="O648" s="10">
        <v>22820</v>
      </c>
      <c r="P648" s="10">
        <v>64258</v>
      </c>
    </row>
    <row r="649" spans="1:16" ht="27" customHeight="1" x14ac:dyDescent="0.2">
      <c r="A649" s="9" t="s">
        <v>1682</v>
      </c>
      <c r="B649" s="10" t="s">
        <v>2023</v>
      </c>
      <c r="C649" s="11" t="s">
        <v>2362</v>
      </c>
      <c r="D649" s="11" t="s">
        <v>2363</v>
      </c>
      <c r="E649" s="11" t="s">
        <v>26</v>
      </c>
      <c r="F649" s="11" t="s">
        <v>2364</v>
      </c>
      <c r="G649" s="11" t="s">
        <v>28</v>
      </c>
      <c r="H649" s="11" t="s">
        <v>2364</v>
      </c>
      <c r="I649" s="11" t="s">
        <v>2365</v>
      </c>
      <c r="J649" s="12">
        <v>0.87619999999999998</v>
      </c>
      <c r="K649" s="13">
        <v>1</v>
      </c>
      <c r="L649" s="14">
        <v>517</v>
      </c>
      <c r="M649" s="10">
        <v>453</v>
      </c>
      <c r="N649" s="10">
        <v>57129</v>
      </c>
      <c r="O649" s="10">
        <v>35524</v>
      </c>
      <c r="P649" s="10">
        <v>92653</v>
      </c>
    </row>
    <row r="650" spans="1:16" ht="27" customHeight="1" x14ac:dyDescent="0.2">
      <c r="A650" s="9" t="s">
        <v>1682</v>
      </c>
      <c r="B650" s="10" t="s">
        <v>2023</v>
      </c>
      <c r="C650" s="11" t="s">
        <v>2366</v>
      </c>
      <c r="D650" s="11" t="s">
        <v>2367</v>
      </c>
      <c r="E650" s="11" t="s">
        <v>26</v>
      </c>
      <c r="F650" s="11" t="s">
        <v>2368</v>
      </c>
      <c r="G650" s="11" t="s">
        <v>28</v>
      </c>
      <c r="H650" s="11" t="s">
        <v>1685</v>
      </c>
      <c r="I650" s="11" t="s">
        <v>1686</v>
      </c>
      <c r="J650" s="12">
        <v>1</v>
      </c>
      <c r="K650" s="13">
        <v>1</v>
      </c>
      <c r="L650" s="14">
        <v>354</v>
      </c>
      <c r="M650" s="10">
        <v>330</v>
      </c>
      <c r="N650" s="10">
        <v>39118</v>
      </c>
      <c r="O650" s="10">
        <v>25878</v>
      </c>
      <c r="P650" s="10">
        <v>64996</v>
      </c>
    </row>
    <row r="651" spans="1:16" ht="27" customHeight="1" x14ac:dyDescent="0.2">
      <c r="A651" s="9" t="s">
        <v>1682</v>
      </c>
      <c r="B651" s="10" t="s">
        <v>2023</v>
      </c>
      <c r="C651" s="11" t="s">
        <v>2369</v>
      </c>
      <c r="D651" s="11" t="s">
        <v>2370</v>
      </c>
      <c r="E651" s="11" t="s">
        <v>26</v>
      </c>
      <c r="F651" s="11" t="s">
        <v>2371</v>
      </c>
      <c r="G651" s="11" t="s">
        <v>28</v>
      </c>
      <c r="H651" s="11" t="s">
        <v>1685</v>
      </c>
      <c r="I651" s="11" t="s">
        <v>1686</v>
      </c>
      <c r="J651" s="12">
        <v>1</v>
      </c>
      <c r="K651" s="13">
        <v>1</v>
      </c>
      <c r="L651" s="14">
        <v>384</v>
      </c>
      <c r="M651" s="10">
        <v>310</v>
      </c>
      <c r="N651" s="10">
        <v>42433</v>
      </c>
      <c r="O651" s="10">
        <v>24310</v>
      </c>
      <c r="P651" s="10">
        <v>66743</v>
      </c>
    </row>
    <row r="652" spans="1:16" ht="27" customHeight="1" x14ac:dyDescent="0.2">
      <c r="A652" s="9" t="s">
        <v>1682</v>
      </c>
      <c r="B652" s="10" t="s">
        <v>2023</v>
      </c>
      <c r="C652" s="11" t="s">
        <v>2372</v>
      </c>
      <c r="D652" s="11" t="s">
        <v>2373</v>
      </c>
      <c r="E652" s="11" t="s">
        <v>26</v>
      </c>
      <c r="F652" s="11" t="s">
        <v>2374</v>
      </c>
      <c r="G652" s="11" t="s">
        <v>28</v>
      </c>
      <c r="H652" s="11" t="s">
        <v>2374</v>
      </c>
      <c r="I652" s="11" t="s">
        <v>2375</v>
      </c>
      <c r="J652" s="12">
        <v>0.40350000000000003</v>
      </c>
      <c r="K652" s="13">
        <v>1</v>
      </c>
      <c r="L652" s="14">
        <v>285</v>
      </c>
      <c r="M652" s="10">
        <v>115</v>
      </c>
      <c r="N652" s="10">
        <v>31493</v>
      </c>
      <c r="O652" s="10">
        <v>9018</v>
      </c>
      <c r="P652" s="10">
        <v>40511</v>
      </c>
    </row>
    <row r="653" spans="1:16" ht="27" customHeight="1" x14ac:dyDescent="0.2">
      <c r="A653" s="9" t="s">
        <v>1682</v>
      </c>
      <c r="B653" s="10" t="s">
        <v>2023</v>
      </c>
      <c r="C653" s="11" t="s">
        <v>2376</v>
      </c>
      <c r="D653" s="11" t="s">
        <v>2377</v>
      </c>
      <c r="E653" s="11" t="s">
        <v>26</v>
      </c>
      <c r="F653" s="11" t="s">
        <v>2378</v>
      </c>
      <c r="G653" s="11" t="s">
        <v>28</v>
      </c>
      <c r="H653" s="11" t="s">
        <v>1685</v>
      </c>
      <c r="I653" s="11" t="s">
        <v>1686</v>
      </c>
      <c r="J653" s="12">
        <v>1</v>
      </c>
      <c r="K653" s="13">
        <v>1</v>
      </c>
      <c r="L653" s="14">
        <v>228</v>
      </c>
      <c r="M653" s="10">
        <v>156</v>
      </c>
      <c r="N653" s="10">
        <v>25194</v>
      </c>
      <c r="O653" s="10">
        <v>12233</v>
      </c>
      <c r="P653" s="10">
        <v>37427</v>
      </c>
    </row>
    <row r="654" spans="1:16" ht="27" customHeight="1" x14ac:dyDescent="0.2">
      <c r="A654" s="9" t="s">
        <v>1682</v>
      </c>
      <c r="B654" s="10" t="s">
        <v>2023</v>
      </c>
      <c r="C654" s="11" t="s">
        <v>2379</v>
      </c>
      <c r="D654" s="11" t="s">
        <v>2380</v>
      </c>
      <c r="E654" s="11" t="s">
        <v>26</v>
      </c>
      <c r="F654" s="11" t="s">
        <v>2381</v>
      </c>
      <c r="G654" s="11" t="s">
        <v>28</v>
      </c>
      <c r="H654" s="11" t="s">
        <v>2381</v>
      </c>
      <c r="I654" s="11" t="s">
        <v>2382</v>
      </c>
      <c r="J654" s="12">
        <v>0.90580000000000005</v>
      </c>
      <c r="K654" s="13">
        <v>1</v>
      </c>
      <c r="L654" s="14">
        <v>669</v>
      </c>
      <c r="M654" s="10">
        <v>606</v>
      </c>
      <c r="N654" s="10">
        <v>73926</v>
      </c>
      <c r="O654" s="10">
        <v>47522</v>
      </c>
      <c r="P654" s="10">
        <v>121448</v>
      </c>
    </row>
    <row r="655" spans="1:16" ht="27" customHeight="1" x14ac:dyDescent="0.2">
      <c r="A655" s="9" t="s">
        <v>1682</v>
      </c>
      <c r="B655" s="10" t="s">
        <v>2023</v>
      </c>
      <c r="C655" s="11" t="s">
        <v>2383</v>
      </c>
      <c r="D655" s="11" t="s">
        <v>2384</v>
      </c>
      <c r="E655" s="11" t="s">
        <v>26</v>
      </c>
      <c r="F655" s="11" t="s">
        <v>2385</v>
      </c>
      <c r="G655" s="11" t="s">
        <v>28</v>
      </c>
      <c r="H655" s="11" t="s">
        <v>1685</v>
      </c>
      <c r="I655" s="11" t="s">
        <v>1686</v>
      </c>
      <c r="J655" s="12">
        <v>1</v>
      </c>
      <c r="K655" s="13">
        <v>1</v>
      </c>
      <c r="L655" s="14">
        <v>307</v>
      </c>
      <c r="M655" s="10">
        <v>294</v>
      </c>
      <c r="N655" s="10">
        <v>33924</v>
      </c>
      <c r="O655" s="10">
        <v>23055</v>
      </c>
      <c r="P655" s="10">
        <v>56979</v>
      </c>
    </row>
    <row r="656" spans="1:16" ht="27" customHeight="1" x14ac:dyDescent="0.2">
      <c r="A656" s="9" t="s">
        <v>1682</v>
      </c>
      <c r="B656" s="10" t="s">
        <v>2023</v>
      </c>
      <c r="C656" s="11" t="s">
        <v>2386</v>
      </c>
      <c r="D656" s="11" t="s">
        <v>2387</v>
      </c>
      <c r="E656" s="11" t="s">
        <v>26</v>
      </c>
      <c r="F656" s="11" t="s">
        <v>2388</v>
      </c>
      <c r="G656" s="11" t="s">
        <v>28</v>
      </c>
      <c r="H656" s="11" t="s">
        <v>1685</v>
      </c>
      <c r="I656" s="11" t="s">
        <v>1686</v>
      </c>
      <c r="J656" s="12">
        <v>1</v>
      </c>
      <c r="K656" s="13">
        <v>1</v>
      </c>
      <c r="L656" s="14">
        <v>477</v>
      </c>
      <c r="M656" s="10">
        <v>465</v>
      </c>
      <c r="N656" s="10">
        <v>52709</v>
      </c>
      <c r="O656" s="10">
        <v>36465</v>
      </c>
      <c r="P656" s="10">
        <v>89174</v>
      </c>
    </row>
    <row r="657" spans="1:16" ht="27" customHeight="1" x14ac:dyDescent="0.2">
      <c r="A657" s="9" t="s">
        <v>1682</v>
      </c>
      <c r="B657" s="10" t="s">
        <v>2023</v>
      </c>
      <c r="C657" s="11" t="s">
        <v>2389</v>
      </c>
      <c r="D657" s="11" t="s">
        <v>2390</v>
      </c>
      <c r="E657" s="11" t="s">
        <v>26</v>
      </c>
      <c r="F657" s="11" t="s">
        <v>2391</v>
      </c>
      <c r="G657" s="11" t="s">
        <v>28</v>
      </c>
      <c r="H657" s="11" t="s">
        <v>2391</v>
      </c>
      <c r="I657" s="11" t="s">
        <v>2392</v>
      </c>
      <c r="J657" s="12">
        <v>0.64939999999999998</v>
      </c>
      <c r="K657" s="13">
        <v>1</v>
      </c>
      <c r="L657" s="14">
        <v>385</v>
      </c>
      <c r="M657" s="10">
        <v>250</v>
      </c>
      <c r="N657" s="10">
        <v>42543</v>
      </c>
      <c r="O657" s="10">
        <v>19605</v>
      </c>
      <c r="P657" s="10">
        <v>62148</v>
      </c>
    </row>
    <row r="658" spans="1:16" ht="27" customHeight="1" x14ac:dyDescent="0.2">
      <c r="A658" s="9" t="s">
        <v>1682</v>
      </c>
      <c r="B658" s="10" t="s">
        <v>2023</v>
      </c>
      <c r="C658" s="11" t="s">
        <v>2393</v>
      </c>
      <c r="D658" s="11" t="s">
        <v>2394</v>
      </c>
      <c r="E658" s="11" t="s">
        <v>26</v>
      </c>
      <c r="F658" s="11" t="s">
        <v>2395</v>
      </c>
      <c r="G658" s="11" t="s">
        <v>28</v>
      </c>
      <c r="H658" s="11" t="s">
        <v>2395</v>
      </c>
      <c r="I658" s="11" t="s">
        <v>2396</v>
      </c>
      <c r="J658" s="12">
        <v>0.82540000000000002</v>
      </c>
      <c r="K658" s="13">
        <v>1</v>
      </c>
      <c r="L658" s="14">
        <v>355</v>
      </c>
      <c r="M658" s="10">
        <v>293</v>
      </c>
      <c r="N658" s="10">
        <v>39228</v>
      </c>
      <c r="O658" s="10">
        <v>22977</v>
      </c>
      <c r="P658" s="10">
        <v>62205</v>
      </c>
    </row>
    <row r="659" spans="1:16" ht="27" customHeight="1" x14ac:dyDescent="0.2">
      <c r="A659" s="9" t="s">
        <v>1682</v>
      </c>
      <c r="B659" s="10" t="s">
        <v>2023</v>
      </c>
      <c r="C659" s="11" t="s">
        <v>2397</v>
      </c>
      <c r="D659" s="11" t="s">
        <v>2398</v>
      </c>
      <c r="E659" s="11" t="s">
        <v>26</v>
      </c>
      <c r="F659" s="11" t="s">
        <v>2399</v>
      </c>
      <c r="G659" s="11" t="s">
        <v>28</v>
      </c>
      <c r="H659" s="11" t="s">
        <v>2399</v>
      </c>
      <c r="I659" s="11" t="s">
        <v>2400</v>
      </c>
      <c r="J659" s="12">
        <v>0.83220000000000005</v>
      </c>
      <c r="K659" s="13">
        <v>1</v>
      </c>
      <c r="L659" s="14">
        <v>298</v>
      </c>
      <c r="M659" s="10">
        <v>248</v>
      </c>
      <c r="N659" s="10">
        <v>32929</v>
      </c>
      <c r="O659" s="10">
        <v>19448</v>
      </c>
      <c r="P659" s="10">
        <v>52377</v>
      </c>
    </row>
    <row r="660" spans="1:16" ht="27" customHeight="1" x14ac:dyDescent="0.2">
      <c r="A660" s="9" t="s">
        <v>1682</v>
      </c>
      <c r="B660" s="10" t="s">
        <v>2023</v>
      </c>
      <c r="C660" s="11" t="s">
        <v>2401</v>
      </c>
      <c r="D660" s="11" t="s">
        <v>2402</v>
      </c>
      <c r="E660" s="11" t="s">
        <v>26</v>
      </c>
      <c r="F660" s="11" t="s">
        <v>2403</v>
      </c>
      <c r="G660" s="11" t="s">
        <v>28</v>
      </c>
      <c r="H660" s="11" t="s">
        <v>1685</v>
      </c>
      <c r="I660" s="11" t="s">
        <v>1686</v>
      </c>
      <c r="J660" s="12">
        <v>1</v>
      </c>
      <c r="K660" s="13">
        <v>1</v>
      </c>
      <c r="L660" s="14">
        <v>306</v>
      </c>
      <c r="M660" s="10">
        <v>290</v>
      </c>
      <c r="N660" s="10">
        <v>33814</v>
      </c>
      <c r="O660" s="10">
        <v>22742</v>
      </c>
      <c r="P660" s="10">
        <v>56556</v>
      </c>
    </row>
    <row r="661" spans="1:16" ht="27" customHeight="1" x14ac:dyDescent="0.2">
      <c r="A661" s="9" t="s">
        <v>1682</v>
      </c>
      <c r="B661" s="10" t="s">
        <v>2023</v>
      </c>
      <c r="C661" s="11" t="s">
        <v>2404</v>
      </c>
      <c r="D661" s="11" t="s">
        <v>2405</v>
      </c>
      <c r="E661" s="11" t="s">
        <v>26</v>
      </c>
      <c r="F661" s="11" t="s">
        <v>2406</v>
      </c>
      <c r="G661" s="11" t="s">
        <v>28</v>
      </c>
      <c r="H661" s="11" t="s">
        <v>1685</v>
      </c>
      <c r="I661" s="11" t="s">
        <v>1686</v>
      </c>
      <c r="J661" s="12">
        <v>1</v>
      </c>
      <c r="K661" s="13">
        <v>1</v>
      </c>
      <c r="L661" s="14">
        <v>518</v>
      </c>
      <c r="M661" s="10">
        <v>503</v>
      </c>
      <c r="N661" s="10">
        <v>57240</v>
      </c>
      <c r="O661" s="10">
        <v>39445</v>
      </c>
      <c r="P661" s="10">
        <v>96685</v>
      </c>
    </row>
    <row r="662" spans="1:16" ht="27" customHeight="1" x14ac:dyDescent="0.2">
      <c r="A662" s="9" t="s">
        <v>1682</v>
      </c>
      <c r="B662" s="10" t="s">
        <v>2023</v>
      </c>
      <c r="C662" s="11" t="s">
        <v>2407</v>
      </c>
      <c r="D662" s="11" t="s">
        <v>2408</v>
      </c>
      <c r="E662" s="11" t="s">
        <v>26</v>
      </c>
      <c r="F662" s="11" t="s">
        <v>2409</v>
      </c>
      <c r="G662" s="11" t="s">
        <v>28</v>
      </c>
      <c r="H662" s="11" t="s">
        <v>1685</v>
      </c>
      <c r="I662" s="11" t="s">
        <v>1686</v>
      </c>
      <c r="J662" s="12">
        <v>1</v>
      </c>
      <c r="K662" s="13">
        <v>1</v>
      </c>
      <c r="L662" s="14">
        <v>917</v>
      </c>
      <c r="M662" s="10">
        <v>867</v>
      </c>
      <c r="N662" s="10">
        <v>101330</v>
      </c>
      <c r="O662" s="10">
        <v>67989</v>
      </c>
      <c r="P662" s="10">
        <v>169319</v>
      </c>
    </row>
    <row r="663" spans="1:16" ht="27" customHeight="1" x14ac:dyDescent="0.2">
      <c r="A663" s="9" t="s">
        <v>1682</v>
      </c>
      <c r="B663" s="10" t="s">
        <v>2023</v>
      </c>
      <c r="C663" s="11" t="s">
        <v>2410</v>
      </c>
      <c r="D663" s="11" t="s">
        <v>2411</v>
      </c>
      <c r="E663" s="11" t="s">
        <v>26</v>
      </c>
      <c r="F663" s="11" t="s">
        <v>2412</v>
      </c>
      <c r="G663" s="11" t="s">
        <v>28</v>
      </c>
      <c r="H663" s="11" t="s">
        <v>2412</v>
      </c>
      <c r="I663" s="11" t="s">
        <v>2413</v>
      </c>
      <c r="J663" s="12">
        <v>0.96230000000000004</v>
      </c>
      <c r="K663" s="13">
        <v>1</v>
      </c>
      <c r="L663" s="14">
        <v>345</v>
      </c>
      <c r="M663" s="10">
        <v>332</v>
      </c>
      <c r="N663" s="10">
        <v>38123</v>
      </c>
      <c r="O663" s="10">
        <v>26035</v>
      </c>
      <c r="P663" s="10">
        <v>64158</v>
      </c>
    </row>
    <row r="664" spans="1:16" ht="27" customHeight="1" x14ac:dyDescent="0.2">
      <c r="A664" s="9" t="s">
        <v>1682</v>
      </c>
      <c r="B664" s="10" t="s">
        <v>2023</v>
      </c>
      <c r="C664" s="11" t="s">
        <v>2414</v>
      </c>
      <c r="D664" s="11" t="s">
        <v>2415</v>
      </c>
      <c r="E664" s="11" t="s">
        <v>26</v>
      </c>
      <c r="F664" s="11" t="s">
        <v>2416</v>
      </c>
      <c r="G664" s="11" t="s">
        <v>28</v>
      </c>
      <c r="H664" s="11" t="s">
        <v>1685</v>
      </c>
      <c r="I664" s="11" t="s">
        <v>1686</v>
      </c>
      <c r="J664" s="12">
        <v>1</v>
      </c>
      <c r="K664" s="13">
        <v>1</v>
      </c>
      <c r="L664" s="14">
        <v>339</v>
      </c>
      <c r="M664" s="10">
        <v>316</v>
      </c>
      <c r="N664" s="10">
        <v>37460</v>
      </c>
      <c r="O664" s="10">
        <v>24780</v>
      </c>
      <c r="P664" s="10">
        <v>62240</v>
      </c>
    </row>
    <row r="665" spans="1:16" ht="27" customHeight="1" x14ac:dyDescent="0.2">
      <c r="A665" s="9" t="s">
        <v>1682</v>
      </c>
      <c r="B665" s="10" t="s">
        <v>2023</v>
      </c>
      <c r="C665" s="11" t="s">
        <v>2417</v>
      </c>
      <c r="D665" s="11" t="s">
        <v>2418</v>
      </c>
      <c r="E665" s="11" t="s">
        <v>26</v>
      </c>
      <c r="F665" s="11" t="s">
        <v>2419</v>
      </c>
      <c r="G665" s="11" t="s">
        <v>28</v>
      </c>
      <c r="H665" s="11" t="s">
        <v>1685</v>
      </c>
      <c r="I665" s="11" t="s">
        <v>1686</v>
      </c>
      <c r="J665" s="12">
        <v>1</v>
      </c>
      <c r="K665" s="13">
        <v>1</v>
      </c>
      <c r="L665" s="14">
        <v>543</v>
      </c>
      <c r="M665" s="10">
        <v>536</v>
      </c>
      <c r="N665" s="10">
        <v>60002</v>
      </c>
      <c r="O665" s="10">
        <v>42033</v>
      </c>
      <c r="P665" s="10">
        <v>102035</v>
      </c>
    </row>
    <row r="666" spans="1:16" ht="27" customHeight="1" x14ac:dyDescent="0.2">
      <c r="A666" s="9" t="s">
        <v>1682</v>
      </c>
      <c r="B666" s="10" t="s">
        <v>2023</v>
      </c>
      <c r="C666" s="11" t="s">
        <v>2420</v>
      </c>
      <c r="D666" s="11" t="s">
        <v>2421</v>
      </c>
      <c r="E666" s="11" t="s">
        <v>26</v>
      </c>
      <c r="F666" s="11" t="s">
        <v>2422</v>
      </c>
      <c r="G666" s="11" t="s">
        <v>28</v>
      </c>
      <c r="H666" s="11" t="s">
        <v>2422</v>
      </c>
      <c r="I666" s="11" t="s">
        <v>2423</v>
      </c>
      <c r="J666" s="12">
        <v>0.63880000000000003</v>
      </c>
      <c r="K666" s="13">
        <v>1</v>
      </c>
      <c r="L666" s="14">
        <v>299</v>
      </c>
      <c r="M666" s="10">
        <v>191</v>
      </c>
      <c r="N666" s="10">
        <v>33040</v>
      </c>
      <c r="O666" s="10">
        <v>14978</v>
      </c>
      <c r="P666" s="10">
        <v>48018</v>
      </c>
    </row>
    <row r="667" spans="1:16" ht="27" customHeight="1" x14ac:dyDescent="0.2">
      <c r="A667" s="9" t="s">
        <v>1682</v>
      </c>
      <c r="B667" s="10" t="s">
        <v>2023</v>
      </c>
      <c r="C667" s="11" t="s">
        <v>2424</v>
      </c>
      <c r="D667" s="11" t="s">
        <v>2425</v>
      </c>
      <c r="E667" s="11" t="s">
        <v>26</v>
      </c>
      <c r="F667" s="11" t="s">
        <v>2426</v>
      </c>
      <c r="G667" s="11" t="s">
        <v>28</v>
      </c>
      <c r="H667" s="11" t="s">
        <v>2426</v>
      </c>
      <c r="I667" s="11" t="s">
        <v>2427</v>
      </c>
      <c r="J667" s="12">
        <v>0.69620000000000004</v>
      </c>
      <c r="K667" s="13">
        <v>1</v>
      </c>
      <c r="L667" s="14">
        <v>339</v>
      </c>
      <c r="M667" s="10">
        <v>236</v>
      </c>
      <c r="N667" s="10">
        <v>37460</v>
      </c>
      <c r="O667" s="10">
        <v>18507</v>
      </c>
      <c r="P667" s="10">
        <v>55967</v>
      </c>
    </row>
    <row r="668" spans="1:16" ht="27" customHeight="1" x14ac:dyDescent="0.2">
      <c r="A668" s="9" t="s">
        <v>1682</v>
      </c>
      <c r="B668" s="10" t="s">
        <v>2023</v>
      </c>
      <c r="C668" s="11" t="s">
        <v>2428</v>
      </c>
      <c r="D668" s="11" t="s">
        <v>2429</v>
      </c>
      <c r="E668" s="11" t="s">
        <v>26</v>
      </c>
      <c r="F668" s="11" t="s">
        <v>2430</v>
      </c>
      <c r="G668" s="11" t="s">
        <v>28</v>
      </c>
      <c r="H668" s="11" t="s">
        <v>2430</v>
      </c>
      <c r="I668" s="11" t="s">
        <v>2431</v>
      </c>
      <c r="J668" s="12">
        <v>0.69510000000000005</v>
      </c>
      <c r="K668" s="13">
        <v>1</v>
      </c>
      <c r="L668" s="14">
        <v>328</v>
      </c>
      <c r="M668" s="10">
        <v>228</v>
      </c>
      <c r="N668" s="10">
        <v>36245</v>
      </c>
      <c r="O668" s="10">
        <v>17880</v>
      </c>
      <c r="P668" s="10">
        <v>54125</v>
      </c>
    </row>
    <row r="669" spans="1:16" ht="27" customHeight="1" x14ac:dyDescent="0.2">
      <c r="A669" s="9" t="s">
        <v>1682</v>
      </c>
      <c r="B669" s="10" t="s">
        <v>2023</v>
      </c>
      <c r="C669" s="11" t="s">
        <v>2432</v>
      </c>
      <c r="D669" s="11" t="s">
        <v>2433</v>
      </c>
      <c r="E669" s="11" t="s">
        <v>26</v>
      </c>
      <c r="F669" s="11" t="s">
        <v>2434</v>
      </c>
      <c r="G669" s="11" t="s">
        <v>28</v>
      </c>
      <c r="H669" s="11" t="s">
        <v>2434</v>
      </c>
      <c r="I669" s="11" t="s">
        <v>2435</v>
      </c>
      <c r="J669" s="12">
        <v>0.84440000000000004</v>
      </c>
      <c r="K669" s="13">
        <v>1</v>
      </c>
      <c r="L669" s="14">
        <v>302</v>
      </c>
      <c r="M669" s="10">
        <v>255</v>
      </c>
      <c r="N669" s="10">
        <v>33371</v>
      </c>
      <c r="O669" s="10">
        <v>19997</v>
      </c>
      <c r="P669" s="10">
        <v>53368</v>
      </c>
    </row>
    <row r="670" spans="1:16" ht="27" customHeight="1" x14ac:dyDescent="0.2">
      <c r="A670" s="9" t="s">
        <v>1682</v>
      </c>
      <c r="B670" s="10" t="s">
        <v>2023</v>
      </c>
      <c r="C670" s="11" t="s">
        <v>2436</v>
      </c>
      <c r="D670" s="11" t="s">
        <v>2437</v>
      </c>
      <c r="E670" s="11" t="s">
        <v>26</v>
      </c>
      <c r="F670" s="11" t="s">
        <v>2438</v>
      </c>
      <c r="G670" s="11" t="s">
        <v>28</v>
      </c>
      <c r="H670" s="11" t="s">
        <v>2438</v>
      </c>
      <c r="I670" s="11" t="s">
        <v>2439</v>
      </c>
      <c r="J670" s="12">
        <v>0.89339999999999997</v>
      </c>
      <c r="K670" s="13">
        <v>1</v>
      </c>
      <c r="L670" s="14">
        <v>544</v>
      </c>
      <c r="M670" s="10">
        <v>486</v>
      </c>
      <c r="N670" s="10">
        <v>60113</v>
      </c>
      <c r="O670" s="10">
        <v>38112</v>
      </c>
      <c r="P670" s="10">
        <v>98225</v>
      </c>
    </row>
    <row r="671" spans="1:16" ht="27" customHeight="1" x14ac:dyDescent="0.2">
      <c r="A671" s="9" t="s">
        <v>1682</v>
      </c>
      <c r="B671" s="10" t="s">
        <v>2023</v>
      </c>
      <c r="C671" s="11" t="s">
        <v>2440</v>
      </c>
      <c r="D671" s="11" t="s">
        <v>2441</v>
      </c>
      <c r="E671" s="11" t="s">
        <v>26</v>
      </c>
      <c r="F671" s="11" t="s">
        <v>2442</v>
      </c>
      <c r="G671" s="11" t="s">
        <v>28</v>
      </c>
      <c r="H671" s="11" t="s">
        <v>1685</v>
      </c>
      <c r="I671" s="11" t="s">
        <v>1686</v>
      </c>
      <c r="J671" s="12">
        <v>1</v>
      </c>
      <c r="K671" s="13">
        <v>1</v>
      </c>
      <c r="L671" s="14">
        <v>502</v>
      </c>
      <c r="M671" s="10">
        <v>490</v>
      </c>
      <c r="N671" s="10">
        <v>55472</v>
      </c>
      <c r="O671" s="10">
        <v>38425</v>
      </c>
      <c r="P671" s="10">
        <v>93897</v>
      </c>
    </row>
    <row r="672" spans="1:16" ht="27" customHeight="1" x14ac:dyDescent="0.2">
      <c r="A672" s="9" t="s">
        <v>1682</v>
      </c>
      <c r="B672" s="10" t="s">
        <v>2023</v>
      </c>
      <c r="C672" s="11" t="s">
        <v>2443</v>
      </c>
      <c r="D672" s="11" t="s">
        <v>2444</v>
      </c>
      <c r="E672" s="11" t="s">
        <v>26</v>
      </c>
      <c r="F672" s="11" t="s">
        <v>2445</v>
      </c>
      <c r="G672" s="11" t="s">
        <v>28</v>
      </c>
      <c r="H672" s="11" t="s">
        <v>1685</v>
      </c>
      <c r="I672" s="11" t="s">
        <v>1686</v>
      </c>
      <c r="J672" s="12">
        <v>1</v>
      </c>
      <c r="K672" s="13">
        <v>1</v>
      </c>
      <c r="L672" s="14">
        <v>199</v>
      </c>
      <c r="M672" s="10">
        <v>187</v>
      </c>
      <c r="N672" s="10">
        <v>21990</v>
      </c>
      <c r="O672" s="10">
        <v>14664</v>
      </c>
      <c r="P672" s="10">
        <v>36654</v>
      </c>
    </row>
    <row r="673" spans="1:16" ht="27" customHeight="1" x14ac:dyDescent="0.2">
      <c r="A673" s="9" t="s">
        <v>1682</v>
      </c>
      <c r="B673" s="10" t="s">
        <v>2023</v>
      </c>
      <c r="C673" s="11" t="s">
        <v>2446</v>
      </c>
      <c r="D673" s="11" t="s">
        <v>2447</v>
      </c>
      <c r="E673" s="11" t="s">
        <v>26</v>
      </c>
      <c r="F673" s="11" t="s">
        <v>2448</v>
      </c>
      <c r="G673" s="11" t="s">
        <v>28</v>
      </c>
      <c r="H673" s="11" t="s">
        <v>1685</v>
      </c>
      <c r="I673" s="11" t="s">
        <v>1686</v>
      </c>
      <c r="J673" s="12">
        <v>1</v>
      </c>
      <c r="K673" s="13">
        <v>1</v>
      </c>
      <c r="L673" s="14">
        <v>579</v>
      </c>
      <c r="M673" s="10">
        <v>546</v>
      </c>
      <c r="N673" s="10">
        <v>63980</v>
      </c>
      <c r="O673" s="10">
        <v>42817</v>
      </c>
      <c r="P673" s="10">
        <v>106797</v>
      </c>
    </row>
    <row r="674" spans="1:16" ht="27" customHeight="1" x14ac:dyDescent="0.2">
      <c r="A674" s="9" t="s">
        <v>1682</v>
      </c>
      <c r="B674" s="10" t="s">
        <v>2023</v>
      </c>
      <c r="C674" s="11" t="s">
        <v>2449</v>
      </c>
      <c r="D674" s="11" t="s">
        <v>2450</v>
      </c>
      <c r="E674" s="11" t="s">
        <v>26</v>
      </c>
      <c r="F674" s="11" t="s">
        <v>2451</v>
      </c>
      <c r="G674" s="11" t="s">
        <v>28</v>
      </c>
      <c r="H674" s="11" t="s">
        <v>1685</v>
      </c>
      <c r="I674" s="11" t="s">
        <v>1686</v>
      </c>
      <c r="J674" s="12">
        <v>1</v>
      </c>
      <c r="K674" s="13">
        <v>1</v>
      </c>
      <c r="L674" s="14">
        <v>362</v>
      </c>
      <c r="M674" s="10">
        <v>345</v>
      </c>
      <c r="N674" s="10">
        <v>40002</v>
      </c>
      <c r="O674" s="10">
        <v>27055</v>
      </c>
      <c r="P674" s="10">
        <v>67057</v>
      </c>
    </row>
    <row r="675" spans="1:16" ht="27" customHeight="1" x14ac:dyDescent="0.2">
      <c r="A675" s="9" t="s">
        <v>1682</v>
      </c>
      <c r="B675" s="10" t="s">
        <v>2023</v>
      </c>
      <c r="C675" s="11" t="s">
        <v>2452</v>
      </c>
      <c r="D675" s="11" t="s">
        <v>2453</v>
      </c>
      <c r="E675" s="11" t="s">
        <v>26</v>
      </c>
      <c r="F675" s="11" t="s">
        <v>2454</v>
      </c>
      <c r="G675" s="11" t="s">
        <v>28</v>
      </c>
      <c r="H675" s="11" t="s">
        <v>1685</v>
      </c>
      <c r="I675" s="11" t="s">
        <v>1686</v>
      </c>
      <c r="J675" s="12">
        <v>1</v>
      </c>
      <c r="K675" s="13">
        <v>1</v>
      </c>
      <c r="L675" s="14">
        <v>362</v>
      </c>
      <c r="M675" s="10">
        <v>342</v>
      </c>
      <c r="N675" s="10">
        <v>40002</v>
      </c>
      <c r="O675" s="10">
        <v>26819</v>
      </c>
      <c r="P675" s="10">
        <v>66821</v>
      </c>
    </row>
    <row r="676" spans="1:16" ht="27" customHeight="1" x14ac:dyDescent="0.2">
      <c r="A676" s="9" t="s">
        <v>1682</v>
      </c>
      <c r="B676" s="10" t="s">
        <v>2023</v>
      </c>
      <c r="C676" s="11" t="s">
        <v>2455</v>
      </c>
      <c r="D676" s="11" t="s">
        <v>2456</v>
      </c>
      <c r="E676" s="11" t="s">
        <v>26</v>
      </c>
      <c r="F676" s="11" t="s">
        <v>2457</v>
      </c>
      <c r="G676" s="11" t="s">
        <v>28</v>
      </c>
      <c r="H676" s="11" t="s">
        <v>1685</v>
      </c>
      <c r="I676" s="11" t="s">
        <v>1686</v>
      </c>
      <c r="J676" s="12">
        <v>1</v>
      </c>
      <c r="K676" s="13">
        <v>1</v>
      </c>
      <c r="L676" s="14">
        <v>494</v>
      </c>
      <c r="M676" s="10">
        <v>410</v>
      </c>
      <c r="N676" s="10">
        <v>54588</v>
      </c>
      <c r="O676" s="10">
        <v>32152</v>
      </c>
      <c r="P676" s="10">
        <v>86740</v>
      </c>
    </row>
    <row r="677" spans="1:16" ht="27" customHeight="1" x14ac:dyDescent="0.2">
      <c r="A677" s="9" t="s">
        <v>1682</v>
      </c>
      <c r="B677" s="10" t="s">
        <v>2023</v>
      </c>
      <c r="C677" s="11" t="s">
        <v>2458</v>
      </c>
      <c r="D677" s="11" t="s">
        <v>2459</v>
      </c>
      <c r="E677" s="11" t="s">
        <v>26</v>
      </c>
      <c r="F677" s="11" t="s">
        <v>2460</v>
      </c>
      <c r="G677" s="11" t="s">
        <v>28</v>
      </c>
      <c r="H677" s="11" t="s">
        <v>1685</v>
      </c>
      <c r="I677" s="11" t="s">
        <v>1686</v>
      </c>
      <c r="J677" s="12">
        <v>1</v>
      </c>
      <c r="K677" s="13">
        <v>1</v>
      </c>
      <c r="L677" s="14">
        <v>520</v>
      </c>
      <c r="M677" s="10">
        <v>434</v>
      </c>
      <c r="N677" s="10">
        <v>57461</v>
      </c>
      <c r="O677" s="10">
        <v>34034</v>
      </c>
      <c r="P677" s="10">
        <v>91495</v>
      </c>
    </row>
    <row r="678" spans="1:16" ht="27" customHeight="1" x14ac:dyDescent="0.2">
      <c r="A678" s="9" t="s">
        <v>1682</v>
      </c>
      <c r="B678" s="10" t="s">
        <v>2023</v>
      </c>
      <c r="C678" s="11" t="s">
        <v>2461</v>
      </c>
      <c r="D678" s="11" t="s">
        <v>2462</v>
      </c>
      <c r="E678" s="11" t="s">
        <v>26</v>
      </c>
      <c r="F678" s="11" t="s">
        <v>2463</v>
      </c>
      <c r="G678" s="11" t="s">
        <v>28</v>
      </c>
      <c r="H678" s="11" t="s">
        <v>1685</v>
      </c>
      <c r="I678" s="11" t="s">
        <v>1686</v>
      </c>
      <c r="J678" s="12">
        <v>1</v>
      </c>
      <c r="K678" s="13">
        <v>1</v>
      </c>
      <c r="L678" s="14">
        <v>539</v>
      </c>
      <c r="M678" s="10">
        <v>486</v>
      </c>
      <c r="N678" s="10">
        <v>59560</v>
      </c>
      <c r="O678" s="10">
        <v>38112</v>
      </c>
      <c r="P678" s="10">
        <v>97672</v>
      </c>
    </row>
    <row r="679" spans="1:16" ht="27" customHeight="1" x14ac:dyDescent="0.2">
      <c r="A679" s="9" t="s">
        <v>1682</v>
      </c>
      <c r="B679" s="10" t="s">
        <v>2023</v>
      </c>
      <c r="C679" s="11" t="s">
        <v>2464</v>
      </c>
      <c r="D679" s="11" t="s">
        <v>2465</v>
      </c>
      <c r="E679" s="11" t="s">
        <v>26</v>
      </c>
      <c r="F679" s="11" t="s">
        <v>2466</v>
      </c>
      <c r="G679" s="11" t="s">
        <v>28</v>
      </c>
      <c r="H679" s="11" t="s">
        <v>1685</v>
      </c>
      <c r="I679" s="11" t="s">
        <v>1686</v>
      </c>
      <c r="J679" s="12">
        <v>1</v>
      </c>
      <c r="K679" s="13">
        <v>1</v>
      </c>
      <c r="L679" s="14">
        <v>388</v>
      </c>
      <c r="M679" s="10">
        <v>357</v>
      </c>
      <c r="N679" s="10">
        <v>42875</v>
      </c>
      <c r="O679" s="10">
        <v>27996</v>
      </c>
      <c r="P679" s="10">
        <v>70871</v>
      </c>
    </row>
    <row r="680" spans="1:16" ht="27" customHeight="1" x14ac:dyDescent="0.2">
      <c r="A680" s="9" t="s">
        <v>1682</v>
      </c>
      <c r="B680" s="10" t="s">
        <v>2023</v>
      </c>
      <c r="C680" s="11" t="s">
        <v>2467</v>
      </c>
      <c r="D680" s="11" t="s">
        <v>2468</v>
      </c>
      <c r="E680" s="11" t="s">
        <v>26</v>
      </c>
      <c r="F680" s="11" t="s">
        <v>2469</v>
      </c>
      <c r="G680" s="11" t="s">
        <v>28</v>
      </c>
      <c r="H680" s="11" t="s">
        <v>2469</v>
      </c>
      <c r="I680" s="11" t="s">
        <v>2470</v>
      </c>
      <c r="J680" s="12">
        <v>0.55659999999999998</v>
      </c>
      <c r="K680" s="13">
        <v>1</v>
      </c>
      <c r="L680" s="14">
        <v>715</v>
      </c>
      <c r="M680" s="10">
        <v>398</v>
      </c>
      <c r="N680" s="10">
        <v>79009</v>
      </c>
      <c r="O680" s="10">
        <v>31211</v>
      </c>
      <c r="P680" s="10">
        <v>110220</v>
      </c>
    </row>
    <row r="681" spans="1:16" ht="27" customHeight="1" x14ac:dyDescent="0.2">
      <c r="A681" s="9" t="s">
        <v>1682</v>
      </c>
      <c r="B681" s="10" t="s">
        <v>2023</v>
      </c>
      <c r="C681" s="11" t="s">
        <v>2471</v>
      </c>
      <c r="D681" s="11" t="s">
        <v>2472</v>
      </c>
      <c r="E681" s="11" t="s">
        <v>26</v>
      </c>
      <c r="F681" s="11" t="s">
        <v>2473</v>
      </c>
      <c r="G681" s="11" t="s">
        <v>28</v>
      </c>
      <c r="H681" s="11" t="s">
        <v>2473</v>
      </c>
      <c r="I681" s="11" t="s">
        <v>2474</v>
      </c>
      <c r="J681" s="12">
        <v>0.49630000000000002</v>
      </c>
      <c r="K681" s="13">
        <v>1</v>
      </c>
      <c r="L681" s="14">
        <v>536</v>
      </c>
      <c r="M681" s="10">
        <v>266</v>
      </c>
      <c r="N681" s="10">
        <v>59229</v>
      </c>
      <c r="O681" s="10">
        <v>20859</v>
      </c>
      <c r="P681" s="10">
        <v>80088</v>
      </c>
    </row>
    <row r="682" spans="1:16" ht="27" customHeight="1" x14ac:dyDescent="0.2">
      <c r="A682" s="9" t="s">
        <v>1682</v>
      </c>
      <c r="B682" s="10" t="s">
        <v>2023</v>
      </c>
      <c r="C682" s="11" t="s">
        <v>2475</v>
      </c>
      <c r="D682" s="11" t="s">
        <v>2476</v>
      </c>
      <c r="E682" s="11" t="s">
        <v>26</v>
      </c>
      <c r="F682" s="11" t="s">
        <v>2477</v>
      </c>
      <c r="G682" s="11" t="s">
        <v>28</v>
      </c>
      <c r="H682" s="11" t="s">
        <v>1685</v>
      </c>
      <c r="I682" s="11" t="s">
        <v>1686</v>
      </c>
      <c r="J682" s="12">
        <v>1</v>
      </c>
      <c r="K682" s="13">
        <v>1</v>
      </c>
      <c r="L682" s="14">
        <v>477</v>
      </c>
      <c r="M682" s="10">
        <v>412</v>
      </c>
      <c r="N682" s="10">
        <v>52709</v>
      </c>
      <c r="O682" s="10">
        <v>32309</v>
      </c>
      <c r="P682" s="10">
        <v>85018</v>
      </c>
    </row>
    <row r="683" spans="1:16" ht="27" customHeight="1" x14ac:dyDescent="0.2">
      <c r="A683" s="9" t="s">
        <v>1682</v>
      </c>
      <c r="B683" s="10" t="s">
        <v>2023</v>
      </c>
      <c r="C683" s="11" t="s">
        <v>2478</v>
      </c>
      <c r="D683" s="11" t="s">
        <v>2479</v>
      </c>
      <c r="E683" s="11" t="s">
        <v>26</v>
      </c>
      <c r="F683" s="11" t="s">
        <v>2480</v>
      </c>
      <c r="G683" s="11" t="s">
        <v>28</v>
      </c>
      <c r="H683" s="11" t="s">
        <v>2480</v>
      </c>
      <c r="I683" s="11" t="s">
        <v>2481</v>
      </c>
      <c r="J683" s="12">
        <v>0.83040000000000003</v>
      </c>
      <c r="K683" s="13">
        <v>1</v>
      </c>
      <c r="L683" s="14">
        <v>560</v>
      </c>
      <c r="M683" s="10">
        <v>465</v>
      </c>
      <c r="N683" s="10">
        <v>61881</v>
      </c>
      <c r="O683" s="10">
        <v>36465</v>
      </c>
      <c r="P683" s="10">
        <v>98346</v>
      </c>
    </row>
    <row r="684" spans="1:16" ht="27" customHeight="1" x14ac:dyDescent="0.2">
      <c r="A684" s="9" t="s">
        <v>1682</v>
      </c>
      <c r="B684" s="10" t="s">
        <v>2023</v>
      </c>
      <c r="C684" s="11" t="s">
        <v>2482</v>
      </c>
      <c r="D684" s="11" t="s">
        <v>2483</v>
      </c>
      <c r="E684" s="11" t="s">
        <v>26</v>
      </c>
      <c r="F684" s="11" t="s">
        <v>2484</v>
      </c>
      <c r="G684" s="11" t="s">
        <v>28</v>
      </c>
      <c r="H684" s="11" t="s">
        <v>2484</v>
      </c>
      <c r="I684" s="11" t="s">
        <v>2485</v>
      </c>
      <c r="J684" s="12">
        <v>0.54049999999999998</v>
      </c>
      <c r="K684" s="13">
        <v>1</v>
      </c>
      <c r="L684" s="14">
        <v>407</v>
      </c>
      <c r="M684" s="10">
        <v>220</v>
      </c>
      <c r="N684" s="10">
        <v>44974</v>
      </c>
      <c r="O684" s="10">
        <v>17252</v>
      </c>
      <c r="P684" s="10">
        <v>62226</v>
      </c>
    </row>
    <row r="685" spans="1:16" ht="27" customHeight="1" x14ac:dyDescent="0.2">
      <c r="A685" s="9" t="s">
        <v>1682</v>
      </c>
      <c r="B685" s="10" t="s">
        <v>2023</v>
      </c>
      <c r="C685" s="11" t="s">
        <v>2486</v>
      </c>
      <c r="D685" s="11" t="s">
        <v>2487</v>
      </c>
      <c r="E685" s="11" t="s">
        <v>26</v>
      </c>
      <c r="F685" s="11" t="s">
        <v>2488</v>
      </c>
      <c r="G685" s="11" t="s">
        <v>28</v>
      </c>
      <c r="H685" s="11" t="s">
        <v>1685</v>
      </c>
      <c r="I685" s="11" t="s">
        <v>1686</v>
      </c>
      <c r="J685" s="12">
        <v>1</v>
      </c>
      <c r="K685" s="13">
        <v>1</v>
      </c>
      <c r="L685" s="14">
        <v>498</v>
      </c>
      <c r="M685" s="10">
        <v>471</v>
      </c>
      <c r="N685" s="10">
        <v>55030</v>
      </c>
      <c r="O685" s="10">
        <v>36935</v>
      </c>
      <c r="P685" s="10">
        <v>91965</v>
      </c>
    </row>
    <row r="686" spans="1:16" ht="27" customHeight="1" x14ac:dyDescent="0.2">
      <c r="A686" s="9" t="s">
        <v>1682</v>
      </c>
      <c r="B686" s="10" t="s">
        <v>2023</v>
      </c>
      <c r="C686" s="11" t="s">
        <v>2489</v>
      </c>
      <c r="D686" s="11" t="s">
        <v>2490</v>
      </c>
      <c r="E686" s="11" t="s">
        <v>26</v>
      </c>
      <c r="F686" s="11" t="s">
        <v>2491</v>
      </c>
      <c r="G686" s="11" t="s">
        <v>28</v>
      </c>
      <c r="H686" s="11" t="s">
        <v>1685</v>
      </c>
      <c r="I686" s="11" t="s">
        <v>1686</v>
      </c>
      <c r="J686" s="12">
        <v>1</v>
      </c>
      <c r="K686" s="13">
        <v>1</v>
      </c>
      <c r="L686" s="14">
        <v>465</v>
      </c>
      <c r="M686" s="10">
        <v>448</v>
      </c>
      <c r="N686" s="10">
        <v>51383</v>
      </c>
      <c r="O686" s="10">
        <v>35132</v>
      </c>
      <c r="P686" s="10">
        <v>86515</v>
      </c>
    </row>
    <row r="687" spans="1:16" ht="27" customHeight="1" x14ac:dyDescent="0.2">
      <c r="A687" s="9" t="s">
        <v>1682</v>
      </c>
      <c r="B687" s="10" t="s">
        <v>2023</v>
      </c>
      <c r="C687" s="11" t="s">
        <v>2492</v>
      </c>
      <c r="D687" s="11" t="s">
        <v>2493</v>
      </c>
      <c r="E687" s="11" t="s">
        <v>26</v>
      </c>
      <c r="F687" s="11" t="s">
        <v>2494</v>
      </c>
      <c r="G687" s="11" t="s">
        <v>28</v>
      </c>
      <c r="H687" s="11" t="s">
        <v>1685</v>
      </c>
      <c r="I687" s="11" t="s">
        <v>1686</v>
      </c>
      <c r="J687" s="12">
        <v>1</v>
      </c>
      <c r="K687" s="13">
        <v>1</v>
      </c>
      <c r="L687" s="14">
        <v>291</v>
      </c>
      <c r="M687" s="10">
        <v>286</v>
      </c>
      <c r="N687" s="10">
        <v>32156</v>
      </c>
      <c r="O687" s="10">
        <v>22428</v>
      </c>
      <c r="P687" s="10">
        <v>54584</v>
      </c>
    </row>
    <row r="688" spans="1:16" ht="27" customHeight="1" x14ac:dyDescent="0.2">
      <c r="A688" s="9" t="s">
        <v>1682</v>
      </c>
      <c r="B688" s="10" t="s">
        <v>2023</v>
      </c>
      <c r="C688" s="11" t="s">
        <v>2495</v>
      </c>
      <c r="D688" s="11" t="s">
        <v>2496</v>
      </c>
      <c r="E688" s="11" t="s">
        <v>26</v>
      </c>
      <c r="F688" s="11" t="s">
        <v>2497</v>
      </c>
      <c r="G688" s="11" t="s">
        <v>28</v>
      </c>
      <c r="H688" s="11" t="s">
        <v>1685</v>
      </c>
      <c r="I688" s="11" t="s">
        <v>1686</v>
      </c>
      <c r="J688" s="12">
        <v>1</v>
      </c>
      <c r="K688" s="13">
        <v>1</v>
      </c>
      <c r="L688" s="14">
        <v>144</v>
      </c>
      <c r="M688" s="10">
        <v>91</v>
      </c>
      <c r="N688" s="10">
        <v>15912</v>
      </c>
      <c r="O688" s="10">
        <v>7136</v>
      </c>
      <c r="P688" s="10">
        <v>23048</v>
      </c>
    </row>
    <row r="689" spans="1:16" ht="27" customHeight="1" x14ac:dyDescent="0.2">
      <c r="A689" s="9" t="s">
        <v>1682</v>
      </c>
      <c r="B689" s="10" t="s">
        <v>2023</v>
      </c>
      <c r="C689" s="11" t="s">
        <v>2498</v>
      </c>
      <c r="D689" s="11" t="s">
        <v>2499</v>
      </c>
      <c r="E689" s="11" t="s">
        <v>26</v>
      </c>
      <c r="F689" s="11" t="s">
        <v>2500</v>
      </c>
      <c r="G689" s="11" t="s">
        <v>28</v>
      </c>
      <c r="H689" s="11" t="s">
        <v>1685</v>
      </c>
      <c r="I689" s="11" t="s">
        <v>1686</v>
      </c>
      <c r="J689" s="12">
        <v>1</v>
      </c>
      <c r="K689" s="13">
        <v>1</v>
      </c>
      <c r="L689" s="14">
        <v>387</v>
      </c>
      <c r="M689" s="10">
        <v>377</v>
      </c>
      <c r="N689" s="10">
        <v>42764</v>
      </c>
      <c r="O689" s="10">
        <v>29564</v>
      </c>
      <c r="P689" s="10">
        <v>72328</v>
      </c>
    </row>
    <row r="690" spans="1:16" ht="27" customHeight="1" x14ac:dyDescent="0.2">
      <c r="A690" s="9" t="s">
        <v>1682</v>
      </c>
      <c r="B690" s="10" t="s">
        <v>2023</v>
      </c>
      <c r="C690" s="11" t="s">
        <v>2501</v>
      </c>
      <c r="D690" s="11" t="s">
        <v>2502</v>
      </c>
      <c r="E690" s="11" t="s">
        <v>26</v>
      </c>
      <c r="F690" s="11" t="s">
        <v>2503</v>
      </c>
      <c r="G690" s="11" t="s">
        <v>28</v>
      </c>
      <c r="H690" s="11" t="s">
        <v>1685</v>
      </c>
      <c r="I690" s="11" t="s">
        <v>1686</v>
      </c>
      <c r="J690" s="12">
        <v>1</v>
      </c>
      <c r="K690" s="13">
        <v>1</v>
      </c>
      <c r="L690" s="14">
        <v>407</v>
      </c>
      <c r="M690" s="10">
        <v>389</v>
      </c>
      <c r="N690" s="10">
        <v>44974</v>
      </c>
      <c r="O690" s="10">
        <v>30505</v>
      </c>
      <c r="P690" s="10">
        <v>75479</v>
      </c>
    </row>
    <row r="691" spans="1:16" ht="27" customHeight="1" x14ac:dyDescent="0.2">
      <c r="A691" s="9" t="s">
        <v>1682</v>
      </c>
      <c r="B691" s="10" t="s">
        <v>2023</v>
      </c>
      <c r="C691" s="11" t="s">
        <v>2504</v>
      </c>
      <c r="D691" s="11" t="s">
        <v>2505</v>
      </c>
      <c r="E691" s="11" t="s">
        <v>26</v>
      </c>
      <c r="F691" s="11" t="s">
        <v>2506</v>
      </c>
      <c r="G691" s="11" t="s">
        <v>28</v>
      </c>
      <c r="H691" s="11" t="s">
        <v>1685</v>
      </c>
      <c r="I691" s="11" t="s">
        <v>1686</v>
      </c>
      <c r="J691" s="12">
        <v>1</v>
      </c>
      <c r="K691" s="13">
        <v>1</v>
      </c>
      <c r="L691" s="14">
        <v>463</v>
      </c>
      <c r="M691" s="10">
        <v>448</v>
      </c>
      <c r="N691" s="10">
        <v>51162</v>
      </c>
      <c r="O691" s="10">
        <v>35132</v>
      </c>
      <c r="P691" s="10">
        <v>86294</v>
      </c>
    </row>
    <row r="692" spans="1:16" ht="27" customHeight="1" x14ac:dyDescent="0.2">
      <c r="A692" s="9" t="s">
        <v>1682</v>
      </c>
      <c r="B692" s="10" t="s">
        <v>2023</v>
      </c>
      <c r="C692" s="11" t="s">
        <v>2507</v>
      </c>
      <c r="D692" s="11" t="s">
        <v>2508</v>
      </c>
      <c r="E692" s="11" t="s">
        <v>26</v>
      </c>
      <c r="F692" s="11" t="s">
        <v>2509</v>
      </c>
      <c r="G692" s="11" t="s">
        <v>28</v>
      </c>
      <c r="H692" s="11" t="s">
        <v>1685</v>
      </c>
      <c r="I692" s="11" t="s">
        <v>1686</v>
      </c>
      <c r="J692" s="12">
        <v>1</v>
      </c>
      <c r="K692" s="13">
        <v>1</v>
      </c>
      <c r="L692" s="14">
        <v>493</v>
      </c>
      <c r="M692" s="10">
        <v>486</v>
      </c>
      <c r="N692" s="10">
        <v>54477</v>
      </c>
      <c r="O692" s="10">
        <v>38112</v>
      </c>
      <c r="P692" s="10">
        <v>92589</v>
      </c>
    </row>
    <row r="693" spans="1:16" ht="27" customHeight="1" x14ac:dyDescent="0.2">
      <c r="A693" s="9" t="s">
        <v>1682</v>
      </c>
      <c r="B693" s="10" t="s">
        <v>2023</v>
      </c>
      <c r="C693" s="11" t="s">
        <v>2510</v>
      </c>
      <c r="D693" s="11" t="s">
        <v>2511</v>
      </c>
      <c r="E693" s="11" t="s">
        <v>26</v>
      </c>
      <c r="F693" s="11" t="s">
        <v>2512</v>
      </c>
      <c r="G693" s="11" t="s">
        <v>28</v>
      </c>
      <c r="H693" s="11" t="s">
        <v>2512</v>
      </c>
      <c r="I693" s="11" t="s">
        <v>2513</v>
      </c>
      <c r="J693" s="12">
        <v>0.99529999999999996</v>
      </c>
      <c r="K693" s="13">
        <v>1</v>
      </c>
      <c r="L693" s="14">
        <v>215</v>
      </c>
      <c r="M693" s="10">
        <v>214</v>
      </c>
      <c r="N693" s="10">
        <v>23758</v>
      </c>
      <c r="O693" s="10">
        <v>16782</v>
      </c>
      <c r="P693" s="10">
        <v>40540</v>
      </c>
    </row>
    <row r="694" spans="1:16" ht="27" customHeight="1" x14ac:dyDescent="0.2">
      <c r="A694" s="9" t="s">
        <v>1682</v>
      </c>
      <c r="B694" s="10" t="s">
        <v>2023</v>
      </c>
      <c r="C694" s="11" t="s">
        <v>2514</v>
      </c>
      <c r="D694" s="11" t="s">
        <v>2515</v>
      </c>
      <c r="E694" s="11" t="s">
        <v>26</v>
      </c>
      <c r="F694" s="11" t="s">
        <v>2516</v>
      </c>
      <c r="G694" s="11" t="s">
        <v>28</v>
      </c>
      <c r="H694" s="11" t="s">
        <v>2516</v>
      </c>
      <c r="I694" s="11" t="s">
        <v>2517</v>
      </c>
      <c r="J694" s="12">
        <v>0.82030000000000003</v>
      </c>
      <c r="K694" s="13">
        <v>1</v>
      </c>
      <c r="L694" s="14">
        <v>256</v>
      </c>
      <c r="M694" s="10">
        <v>210</v>
      </c>
      <c r="N694" s="10">
        <v>28288</v>
      </c>
      <c r="O694" s="10">
        <v>16468</v>
      </c>
      <c r="P694" s="10">
        <v>44756</v>
      </c>
    </row>
    <row r="695" spans="1:16" ht="27" customHeight="1" x14ac:dyDescent="0.2">
      <c r="A695" s="9" t="s">
        <v>1682</v>
      </c>
      <c r="B695" s="10" t="s">
        <v>2023</v>
      </c>
      <c r="C695" s="11" t="s">
        <v>2518</v>
      </c>
      <c r="D695" s="11" t="s">
        <v>2519</v>
      </c>
      <c r="E695" s="11" t="s">
        <v>26</v>
      </c>
      <c r="F695" s="11" t="s">
        <v>2520</v>
      </c>
      <c r="G695" s="11" t="s">
        <v>28</v>
      </c>
      <c r="H695" s="11" t="s">
        <v>1685</v>
      </c>
      <c r="I695" s="11" t="s">
        <v>1686</v>
      </c>
      <c r="J695" s="12">
        <v>1</v>
      </c>
      <c r="K695" s="13">
        <v>1</v>
      </c>
      <c r="L695" s="14">
        <v>459</v>
      </c>
      <c r="M695" s="10">
        <v>411</v>
      </c>
      <c r="N695" s="10">
        <v>50720</v>
      </c>
      <c r="O695" s="10">
        <v>32230</v>
      </c>
      <c r="P695" s="10">
        <v>82950</v>
      </c>
    </row>
    <row r="696" spans="1:16" ht="27" customHeight="1" x14ac:dyDescent="0.2">
      <c r="A696" s="9" t="s">
        <v>1682</v>
      </c>
      <c r="B696" s="10" t="s">
        <v>2023</v>
      </c>
      <c r="C696" s="11" t="s">
        <v>2521</v>
      </c>
      <c r="D696" s="11" t="s">
        <v>2522</v>
      </c>
      <c r="E696" s="11" t="s">
        <v>26</v>
      </c>
      <c r="F696" s="11" t="s">
        <v>2523</v>
      </c>
      <c r="G696" s="11" t="s">
        <v>28</v>
      </c>
      <c r="H696" s="11" t="s">
        <v>1685</v>
      </c>
      <c r="I696" s="11" t="s">
        <v>1686</v>
      </c>
      <c r="J696" s="12">
        <v>1</v>
      </c>
      <c r="K696" s="13">
        <v>1</v>
      </c>
      <c r="L696" s="14">
        <v>472</v>
      </c>
      <c r="M696" s="10">
        <v>455</v>
      </c>
      <c r="N696" s="10">
        <v>52157</v>
      </c>
      <c r="O696" s="10">
        <v>35681</v>
      </c>
      <c r="P696" s="10">
        <v>87838</v>
      </c>
    </row>
    <row r="697" spans="1:16" ht="27" customHeight="1" x14ac:dyDescent="0.2">
      <c r="A697" s="9" t="s">
        <v>1682</v>
      </c>
      <c r="B697" s="10" t="s">
        <v>2023</v>
      </c>
      <c r="C697" s="11" t="s">
        <v>2524</v>
      </c>
      <c r="D697" s="11" t="s">
        <v>2525</v>
      </c>
      <c r="E697" s="11" t="s">
        <v>26</v>
      </c>
      <c r="F697" s="11" t="s">
        <v>2526</v>
      </c>
      <c r="G697" s="11" t="s">
        <v>28</v>
      </c>
      <c r="H697" s="11" t="s">
        <v>2526</v>
      </c>
      <c r="I697" s="11" t="s">
        <v>2527</v>
      </c>
      <c r="J697" s="12">
        <v>0.92779999999999996</v>
      </c>
      <c r="K697" s="13">
        <v>1</v>
      </c>
      <c r="L697" s="14">
        <v>568</v>
      </c>
      <c r="M697" s="10">
        <v>527</v>
      </c>
      <c r="N697" s="10">
        <v>62765</v>
      </c>
      <c r="O697" s="10">
        <v>41327</v>
      </c>
      <c r="P697" s="10">
        <v>104092</v>
      </c>
    </row>
    <row r="698" spans="1:16" ht="27" customHeight="1" x14ac:dyDescent="0.2">
      <c r="A698" s="9" t="s">
        <v>1682</v>
      </c>
      <c r="B698" s="10" t="s">
        <v>2023</v>
      </c>
      <c r="C698" s="11" t="s">
        <v>2528</v>
      </c>
      <c r="D698" s="11" t="s">
        <v>2529</v>
      </c>
      <c r="E698" s="11" t="s">
        <v>26</v>
      </c>
      <c r="F698" s="11" t="s">
        <v>2530</v>
      </c>
      <c r="G698" s="11" t="s">
        <v>28</v>
      </c>
      <c r="H698" s="11" t="s">
        <v>1685</v>
      </c>
      <c r="I698" s="11" t="s">
        <v>1686</v>
      </c>
      <c r="J698" s="12">
        <v>1</v>
      </c>
      <c r="K698" s="13">
        <v>1</v>
      </c>
      <c r="L698" s="14">
        <v>195</v>
      </c>
      <c r="M698" s="10">
        <v>191</v>
      </c>
      <c r="N698" s="10">
        <v>21548</v>
      </c>
      <c r="O698" s="10">
        <v>14978</v>
      </c>
      <c r="P698" s="10">
        <v>36526</v>
      </c>
    </row>
    <row r="699" spans="1:16" ht="27" customHeight="1" x14ac:dyDescent="0.2">
      <c r="A699" s="9" t="s">
        <v>1682</v>
      </c>
      <c r="B699" s="10" t="s">
        <v>2023</v>
      </c>
      <c r="C699" s="11" t="s">
        <v>2531</v>
      </c>
      <c r="D699" s="11" t="s">
        <v>2532</v>
      </c>
      <c r="E699" s="11" t="s">
        <v>26</v>
      </c>
      <c r="F699" s="11" t="s">
        <v>2533</v>
      </c>
      <c r="G699" s="11" t="s">
        <v>28</v>
      </c>
      <c r="H699" s="11" t="s">
        <v>2533</v>
      </c>
      <c r="I699" s="11" t="s">
        <v>2534</v>
      </c>
      <c r="J699" s="12">
        <v>0.87709999999999999</v>
      </c>
      <c r="K699" s="13">
        <v>1</v>
      </c>
      <c r="L699" s="14">
        <v>301</v>
      </c>
      <c r="M699" s="10">
        <v>264</v>
      </c>
      <c r="N699" s="10">
        <v>33261</v>
      </c>
      <c r="O699" s="10">
        <v>20703</v>
      </c>
      <c r="P699" s="10">
        <v>53964</v>
      </c>
    </row>
    <row r="700" spans="1:16" ht="27" customHeight="1" x14ac:dyDescent="0.2">
      <c r="A700" s="9" t="s">
        <v>1682</v>
      </c>
      <c r="B700" s="10" t="s">
        <v>2023</v>
      </c>
      <c r="C700" s="11" t="s">
        <v>2535</v>
      </c>
      <c r="D700" s="11" t="s">
        <v>2536</v>
      </c>
      <c r="E700" s="11" t="s">
        <v>26</v>
      </c>
      <c r="F700" s="11" t="s">
        <v>2537</v>
      </c>
      <c r="G700" s="11" t="s">
        <v>28</v>
      </c>
      <c r="H700" s="11" t="s">
        <v>1685</v>
      </c>
      <c r="I700" s="11" t="s">
        <v>1686</v>
      </c>
      <c r="J700" s="12">
        <v>1</v>
      </c>
      <c r="K700" s="13">
        <v>1</v>
      </c>
      <c r="L700" s="14">
        <v>410</v>
      </c>
      <c r="M700" s="10">
        <v>399</v>
      </c>
      <c r="N700" s="10">
        <v>45306</v>
      </c>
      <c r="O700" s="10">
        <v>31289</v>
      </c>
      <c r="P700" s="10">
        <v>76595</v>
      </c>
    </row>
    <row r="701" spans="1:16" ht="27" customHeight="1" x14ac:dyDescent="0.2">
      <c r="A701" s="9" t="s">
        <v>1682</v>
      </c>
      <c r="B701" s="10" t="s">
        <v>2023</v>
      </c>
      <c r="C701" s="11" t="s">
        <v>2538</v>
      </c>
      <c r="D701" s="11" t="s">
        <v>2539</v>
      </c>
      <c r="E701" s="11" t="s">
        <v>26</v>
      </c>
      <c r="F701" s="11" t="s">
        <v>2540</v>
      </c>
      <c r="G701" s="11" t="s">
        <v>28</v>
      </c>
      <c r="H701" s="11" t="s">
        <v>2540</v>
      </c>
      <c r="I701" s="11" t="s">
        <v>2541</v>
      </c>
      <c r="J701" s="12">
        <v>0.88580000000000003</v>
      </c>
      <c r="K701" s="13">
        <v>1</v>
      </c>
      <c r="L701" s="14">
        <v>473</v>
      </c>
      <c r="M701" s="10">
        <v>419</v>
      </c>
      <c r="N701" s="10">
        <v>52267</v>
      </c>
      <c r="O701" s="10">
        <v>32858</v>
      </c>
      <c r="P701" s="10">
        <v>85125</v>
      </c>
    </row>
    <row r="702" spans="1:16" ht="27" customHeight="1" x14ac:dyDescent="0.2">
      <c r="A702" s="9" t="s">
        <v>1682</v>
      </c>
      <c r="B702" s="10" t="s">
        <v>2023</v>
      </c>
      <c r="C702" s="11" t="s">
        <v>2542</v>
      </c>
      <c r="D702" s="11" t="s">
        <v>2543</v>
      </c>
      <c r="E702" s="11" t="s">
        <v>26</v>
      </c>
      <c r="F702" s="11" t="s">
        <v>2544</v>
      </c>
      <c r="G702" s="11" t="s">
        <v>28</v>
      </c>
      <c r="H702" s="11" t="s">
        <v>2544</v>
      </c>
      <c r="I702" s="11" t="s">
        <v>2545</v>
      </c>
      <c r="J702" s="12">
        <v>0.78949999999999998</v>
      </c>
      <c r="K702" s="13">
        <v>1</v>
      </c>
      <c r="L702" s="14">
        <v>76</v>
      </c>
      <c r="M702" s="10">
        <v>60</v>
      </c>
      <c r="N702" s="10">
        <v>8398</v>
      </c>
      <c r="O702" s="10">
        <v>4705</v>
      </c>
      <c r="P702" s="10">
        <v>13103</v>
      </c>
    </row>
    <row r="703" spans="1:16" ht="27" customHeight="1" x14ac:dyDescent="0.2">
      <c r="A703" s="9" t="s">
        <v>1682</v>
      </c>
      <c r="B703" s="10" t="s">
        <v>2023</v>
      </c>
      <c r="C703" s="11" t="s">
        <v>2546</v>
      </c>
      <c r="D703" s="11" t="s">
        <v>2547</v>
      </c>
      <c r="E703" s="11" t="s">
        <v>26</v>
      </c>
      <c r="F703" s="11" t="s">
        <v>2548</v>
      </c>
      <c r="G703" s="11" t="s">
        <v>28</v>
      </c>
      <c r="H703" s="11" t="s">
        <v>2548</v>
      </c>
      <c r="I703" s="11" t="s">
        <v>2549</v>
      </c>
      <c r="J703" s="12">
        <v>0.72389999999999999</v>
      </c>
      <c r="K703" s="13">
        <v>1</v>
      </c>
      <c r="L703" s="14">
        <v>326</v>
      </c>
      <c r="M703" s="10">
        <v>236</v>
      </c>
      <c r="N703" s="10">
        <v>36024</v>
      </c>
      <c r="O703" s="10">
        <v>18507</v>
      </c>
      <c r="P703" s="10">
        <v>54531</v>
      </c>
    </row>
    <row r="704" spans="1:16" ht="27" customHeight="1" x14ac:dyDescent="0.2">
      <c r="A704" s="9" t="s">
        <v>1682</v>
      </c>
      <c r="B704" s="10" t="s">
        <v>2023</v>
      </c>
      <c r="C704" s="11" t="s">
        <v>2550</v>
      </c>
      <c r="D704" s="11" t="s">
        <v>2551</v>
      </c>
      <c r="E704" s="11" t="s">
        <v>26</v>
      </c>
      <c r="F704" s="11" t="s">
        <v>2552</v>
      </c>
      <c r="G704" s="11" t="s">
        <v>28</v>
      </c>
      <c r="H704" s="11" t="s">
        <v>2552</v>
      </c>
      <c r="I704" s="11" t="s">
        <v>2553</v>
      </c>
      <c r="J704" s="12">
        <v>0.77890000000000004</v>
      </c>
      <c r="K704" s="13">
        <v>1</v>
      </c>
      <c r="L704" s="14">
        <v>294</v>
      </c>
      <c r="M704" s="10">
        <v>229</v>
      </c>
      <c r="N704" s="10">
        <v>32487</v>
      </c>
      <c r="O704" s="10">
        <v>17958</v>
      </c>
      <c r="P704" s="10">
        <v>50445</v>
      </c>
    </row>
    <row r="705" spans="1:16" ht="27" customHeight="1" x14ac:dyDescent="0.2">
      <c r="A705" s="9" t="s">
        <v>1682</v>
      </c>
      <c r="B705" s="10" t="s">
        <v>2023</v>
      </c>
      <c r="C705" s="11" t="s">
        <v>2554</v>
      </c>
      <c r="D705" s="11" t="s">
        <v>2555</v>
      </c>
      <c r="E705" s="11" t="s">
        <v>26</v>
      </c>
      <c r="F705" s="11" t="s">
        <v>2556</v>
      </c>
      <c r="G705" s="11" t="s">
        <v>28</v>
      </c>
      <c r="H705" s="11" t="s">
        <v>2556</v>
      </c>
      <c r="I705" s="11" t="s">
        <v>2557</v>
      </c>
      <c r="J705" s="12">
        <v>0.80469999999999997</v>
      </c>
      <c r="K705" s="13">
        <v>1</v>
      </c>
      <c r="L705" s="14">
        <v>297</v>
      </c>
      <c r="M705" s="10">
        <v>239</v>
      </c>
      <c r="N705" s="10">
        <v>32819</v>
      </c>
      <c r="O705" s="10">
        <v>18742</v>
      </c>
      <c r="P705" s="10">
        <v>51561</v>
      </c>
    </row>
    <row r="706" spans="1:16" ht="27" customHeight="1" x14ac:dyDescent="0.2">
      <c r="A706" s="9" t="s">
        <v>1682</v>
      </c>
      <c r="B706" s="10" t="s">
        <v>2023</v>
      </c>
      <c r="C706" s="11" t="s">
        <v>2558</v>
      </c>
      <c r="D706" s="11" t="s">
        <v>2559</v>
      </c>
      <c r="E706" s="11" t="s">
        <v>26</v>
      </c>
      <c r="F706" s="11" t="s">
        <v>2560</v>
      </c>
      <c r="G706" s="11" t="s">
        <v>28</v>
      </c>
      <c r="H706" s="11" t="s">
        <v>2560</v>
      </c>
      <c r="I706" s="11" t="s">
        <v>2561</v>
      </c>
      <c r="J706" s="12">
        <v>0.80649999999999999</v>
      </c>
      <c r="K706" s="13">
        <v>1</v>
      </c>
      <c r="L706" s="14">
        <v>310</v>
      </c>
      <c r="M706" s="10">
        <v>250</v>
      </c>
      <c r="N706" s="10">
        <v>34256</v>
      </c>
      <c r="O706" s="10">
        <v>19605</v>
      </c>
      <c r="P706" s="10">
        <v>53861</v>
      </c>
    </row>
    <row r="707" spans="1:16" ht="27" customHeight="1" x14ac:dyDescent="0.2">
      <c r="A707" s="9" t="s">
        <v>1682</v>
      </c>
      <c r="B707" s="10" t="s">
        <v>2023</v>
      </c>
      <c r="C707" s="11" t="s">
        <v>2562</v>
      </c>
      <c r="D707" s="11" t="s">
        <v>2563</v>
      </c>
      <c r="E707" s="11" t="s">
        <v>26</v>
      </c>
      <c r="F707" s="11" t="s">
        <v>2564</v>
      </c>
      <c r="G707" s="11" t="s">
        <v>28</v>
      </c>
      <c r="H707" s="11" t="s">
        <v>2564</v>
      </c>
      <c r="I707" s="11" t="s">
        <v>2565</v>
      </c>
      <c r="J707" s="12">
        <v>0.95640000000000003</v>
      </c>
      <c r="K707" s="13">
        <v>1</v>
      </c>
      <c r="L707" s="14">
        <v>413</v>
      </c>
      <c r="M707" s="10">
        <v>395</v>
      </c>
      <c r="N707" s="10">
        <v>45637</v>
      </c>
      <c r="O707" s="10">
        <v>30975</v>
      </c>
      <c r="P707" s="10">
        <v>76612</v>
      </c>
    </row>
    <row r="708" spans="1:16" ht="27" customHeight="1" x14ac:dyDescent="0.2">
      <c r="A708" s="9" t="s">
        <v>1682</v>
      </c>
      <c r="B708" s="10" t="s">
        <v>2023</v>
      </c>
      <c r="C708" s="11" t="s">
        <v>2566</v>
      </c>
      <c r="D708" s="11" t="s">
        <v>2567</v>
      </c>
      <c r="E708" s="11" t="s">
        <v>26</v>
      </c>
      <c r="F708" s="11" t="s">
        <v>2568</v>
      </c>
      <c r="G708" s="11" t="s">
        <v>28</v>
      </c>
      <c r="H708" s="11" t="s">
        <v>2568</v>
      </c>
      <c r="I708" s="11" t="s">
        <v>2569</v>
      </c>
      <c r="J708" s="12">
        <v>0.86929999999999996</v>
      </c>
      <c r="K708" s="13">
        <v>1</v>
      </c>
      <c r="L708" s="14">
        <v>482</v>
      </c>
      <c r="M708" s="10">
        <v>419</v>
      </c>
      <c r="N708" s="10">
        <v>53262</v>
      </c>
      <c r="O708" s="10">
        <v>32858</v>
      </c>
      <c r="P708" s="10">
        <v>86120</v>
      </c>
    </row>
    <row r="709" spans="1:16" ht="27" customHeight="1" x14ac:dyDescent="0.2">
      <c r="A709" s="9" t="s">
        <v>1682</v>
      </c>
      <c r="B709" s="10" t="s">
        <v>2023</v>
      </c>
      <c r="C709" s="11" t="s">
        <v>2570</v>
      </c>
      <c r="D709" s="11" t="s">
        <v>2571</v>
      </c>
      <c r="E709" s="11" t="s">
        <v>26</v>
      </c>
      <c r="F709" s="11" t="s">
        <v>2572</v>
      </c>
      <c r="G709" s="11" t="s">
        <v>28</v>
      </c>
      <c r="H709" s="11" t="s">
        <v>1685</v>
      </c>
      <c r="I709" s="11" t="s">
        <v>1686</v>
      </c>
      <c r="J709" s="12">
        <v>1</v>
      </c>
      <c r="K709" s="13">
        <v>1</v>
      </c>
      <c r="L709" s="14">
        <v>162</v>
      </c>
      <c r="M709" s="10">
        <v>149</v>
      </c>
      <c r="N709" s="10">
        <v>17901</v>
      </c>
      <c r="O709" s="10">
        <v>11684</v>
      </c>
      <c r="P709" s="10">
        <v>29585</v>
      </c>
    </row>
    <row r="710" spans="1:16" ht="27" customHeight="1" x14ac:dyDescent="0.2">
      <c r="A710" s="9" t="s">
        <v>1682</v>
      </c>
      <c r="B710" s="10" t="s">
        <v>2023</v>
      </c>
      <c r="C710" s="11" t="s">
        <v>2573</v>
      </c>
      <c r="D710" s="11" t="s">
        <v>2574</v>
      </c>
      <c r="E710" s="11" t="s">
        <v>26</v>
      </c>
      <c r="F710" s="11" t="s">
        <v>2575</v>
      </c>
      <c r="G710" s="11" t="s">
        <v>28</v>
      </c>
      <c r="H710" s="11" t="s">
        <v>2575</v>
      </c>
      <c r="I710" s="11" t="s">
        <v>2576</v>
      </c>
      <c r="J710" s="12">
        <v>0.81850000000000001</v>
      </c>
      <c r="K710" s="13">
        <v>1</v>
      </c>
      <c r="L710" s="14">
        <v>270</v>
      </c>
      <c r="M710" s="10">
        <v>221</v>
      </c>
      <c r="N710" s="10">
        <v>29835</v>
      </c>
      <c r="O710" s="10">
        <v>17331</v>
      </c>
      <c r="P710" s="10">
        <v>47166</v>
      </c>
    </row>
    <row r="711" spans="1:16" ht="27" customHeight="1" x14ac:dyDescent="0.2">
      <c r="A711" s="9" t="s">
        <v>1682</v>
      </c>
      <c r="B711" s="10" t="s">
        <v>2023</v>
      </c>
      <c r="C711" s="11" t="s">
        <v>2577</v>
      </c>
      <c r="D711" s="11" t="s">
        <v>2578</v>
      </c>
      <c r="E711" s="11" t="s">
        <v>26</v>
      </c>
      <c r="F711" s="11" t="s">
        <v>2579</v>
      </c>
      <c r="G711" s="11" t="s">
        <v>28</v>
      </c>
      <c r="H711" s="11" t="s">
        <v>1685</v>
      </c>
      <c r="I711" s="11" t="s">
        <v>1686</v>
      </c>
      <c r="J711" s="12">
        <v>1</v>
      </c>
      <c r="K711" s="13">
        <v>1</v>
      </c>
      <c r="L711" s="14">
        <v>485</v>
      </c>
      <c r="M711" s="10">
        <v>318</v>
      </c>
      <c r="N711" s="10">
        <v>53593</v>
      </c>
      <c r="O711" s="10">
        <v>24937</v>
      </c>
      <c r="P711" s="10">
        <v>78530</v>
      </c>
    </row>
    <row r="712" spans="1:16" ht="27" customHeight="1" x14ac:dyDescent="0.2">
      <c r="A712" s="9" t="s">
        <v>1682</v>
      </c>
      <c r="B712" s="10" t="s">
        <v>2023</v>
      </c>
      <c r="C712" s="11" t="s">
        <v>2580</v>
      </c>
      <c r="D712" s="11" t="s">
        <v>2581</v>
      </c>
      <c r="E712" s="11" t="s">
        <v>26</v>
      </c>
      <c r="F712" s="11" t="s">
        <v>2582</v>
      </c>
      <c r="G712" s="11" t="s">
        <v>28</v>
      </c>
      <c r="H712" s="11" t="s">
        <v>2582</v>
      </c>
      <c r="I712" s="11" t="s">
        <v>2583</v>
      </c>
      <c r="J712" s="12">
        <v>0.92300000000000004</v>
      </c>
      <c r="K712" s="13">
        <v>1</v>
      </c>
      <c r="L712" s="14">
        <v>1013</v>
      </c>
      <c r="M712" s="10">
        <v>935</v>
      </c>
      <c r="N712" s="10">
        <v>111938</v>
      </c>
      <c r="O712" s="10">
        <v>73322</v>
      </c>
      <c r="P712" s="10">
        <v>185260</v>
      </c>
    </row>
    <row r="713" spans="1:16" ht="27" customHeight="1" x14ac:dyDescent="0.2">
      <c r="A713" s="9" t="s">
        <v>1682</v>
      </c>
      <c r="B713" s="10" t="s">
        <v>2023</v>
      </c>
      <c r="C713" s="11" t="s">
        <v>2584</v>
      </c>
      <c r="D713" s="11" t="s">
        <v>2585</v>
      </c>
      <c r="E713" s="11" t="s">
        <v>26</v>
      </c>
      <c r="F713" s="11" t="s">
        <v>2586</v>
      </c>
      <c r="G713" s="11" t="s">
        <v>28</v>
      </c>
      <c r="H713" s="11" t="s">
        <v>1685</v>
      </c>
      <c r="I713" s="11" t="s">
        <v>1686</v>
      </c>
      <c r="J713" s="12">
        <v>1</v>
      </c>
      <c r="K713" s="13">
        <v>1</v>
      </c>
      <c r="L713" s="14">
        <v>200</v>
      </c>
      <c r="M713" s="10">
        <v>183</v>
      </c>
      <c r="N713" s="10">
        <v>22100</v>
      </c>
      <c r="O713" s="10">
        <v>14351</v>
      </c>
      <c r="P713" s="10">
        <v>36451</v>
      </c>
    </row>
    <row r="714" spans="1:16" ht="27" customHeight="1" x14ac:dyDescent="0.2">
      <c r="A714" s="9" t="s">
        <v>1682</v>
      </c>
      <c r="B714" s="10" t="s">
        <v>2023</v>
      </c>
      <c r="C714" s="11" t="s">
        <v>2587</v>
      </c>
      <c r="D714" s="11" t="s">
        <v>2588</v>
      </c>
      <c r="E714" s="11" t="s">
        <v>26</v>
      </c>
      <c r="F714" s="11" t="s">
        <v>2589</v>
      </c>
      <c r="G714" s="11" t="s">
        <v>28</v>
      </c>
      <c r="H714" s="11" t="s">
        <v>1685</v>
      </c>
      <c r="I714" s="11" t="s">
        <v>1686</v>
      </c>
      <c r="J714" s="12">
        <v>1</v>
      </c>
      <c r="K714" s="13">
        <v>1</v>
      </c>
      <c r="L714" s="14">
        <v>350</v>
      </c>
      <c r="M714" s="10">
        <v>276</v>
      </c>
      <c r="N714" s="10">
        <v>38676</v>
      </c>
      <c r="O714" s="10">
        <v>21644</v>
      </c>
      <c r="P714" s="10">
        <v>60320</v>
      </c>
    </row>
    <row r="715" spans="1:16" ht="27" customHeight="1" x14ac:dyDescent="0.2">
      <c r="A715" s="9" t="s">
        <v>1682</v>
      </c>
      <c r="B715" s="10" t="s">
        <v>2023</v>
      </c>
      <c r="C715" s="11" t="s">
        <v>2590</v>
      </c>
      <c r="D715" s="11" t="s">
        <v>2591</v>
      </c>
      <c r="E715" s="11" t="s">
        <v>26</v>
      </c>
      <c r="F715" s="11" t="s">
        <v>2592</v>
      </c>
      <c r="G715" s="11" t="s">
        <v>28</v>
      </c>
      <c r="H715" s="11" t="s">
        <v>2592</v>
      </c>
      <c r="I715" s="11" t="s">
        <v>2593</v>
      </c>
      <c r="J715" s="12">
        <v>0.86970000000000003</v>
      </c>
      <c r="K715" s="13">
        <v>1</v>
      </c>
      <c r="L715" s="14">
        <v>261</v>
      </c>
      <c r="M715" s="10">
        <v>227</v>
      </c>
      <c r="N715" s="10">
        <v>28841</v>
      </c>
      <c r="O715" s="10">
        <v>17801</v>
      </c>
      <c r="P715" s="10">
        <v>46642</v>
      </c>
    </row>
    <row r="716" spans="1:16" ht="27" customHeight="1" x14ac:dyDescent="0.2">
      <c r="A716" s="9" t="s">
        <v>1682</v>
      </c>
      <c r="B716" s="10" t="s">
        <v>2023</v>
      </c>
      <c r="C716" s="11" t="s">
        <v>2594</v>
      </c>
      <c r="D716" s="11" t="s">
        <v>2595</v>
      </c>
      <c r="E716" s="11" t="s">
        <v>26</v>
      </c>
      <c r="F716" s="11" t="s">
        <v>2596</v>
      </c>
      <c r="G716" s="11" t="s">
        <v>28</v>
      </c>
      <c r="H716" s="11" t="s">
        <v>2596</v>
      </c>
      <c r="I716" s="11" t="s">
        <v>2597</v>
      </c>
      <c r="J716" s="12">
        <v>0.95850000000000002</v>
      </c>
      <c r="K716" s="13">
        <v>1</v>
      </c>
      <c r="L716" s="14">
        <v>796</v>
      </c>
      <c r="M716" s="10">
        <v>763</v>
      </c>
      <c r="N716" s="10">
        <v>87959</v>
      </c>
      <c r="O716" s="10">
        <v>59834</v>
      </c>
      <c r="P716" s="10">
        <v>147793</v>
      </c>
    </row>
    <row r="717" spans="1:16" ht="27" customHeight="1" x14ac:dyDescent="0.2">
      <c r="A717" s="9" t="s">
        <v>1682</v>
      </c>
      <c r="B717" s="10" t="s">
        <v>2023</v>
      </c>
      <c r="C717" s="11" t="s">
        <v>2598</v>
      </c>
      <c r="D717" s="11" t="s">
        <v>2599</v>
      </c>
      <c r="E717" s="11" t="s">
        <v>26</v>
      </c>
      <c r="F717" s="11" t="s">
        <v>2600</v>
      </c>
      <c r="G717" s="11" t="s">
        <v>28</v>
      </c>
      <c r="H717" s="11" t="s">
        <v>1685</v>
      </c>
      <c r="I717" s="11" t="s">
        <v>1686</v>
      </c>
      <c r="J717" s="12">
        <v>1</v>
      </c>
      <c r="K717" s="13">
        <v>1</v>
      </c>
      <c r="L717" s="14">
        <v>346</v>
      </c>
      <c r="M717" s="10">
        <v>316</v>
      </c>
      <c r="N717" s="10">
        <v>38234</v>
      </c>
      <c r="O717" s="10">
        <v>24780</v>
      </c>
      <c r="P717" s="10">
        <v>63014</v>
      </c>
    </row>
    <row r="718" spans="1:16" ht="27" customHeight="1" x14ac:dyDescent="0.2">
      <c r="A718" s="9" t="s">
        <v>1682</v>
      </c>
      <c r="B718" s="10" t="s">
        <v>2023</v>
      </c>
      <c r="C718" s="11" t="s">
        <v>2601</v>
      </c>
      <c r="D718" s="11" t="s">
        <v>2602</v>
      </c>
      <c r="E718" s="11" t="s">
        <v>26</v>
      </c>
      <c r="F718" s="11" t="s">
        <v>2603</v>
      </c>
      <c r="G718" s="11" t="s">
        <v>28</v>
      </c>
      <c r="H718" s="11" t="s">
        <v>2603</v>
      </c>
      <c r="I718" s="11" t="s">
        <v>2604</v>
      </c>
      <c r="J718" s="12">
        <v>0.89810000000000001</v>
      </c>
      <c r="K718" s="13">
        <v>1</v>
      </c>
      <c r="L718" s="14">
        <v>373</v>
      </c>
      <c r="M718" s="10">
        <v>335</v>
      </c>
      <c r="N718" s="10">
        <v>41217</v>
      </c>
      <c r="O718" s="10">
        <v>26270</v>
      </c>
      <c r="P718" s="10">
        <v>67487</v>
      </c>
    </row>
    <row r="719" spans="1:16" ht="27" customHeight="1" x14ac:dyDescent="0.2">
      <c r="A719" s="9" t="s">
        <v>1682</v>
      </c>
      <c r="B719" s="10" t="s">
        <v>2023</v>
      </c>
      <c r="C719" s="11" t="s">
        <v>2605</v>
      </c>
      <c r="D719" s="11" t="s">
        <v>2606</v>
      </c>
      <c r="E719" s="11" t="s">
        <v>26</v>
      </c>
      <c r="F719" s="11" t="s">
        <v>2607</v>
      </c>
      <c r="G719" s="11" t="s">
        <v>28</v>
      </c>
      <c r="H719" s="11" t="s">
        <v>1685</v>
      </c>
      <c r="I719" s="11" t="s">
        <v>1686</v>
      </c>
      <c r="J719" s="12">
        <v>1</v>
      </c>
      <c r="K719" s="13">
        <v>1</v>
      </c>
      <c r="L719" s="14">
        <v>390</v>
      </c>
      <c r="M719" s="10">
        <v>361</v>
      </c>
      <c r="N719" s="10">
        <v>43096</v>
      </c>
      <c r="O719" s="10">
        <v>28309</v>
      </c>
      <c r="P719" s="10">
        <v>71405</v>
      </c>
    </row>
    <row r="720" spans="1:16" ht="27" customHeight="1" x14ac:dyDescent="0.2">
      <c r="A720" s="9" t="s">
        <v>1682</v>
      </c>
      <c r="B720" s="10" t="s">
        <v>2023</v>
      </c>
      <c r="C720" s="11" t="s">
        <v>2608</v>
      </c>
      <c r="D720" s="11" t="s">
        <v>2609</v>
      </c>
      <c r="E720" s="11" t="s">
        <v>26</v>
      </c>
      <c r="F720" s="11" t="s">
        <v>2610</v>
      </c>
      <c r="G720" s="11" t="s">
        <v>28</v>
      </c>
      <c r="H720" s="11" t="s">
        <v>2610</v>
      </c>
      <c r="I720" s="11" t="s">
        <v>2611</v>
      </c>
      <c r="J720" s="12">
        <v>0.88949999999999996</v>
      </c>
      <c r="K720" s="13">
        <v>1</v>
      </c>
      <c r="L720" s="14">
        <v>371</v>
      </c>
      <c r="M720" s="10">
        <v>330</v>
      </c>
      <c r="N720" s="10">
        <v>40996</v>
      </c>
      <c r="O720" s="10">
        <v>25878</v>
      </c>
      <c r="P720" s="10">
        <v>66874</v>
      </c>
    </row>
    <row r="721" spans="1:16" ht="27" customHeight="1" x14ac:dyDescent="0.2">
      <c r="A721" s="9" t="s">
        <v>1682</v>
      </c>
      <c r="B721" s="10" t="s">
        <v>2023</v>
      </c>
      <c r="C721" s="11" t="s">
        <v>2612</v>
      </c>
      <c r="D721" s="11" t="s">
        <v>2613</v>
      </c>
      <c r="E721" s="11" t="s">
        <v>26</v>
      </c>
      <c r="F721" s="11" t="s">
        <v>2614</v>
      </c>
      <c r="G721" s="11" t="s">
        <v>28</v>
      </c>
      <c r="H721" s="11" t="s">
        <v>2614</v>
      </c>
      <c r="I721" s="11" t="s">
        <v>2615</v>
      </c>
      <c r="J721" s="12">
        <v>0.80830000000000002</v>
      </c>
      <c r="K721" s="13">
        <v>1</v>
      </c>
      <c r="L721" s="14">
        <v>193</v>
      </c>
      <c r="M721" s="10">
        <v>156</v>
      </c>
      <c r="N721" s="10">
        <v>21327</v>
      </c>
      <c r="O721" s="10">
        <v>12233</v>
      </c>
      <c r="P721" s="10">
        <v>33560</v>
      </c>
    </row>
    <row r="722" spans="1:16" ht="27" customHeight="1" x14ac:dyDescent="0.2">
      <c r="A722" s="9" t="s">
        <v>1682</v>
      </c>
      <c r="B722" s="10" t="s">
        <v>2023</v>
      </c>
      <c r="C722" s="11" t="s">
        <v>2616</v>
      </c>
      <c r="D722" s="11" t="s">
        <v>2617</v>
      </c>
      <c r="E722" s="11" t="s">
        <v>26</v>
      </c>
      <c r="F722" s="11" t="s">
        <v>2618</v>
      </c>
      <c r="G722" s="11" t="s">
        <v>28</v>
      </c>
      <c r="H722" s="11" t="s">
        <v>1685</v>
      </c>
      <c r="I722" s="11" t="s">
        <v>1686</v>
      </c>
      <c r="J722" s="12">
        <v>1</v>
      </c>
      <c r="K722" s="13">
        <v>1</v>
      </c>
      <c r="L722" s="14">
        <v>157</v>
      </c>
      <c r="M722" s="10">
        <v>135</v>
      </c>
      <c r="N722" s="10">
        <v>17349</v>
      </c>
      <c r="O722" s="10">
        <v>10587</v>
      </c>
      <c r="P722" s="10">
        <v>27936</v>
      </c>
    </row>
    <row r="723" spans="1:16" ht="27" customHeight="1" x14ac:dyDescent="0.2">
      <c r="A723" s="9" t="s">
        <v>1682</v>
      </c>
      <c r="B723" s="10" t="s">
        <v>2023</v>
      </c>
      <c r="C723" s="11" t="s">
        <v>2619</v>
      </c>
      <c r="D723" s="11" t="s">
        <v>2620</v>
      </c>
      <c r="E723" s="11" t="s">
        <v>26</v>
      </c>
      <c r="F723" s="11" t="s">
        <v>2621</v>
      </c>
      <c r="G723" s="11" t="s">
        <v>28</v>
      </c>
      <c r="H723" s="11" t="s">
        <v>1685</v>
      </c>
      <c r="I723" s="11" t="s">
        <v>1686</v>
      </c>
      <c r="J723" s="12">
        <v>1</v>
      </c>
      <c r="K723" s="13">
        <v>1</v>
      </c>
      <c r="L723" s="14">
        <v>473</v>
      </c>
      <c r="M723" s="10">
        <v>437</v>
      </c>
      <c r="N723" s="10">
        <v>52267</v>
      </c>
      <c r="O723" s="10">
        <v>34269</v>
      </c>
      <c r="P723" s="10">
        <v>86536</v>
      </c>
    </row>
    <row r="724" spans="1:16" ht="27" customHeight="1" x14ac:dyDescent="0.2">
      <c r="A724" s="9" t="s">
        <v>1682</v>
      </c>
      <c r="B724" s="10" t="s">
        <v>2023</v>
      </c>
      <c r="C724" s="11" t="s">
        <v>2622</v>
      </c>
      <c r="D724" s="11" t="s">
        <v>2623</v>
      </c>
      <c r="E724" s="11" t="s">
        <v>26</v>
      </c>
      <c r="F724" s="11" t="s">
        <v>2624</v>
      </c>
      <c r="G724" s="11" t="s">
        <v>28</v>
      </c>
      <c r="H724" s="11" t="s">
        <v>1685</v>
      </c>
      <c r="I724" s="11" t="s">
        <v>1686</v>
      </c>
      <c r="J724" s="12">
        <v>1</v>
      </c>
      <c r="K724" s="13">
        <v>1</v>
      </c>
      <c r="L724" s="14">
        <v>443</v>
      </c>
      <c r="M724" s="10">
        <v>435</v>
      </c>
      <c r="N724" s="10">
        <v>48952</v>
      </c>
      <c r="O724" s="10">
        <v>34112</v>
      </c>
      <c r="P724" s="10">
        <v>83064</v>
      </c>
    </row>
    <row r="725" spans="1:16" ht="27" customHeight="1" x14ac:dyDescent="0.2">
      <c r="A725" s="9" t="s">
        <v>1682</v>
      </c>
      <c r="B725" s="10" t="s">
        <v>2023</v>
      </c>
      <c r="C725" s="11" t="s">
        <v>2625</v>
      </c>
      <c r="D725" s="11" t="s">
        <v>2626</v>
      </c>
      <c r="E725" s="11" t="s">
        <v>26</v>
      </c>
      <c r="F725" s="11" t="s">
        <v>2627</v>
      </c>
      <c r="G725" s="11" t="s">
        <v>28</v>
      </c>
      <c r="H725" s="11" t="s">
        <v>1685</v>
      </c>
      <c r="I725" s="11" t="s">
        <v>1686</v>
      </c>
      <c r="J725" s="12">
        <v>1</v>
      </c>
      <c r="K725" s="13">
        <v>1</v>
      </c>
      <c r="L725" s="14">
        <v>255</v>
      </c>
      <c r="M725" s="10">
        <v>243</v>
      </c>
      <c r="N725" s="10">
        <v>28178</v>
      </c>
      <c r="O725" s="10">
        <v>19056</v>
      </c>
      <c r="P725" s="10">
        <v>47234</v>
      </c>
    </row>
    <row r="726" spans="1:16" ht="27" customHeight="1" x14ac:dyDescent="0.2">
      <c r="A726" s="9" t="s">
        <v>1682</v>
      </c>
      <c r="B726" s="10" t="s">
        <v>2023</v>
      </c>
      <c r="C726" s="11" t="s">
        <v>2628</v>
      </c>
      <c r="D726" s="11" t="s">
        <v>2629</v>
      </c>
      <c r="E726" s="11" t="s">
        <v>26</v>
      </c>
      <c r="F726" s="11" t="s">
        <v>2630</v>
      </c>
      <c r="G726" s="11" t="s">
        <v>28</v>
      </c>
      <c r="H726" s="11" t="s">
        <v>2630</v>
      </c>
      <c r="I726" s="11" t="s">
        <v>2631</v>
      </c>
      <c r="J726" s="12">
        <v>0.96519999999999995</v>
      </c>
      <c r="K726" s="13">
        <v>1</v>
      </c>
      <c r="L726" s="14">
        <v>374</v>
      </c>
      <c r="M726" s="10">
        <v>361</v>
      </c>
      <c r="N726" s="10">
        <v>41328</v>
      </c>
      <c r="O726" s="10">
        <v>28309</v>
      </c>
      <c r="P726" s="10">
        <v>69637</v>
      </c>
    </row>
    <row r="727" spans="1:16" ht="27" customHeight="1" x14ac:dyDescent="0.2">
      <c r="A727" s="9" t="s">
        <v>1682</v>
      </c>
      <c r="B727" s="10" t="s">
        <v>2023</v>
      </c>
      <c r="C727" s="11" t="s">
        <v>2632</v>
      </c>
      <c r="D727" s="11" t="s">
        <v>2633</v>
      </c>
      <c r="E727" s="11" t="s">
        <v>26</v>
      </c>
      <c r="F727" s="11" t="s">
        <v>2634</v>
      </c>
      <c r="G727" s="11" t="s">
        <v>28</v>
      </c>
      <c r="H727" s="11" t="s">
        <v>2634</v>
      </c>
      <c r="I727" s="11" t="s">
        <v>2635</v>
      </c>
      <c r="J727" s="12">
        <v>0.85509999999999997</v>
      </c>
      <c r="K727" s="13">
        <v>1</v>
      </c>
      <c r="L727" s="14">
        <v>1056</v>
      </c>
      <c r="M727" s="10">
        <v>903</v>
      </c>
      <c r="N727" s="10">
        <v>116690</v>
      </c>
      <c r="O727" s="10">
        <v>70812</v>
      </c>
      <c r="P727" s="10">
        <v>187502</v>
      </c>
    </row>
    <row r="728" spans="1:16" ht="27" customHeight="1" x14ac:dyDescent="0.2">
      <c r="A728" s="9" t="s">
        <v>1682</v>
      </c>
      <c r="B728" s="10" t="s">
        <v>2023</v>
      </c>
      <c r="C728" s="11" t="s">
        <v>2636</v>
      </c>
      <c r="D728" s="11" t="s">
        <v>2637</v>
      </c>
      <c r="E728" s="11" t="s">
        <v>26</v>
      </c>
      <c r="F728" s="11" t="s">
        <v>2638</v>
      </c>
      <c r="G728" s="11" t="s">
        <v>28</v>
      </c>
      <c r="H728" s="11" t="s">
        <v>2638</v>
      </c>
      <c r="I728" s="11" t="s">
        <v>2639</v>
      </c>
      <c r="J728" s="12">
        <v>0.92120000000000002</v>
      </c>
      <c r="K728" s="13">
        <v>1</v>
      </c>
      <c r="L728" s="14">
        <v>330</v>
      </c>
      <c r="M728" s="10">
        <v>304</v>
      </c>
      <c r="N728" s="10">
        <v>36466</v>
      </c>
      <c r="O728" s="10">
        <v>23839</v>
      </c>
      <c r="P728" s="10">
        <v>60305</v>
      </c>
    </row>
    <row r="729" spans="1:16" ht="27" customHeight="1" x14ac:dyDescent="0.2">
      <c r="A729" s="9" t="s">
        <v>1682</v>
      </c>
      <c r="B729" s="10" t="s">
        <v>2023</v>
      </c>
      <c r="C729" s="11" t="s">
        <v>2640</v>
      </c>
      <c r="D729" s="11" t="s">
        <v>2641</v>
      </c>
      <c r="E729" s="11" t="s">
        <v>26</v>
      </c>
      <c r="F729" s="11" t="s">
        <v>2642</v>
      </c>
      <c r="G729" s="11" t="s">
        <v>28</v>
      </c>
      <c r="H729" s="11" t="s">
        <v>1685</v>
      </c>
      <c r="I729" s="11" t="s">
        <v>1686</v>
      </c>
      <c r="J729" s="12">
        <v>1</v>
      </c>
      <c r="K729" s="13">
        <v>1</v>
      </c>
      <c r="L729" s="14">
        <v>276</v>
      </c>
      <c r="M729" s="10">
        <v>92</v>
      </c>
      <c r="N729" s="10">
        <v>30498</v>
      </c>
      <c r="O729" s="10">
        <v>7215</v>
      </c>
      <c r="P729" s="10">
        <v>37713</v>
      </c>
    </row>
    <row r="730" spans="1:16" ht="27" customHeight="1" x14ac:dyDescent="0.2">
      <c r="A730" s="9" t="s">
        <v>1682</v>
      </c>
      <c r="B730" s="10" t="s">
        <v>2023</v>
      </c>
      <c r="C730" s="11" t="s">
        <v>2643</v>
      </c>
      <c r="D730" s="11" t="s">
        <v>2644</v>
      </c>
      <c r="E730" s="11" t="s">
        <v>26</v>
      </c>
      <c r="F730" s="11" t="s">
        <v>2645</v>
      </c>
      <c r="G730" s="11" t="s">
        <v>28</v>
      </c>
      <c r="H730" s="11" t="s">
        <v>1685</v>
      </c>
      <c r="I730" s="11" t="s">
        <v>1686</v>
      </c>
      <c r="J730" s="12">
        <v>1</v>
      </c>
      <c r="K730" s="13">
        <v>1</v>
      </c>
      <c r="L730" s="14">
        <v>494</v>
      </c>
      <c r="M730" s="10">
        <v>377</v>
      </c>
      <c r="N730" s="10">
        <v>54588</v>
      </c>
      <c r="O730" s="10">
        <v>29564</v>
      </c>
      <c r="P730" s="10">
        <v>84152</v>
      </c>
    </row>
    <row r="731" spans="1:16" ht="27" customHeight="1" x14ac:dyDescent="0.2">
      <c r="A731" s="9" t="s">
        <v>1682</v>
      </c>
      <c r="B731" s="10" t="s">
        <v>2023</v>
      </c>
      <c r="C731" s="11" t="s">
        <v>2646</v>
      </c>
      <c r="D731" s="11" t="s">
        <v>2647</v>
      </c>
      <c r="E731" s="11" t="s">
        <v>26</v>
      </c>
      <c r="F731" s="11" t="s">
        <v>2648</v>
      </c>
      <c r="G731" s="11" t="s">
        <v>28</v>
      </c>
      <c r="H731" s="11" t="s">
        <v>1685</v>
      </c>
      <c r="I731" s="11" t="s">
        <v>1686</v>
      </c>
      <c r="J731" s="12">
        <v>1</v>
      </c>
      <c r="K731" s="13">
        <v>1</v>
      </c>
      <c r="L731" s="14">
        <v>484</v>
      </c>
      <c r="M731" s="10">
        <v>251</v>
      </c>
      <c r="N731" s="10">
        <v>53483</v>
      </c>
      <c r="O731" s="10">
        <v>19683</v>
      </c>
      <c r="P731" s="10">
        <v>73166</v>
      </c>
    </row>
    <row r="732" spans="1:16" ht="27" customHeight="1" x14ac:dyDescent="0.2">
      <c r="A732" s="9" t="s">
        <v>1682</v>
      </c>
      <c r="B732" s="10" t="s">
        <v>2023</v>
      </c>
      <c r="C732" s="11" t="s">
        <v>2649</v>
      </c>
      <c r="D732" s="11" t="s">
        <v>2650</v>
      </c>
      <c r="E732" s="11" t="s">
        <v>26</v>
      </c>
      <c r="F732" s="11" t="s">
        <v>2651</v>
      </c>
      <c r="G732" s="11" t="s">
        <v>28</v>
      </c>
      <c r="H732" s="11" t="s">
        <v>2651</v>
      </c>
      <c r="I732" s="11" t="s">
        <v>2652</v>
      </c>
      <c r="J732" s="12">
        <v>0.1976</v>
      </c>
      <c r="K732" s="13">
        <v>1</v>
      </c>
      <c r="L732" s="14">
        <v>850</v>
      </c>
      <c r="M732" s="10">
        <v>168</v>
      </c>
      <c r="N732" s="10">
        <v>93926</v>
      </c>
      <c r="O732" s="10">
        <v>13174</v>
      </c>
      <c r="P732" s="10">
        <v>107100</v>
      </c>
    </row>
    <row r="733" spans="1:16" ht="27" customHeight="1" x14ac:dyDescent="0.2">
      <c r="A733" s="9" t="s">
        <v>1682</v>
      </c>
      <c r="B733" s="10" t="s">
        <v>2023</v>
      </c>
      <c r="C733" s="11" t="s">
        <v>2653</v>
      </c>
      <c r="D733" s="11" t="s">
        <v>2654</v>
      </c>
      <c r="E733" s="11" t="s">
        <v>26</v>
      </c>
      <c r="F733" s="11" t="s">
        <v>2655</v>
      </c>
      <c r="G733" s="11" t="s">
        <v>28</v>
      </c>
      <c r="H733" s="11" t="s">
        <v>2655</v>
      </c>
      <c r="I733" s="11" t="s">
        <v>2656</v>
      </c>
      <c r="J733" s="12">
        <v>0.88100000000000001</v>
      </c>
      <c r="K733" s="13">
        <v>1</v>
      </c>
      <c r="L733" s="14">
        <v>630</v>
      </c>
      <c r="M733" s="10">
        <v>555</v>
      </c>
      <c r="N733" s="10">
        <v>69616</v>
      </c>
      <c r="O733" s="10">
        <v>43523</v>
      </c>
      <c r="P733" s="10">
        <v>113139</v>
      </c>
    </row>
    <row r="734" spans="1:16" ht="27" customHeight="1" x14ac:dyDescent="0.2">
      <c r="A734" s="9" t="s">
        <v>1682</v>
      </c>
      <c r="B734" s="10" t="s">
        <v>2023</v>
      </c>
      <c r="C734" s="11" t="s">
        <v>2657</v>
      </c>
      <c r="D734" s="11" t="s">
        <v>2658</v>
      </c>
      <c r="E734" s="11" t="s">
        <v>26</v>
      </c>
      <c r="F734" s="11" t="s">
        <v>2659</v>
      </c>
      <c r="G734" s="11" t="s">
        <v>28</v>
      </c>
      <c r="H734" s="11" t="s">
        <v>2659</v>
      </c>
      <c r="I734" s="11" t="s">
        <v>2660</v>
      </c>
      <c r="J734" s="12">
        <v>0.82150000000000001</v>
      </c>
      <c r="K734" s="13">
        <v>1</v>
      </c>
      <c r="L734" s="14">
        <v>325</v>
      </c>
      <c r="M734" s="10">
        <v>267</v>
      </c>
      <c r="N734" s="10">
        <v>35913</v>
      </c>
      <c r="O734" s="10">
        <v>20938</v>
      </c>
      <c r="P734" s="10">
        <v>56851</v>
      </c>
    </row>
    <row r="735" spans="1:16" ht="27" customHeight="1" x14ac:dyDescent="0.2">
      <c r="A735" s="9" t="s">
        <v>1682</v>
      </c>
      <c r="B735" s="10" t="s">
        <v>2023</v>
      </c>
      <c r="C735" s="11" t="s">
        <v>2661</v>
      </c>
      <c r="D735" s="11" t="s">
        <v>2662</v>
      </c>
      <c r="E735" s="11" t="s">
        <v>26</v>
      </c>
      <c r="F735" s="11" t="s">
        <v>2663</v>
      </c>
      <c r="G735" s="11" t="s">
        <v>28</v>
      </c>
      <c r="H735" s="11" t="s">
        <v>2663</v>
      </c>
      <c r="I735" s="11" t="s">
        <v>2664</v>
      </c>
      <c r="J735" s="12">
        <v>0.94589999999999996</v>
      </c>
      <c r="K735" s="13">
        <v>1</v>
      </c>
      <c r="L735" s="14">
        <v>185</v>
      </c>
      <c r="M735" s="10">
        <v>175</v>
      </c>
      <c r="N735" s="10">
        <v>20443</v>
      </c>
      <c r="O735" s="10">
        <v>13723</v>
      </c>
      <c r="P735" s="10">
        <v>34166</v>
      </c>
    </row>
    <row r="736" spans="1:16" ht="27" customHeight="1" x14ac:dyDescent="0.2">
      <c r="A736" s="9" t="s">
        <v>1682</v>
      </c>
      <c r="B736" s="10" t="s">
        <v>2023</v>
      </c>
      <c r="C736" s="11" t="s">
        <v>2665</v>
      </c>
      <c r="D736" s="11" t="s">
        <v>2666</v>
      </c>
      <c r="E736" s="11" t="s">
        <v>26</v>
      </c>
      <c r="F736" s="11" t="s">
        <v>2667</v>
      </c>
      <c r="G736" s="11" t="s">
        <v>28</v>
      </c>
      <c r="H736" s="11" t="s">
        <v>1685</v>
      </c>
      <c r="I736" s="11" t="s">
        <v>1686</v>
      </c>
      <c r="J736" s="12">
        <v>1</v>
      </c>
      <c r="K736" s="13">
        <v>1</v>
      </c>
      <c r="L736" s="14">
        <v>122</v>
      </c>
      <c r="M736" s="10">
        <v>61</v>
      </c>
      <c r="N736" s="10">
        <v>13481</v>
      </c>
      <c r="O736" s="10">
        <v>4784</v>
      </c>
      <c r="P736" s="10">
        <v>18265</v>
      </c>
    </row>
    <row r="737" spans="1:16" ht="27" customHeight="1" x14ac:dyDescent="0.2">
      <c r="A737" s="9" t="s">
        <v>1682</v>
      </c>
      <c r="B737" s="10" t="s">
        <v>2023</v>
      </c>
      <c r="C737" s="11" t="s">
        <v>2668</v>
      </c>
      <c r="D737" s="11" t="s">
        <v>2669</v>
      </c>
      <c r="E737" s="11" t="s">
        <v>26</v>
      </c>
      <c r="F737" s="11" t="s">
        <v>2670</v>
      </c>
      <c r="G737" s="11" t="s">
        <v>28</v>
      </c>
      <c r="H737" s="11" t="s">
        <v>1685</v>
      </c>
      <c r="I737" s="11" t="s">
        <v>1686</v>
      </c>
      <c r="J737" s="12">
        <v>1</v>
      </c>
      <c r="K737" s="13">
        <v>1</v>
      </c>
      <c r="L737" s="14">
        <v>235</v>
      </c>
      <c r="M737" s="10">
        <v>121</v>
      </c>
      <c r="N737" s="10">
        <v>25968</v>
      </c>
      <c r="O737" s="10">
        <v>9489</v>
      </c>
      <c r="P737" s="10">
        <v>35457</v>
      </c>
    </row>
    <row r="738" spans="1:16" ht="27" customHeight="1" x14ac:dyDescent="0.2">
      <c r="A738" s="9" t="s">
        <v>1682</v>
      </c>
      <c r="B738" s="10" t="s">
        <v>2023</v>
      </c>
      <c r="C738" s="11" t="s">
        <v>2671</v>
      </c>
      <c r="D738" s="11" t="s">
        <v>2672</v>
      </c>
      <c r="E738" s="11" t="s">
        <v>26</v>
      </c>
      <c r="F738" s="11" t="s">
        <v>2673</v>
      </c>
      <c r="G738" s="11" t="s">
        <v>28</v>
      </c>
      <c r="H738" s="11" t="s">
        <v>2673</v>
      </c>
      <c r="I738" s="11" t="s">
        <v>2674</v>
      </c>
      <c r="J738" s="12">
        <v>0.68810000000000004</v>
      </c>
      <c r="K738" s="13">
        <v>1</v>
      </c>
      <c r="L738" s="14">
        <v>109</v>
      </c>
      <c r="M738" s="10">
        <v>75</v>
      </c>
      <c r="N738" s="10">
        <v>12045</v>
      </c>
      <c r="O738" s="10">
        <v>5881</v>
      </c>
      <c r="P738" s="10">
        <v>17926</v>
      </c>
    </row>
    <row r="739" spans="1:16" ht="27" customHeight="1" x14ac:dyDescent="0.2">
      <c r="A739" s="9" t="s">
        <v>1682</v>
      </c>
      <c r="B739" s="10" t="s">
        <v>2023</v>
      </c>
      <c r="C739" s="11" t="s">
        <v>2675</v>
      </c>
      <c r="D739" s="11" t="s">
        <v>2676</v>
      </c>
      <c r="E739" s="11" t="s">
        <v>26</v>
      </c>
      <c r="F739" s="11" t="s">
        <v>2677</v>
      </c>
      <c r="G739" s="11" t="s">
        <v>28</v>
      </c>
      <c r="H739" s="11" t="s">
        <v>2677</v>
      </c>
      <c r="I739" s="11" t="s">
        <v>2678</v>
      </c>
      <c r="J739" s="12">
        <v>0.96150000000000002</v>
      </c>
      <c r="K739" s="13">
        <v>1</v>
      </c>
      <c r="L739" s="14">
        <v>182</v>
      </c>
      <c r="M739" s="10">
        <v>175</v>
      </c>
      <c r="N739" s="10">
        <v>20111</v>
      </c>
      <c r="O739" s="10">
        <v>13723</v>
      </c>
      <c r="P739" s="10">
        <v>33834</v>
      </c>
    </row>
    <row r="740" spans="1:16" ht="27" customHeight="1" x14ac:dyDescent="0.2">
      <c r="A740" s="9" t="s">
        <v>1682</v>
      </c>
      <c r="B740" s="10" t="s">
        <v>2023</v>
      </c>
      <c r="C740" s="11" t="s">
        <v>2679</v>
      </c>
      <c r="D740" s="11" t="s">
        <v>2680</v>
      </c>
      <c r="E740" s="11" t="s">
        <v>26</v>
      </c>
      <c r="F740" s="11" t="s">
        <v>2681</v>
      </c>
      <c r="G740" s="11" t="s">
        <v>28</v>
      </c>
      <c r="H740" s="11" t="s">
        <v>1685</v>
      </c>
      <c r="I740" s="11" t="s">
        <v>1686</v>
      </c>
      <c r="J740" s="12">
        <v>1</v>
      </c>
      <c r="K740" s="13">
        <v>1</v>
      </c>
      <c r="L740" s="14">
        <v>170</v>
      </c>
      <c r="M740" s="10">
        <v>160</v>
      </c>
      <c r="N740" s="10">
        <v>18785</v>
      </c>
      <c r="O740" s="10">
        <v>12547</v>
      </c>
      <c r="P740" s="10">
        <v>31332</v>
      </c>
    </row>
    <row r="741" spans="1:16" ht="27" customHeight="1" x14ac:dyDescent="0.2">
      <c r="A741" s="9" t="s">
        <v>1682</v>
      </c>
      <c r="B741" s="10" t="s">
        <v>2023</v>
      </c>
      <c r="C741" s="11" t="s">
        <v>2682</v>
      </c>
      <c r="D741" s="11" t="s">
        <v>2683</v>
      </c>
      <c r="E741" s="11" t="s">
        <v>26</v>
      </c>
      <c r="F741" s="11" t="s">
        <v>2684</v>
      </c>
      <c r="G741" s="11" t="s">
        <v>28</v>
      </c>
      <c r="H741" s="11" t="s">
        <v>2684</v>
      </c>
      <c r="I741" s="11" t="s">
        <v>2685</v>
      </c>
      <c r="J741" s="12">
        <v>0.9355</v>
      </c>
      <c r="K741" s="13">
        <v>1</v>
      </c>
      <c r="L741" s="14">
        <v>248</v>
      </c>
      <c r="M741" s="10">
        <v>232</v>
      </c>
      <c r="N741" s="10">
        <v>27404</v>
      </c>
      <c r="O741" s="10">
        <v>18193</v>
      </c>
      <c r="P741" s="10">
        <v>45597</v>
      </c>
    </row>
    <row r="742" spans="1:16" ht="27" customHeight="1" x14ac:dyDescent="0.2">
      <c r="A742" s="9" t="s">
        <v>1682</v>
      </c>
      <c r="B742" s="10" t="s">
        <v>2023</v>
      </c>
      <c r="C742" s="11" t="s">
        <v>2686</v>
      </c>
      <c r="D742" s="11" t="s">
        <v>2687</v>
      </c>
      <c r="E742" s="11" t="s">
        <v>26</v>
      </c>
      <c r="F742" s="11" t="s">
        <v>2688</v>
      </c>
      <c r="G742" s="11" t="s">
        <v>28</v>
      </c>
      <c r="H742" s="11" t="s">
        <v>1685</v>
      </c>
      <c r="I742" s="11" t="s">
        <v>1686</v>
      </c>
      <c r="J742" s="12">
        <v>1</v>
      </c>
      <c r="K742" s="13">
        <v>1</v>
      </c>
      <c r="L742" s="14">
        <v>275</v>
      </c>
      <c r="M742" s="10">
        <v>74</v>
      </c>
      <c r="N742" s="10">
        <v>30388</v>
      </c>
      <c r="O742" s="10">
        <v>5803</v>
      </c>
      <c r="P742" s="10">
        <v>36191</v>
      </c>
    </row>
    <row r="743" spans="1:16" ht="27" customHeight="1" x14ac:dyDescent="0.2">
      <c r="A743" s="9" t="s">
        <v>1682</v>
      </c>
      <c r="B743" s="10" t="s">
        <v>2023</v>
      </c>
      <c r="C743" s="11" t="s">
        <v>2689</v>
      </c>
      <c r="D743" s="11" t="s">
        <v>2690</v>
      </c>
      <c r="E743" s="11" t="s">
        <v>26</v>
      </c>
      <c r="F743" s="11" t="s">
        <v>2691</v>
      </c>
      <c r="G743" s="11" t="s">
        <v>28</v>
      </c>
      <c r="H743" s="11" t="s">
        <v>2691</v>
      </c>
      <c r="I743" s="11" t="s">
        <v>2692</v>
      </c>
      <c r="J743" s="12">
        <v>0.9718</v>
      </c>
      <c r="K743" s="13">
        <v>1</v>
      </c>
      <c r="L743" s="14">
        <v>248</v>
      </c>
      <c r="M743" s="10">
        <v>241</v>
      </c>
      <c r="N743" s="10">
        <v>27404</v>
      </c>
      <c r="O743" s="10">
        <v>18899</v>
      </c>
      <c r="P743" s="10">
        <v>46303</v>
      </c>
    </row>
    <row r="744" spans="1:16" ht="27" customHeight="1" x14ac:dyDescent="0.2">
      <c r="A744" s="9" t="s">
        <v>1682</v>
      </c>
      <c r="B744" s="10" t="s">
        <v>2023</v>
      </c>
      <c r="C744" s="11" t="s">
        <v>2693</v>
      </c>
      <c r="D744" s="11" t="s">
        <v>2694</v>
      </c>
      <c r="E744" s="11" t="s">
        <v>26</v>
      </c>
      <c r="F744" s="11" t="s">
        <v>2695</v>
      </c>
      <c r="G744" s="11" t="s">
        <v>28</v>
      </c>
      <c r="H744" s="11" t="s">
        <v>2695</v>
      </c>
      <c r="I744" s="11" t="s">
        <v>2696</v>
      </c>
      <c r="J744" s="12">
        <v>0.879</v>
      </c>
      <c r="K744" s="13">
        <v>1</v>
      </c>
      <c r="L744" s="14">
        <v>124</v>
      </c>
      <c r="M744" s="10">
        <v>109</v>
      </c>
      <c r="N744" s="10">
        <v>13702</v>
      </c>
      <c r="O744" s="10">
        <v>8548</v>
      </c>
      <c r="P744" s="10">
        <v>22250</v>
      </c>
    </row>
    <row r="745" spans="1:16" ht="27" customHeight="1" x14ac:dyDescent="0.2">
      <c r="A745" s="9" t="s">
        <v>1682</v>
      </c>
      <c r="B745" s="10" t="s">
        <v>2023</v>
      </c>
      <c r="C745" s="11" t="s">
        <v>2697</v>
      </c>
      <c r="D745" s="11" t="s">
        <v>2698</v>
      </c>
      <c r="E745" s="11" t="s">
        <v>26</v>
      </c>
      <c r="F745" s="11" t="s">
        <v>2699</v>
      </c>
      <c r="G745" s="11" t="s">
        <v>28</v>
      </c>
      <c r="H745" s="11" t="s">
        <v>2699</v>
      </c>
      <c r="I745" s="11" t="s">
        <v>2700</v>
      </c>
      <c r="J745" s="12">
        <v>0.9446</v>
      </c>
      <c r="K745" s="13">
        <v>1</v>
      </c>
      <c r="L745" s="14">
        <v>343</v>
      </c>
      <c r="M745" s="10">
        <v>324</v>
      </c>
      <c r="N745" s="10">
        <v>37902</v>
      </c>
      <c r="O745" s="10">
        <v>25408</v>
      </c>
      <c r="P745" s="10">
        <v>63310</v>
      </c>
    </row>
    <row r="746" spans="1:16" ht="27" customHeight="1" x14ac:dyDescent="0.2">
      <c r="A746" s="9" t="s">
        <v>1682</v>
      </c>
      <c r="B746" s="10" t="s">
        <v>2023</v>
      </c>
      <c r="C746" s="11" t="s">
        <v>2701</v>
      </c>
      <c r="D746" s="11" t="s">
        <v>2702</v>
      </c>
      <c r="E746" s="11" t="s">
        <v>26</v>
      </c>
      <c r="F746" s="11" t="s">
        <v>2703</v>
      </c>
      <c r="G746" s="11" t="s">
        <v>28</v>
      </c>
      <c r="H746" s="11" t="s">
        <v>2703</v>
      </c>
      <c r="I746" s="11" t="s">
        <v>2704</v>
      </c>
      <c r="J746" s="12">
        <v>0.79830000000000001</v>
      </c>
      <c r="K746" s="13">
        <v>1</v>
      </c>
      <c r="L746" s="14">
        <v>119</v>
      </c>
      <c r="M746" s="10">
        <v>95</v>
      </c>
      <c r="N746" s="10">
        <v>13150</v>
      </c>
      <c r="O746" s="10">
        <v>7450</v>
      </c>
      <c r="P746" s="10">
        <v>20600</v>
      </c>
    </row>
    <row r="747" spans="1:16" ht="27" customHeight="1" x14ac:dyDescent="0.2">
      <c r="A747" s="9" t="s">
        <v>1682</v>
      </c>
      <c r="B747" s="10" t="s">
        <v>2023</v>
      </c>
      <c r="C747" s="11" t="s">
        <v>2705</v>
      </c>
      <c r="D747" s="11" t="s">
        <v>2706</v>
      </c>
      <c r="E747" s="11" t="s">
        <v>26</v>
      </c>
      <c r="F747" s="11" t="s">
        <v>2707</v>
      </c>
      <c r="G747" s="11" t="s">
        <v>28</v>
      </c>
      <c r="H747" s="11" t="s">
        <v>2707</v>
      </c>
      <c r="I747" s="11" t="s">
        <v>2708</v>
      </c>
      <c r="J747" s="12">
        <v>0.9042</v>
      </c>
      <c r="K747" s="13">
        <v>1</v>
      </c>
      <c r="L747" s="14">
        <v>407</v>
      </c>
      <c r="M747" s="10">
        <v>368</v>
      </c>
      <c r="N747" s="10">
        <v>44974</v>
      </c>
      <c r="O747" s="10">
        <v>28858</v>
      </c>
      <c r="P747" s="10">
        <v>73832</v>
      </c>
    </row>
    <row r="748" spans="1:16" ht="27" customHeight="1" x14ac:dyDescent="0.2">
      <c r="A748" s="9" t="s">
        <v>1682</v>
      </c>
      <c r="B748" s="10" t="s">
        <v>2023</v>
      </c>
      <c r="C748" s="11" t="s">
        <v>2709</v>
      </c>
      <c r="D748" s="11" t="s">
        <v>2710</v>
      </c>
      <c r="E748" s="11" t="s">
        <v>26</v>
      </c>
      <c r="F748" s="11" t="s">
        <v>2711</v>
      </c>
      <c r="G748" s="11" t="s">
        <v>28</v>
      </c>
      <c r="H748" s="11" t="s">
        <v>2711</v>
      </c>
      <c r="I748" s="11" t="s">
        <v>2712</v>
      </c>
      <c r="J748" s="12">
        <v>0.90290000000000004</v>
      </c>
      <c r="K748" s="13">
        <v>1</v>
      </c>
      <c r="L748" s="14">
        <v>175</v>
      </c>
      <c r="M748" s="10">
        <v>158</v>
      </c>
      <c r="N748" s="10">
        <v>19338</v>
      </c>
      <c r="O748" s="10">
        <v>12390</v>
      </c>
      <c r="P748" s="10">
        <v>31728</v>
      </c>
    </row>
    <row r="749" spans="1:16" ht="27" customHeight="1" x14ac:dyDescent="0.2">
      <c r="A749" s="9" t="s">
        <v>1682</v>
      </c>
      <c r="B749" s="10" t="s">
        <v>2023</v>
      </c>
      <c r="C749" s="11" t="s">
        <v>2713</v>
      </c>
      <c r="D749" s="11" t="s">
        <v>2714</v>
      </c>
      <c r="E749" s="11" t="s">
        <v>26</v>
      </c>
      <c r="F749" s="11" t="s">
        <v>2715</v>
      </c>
      <c r="G749" s="11" t="s">
        <v>28</v>
      </c>
      <c r="H749" s="11" t="s">
        <v>2715</v>
      </c>
      <c r="I749" s="11" t="s">
        <v>2716</v>
      </c>
      <c r="J749" s="12">
        <v>0.25530000000000003</v>
      </c>
      <c r="K749" s="13">
        <v>1</v>
      </c>
      <c r="L749" s="14">
        <v>282</v>
      </c>
      <c r="M749" s="10">
        <v>72</v>
      </c>
      <c r="N749" s="10">
        <v>31161</v>
      </c>
      <c r="O749" s="10">
        <v>5646</v>
      </c>
      <c r="P749" s="10">
        <v>36807</v>
      </c>
    </row>
    <row r="750" spans="1:16" ht="27" customHeight="1" x14ac:dyDescent="0.2">
      <c r="A750" s="9" t="s">
        <v>1682</v>
      </c>
      <c r="B750" s="10" t="s">
        <v>2023</v>
      </c>
      <c r="C750" s="11" t="s">
        <v>2717</v>
      </c>
      <c r="D750" s="11" t="s">
        <v>2718</v>
      </c>
      <c r="E750" s="11" t="s">
        <v>26</v>
      </c>
      <c r="F750" s="11" t="s">
        <v>2719</v>
      </c>
      <c r="G750" s="11" t="s">
        <v>28</v>
      </c>
      <c r="H750" s="11" t="s">
        <v>2719</v>
      </c>
      <c r="I750" s="11" t="s">
        <v>2720</v>
      </c>
      <c r="J750" s="12">
        <v>0.13789999999999999</v>
      </c>
      <c r="K750" s="13">
        <v>1</v>
      </c>
      <c r="L750" s="14">
        <v>203</v>
      </c>
      <c r="M750" s="10">
        <v>28</v>
      </c>
      <c r="N750" s="10">
        <v>22432</v>
      </c>
      <c r="O750" s="10">
        <v>2196</v>
      </c>
      <c r="P750" s="10">
        <v>24628</v>
      </c>
    </row>
    <row r="751" spans="1:16" ht="27" customHeight="1" x14ac:dyDescent="0.2">
      <c r="A751" s="9" t="s">
        <v>1682</v>
      </c>
      <c r="B751" s="10" t="s">
        <v>2023</v>
      </c>
      <c r="C751" s="11" t="s">
        <v>2721</v>
      </c>
      <c r="D751" s="11" t="s">
        <v>2722</v>
      </c>
      <c r="E751" s="11" t="s">
        <v>26</v>
      </c>
      <c r="F751" s="11" t="s">
        <v>2723</v>
      </c>
      <c r="G751" s="11" t="s">
        <v>28</v>
      </c>
      <c r="H751" s="11" t="s">
        <v>2723</v>
      </c>
      <c r="I751" s="11" t="s">
        <v>2724</v>
      </c>
      <c r="J751" s="12">
        <v>0.94789999999999996</v>
      </c>
      <c r="K751" s="13">
        <v>1</v>
      </c>
      <c r="L751" s="14">
        <v>96</v>
      </c>
      <c r="M751" s="10">
        <v>91</v>
      </c>
      <c r="N751" s="10">
        <v>10608</v>
      </c>
      <c r="O751" s="10">
        <v>7136</v>
      </c>
      <c r="P751" s="10">
        <v>17744</v>
      </c>
    </row>
    <row r="752" spans="1:16" ht="27" customHeight="1" x14ac:dyDescent="0.2">
      <c r="A752" s="9" t="s">
        <v>1682</v>
      </c>
      <c r="B752" s="10" t="s">
        <v>2023</v>
      </c>
      <c r="C752" s="11" t="s">
        <v>2725</v>
      </c>
      <c r="D752" s="11" t="s">
        <v>2726</v>
      </c>
      <c r="E752" s="11" t="s">
        <v>26</v>
      </c>
      <c r="F752" s="11" t="s">
        <v>2727</v>
      </c>
      <c r="G752" s="11" t="s">
        <v>28</v>
      </c>
      <c r="H752" s="11" t="s">
        <v>1685</v>
      </c>
      <c r="I752" s="11" t="s">
        <v>1686</v>
      </c>
      <c r="J752" s="12">
        <v>1</v>
      </c>
      <c r="K752" s="13">
        <v>1</v>
      </c>
      <c r="L752" s="14">
        <v>327</v>
      </c>
      <c r="M752" s="10">
        <v>237</v>
      </c>
      <c r="N752" s="10">
        <v>36134</v>
      </c>
      <c r="O752" s="10">
        <v>18585</v>
      </c>
      <c r="P752" s="10">
        <v>54719</v>
      </c>
    </row>
    <row r="753" spans="1:16" ht="27" customHeight="1" x14ac:dyDescent="0.2">
      <c r="A753" s="9" t="s">
        <v>1682</v>
      </c>
      <c r="B753" s="10" t="s">
        <v>2023</v>
      </c>
      <c r="C753" s="11" t="s">
        <v>2728</v>
      </c>
      <c r="D753" s="11" t="s">
        <v>2729</v>
      </c>
      <c r="E753" s="11" t="s">
        <v>26</v>
      </c>
      <c r="F753" s="11" t="s">
        <v>2730</v>
      </c>
      <c r="G753" s="11" t="s">
        <v>28</v>
      </c>
      <c r="H753" s="11" t="s">
        <v>2730</v>
      </c>
      <c r="I753" s="11" t="s">
        <v>2731</v>
      </c>
      <c r="J753" s="12">
        <v>0.2</v>
      </c>
      <c r="K753" s="13">
        <v>1</v>
      </c>
      <c r="L753" s="14">
        <v>305</v>
      </c>
      <c r="M753" s="10">
        <v>61</v>
      </c>
      <c r="N753" s="10">
        <v>33703</v>
      </c>
      <c r="O753" s="10">
        <v>4784</v>
      </c>
      <c r="P753" s="10">
        <v>38487</v>
      </c>
    </row>
    <row r="754" spans="1:16" ht="27" customHeight="1" x14ac:dyDescent="0.2">
      <c r="A754" s="9" t="s">
        <v>1682</v>
      </c>
      <c r="B754" s="10" t="s">
        <v>2023</v>
      </c>
      <c r="C754" s="11" t="s">
        <v>2732</v>
      </c>
      <c r="D754" s="11" t="s">
        <v>2733</v>
      </c>
      <c r="E754" s="11" t="s">
        <v>26</v>
      </c>
      <c r="F754" s="11" t="s">
        <v>2734</v>
      </c>
      <c r="G754" s="11" t="s">
        <v>28</v>
      </c>
      <c r="H754" s="11" t="s">
        <v>2734</v>
      </c>
      <c r="I754" s="11" t="s">
        <v>2735</v>
      </c>
      <c r="J754" s="12">
        <v>0.76919999999999999</v>
      </c>
      <c r="K754" s="13">
        <v>1</v>
      </c>
      <c r="L754" s="14">
        <v>117</v>
      </c>
      <c r="M754" s="10">
        <v>90</v>
      </c>
      <c r="N754" s="10">
        <v>12929</v>
      </c>
      <c r="O754" s="10">
        <v>7058</v>
      </c>
      <c r="P754" s="10">
        <v>19987</v>
      </c>
    </row>
    <row r="755" spans="1:16" ht="27" customHeight="1" x14ac:dyDescent="0.2">
      <c r="A755" s="9" t="s">
        <v>1682</v>
      </c>
      <c r="B755" s="10" t="s">
        <v>2023</v>
      </c>
      <c r="C755" s="11" t="s">
        <v>2736</v>
      </c>
      <c r="D755" s="11" t="s">
        <v>2737</v>
      </c>
      <c r="E755" s="11" t="s">
        <v>26</v>
      </c>
      <c r="F755" s="11" t="s">
        <v>2738</v>
      </c>
      <c r="G755" s="11" t="s">
        <v>28</v>
      </c>
      <c r="H755" s="11" t="s">
        <v>1685</v>
      </c>
      <c r="I755" s="11" t="s">
        <v>1686</v>
      </c>
      <c r="J755" s="12">
        <v>1</v>
      </c>
      <c r="K755" s="13">
        <v>1</v>
      </c>
      <c r="L755" s="14">
        <v>3058</v>
      </c>
      <c r="M755" s="10">
        <v>2567</v>
      </c>
      <c r="N755" s="10">
        <v>337914</v>
      </c>
      <c r="O755" s="10">
        <v>201302</v>
      </c>
      <c r="P755" s="10">
        <v>539216</v>
      </c>
    </row>
    <row r="756" spans="1:16" ht="27" customHeight="1" x14ac:dyDescent="0.2">
      <c r="A756" s="9" t="s">
        <v>1682</v>
      </c>
      <c r="B756" s="10" t="s">
        <v>2023</v>
      </c>
      <c r="C756" s="11" t="s">
        <v>2739</v>
      </c>
      <c r="D756" s="11" t="s">
        <v>2740</v>
      </c>
      <c r="E756" s="11" t="s">
        <v>57</v>
      </c>
      <c r="F756" s="11" t="s">
        <v>2741</v>
      </c>
      <c r="G756" s="11" t="s">
        <v>28</v>
      </c>
      <c r="H756" s="11" t="s">
        <v>1685</v>
      </c>
      <c r="I756" s="11" t="s">
        <v>1686</v>
      </c>
      <c r="J756" s="12">
        <v>1</v>
      </c>
      <c r="K756" s="13">
        <v>1</v>
      </c>
      <c r="L756" s="14">
        <v>1696</v>
      </c>
      <c r="M756" s="10">
        <v>1162</v>
      </c>
      <c r="N756" s="10">
        <v>187411</v>
      </c>
      <c r="O756" s="10">
        <v>91123</v>
      </c>
      <c r="P756" s="10">
        <v>278534</v>
      </c>
    </row>
    <row r="757" spans="1:16" ht="27" customHeight="1" x14ac:dyDescent="0.2">
      <c r="A757" s="9" t="s">
        <v>1682</v>
      </c>
      <c r="B757" s="10" t="s">
        <v>2023</v>
      </c>
      <c r="C757" s="11" t="s">
        <v>2742</v>
      </c>
      <c r="D757" s="11" t="s">
        <v>2743</v>
      </c>
      <c r="E757" s="11" t="s">
        <v>57</v>
      </c>
      <c r="F757" s="11" t="s">
        <v>2744</v>
      </c>
      <c r="G757" s="11" t="s">
        <v>28</v>
      </c>
      <c r="H757" s="11" t="s">
        <v>1685</v>
      </c>
      <c r="I757" s="11" t="s">
        <v>1686</v>
      </c>
      <c r="J757" s="12">
        <v>1</v>
      </c>
      <c r="K757" s="13">
        <v>1</v>
      </c>
      <c r="L757" s="14">
        <v>2781</v>
      </c>
      <c r="M757" s="10">
        <v>1897</v>
      </c>
      <c r="N757" s="10">
        <v>307305</v>
      </c>
      <c r="O757" s="10">
        <v>148761</v>
      </c>
      <c r="P757" s="10">
        <v>456066</v>
      </c>
    </row>
    <row r="758" spans="1:16" ht="27" customHeight="1" x14ac:dyDescent="0.2">
      <c r="A758" s="9" t="s">
        <v>1682</v>
      </c>
      <c r="B758" s="10" t="s">
        <v>2023</v>
      </c>
      <c r="C758" s="11" t="s">
        <v>2745</v>
      </c>
      <c r="D758" s="11" t="s">
        <v>2746</v>
      </c>
      <c r="E758" s="11" t="s">
        <v>26</v>
      </c>
      <c r="F758" s="11" t="s">
        <v>2747</v>
      </c>
      <c r="G758" s="11" t="s">
        <v>28</v>
      </c>
      <c r="H758" s="11" t="s">
        <v>1685</v>
      </c>
      <c r="I758" s="11" t="s">
        <v>1686</v>
      </c>
      <c r="J758" s="12">
        <v>1</v>
      </c>
      <c r="K758" s="13">
        <v>1</v>
      </c>
      <c r="L758" s="14">
        <v>3577</v>
      </c>
      <c r="M758" s="10">
        <v>1114</v>
      </c>
      <c r="N758" s="10">
        <v>395264</v>
      </c>
      <c r="O758" s="10">
        <v>87359</v>
      </c>
      <c r="P758" s="10">
        <v>482623</v>
      </c>
    </row>
    <row r="759" spans="1:16" ht="27" customHeight="1" x14ac:dyDescent="0.2">
      <c r="A759" s="9" t="s">
        <v>1682</v>
      </c>
      <c r="B759" s="10" t="s">
        <v>2023</v>
      </c>
      <c r="C759" s="11" t="s">
        <v>2748</v>
      </c>
      <c r="D759" s="11" t="s">
        <v>2749</v>
      </c>
      <c r="E759" s="11" t="s">
        <v>26</v>
      </c>
      <c r="F759" s="11" t="s">
        <v>2750</v>
      </c>
      <c r="G759" s="11" t="s">
        <v>28</v>
      </c>
      <c r="H759" s="11" t="s">
        <v>2750</v>
      </c>
      <c r="I759" s="11" t="s">
        <v>2751</v>
      </c>
      <c r="J759" s="12">
        <v>0.48530000000000001</v>
      </c>
      <c r="K759" s="13">
        <v>1</v>
      </c>
      <c r="L759" s="14">
        <v>5869</v>
      </c>
      <c r="M759" s="10">
        <v>2848</v>
      </c>
      <c r="N759" s="10">
        <v>648534</v>
      </c>
      <c r="O759" s="10">
        <v>223337</v>
      </c>
      <c r="P759" s="10">
        <v>871871</v>
      </c>
    </row>
    <row r="760" spans="1:16" ht="27" customHeight="1" x14ac:dyDescent="0.2">
      <c r="A760" s="9" t="s">
        <v>1682</v>
      </c>
      <c r="B760" s="10" t="s">
        <v>2023</v>
      </c>
      <c r="C760" s="11" t="s">
        <v>2752</v>
      </c>
      <c r="D760" s="11" t="s">
        <v>2753</v>
      </c>
      <c r="E760" s="11" t="s">
        <v>57</v>
      </c>
      <c r="F760" s="11" t="s">
        <v>2754</v>
      </c>
      <c r="G760" s="11" t="s">
        <v>28</v>
      </c>
      <c r="H760" s="11" t="s">
        <v>2754</v>
      </c>
      <c r="I760" s="11" t="s">
        <v>2755</v>
      </c>
      <c r="J760" s="12">
        <v>0.88739999999999997</v>
      </c>
      <c r="K760" s="13">
        <v>1</v>
      </c>
      <c r="L760" s="14">
        <v>1403</v>
      </c>
      <c r="M760" s="10">
        <v>1245</v>
      </c>
      <c r="N760" s="10">
        <v>155034</v>
      </c>
      <c r="O760" s="10">
        <v>97632</v>
      </c>
      <c r="P760" s="10">
        <v>252666</v>
      </c>
    </row>
    <row r="761" spans="1:16" ht="27" customHeight="1" x14ac:dyDescent="0.2">
      <c r="A761" s="9" t="s">
        <v>1682</v>
      </c>
      <c r="B761" s="10" t="s">
        <v>2023</v>
      </c>
      <c r="C761" s="11" t="s">
        <v>2756</v>
      </c>
      <c r="D761" s="11" t="s">
        <v>2757</v>
      </c>
      <c r="E761" s="11" t="s">
        <v>57</v>
      </c>
      <c r="F761" s="11" t="s">
        <v>2758</v>
      </c>
      <c r="G761" s="11" t="s">
        <v>28</v>
      </c>
      <c r="H761" s="11" t="s">
        <v>1685</v>
      </c>
      <c r="I761" s="11" t="s">
        <v>1686</v>
      </c>
      <c r="J761" s="12">
        <v>1</v>
      </c>
      <c r="K761" s="13">
        <v>1</v>
      </c>
      <c r="L761" s="14">
        <v>1506</v>
      </c>
      <c r="M761" s="10">
        <v>1361</v>
      </c>
      <c r="N761" s="10">
        <v>166415</v>
      </c>
      <c r="O761" s="10">
        <v>106728</v>
      </c>
      <c r="P761" s="10">
        <v>273143</v>
      </c>
    </row>
    <row r="762" spans="1:16" ht="27" customHeight="1" x14ac:dyDescent="0.2">
      <c r="A762" s="9" t="s">
        <v>1682</v>
      </c>
      <c r="B762" s="10" t="s">
        <v>2023</v>
      </c>
      <c r="C762" s="11" t="s">
        <v>2759</v>
      </c>
      <c r="D762" s="11" t="s">
        <v>2760</v>
      </c>
      <c r="E762" s="11" t="s">
        <v>57</v>
      </c>
      <c r="F762" s="11" t="s">
        <v>2761</v>
      </c>
      <c r="G762" s="11" t="s">
        <v>28</v>
      </c>
      <c r="H762" s="11" t="s">
        <v>1685</v>
      </c>
      <c r="I762" s="11" t="s">
        <v>1686</v>
      </c>
      <c r="J762" s="12">
        <v>1</v>
      </c>
      <c r="K762" s="13">
        <v>1</v>
      </c>
      <c r="L762" s="14">
        <v>2147</v>
      </c>
      <c r="M762" s="10">
        <v>1134</v>
      </c>
      <c r="N762" s="10">
        <v>237247</v>
      </c>
      <c r="O762" s="10">
        <v>88927</v>
      </c>
      <c r="P762" s="10">
        <v>326174</v>
      </c>
    </row>
    <row r="763" spans="1:16" ht="27" customHeight="1" x14ac:dyDescent="0.2">
      <c r="A763" s="9" t="s">
        <v>1682</v>
      </c>
      <c r="B763" s="10" t="s">
        <v>2023</v>
      </c>
      <c r="C763" s="11" t="s">
        <v>2762</v>
      </c>
      <c r="D763" s="11" t="s">
        <v>2763</v>
      </c>
      <c r="E763" s="11" t="s">
        <v>57</v>
      </c>
      <c r="F763" s="11" t="s">
        <v>2764</v>
      </c>
      <c r="G763" s="11" t="s">
        <v>28</v>
      </c>
      <c r="H763" s="11" t="s">
        <v>1685</v>
      </c>
      <c r="I763" s="11" t="s">
        <v>1686</v>
      </c>
      <c r="J763" s="12">
        <v>1</v>
      </c>
      <c r="K763" s="13">
        <v>1</v>
      </c>
      <c r="L763" s="14">
        <v>1338</v>
      </c>
      <c r="M763" s="10">
        <v>960</v>
      </c>
      <c r="N763" s="10">
        <v>147851</v>
      </c>
      <c r="O763" s="10">
        <v>75282</v>
      </c>
      <c r="P763" s="10">
        <v>223133</v>
      </c>
    </row>
    <row r="764" spans="1:16" ht="27" customHeight="1" x14ac:dyDescent="0.2">
      <c r="A764" s="9" t="s">
        <v>1682</v>
      </c>
      <c r="B764" s="10" t="s">
        <v>2023</v>
      </c>
      <c r="C764" s="11" t="s">
        <v>2765</v>
      </c>
      <c r="D764" s="11" t="s">
        <v>2766</v>
      </c>
      <c r="E764" s="11" t="s">
        <v>26</v>
      </c>
      <c r="F764" s="11" t="s">
        <v>2767</v>
      </c>
      <c r="G764" s="11" t="s">
        <v>28</v>
      </c>
      <c r="H764" s="11" t="s">
        <v>1685</v>
      </c>
      <c r="I764" s="11" t="s">
        <v>1686</v>
      </c>
      <c r="J764" s="12">
        <v>1</v>
      </c>
      <c r="K764" s="13">
        <v>1</v>
      </c>
      <c r="L764" s="14">
        <v>2959</v>
      </c>
      <c r="M764" s="10">
        <v>783</v>
      </c>
      <c r="N764" s="10">
        <v>326974</v>
      </c>
      <c r="O764" s="10">
        <v>61402</v>
      </c>
      <c r="P764" s="10">
        <v>388376</v>
      </c>
    </row>
    <row r="765" spans="1:16" ht="27" customHeight="1" x14ac:dyDescent="0.2">
      <c r="A765" s="9" t="s">
        <v>1682</v>
      </c>
      <c r="B765" s="10" t="s">
        <v>2023</v>
      </c>
      <c r="C765" s="11" t="s">
        <v>2768</v>
      </c>
      <c r="D765" s="11" t="s">
        <v>2769</v>
      </c>
      <c r="E765" s="11" t="s">
        <v>26</v>
      </c>
      <c r="F765" s="11" t="s">
        <v>2770</v>
      </c>
      <c r="G765" s="11" t="s">
        <v>28</v>
      </c>
      <c r="H765" s="11" t="s">
        <v>2770</v>
      </c>
      <c r="I765" s="11" t="s">
        <v>2771</v>
      </c>
      <c r="J765" s="12">
        <v>0.85529999999999995</v>
      </c>
      <c r="K765" s="13">
        <v>1</v>
      </c>
      <c r="L765" s="14">
        <v>387</v>
      </c>
      <c r="M765" s="10">
        <v>331</v>
      </c>
      <c r="N765" s="10">
        <v>42764</v>
      </c>
      <c r="O765" s="10">
        <v>25957</v>
      </c>
      <c r="P765" s="10">
        <v>68721</v>
      </c>
    </row>
    <row r="766" spans="1:16" ht="27" customHeight="1" x14ac:dyDescent="0.2">
      <c r="A766" s="9" t="s">
        <v>1682</v>
      </c>
      <c r="B766" s="10" t="s">
        <v>2023</v>
      </c>
      <c r="C766" s="11" t="s">
        <v>2772</v>
      </c>
      <c r="D766" s="11" t="s">
        <v>2773</v>
      </c>
      <c r="E766" s="11" t="s">
        <v>57</v>
      </c>
      <c r="F766" s="11" t="s">
        <v>2774</v>
      </c>
      <c r="G766" s="11" t="s">
        <v>28</v>
      </c>
      <c r="H766" s="11" t="s">
        <v>2774</v>
      </c>
      <c r="I766" s="11" t="s">
        <v>2775</v>
      </c>
      <c r="J766" s="12">
        <v>0.22559999999999999</v>
      </c>
      <c r="K766" s="13">
        <v>1</v>
      </c>
      <c r="L766" s="14">
        <v>594</v>
      </c>
      <c r="M766" s="10">
        <v>134</v>
      </c>
      <c r="N766" s="10">
        <v>65638</v>
      </c>
      <c r="O766" s="10">
        <v>10508</v>
      </c>
      <c r="P766" s="10">
        <v>76146</v>
      </c>
    </row>
    <row r="767" spans="1:16" ht="27" customHeight="1" x14ac:dyDescent="0.2">
      <c r="A767" s="9" t="s">
        <v>1682</v>
      </c>
      <c r="B767" s="10" t="s">
        <v>2023</v>
      </c>
      <c r="C767" s="11" t="s">
        <v>2776</v>
      </c>
      <c r="D767" s="11" t="s">
        <v>2777</v>
      </c>
      <c r="E767" s="11" t="s">
        <v>57</v>
      </c>
      <c r="F767" s="11" t="s">
        <v>2778</v>
      </c>
      <c r="G767" s="11" t="s">
        <v>28</v>
      </c>
      <c r="H767" s="11" t="s">
        <v>2778</v>
      </c>
      <c r="I767" s="11" t="s">
        <v>2779</v>
      </c>
      <c r="J767" s="12">
        <v>0.20530000000000001</v>
      </c>
      <c r="K767" s="13">
        <v>1</v>
      </c>
      <c r="L767" s="14">
        <v>414</v>
      </c>
      <c r="M767" s="10">
        <v>85</v>
      </c>
      <c r="N767" s="10">
        <v>45748</v>
      </c>
      <c r="O767" s="10">
        <v>6666</v>
      </c>
      <c r="P767" s="10">
        <v>52414</v>
      </c>
    </row>
    <row r="768" spans="1:16" ht="27" customHeight="1" x14ac:dyDescent="0.2">
      <c r="A768" s="9" t="s">
        <v>1682</v>
      </c>
      <c r="B768" s="10" t="s">
        <v>2023</v>
      </c>
      <c r="C768" s="11" t="s">
        <v>2780</v>
      </c>
      <c r="D768" s="11" t="s">
        <v>2781</v>
      </c>
      <c r="E768" s="11" t="s">
        <v>57</v>
      </c>
      <c r="F768" s="11" t="s">
        <v>2782</v>
      </c>
      <c r="G768" s="11" t="s">
        <v>28</v>
      </c>
      <c r="H768" s="11" t="s">
        <v>2782</v>
      </c>
      <c r="I768" s="11" t="s">
        <v>2783</v>
      </c>
      <c r="J768" s="12">
        <v>0.73380000000000001</v>
      </c>
      <c r="K768" s="13">
        <v>1</v>
      </c>
      <c r="L768" s="14">
        <v>308</v>
      </c>
      <c r="M768" s="10">
        <v>226</v>
      </c>
      <c r="N768" s="10">
        <v>34035</v>
      </c>
      <c r="O768" s="10">
        <v>17723</v>
      </c>
      <c r="P768" s="10">
        <v>51758</v>
      </c>
    </row>
    <row r="769" spans="1:16" ht="27" customHeight="1" x14ac:dyDescent="0.2">
      <c r="A769" s="9" t="s">
        <v>1682</v>
      </c>
      <c r="B769" s="10" t="s">
        <v>2023</v>
      </c>
      <c r="C769" s="11" t="s">
        <v>2784</v>
      </c>
      <c r="D769" s="11" t="s">
        <v>2785</v>
      </c>
      <c r="E769" s="11" t="s">
        <v>57</v>
      </c>
      <c r="F769" s="11" t="s">
        <v>2786</v>
      </c>
      <c r="G769" s="11" t="s">
        <v>28</v>
      </c>
      <c r="H769" s="11" t="s">
        <v>2786</v>
      </c>
      <c r="I769" s="11" t="s">
        <v>2787</v>
      </c>
      <c r="J769" s="12">
        <v>8.4199999999999997E-2</v>
      </c>
      <c r="K769" s="13">
        <v>1</v>
      </c>
      <c r="L769" s="14">
        <v>392</v>
      </c>
      <c r="M769" s="10">
        <v>33</v>
      </c>
      <c r="N769" s="10">
        <v>43317</v>
      </c>
      <c r="O769" s="10">
        <v>2588</v>
      </c>
      <c r="P769" s="10">
        <v>45905</v>
      </c>
    </row>
    <row r="770" spans="1:16" ht="27" customHeight="1" x14ac:dyDescent="0.2">
      <c r="A770" s="9" t="s">
        <v>1682</v>
      </c>
      <c r="B770" s="10" t="s">
        <v>2023</v>
      </c>
      <c r="C770" s="11" t="s">
        <v>2788</v>
      </c>
      <c r="D770" s="11" t="s">
        <v>2789</v>
      </c>
      <c r="E770" s="11" t="s">
        <v>57</v>
      </c>
      <c r="F770" s="11" t="s">
        <v>2790</v>
      </c>
      <c r="G770" s="11" t="s">
        <v>28</v>
      </c>
      <c r="H770" s="11" t="s">
        <v>2790</v>
      </c>
      <c r="I770" s="11" t="s">
        <v>2791</v>
      </c>
      <c r="J770" s="12">
        <v>0.1096</v>
      </c>
      <c r="K770" s="13">
        <v>1</v>
      </c>
      <c r="L770" s="14">
        <v>858</v>
      </c>
      <c r="M770" s="10">
        <v>94</v>
      </c>
      <c r="N770" s="10">
        <v>94810</v>
      </c>
      <c r="O770" s="10">
        <v>7371</v>
      </c>
      <c r="P770" s="10">
        <v>102181</v>
      </c>
    </row>
    <row r="771" spans="1:16" ht="27" customHeight="1" x14ac:dyDescent="0.2">
      <c r="A771" s="9" t="s">
        <v>1682</v>
      </c>
      <c r="B771" s="10" t="s">
        <v>2023</v>
      </c>
      <c r="C771" s="11" t="s">
        <v>2792</v>
      </c>
      <c r="D771" s="11" t="s">
        <v>2793</v>
      </c>
      <c r="E771" s="11" t="s">
        <v>57</v>
      </c>
      <c r="F771" s="11" t="s">
        <v>2794</v>
      </c>
      <c r="G771" s="11" t="s">
        <v>28</v>
      </c>
      <c r="H771" s="11" t="s">
        <v>2794</v>
      </c>
      <c r="I771" s="11" t="s">
        <v>2795</v>
      </c>
      <c r="J771" s="12">
        <v>0.24690000000000001</v>
      </c>
      <c r="K771" s="13">
        <v>1</v>
      </c>
      <c r="L771" s="14">
        <v>721</v>
      </c>
      <c r="M771" s="10">
        <v>178</v>
      </c>
      <c r="N771" s="10">
        <v>79672</v>
      </c>
      <c r="O771" s="10">
        <v>13959</v>
      </c>
      <c r="P771" s="10">
        <v>93631</v>
      </c>
    </row>
    <row r="772" spans="1:16" ht="27" customHeight="1" x14ac:dyDescent="0.2">
      <c r="A772" s="9" t="s">
        <v>1682</v>
      </c>
      <c r="B772" s="10" t="s">
        <v>2023</v>
      </c>
      <c r="C772" s="11" t="s">
        <v>2796</v>
      </c>
      <c r="D772" s="11" t="s">
        <v>2797</v>
      </c>
      <c r="E772" s="11" t="s">
        <v>57</v>
      </c>
      <c r="F772" s="11" t="s">
        <v>2798</v>
      </c>
      <c r="G772" s="11" t="s">
        <v>28</v>
      </c>
      <c r="H772" s="11" t="s">
        <v>2798</v>
      </c>
      <c r="I772" s="11" t="s">
        <v>2799</v>
      </c>
      <c r="J772" s="12">
        <v>0.59919999999999995</v>
      </c>
      <c r="K772" s="13">
        <v>1</v>
      </c>
      <c r="L772" s="14">
        <v>514</v>
      </c>
      <c r="M772" s="10">
        <v>308</v>
      </c>
      <c r="N772" s="10">
        <v>56798</v>
      </c>
      <c r="O772" s="10">
        <v>24153</v>
      </c>
      <c r="P772" s="10">
        <v>80951</v>
      </c>
    </row>
    <row r="773" spans="1:16" ht="27" customHeight="1" x14ac:dyDescent="0.2">
      <c r="A773" s="9" t="s">
        <v>1682</v>
      </c>
      <c r="B773" s="10" t="s">
        <v>2023</v>
      </c>
      <c r="C773" s="11" t="s">
        <v>2800</v>
      </c>
      <c r="D773" s="11" t="s">
        <v>2801</v>
      </c>
      <c r="E773" s="11" t="s">
        <v>57</v>
      </c>
      <c r="F773" s="11" t="s">
        <v>2802</v>
      </c>
      <c r="G773" s="11" t="s">
        <v>28</v>
      </c>
      <c r="H773" s="11" t="s">
        <v>2802</v>
      </c>
      <c r="I773" s="11" t="s">
        <v>2803</v>
      </c>
      <c r="J773" s="12">
        <v>0.25740000000000002</v>
      </c>
      <c r="K773" s="13">
        <v>1</v>
      </c>
      <c r="L773" s="14">
        <v>623</v>
      </c>
      <c r="M773" s="10">
        <v>160</v>
      </c>
      <c r="N773" s="10">
        <v>68843</v>
      </c>
      <c r="O773" s="10">
        <v>12547</v>
      </c>
      <c r="P773" s="10">
        <v>81390</v>
      </c>
    </row>
    <row r="774" spans="1:16" ht="27" customHeight="1" x14ac:dyDescent="0.2">
      <c r="A774" s="9" t="s">
        <v>1682</v>
      </c>
      <c r="B774" s="10" t="s">
        <v>2023</v>
      </c>
      <c r="C774" s="11" t="s">
        <v>2804</v>
      </c>
      <c r="D774" s="11" t="s">
        <v>2805</v>
      </c>
      <c r="E774" s="11" t="s">
        <v>57</v>
      </c>
      <c r="F774" s="11" t="s">
        <v>2806</v>
      </c>
      <c r="G774" s="11" t="s">
        <v>28</v>
      </c>
      <c r="H774" s="11" t="s">
        <v>2806</v>
      </c>
      <c r="I774" s="11" t="s">
        <v>2807</v>
      </c>
      <c r="J774" s="12">
        <v>0.32800000000000001</v>
      </c>
      <c r="K774" s="13">
        <v>1</v>
      </c>
      <c r="L774" s="14">
        <v>439</v>
      </c>
      <c r="M774" s="10">
        <v>144</v>
      </c>
      <c r="N774" s="10">
        <v>48510</v>
      </c>
      <c r="O774" s="10">
        <v>11292</v>
      </c>
      <c r="P774" s="10">
        <v>59802</v>
      </c>
    </row>
    <row r="775" spans="1:16" ht="27" customHeight="1" x14ac:dyDescent="0.2">
      <c r="A775" s="9" t="s">
        <v>1682</v>
      </c>
      <c r="B775" s="10" t="s">
        <v>2023</v>
      </c>
      <c r="C775" s="11" t="s">
        <v>2808</v>
      </c>
      <c r="D775" s="11" t="s">
        <v>2809</v>
      </c>
      <c r="E775" s="11" t="s">
        <v>57</v>
      </c>
      <c r="F775" s="11" t="s">
        <v>2810</v>
      </c>
      <c r="G775" s="11" t="s">
        <v>28</v>
      </c>
      <c r="H775" s="11" t="s">
        <v>2810</v>
      </c>
      <c r="I775" s="11" t="s">
        <v>2811</v>
      </c>
      <c r="J775" s="12">
        <v>0.32690000000000002</v>
      </c>
      <c r="K775" s="13">
        <v>1</v>
      </c>
      <c r="L775" s="14">
        <v>520</v>
      </c>
      <c r="M775" s="10">
        <v>170</v>
      </c>
      <c r="N775" s="10">
        <v>57461</v>
      </c>
      <c r="O775" s="10">
        <v>13331</v>
      </c>
      <c r="P775" s="10">
        <v>70792</v>
      </c>
    </row>
    <row r="776" spans="1:16" ht="27" customHeight="1" x14ac:dyDescent="0.2">
      <c r="A776" s="9" t="s">
        <v>1682</v>
      </c>
      <c r="B776" s="10" t="s">
        <v>2023</v>
      </c>
      <c r="C776" s="11" t="s">
        <v>2812</v>
      </c>
      <c r="D776" s="11" t="s">
        <v>2813</v>
      </c>
      <c r="E776" s="11" t="s">
        <v>26</v>
      </c>
      <c r="F776" s="11" t="s">
        <v>2814</v>
      </c>
      <c r="G776" s="11" t="s">
        <v>28</v>
      </c>
      <c r="H776" s="11" t="s">
        <v>2814</v>
      </c>
      <c r="I776" s="11" t="s">
        <v>2815</v>
      </c>
      <c r="J776" s="12">
        <v>0.87219999999999998</v>
      </c>
      <c r="K776" s="13">
        <v>1</v>
      </c>
      <c r="L776" s="14">
        <v>634</v>
      </c>
      <c r="M776" s="10">
        <v>553</v>
      </c>
      <c r="N776" s="10">
        <v>70058</v>
      </c>
      <c r="O776" s="10">
        <v>43366</v>
      </c>
      <c r="P776" s="10">
        <v>113424</v>
      </c>
    </row>
    <row r="777" spans="1:16" ht="27" customHeight="1" x14ac:dyDescent="0.2">
      <c r="A777" s="9" t="s">
        <v>1682</v>
      </c>
      <c r="B777" s="10" t="s">
        <v>2023</v>
      </c>
      <c r="C777" s="11" t="s">
        <v>2816</v>
      </c>
      <c r="D777" s="11" t="s">
        <v>2817</v>
      </c>
      <c r="E777" s="11" t="s">
        <v>57</v>
      </c>
      <c r="F777" s="11" t="s">
        <v>2818</v>
      </c>
      <c r="G777" s="11" t="s">
        <v>28</v>
      </c>
      <c r="H777" s="11" t="s">
        <v>2818</v>
      </c>
      <c r="I777" s="11" t="s">
        <v>2819</v>
      </c>
      <c r="J777" s="12">
        <v>0.57520000000000004</v>
      </c>
      <c r="K777" s="13">
        <v>1</v>
      </c>
      <c r="L777" s="14">
        <v>319</v>
      </c>
      <c r="M777" s="10">
        <v>183</v>
      </c>
      <c r="N777" s="10">
        <v>35250</v>
      </c>
      <c r="O777" s="10">
        <v>14351</v>
      </c>
      <c r="P777" s="10">
        <v>49601</v>
      </c>
    </row>
    <row r="778" spans="1:16" ht="27" customHeight="1" x14ac:dyDescent="0.2">
      <c r="A778" s="9" t="s">
        <v>1682</v>
      </c>
      <c r="B778" s="10" t="s">
        <v>2023</v>
      </c>
      <c r="C778" s="11" t="s">
        <v>2820</v>
      </c>
      <c r="D778" s="11" t="s">
        <v>2821</v>
      </c>
      <c r="E778" s="11" t="s">
        <v>57</v>
      </c>
      <c r="F778" s="11" t="s">
        <v>2822</v>
      </c>
      <c r="G778" s="11" t="s">
        <v>28</v>
      </c>
      <c r="H778" s="11" t="s">
        <v>2822</v>
      </c>
      <c r="I778" s="11" t="s">
        <v>2823</v>
      </c>
      <c r="J778" s="12">
        <v>0.27860000000000001</v>
      </c>
      <c r="K778" s="13">
        <v>1</v>
      </c>
      <c r="L778" s="14">
        <v>411</v>
      </c>
      <c r="M778" s="10">
        <v>115</v>
      </c>
      <c r="N778" s="10">
        <v>45416</v>
      </c>
      <c r="O778" s="10">
        <v>9018</v>
      </c>
      <c r="P778" s="10">
        <v>54434</v>
      </c>
    </row>
    <row r="779" spans="1:16" ht="27" customHeight="1" x14ac:dyDescent="0.2">
      <c r="A779" s="9" t="s">
        <v>1682</v>
      </c>
      <c r="B779" s="10" t="s">
        <v>2023</v>
      </c>
      <c r="C779" s="11" t="s">
        <v>2824</v>
      </c>
      <c r="D779" s="11" t="s">
        <v>2825</v>
      </c>
      <c r="E779" s="11" t="s">
        <v>57</v>
      </c>
      <c r="F779" s="11" t="s">
        <v>2826</v>
      </c>
      <c r="G779" s="11" t="s">
        <v>28</v>
      </c>
      <c r="H779" s="11" t="s">
        <v>2826</v>
      </c>
      <c r="I779" s="11" t="s">
        <v>2827</v>
      </c>
      <c r="J779" s="12">
        <v>0.3508</v>
      </c>
      <c r="K779" s="13">
        <v>1</v>
      </c>
      <c r="L779" s="14">
        <v>382</v>
      </c>
      <c r="M779" s="10">
        <v>134</v>
      </c>
      <c r="N779" s="10">
        <v>42212</v>
      </c>
      <c r="O779" s="10">
        <v>10508</v>
      </c>
      <c r="P779" s="10">
        <v>52720</v>
      </c>
    </row>
    <row r="780" spans="1:16" ht="27" customHeight="1" x14ac:dyDescent="0.2">
      <c r="A780" s="9" t="s">
        <v>1682</v>
      </c>
      <c r="B780" s="10" t="s">
        <v>2023</v>
      </c>
      <c r="C780" s="11" t="s">
        <v>2828</v>
      </c>
      <c r="D780" s="11" t="s">
        <v>2829</v>
      </c>
      <c r="E780" s="11" t="s">
        <v>57</v>
      </c>
      <c r="F780" s="11" t="s">
        <v>2830</v>
      </c>
      <c r="G780" s="11" t="s">
        <v>28</v>
      </c>
      <c r="H780" s="11" t="s">
        <v>2830</v>
      </c>
      <c r="I780" s="11" t="s">
        <v>2831</v>
      </c>
      <c r="J780" s="12">
        <v>8.5900000000000004E-2</v>
      </c>
      <c r="K780" s="13">
        <v>1</v>
      </c>
      <c r="L780" s="14">
        <v>454</v>
      </c>
      <c r="M780" s="10">
        <v>39</v>
      </c>
      <c r="N780" s="10">
        <v>50168</v>
      </c>
      <c r="O780" s="10">
        <v>3058</v>
      </c>
      <c r="P780" s="10">
        <v>53226</v>
      </c>
    </row>
    <row r="781" spans="1:16" ht="27" customHeight="1" x14ac:dyDescent="0.2">
      <c r="A781" s="9" t="s">
        <v>1682</v>
      </c>
      <c r="B781" s="10" t="s">
        <v>2023</v>
      </c>
      <c r="C781" s="11" t="s">
        <v>2832</v>
      </c>
      <c r="D781" s="11" t="s">
        <v>2833</v>
      </c>
      <c r="E781" s="11" t="s">
        <v>57</v>
      </c>
      <c r="F781" s="11" t="s">
        <v>2834</v>
      </c>
      <c r="G781" s="11" t="s">
        <v>28</v>
      </c>
      <c r="H781" s="11" t="s">
        <v>2834</v>
      </c>
      <c r="I781" s="11" t="s">
        <v>2835</v>
      </c>
      <c r="J781" s="12">
        <v>0.57179999999999997</v>
      </c>
      <c r="K781" s="13">
        <v>1</v>
      </c>
      <c r="L781" s="14">
        <v>386</v>
      </c>
      <c r="M781" s="10">
        <v>221</v>
      </c>
      <c r="N781" s="10">
        <v>42654</v>
      </c>
      <c r="O781" s="10">
        <v>17331</v>
      </c>
      <c r="P781" s="10">
        <v>59985</v>
      </c>
    </row>
    <row r="782" spans="1:16" ht="27" customHeight="1" x14ac:dyDescent="0.2">
      <c r="A782" s="9" t="s">
        <v>1682</v>
      </c>
      <c r="B782" s="10" t="s">
        <v>2023</v>
      </c>
      <c r="C782" s="11" t="s">
        <v>2836</v>
      </c>
      <c r="D782" s="11" t="s">
        <v>2837</v>
      </c>
      <c r="E782" s="11" t="s">
        <v>57</v>
      </c>
      <c r="F782" s="11" t="s">
        <v>2838</v>
      </c>
      <c r="G782" s="11" t="s">
        <v>28</v>
      </c>
      <c r="H782" s="11" t="s">
        <v>2838</v>
      </c>
      <c r="I782" s="11" t="s">
        <v>2839</v>
      </c>
      <c r="J782" s="12">
        <v>0.2389</v>
      </c>
      <c r="K782" s="13">
        <v>1</v>
      </c>
      <c r="L782" s="14">
        <v>474</v>
      </c>
      <c r="M782" s="10">
        <v>113</v>
      </c>
      <c r="N782" s="10">
        <v>52378</v>
      </c>
      <c r="O782" s="10">
        <v>8861</v>
      </c>
      <c r="P782" s="10">
        <v>61239</v>
      </c>
    </row>
    <row r="783" spans="1:16" ht="27" customHeight="1" x14ac:dyDescent="0.2">
      <c r="A783" s="9" t="s">
        <v>1682</v>
      </c>
      <c r="B783" s="10" t="s">
        <v>2023</v>
      </c>
      <c r="C783" s="11" t="s">
        <v>2840</v>
      </c>
      <c r="D783" s="11" t="s">
        <v>2841</v>
      </c>
      <c r="E783" s="11" t="s">
        <v>57</v>
      </c>
      <c r="F783" s="11" t="s">
        <v>2842</v>
      </c>
      <c r="G783" s="11" t="s">
        <v>28</v>
      </c>
      <c r="H783" s="11" t="s">
        <v>2842</v>
      </c>
      <c r="I783" s="11" t="s">
        <v>2843</v>
      </c>
      <c r="J783" s="12">
        <v>0.14330000000000001</v>
      </c>
      <c r="K783" s="13">
        <v>1</v>
      </c>
      <c r="L783" s="14">
        <v>314</v>
      </c>
      <c r="M783" s="10">
        <v>45</v>
      </c>
      <c r="N783" s="10">
        <v>34698</v>
      </c>
      <c r="O783" s="10">
        <v>3529</v>
      </c>
      <c r="P783" s="10">
        <v>38227</v>
      </c>
    </row>
    <row r="784" spans="1:16" ht="27" customHeight="1" x14ac:dyDescent="0.2">
      <c r="A784" s="9" t="s">
        <v>1682</v>
      </c>
      <c r="B784" s="10" t="s">
        <v>2023</v>
      </c>
      <c r="C784" s="11" t="s">
        <v>2844</v>
      </c>
      <c r="D784" s="11" t="s">
        <v>2845</v>
      </c>
      <c r="E784" s="11" t="s">
        <v>26</v>
      </c>
      <c r="F784" s="11" t="s">
        <v>2846</v>
      </c>
      <c r="G784" s="11" t="s">
        <v>28</v>
      </c>
      <c r="H784" s="11" t="s">
        <v>2846</v>
      </c>
      <c r="I784" s="11" t="s">
        <v>2847</v>
      </c>
      <c r="J784" s="12">
        <v>0.85650000000000004</v>
      </c>
      <c r="K784" s="13">
        <v>1</v>
      </c>
      <c r="L784" s="14">
        <v>836</v>
      </c>
      <c r="M784" s="10">
        <v>716</v>
      </c>
      <c r="N784" s="10">
        <v>92379</v>
      </c>
      <c r="O784" s="10">
        <v>56148</v>
      </c>
      <c r="P784" s="10">
        <v>148527</v>
      </c>
    </row>
    <row r="785" spans="1:16" ht="27" customHeight="1" x14ac:dyDescent="0.2">
      <c r="A785" s="9" t="s">
        <v>1682</v>
      </c>
      <c r="B785" s="10" t="s">
        <v>2023</v>
      </c>
      <c r="C785" s="11" t="s">
        <v>2848</v>
      </c>
      <c r="D785" s="11" t="s">
        <v>2849</v>
      </c>
      <c r="E785" s="11" t="s">
        <v>57</v>
      </c>
      <c r="F785" s="11" t="s">
        <v>2850</v>
      </c>
      <c r="G785" s="11" t="s">
        <v>28</v>
      </c>
      <c r="H785" s="11" t="s">
        <v>2850</v>
      </c>
      <c r="I785" s="11" t="s">
        <v>2851</v>
      </c>
      <c r="J785" s="12">
        <v>0.60470000000000002</v>
      </c>
      <c r="K785" s="13">
        <v>1</v>
      </c>
      <c r="L785" s="14">
        <v>387</v>
      </c>
      <c r="M785" s="10">
        <v>234</v>
      </c>
      <c r="N785" s="10">
        <v>42764</v>
      </c>
      <c r="O785" s="10">
        <v>18350</v>
      </c>
      <c r="P785" s="10">
        <v>61114</v>
      </c>
    </row>
    <row r="786" spans="1:16" ht="27" customHeight="1" x14ac:dyDescent="0.2">
      <c r="A786" s="9" t="s">
        <v>1682</v>
      </c>
      <c r="B786" s="10" t="s">
        <v>2023</v>
      </c>
      <c r="C786" s="11" t="s">
        <v>2852</v>
      </c>
      <c r="D786" s="11" t="s">
        <v>2853</v>
      </c>
      <c r="E786" s="11" t="s">
        <v>57</v>
      </c>
      <c r="F786" s="11" t="s">
        <v>2854</v>
      </c>
      <c r="G786" s="11" t="s">
        <v>28</v>
      </c>
      <c r="H786" s="11" t="s">
        <v>2854</v>
      </c>
      <c r="I786" s="11" t="s">
        <v>2855</v>
      </c>
      <c r="J786" s="12">
        <v>0.10050000000000001</v>
      </c>
      <c r="K786" s="13">
        <v>1</v>
      </c>
      <c r="L786" s="14">
        <v>428</v>
      </c>
      <c r="M786" s="10">
        <v>43</v>
      </c>
      <c r="N786" s="10">
        <v>47295</v>
      </c>
      <c r="O786" s="10">
        <v>3372</v>
      </c>
      <c r="P786" s="10">
        <v>50667</v>
      </c>
    </row>
    <row r="787" spans="1:16" ht="27" customHeight="1" x14ac:dyDescent="0.2">
      <c r="A787" s="9" t="s">
        <v>1682</v>
      </c>
      <c r="B787" s="10" t="s">
        <v>2023</v>
      </c>
      <c r="C787" s="11" t="s">
        <v>2856</v>
      </c>
      <c r="D787" s="11" t="s">
        <v>2857</v>
      </c>
      <c r="E787" s="11" t="s">
        <v>26</v>
      </c>
      <c r="F787" s="11" t="s">
        <v>2858</v>
      </c>
      <c r="G787" s="11" t="s">
        <v>28</v>
      </c>
      <c r="H787" s="11" t="s">
        <v>2858</v>
      </c>
      <c r="I787" s="11" t="s">
        <v>2859</v>
      </c>
      <c r="J787" s="12">
        <v>0.81189999999999996</v>
      </c>
      <c r="K787" s="13">
        <v>1</v>
      </c>
      <c r="L787" s="14">
        <v>950</v>
      </c>
      <c r="M787" s="10">
        <v>771</v>
      </c>
      <c r="N787" s="10">
        <v>104977</v>
      </c>
      <c r="O787" s="10">
        <v>60461</v>
      </c>
      <c r="P787" s="10">
        <v>165438</v>
      </c>
    </row>
    <row r="788" spans="1:16" ht="27" customHeight="1" x14ac:dyDescent="0.2">
      <c r="A788" s="9" t="s">
        <v>1682</v>
      </c>
      <c r="B788" s="10" t="s">
        <v>2023</v>
      </c>
      <c r="C788" s="11" t="s">
        <v>2860</v>
      </c>
      <c r="D788" s="11" t="s">
        <v>2861</v>
      </c>
      <c r="E788" s="11" t="s">
        <v>57</v>
      </c>
      <c r="F788" s="11" t="s">
        <v>2862</v>
      </c>
      <c r="G788" s="11" t="s">
        <v>28</v>
      </c>
      <c r="H788" s="11" t="s">
        <v>2862</v>
      </c>
      <c r="I788" s="11" t="s">
        <v>2863</v>
      </c>
      <c r="J788" s="12">
        <v>0.91930000000000001</v>
      </c>
      <c r="K788" s="13">
        <v>1</v>
      </c>
      <c r="L788" s="14">
        <v>296</v>
      </c>
      <c r="M788" s="10">
        <v>272</v>
      </c>
      <c r="N788" s="10">
        <v>32708</v>
      </c>
      <c r="O788" s="10">
        <v>21330</v>
      </c>
      <c r="P788" s="10">
        <v>54038</v>
      </c>
    </row>
    <row r="789" spans="1:16" ht="27" customHeight="1" x14ac:dyDescent="0.2">
      <c r="A789" s="9" t="s">
        <v>1682</v>
      </c>
      <c r="B789" s="10" t="s">
        <v>2023</v>
      </c>
      <c r="C789" s="11" t="s">
        <v>2864</v>
      </c>
      <c r="D789" s="11" t="s">
        <v>2865</v>
      </c>
      <c r="E789" s="11" t="s">
        <v>57</v>
      </c>
      <c r="F789" s="11" t="s">
        <v>2866</v>
      </c>
      <c r="G789" s="11" t="s">
        <v>28</v>
      </c>
      <c r="H789" s="11" t="s">
        <v>2866</v>
      </c>
      <c r="I789" s="11" t="s">
        <v>2867</v>
      </c>
      <c r="J789" s="12">
        <v>0.23449999999999999</v>
      </c>
      <c r="K789" s="13">
        <v>1</v>
      </c>
      <c r="L789" s="14">
        <v>563</v>
      </c>
      <c r="M789" s="10">
        <v>132</v>
      </c>
      <c r="N789" s="10">
        <v>62212</v>
      </c>
      <c r="O789" s="10">
        <v>10351</v>
      </c>
      <c r="P789" s="10">
        <v>72563</v>
      </c>
    </row>
    <row r="790" spans="1:16" ht="27" customHeight="1" x14ac:dyDescent="0.2">
      <c r="A790" s="9" t="s">
        <v>1682</v>
      </c>
      <c r="B790" s="10" t="s">
        <v>2023</v>
      </c>
      <c r="C790" s="11" t="s">
        <v>2868</v>
      </c>
      <c r="D790" s="11" t="s">
        <v>2869</v>
      </c>
      <c r="E790" s="11" t="s">
        <v>57</v>
      </c>
      <c r="F790" s="11" t="s">
        <v>2870</v>
      </c>
      <c r="G790" s="11" t="s">
        <v>28</v>
      </c>
      <c r="H790" s="11" t="s">
        <v>2870</v>
      </c>
      <c r="I790" s="11" t="s">
        <v>2871</v>
      </c>
      <c r="J790" s="12">
        <v>0.372</v>
      </c>
      <c r="K790" s="13">
        <v>1</v>
      </c>
      <c r="L790" s="14">
        <v>379</v>
      </c>
      <c r="M790" s="10">
        <v>141</v>
      </c>
      <c r="N790" s="10">
        <v>41880</v>
      </c>
      <c r="O790" s="10">
        <v>11057</v>
      </c>
      <c r="P790" s="10">
        <v>52937</v>
      </c>
    </row>
    <row r="791" spans="1:16" ht="27" customHeight="1" x14ac:dyDescent="0.2">
      <c r="A791" s="9" t="s">
        <v>1682</v>
      </c>
      <c r="B791" s="10" t="s">
        <v>2023</v>
      </c>
      <c r="C791" s="11" t="s">
        <v>2872</v>
      </c>
      <c r="D791" s="11" t="s">
        <v>2873</v>
      </c>
      <c r="E791" s="11" t="s">
        <v>26</v>
      </c>
      <c r="F791" s="11" t="s">
        <v>2874</v>
      </c>
      <c r="G791" s="11" t="s">
        <v>28</v>
      </c>
      <c r="H791" s="11" t="s">
        <v>2874</v>
      </c>
      <c r="I791" s="11" t="s">
        <v>2875</v>
      </c>
      <c r="J791" s="12">
        <v>0.96279999999999999</v>
      </c>
      <c r="K791" s="13">
        <v>1</v>
      </c>
      <c r="L791" s="14">
        <v>780</v>
      </c>
      <c r="M791" s="10">
        <v>751</v>
      </c>
      <c r="N791" s="10">
        <v>86191</v>
      </c>
      <c r="O791" s="10">
        <v>58893</v>
      </c>
      <c r="P791" s="10">
        <v>145084</v>
      </c>
    </row>
    <row r="792" spans="1:16" ht="27" customHeight="1" x14ac:dyDescent="0.2">
      <c r="A792" s="9" t="s">
        <v>1682</v>
      </c>
      <c r="B792" s="10" t="s">
        <v>2023</v>
      </c>
      <c r="C792" s="11" t="s">
        <v>2876</v>
      </c>
      <c r="D792" s="11" t="s">
        <v>2877</v>
      </c>
      <c r="E792" s="11" t="s">
        <v>57</v>
      </c>
      <c r="F792" s="11" t="s">
        <v>2878</v>
      </c>
      <c r="G792" s="11" t="s">
        <v>28</v>
      </c>
      <c r="H792" s="11" t="s">
        <v>2878</v>
      </c>
      <c r="I792" s="11" t="s">
        <v>2879</v>
      </c>
      <c r="J792" s="12">
        <v>0.4536</v>
      </c>
      <c r="K792" s="13">
        <v>1</v>
      </c>
      <c r="L792" s="14">
        <v>549</v>
      </c>
      <c r="M792" s="10">
        <v>249</v>
      </c>
      <c r="N792" s="10">
        <v>60665</v>
      </c>
      <c r="O792" s="10">
        <v>19526</v>
      </c>
      <c r="P792" s="10">
        <v>80191</v>
      </c>
    </row>
    <row r="793" spans="1:16" ht="27" customHeight="1" x14ac:dyDescent="0.2">
      <c r="A793" s="9" t="s">
        <v>1682</v>
      </c>
      <c r="B793" s="10" t="s">
        <v>2023</v>
      </c>
      <c r="C793" s="11" t="s">
        <v>2880</v>
      </c>
      <c r="D793" s="11" t="s">
        <v>2881</v>
      </c>
      <c r="E793" s="11" t="s">
        <v>57</v>
      </c>
      <c r="F793" s="11" t="s">
        <v>2882</v>
      </c>
      <c r="G793" s="11" t="s">
        <v>28</v>
      </c>
      <c r="H793" s="11" t="s">
        <v>2882</v>
      </c>
      <c r="I793" s="11" t="s">
        <v>2883</v>
      </c>
      <c r="J793" s="12">
        <v>0.35959999999999998</v>
      </c>
      <c r="K793" s="13">
        <v>1</v>
      </c>
      <c r="L793" s="14">
        <v>501</v>
      </c>
      <c r="M793" s="10">
        <v>180</v>
      </c>
      <c r="N793" s="10">
        <v>55361</v>
      </c>
      <c r="O793" s="10">
        <v>14115</v>
      </c>
      <c r="P793" s="10">
        <v>69476</v>
      </c>
    </row>
    <row r="794" spans="1:16" ht="27" customHeight="1" x14ac:dyDescent="0.2">
      <c r="A794" s="9" t="s">
        <v>1682</v>
      </c>
      <c r="B794" s="10" t="s">
        <v>2023</v>
      </c>
      <c r="C794" s="11" t="s">
        <v>2884</v>
      </c>
      <c r="D794" s="11" t="s">
        <v>2885</v>
      </c>
      <c r="E794" s="11" t="s">
        <v>57</v>
      </c>
      <c r="F794" s="11" t="s">
        <v>2886</v>
      </c>
      <c r="G794" s="11" t="s">
        <v>28</v>
      </c>
      <c r="H794" s="11" t="s">
        <v>2886</v>
      </c>
      <c r="I794" s="11" t="s">
        <v>2887</v>
      </c>
      <c r="J794" s="12">
        <v>0.56950000000000001</v>
      </c>
      <c r="K794" s="13">
        <v>1</v>
      </c>
      <c r="L794" s="14">
        <v>448</v>
      </c>
      <c r="M794" s="10">
        <v>255</v>
      </c>
      <c r="N794" s="10">
        <v>49505</v>
      </c>
      <c r="O794" s="10">
        <v>19997</v>
      </c>
      <c r="P794" s="10">
        <v>69502</v>
      </c>
    </row>
    <row r="795" spans="1:16" ht="27" customHeight="1" x14ac:dyDescent="0.2">
      <c r="A795" s="9" t="s">
        <v>1682</v>
      </c>
      <c r="B795" s="10" t="s">
        <v>2023</v>
      </c>
      <c r="C795" s="11" t="s">
        <v>2888</v>
      </c>
      <c r="D795" s="11" t="s">
        <v>2889</v>
      </c>
      <c r="E795" s="11" t="s">
        <v>57</v>
      </c>
      <c r="F795" s="11" t="s">
        <v>2890</v>
      </c>
      <c r="G795" s="11" t="s">
        <v>28</v>
      </c>
      <c r="H795" s="11" t="s">
        <v>2890</v>
      </c>
      <c r="I795" s="11" t="s">
        <v>2891</v>
      </c>
      <c r="J795" s="12">
        <v>0.14960000000000001</v>
      </c>
      <c r="K795" s="13">
        <v>1</v>
      </c>
      <c r="L795" s="14">
        <v>234</v>
      </c>
      <c r="M795" s="10">
        <v>35</v>
      </c>
      <c r="N795" s="10">
        <v>25857</v>
      </c>
      <c r="O795" s="10">
        <v>2745</v>
      </c>
      <c r="P795" s="10">
        <v>28602</v>
      </c>
    </row>
    <row r="796" spans="1:16" ht="27" customHeight="1" x14ac:dyDescent="0.2">
      <c r="A796" s="9" t="s">
        <v>1682</v>
      </c>
      <c r="B796" s="10" t="s">
        <v>2023</v>
      </c>
      <c r="C796" s="11" t="s">
        <v>2892</v>
      </c>
      <c r="D796" s="11" t="s">
        <v>2893</v>
      </c>
      <c r="E796" s="11" t="s">
        <v>57</v>
      </c>
      <c r="F796" s="11" t="s">
        <v>2894</v>
      </c>
      <c r="G796" s="11" t="s">
        <v>28</v>
      </c>
      <c r="H796" s="11" t="s">
        <v>2894</v>
      </c>
      <c r="I796" s="11" t="s">
        <v>2895</v>
      </c>
      <c r="J796" s="12">
        <v>0.32840000000000003</v>
      </c>
      <c r="K796" s="13">
        <v>1</v>
      </c>
      <c r="L796" s="14">
        <v>555</v>
      </c>
      <c r="M796" s="10">
        <v>182</v>
      </c>
      <c r="N796" s="10">
        <v>61328</v>
      </c>
      <c r="O796" s="10">
        <v>14272</v>
      </c>
      <c r="P796" s="10">
        <v>75600</v>
      </c>
    </row>
    <row r="797" spans="1:16" ht="27" customHeight="1" x14ac:dyDescent="0.2">
      <c r="A797" s="9" t="s">
        <v>1682</v>
      </c>
      <c r="B797" s="10" t="s">
        <v>2023</v>
      </c>
      <c r="C797" s="11" t="s">
        <v>2896</v>
      </c>
      <c r="D797" s="11" t="s">
        <v>2897</v>
      </c>
      <c r="E797" s="11" t="s">
        <v>57</v>
      </c>
      <c r="F797" s="11" t="s">
        <v>2898</v>
      </c>
      <c r="G797" s="11" t="s">
        <v>28</v>
      </c>
      <c r="H797" s="11" t="s">
        <v>2898</v>
      </c>
      <c r="I797" s="11" t="s">
        <v>2899</v>
      </c>
      <c r="J797" s="12">
        <v>0.46729999999999999</v>
      </c>
      <c r="K797" s="13">
        <v>1</v>
      </c>
      <c r="L797" s="14">
        <v>413</v>
      </c>
      <c r="M797" s="10">
        <v>193</v>
      </c>
      <c r="N797" s="10">
        <v>45637</v>
      </c>
      <c r="O797" s="10">
        <v>15135</v>
      </c>
      <c r="P797" s="10">
        <v>60772</v>
      </c>
    </row>
    <row r="798" spans="1:16" ht="27" customHeight="1" x14ac:dyDescent="0.2">
      <c r="A798" s="9" t="s">
        <v>1682</v>
      </c>
      <c r="B798" s="10" t="s">
        <v>2023</v>
      </c>
      <c r="C798" s="11" t="s">
        <v>2900</v>
      </c>
      <c r="D798" s="11" t="s">
        <v>2901</v>
      </c>
      <c r="E798" s="11" t="s">
        <v>26</v>
      </c>
      <c r="F798" s="11" t="s">
        <v>2902</v>
      </c>
      <c r="G798" s="11" t="s">
        <v>28</v>
      </c>
      <c r="H798" s="11" t="s">
        <v>2902</v>
      </c>
      <c r="I798" s="11" t="s">
        <v>2903</v>
      </c>
      <c r="J798" s="12">
        <v>0.97709999999999997</v>
      </c>
      <c r="K798" s="13">
        <v>1</v>
      </c>
      <c r="L798" s="14">
        <v>2877</v>
      </c>
      <c r="M798" s="10">
        <v>2811</v>
      </c>
      <c r="N798" s="10">
        <v>317913</v>
      </c>
      <c r="O798" s="10">
        <v>220436</v>
      </c>
      <c r="P798" s="10">
        <v>538349</v>
      </c>
    </row>
    <row r="799" spans="1:16" ht="27" customHeight="1" x14ac:dyDescent="0.2">
      <c r="A799" s="9" t="s">
        <v>1682</v>
      </c>
      <c r="B799" s="10" t="s">
        <v>2023</v>
      </c>
      <c r="C799" s="11" t="s">
        <v>2904</v>
      </c>
      <c r="D799" s="11" t="s">
        <v>2905</v>
      </c>
      <c r="E799" s="11" t="s">
        <v>57</v>
      </c>
      <c r="F799" s="11" t="s">
        <v>2906</v>
      </c>
      <c r="G799" s="11" t="s">
        <v>28</v>
      </c>
      <c r="H799" s="11" t="s">
        <v>2906</v>
      </c>
      <c r="I799" s="11" t="s">
        <v>2907</v>
      </c>
      <c r="J799" s="12">
        <v>0.17599999999999999</v>
      </c>
      <c r="K799" s="13">
        <v>1</v>
      </c>
      <c r="L799" s="14">
        <v>750</v>
      </c>
      <c r="M799" s="10">
        <v>132</v>
      </c>
      <c r="N799" s="10">
        <v>82876</v>
      </c>
      <c r="O799" s="10">
        <v>10351</v>
      </c>
      <c r="P799" s="10">
        <v>93227</v>
      </c>
    </row>
    <row r="800" spans="1:16" ht="27" customHeight="1" x14ac:dyDescent="0.2">
      <c r="A800" s="9" t="s">
        <v>1682</v>
      </c>
      <c r="B800" s="10" t="s">
        <v>2023</v>
      </c>
      <c r="C800" s="11" t="s">
        <v>2908</v>
      </c>
      <c r="D800" s="11" t="s">
        <v>2909</v>
      </c>
      <c r="E800" s="11" t="s">
        <v>57</v>
      </c>
      <c r="F800" s="11" t="s">
        <v>2910</v>
      </c>
      <c r="G800" s="11" t="s">
        <v>28</v>
      </c>
      <c r="H800" s="11" t="s">
        <v>2910</v>
      </c>
      <c r="I800" s="11" t="s">
        <v>2911</v>
      </c>
      <c r="J800" s="12">
        <v>0.127</v>
      </c>
      <c r="K800" s="13">
        <v>1</v>
      </c>
      <c r="L800" s="14">
        <v>638</v>
      </c>
      <c r="M800" s="10">
        <v>81</v>
      </c>
      <c r="N800" s="10">
        <v>70500</v>
      </c>
      <c r="O800" s="10">
        <v>6352</v>
      </c>
      <c r="P800" s="10">
        <v>76852</v>
      </c>
    </row>
    <row r="801" spans="1:16" ht="27" customHeight="1" x14ac:dyDescent="0.2">
      <c r="A801" s="9" t="s">
        <v>1682</v>
      </c>
      <c r="B801" s="10" t="s">
        <v>2023</v>
      </c>
      <c r="C801" s="11" t="s">
        <v>2912</v>
      </c>
      <c r="D801" s="11" t="s">
        <v>2913</v>
      </c>
      <c r="E801" s="11" t="s">
        <v>57</v>
      </c>
      <c r="F801" s="11" t="s">
        <v>2914</v>
      </c>
      <c r="G801" s="11" t="s">
        <v>28</v>
      </c>
      <c r="H801" s="11" t="s">
        <v>2914</v>
      </c>
      <c r="I801" s="11" t="s">
        <v>2915</v>
      </c>
      <c r="J801" s="12">
        <v>0.3009</v>
      </c>
      <c r="K801" s="13">
        <v>1</v>
      </c>
      <c r="L801" s="14">
        <v>554</v>
      </c>
      <c r="M801" s="10">
        <v>167</v>
      </c>
      <c r="N801" s="10">
        <v>61218</v>
      </c>
      <c r="O801" s="10">
        <v>13096</v>
      </c>
      <c r="P801" s="10">
        <v>74314</v>
      </c>
    </row>
    <row r="802" spans="1:16" ht="27" customHeight="1" x14ac:dyDescent="0.2">
      <c r="A802" s="9" t="s">
        <v>1682</v>
      </c>
      <c r="B802" s="10" t="s">
        <v>2023</v>
      </c>
      <c r="C802" s="11" t="s">
        <v>2916</v>
      </c>
      <c r="D802" s="11" t="s">
        <v>2917</v>
      </c>
      <c r="E802" s="11" t="s">
        <v>57</v>
      </c>
      <c r="F802" s="11" t="s">
        <v>2918</v>
      </c>
      <c r="G802" s="11" t="s">
        <v>28</v>
      </c>
      <c r="H802" s="11" t="s">
        <v>2918</v>
      </c>
      <c r="I802" s="11" t="s">
        <v>2919</v>
      </c>
      <c r="J802" s="12">
        <v>0.30740000000000001</v>
      </c>
      <c r="K802" s="13">
        <v>1</v>
      </c>
      <c r="L802" s="14">
        <v>592</v>
      </c>
      <c r="M802" s="10">
        <v>182</v>
      </c>
      <c r="N802" s="10">
        <v>65417</v>
      </c>
      <c r="O802" s="10">
        <v>14272</v>
      </c>
      <c r="P802" s="10">
        <v>79689</v>
      </c>
    </row>
    <row r="803" spans="1:16" ht="27" customHeight="1" x14ac:dyDescent="0.2">
      <c r="A803" s="9" t="s">
        <v>1682</v>
      </c>
      <c r="B803" s="10" t="s">
        <v>2023</v>
      </c>
      <c r="C803" s="11" t="s">
        <v>2920</v>
      </c>
      <c r="D803" s="11" t="s">
        <v>2921</v>
      </c>
      <c r="E803" s="11" t="s">
        <v>57</v>
      </c>
      <c r="F803" s="11" t="s">
        <v>2922</v>
      </c>
      <c r="G803" s="11" t="s">
        <v>28</v>
      </c>
      <c r="H803" s="11" t="s">
        <v>2922</v>
      </c>
      <c r="I803" s="11" t="s">
        <v>2923</v>
      </c>
      <c r="J803" s="12">
        <v>0.24299999999999999</v>
      </c>
      <c r="K803" s="13">
        <v>1</v>
      </c>
      <c r="L803" s="14">
        <v>680</v>
      </c>
      <c r="M803" s="10">
        <v>165</v>
      </c>
      <c r="N803" s="10">
        <v>75141</v>
      </c>
      <c r="O803" s="10">
        <v>12939</v>
      </c>
      <c r="P803" s="10">
        <v>88080</v>
      </c>
    </row>
    <row r="804" spans="1:16" ht="27" customHeight="1" x14ac:dyDescent="0.2">
      <c r="A804" s="9" t="s">
        <v>1682</v>
      </c>
      <c r="B804" s="10" t="s">
        <v>2023</v>
      </c>
      <c r="C804" s="11" t="s">
        <v>2924</v>
      </c>
      <c r="D804" s="11" t="s">
        <v>2925</v>
      </c>
      <c r="E804" s="11" t="s">
        <v>57</v>
      </c>
      <c r="F804" s="11" t="s">
        <v>2926</v>
      </c>
      <c r="G804" s="11" t="s">
        <v>28</v>
      </c>
      <c r="H804" s="11" t="s">
        <v>1685</v>
      </c>
      <c r="I804" s="11" t="s">
        <v>1686</v>
      </c>
      <c r="J804" s="12">
        <v>1</v>
      </c>
      <c r="K804" s="13">
        <v>1</v>
      </c>
      <c r="L804" s="14">
        <v>492</v>
      </c>
      <c r="M804" s="10">
        <v>250</v>
      </c>
      <c r="N804" s="10">
        <v>54367</v>
      </c>
      <c r="O804" s="10">
        <v>19605</v>
      </c>
      <c r="P804" s="10">
        <v>73972</v>
      </c>
    </row>
    <row r="805" spans="1:16" ht="27" customHeight="1" x14ac:dyDescent="0.2">
      <c r="A805" s="9" t="s">
        <v>1682</v>
      </c>
      <c r="B805" s="10" t="s">
        <v>2023</v>
      </c>
      <c r="C805" s="11" t="s">
        <v>2927</v>
      </c>
      <c r="D805" s="11" t="s">
        <v>2928</v>
      </c>
      <c r="E805" s="11" t="s">
        <v>57</v>
      </c>
      <c r="F805" s="11" t="s">
        <v>2929</v>
      </c>
      <c r="G805" s="11" t="s">
        <v>28</v>
      </c>
      <c r="H805" s="11" t="s">
        <v>1685</v>
      </c>
      <c r="I805" s="11" t="s">
        <v>1686</v>
      </c>
      <c r="J805" s="12">
        <v>1</v>
      </c>
      <c r="K805" s="13">
        <v>1</v>
      </c>
      <c r="L805" s="14">
        <v>1329</v>
      </c>
      <c r="M805" s="10">
        <v>596</v>
      </c>
      <c r="N805" s="10">
        <v>146857</v>
      </c>
      <c r="O805" s="10">
        <v>46738</v>
      </c>
      <c r="P805" s="10">
        <v>193595</v>
      </c>
    </row>
    <row r="806" spans="1:16" ht="27" customHeight="1" x14ac:dyDescent="0.2">
      <c r="A806" s="9" t="s">
        <v>1682</v>
      </c>
      <c r="B806" s="10" t="s">
        <v>2023</v>
      </c>
      <c r="C806" s="11" t="s">
        <v>2930</v>
      </c>
      <c r="D806" s="11" t="s">
        <v>2931</v>
      </c>
      <c r="E806" s="11" t="s">
        <v>57</v>
      </c>
      <c r="F806" s="11" t="s">
        <v>2932</v>
      </c>
      <c r="G806" s="11" t="s">
        <v>28</v>
      </c>
      <c r="H806" s="11" t="s">
        <v>1685</v>
      </c>
      <c r="I806" s="11" t="s">
        <v>1686</v>
      </c>
      <c r="J806" s="12">
        <v>1</v>
      </c>
      <c r="K806" s="13">
        <v>1</v>
      </c>
      <c r="L806" s="14">
        <v>1718</v>
      </c>
      <c r="M806" s="10">
        <v>430</v>
      </c>
      <c r="N806" s="10">
        <v>189842</v>
      </c>
      <c r="O806" s="10">
        <v>33720</v>
      </c>
      <c r="P806" s="10">
        <v>223562</v>
      </c>
    </row>
    <row r="807" spans="1:16" ht="27" customHeight="1" x14ac:dyDescent="0.2">
      <c r="A807" s="9" t="s">
        <v>1682</v>
      </c>
      <c r="B807" s="10" t="s">
        <v>2023</v>
      </c>
      <c r="C807" s="11" t="s">
        <v>2933</v>
      </c>
      <c r="D807" s="11" t="s">
        <v>2934</v>
      </c>
      <c r="E807" s="11" t="s">
        <v>57</v>
      </c>
      <c r="F807" s="11" t="s">
        <v>2935</v>
      </c>
      <c r="G807" s="11" t="s">
        <v>28</v>
      </c>
      <c r="H807" s="11" t="s">
        <v>1685</v>
      </c>
      <c r="I807" s="11" t="s">
        <v>1686</v>
      </c>
      <c r="J807" s="12">
        <v>1</v>
      </c>
      <c r="K807" s="13">
        <v>1</v>
      </c>
      <c r="L807" s="14">
        <v>1887</v>
      </c>
      <c r="M807" s="10">
        <v>693</v>
      </c>
      <c r="N807" s="10">
        <v>208517</v>
      </c>
      <c r="O807" s="10">
        <v>54344</v>
      </c>
      <c r="P807" s="10">
        <v>262861</v>
      </c>
    </row>
    <row r="808" spans="1:16" ht="27" customHeight="1" x14ac:dyDescent="0.2">
      <c r="A808" s="9" t="s">
        <v>1682</v>
      </c>
      <c r="B808" s="10" t="s">
        <v>2023</v>
      </c>
      <c r="C808" s="11" t="s">
        <v>2936</v>
      </c>
      <c r="D808" s="11" t="s">
        <v>2937</v>
      </c>
      <c r="E808" s="11" t="s">
        <v>57</v>
      </c>
      <c r="F808" s="11" t="s">
        <v>2938</v>
      </c>
      <c r="G808" s="11" t="s">
        <v>28</v>
      </c>
      <c r="H808" s="11" t="s">
        <v>1685</v>
      </c>
      <c r="I808" s="11" t="s">
        <v>1686</v>
      </c>
      <c r="J808" s="12">
        <v>1</v>
      </c>
      <c r="K808" s="13">
        <v>1</v>
      </c>
      <c r="L808" s="14">
        <v>1940</v>
      </c>
      <c r="M808" s="10">
        <v>947</v>
      </c>
      <c r="N808" s="10">
        <v>214373</v>
      </c>
      <c r="O808" s="10">
        <v>74263</v>
      </c>
      <c r="P808" s="10">
        <v>288636</v>
      </c>
    </row>
    <row r="809" spans="1:16" ht="27" customHeight="1" x14ac:dyDescent="0.2">
      <c r="A809" s="9" t="s">
        <v>1682</v>
      </c>
      <c r="B809" s="10" t="s">
        <v>2023</v>
      </c>
      <c r="C809" s="11" t="s">
        <v>2939</v>
      </c>
      <c r="D809" s="11" t="s">
        <v>2940</v>
      </c>
      <c r="E809" s="11" t="s">
        <v>57</v>
      </c>
      <c r="F809" s="11" t="s">
        <v>2941</v>
      </c>
      <c r="G809" s="11" t="s">
        <v>28</v>
      </c>
      <c r="H809" s="11" t="s">
        <v>1685</v>
      </c>
      <c r="I809" s="11" t="s">
        <v>1686</v>
      </c>
      <c r="J809" s="12">
        <v>1</v>
      </c>
      <c r="K809" s="13">
        <v>1</v>
      </c>
      <c r="L809" s="14">
        <v>1441</v>
      </c>
      <c r="M809" s="10">
        <v>732</v>
      </c>
      <c r="N809" s="10">
        <v>159233</v>
      </c>
      <c r="O809" s="10">
        <v>57403</v>
      </c>
      <c r="P809" s="10">
        <v>216636</v>
      </c>
    </row>
    <row r="810" spans="1:16" ht="27" customHeight="1" x14ac:dyDescent="0.2">
      <c r="A810" s="9" t="s">
        <v>1682</v>
      </c>
      <c r="B810" s="10" t="s">
        <v>2023</v>
      </c>
      <c r="C810" s="11" t="s">
        <v>2942</v>
      </c>
      <c r="D810" s="11" t="s">
        <v>2943</v>
      </c>
      <c r="E810" s="11" t="s">
        <v>57</v>
      </c>
      <c r="F810" s="11" t="s">
        <v>2944</v>
      </c>
      <c r="G810" s="11" t="s">
        <v>28</v>
      </c>
      <c r="H810" s="11" t="s">
        <v>2944</v>
      </c>
      <c r="I810" s="11" t="s">
        <v>2945</v>
      </c>
      <c r="J810" s="12">
        <v>0.19769999999999999</v>
      </c>
      <c r="K810" s="13">
        <v>1</v>
      </c>
      <c r="L810" s="14">
        <v>597</v>
      </c>
      <c r="M810" s="10">
        <v>118</v>
      </c>
      <c r="N810" s="10">
        <v>65969</v>
      </c>
      <c r="O810" s="10">
        <v>9253</v>
      </c>
      <c r="P810" s="10">
        <v>75222</v>
      </c>
    </row>
    <row r="811" spans="1:16" ht="27" customHeight="1" x14ac:dyDescent="0.2">
      <c r="A811" s="9" t="s">
        <v>1682</v>
      </c>
      <c r="B811" s="10" t="s">
        <v>2023</v>
      </c>
      <c r="C811" s="11" t="s">
        <v>2946</v>
      </c>
      <c r="D811" s="11" t="s">
        <v>2947</v>
      </c>
      <c r="E811" s="11" t="s">
        <v>57</v>
      </c>
      <c r="F811" s="11" t="s">
        <v>2948</v>
      </c>
      <c r="G811" s="11" t="s">
        <v>28</v>
      </c>
      <c r="H811" s="11" t="s">
        <v>2948</v>
      </c>
      <c r="I811" s="11" t="s">
        <v>2949</v>
      </c>
      <c r="J811" s="12">
        <v>0.21149999999999999</v>
      </c>
      <c r="K811" s="13">
        <v>1</v>
      </c>
      <c r="L811" s="14">
        <v>435</v>
      </c>
      <c r="M811" s="10">
        <v>92</v>
      </c>
      <c r="N811" s="10">
        <v>48068</v>
      </c>
      <c r="O811" s="10">
        <v>7215</v>
      </c>
      <c r="P811" s="10">
        <v>55283</v>
      </c>
    </row>
    <row r="812" spans="1:16" ht="27" customHeight="1" x14ac:dyDescent="0.2">
      <c r="A812" s="9" t="s">
        <v>1682</v>
      </c>
      <c r="B812" s="10" t="s">
        <v>2023</v>
      </c>
      <c r="C812" s="11" t="s">
        <v>2950</v>
      </c>
      <c r="D812" s="11" t="s">
        <v>2951</v>
      </c>
      <c r="E812" s="11" t="s">
        <v>57</v>
      </c>
      <c r="F812" s="11" t="s">
        <v>2952</v>
      </c>
      <c r="G812" s="11" t="s">
        <v>28</v>
      </c>
      <c r="H812" s="11" t="s">
        <v>2952</v>
      </c>
      <c r="I812" s="11" t="s">
        <v>2953</v>
      </c>
      <c r="J812" s="12">
        <v>0.1285</v>
      </c>
      <c r="K812" s="13">
        <v>1</v>
      </c>
      <c r="L812" s="14">
        <v>397</v>
      </c>
      <c r="M812" s="10">
        <v>51</v>
      </c>
      <c r="N812" s="10">
        <v>43869</v>
      </c>
      <c r="O812" s="10">
        <v>3999</v>
      </c>
      <c r="P812" s="10">
        <v>47868</v>
      </c>
    </row>
    <row r="813" spans="1:16" ht="27" customHeight="1" x14ac:dyDescent="0.2">
      <c r="A813" s="9" t="s">
        <v>1682</v>
      </c>
      <c r="B813" s="10" t="s">
        <v>2023</v>
      </c>
      <c r="C813" s="11" t="s">
        <v>2954</v>
      </c>
      <c r="D813" s="11" t="s">
        <v>2955</v>
      </c>
      <c r="E813" s="11" t="s">
        <v>26</v>
      </c>
      <c r="F813" s="11" t="s">
        <v>2956</v>
      </c>
      <c r="G813" s="11" t="s">
        <v>28</v>
      </c>
      <c r="H813" s="11" t="s">
        <v>2956</v>
      </c>
      <c r="I813" s="11" t="s">
        <v>2957</v>
      </c>
      <c r="J813" s="12">
        <v>0.83830000000000005</v>
      </c>
      <c r="K813" s="13">
        <v>1</v>
      </c>
      <c r="L813" s="14">
        <v>773</v>
      </c>
      <c r="M813" s="10">
        <v>648</v>
      </c>
      <c r="N813" s="10">
        <v>85418</v>
      </c>
      <c r="O813" s="10">
        <v>50815</v>
      </c>
      <c r="P813" s="10">
        <v>136233</v>
      </c>
    </row>
    <row r="814" spans="1:16" ht="27" customHeight="1" x14ac:dyDescent="0.2">
      <c r="A814" s="9" t="s">
        <v>1682</v>
      </c>
      <c r="B814" s="10" t="s">
        <v>2023</v>
      </c>
      <c r="C814" s="11" t="s">
        <v>2958</v>
      </c>
      <c r="D814" s="11" t="s">
        <v>2959</v>
      </c>
      <c r="E814" s="11" t="s">
        <v>26</v>
      </c>
      <c r="F814" s="11" t="s">
        <v>2960</v>
      </c>
      <c r="G814" s="11" t="s">
        <v>28</v>
      </c>
      <c r="H814" s="11" t="s">
        <v>2960</v>
      </c>
      <c r="I814" s="11" t="s">
        <v>2961</v>
      </c>
      <c r="J814" s="12">
        <v>0.9829</v>
      </c>
      <c r="K814" s="13">
        <v>1</v>
      </c>
      <c r="L814" s="14">
        <v>350</v>
      </c>
      <c r="M814" s="10">
        <v>344</v>
      </c>
      <c r="N814" s="10">
        <v>38676</v>
      </c>
      <c r="O814" s="10">
        <v>26976</v>
      </c>
      <c r="P814" s="10">
        <v>65652</v>
      </c>
    </row>
    <row r="815" spans="1:16" ht="27" customHeight="1" x14ac:dyDescent="0.2">
      <c r="A815" s="9" t="s">
        <v>1682</v>
      </c>
      <c r="B815" s="10" t="s">
        <v>2023</v>
      </c>
      <c r="C815" s="11" t="s">
        <v>2962</v>
      </c>
      <c r="D815" s="11" t="s">
        <v>2963</v>
      </c>
      <c r="E815" s="11" t="s">
        <v>26</v>
      </c>
      <c r="F815" s="11" t="s">
        <v>2964</v>
      </c>
      <c r="G815" s="11" t="s">
        <v>28</v>
      </c>
      <c r="H815" s="11" t="s">
        <v>2964</v>
      </c>
      <c r="I815" s="11" t="s">
        <v>2965</v>
      </c>
      <c r="J815" s="12">
        <v>0.89410000000000001</v>
      </c>
      <c r="K815" s="13">
        <v>1</v>
      </c>
      <c r="L815" s="14">
        <v>784</v>
      </c>
      <c r="M815" s="10">
        <v>701</v>
      </c>
      <c r="N815" s="10">
        <v>86633</v>
      </c>
      <c r="O815" s="10">
        <v>54972</v>
      </c>
      <c r="P815" s="10">
        <v>141605</v>
      </c>
    </row>
    <row r="816" spans="1:16" ht="27" customHeight="1" x14ac:dyDescent="0.2">
      <c r="A816" s="9" t="s">
        <v>1682</v>
      </c>
      <c r="B816" s="10" t="s">
        <v>2023</v>
      </c>
      <c r="C816" s="11" t="s">
        <v>2966</v>
      </c>
      <c r="D816" s="11" t="s">
        <v>2967</v>
      </c>
      <c r="E816" s="11" t="s">
        <v>26</v>
      </c>
      <c r="F816" s="11" t="s">
        <v>2968</v>
      </c>
      <c r="G816" s="11" t="s">
        <v>28</v>
      </c>
      <c r="H816" s="11" t="s">
        <v>2968</v>
      </c>
      <c r="I816" s="11" t="s">
        <v>2969</v>
      </c>
      <c r="J816" s="12">
        <v>0.97660000000000002</v>
      </c>
      <c r="K816" s="13">
        <v>1</v>
      </c>
      <c r="L816" s="14">
        <v>427</v>
      </c>
      <c r="M816" s="10">
        <v>417</v>
      </c>
      <c r="N816" s="10">
        <v>47184</v>
      </c>
      <c r="O816" s="10">
        <v>32701</v>
      </c>
      <c r="P816" s="10">
        <v>79885</v>
      </c>
    </row>
    <row r="817" spans="1:16" ht="27" customHeight="1" x14ac:dyDescent="0.2">
      <c r="A817" s="9" t="s">
        <v>1682</v>
      </c>
      <c r="B817" s="10" t="s">
        <v>2023</v>
      </c>
      <c r="C817" s="11" t="s">
        <v>2970</v>
      </c>
      <c r="D817" s="11" t="s">
        <v>2971</v>
      </c>
      <c r="E817" s="11" t="s">
        <v>26</v>
      </c>
      <c r="F817" s="11" t="s">
        <v>2972</v>
      </c>
      <c r="G817" s="11" t="s">
        <v>28</v>
      </c>
      <c r="H817" s="11" t="s">
        <v>2972</v>
      </c>
      <c r="I817" s="11" t="s">
        <v>2973</v>
      </c>
      <c r="J817" s="12">
        <v>0.99170000000000003</v>
      </c>
      <c r="K817" s="13">
        <v>1</v>
      </c>
      <c r="L817" s="14">
        <v>602</v>
      </c>
      <c r="M817" s="10">
        <v>597</v>
      </c>
      <c r="N817" s="10">
        <v>66522</v>
      </c>
      <c r="O817" s="10">
        <v>46816</v>
      </c>
      <c r="P817" s="10">
        <v>113338</v>
      </c>
    </row>
    <row r="818" spans="1:16" ht="27" customHeight="1" x14ac:dyDescent="0.2">
      <c r="A818" s="9" t="s">
        <v>1682</v>
      </c>
      <c r="B818" s="10" t="s">
        <v>2023</v>
      </c>
      <c r="C818" s="11" t="s">
        <v>2974</v>
      </c>
      <c r="D818" s="11" t="s">
        <v>2975</v>
      </c>
      <c r="E818" s="11" t="s">
        <v>26</v>
      </c>
      <c r="F818" s="11" t="s">
        <v>2976</v>
      </c>
      <c r="G818" s="11" t="s">
        <v>28</v>
      </c>
      <c r="H818" s="11" t="s">
        <v>2976</v>
      </c>
      <c r="I818" s="11" t="s">
        <v>2977</v>
      </c>
      <c r="J818" s="12">
        <v>0.58440000000000003</v>
      </c>
      <c r="K818" s="13">
        <v>1</v>
      </c>
      <c r="L818" s="14">
        <v>474</v>
      </c>
      <c r="M818" s="10">
        <v>277</v>
      </c>
      <c r="N818" s="10">
        <v>52378</v>
      </c>
      <c r="O818" s="10">
        <v>21722</v>
      </c>
      <c r="P818" s="10">
        <v>74100</v>
      </c>
    </row>
    <row r="819" spans="1:16" ht="27" customHeight="1" x14ac:dyDescent="0.2">
      <c r="A819" s="9" t="s">
        <v>1682</v>
      </c>
      <c r="B819" s="10" t="s">
        <v>2023</v>
      </c>
      <c r="C819" s="11" t="s">
        <v>2978</v>
      </c>
      <c r="D819" s="11" t="s">
        <v>2979</v>
      </c>
      <c r="E819" s="11" t="s">
        <v>26</v>
      </c>
      <c r="F819" s="11" t="s">
        <v>2980</v>
      </c>
      <c r="G819" s="11" t="s">
        <v>28</v>
      </c>
      <c r="H819" s="11" t="s">
        <v>2980</v>
      </c>
      <c r="I819" s="11" t="s">
        <v>2981</v>
      </c>
      <c r="J819" s="12">
        <v>0.22270000000000001</v>
      </c>
      <c r="K819" s="13">
        <v>1</v>
      </c>
      <c r="L819" s="14">
        <v>741</v>
      </c>
      <c r="M819" s="10">
        <v>165</v>
      </c>
      <c r="N819" s="10">
        <v>81882</v>
      </c>
      <c r="O819" s="10">
        <v>12939</v>
      </c>
      <c r="P819" s="10">
        <v>94821</v>
      </c>
    </row>
    <row r="820" spans="1:16" ht="27" customHeight="1" x14ac:dyDescent="0.2">
      <c r="A820" s="9" t="s">
        <v>1682</v>
      </c>
      <c r="B820" s="10" t="s">
        <v>2023</v>
      </c>
      <c r="C820" s="11" t="s">
        <v>2982</v>
      </c>
      <c r="D820" s="11" t="s">
        <v>2983</v>
      </c>
      <c r="E820" s="11" t="s">
        <v>26</v>
      </c>
      <c r="F820" s="11" t="s">
        <v>2984</v>
      </c>
      <c r="G820" s="11" t="s">
        <v>28</v>
      </c>
      <c r="H820" s="11" t="s">
        <v>2984</v>
      </c>
      <c r="I820" s="11" t="s">
        <v>2985</v>
      </c>
      <c r="J820" s="12">
        <v>0.6865</v>
      </c>
      <c r="K820" s="13">
        <v>1</v>
      </c>
      <c r="L820" s="14">
        <v>437</v>
      </c>
      <c r="M820" s="10">
        <v>300</v>
      </c>
      <c r="N820" s="10">
        <v>48289</v>
      </c>
      <c r="O820" s="10">
        <v>23526</v>
      </c>
      <c r="P820" s="10">
        <v>71815</v>
      </c>
    </row>
    <row r="821" spans="1:16" ht="27" customHeight="1" x14ac:dyDescent="0.2">
      <c r="A821" s="9" t="s">
        <v>1682</v>
      </c>
      <c r="B821" s="10" t="s">
        <v>2023</v>
      </c>
      <c r="C821" s="11" t="s">
        <v>2986</v>
      </c>
      <c r="D821" s="11" t="s">
        <v>2987</v>
      </c>
      <c r="E821" s="11" t="s">
        <v>26</v>
      </c>
      <c r="F821" s="11" t="s">
        <v>2988</v>
      </c>
      <c r="G821" s="11" t="s">
        <v>28</v>
      </c>
      <c r="H821" s="11" t="s">
        <v>2988</v>
      </c>
      <c r="I821" s="11" t="s">
        <v>2989</v>
      </c>
      <c r="J821" s="12">
        <v>0.81140000000000001</v>
      </c>
      <c r="K821" s="13">
        <v>1</v>
      </c>
      <c r="L821" s="14">
        <v>297</v>
      </c>
      <c r="M821" s="10">
        <v>241</v>
      </c>
      <c r="N821" s="10">
        <v>32819</v>
      </c>
      <c r="O821" s="10">
        <v>18899</v>
      </c>
      <c r="P821" s="10">
        <v>51718</v>
      </c>
    </row>
    <row r="822" spans="1:16" ht="27" customHeight="1" x14ac:dyDescent="0.2">
      <c r="A822" s="9" t="s">
        <v>1682</v>
      </c>
      <c r="B822" s="10" t="s">
        <v>2023</v>
      </c>
      <c r="C822" s="11" t="s">
        <v>2990</v>
      </c>
      <c r="D822" s="11" t="s">
        <v>2991</v>
      </c>
      <c r="E822" s="11" t="s">
        <v>26</v>
      </c>
      <c r="F822" s="11" t="s">
        <v>2992</v>
      </c>
      <c r="G822" s="11" t="s">
        <v>28</v>
      </c>
      <c r="H822" s="11" t="s">
        <v>2992</v>
      </c>
      <c r="I822" s="11" t="s">
        <v>2993</v>
      </c>
      <c r="J822" s="12">
        <v>0.86499999999999999</v>
      </c>
      <c r="K822" s="13">
        <v>1</v>
      </c>
      <c r="L822" s="14">
        <v>274</v>
      </c>
      <c r="M822" s="10">
        <v>237</v>
      </c>
      <c r="N822" s="10">
        <v>30277</v>
      </c>
      <c r="O822" s="10">
        <v>18585</v>
      </c>
      <c r="P822" s="10">
        <v>48862</v>
      </c>
    </row>
    <row r="823" spans="1:16" ht="27" customHeight="1" x14ac:dyDescent="0.2">
      <c r="A823" s="9" t="s">
        <v>1682</v>
      </c>
      <c r="B823" s="10" t="s">
        <v>2023</v>
      </c>
      <c r="C823" s="11" t="s">
        <v>2994</v>
      </c>
      <c r="D823" s="11" t="s">
        <v>2995</v>
      </c>
      <c r="E823" s="11" t="s">
        <v>26</v>
      </c>
      <c r="F823" s="11" t="s">
        <v>2996</v>
      </c>
      <c r="G823" s="11" t="s">
        <v>28</v>
      </c>
      <c r="H823" s="11" t="s">
        <v>1685</v>
      </c>
      <c r="I823" s="11" t="s">
        <v>1686</v>
      </c>
      <c r="J823" s="12">
        <v>1</v>
      </c>
      <c r="K823" s="13">
        <v>1</v>
      </c>
      <c r="L823" s="14">
        <v>271</v>
      </c>
      <c r="M823" s="10">
        <v>265</v>
      </c>
      <c r="N823" s="10">
        <v>29946</v>
      </c>
      <c r="O823" s="10">
        <v>20781</v>
      </c>
      <c r="P823" s="10">
        <v>50727</v>
      </c>
    </row>
    <row r="824" spans="1:16" ht="27" customHeight="1" x14ac:dyDescent="0.2">
      <c r="A824" s="9" t="s">
        <v>1682</v>
      </c>
      <c r="B824" s="10" t="s">
        <v>2997</v>
      </c>
      <c r="C824" s="11" t="s">
        <v>18</v>
      </c>
      <c r="D824" s="11" t="s">
        <v>19</v>
      </c>
      <c r="E824" s="11" t="s">
        <v>19</v>
      </c>
      <c r="F824" s="11" t="s">
        <v>2998</v>
      </c>
      <c r="G824" s="11" t="s">
        <v>83</v>
      </c>
      <c r="H824" s="11" t="s">
        <v>2999</v>
      </c>
      <c r="I824" s="11" t="s">
        <v>3000</v>
      </c>
      <c r="J824" s="12">
        <v>0.83179999999999998</v>
      </c>
      <c r="K824" s="13">
        <v>5</v>
      </c>
      <c r="L824" s="14">
        <v>1269</v>
      </c>
      <c r="M824" s="10">
        <v>984</v>
      </c>
      <c r="N824" s="10">
        <v>140227</v>
      </c>
      <c r="O824" s="10">
        <v>77164</v>
      </c>
      <c r="P824" s="10">
        <v>217391</v>
      </c>
    </row>
    <row r="825" spans="1:16" ht="27" customHeight="1" x14ac:dyDescent="0.2">
      <c r="A825" s="9" t="s">
        <v>1682</v>
      </c>
      <c r="B825" s="10" t="s">
        <v>3001</v>
      </c>
      <c r="C825" s="11" t="s">
        <v>18</v>
      </c>
      <c r="D825" s="11" t="s">
        <v>19</v>
      </c>
      <c r="E825" s="11" t="s">
        <v>19</v>
      </c>
      <c r="F825" s="11" t="s">
        <v>3002</v>
      </c>
      <c r="G825" s="11" t="s">
        <v>83</v>
      </c>
      <c r="H825" s="11" t="s">
        <v>3003</v>
      </c>
      <c r="I825" s="11" t="s">
        <v>3004</v>
      </c>
      <c r="J825" s="12">
        <v>0.96389999999999998</v>
      </c>
      <c r="K825" s="13">
        <v>19</v>
      </c>
      <c r="L825" s="14">
        <v>12276</v>
      </c>
      <c r="M825" s="10">
        <v>11412</v>
      </c>
      <c r="N825" s="10">
        <v>1356518</v>
      </c>
      <c r="O825" s="10">
        <v>894919</v>
      </c>
      <c r="P825" s="10">
        <v>2251437</v>
      </c>
    </row>
    <row r="826" spans="1:16" ht="27" customHeight="1" x14ac:dyDescent="0.2">
      <c r="A826" s="9" t="s">
        <v>1682</v>
      </c>
      <c r="B826" s="10" t="s">
        <v>3005</v>
      </c>
      <c r="C826" s="11" t="s">
        <v>18</v>
      </c>
      <c r="D826" s="11" t="s">
        <v>19</v>
      </c>
      <c r="E826" s="11" t="s">
        <v>19</v>
      </c>
      <c r="F826" s="11" t="s">
        <v>3006</v>
      </c>
      <c r="G826" s="11" t="s">
        <v>83</v>
      </c>
      <c r="H826" s="11" t="s">
        <v>3007</v>
      </c>
      <c r="I826" s="11" t="s">
        <v>3008</v>
      </c>
      <c r="J826" s="12">
        <v>0.56089999999999995</v>
      </c>
      <c r="K826" s="13">
        <v>12</v>
      </c>
      <c r="L826" s="14">
        <v>5202</v>
      </c>
      <c r="M826" s="10">
        <v>2555</v>
      </c>
      <c r="N826" s="10">
        <v>574830</v>
      </c>
      <c r="O826" s="10">
        <v>200360</v>
      </c>
      <c r="P826" s="10">
        <v>775190</v>
      </c>
    </row>
    <row r="827" spans="1:16" ht="27" customHeight="1" x14ac:dyDescent="0.2">
      <c r="A827" s="9" t="s">
        <v>1682</v>
      </c>
      <c r="B827" s="10" t="s">
        <v>3009</v>
      </c>
      <c r="C827" s="11" t="s">
        <v>18</v>
      </c>
      <c r="D827" s="11" t="s">
        <v>19</v>
      </c>
      <c r="E827" s="11" t="s">
        <v>19</v>
      </c>
      <c r="F827" s="11" t="s">
        <v>3010</v>
      </c>
      <c r="G827" s="11" t="s">
        <v>83</v>
      </c>
      <c r="H827" s="11" t="s">
        <v>3011</v>
      </c>
      <c r="I827" s="11" t="s">
        <v>3012</v>
      </c>
      <c r="J827" s="12">
        <v>0.86270000000000002</v>
      </c>
      <c r="K827" s="13">
        <v>30</v>
      </c>
      <c r="L827" s="14">
        <v>20559</v>
      </c>
      <c r="M827" s="10">
        <v>15087</v>
      </c>
      <c r="N827" s="10">
        <v>2271804</v>
      </c>
      <c r="O827" s="10">
        <v>1183107</v>
      </c>
      <c r="P827" s="10">
        <v>3454911</v>
      </c>
    </row>
    <row r="828" spans="1:16" ht="27" customHeight="1" x14ac:dyDescent="0.2">
      <c r="A828" s="9" t="s">
        <v>1682</v>
      </c>
      <c r="B828" s="10" t="s">
        <v>3013</v>
      </c>
      <c r="C828" s="11" t="s">
        <v>18</v>
      </c>
      <c r="D828" s="11" t="s">
        <v>19</v>
      </c>
      <c r="E828" s="11" t="s">
        <v>19</v>
      </c>
      <c r="F828" s="11" t="s">
        <v>3014</v>
      </c>
      <c r="G828" s="11" t="s">
        <v>83</v>
      </c>
      <c r="H828" s="11" t="s">
        <v>3015</v>
      </c>
      <c r="I828" s="11" t="s">
        <v>3016</v>
      </c>
      <c r="J828" s="12">
        <v>0.85189999999999999</v>
      </c>
      <c r="K828" s="13">
        <v>9</v>
      </c>
      <c r="L828" s="14">
        <v>5053</v>
      </c>
      <c r="M828" s="10">
        <v>4037</v>
      </c>
      <c r="N828" s="10">
        <v>558364</v>
      </c>
      <c r="O828" s="10">
        <v>316577</v>
      </c>
      <c r="P828" s="10">
        <v>874941</v>
      </c>
    </row>
    <row r="829" spans="1:16" ht="27" customHeight="1" x14ac:dyDescent="0.2">
      <c r="A829" s="9" t="s">
        <v>1682</v>
      </c>
      <c r="B829" s="10" t="s">
        <v>3017</v>
      </c>
      <c r="C829" s="11" t="s">
        <v>18</v>
      </c>
      <c r="D829" s="11" t="s">
        <v>19</v>
      </c>
      <c r="E829" s="11" t="s">
        <v>19</v>
      </c>
      <c r="F829" s="11" t="s">
        <v>3018</v>
      </c>
      <c r="G829" s="11" t="s">
        <v>83</v>
      </c>
      <c r="H829" s="11" t="s">
        <v>3019</v>
      </c>
      <c r="I829" s="11" t="s">
        <v>3020</v>
      </c>
      <c r="J829" s="12">
        <v>0.8619</v>
      </c>
      <c r="K829" s="13">
        <v>11</v>
      </c>
      <c r="L829" s="14">
        <v>6106</v>
      </c>
      <c r="M829" s="10">
        <v>2791</v>
      </c>
      <c r="N829" s="10">
        <v>674721</v>
      </c>
      <c r="O829" s="10">
        <v>218868</v>
      </c>
      <c r="P829" s="10">
        <v>893589</v>
      </c>
    </row>
    <row r="830" spans="1:16" ht="27" customHeight="1" x14ac:dyDescent="0.2">
      <c r="A830" s="9" t="s">
        <v>1682</v>
      </c>
      <c r="B830" s="10" t="s">
        <v>3021</v>
      </c>
      <c r="C830" s="11" t="s">
        <v>18</v>
      </c>
      <c r="D830" s="11" t="s">
        <v>19</v>
      </c>
      <c r="E830" s="11" t="s">
        <v>19</v>
      </c>
      <c r="F830" s="11" t="s">
        <v>3022</v>
      </c>
      <c r="G830" s="11" t="s">
        <v>83</v>
      </c>
      <c r="H830" s="11" t="s">
        <v>3023</v>
      </c>
      <c r="I830" s="11" t="s">
        <v>3024</v>
      </c>
      <c r="J830" s="12">
        <v>0.89529999999999998</v>
      </c>
      <c r="K830" s="13">
        <v>27</v>
      </c>
      <c r="L830" s="14">
        <v>15744</v>
      </c>
      <c r="M830" s="10">
        <v>10195</v>
      </c>
      <c r="N830" s="10">
        <v>1739736</v>
      </c>
      <c r="O830" s="10">
        <v>799481</v>
      </c>
      <c r="P830" s="10">
        <v>2539217</v>
      </c>
    </row>
    <row r="831" spans="1:16" ht="27" customHeight="1" x14ac:dyDescent="0.2">
      <c r="A831" s="9" t="s">
        <v>1682</v>
      </c>
      <c r="B831" s="10" t="s">
        <v>3025</v>
      </c>
      <c r="C831" s="11" t="s">
        <v>18</v>
      </c>
      <c r="D831" s="11" t="s">
        <v>19</v>
      </c>
      <c r="E831" s="11" t="s">
        <v>19</v>
      </c>
      <c r="F831" s="11" t="s">
        <v>3026</v>
      </c>
      <c r="G831" s="11" t="s">
        <v>83</v>
      </c>
      <c r="H831" s="11" t="s">
        <v>3027</v>
      </c>
      <c r="I831" s="11" t="s">
        <v>3028</v>
      </c>
      <c r="J831" s="12">
        <v>0.95830000000000004</v>
      </c>
      <c r="K831" s="13">
        <v>29</v>
      </c>
      <c r="L831" s="14">
        <v>17980</v>
      </c>
      <c r="M831" s="10">
        <v>15844</v>
      </c>
      <c r="N831" s="10">
        <v>1986821</v>
      </c>
      <c r="O831" s="10">
        <v>1242468</v>
      </c>
      <c r="P831" s="10">
        <v>3229289</v>
      </c>
    </row>
    <row r="832" spans="1:16" ht="27" customHeight="1" x14ac:dyDescent="0.2">
      <c r="A832" s="9" t="s">
        <v>1682</v>
      </c>
      <c r="B832" s="10" t="s">
        <v>3025</v>
      </c>
      <c r="C832" s="11" t="s">
        <v>3029</v>
      </c>
      <c r="D832" s="11" t="s">
        <v>3030</v>
      </c>
      <c r="E832" s="11" t="s">
        <v>26</v>
      </c>
      <c r="F832" s="11" t="s">
        <v>3031</v>
      </c>
      <c r="G832" s="11" t="s">
        <v>28</v>
      </c>
      <c r="H832" s="11" t="s">
        <v>3031</v>
      </c>
      <c r="I832" s="11" t="s">
        <v>3032</v>
      </c>
      <c r="J832" s="12">
        <v>0.83909999999999996</v>
      </c>
      <c r="K832" s="13">
        <v>1</v>
      </c>
      <c r="L832" s="14">
        <v>1013</v>
      </c>
      <c r="M832" s="10">
        <v>850</v>
      </c>
      <c r="N832" s="10">
        <v>111938</v>
      </c>
      <c r="O832" s="10">
        <v>66656</v>
      </c>
      <c r="P832" s="10">
        <v>178594</v>
      </c>
    </row>
    <row r="833" spans="1:16" ht="27" customHeight="1" x14ac:dyDescent="0.2">
      <c r="A833" s="9" t="s">
        <v>1682</v>
      </c>
      <c r="B833" s="10" t="s">
        <v>3025</v>
      </c>
      <c r="C833" s="11" t="s">
        <v>3033</v>
      </c>
      <c r="D833" s="11" t="s">
        <v>3034</v>
      </c>
      <c r="E833" s="11" t="s">
        <v>26</v>
      </c>
      <c r="F833" s="11" t="s">
        <v>3035</v>
      </c>
      <c r="G833" s="11" t="s">
        <v>28</v>
      </c>
      <c r="H833" s="11" t="s">
        <v>3035</v>
      </c>
      <c r="I833" s="11" t="s">
        <v>3036</v>
      </c>
      <c r="J833" s="12">
        <v>0.54649999999999999</v>
      </c>
      <c r="K833" s="13">
        <v>1</v>
      </c>
      <c r="L833" s="14">
        <v>2278</v>
      </c>
      <c r="M833" s="10">
        <v>1245</v>
      </c>
      <c r="N833" s="10">
        <v>251723</v>
      </c>
      <c r="O833" s="10">
        <v>97632</v>
      </c>
      <c r="P833" s="10">
        <v>349355</v>
      </c>
    </row>
    <row r="834" spans="1:16" ht="27" customHeight="1" x14ac:dyDescent="0.2">
      <c r="A834" s="9" t="s">
        <v>1682</v>
      </c>
      <c r="B834" s="10" t="s">
        <v>3025</v>
      </c>
      <c r="C834" s="11" t="s">
        <v>3037</v>
      </c>
      <c r="D834" s="11" t="s">
        <v>3038</v>
      </c>
      <c r="E834" s="11" t="s">
        <v>57</v>
      </c>
      <c r="F834" s="11" t="s">
        <v>3039</v>
      </c>
      <c r="G834" s="11" t="s">
        <v>28</v>
      </c>
      <c r="H834" s="11" t="s">
        <v>3039</v>
      </c>
      <c r="I834" s="11" t="s">
        <v>3040</v>
      </c>
      <c r="J834" s="12">
        <v>0.83360000000000001</v>
      </c>
      <c r="K834" s="13">
        <v>1</v>
      </c>
      <c r="L834" s="14">
        <v>535</v>
      </c>
      <c r="M834" s="10">
        <v>446</v>
      </c>
      <c r="N834" s="10">
        <v>59118</v>
      </c>
      <c r="O834" s="10">
        <v>34975</v>
      </c>
      <c r="P834" s="10">
        <v>94093</v>
      </c>
    </row>
    <row r="835" spans="1:16" ht="27" customHeight="1" x14ac:dyDescent="0.2">
      <c r="A835" s="9" t="s">
        <v>1682</v>
      </c>
      <c r="B835" s="10" t="s">
        <v>3041</v>
      </c>
      <c r="C835" s="11" t="s">
        <v>18</v>
      </c>
      <c r="D835" s="11" t="s">
        <v>19</v>
      </c>
      <c r="E835" s="11" t="s">
        <v>19</v>
      </c>
      <c r="F835" s="11" t="s">
        <v>3042</v>
      </c>
      <c r="G835" s="11" t="s">
        <v>83</v>
      </c>
      <c r="H835" s="11" t="s">
        <v>3043</v>
      </c>
      <c r="I835" s="11" t="s">
        <v>3044</v>
      </c>
      <c r="J835" s="12">
        <v>0.1348</v>
      </c>
      <c r="K835" s="13">
        <v>19</v>
      </c>
      <c r="L835" s="14">
        <v>10439</v>
      </c>
      <c r="M835" s="10">
        <v>868</v>
      </c>
      <c r="N835" s="10">
        <v>1153529</v>
      </c>
      <c r="O835" s="10">
        <v>68068</v>
      </c>
      <c r="P835" s="10">
        <v>1221597</v>
      </c>
    </row>
    <row r="836" spans="1:16" ht="27" customHeight="1" x14ac:dyDescent="0.2">
      <c r="A836" s="9" t="s">
        <v>1682</v>
      </c>
      <c r="B836" s="10" t="s">
        <v>3045</v>
      </c>
      <c r="C836" s="11" t="s">
        <v>18</v>
      </c>
      <c r="D836" s="11" t="s">
        <v>19</v>
      </c>
      <c r="E836" s="11" t="s">
        <v>19</v>
      </c>
      <c r="F836" s="11" t="s">
        <v>3046</v>
      </c>
      <c r="G836" s="11" t="s">
        <v>83</v>
      </c>
      <c r="H836" s="11" t="s">
        <v>3047</v>
      </c>
      <c r="I836" s="11" t="s">
        <v>3048</v>
      </c>
      <c r="J836" s="12">
        <v>0.95930000000000004</v>
      </c>
      <c r="K836" s="13">
        <v>21</v>
      </c>
      <c r="L836" s="14">
        <v>13028</v>
      </c>
      <c r="M836" s="10">
        <v>12140</v>
      </c>
      <c r="N836" s="10">
        <v>1439618</v>
      </c>
      <c r="O836" s="10">
        <v>952009</v>
      </c>
      <c r="P836" s="10">
        <v>2391627</v>
      </c>
    </row>
    <row r="837" spans="1:16" ht="27" customHeight="1" x14ac:dyDescent="0.2">
      <c r="A837" s="9" t="s">
        <v>1682</v>
      </c>
      <c r="B837" s="10" t="s">
        <v>3049</v>
      </c>
      <c r="C837" s="11" t="s">
        <v>18</v>
      </c>
      <c r="D837" s="11" t="s">
        <v>19</v>
      </c>
      <c r="E837" s="11" t="s">
        <v>19</v>
      </c>
      <c r="F837" s="11" t="s">
        <v>3050</v>
      </c>
      <c r="G837" s="11" t="s">
        <v>83</v>
      </c>
      <c r="H837" s="11" t="s">
        <v>3051</v>
      </c>
      <c r="I837" s="11" t="s">
        <v>3052</v>
      </c>
      <c r="J837" s="12">
        <v>0.89859999999999995</v>
      </c>
      <c r="K837" s="13">
        <v>24</v>
      </c>
      <c r="L837" s="14">
        <v>14550</v>
      </c>
      <c r="M837" s="10">
        <v>10300</v>
      </c>
      <c r="N837" s="10">
        <v>1607800</v>
      </c>
      <c r="O837" s="10">
        <v>807715</v>
      </c>
      <c r="P837" s="10">
        <v>2415515</v>
      </c>
    </row>
    <row r="838" spans="1:16" ht="27" customHeight="1" x14ac:dyDescent="0.2">
      <c r="A838" s="9" t="s">
        <v>1682</v>
      </c>
      <c r="B838" s="10" t="s">
        <v>3049</v>
      </c>
      <c r="C838" s="11" t="s">
        <v>3053</v>
      </c>
      <c r="D838" s="11" t="s">
        <v>3054</v>
      </c>
      <c r="E838" s="11" t="s">
        <v>26</v>
      </c>
      <c r="F838" s="11" t="s">
        <v>3055</v>
      </c>
      <c r="G838" s="11" t="s">
        <v>28</v>
      </c>
      <c r="H838" s="11" t="s">
        <v>3055</v>
      </c>
      <c r="I838" s="11" t="s">
        <v>3056</v>
      </c>
      <c r="J838" s="12">
        <v>0.27929999999999999</v>
      </c>
      <c r="K838" s="13">
        <v>1</v>
      </c>
      <c r="L838" s="14">
        <v>222</v>
      </c>
      <c r="M838" s="10">
        <v>62</v>
      </c>
      <c r="N838" s="10">
        <v>24531</v>
      </c>
      <c r="O838" s="10">
        <v>4862</v>
      </c>
      <c r="P838" s="10">
        <v>29393</v>
      </c>
    </row>
    <row r="839" spans="1:16" ht="27" customHeight="1" x14ac:dyDescent="0.2">
      <c r="A839" s="9" t="s">
        <v>1682</v>
      </c>
      <c r="B839" s="10" t="s">
        <v>3049</v>
      </c>
      <c r="C839" s="11" t="s">
        <v>3057</v>
      </c>
      <c r="D839" s="11" t="s">
        <v>3058</v>
      </c>
      <c r="E839" s="11" t="s">
        <v>26</v>
      </c>
      <c r="F839" s="11" t="s">
        <v>3059</v>
      </c>
      <c r="G839" s="11" t="s">
        <v>28</v>
      </c>
      <c r="H839" s="11" t="s">
        <v>3059</v>
      </c>
      <c r="I839" s="11" t="s">
        <v>3060</v>
      </c>
      <c r="J839" s="12">
        <v>0.20749999999999999</v>
      </c>
      <c r="K839" s="13">
        <v>1</v>
      </c>
      <c r="L839" s="14">
        <v>347</v>
      </c>
      <c r="M839" s="10">
        <v>72</v>
      </c>
      <c r="N839" s="10">
        <v>38344</v>
      </c>
      <c r="O839" s="10">
        <v>5646</v>
      </c>
      <c r="P839" s="10">
        <v>43990</v>
      </c>
    </row>
    <row r="840" spans="1:16" ht="27" customHeight="1" x14ac:dyDescent="0.2">
      <c r="A840" s="9" t="s">
        <v>1682</v>
      </c>
      <c r="B840" s="10" t="s">
        <v>3049</v>
      </c>
      <c r="C840" s="11" t="s">
        <v>3061</v>
      </c>
      <c r="D840" s="11" t="s">
        <v>3062</v>
      </c>
      <c r="E840" s="11" t="s">
        <v>26</v>
      </c>
      <c r="F840" s="11" t="s">
        <v>3063</v>
      </c>
      <c r="G840" s="11" t="s">
        <v>28</v>
      </c>
      <c r="H840" s="11" t="s">
        <v>3063</v>
      </c>
      <c r="I840" s="11" t="s">
        <v>3064</v>
      </c>
      <c r="J840" s="12">
        <v>0.65129999999999999</v>
      </c>
      <c r="K840" s="13">
        <v>1</v>
      </c>
      <c r="L840" s="14">
        <v>152</v>
      </c>
      <c r="M840" s="10">
        <v>99</v>
      </c>
      <c r="N840" s="10">
        <v>16796</v>
      </c>
      <c r="O840" s="10">
        <v>7763</v>
      </c>
      <c r="P840" s="10">
        <v>24559</v>
      </c>
    </row>
    <row r="841" spans="1:16" ht="27" customHeight="1" x14ac:dyDescent="0.2">
      <c r="A841" s="9" t="s">
        <v>1682</v>
      </c>
      <c r="B841" s="10" t="s">
        <v>3049</v>
      </c>
      <c r="C841" s="11" t="s">
        <v>3065</v>
      </c>
      <c r="D841" s="11" t="s">
        <v>3066</v>
      </c>
      <c r="E841" s="11" t="s">
        <v>26</v>
      </c>
      <c r="F841" s="11" t="s">
        <v>3067</v>
      </c>
      <c r="G841" s="11" t="s">
        <v>28</v>
      </c>
      <c r="H841" s="11" t="s">
        <v>1685</v>
      </c>
      <c r="I841" s="11" t="s">
        <v>1686</v>
      </c>
      <c r="J841" s="12">
        <v>1</v>
      </c>
      <c r="K841" s="13">
        <v>1</v>
      </c>
      <c r="L841" s="14">
        <v>195</v>
      </c>
      <c r="M841" s="10">
        <v>175</v>
      </c>
      <c r="N841" s="10">
        <v>21548</v>
      </c>
      <c r="O841" s="10">
        <v>13723</v>
      </c>
      <c r="P841" s="10">
        <v>35271</v>
      </c>
    </row>
    <row r="842" spans="1:16" ht="27" customHeight="1" x14ac:dyDescent="0.2">
      <c r="A842" s="9" t="s">
        <v>1682</v>
      </c>
      <c r="B842" s="10" t="s">
        <v>3049</v>
      </c>
      <c r="C842" s="11" t="s">
        <v>3068</v>
      </c>
      <c r="D842" s="11" t="s">
        <v>3069</v>
      </c>
      <c r="E842" s="11" t="s">
        <v>26</v>
      </c>
      <c r="F842" s="11" t="s">
        <v>3070</v>
      </c>
      <c r="G842" s="11" t="s">
        <v>28</v>
      </c>
      <c r="H842" s="11" t="s">
        <v>3070</v>
      </c>
      <c r="I842" s="11" t="s">
        <v>3071</v>
      </c>
      <c r="J842" s="12">
        <v>0.28949999999999998</v>
      </c>
      <c r="K842" s="13">
        <v>1</v>
      </c>
      <c r="L842" s="14">
        <v>342</v>
      </c>
      <c r="M842" s="10">
        <v>99</v>
      </c>
      <c r="N842" s="10">
        <v>37792</v>
      </c>
      <c r="O842" s="10">
        <v>7763</v>
      </c>
      <c r="P842" s="10">
        <v>45555</v>
      </c>
    </row>
    <row r="843" spans="1:16" ht="27" customHeight="1" x14ac:dyDescent="0.2">
      <c r="A843" s="9" t="s">
        <v>1682</v>
      </c>
      <c r="B843" s="10" t="s">
        <v>3072</v>
      </c>
      <c r="C843" s="11" t="s">
        <v>18</v>
      </c>
      <c r="D843" s="11" t="s">
        <v>19</v>
      </c>
      <c r="E843" s="11" t="s">
        <v>19</v>
      </c>
      <c r="F843" s="11" t="s">
        <v>3073</v>
      </c>
      <c r="G843" s="11" t="s">
        <v>83</v>
      </c>
      <c r="H843" s="11" t="s">
        <v>3074</v>
      </c>
      <c r="I843" s="11" t="s">
        <v>3075</v>
      </c>
      <c r="J843" s="12">
        <v>0.98409999999999997</v>
      </c>
      <c r="K843" s="13">
        <v>36</v>
      </c>
      <c r="L843" s="14">
        <v>20105</v>
      </c>
      <c r="M843" s="10">
        <v>18230</v>
      </c>
      <c r="N843" s="10">
        <v>2221637</v>
      </c>
      <c r="O843" s="10">
        <v>1429579</v>
      </c>
      <c r="P843" s="10">
        <v>3651216</v>
      </c>
    </row>
    <row r="844" spans="1:16" ht="27" customHeight="1" x14ac:dyDescent="0.2">
      <c r="A844" s="9" t="s">
        <v>1682</v>
      </c>
      <c r="B844" s="10" t="s">
        <v>3072</v>
      </c>
      <c r="C844" s="11" t="s">
        <v>3076</v>
      </c>
      <c r="D844" s="11" t="s">
        <v>3077</v>
      </c>
      <c r="E844" s="11" t="s">
        <v>57</v>
      </c>
      <c r="F844" s="11" t="s">
        <v>3078</v>
      </c>
      <c r="G844" s="11" t="s">
        <v>28</v>
      </c>
      <c r="H844" s="11" t="s">
        <v>3078</v>
      </c>
      <c r="I844" s="11" t="s">
        <v>3079</v>
      </c>
      <c r="J844" s="12">
        <v>0.73509999999999998</v>
      </c>
      <c r="K844" s="13">
        <v>1</v>
      </c>
      <c r="L844" s="14">
        <v>970</v>
      </c>
      <c r="M844" s="10">
        <v>713</v>
      </c>
      <c r="N844" s="10">
        <v>107187</v>
      </c>
      <c r="O844" s="10">
        <v>55913</v>
      </c>
      <c r="P844" s="10">
        <v>163100</v>
      </c>
    </row>
    <row r="845" spans="1:16" ht="27" customHeight="1" x14ac:dyDescent="0.2">
      <c r="A845" s="9" t="s">
        <v>1682</v>
      </c>
      <c r="B845" s="10" t="s">
        <v>3072</v>
      </c>
      <c r="C845" s="11" t="s">
        <v>3080</v>
      </c>
      <c r="D845" s="11" t="s">
        <v>3081</v>
      </c>
      <c r="E845" s="11" t="s">
        <v>26</v>
      </c>
      <c r="F845" s="11" t="s">
        <v>3082</v>
      </c>
      <c r="G845" s="11" t="s">
        <v>28</v>
      </c>
      <c r="H845" s="11" t="s">
        <v>3082</v>
      </c>
      <c r="I845" s="11" t="s">
        <v>3083</v>
      </c>
      <c r="J845" s="12">
        <v>0.7571</v>
      </c>
      <c r="K845" s="13">
        <v>1</v>
      </c>
      <c r="L845" s="14">
        <v>667</v>
      </c>
      <c r="M845" s="10">
        <v>505</v>
      </c>
      <c r="N845" s="10">
        <v>73705</v>
      </c>
      <c r="O845" s="10">
        <v>39602</v>
      </c>
      <c r="P845" s="10">
        <v>113307</v>
      </c>
    </row>
    <row r="846" spans="1:16" ht="27" customHeight="1" x14ac:dyDescent="0.2">
      <c r="A846" s="9" t="s">
        <v>1682</v>
      </c>
      <c r="B846" s="10" t="s">
        <v>3072</v>
      </c>
      <c r="C846" s="11" t="s">
        <v>3084</v>
      </c>
      <c r="D846" s="11" t="s">
        <v>3085</v>
      </c>
      <c r="E846" s="11" t="s">
        <v>57</v>
      </c>
      <c r="F846" s="11" t="s">
        <v>3086</v>
      </c>
      <c r="G846" s="11" t="s">
        <v>28</v>
      </c>
      <c r="H846" s="11" t="s">
        <v>3086</v>
      </c>
      <c r="I846" s="11" t="s">
        <v>3087</v>
      </c>
      <c r="J846" s="12">
        <v>0.88629999999999998</v>
      </c>
      <c r="K846" s="13">
        <v>1</v>
      </c>
      <c r="L846" s="14">
        <v>344</v>
      </c>
      <c r="M846" s="10">
        <v>305</v>
      </c>
      <c r="N846" s="10">
        <v>38013</v>
      </c>
      <c r="O846" s="10">
        <v>23918</v>
      </c>
      <c r="P846" s="10">
        <v>61931</v>
      </c>
    </row>
    <row r="847" spans="1:16" ht="27" customHeight="1" x14ac:dyDescent="0.2">
      <c r="A847" s="9" t="s">
        <v>1682</v>
      </c>
      <c r="B847" s="10" t="s">
        <v>3088</v>
      </c>
      <c r="C847" s="11" t="s">
        <v>18</v>
      </c>
      <c r="D847" s="11" t="s">
        <v>19</v>
      </c>
      <c r="E847" s="11" t="s">
        <v>19</v>
      </c>
      <c r="F847" s="11" t="s">
        <v>3089</v>
      </c>
      <c r="G847" s="11" t="s">
        <v>83</v>
      </c>
      <c r="H847" s="11" t="s">
        <v>3090</v>
      </c>
      <c r="I847" s="11" t="s">
        <v>3091</v>
      </c>
      <c r="J847" s="12">
        <v>0.78180000000000005</v>
      </c>
      <c r="K847" s="13">
        <v>6</v>
      </c>
      <c r="L847" s="14">
        <v>2499</v>
      </c>
      <c r="M847" s="10">
        <v>1803</v>
      </c>
      <c r="N847" s="10">
        <v>276143</v>
      </c>
      <c r="O847" s="10">
        <v>141389</v>
      </c>
      <c r="P847" s="10">
        <v>417532</v>
      </c>
    </row>
    <row r="848" spans="1:16" ht="27" customHeight="1" x14ac:dyDescent="0.2">
      <c r="A848" s="9" t="s">
        <v>1682</v>
      </c>
      <c r="B848" s="10" t="s">
        <v>3092</v>
      </c>
      <c r="C848" s="11" t="s">
        <v>18</v>
      </c>
      <c r="D848" s="11" t="s">
        <v>19</v>
      </c>
      <c r="E848" s="11" t="s">
        <v>19</v>
      </c>
      <c r="F848" s="11" t="s">
        <v>3093</v>
      </c>
      <c r="G848" s="11" t="s">
        <v>83</v>
      </c>
      <c r="H848" s="11" t="s">
        <v>3094</v>
      </c>
      <c r="I848" s="11" t="s">
        <v>3095</v>
      </c>
      <c r="J848" s="12">
        <v>0.1061</v>
      </c>
      <c r="K848" s="13">
        <v>5</v>
      </c>
      <c r="L848" s="14">
        <v>2753</v>
      </c>
      <c r="M848" s="10">
        <v>263</v>
      </c>
      <c r="N848" s="10">
        <v>304212</v>
      </c>
      <c r="O848" s="10">
        <v>20623</v>
      </c>
      <c r="P848" s="10">
        <v>324835</v>
      </c>
    </row>
    <row r="849" spans="1:16" ht="27" customHeight="1" x14ac:dyDescent="0.2">
      <c r="A849" s="9" t="s">
        <v>1682</v>
      </c>
      <c r="B849" s="10" t="s">
        <v>3096</v>
      </c>
      <c r="C849" s="11" t="s">
        <v>18</v>
      </c>
      <c r="D849" s="11" t="s">
        <v>19</v>
      </c>
      <c r="E849" s="11" t="s">
        <v>19</v>
      </c>
      <c r="F849" s="11" t="s">
        <v>3097</v>
      </c>
      <c r="G849" s="11" t="s">
        <v>83</v>
      </c>
      <c r="H849" s="11" t="s">
        <v>3098</v>
      </c>
      <c r="I849" s="11" t="s">
        <v>3099</v>
      </c>
      <c r="J849" s="12">
        <v>0.34970000000000001</v>
      </c>
      <c r="K849" s="13">
        <v>18</v>
      </c>
      <c r="L849" s="14">
        <v>8954</v>
      </c>
      <c r="M849" s="10">
        <v>2324</v>
      </c>
      <c r="N849" s="10">
        <v>989433</v>
      </c>
      <c r="O849" s="10">
        <v>182246</v>
      </c>
      <c r="P849" s="10">
        <v>1171679</v>
      </c>
    </row>
    <row r="850" spans="1:16" ht="27" customHeight="1" x14ac:dyDescent="0.2">
      <c r="A850" s="9" t="s">
        <v>1682</v>
      </c>
      <c r="B850" s="10" t="s">
        <v>3100</v>
      </c>
      <c r="C850" s="11" t="s">
        <v>18</v>
      </c>
      <c r="D850" s="11" t="s">
        <v>19</v>
      </c>
      <c r="E850" s="11" t="s">
        <v>19</v>
      </c>
      <c r="F850" s="11" t="s">
        <v>3101</v>
      </c>
      <c r="G850" s="11" t="s">
        <v>83</v>
      </c>
      <c r="H850" s="11" t="s">
        <v>3102</v>
      </c>
      <c r="I850" s="11" t="s">
        <v>3103</v>
      </c>
      <c r="J850" s="12">
        <v>0.57599999999999996</v>
      </c>
      <c r="K850" s="13">
        <v>16</v>
      </c>
      <c r="L850" s="14">
        <v>9277</v>
      </c>
      <c r="M850" s="10">
        <v>2623</v>
      </c>
      <c r="N850" s="10">
        <v>1025125</v>
      </c>
      <c r="O850" s="10">
        <v>205693</v>
      </c>
      <c r="P850" s="10">
        <v>1230818</v>
      </c>
    </row>
    <row r="851" spans="1:16" ht="27" customHeight="1" x14ac:dyDescent="0.2">
      <c r="A851" s="9" t="s">
        <v>1682</v>
      </c>
      <c r="B851" s="10" t="s">
        <v>3104</v>
      </c>
      <c r="C851" s="11" t="s">
        <v>18</v>
      </c>
      <c r="D851" s="11" t="s">
        <v>19</v>
      </c>
      <c r="E851" s="11" t="s">
        <v>19</v>
      </c>
      <c r="F851" s="11" t="s">
        <v>3105</v>
      </c>
      <c r="G851" s="11" t="s">
        <v>83</v>
      </c>
      <c r="H851" s="11" t="s">
        <v>3106</v>
      </c>
      <c r="I851" s="11" t="s">
        <v>3107</v>
      </c>
      <c r="J851" s="12">
        <v>0.16639999999999999</v>
      </c>
      <c r="K851" s="13">
        <v>6</v>
      </c>
      <c r="L851" s="14">
        <v>4637</v>
      </c>
      <c r="M851" s="10">
        <v>730</v>
      </c>
      <c r="N851" s="10">
        <v>512396</v>
      </c>
      <c r="O851" s="10">
        <v>57245</v>
      </c>
      <c r="P851" s="10">
        <v>569641</v>
      </c>
    </row>
    <row r="852" spans="1:16" ht="27" customHeight="1" x14ac:dyDescent="0.2">
      <c r="A852" s="9" t="s">
        <v>1682</v>
      </c>
      <c r="B852" s="10" t="s">
        <v>3108</v>
      </c>
      <c r="C852" s="11" t="s">
        <v>18</v>
      </c>
      <c r="D852" s="11" t="s">
        <v>19</v>
      </c>
      <c r="E852" s="11" t="s">
        <v>19</v>
      </c>
      <c r="F852" s="11" t="s">
        <v>3109</v>
      </c>
      <c r="G852" s="11" t="s">
        <v>83</v>
      </c>
      <c r="H852" s="11" t="s">
        <v>3110</v>
      </c>
      <c r="I852" s="11" t="s">
        <v>3111</v>
      </c>
      <c r="J852" s="12">
        <v>0.91790000000000005</v>
      </c>
      <c r="K852" s="13">
        <v>7</v>
      </c>
      <c r="L852" s="14">
        <v>2354</v>
      </c>
      <c r="M852" s="10">
        <v>2135</v>
      </c>
      <c r="N852" s="10">
        <v>260120</v>
      </c>
      <c r="O852" s="10">
        <v>167424</v>
      </c>
      <c r="P852" s="10">
        <v>427544</v>
      </c>
    </row>
    <row r="853" spans="1:16" ht="27" customHeight="1" x14ac:dyDescent="0.2">
      <c r="A853" s="9" t="s">
        <v>1682</v>
      </c>
      <c r="B853" s="10" t="s">
        <v>3112</v>
      </c>
      <c r="C853" s="11" t="s">
        <v>18</v>
      </c>
      <c r="D853" s="11" t="s">
        <v>19</v>
      </c>
      <c r="E853" s="11" t="s">
        <v>19</v>
      </c>
      <c r="F853" s="11" t="s">
        <v>3113</v>
      </c>
      <c r="G853" s="11" t="s">
        <v>83</v>
      </c>
      <c r="H853" s="11" t="s">
        <v>3114</v>
      </c>
      <c r="I853" s="11" t="s">
        <v>3115</v>
      </c>
      <c r="J853" s="12">
        <v>0.81069999999999998</v>
      </c>
      <c r="K853" s="13">
        <v>11</v>
      </c>
      <c r="L853" s="14">
        <v>5410</v>
      </c>
      <c r="M853" s="10">
        <v>3190</v>
      </c>
      <c r="N853" s="10">
        <v>597813</v>
      </c>
      <c r="O853" s="10">
        <v>250157</v>
      </c>
      <c r="P853" s="10">
        <v>847970</v>
      </c>
    </row>
    <row r="854" spans="1:16" ht="27" customHeight="1" x14ac:dyDescent="0.2">
      <c r="A854" s="9" t="s">
        <v>1682</v>
      </c>
      <c r="B854" s="10" t="s">
        <v>3116</v>
      </c>
      <c r="C854" s="11" t="s">
        <v>18</v>
      </c>
      <c r="D854" s="11" t="s">
        <v>19</v>
      </c>
      <c r="E854" s="11" t="s">
        <v>19</v>
      </c>
      <c r="F854" s="11" t="s">
        <v>3117</v>
      </c>
      <c r="G854" s="11" t="s">
        <v>83</v>
      </c>
      <c r="H854" s="11" t="s">
        <v>3118</v>
      </c>
      <c r="I854" s="11" t="s">
        <v>3119</v>
      </c>
      <c r="J854" s="12">
        <v>0.41760000000000003</v>
      </c>
      <c r="K854" s="13">
        <v>10</v>
      </c>
      <c r="L854" s="14">
        <v>5243</v>
      </c>
      <c r="M854" s="10">
        <v>2032</v>
      </c>
      <c r="N854" s="10">
        <v>579361</v>
      </c>
      <c r="O854" s="10">
        <v>159348</v>
      </c>
      <c r="P854" s="10">
        <v>738709</v>
      </c>
    </row>
    <row r="855" spans="1:16" ht="27" customHeight="1" x14ac:dyDescent="0.2">
      <c r="A855" s="9" t="s">
        <v>1682</v>
      </c>
      <c r="B855" s="10" t="s">
        <v>3120</v>
      </c>
      <c r="C855" s="11" t="s">
        <v>18</v>
      </c>
      <c r="D855" s="11" t="s">
        <v>19</v>
      </c>
      <c r="E855" s="11" t="s">
        <v>19</v>
      </c>
      <c r="F855" s="11" t="s">
        <v>3121</v>
      </c>
      <c r="G855" s="11" t="s">
        <v>83</v>
      </c>
      <c r="H855" s="11" t="s">
        <v>3122</v>
      </c>
      <c r="I855" s="11" t="s">
        <v>3123</v>
      </c>
      <c r="J855" s="12">
        <v>0.5746</v>
      </c>
      <c r="K855" s="13">
        <v>33</v>
      </c>
      <c r="L855" s="14">
        <v>22106</v>
      </c>
      <c r="M855" s="10">
        <v>6063</v>
      </c>
      <c r="N855" s="10">
        <v>2442750</v>
      </c>
      <c r="O855" s="10">
        <v>475456</v>
      </c>
      <c r="P855" s="10">
        <v>2918206</v>
      </c>
    </row>
    <row r="856" spans="1:16" ht="27" customHeight="1" x14ac:dyDescent="0.2">
      <c r="A856" s="9" t="s">
        <v>1682</v>
      </c>
      <c r="B856" s="10" t="s">
        <v>3124</v>
      </c>
      <c r="C856" s="11" t="s">
        <v>18</v>
      </c>
      <c r="D856" s="11" t="s">
        <v>19</v>
      </c>
      <c r="E856" s="11" t="s">
        <v>19</v>
      </c>
      <c r="F856" s="11" t="s">
        <v>3125</v>
      </c>
      <c r="G856" s="11" t="s">
        <v>83</v>
      </c>
      <c r="H856" s="11" t="s">
        <v>3126</v>
      </c>
      <c r="I856" s="11" t="s">
        <v>3127</v>
      </c>
      <c r="J856" s="12">
        <v>0.63749999999999996</v>
      </c>
      <c r="K856" s="13">
        <v>3</v>
      </c>
      <c r="L856" s="14">
        <v>895</v>
      </c>
      <c r="M856" s="10">
        <v>584</v>
      </c>
      <c r="N856" s="10">
        <v>98899</v>
      </c>
      <c r="O856" s="10">
        <v>45797</v>
      </c>
      <c r="P856" s="10">
        <v>144696</v>
      </c>
    </row>
    <row r="857" spans="1:16" ht="27" customHeight="1" x14ac:dyDescent="0.2">
      <c r="A857" s="9" t="s">
        <v>1682</v>
      </c>
      <c r="B857" s="10" t="s">
        <v>3128</v>
      </c>
      <c r="C857" s="11" t="s">
        <v>18</v>
      </c>
      <c r="D857" s="11" t="s">
        <v>19</v>
      </c>
      <c r="E857" s="11" t="s">
        <v>19</v>
      </c>
      <c r="F857" s="11" t="s">
        <v>3129</v>
      </c>
      <c r="G857" s="11" t="s">
        <v>83</v>
      </c>
      <c r="H857" s="11" t="s">
        <v>3130</v>
      </c>
      <c r="I857" s="11" t="s">
        <v>3131</v>
      </c>
      <c r="J857" s="12">
        <v>0.81279999999999997</v>
      </c>
      <c r="K857" s="13">
        <v>16</v>
      </c>
      <c r="L857" s="14">
        <v>8013</v>
      </c>
      <c r="M857" s="10">
        <v>5641</v>
      </c>
      <c r="N857" s="10">
        <v>885449</v>
      </c>
      <c r="O857" s="10">
        <v>442362</v>
      </c>
      <c r="P857" s="10">
        <v>1327811</v>
      </c>
    </row>
    <row r="858" spans="1:16" ht="27" customHeight="1" x14ac:dyDescent="0.2">
      <c r="A858" s="9" t="s">
        <v>1682</v>
      </c>
      <c r="B858" s="10" t="s">
        <v>3128</v>
      </c>
      <c r="C858" s="11" t="s">
        <v>3132</v>
      </c>
      <c r="D858" s="11" t="s">
        <v>3133</v>
      </c>
      <c r="E858" s="11" t="s">
        <v>26</v>
      </c>
      <c r="F858" s="11" t="s">
        <v>3134</v>
      </c>
      <c r="G858" s="11" t="s">
        <v>28</v>
      </c>
      <c r="H858" s="11" t="s">
        <v>3134</v>
      </c>
      <c r="I858" s="11" t="s">
        <v>3135</v>
      </c>
      <c r="J858" s="12">
        <v>0.73740000000000006</v>
      </c>
      <c r="K858" s="13">
        <v>1</v>
      </c>
      <c r="L858" s="14">
        <v>5407</v>
      </c>
      <c r="M858" s="10">
        <v>3987</v>
      </c>
      <c r="N858" s="10">
        <v>597482</v>
      </c>
      <c r="O858" s="10">
        <v>312656</v>
      </c>
      <c r="P858" s="10">
        <v>910138</v>
      </c>
    </row>
    <row r="859" spans="1:16" ht="27" customHeight="1" x14ac:dyDescent="0.2">
      <c r="A859" s="9" t="s">
        <v>1682</v>
      </c>
      <c r="B859" s="10" t="s">
        <v>3128</v>
      </c>
      <c r="C859" s="11" t="s">
        <v>3136</v>
      </c>
      <c r="D859" s="11" t="s">
        <v>3137</v>
      </c>
      <c r="E859" s="11" t="s">
        <v>26</v>
      </c>
      <c r="F859" s="11" t="s">
        <v>3138</v>
      </c>
      <c r="G859" s="11" t="s">
        <v>28</v>
      </c>
      <c r="H859" s="11" t="s">
        <v>3138</v>
      </c>
      <c r="I859" s="11" t="s">
        <v>3139</v>
      </c>
      <c r="J859" s="12">
        <v>0.49759999999999999</v>
      </c>
      <c r="K859" s="13">
        <v>1</v>
      </c>
      <c r="L859" s="14">
        <v>1258</v>
      </c>
      <c r="M859" s="10">
        <v>626</v>
      </c>
      <c r="N859" s="10">
        <v>139011</v>
      </c>
      <c r="O859" s="10">
        <v>49090</v>
      </c>
      <c r="P859" s="10">
        <v>188101</v>
      </c>
    </row>
    <row r="860" spans="1:16" ht="27" customHeight="1" x14ac:dyDescent="0.2">
      <c r="A860" s="9" t="s">
        <v>1682</v>
      </c>
      <c r="B860" s="10" t="s">
        <v>3140</v>
      </c>
      <c r="C860" s="11" t="s">
        <v>18</v>
      </c>
      <c r="D860" s="11" t="s">
        <v>19</v>
      </c>
      <c r="E860" s="11" t="s">
        <v>19</v>
      </c>
      <c r="F860" s="11" t="s">
        <v>3141</v>
      </c>
      <c r="G860" s="11" t="s">
        <v>83</v>
      </c>
      <c r="H860" s="11" t="s">
        <v>3142</v>
      </c>
      <c r="I860" s="11" t="s">
        <v>3143</v>
      </c>
      <c r="J860" s="12">
        <v>0.6925</v>
      </c>
      <c r="K860" s="13">
        <v>13</v>
      </c>
      <c r="L860" s="14">
        <v>8952</v>
      </c>
      <c r="M860" s="10">
        <v>5109</v>
      </c>
      <c r="N860" s="10">
        <v>989210</v>
      </c>
      <c r="O860" s="10">
        <v>400643</v>
      </c>
      <c r="P860" s="10">
        <v>1389853</v>
      </c>
    </row>
    <row r="861" spans="1:16" ht="27" customHeight="1" x14ac:dyDescent="0.2">
      <c r="A861" s="9" t="s">
        <v>1682</v>
      </c>
      <c r="B861" s="10" t="s">
        <v>3144</v>
      </c>
      <c r="C861" s="11" t="s">
        <v>18</v>
      </c>
      <c r="D861" s="11" t="s">
        <v>19</v>
      </c>
      <c r="E861" s="11" t="s">
        <v>19</v>
      </c>
      <c r="F861" s="11" t="s">
        <v>3145</v>
      </c>
      <c r="G861" s="11" t="s">
        <v>83</v>
      </c>
      <c r="H861" s="11" t="s">
        <v>3146</v>
      </c>
      <c r="I861" s="11" t="s">
        <v>3147</v>
      </c>
      <c r="J861" s="12">
        <v>0.73780000000000001</v>
      </c>
      <c r="K861" s="13">
        <v>14</v>
      </c>
      <c r="L861" s="14">
        <v>5574</v>
      </c>
      <c r="M861" s="10">
        <v>3655</v>
      </c>
      <c r="N861" s="10">
        <v>615938</v>
      </c>
      <c r="O861" s="10">
        <v>286620</v>
      </c>
      <c r="P861" s="10">
        <v>902558</v>
      </c>
    </row>
    <row r="862" spans="1:16" ht="27" customHeight="1" x14ac:dyDescent="0.2">
      <c r="A862" s="9" t="s">
        <v>1682</v>
      </c>
      <c r="B862" s="10" t="s">
        <v>3148</v>
      </c>
      <c r="C862" s="11" t="s">
        <v>18</v>
      </c>
      <c r="D862" s="11" t="s">
        <v>19</v>
      </c>
      <c r="E862" s="11" t="s">
        <v>19</v>
      </c>
      <c r="F862" s="11" t="s">
        <v>3149</v>
      </c>
      <c r="G862" s="11" t="s">
        <v>83</v>
      </c>
      <c r="H862" s="11" t="s">
        <v>1685</v>
      </c>
      <c r="I862" s="11" t="s">
        <v>1686</v>
      </c>
      <c r="J862" s="12">
        <v>1</v>
      </c>
      <c r="K862" s="13">
        <v>8</v>
      </c>
      <c r="L862" s="14">
        <v>10568</v>
      </c>
      <c r="M862" s="10">
        <v>8117</v>
      </c>
      <c r="N862" s="10">
        <v>1167782</v>
      </c>
      <c r="O862" s="10">
        <v>636527</v>
      </c>
      <c r="P862" s="10">
        <v>1804309</v>
      </c>
    </row>
    <row r="863" spans="1:16" ht="27" customHeight="1" x14ac:dyDescent="0.2">
      <c r="A863" s="9" t="s">
        <v>1682</v>
      </c>
      <c r="B863" s="10" t="s">
        <v>3150</v>
      </c>
      <c r="C863" s="11" t="s">
        <v>18</v>
      </c>
      <c r="D863" s="11" t="s">
        <v>19</v>
      </c>
      <c r="E863" s="11" t="s">
        <v>19</v>
      </c>
      <c r="F863" s="11" t="s">
        <v>3151</v>
      </c>
      <c r="G863" s="11" t="s">
        <v>83</v>
      </c>
      <c r="H863" s="11" t="s">
        <v>1685</v>
      </c>
      <c r="I863" s="11" t="s">
        <v>1686</v>
      </c>
      <c r="J863" s="12">
        <v>1</v>
      </c>
      <c r="K863" s="13">
        <v>17</v>
      </c>
      <c r="L863" s="14">
        <v>20971</v>
      </c>
      <c r="M863" s="10">
        <v>5417</v>
      </c>
      <c r="N863" s="10">
        <v>2317330</v>
      </c>
      <c r="O863" s="10">
        <v>424795</v>
      </c>
      <c r="P863" s="10">
        <v>2742125</v>
      </c>
    </row>
    <row r="864" spans="1:16" ht="27" customHeight="1" x14ac:dyDescent="0.2">
      <c r="A864" s="9" t="s">
        <v>1682</v>
      </c>
      <c r="B864" s="10" t="s">
        <v>3150</v>
      </c>
      <c r="C864" s="11" t="s">
        <v>3152</v>
      </c>
      <c r="D864" s="11" t="s">
        <v>3153</v>
      </c>
      <c r="E864" s="11" t="s">
        <v>26</v>
      </c>
      <c r="F864" s="11" t="s">
        <v>3154</v>
      </c>
      <c r="G864" s="11" t="s">
        <v>28</v>
      </c>
      <c r="H864" s="11" t="s">
        <v>1685</v>
      </c>
      <c r="I864" s="11" t="s">
        <v>1686</v>
      </c>
      <c r="J864" s="12">
        <v>1</v>
      </c>
      <c r="K864" s="13">
        <v>1</v>
      </c>
      <c r="L864" s="14">
        <v>238</v>
      </c>
      <c r="M864" s="10">
        <v>164</v>
      </c>
      <c r="N864" s="10">
        <v>26299</v>
      </c>
      <c r="O864" s="10">
        <v>12861</v>
      </c>
      <c r="P864" s="10">
        <v>39160</v>
      </c>
    </row>
    <row r="865" spans="1:16" ht="27" customHeight="1" x14ac:dyDescent="0.2">
      <c r="A865" s="9" t="s">
        <v>1682</v>
      </c>
      <c r="B865" s="10" t="s">
        <v>3150</v>
      </c>
      <c r="C865" s="11" t="s">
        <v>3155</v>
      </c>
      <c r="D865" s="11" t="s">
        <v>3156</v>
      </c>
      <c r="E865" s="11" t="s">
        <v>26</v>
      </c>
      <c r="F865" s="11" t="s">
        <v>3157</v>
      </c>
      <c r="G865" s="11" t="s">
        <v>28</v>
      </c>
      <c r="H865" s="11" t="s">
        <v>3157</v>
      </c>
      <c r="I865" s="11" t="s">
        <v>3158</v>
      </c>
      <c r="J865" s="12">
        <v>0.32250000000000001</v>
      </c>
      <c r="K865" s="13">
        <v>1</v>
      </c>
      <c r="L865" s="14">
        <v>766</v>
      </c>
      <c r="M865" s="10">
        <v>247</v>
      </c>
      <c r="N865" s="10">
        <v>84644</v>
      </c>
      <c r="O865" s="10">
        <v>19369</v>
      </c>
      <c r="P865" s="10">
        <v>104013</v>
      </c>
    </row>
    <row r="866" spans="1:16" ht="27" customHeight="1" x14ac:dyDescent="0.2">
      <c r="A866" s="9" t="s">
        <v>1682</v>
      </c>
      <c r="B866" s="10" t="s">
        <v>3150</v>
      </c>
      <c r="C866" s="11" t="s">
        <v>3159</v>
      </c>
      <c r="D866" s="11" t="s">
        <v>3160</v>
      </c>
      <c r="E866" s="11" t="s">
        <v>26</v>
      </c>
      <c r="F866" s="11" t="s">
        <v>3161</v>
      </c>
      <c r="G866" s="11" t="s">
        <v>28</v>
      </c>
      <c r="H866" s="11" t="s">
        <v>1685</v>
      </c>
      <c r="I866" s="11" t="s">
        <v>1686</v>
      </c>
      <c r="J866" s="12">
        <v>1</v>
      </c>
      <c r="K866" s="13">
        <v>1</v>
      </c>
      <c r="L866" s="14">
        <v>454</v>
      </c>
      <c r="M866" s="10">
        <v>289</v>
      </c>
      <c r="N866" s="10">
        <v>50168</v>
      </c>
      <c r="O866" s="10">
        <v>22663</v>
      </c>
      <c r="P866" s="10">
        <v>72831</v>
      </c>
    </row>
    <row r="867" spans="1:16" ht="27" customHeight="1" x14ac:dyDescent="0.2">
      <c r="A867" s="9" t="s">
        <v>1682</v>
      </c>
      <c r="B867" s="10" t="s">
        <v>3162</v>
      </c>
      <c r="C867" s="11" t="s">
        <v>18</v>
      </c>
      <c r="D867" s="11" t="s">
        <v>19</v>
      </c>
      <c r="E867" s="11" t="s">
        <v>19</v>
      </c>
      <c r="F867" s="11" t="s">
        <v>3163</v>
      </c>
      <c r="G867" s="11" t="s">
        <v>83</v>
      </c>
      <c r="H867" s="11" t="s">
        <v>3164</v>
      </c>
      <c r="I867" s="11" t="s">
        <v>3165</v>
      </c>
      <c r="J867" s="12">
        <v>0.93740000000000001</v>
      </c>
      <c r="K867" s="13">
        <v>4</v>
      </c>
      <c r="L867" s="14">
        <v>1236</v>
      </c>
      <c r="M867" s="10">
        <v>1181</v>
      </c>
      <c r="N867" s="10">
        <v>136580</v>
      </c>
      <c r="O867" s="10">
        <v>92613</v>
      </c>
      <c r="P867" s="10">
        <v>229193</v>
      </c>
    </row>
    <row r="868" spans="1:16" ht="27" customHeight="1" x14ac:dyDescent="0.2">
      <c r="A868" s="9" t="s">
        <v>1682</v>
      </c>
      <c r="B868" s="10" t="s">
        <v>3166</v>
      </c>
      <c r="C868" s="11" t="s">
        <v>18</v>
      </c>
      <c r="D868" s="11" t="s">
        <v>19</v>
      </c>
      <c r="E868" s="11" t="s">
        <v>19</v>
      </c>
      <c r="F868" s="11" t="s">
        <v>3167</v>
      </c>
      <c r="G868" s="11" t="s">
        <v>83</v>
      </c>
      <c r="H868" s="11" t="s">
        <v>3168</v>
      </c>
      <c r="I868" s="11" t="s">
        <v>3169</v>
      </c>
      <c r="J868" s="12">
        <v>0.73619999999999997</v>
      </c>
      <c r="K868" s="13">
        <v>39</v>
      </c>
      <c r="L868" s="14">
        <v>18059</v>
      </c>
      <c r="M868" s="10">
        <v>11522</v>
      </c>
      <c r="N868" s="10">
        <v>1995548</v>
      </c>
      <c r="O868" s="10">
        <v>903544</v>
      </c>
      <c r="P868" s="10">
        <v>2899092</v>
      </c>
    </row>
    <row r="869" spans="1:16" ht="27" customHeight="1" x14ac:dyDescent="0.2">
      <c r="A869" s="9" t="s">
        <v>1682</v>
      </c>
      <c r="B869" s="10" t="s">
        <v>3166</v>
      </c>
      <c r="C869" s="11" t="s">
        <v>3170</v>
      </c>
      <c r="D869" s="11" t="s">
        <v>3171</v>
      </c>
      <c r="E869" s="11" t="s">
        <v>26</v>
      </c>
      <c r="F869" s="11" t="s">
        <v>3172</v>
      </c>
      <c r="G869" s="11" t="s">
        <v>28</v>
      </c>
      <c r="H869" s="11" t="s">
        <v>3172</v>
      </c>
      <c r="I869" s="11" t="s">
        <v>3173</v>
      </c>
      <c r="J869" s="12">
        <v>0.92049999999999998</v>
      </c>
      <c r="K869" s="13">
        <v>1</v>
      </c>
      <c r="L869" s="14">
        <v>704</v>
      </c>
      <c r="M869" s="10">
        <v>648</v>
      </c>
      <c r="N869" s="10">
        <v>77793</v>
      </c>
      <c r="O869" s="10">
        <v>50815</v>
      </c>
      <c r="P869" s="10">
        <v>128608</v>
      </c>
    </row>
    <row r="870" spans="1:16" ht="27" customHeight="1" x14ac:dyDescent="0.2">
      <c r="A870" s="9" t="s">
        <v>1682</v>
      </c>
      <c r="B870" s="10" t="s">
        <v>3166</v>
      </c>
      <c r="C870" s="11" t="s">
        <v>3174</v>
      </c>
      <c r="D870" s="11" t="s">
        <v>3175</v>
      </c>
      <c r="E870" s="11" t="s">
        <v>26</v>
      </c>
      <c r="F870" s="11" t="s">
        <v>3176</v>
      </c>
      <c r="G870" s="11" t="s">
        <v>28</v>
      </c>
      <c r="H870" s="11" t="s">
        <v>3176</v>
      </c>
      <c r="I870" s="11" t="s">
        <v>3177</v>
      </c>
      <c r="J870" s="12">
        <v>0.88009999999999999</v>
      </c>
      <c r="K870" s="13">
        <v>1</v>
      </c>
      <c r="L870" s="14">
        <v>417</v>
      </c>
      <c r="M870" s="10">
        <v>367</v>
      </c>
      <c r="N870" s="10">
        <v>46079</v>
      </c>
      <c r="O870" s="10">
        <v>28780</v>
      </c>
      <c r="P870" s="10">
        <v>74859</v>
      </c>
    </row>
    <row r="871" spans="1:16" ht="27" customHeight="1" x14ac:dyDescent="0.2">
      <c r="A871" s="9" t="s">
        <v>1682</v>
      </c>
      <c r="B871" s="10" t="s">
        <v>3166</v>
      </c>
      <c r="C871" s="11" t="s">
        <v>3178</v>
      </c>
      <c r="D871" s="11" t="s">
        <v>3179</v>
      </c>
      <c r="E871" s="11" t="s">
        <v>26</v>
      </c>
      <c r="F871" s="11" t="s">
        <v>3180</v>
      </c>
      <c r="G871" s="11" t="s">
        <v>28</v>
      </c>
      <c r="H871" s="11" t="s">
        <v>3180</v>
      </c>
      <c r="I871" s="11" t="s">
        <v>3181</v>
      </c>
      <c r="J871" s="12">
        <v>0.97070000000000001</v>
      </c>
      <c r="K871" s="13">
        <v>1</v>
      </c>
      <c r="L871" s="14">
        <v>444</v>
      </c>
      <c r="M871" s="10">
        <v>431</v>
      </c>
      <c r="N871" s="10">
        <v>49063</v>
      </c>
      <c r="O871" s="10">
        <v>33799</v>
      </c>
      <c r="P871" s="10">
        <v>82862</v>
      </c>
    </row>
    <row r="872" spans="1:16" ht="27" customHeight="1" x14ac:dyDescent="0.2">
      <c r="A872" s="9" t="s">
        <v>1682</v>
      </c>
      <c r="B872" s="10" t="s">
        <v>3166</v>
      </c>
      <c r="C872" s="11" t="s">
        <v>3182</v>
      </c>
      <c r="D872" s="11" t="s">
        <v>3183</v>
      </c>
      <c r="E872" s="11" t="s">
        <v>26</v>
      </c>
      <c r="F872" s="11" t="s">
        <v>3184</v>
      </c>
      <c r="G872" s="11" t="s">
        <v>28</v>
      </c>
      <c r="H872" s="11" t="s">
        <v>3184</v>
      </c>
      <c r="I872" s="11" t="s">
        <v>3185</v>
      </c>
      <c r="J872" s="12">
        <v>0.93940000000000001</v>
      </c>
      <c r="K872" s="13">
        <v>1</v>
      </c>
      <c r="L872" s="14">
        <v>429</v>
      </c>
      <c r="M872" s="10">
        <v>403</v>
      </c>
      <c r="N872" s="10">
        <v>47405</v>
      </c>
      <c r="O872" s="10">
        <v>31603</v>
      </c>
      <c r="P872" s="10">
        <v>79008</v>
      </c>
    </row>
    <row r="873" spans="1:16" ht="27" customHeight="1" x14ac:dyDescent="0.2">
      <c r="A873" s="9" t="s">
        <v>1682</v>
      </c>
      <c r="B873" s="10" t="s">
        <v>3166</v>
      </c>
      <c r="C873" s="11" t="s">
        <v>3186</v>
      </c>
      <c r="D873" s="11" t="s">
        <v>3187</v>
      </c>
      <c r="E873" s="11" t="s">
        <v>26</v>
      </c>
      <c r="F873" s="11" t="s">
        <v>3188</v>
      </c>
      <c r="G873" s="11" t="s">
        <v>28</v>
      </c>
      <c r="H873" s="11" t="s">
        <v>1685</v>
      </c>
      <c r="I873" s="11" t="s">
        <v>1686</v>
      </c>
      <c r="J873" s="12">
        <v>1</v>
      </c>
      <c r="K873" s="13">
        <v>1</v>
      </c>
      <c r="L873" s="14">
        <v>156</v>
      </c>
      <c r="M873" s="10">
        <v>122</v>
      </c>
      <c r="N873" s="10">
        <v>17238</v>
      </c>
      <c r="O873" s="10">
        <v>9567</v>
      </c>
      <c r="P873" s="10">
        <v>26805</v>
      </c>
    </row>
    <row r="874" spans="1:16" ht="27" customHeight="1" x14ac:dyDescent="0.2">
      <c r="A874" s="9" t="s">
        <v>1682</v>
      </c>
      <c r="B874" s="10" t="s">
        <v>3166</v>
      </c>
      <c r="C874" s="11" t="s">
        <v>3189</v>
      </c>
      <c r="D874" s="11" t="s">
        <v>3190</v>
      </c>
      <c r="E874" s="11" t="s">
        <v>26</v>
      </c>
      <c r="F874" s="11" t="s">
        <v>3191</v>
      </c>
      <c r="G874" s="11" t="s">
        <v>28</v>
      </c>
      <c r="H874" s="11" t="s">
        <v>3191</v>
      </c>
      <c r="I874" s="11" t="s">
        <v>3192</v>
      </c>
      <c r="J874" s="12">
        <v>0.86029999999999995</v>
      </c>
      <c r="K874" s="13">
        <v>1</v>
      </c>
      <c r="L874" s="14">
        <v>551</v>
      </c>
      <c r="M874" s="10">
        <v>474</v>
      </c>
      <c r="N874" s="10">
        <v>60886</v>
      </c>
      <c r="O874" s="10">
        <v>37171</v>
      </c>
      <c r="P874" s="10">
        <v>98057</v>
      </c>
    </row>
    <row r="875" spans="1:16" ht="27" customHeight="1" x14ac:dyDescent="0.2">
      <c r="A875" s="9" t="s">
        <v>1682</v>
      </c>
      <c r="B875" s="10" t="s">
        <v>3166</v>
      </c>
      <c r="C875" s="11" t="s">
        <v>3193</v>
      </c>
      <c r="D875" s="11" t="s">
        <v>3194</v>
      </c>
      <c r="E875" s="11" t="s">
        <v>26</v>
      </c>
      <c r="F875" s="11" t="s">
        <v>3195</v>
      </c>
      <c r="G875" s="11" t="s">
        <v>28</v>
      </c>
      <c r="H875" s="11" t="s">
        <v>3195</v>
      </c>
      <c r="I875" s="11" t="s">
        <v>3196</v>
      </c>
      <c r="J875" s="12">
        <v>0.91849999999999998</v>
      </c>
      <c r="K875" s="13">
        <v>1</v>
      </c>
      <c r="L875" s="14">
        <v>319</v>
      </c>
      <c r="M875" s="10">
        <v>293</v>
      </c>
      <c r="N875" s="10">
        <v>35250</v>
      </c>
      <c r="O875" s="10">
        <v>22977</v>
      </c>
      <c r="P875" s="10">
        <v>58227</v>
      </c>
    </row>
    <row r="876" spans="1:16" ht="27" customHeight="1" x14ac:dyDescent="0.2">
      <c r="A876" s="9" t="s">
        <v>1682</v>
      </c>
      <c r="B876" s="10" t="s">
        <v>3197</v>
      </c>
      <c r="C876" s="11" t="s">
        <v>18</v>
      </c>
      <c r="D876" s="11" t="s">
        <v>19</v>
      </c>
      <c r="E876" s="11" t="s">
        <v>19</v>
      </c>
      <c r="F876" s="11" t="s">
        <v>3198</v>
      </c>
      <c r="G876" s="11" t="s">
        <v>83</v>
      </c>
      <c r="H876" s="11" t="s">
        <v>3199</v>
      </c>
      <c r="I876" s="11" t="s">
        <v>3200</v>
      </c>
      <c r="J876" s="12">
        <v>0.88619999999999999</v>
      </c>
      <c r="K876" s="13">
        <v>36</v>
      </c>
      <c r="L876" s="14">
        <v>16582</v>
      </c>
      <c r="M876" s="10">
        <v>11519</v>
      </c>
      <c r="N876" s="10">
        <v>1832337</v>
      </c>
      <c r="O876" s="10">
        <v>903306</v>
      </c>
      <c r="P876" s="10">
        <v>2735643</v>
      </c>
    </row>
    <row r="877" spans="1:16" ht="27" customHeight="1" x14ac:dyDescent="0.2">
      <c r="A877" s="9" t="s">
        <v>1682</v>
      </c>
      <c r="B877" s="10" t="s">
        <v>3201</v>
      </c>
      <c r="C877" s="11" t="s">
        <v>18</v>
      </c>
      <c r="D877" s="11" t="s">
        <v>19</v>
      </c>
      <c r="E877" s="11" t="s">
        <v>19</v>
      </c>
      <c r="F877" s="11" t="s">
        <v>3202</v>
      </c>
      <c r="G877" s="11" t="s">
        <v>83</v>
      </c>
      <c r="H877" s="11" t="s">
        <v>3203</v>
      </c>
      <c r="I877" s="11" t="s">
        <v>3204</v>
      </c>
      <c r="J877" s="12">
        <v>0.95130000000000003</v>
      </c>
      <c r="K877" s="13">
        <v>24</v>
      </c>
      <c r="L877" s="14">
        <v>12055</v>
      </c>
      <c r="M877" s="10">
        <v>9360</v>
      </c>
      <c r="N877" s="10">
        <v>1332097</v>
      </c>
      <c r="O877" s="10">
        <v>733999</v>
      </c>
      <c r="P877" s="10">
        <v>2066096</v>
      </c>
    </row>
    <row r="878" spans="1:16" ht="27" customHeight="1" x14ac:dyDescent="0.2">
      <c r="A878" s="9" t="s">
        <v>1682</v>
      </c>
      <c r="B878" s="10" t="s">
        <v>3201</v>
      </c>
      <c r="C878" s="11" t="s">
        <v>3205</v>
      </c>
      <c r="D878" s="11" t="s">
        <v>3206</v>
      </c>
      <c r="E878" s="11" t="s">
        <v>26</v>
      </c>
      <c r="F878" s="11" t="s">
        <v>3207</v>
      </c>
      <c r="G878" s="11" t="s">
        <v>28</v>
      </c>
      <c r="H878" s="11" t="s">
        <v>3207</v>
      </c>
      <c r="I878" s="11" t="s">
        <v>3208</v>
      </c>
      <c r="J878" s="12">
        <v>0.74550000000000005</v>
      </c>
      <c r="K878" s="13">
        <v>1</v>
      </c>
      <c r="L878" s="14">
        <v>1289</v>
      </c>
      <c r="M878" s="10">
        <v>961</v>
      </c>
      <c r="N878" s="10">
        <v>142437</v>
      </c>
      <c r="O878" s="10">
        <v>75361</v>
      </c>
      <c r="P878" s="10">
        <v>217798</v>
      </c>
    </row>
    <row r="879" spans="1:16" ht="27" customHeight="1" x14ac:dyDescent="0.2">
      <c r="A879" s="9" t="s">
        <v>1682</v>
      </c>
      <c r="B879" s="10" t="s">
        <v>3209</v>
      </c>
      <c r="C879" s="11" t="s">
        <v>18</v>
      </c>
      <c r="D879" s="11" t="s">
        <v>19</v>
      </c>
      <c r="E879" s="11" t="s">
        <v>19</v>
      </c>
      <c r="F879" s="11" t="s">
        <v>3210</v>
      </c>
      <c r="G879" s="11" t="s">
        <v>83</v>
      </c>
      <c r="H879" s="11" t="s">
        <v>3211</v>
      </c>
      <c r="I879" s="11" t="s">
        <v>3212</v>
      </c>
      <c r="J879" s="12">
        <v>0.32129999999999997</v>
      </c>
      <c r="K879" s="13">
        <v>16</v>
      </c>
      <c r="L879" s="14">
        <v>13517</v>
      </c>
      <c r="M879" s="10">
        <v>3492</v>
      </c>
      <c r="N879" s="10">
        <v>1493653</v>
      </c>
      <c r="O879" s="10">
        <v>273838</v>
      </c>
      <c r="P879" s="10">
        <v>1767491</v>
      </c>
    </row>
    <row r="880" spans="1:16" ht="27" customHeight="1" x14ac:dyDescent="0.2">
      <c r="A880" s="9" t="s">
        <v>1682</v>
      </c>
      <c r="B880" s="10" t="s">
        <v>3213</v>
      </c>
      <c r="C880" s="11" t="s">
        <v>18</v>
      </c>
      <c r="D880" s="11" t="s">
        <v>19</v>
      </c>
      <c r="E880" s="11" t="s">
        <v>19</v>
      </c>
      <c r="F880" s="11" t="s">
        <v>3214</v>
      </c>
      <c r="G880" s="11" t="s">
        <v>83</v>
      </c>
      <c r="H880" s="11" t="s">
        <v>3215</v>
      </c>
      <c r="I880" s="11" t="s">
        <v>3216</v>
      </c>
      <c r="J880" s="12">
        <v>0.9</v>
      </c>
      <c r="K880" s="13">
        <v>9</v>
      </c>
      <c r="L880" s="14">
        <v>4617</v>
      </c>
      <c r="M880" s="10">
        <v>3128</v>
      </c>
      <c r="N880" s="10">
        <v>510186</v>
      </c>
      <c r="O880" s="10">
        <v>245295</v>
      </c>
      <c r="P880" s="10">
        <v>755481</v>
      </c>
    </row>
    <row r="881" spans="1:16" ht="27" customHeight="1" x14ac:dyDescent="0.2">
      <c r="A881" s="9" t="s">
        <v>1682</v>
      </c>
      <c r="B881" s="10" t="s">
        <v>3213</v>
      </c>
      <c r="C881" s="11" t="s">
        <v>3217</v>
      </c>
      <c r="D881" s="11" t="s">
        <v>3218</v>
      </c>
      <c r="E881" s="11" t="s">
        <v>26</v>
      </c>
      <c r="F881" s="11" t="s">
        <v>3219</v>
      </c>
      <c r="G881" s="11" t="s">
        <v>28</v>
      </c>
      <c r="H881" s="11" t="s">
        <v>1685</v>
      </c>
      <c r="I881" s="11" t="s">
        <v>1686</v>
      </c>
      <c r="J881" s="12">
        <v>1</v>
      </c>
      <c r="K881" s="13">
        <v>1</v>
      </c>
      <c r="L881" s="14">
        <v>341</v>
      </c>
      <c r="M881" s="10">
        <v>258</v>
      </c>
      <c r="N881" s="10">
        <v>37681</v>
      </c>
      <c r="O881" s="10">
        <v>20232</v>
      </c>
      <c r="P881" s="10">
        <v>57913</v>
      </c>
    </row>
    <row r="882" spans="1:16" ht="27" customHeight="1" x14ac:dyDescent="0.2">
      <c r="A882" s="9" t="s">
        <v>1682</v>
      </c>
      <c r="B882" s="10" t="s">
        <v>3220</v>
      </c>
      <c r="C882" s="11" t="s">
        <v>18</v>
      </c>
      <c r="D882" s="11" t="s">
        <v>19</v>
      </c>
      <c r="E882" s="11" t="s">
        <v>19</v>
      </c>
      <c r="F882" s="11" t="s">
        <v>3221</v>
      </c>
      <c r="G882" s="11" t="s">
        <v>83</v>
      </c>
      <c r="H882" s="11" t="s">
        <v>3222</v>
      </c>
      <c r="I882" s="11" t="s">
        <v>3223</v>
      </c>
      <c r="J882" s="12">
        <v>0.61129999999999995</v>
      </c>
      <c r="K882" s="13">
        <v>4</v>
      </c>
      <c r="L882" s="14">
        <v>1004</v>
      </c>
      <c r="M882" s="10">
        <v>618</v>
      </c>
      <c r="N882" s="10">
        <v>110944</v>
      </c>
      <c r="O882" s="10">
        <v>48463</v>
      </c>
      <c r="P882" s="10">
        <v>159407</v>
      </c>
    </row>
    <row r="883" spans="1:16" ht="27" customHeight="1" x14ac:dyDescent="0.2">
      <c r="A883" s="9" t="s">
        <v>1682</v>
      </c>
      <c r="B883" s="10" t="s">
        <v>3220</v>
      </c>
      <c r="C883" s="11" t="s">
        <v>3224</v>
      </c>
      <c r="D883" s="11" t="s">
        <v>3225</v>
      </c>
      <c r="E883" s="11" t="s">
        <v>26</v>
      </c>
      <c r="F883" s="11" t="s">
        <v>3226</v>
      </c>
      <c r="G883" s="11" t="s">
        <v>28</v>
      </c>
      <c r="H883" s="11" t="s">
        <v>3226</v>
      </c>
      <c r="I883" s="11" t="s">
        <v>3227</v>
      </c>
      <c r="J883" s="12">
        <v>0.87749999999999995</v>
      </c>
      <c r="K883" s="13">
        <v>1</v>
      </c>
      <c r="L883" s="14">
        <v>2915</v>
      </c>
      <c r="M883" s="10">
        <v>2558</v>
      </c>
      <c r="N883" s="10">
        <v>322112</v>
      </c>
      <c r="O883" s="10">
        <v>200596</v>
      </c>
      <c r="P883" s="10">
        <v>522708</v>
      </c>
    </row>
    <row r="884" spans="1:16" ht="27" customHeight="1" x14ac:dyDescent="0.2">
      <c r="A884" s="9" t="s">
        <v>1682</v>
      </c>
      <c r="B884" s="10" t="s">
        <v>3220</v>
      </c>
      <c r="C884" s="11" t="s">
        <v>3228</v>
      </c>
      <c r="D884" s="11" t="s">
        <v>3229</v>
      </c>
      <c r="E884" s="11" t="s">
        <v>26</v>
      </c>
      <c r="F884" s="11" t="s">
        <v>3230</v>
      </c>
      <c r="G884" s="11" t="s">
        <v>28</v>
      </c>
      <c r="H884" s="11" t="s">
        <v>1685</v>
      </c>
      <c r="I884" s="11" t="s">
        <v>1686</v>
      </c>
      <c r="J884" s="12">
        <v>1</v>
      </c>
      <c r="K884" s="13">
        <v>1</v>
      </c>
      <c r="L884" s="14">
        <v>148</v>
      </c>
      <c r="M884" s="10">
        <v>113</v>
      </c>
      <c r="N884" s="10">
        <v>16354</v>
      </c>
      <c r="O884" s="10">
        <v>8861</v>
      </c>
      <c r="P884" s="10">
        <v>25215</v>
      </c>
    </row>
    <row r="885" spans="1:16" ht="27" customHeight="1" x14ac:dyDescent="0.2">
      <c r="A885" s="9" t="s">
        <v>1682</v>
      </c>
      <c r="B885" s="10" t="s">
        <v>3220</v>
      </c>
      <c r="C885" s="11" t="s">
        <v>3231</v>
      </c>
      <c r="D885" s="11" t="s">
        <v>3232</v>
      </c>
      <c r="E885" s="11" t="s">
        <v>26</v>
      </c>
      <c r="F885" s="11" t="s">
        <v>3233</v>
      </c>
      <c r="G885" s="11" t="s">
        <v>28</v>
      </c>
      <c r="H885" s="11" t="s">
        <v>3233</v>
      </c>
      <c r="I885" s="11" t="s">
        <v>3234</v>
      </c>
      <c r="J885" s="12">
        <v>0.45229999999999998</v>
      </c>
      <c r="K885" s="13">
        <v>1</v>
      </c>
      <c r="L885" s="14">
        <v>3575</v>
      </c>
      <c r="M885" s="10">
        <v>1617</v>
      </c>
      <c r="N885" s="10">
        <v>395043</v>
      </c>
      <c r="O885" s="10">
        <v>126803</v>
      </c>
      <c r="P885" s="10">
        <v>521846</v>
      </c>
    </row>
    <row r="886" spans="1:16" ht="27" customHeight="1" x14ac:dyDescent="0.2">
      <c r="A886" s="9" t="s">
        <v>1682</v>
      </c>
      <c r="B886" s="10" t="s">
        <v>3220</v>
      </c>
      <c r="C886" s="11" t="s">
        <v>3235</v>
      </c>
      <c r="D886" s="11" t="s">
        <v>3236</v>
      </c>
      <c r="E886" s="11" t="s">
        <v>26</v>
      </c>
      <c r="F886" s="11" t="s">
        <v>3237</v>
      </c>
      <c r="G886" s="11" t="s">
        <v>28</v>
      </c>
      <c r="H886" s="11" t="s">
        <v>3237</v>
      </c>
      <c r="I886" s="11" t="s">
        <v>3238</v>
      </c>
      <c r="J886" s="12">
        <v>0.66379999999999995</v>
      </c>
      <c r="K886" s="13">
        <v>1</v>
      </c>
      <c r="L886" s="14">
        <v>351</v>
      </c>
      <c r="M886" s="10">
        <v>233</v>
      </c>
      <c r="N886" s="10">
        <v>38786</v>
      </c>
      <c r="O886" s="10">
        <v>18272</v>
      </c>
      <c r="P886" s="10">
        <v>57058</v>
      </c>
    </row>
    <row r="887" spans="1:16" ht="27" customHeight="1" x14ac:dyDescent="0.2">
      <c r="A887" s="9" t="s">
        <v>1682</v>
      </c>
      <c r="B887" s="10" t="s">
        <v>3220</v>
      </c>
      <c r="C887" s="11" t="s">
        <v>3239</v>
      </c>
      <c r="D887" s="11" t="s">
        <v>3240</v>
      </c>
      <c r="E887" s="11" t="s">
        <v>26</v>
      </c>
      <c r="F887" s="11" t="s">
        <v>3241</v>
      </c>
      <c r="G887" s="11" t="s">
        <v>28</v>
      </c>
      <c r="H887" s="11" t="s">
        <v>1685</v>
      </c>
      <c r="I887" s="11" t="s">
        <v>1686</v>
      </c>
      <c r="J887" s="12">
        <v>1</v>
      </c>
      <c r="K887" s="13">
        <v>1</v>
      </c>
      <c r="L887" s="14">
        <v>81</v>
      </c>
      <c r="M887" s="10">
        <v>62</v>
      </c>
      <c r="N887" s="10">
        <v>8951</v>
      </c>
      <c r="O887" s="10">
        <v>4862</v>
      </c>
      <c r="P887" s="10">
        <v>13813</v>
      </c>
    </row>
    <row r="888" spans="1:16" ht="27" customHeight="1" x14ac:dyDescent="0.2">
      <c r="A888" s="9" t="s">
        <v>1682</v>
      </c>
      <c r="B888" s="10" t="s">
        <v>3220</v>
      </c>
      <c r="C888" s="11" t="s">
        <v>3242</v>
      </c>
      <c r="D888" s="11" t="s">
        <v>3243</v>
      </c>
      <c r="E888" s="11" t="s">
        <v>26</v>
      </c>
      <c r="F888" s="11" t="s">
        <v>3244</v>
      </c>
      <c r="G888" s="11" t="s">
        <v>28</v>
      </c>
      <c r="H888" s="11" t="s">
        <v>3244</v>
      </c>
      <c r="I888" s="11" t="s">
        <v>3245</v>
      </c>
      <c r="J888" s="12">
        <v>0.54390000000000005</v>
      </c>
      <c r="K888" s="13">
        <v>1</v>
      </c>
      <c r="L888" s="14">
        <v>888</v>
      </c>
      <c r="M888" s="10">
        <v>483</v>
      </c>
      <c r="N888" s="10">
        <v>98125</v>
      </c>
      <c r="O888" s="10">
        <v>37876</v>
      </c>
      <c r="P888" s="10">
        <v>136001</v>
      </c>
    </row>
    <row r="889" spans="1:16" ht="27" customHeight="1" x14ac:dyDescent="0.2">
      <c r="A889" s="9" t="s">
        <v>1682</v>
      </c>
      <c r="B889" s="10" t="s">
        <v>3220</v>
      </c>
      <c r="C889" s="11" t="s">
        <v>3246</v>
      </c>
      <c r="D889" s="11" t="s">
        <v>3247</v>
      </c>
      <c r="E889" s="11" t="s">
        <v>26</v>
      </c>
      <c r="F889" s="11" t="s">
        <v>3248</v>
      </c>
      <c r="G889" s="11" t="s">
        <v>28</v>
      </c>
      <c r="H889" s="11" t="s">
        <v>3248</v>
      </c>
      <c r="I889" s="11" t="s">
        <v>3249</v>
      </c>
      <c r="J889" s="12">
        <v>0.53759999999999997</v>
      </c>
      <c r="K889" s="13">
        <v>1</v>
      </c>
      <c r="L889" s="14">
        <v>266</v>
      </c>
      <c r="M889" s="10">
        <v>143</v>
      </c>
      <c r="N889" s="10">
        <v>29393</v>
      </c>
      <c r="O889" s="10">
        <v>11214</v>
      </c>
      <c r="P889" s="10">
        <v>40607</v>
      </c>
    </row>
    <row r="890" spans="1:16" ht="27" customHeight="1" x14ac:dyDescent="0.2">
      <c r="A890" s="9" t="s">
        <v>1682</v>
      </c>
      <c r="B890" s="10" t="s">
        <v>3220</v>
      </c>
      <c r="C890" s="11" t="s">
        <v>3250</v>
      </c>
      <c r="D890" s="11" t="s">
        <v>3251</v>
      </c>
      <c r="E890" s="11" t="s">
        <v>26</v>
      </c>
      <c r="F890" s="11" t="s">
        <v>3252</v>
      </c>
      <c r="G890" s="11" t="s">
        <v>28</v>
      </c>
      <c r="H890" s="11" t="s">
        <v>1685</v>
      </c>
      <c r="I890" s="11" t="s">
        <v>1686</v>
      </c>
      <c r="J890" s="12">
        <v>1</v>
      </c>
      <c r="K890" s="13">
        <v>1</v>
      </c>
      <c r="L890" s="14">
        <v>1770</v>
      </c>
      <c r="M890" s="10">
        <v>1449</v>
      </c>
      <c r="N890" s="10">
        <v>195588</v>
      </c>
      <c r="O890" s="10">
        <v>113629</v>
      </c>
      <c r="P890" s="10">
        <v>309217</v>
      </c>
    </row>
    <row r="891" spans="1:16" ht="27" customHeight="1" x14ac:dyDescent="0.2">
      <c r="A891" s="9" t="s">
        <v>1682</v>
      </c>
      <c r="B891" s="10" t="s">
        <v>3220</v>
      </c>
      <c r="C891" s="11" t="s">
        <v>3253</v>
      </c>
      <c r="D891" s="11" t="s">
        <v>3254</v>
      </c>
      <c r="E891" s="11" t="s">
        <v>26</v>
      </c>
      <c r="F891" s="11" t="s">
        <v>3255</v>
      </c>
      <c r="G891" s="11" t="s">
        <v>28</v>
      </c>
      <c r="H891" s="11" t="s">
        <v>3255</v>
      </c>
      <c r="I891" s="11" t="s">
        <v>3256</v>
      </c>
      <c r="J891" s="12">
        <v>0.57220000000000004</v>
      </c>
      <c r="K891" s="13">
        <v>1</v>
      </c>
      <c r="L891" s="14">
        <v>194</v>
      </c>
      <c r="M891" s="10">
        <v>111</v>
      </c>
      <c r="N891" s="10">
        <v>21437</v>
      </c>
      <c r="O891" s="10">
        <v>8705</v>
      </c>
      <c r="P891" s="10">
        <v>30142</v>
      </c>
    </row>
    <row r="892" spans="1:16" ht="27" customHeight="1" x14ac:dyDescent="0.2">
      <c r="A892" s="9" t="s">
        <v>1682</v>
      </c>
      <c r="B892" s="10" t="s">
        <v>3220</v>
      </c>
      <c r="C892" s="11" t="s">
        <v>3257</v>
      </c>
      <c r="D892" s="11" t="s">
        <v>3258</v>
      </c>
      <c r="E892" s="11" t="s">
        <v>26</v>
      </c>
      <c r="F892" s="11" t="s">
        <v>3259</v>
      </c>
      <c r="G892" s="11" t="s">
        <v>28</v>
      </c>
      <c r="H892" s="11" t="s">
        <v>3259</v>
      </c>
      <c r="I892" s="11" t="s">
        <v>3260</v>
      </c>
      <c r="J892" s="12">
        <v>0.80469999999999997</v>
      </c>
      <c r="K892" s="13">
        <v>1</v>
      </c>
      <c r="L892" s="14">
        <v>384</v>
      </c>
      <c r="M892" s="10">
        <v>309</v>
      </c>
      <c r="N892" s="10">
        <v>42433</v>
      </c>
      <c r="O892" s="10">
        <v>24231</v>
      </c>
      <c r="P892" s="10">
        <v>66664</v>
      </c>
    </row>
    <row r="893" spans="1:16" ht="27" customHeight="1" x14ac:dyDescent="0.2">
      <c r="A893" s="9" t="s">
        <v>1682</v>
      </c>
      <c r="B893" s="10" t="s">
        <v>3220</v>
      </c>
      <c r="C893" s="11" t="s">
        <v>3261</v>
      </c>
      <c r="D893" s="11" t="s">
        <v>3262</v>
      </c>
      <c r="E893" s="11" t="s">
        <v>26</v>
      </c>
      <c r="F893" s="11" t="s">
        <v>3263</v>
      </c>
      <c r="G893" s="11" t="s">
        <v>28</v>
      </c>
      <c r="H893" s="11" t="s">
        <v>3263</v>
      </c>
      <c r="I893" s="11" t="s">
        <v>3264</v>
      </c>
      <c r="J893" s="12">
        <v>0.41799999999999998</v>
      </c>
      <c r="K893" s="13">
        <v>1</v>
      </c>
      <c r="L893" s="14">
        <v>323</v>
      </c>
      <c r="M893" s="10">
        <v>135</v>
      </c>
      <c r="N893" s="10">
        <v>35692</v>
      </c>
      <c r="O893" s="10">
        <v>10587</v>
      </c>
      <c r="P893" s="10">
        <v>46279</v>
      </c>
    </row>
    <row r="894" spans="1:16" ht="27" customHeight="1" x14ac:dyDescent="0.2">
      <c r="A894" s="9" t="s">
        <v>1682</v>
      </c>
      <c r="B894" s="10" t="s">
        <v>3265</v>
      </c>
      <c r="C894" s="11" t="s">
        <v>18</v>
      </c>
      <c r="D894" s="11" t="s">
        <v>19</v>
      </c>
      <c r="E894" s="11" t="s">
        <v>19</v>
      </c>
      <c r="F894" s="11" t="s">
        <v>3266</v>
      </c>
      <c r="G894" s="11" t="s">
        <v>83</v>
      </c>
      <c r="H894" s="11" t="s">
        <v>3267</v>
      </c>
      <c r="I894" s="11" t="s">
        <v>3268</v>
      </c>
      <c r="J894" s="12">
        <v>5.6599999999999998E-2</v>
      </c>
      <c r="K894" s="13">
        <v>9</v>
      </c>
      <c r="L894" s="14">
        <v>5929</v>
      </c>
      <c r="M894" s="10">
        <v>272</v>
      </c>
      <c r="N894" s="10">
        <v>655165</v>
      </c>
      <c r="O894" s="10">
        <v>21330</v>
      </c>
      <c r="P894" s="10">
        <v>676495</v>
      </c>
    </row>
    <row r="895" spans="1:16" ht="27" customHeight="1" x14ac:dyDescent="0.2">
      <c r="A895" s="9" t="s">
        <v>1682</v>
      </c>
      <c r="B895" s="10" t="s">
        <v>3269</v>
      </c>
      <c r="C895" s="11" t="s">
        <v>18</v>
      </c>
      <c r="D895" s="11" t="s">
        <v>19</v>
      </c>
      <c r="E895" s="11" t="s">
        <v>19</v>
      </c>
      <c r="F895" s="11" t="s">
        <v>3270</v>
      </c>
      <c r="G895" s="11" t="s">
        <v>83</v>
      </c>
      <c r="H895" s="11" t="s">
        <v>3051</v>
      </c>
      <c r="I895" s="11" t="s">
        <v>3271</v>
      </c>
      <c r="J895" s="12">
        <v>0.20810000000000001</v>
      </c>
      <c r="K895" s="13">
        <v>15</v>
      </c>
      <c r="L895" s="14">
        <v>9578</v>
      </c>
      <c r="M895" s="10">
        <v>1515</v>
      </c>
      <c r="N895" s="10">
        <v>1058383</v>
      </c>
      <c r="O895" s="10">
        <v>118805</v>
      </c>
      <c r="P895" s="10">
        <v>1177188</v>
      </c>
    </row>
    <row r="896" spans="1:16" ht="27" customHeight="1" x14ac:dyDescent="0.2">
      <c r="A896" s="9" t="s">
        <v>1682</v>
      </c>
      <c r="B896" s="10" t="s">
        <v>3272</v>
      </c>
      <c r="C896" s="11" t="s">
        <v>3273</v>
      </c>
      <c r="D896" s="11" t="s">
        <v>3274</v>
      </c>
      <c r="E896" s="11" t="s">
        <v>26</v>
      </c>
      <c r="F896" s="11" t="s">
        <v>3275</v>
      </c>
      <c r="G896" s="11" t="s">
        <v>28</v>
      </c>
      <c r="H896" s="11" t="s">
        <v>3275</v>
      </c>
      <c r="I896" s="11" t="s">
        <v>3276</v>
      </c>
      <c r="J896" s="12">
        <v>0.1615</v>
      </c>
      <c r="K896" s="13">
        <v>1</v>
      </c>
      <c r="L896" s="14">
        <v>997</v>
      </c>
      <c r="M896" s="10">
        <v>161</v>
      </c>
      <c r="N896" s="10">
        <v>110170</v>
      </c>
      <c r="O896" s="10">
        <v>12625</v>
      </c>
      <c r="P896" s="10">
        <v>122795</v>
      </c>
    </row>
    <row r="897" spans="1:16" ht="27" customHeight="1" x14ac:dyDescent="0.2">
      <c r="A897" s="9" t="s">
        <v>1682</v>
      </c>
      <c r="B897" s="10" t="s">
        <v>3277</v>
      </c>
      <c r="C897" s="11" t="s">
        <v>18</v>
      </c>
      <c r="D897" s="11" t="s">
        <v>19</v>
      </c>
      <c r="E897" s="11" t="s">
        <v>19</v>
      </c>
      <c r="F897" s="11" t="s">
        <v>3278</v>
      </c>
      <c r="G897" s="11" t="s">
        <v>83</v>
      </c>
      <c r="H897" s="11" t="s">
        <v>3279</v>
      </c>
      <c r="I897" s="11" t="s">
        <v>3280</v>
      </c>
      <c r="J897" s="12">
        <v>0.72160000000000002</v>
      </c>
      <c r="K897" s="13">
        <v>19</v>
      </c>
      <c r="L897" s="14">
        <v>15053</v>
      </c>
      <c r="M897" s="10">
        <v>8127</v>
      </c>
      <c r="N897" s="10">
        <v>1663383</v>
      </c>
      <c r="O897" s="10">
        <v>637311</v>
      </c>
      <c r="P897" s="10">
        <v>2300694</v>
      </c>
    </row>
    <row r="898" spans="1:16" ht="27" customHeight="1" x14ac:dyDescent="0.2">
      <c r="A898" s="9" t="s">
        <v>1682</v>
      </c>
      <c r="B898" s="10" t="s">
        <v>3281</v>
      </c>
      <c r="C898" s="11" t="s">
        <v>18</v>
      </c>
      <c r="D898" s="11" t="s">
        <v>19</v>
      </c>
      <c r="E898" s="11" t="s">
        <v>19</v>
      </c>
      <c r="F898" s="11" t="s">
        <v>3282</v>
      </c>
      <c r="G898" s="11" t="s">
        <v>83</v>
      </c>
      <c r="H898" s="11" t="s">
        <v>3283</v>
      </c>
      <c r="I898" s="11" t="s">
        <v>3284</v>
      </c>
      <c r="J898" s="12">
        <v>0.28110000000000002</v>
      </c>
      <c r="K898" s="13">
        <v>6</v>
      </c>
      <c r="L898" s="14">
        <v>2507</v>
      </c>
      <c r="M898" s="10">
        <v>734</v>
      </c>
      <c r="N898" s="10">
        <v>277029</v>
      </c>
      <c r="O898" s="10">
        <v>57560</v>
      </c>
      <c r="P898" s="10">
        <v>334589</v>
      </c>
    </row>
    <row r="899" spans="1:16" ht="27" customHeight="1" x14ac:dyDescent="0.2">
      <c r="A899" s="9" t="s">
        <v>1682</v>
      </c>
      <c r="B899" s="10" t="s">
        <v>3281</v>
      </c>
      <c r="C899" s="11" t="s">
        <v>3285</v>
      </c>
      <c r="D899" s="11" t="s">
        <v>3286</v>
      </c>
      <c r="E899" s="11" t="s">
        <v>26</v>
      </c>
      <c r="F899" s="11" t="s">
        <v>3287</v>
      </c>
      <c r="G899" s="11" t="s">
        <v>28</v>
      </c>
      <c r="H899" s="11" t="s">
        <v>1685</v>
      </c>
      <c r="I899" s="11" t="s">
        <v>1686</v>
      </c>
      <c r="J899" s="12">
        <v>1</v>
      </c>
      <c r="K899" s="13">
        <v>1</v>
      </c>
      <c r="L899" s="14">
        <v>560</v>
      </c>
      <c r="M899" s="10">
        <v>202</v>
      </c>
      <c r="N899" s="10">
        <v>61881</v>
      </c>
      <c r="O899" s="10">
        <v>15841</v>
      </c>
      <c r="P899" s="10">
        <v>77722</v>
      </c>
    </row>
    <row r="900" spans="1:16" ht="27" customHeight="1" x14ac:dyDescent="0.2">
      <c r="A900" s="9" t="s">
        <v>1682</v>
      </c>
      <c r="B900" s="10" t="s">
        <v>3281</v>
      </c>
      <c r="C900" s="11" t="s">
        <v>3288</v>
      </c>
      <c r="D900" s="11" t="s">
        <v>3289</v>
      </c>
      <c r="E900" s="11" t="s">
        <v>26</v>
      </c>
      <c r="F900" s="11" t="s">
        <v>3290</v>
      </c>
      <c r="G900" s="11" t="s">
        <v>28</v>
      </c>
      <c r="H900" s="11" t="s">
        <v>1685</v>
      </c>
      <c r="I900" s="11" t="s">
        <v>1686</v>
      </c>
      <c r="J900" s="12">
        <v>1</v>
      </c>
      <c r="K900" s="13">
        <v>1</v>
      </c>
      <c r="L900" s="14">
        <v>538</v>
      </c>
      <c r="M900" s="10">
        <v>287</v>
      </c>
      <c r="N900" s="10">
        <v>59450</v>
      </c>
      <c r="O900" s="10">
        <v>22506</v>
      </c>
      <c r="P900" s="10">
        <v>81956</v>
      </c>
    </row>
    <row r="901" spans="1:16" ht="27" customHeight="1" x14ac:dyDescent="0.2">
      <c r="A901" s="9" t="s">
        <v>1682</v>
      </c>
      <c r="B901" s="10" t="s">
        <v>3281</v>
      </c>
      <c r="C901" s="11" t="s">
        <v>3291</v>
      </c>
      <c r="D901" s="11" t="s">
        <v>3292</v>
      </c>
      <c r="E901" s="11" t="s">
        <v>26</v>
      </c>
      <c r="F901" s="11" t="s">
        <v>3293</v>
      </c>
      <c r="G901" s="11" t="s">
        <v>28</v>
      </c>
      <c r="H901" s="11" t="s">
        <v>3293</v>
      </c>
      <c r="I901" s="11" t="s">
        <v>3294</v>
      </c>
      <c r="J901" s="12">
        <v>0.41649999999999998</v>
      </c>
      <c r="K901" s="13">
        <v>1</v>
      </c>
      <c r="L901" s="14">
        <v>814</v>
      </c>
      <c r="M901" s="10">
        <v>339</v>
      </c>
      <c r="N901" s="10">
        <v>89948</v>
      </c>
      <c r="O901" s="10">
        <v>26584</v>
      </c>
      <c r="P901" s="10">
        <v>116532</v>
      </c>
    </row>
    <row r="902" spans="1:16" ht="27" customHeight="1" x14ac:dyDescent="0.2">
      <c r="A902" s="9" t="s">
        <v>1682</v>
      </c>
      <c r="B902" s="10" t="s">
        <v>3281</v>
      </c>
      <c r="C902" s="11" t="s">
        <v>3295</v>
      </c>
      <c r="D902" s="11" t="s">
        <v>3296</v>
      </c>
      <c r="E902" s="11" t="s">
        <v>26</v>
      </c>
      <c r="F902" s="11" t="s">
        <v>3297</v>
      </c>
      <c r="G902" s="11" t="s">
        <v>28</v>
      </c>
      <c r="H902" s="11" t="s">
        <v>1685</v>
      </c>
      <c r="I902" s="11" t="s">
        <v>1686</v>
      </c>
      <c r="J902" s="12">
        <v>1</v>
      </c>
      <c r="K902" s="13">
        <v>1</v>
      </c>
      <c r="L902" s="14">
        <v>538</v>
      </c>
      <c r="M902" s="10">
        <v>271</v>
      </c>
      <c r="N902" s="10">
        <v>59450</v>
      </c>
      <c r="O902" s="10">
        <v>21252</v>
      </c>
      <c r="P902" s="10">
        <v>80702</v>
      </c>
    </row>
    <row r="903" spans="1:16" ht="27" customHeight="1" x14ac:dyDescent="0.2">
      <c r="A903" s="9" t="s">
        <v>1682</v>
      </c>
      <c r="B903" s="10" t="s">
        <v>3298</v>
      </c>
      <c r="C903" s="11" t="s">
        <v>3299</v>
      </c>
      <c r="D903" s="11" t="s">
        <v>3300</v>
      </c>
      <c r="E903" s="11" t="s">
        <v>26</v>
      </c>
      <c r="F903" s="11" t="s">
        <v>3301</v>
      </c>
      <c r="G903" s="11" t="s">
        <v>28</v>
      </c>
      <c r="H903" s="11" t="s">
        <v>3301</v>
      </c>
      <c r="I903" s="11" t="s">
        <v>3302</v>
      </c>
      <c r="J903" s="12">
        <v>0.76170000000000004</v>
      </c>
      <c r="K903" s="13">
        <v>1</v>
      </c>
      <c r="L903" s="14">
        <v>256</v>
      </c>
      <c r="M903" s="10">
        <v>195</v>
      </c>
      <c r="N903" s="10">
        <v>28288</v>
      </c>
      <c r="O903" s="10">
        <v>15292</v>
      </c>
      <c r="P903" s="10">
        <v>43580</v>
      </c>
    </row>
    <row r="904" spans="1:16" ht="27" customHeight="1" x14ac:dyDescent="0.2">
      <c r="A904" s="9" t="s">
        <v>1682</v>
      </c>
      <c r="B904" s="10" t="s">
        <v>3303</v>
      </c>
      <c r="C904" s="11" t="s">
        <v>3304</v>
      </c>
      <c r="D904" s="11" t="s">
        <v>3305</v>
      </c>
      <c r="E904" s="11" t="s">
        <v>26</v>
      </c>
      <c r="F904" s="11" t="s">
        <v>3306</v>
      </c>
      <c r="G904" s="11" t="s">
        <v>28</v>
      </c>
      <c r="H904" s="11" t="s">
        <v>1685</v>
      </c>
      <c r="I904" s="11" t="s">
        <v>1686</v>
      </c>
      <c r="J904" s="12">
        <v>1</v>
      </c>
      <c r="K904" s="13">
        <v>1</v>
      </c>
      <c r="L904" s="14">
        <v>41</v>
      </c>
      <c r="M904" s="10">
        <v>34</v>
      </c>
      <c r="N904" s="10">
        <v>4531</v>
      </c>
      <c r="O904" s="10">
        <v>2666</v>
      </c>
      <c r="P904" s="10">
        <v>7197</v>
      </c>
    </row>
    <row r="905" spans="1:16" ht="27" customHeight="1" x14ac:dyDescent="0.2">
      <c r="A905" s="9" t="s">
        <v>3307</v>
      </c>
      <c r="B905" s="10" t="s">
        <v>3308</v>
      </c>
      <c r="C905" s="11" t="s">
        <v>18</v>
      </c>
      <c r="D905" s="11" t="s">
        <v>19</v>
      </c>
      <c r="E905" s="11" t="s">
        <v>19</v>
      </c>
      <c r="F905" s="11" t="s">
        <v>3309</v>
      </c>
      <c r="G905" s="11" t="s">
        <v>21</v>
      </c>
      <c r="H905" s="11" t="s">
        <v>3310</v>
      </c>
      <c r="I905" s="11" t="s">
        <v>3311</v>
      </c>
      <c r="J905" s="12">
        <v>0.98899999999999999</v>
      </c>
      <c r="K905" s="13">
        <v>4</v>
      </c>
      <c r="L905" s="14">
        <v>603</v>
      </c>
      <c r="M905" s="10">
        <v>514</v>
      </c>
      <c r="N905" s="10">
        <v>66632</v>
      </c>
      <c r="O905" s="10">
        <v>40307</v>
      </c>
      <c r="P905" s="10">
        <v>106939</v>
      </c>
    </row>
    <row r="906" spans="1:16" ht="27" customHeight="1" x14ac:dyDescent="0.2">
      <c r="A906" s="9" t="s">
        <v>3307</v>
      </c>
      <c r="B906" s="10" t="s">
        <v>3308</v>
      </c>
      <c r="C906" s="11" t="s">
        <v>3312</v>
      </c>
      <c r="D906" s="11" t="s">
        <v>3313</v>
      </c>
      <c r="E906" s="11" t="s">
        <v>57</v>
      </c>
      <c r="F906" s="11" t="s">
        <v>3314</v>
      </c>
      <c r="G906" s="11" t="s">
        <v>28</v>
      </c>
      <c r="H906" s="11" t="s">
        <v>3310</v>
      </c>
      <c r="I906" s="11" t="s">
        <v>3311</v>
      </c>
      <c r="J906" s="12">
        <v>0.98899999999999999</v>
      </c>
      <c r="K906" s="13">
        <v>1</v>
      </c>
      <c r="L906" s="14">
        <v>48</v>
      </c>
      <c r="M906" s="10">
        <v>39</v>
      </c>
      <c r="N906" s="10">
        <v>5304</v>
      </c>
      <c r="O906" s="10">
        <v>3058</v>
      </c>
      <c r="P906" s="10">
        <v>8362</v>
      </c>
    </row>
    <row r="907" spans="1:16" ht="27" customHeight="1" x14ac:dyDescent="0.2">
      <c r="A907" s="9" t="s">
        <v>3307</v>
      </c>
      <c r="B907" s="10" t="s">
        <v>3308</v>
      </c>
      <c r="C907" s="11" t="s">
        <v>3315</v>
      </c>
      <c r="D907" s="11" t="s">
        <v>3316</v>
      </c>
      <c r="E907" s="11" t="s">
        <v>57</v>
      </c>
      <c r="F907" s="11" t="s">
        <v>3317</v>
      </c>
      <c r="G907" s="11" t="s">
        <v>28</v>
      </c>
      <c r="H907" s="11" t="s">
        <v>3310</v>
      </c>
      <c r="I907" s="11" t="s">
        <v>3311</v>
      </c>
      <c r="J907" s="12">
        <v>0.98899999999999999</v>
      </c>
      <c r="K907" s="13">
        <v>1</v>
      </c>
      <c r="L907" s="14">
        <v>243</v>
      </c>
      <c r="M907" s="10">
        <v>200</v>
      </c>
      <c r="N907" s="10">
        <v>26852</v>
      </c>
      <c r="O907" s="10">
        <v>15684</v>
      </c>
      <c r="P907" s="10">
        <v>42536</v>
      </c>
    </row>
    <row r="908" spans="1:16" ht="27" customHeight="1" x14ac:dyDescent="0.2">
      <c r="A908" s="9" t="s">
        <v>3307</v>
      </c>
      <c r="B908" s="10" t="s">
        <v>3318</v>
      </c>
      <c r="C908" s="11" t="s">
        <v>18</v>
      </c>
      <c r="D908" s="11" t="s">
        <v>19</v>
      </c>
      <c r="E908" s="11" t="s">
        <v>19</v>
      </c>
      <c r="F908" s="11" t="s">
        <v>3319</v>
      </c>
      <c r="G908" s="11" t="s">
        <v>83</v>
      </c>
      <c r="H908" s="11" t="s">
        <v>3320</v>
      </c>
      <c r="I908" s="11" t="s">
        <v>3321</v>
      </c>
      <c r="J908" s="12">
        <v>0.75929999999999997</v>
      </c>
      <c r="K908" s="13">
        <v>3</v>
      </c>
      <c r="L908" s="14">
        <v>397</v>
      </c>
      <c r="M908" s="10">
        <v>294</v>
      </c>
      <c r="N908" s="10">
        <v>43869</v>
      </c>
      <c r="O908" s="10">
        <v>23056</v>
      </c>
      <c r="P908" s="10">
        <v>66925</v>
      </c>
    </row>
    <row r="909" spans="1:16" ht="27" customHeight="1" x14ac:dyDescent="0.2">
      <c r="A909" s="9" t="s">
        <v>3307</v>
      </c>
      <c r="B909" s="10" t="s">
        <v>3322</v>
      </c>
      <c r="C909" s="11" t="s">
        <v>18</v>
      </c>
      <c r="D909" s="11" t="s">
        <v>19</v>
      </c>
      <c r="E909" s="11" t="s">
        <v>19</v>
      </c>
      <c r="F909" s="11" t="s">
        <v>3323</v>
      </c>
      <c r="G909" s="11" t="s">
        <v>83</v>
      </c>
      <c r="H909" s="11" t="s">
        <v>3324</v>
      </c>
      <c r="I909" s="11" t="s">
        <v>3325</v>
      </c>
      <c r="J909" s="12">
        <v>0.63919999999999999</v>
      </c>
      <c r="K909" s="13">
        <v>5</v>
      </c>
      <c r="L909" s="14">
        <v>851</v>
      </c>
      <c r="M909" s="10">
        <v>514</v>
      </c>
      <c r="N909" s="10">
        <v>94038</v>
      </c>
      <c r="O909" s="10">
        <v>40307</v>
      </c>
      <c r="P909" s="10">
        <v>134345</v>
      </c>
    </row>
    <row r="910" spans="1:16" ht="27" customHeight="1" x14ac:dyDescent="0.2">
      <c r="A910" s="9" t="s">
        <v>3307</v>
      </c>
      <c r="B910" s="10" t="s">
        <v>3322</v>
      </c>
      <c r="C910" s="11" t="s">
        <v>3326</v>
      </c>
      <c r="D910" s="11" t="s">
        <v>3327</v>
      </c>
      <c r="E910" s="11" t="s">
        <v>26</v>
      </c>
      <c r="F910" s="11" t="s">
        <v>3328</v>
      </c>
      <c r="G910" s="11" t="s">
        <v>28</v>
      </c>
      <c r="H910" s="11" t="s">
        <v>3328</v>
      </c>
      <c r="I910" s="11" t="s">
        <v>3329</v>
      </c>
      <c r="J910" s="12">
        <v>0.53849999999999998</v>
      </c>
      <c r="K910" s="13">
        <v>1</v>
      </c>
      <c r="L910" s="14">
        <v>13</v>
      </c>
      <c r="M910" s="10">
        <v>7</v>
      </c>
      <c r="N910" s="10">
        <v>1437</v>
      </c>
      <c r="O910" s="10">
        <v>549</v>
      </c>
      <c r="P910" s="10">
        <v>1986</v>
      </c>
    </row>
    <row r="911" spans="1:16" ht="27" customHeight="1" x14ac:dyDescent="0.2">
      <c r="A911" s="9" t="s">
        <v>3307</v>
      </c>
      <c r="B911" s="10" t="s">
        <v>3330</v>
      </c>
      <c r="C911" s="11" t="s">
        <v>18</v>
      </c>
      <c r="D911" s="11" t="s">
        <v>19</v>
      </c>
      <c r="E911" s="11" t="s">
        <v>19</v>
      </c>
      <c r="F911" s="11" t="s">
        <v>3331</v>
      </c>
      <c r="G911" s="11" t="s">
        <v>83</v>
      </c>
      <c r="H911" s="11" t="s">
        <v>3332</v>
      </c>
      <c r="I911" s="11" t="s">
        <v>3333</v>
      </c>
      <c r="J911" s="12">
        <v>0.89749999999999996</v>
      </c>
      <c r="K911" s="13">
        <v>6</v>
      </c>
      <c r="L911" s="14">
        <v>2175</v>
      </c>
      <c r="M911" s="10">
        <v>1912</v>
      </c>
      <c r="N911" s="10">
        <v>240341</v>
      </c>
      <c r="O911" s="10">
        <v>149936</v>
      </c>
      <c r="P911" s="10">
        <v>390277</v>
      </c>
    </row>
    <row r="912" spans="1:16" ht="27" customHeight="1" x14ac:dyDescent="0.2">
      <c r="A912" s="9" t="s">
        <v>3307</v>
      </c>
      <c r="B912" s="10" t="s">
        <v>3334</v>
      </c>
      <c r="C912" s="11" t="s">
        <v>18</v>
      </c>
      <c r="D912" s="11" t="s">
        <v>19</v>
      </c>
      <c r="E912" s="11" t="s">
        <v>19</v>
      </c>
      <c r="F912" s="11" t="s">
        <v>3335</v>
      </c>
      <c r="G912" s="11" t="s">
        <v>83</v>
      </c>
      <c r="H912" s="11" t="s">
        <v>3310</v>
      </c>
      <c r="I912" s="11" t="s">
        <v>3311</v>
      </c>
      <c r="J912" s="12">
        <v>0.98899999999999999</v>
      </c>
      <c r="K912" s="13">
        <v>3</v>
      </c>
      <c r="L912" s="14">
        <v>1144</v>
      </c>
      <c r="M912" s="10">
        <v>964</v>
      </c>
      <c r="N912" s="10">
        <v>126414</v>
      </c>
      <c r="O912" s="10">
        <v>75596</v>
      </c>
      <c r="P912" s="10">
        <v>202010</v>
      </c>
    </row>
    <row r="913" spans="1:16" ht="27" customHeight="1" x14ac:dyDescent="0.2">
      <c r="A913" s="9" t="s">
        <v>3307</v>
      </c>
      <c r="B913" s="10" t="s">
        <v>3336</v>
      </c>
      <c r="C913" s="11" t="s">
        <v>18</v>
      </c>
      <c r="D913" s="11" t="s">
        <v>19</v>
      </c>
      <c r="E913" s="11" t="s">
        <v>19</v>
      </c>
      <c r="F913" s="11" t="s">
        <v>3337</v>
      </c>
      <c r="G913" s="11" t="s">
        <v>83</v>
      </c>
      <c r="H913" s="11" t="s">
        <v>3310</v>
      </c>
      <c r="I913" s="11" t="s">
        <v>3311</v>
      </c>
      <c r="J913" s="12">
        <v>0.98899999999999999</v>
      </c>
      <c r="K913" s="13">
        <v>29</v>
      </c>
      <c r="L913" s="14">
        <v>20615</v>
      </c>
      <c r="M913" s="10">
        <v>18693</v>
      </c>
      <c r="N913" s="10">
        <v>2277993</v>
      </c>
      <c r="O913" s="10">
        <v>1465888</v>
      </c>
      <c r="P913" s="10">
        <v>3743881</v>
      </c>
    </row>
    <row r="914" spans="1:16" ht="27" customHeight="1" x14ac:dyDescent="0.2">
      <c r="A914" s="9" t="s">
        <v>3307</v>
      </c>
      <c r="B914" s="10" t="s">
        <v>3336</v>
      </c>
      <c r="C914" s="11" t="s">
        <v>3338</v>
      </c>
      <c r="D914" s="11" t="s">
        <v>3339</v>
      </c>
      <c r="E914" s="11" t="s">
        <v>26</v>
      </c>
      <c r="F914" s="11" t="s">
        <v>3340</v>
      </c>
      <c r="G914" s="11" t="s">
        <v>28</v>
      </c>
      <c r="H914" s="11" t="s">
        <v>3340</v>
      </c>
      <c r="I914" s="11" t="s">
        <v>3341</v>
      </c>
      <c r="J914" s="12">
        <v>0.56159999999999999</v>
      </c>
      <c r="K914" s="13">
        <v>1</v>
      </c>
      <c r="L914" s="14">
        <v>219</v>
      </c>
      <c r="M914" s="10">
        <v>123</v>
      </c>
      <c r="N914" s="10">
        <v>24200</v>
      </c>
      <c r="O914" s="10">
        <v>9646</v>
      </c>
      <c r="P914" s="10">
        <v>33846</v>
      </c>
    </row>
    <row r="915" spans="1:16" ht="27" customHeight="1" x14ac:dyDescent="0.2">
      <c r="A915" s="9" t="s">
        <v>3307</v>
      </c>
      <c r="B915" s="10" t="s">
        <v>3336</v>
      </c>
      <c r="C915" s="11" t="s">
        <v>3342</v>
      </c>
      <c r="D915" s="11" t="s">
        <v>3343</v>
      </c>
      <c r="E915" s="11" t="s">
        <v>26</v>
      </c>
      <c r="F915" s="11" t="s">
        <v>3344</v>
      </c>
      <c r="G915" s="11" t="s">
        <v>28</v>
      </c>
      <c r="H915" s="11" t="s">
        <v>3344</v>
      </c>
      <c r="I915" s="11" t="s">
        <v>3345</v>
      </c>
      <c r="J915" s="12">
        <v>0.92149999999999999</v>
      </c>
      <c r="K915" s="13">
        <v>1</v>
      </c>
      <c r="L915" s="14">
        <v>650</v>
      </c>
      <c r="M915" s="10">
        <v>599</v>
      </c>
      <c r="N915" s="10">
        <v>71826</v>
      </c>
      <c r="O915" s="10">
        <v>46973</v>
      </c>
      <c r="P915" s="10">
        <v>118799</v>
      </c>
    </row>
    <row r="916" spans="1:16" ht="27" customHeight="1" x14ac:dyDescent="0.2">
      <c r="A916" s="9" t="s">
        <v>3307</v>
      </c>
      <c r="B916" s="10" t="s">
        <v>3336</v>
      </c>
      <c r="C916" s="11" t="s">
        <v>3346</v>
      </c>
      <c r="D916" s="11" t="s">
        <v>3347</v>
      </c>
      <c r="E916" s="11" t="s">
        <v>26</v>
      </c>
      <c r="F916" s="11" t="s">
        <v>3348</v>
      </c>
      <c r="G916" s="11" t="s">
        <v>28</v>
      </c>
      <c r="H916" s="11" t="s">
        <v>3310</v>
      </c>
      <c r="I916" s="11" t="s">
        <v>3311</v>
      </c>
      <c r="J916" s="12">
        <v>0.98899999999999999</v>
      </c>
      <c r="K916" s="13">
        <v>1</v>
      </c>
      <c r="L916" s="14">
        <v>84</v>
      </c>
      <c r="M916" s="10">
        <v>45</v>
      </c>
      <c r="N916" s="10">
        <v>9282</v>
      </c>
      <c r="O916" s="10">
        <v>3529</v>
      </c>
      <c r="P916" s="10">
        <v>12811</v>
      </c>
    </row>
    <row r="917" spans="1:16" ht="27" customHeight="1" x14ac:dyDescent="0.2">
      <c r="A917" s="9" t="s">
        <v>3307</v>
      </c>
      <c r="B917" s="10" t="s">
        <v>3336</v>
      </c>
      <c r="C917" s="11" t="s">
        <v>3349</v>
      </c>
      <c r="D917" s="11" t="s">
        <v>3350</v>
      </c>
      <c r="E917" s="11" t="s">
        <v>26</v>
      </c>
      <c r="F917" s="11" t="s">
        <v>3351</v>
      </c>
      <c r="G917" s="11" t="s">
        <v>28</v>
      </c>
      <c r="H917" s="11" t="s">
        <v>3310</v>
      </c>
      <c r="I917" s="11" t="s">
        <v>3311</v>
      </c>
      <c r="J917" s="12">
        <v>0.98899999999999999</v>
      </c>
      <c r="K917" s="13">
        <v>1</v>
      </c>
      <c r="L917" s="14">
        <v>75</v>
      </c>
      <c r="M917" s="10">
        <v>28</v>
      </c>
      <c r="N917" s="10">
        <v>8288</v>
      </c>
      <c r="O917" s="10">
        <v>2196</v>
      </c>
      <c r="P917" s="10">
        <v>10484</v>
      </c>
    </row>
    <row r="918" spans="1:16" ht="27" customHeight="1" x14ac:dyDescent="0.2">
      <c r="A918" s="9" t="s">
        <v>3307</v>
      </c>
      <c r="B918" s="10" t="s">
        <v>3352</v>
      </c>
      <c r="C918" s="11" t="s">
        <v>18</v>
      </c>
      <c r="D918" s="11" t="s">
        <v>19</v>
      </c>
      <c r="E918" s="11" t="s">
        <v>19</v>
      </c>
      <c r="F918" s="11" t="s">
        <v>3353</v>
      </c>
      <c r="G918" s="11" t="s">
        <v>83</v>
      </c>
      <c r="H918" s="11" t="s">
        <v>3354</v>
      </c>
      <c r="I918" s="11" t="s">
        <v>3355</v>
      </c>
      <c r="J918" s="12">
        <v>0.55700000000000005</v>
      </c>
      <c r="K918" s="13">
        <v>2</v>
      </c>
      <c r="L918" s="14">
        <v>79</v>
      </c>
      <c r="M918" s="10">
        <v>44</v>
      </c>
      <c r="N918" s="10">
        <v>8730</v>
      </c>
      <c r="O918" s="10">
        <v>3450</v>
      </c>
      <c r="P918" s="10">
        <v>12180</v>
      </c>
    </row>
    <row r="919" spans="1:16" ht="27" customHeight="1" x14ac:dyDescent="0.2">
      <c r="A919" s="9" t="s">
        <v>3307</v>
      </c>
      <c r="B919" s="10" t="s">
        <v>3356</v>
      </c>
      <c r="C919" s="11" t="s">
        <v>18</v>
      </c>
      <c r="D919" s="11" t="s">
        <v>19</v>
      </c>
      <c r="E919" s="11" t="s">
        <v>19</v>
      </c>
      <c r="F919" s="11" t="s">
        <v>3357</v>
      </c>
      <c r="G919" s="11" t="s">
        <v>83</v>
      </c>
      <c r="H919" s="11" t="s">
        <v>3358</v>
      </c>
      <c r="I919" s="11" t="s">
        <v>3359</v>
      </c>
      <c r="J919" s="12">
        <v>0.5</v>
      </c>
      <c r="K919" s="13">
        <v>11</v>
      </c>
      <c r="L919" s="14">
        <v>2578</v>
      </c>
      <c r="M919" s="10">
        <v>1045</v>
      </c>
      <c r="N919" s="10">
        <v>284875</v>
      </c>
      <c r="O919" s="10">
        <v>81947</v>
      </c>
      <c r="P919" s="10">
        <v>366822</v>
      </c>
    </row>
    <row r="920" spans="1:16" ht="27" customHeight="1" x14ac:dyDescent="0.2">
      <c r="A920" s="9" t="s">
        <v>3307</v>
      </c>
      <c r="B920" s="10" t="s">
        <v>3360</v>
      </c>
      <c r="C920" s="11" t="s">
        <v>18</v>
      </c>
      <c r="D920" s="11" t="s">
        <v>19</v>
      </c>
      <c r="E920" s="11" t="s">
        <v>19</v>
      </c>
      <c r="F920" s="11" t="s">
        <v>3361</v>
      </c>
      <c r="G920" s="11" t="s">
        <v>83</v>
      </c>
      <c r="H920" s="11" t="s">
        <v>3362</v>
      </c>
      <c r="I920" s="11" t="s">
        <v>3363</v>
      </c>
      <c r="J920" s="12">
        <v>0.76190000000000002</v>
      </c>
      <c r="K920" s="13">
        <v>8</v>
      </c>
      <c r="L920" s="14">
        <v>1015</v>
      </c>
      <c r="M920" s="10">
        <v>479</v>
      </c>
      <c r="N920" s="10">
        <v>112159</v>
      </c>
      <c r="O920" s="10">
        <v>37563</v>
      </c>
      <c r="P920" s="10">
        <v>149722</v>
      </c>
    </row>
    <row r="921" spans="1:16" ht="27" customHeight="1" x14ac:dyDescent="0.2">
      <c r="A921" s="9" t="s">
        <v>3307</v>
      </c>
      <c r="B921" s="10" t="s">
        <v>3360</v>
      </c>
      <c r="C921" s="11" t="s">
        <v>3364</v>
      </c>
      <c r="D921" s="11" t="s">
        <v>3365</v>
      </c>
      <c r="E921" s="11" t="s">
        <v>57</v>
      </c>
      <c r="F921" s="11" t="s">
        <v>3366</v>
      </c>
      <c r="G921" s="11" t="s">
        <v>28</v>
      </c>
      <c r="H921" s="11" t="s">
        <v>3310</v>
      </c>
      <c r="I921" s="11" t="s">
        <v>3311</v>
      </c>
      <c r="J921" s="12">
        <v>0.98899999999999999</v>
      </c>
      <c r="K921" s="13">
        <v>1</v>
      </c>
      <c r="L921" s="14">
        <v>214</v>
      </c>
      <c r="M921" s="10">
        <v>86</v>
      </c>
      <c r="N921" s="10">
        <v>23647</v>
      </c>
      <c r="O921" s="10">
        <v>6744</v>
      </c>
      <c r="P921" s="10">
        <v>30391</v>
      </c>
    </row>
    <row r="922" spans="1:16" ht="27" customHeight="1" x14ac:dyDescent="0.2">
      <c r="A922" s="9" t="s">
        <v>3307</v>
      </c>
      <c r="B922" s="10" t="s">
        <v>3360</v>
      </c>
      <c r="C922" s="11" t="s">
        <v>3367</v>
      </c>
      <c r="D922" s="11" t="s">
        <v>3368</v>
      </c>
      <c r="E922" s="11" t="s">
        <v>57</v>
      </c>
      <c r="F922" s="11" t="s">
        <v>3369</v>
      </c>
      <c r="G922" s="11" t="s">
        <v>28</v>
      </c>
      <c r="H922" s="11" t="s">
        <v>3369</v>
      </c>
      <c r="I922" s="11" t="s">
        <v>3370</v>
      </c>
      <c r="J922" s="12">
        <v>0.50970000000000004</v>
      </c>
      <c r="K922" s="13">
        <v>1</v>
      </c>
      <c r="L922" s="14">
        <v>206</v>
      </c>
      <c r="M922" s="10">
        <v>105</v>
      </c>
      <c r="N922" s="10">
        <v>22763</v>
      </c>
      <c r="O922" s="10">
        <v>8234</v>
      </c>
      <c r="P922" s="10">
        <v>30997</v>
      </c>
    </row>
    <row r="923" spans="1:16" ht="27" customHeight="1" x14ac:dyDescent="0.2">
      <c r="A923" s="9" t="s">
        <v>3307</v>
      </c>
      <c r="B923" s="10" t="s">
        <v>3371</v>
      </c>
      <c r="C923" s="11" t="s">
        <v>18</v>
      </c>
      <c r="D923" s="11" t="s">
        <v>19</v>
      </c>
      <c r="E923" s="11" t="s">
        <v>19</v>
      </c>
      <c r="F923" s="11" t="s">
        <v>3372</v>
      </c>
      <c r="G923" s="11" t="s">
        <v>83</v>
      </c>
      <c r="H923" s="11" t="s">
        <v>3373</v>
      </c>
      <c r="I923" s="11" t="s">
        <v>3374</v>
      </c>
      <c r="J923" s="12">
        <v>0.69740000000000002</v>
      </c>
      <c r="K923" s="13">
        <v>10</v>
      </c>
      <c r="L923" s="14">
        <v>1386</v>
      </c>
      <c r="M923" s="10">
        <v>797</v>
      </c>
      <c r="N923" s="10">
        <v>153156</v>
      </c>
      <c r="O923" s="10">
        <v>62500</v>
      </c>
      <c r="P923" s="10">
        <v>215656</v>
      </c>
    </row>
    <row r="924" spans="1:16" ht="27" customHeight="1" x14ac:dyDescent="0.2">
      <c r="A924" s="9" t="s">
        <v>3307</v>
      </c>
      <c r="B924" s="10" t="s">
        <v>3371</v>
      </c>
      <c r="C924" s="11" t="s">
        <v>3375</v>
      </c>
      <c r="D924" s="11" t="s">
        <v>3376</v>
      </c>
      <c r="E924" s="11" t="s">
        <v>26</v>
      </c>
      <c r="F924" s="11" t="s">
        <v>3377</v>
      </c>
      <c r="G924" s="11" t="s">
        <v>28</v>
      </c>
      <c r="H924" s="11" t="s">
        <v>3310</v>
      </c>
      <c r="I924" s="11" t="s">
        <v>3311</v>
      </c>
      <c r="J924" s="12">
        <v>0.98899999999999999</v>
      </c>
      <c r="K924" s="13">
        <v>1</v>
      </c>
      <c r="L924" s="14">
        <v>86</v>
      </c>
      <c r="M924" s="10">
        <v>31</v>
      </c>
      <c r="N924" s="10">
        <v>9503</v>
      </c>
      <c r="O924" s="10">
        <v>2431</v>
      </c>
      <c r="P924" s="10">
        <v>11934</v>
      </c>
    </row>
    <row r="925" spans="1:16" ht="27" customHeight="1" x14ac:dyDescent="0.2">
      <c r="A925" s="9" t="s">
        <v>3307</v>
      </c>
      <c r="B925" s="10" t="s">
        <v>3371</v>
      </c>
      <c r="C925" s="11" t="s">
        <v>3378</v>
      </c>
      <c r="D925" s="11" t="s">
        <v>3379</v>
      </c>
      <c r="E925" s="11" t="s">
        <v>26</v>
      </c>
      <c r="F925" s="11" t="s">
        <v>3380</v>
      </c>
      <c r="G925" s="11" t="s">
        <v>28</v>
      </c>
      <c r="H925" s="11" t="s">
        <v>3380</v>
      </c>
      <c r="I925" s="11" t="s">
        <v>3381</v>
      </c>
      <c r="J925" s="12">
        <v>0.39319999999999999</v>
      </c>
      <c r="K925" s="13">
        <v>1</v>
      </c>
      <c r="L925" s="14">
        <v>206</v>
      </c>
      <c r="M925" s="10">
        <v>81</v>
      </c>
      <c r="N925" s="10">
        <v>22763</v>
      </c>
      <c r="O925" s="10">
        <v>6352</v>
      </c>
      <c r="P925" s="10">
        <v>29115</v>
      </c>
    </row>
    <row r="926" spans="1:16" ht="27" customHeight="1" x14ac:dyDescent="0.2">
      <c r="A926" s="9" t="s">
        <v>3382</v>
      </c>
      <c r="B926" s="10" t="s">
        <v>3383</v>
      </c>
      <c r="C926" s="11" t="s">
        <v>18</v>
      </c>
      <c r="D926" s="11" t="s">
        <v>19</v>
      </c>
      <c r="E926" s="11" t="s">
        <v>19</v>
      </c>
      <c r="F926" s="11" t="s">
        <v>3384</v>
      </c>
      <c r="G926" s="11" t="s">
        <v>21</v>
      </c>
      <c r="H926" s="11" t="s">
        <v>3385</v>
      </c>
      <c r="I926" s="11" t="s">
        <v>3386</v>
      </c>
      <c r="J926" s="12">
        <v>0.98599999999999999</v>
      </c>
      <c r="K926" s="13">
        <v>4</v>
      </c>
      <c r="L926" s="14">
        <v>316</v>
      </c>
      <c r="M926" s="10">
        <v>159</v>
      </c>
      <c r="N926" s="10">
        <v>34919</v>
      </c>
      <c r="O926" s="10">
        <v>12469</v>
      </c>
      <c r="P926" s="10">
        <v>47388</v>
      </c>
    </row>
    <row r="927" spans="1:16" ht="27" customHeight="1" x14ac:dyDescent="0.2">
      <c r="A927" s="9" t="s">
        <v>3382</v>
      </c>
      <c r="B927" s="10" t="s">
        <v>3383</v>
      </c>
      <c r="C927" s="11" t="s">
        <v>3387</v>
      </c>
      <c r="D927" s="11" t="s">
        <v>3388</v>
      </c>
      <c r="E927" s="11" t="s">
        <v>26</v>
      </c>
      <c r="F927" s="11" t="s">
        <v>3389</v>
      </c>
      <c r="G927" s="11" t="s">
        <v>28</v>
      </c>
      <c r="H927" s="11" t="s">
        <v>3389</v>
      </c>
      <c r="I927" s="11" t="s">
        <v>3390</v>
      </c>
      <c r="J927" s="12">
        <v>0.25359999999999999</v>
      </c>
      <c r="K927" s="13">
        <v>1</v>
      </c>
      <c r="L927" s="14">
        <v>209</v>
      </c>
      <c r="M927" s="10">
        <v>53</v>
      </c>
      <c r="N927" s="10">
        <v>23095</v>
      </c>
      <c r="O927" s="10">
        <v>4156</v>
      </c>
      <c r="P927" s="10">
        <v>27251</v>
      </c>
    </row>
    <row r="928" spans="1:16" ht="27" customHeight="1" x14ac:dyDescent="0.2">
      <c r="A928" s="9" t="s">
        <v>3382</v>
      </c>
      <c r="B928" s="10" t="s">
        <v>3383</v>
      </c>
      <c r="C928" s="11" t="s">
        <v>3391</v>
      </c>
      <c r="D928" s="11" t="s">
        <v>3392</v>
      </c>
      <c r="E928" s="11" t="s">
        <v>57</v>
      </c>
      <c r="F928" s="11" t="s">
        <v>3393</v>
      </c>
      <c r="G928" s="11" t="s">
        <v>28</v>
      </c>
      <c r="H928" s="11" t="s">
        <v>3385</v>
      </c>
      <c r="I928" s="11" t="s">
        <v>3386</v>
      </c>
      <c r="J928" s="12">
        <v>0.98599999999999999</v>
      </c>
      <c r="K928" s="13">
        <v>1</v>
      </c>
      <c r="L928" s="14">
        <v>28</v>
      </c>
      <c r="M928" s="10">
        <v>18</v>
      </c>
      <c r="N928" s="10">
        <v>3094</v>
      </c>
      <c r="O928" s="10">
        <v>1412</v>
      </c>
      <c r="P928" s="10">
        <v>4506</v>
      </c>
    </row>
    <row r="929" spans="1:16" ht="27" customHeight="1" x14ac:dyDescent="0.2">
      <c r="A929" s="9" t="s">
        <v>3382</v>
      </c>
      <c r="B929" s="10" t="s">
        <v>3394</v>
      </c>
      <c r="C929" s="11" t="s">
        <v>18</v>
      </c>
      <c r="D929" s="11" t="s">
        <v>19</v>
      </c>
      <c r="E929" s="11" t="s">
        <v>19</v>
      </c>
      <c r="F929" s="11" t="s">
        <v>3395</v>
      </c>
      <c r="G929" s="11" t="s">
        <v>83</v>
      </c>
      <c r="H929" s="11" t="s">
        <v>3396</v>
      </c>
      <c r="I929" s="11" t="s">
        <v>3397</v>
      </c>
      <c r="J929" s="12">
        <v>0.43559999999999999</v>
      </c>
      <c r="K929" s="13">
        <v>2</v>
      </c>
      <c r="L929" s="14">
        <v>102</v>
      </c>
      <c r="M929" s="10">
        <v>44</v>
      </c>
      <c r="N929" s="10">
        <v>11271</v>
      </c>
      <c r="O929" s="10">
        <v>3450</v>
      </c>
      <c r="P929" s="10">
        <v>14721</v>
      </c>
    </row>
    <row r="930" spans="1:16" ht="27" customHeight="1" x14ac:dyDescent="0.2">
      <c r="A930" s="9" t="s">
        <v>3382</v>
      </c>
      <c r="B930" s="10" t="s">
        <v>3398</v>
      </c>
      <c r="C930" s="11" t="s">
        <v>18</v>
      </c>
      <c r="D930" s="11" t="s">
        <v>19</v>
      </c>
      <c r="E930" s="11" t="s">
        <v>19</v>
      </c>
      <c r="F930" s="11" t="s">
        <v>3399</v>
      </c>
      <c r="G930" s="11" t="s">
        <v>83</v>
      </c>
      <c r="H930" s="11" t="s">
        <v>3400</v>
      </c>
      <c r="I930" s="11" t="s">
        <v>3401</v>
      </c>
      <c r="J930" s="12">
        <v>0.24940000000000001</v>
      </c>
      <c r="K930" s="13">
        <v>5</v>
      </c>
      <c r="L930" s="14">
        <v>1815</v>
      </c>
      <c r="M930" s="10">
        <v>289</v>
      </c>
      <c r="N930" s="10">
        <v>200561</v>
      </c>
      <c r="O930" s="10">
        <v>22662</v>
      </c>
      <c r="P930" s="10">
        <v>223223</v>
      </c>
    </row>
    <row r="931" spans="1:16" ht="27" customHeight="1" x14ac:dyDescent="0.2">
      <c r="A931" s="9" t="s">
        <v>3382</v>
      </c>
      <c r="B931" s="10" t="s">
        <v>3402</v>
      </c>
      <c r="C931" s="11" t="s">
        <v>18</v>
      </c>
      <c r="D931" s="11" t="s">
        <v>19</v>
      </c>
      <c r="E931" s="11" t="s">
        <v>19</v>
      </c>
      <c r="F931" s="11" t="s">
        <v>3403</v>
      </c>
      <c r="G931" s="11" t="s">
        <v>83</v>
      </c>
      <c r="H931" s="11" t="s">
        <v>3404</v>
      </c>
      <c r="I931" s="11" t="s">
        <v>3405</v>
      </c>
      <c r="J931" s="12">
        <v>0.1331</v>
      </c>
      <c r="K931" s="13">
        <v>3</v>
      </c>
      <c r="L931" s="14">
        <v>1054</v>
      </c>
      <c r="M931" s="10">
        <v>130</v>
      </c>
      <c r="N931" s="10">
        <v>116468</v>
      </c>
      <c r="O931" s="10">
        <v>10194</v>
      </c>
      <c r="P931" s="10">
        <v>126662</v>
      </c>
    </row>
    <row r="932" spans="1:16" ht="27" customHeight="1" x14ac:dyDescent="0.2">
      <c r="A932" s="9" t="s">
        <v>3382</v>
      </c>
      <c r="B932" s="10" t="s">
        <v>3406</v>
      </c>
      <c r="C932" s="11" t="s">
        <v>18</v>
      </c>
      <c r="D932" s="11" t="s">
        <v>19</v>
      </c>
      <c r="E932" s="11" t="s">
        <v>19</v>
      </c>
      <c r="F932" s="11" t="s">
        <v>3407</v>
      </c>
      <c r="G932" s="11" t="s">
        <v>83</v>
      </c>
      <c r="H932" s="11" t="s">
        <v>3408</v>
      </c>
      <c r="I932" s="11" t="s">
        <v>3409</v>
      </c>
      <c r="J932" s="12">
        <v>0.77780000000000005</v>
      </c>
      <c r="K932" s="13">
        <v>3</v>
      </c>
      <c r="L932" s="14">
        <v>16</v>
      </c>
      <c r="M932" s="10">
        <v>7</v>
      </c>
      <c r="N932" s="10">
        <v>1769</v>
      </c>
      <c r="O932" s="10">
        <v>549</v>
      </c>
      <c r="P932" s="10">
        <v>2318</v>
      </c>
    </row>
    <row r="933" spans="1:16" ht="27" customHeight="1" x14ac:dyDescent="0.2">
      <c r="A933" s="9" t="s">
        <v>3382</v>
      </c>
      <c r="B933" s="10" t="s">
        <v>3410</v>
      </c>
      <c r="C933" s="11" t="s">
        <v>18</v>
      </c>
      <c r="D933" s="11" t="s">
        <v>19</v>
      </c>
      <c r="E933" s="11" t="s">
        <v>19</v>
      </c>
      <c r="F933" s="11" t="s">
        <v>3411</v>
      </c>
      <c r="G933" s="11" t="s">
        <v>83</v>
      </c>
      <c r="H933" s="11" t="s">
        <v>3412</v>
      </c>
      <c r="I933" s="11" t="s">
        <v>3413</v>
      </c>
      <c r="J933" s="12">
        <v>0.19350000000000001</v>
      </c>
      <c r="K933" s="13">
        <v>3</v>
      </c>
      <c r="L933" s="14">
        <v>160</v>
      </c>
      <c r="M933" s="10">
        <v>24</v>
      </c>
      <c r="N933" s="10">
        <v>17681</v>
      </c>
      <c r="O933" s="10">
        <v>1883</v>
      </c>
      <c r="P933" s="10">
        <v>19564</v>
      </c>
    </row>
    <row r="934" spans="1:16" ht="27" customHeight="1" x14ac:dyDescent="0.2">
      <c r="A934" s="9" t="s">
        <v>3382</v>
      </c>
      <c r="B934" s="10" t="s">
        <v>3414</v>
      </c>
      <c r="C934" s="11" t="s">
        <v>18</v>
      </c>
      <c r="D934" s="11" t="s">
        <v>19</v>
      </c>
      <c r="E934" s="11" t="s">
        <v>19</v>
      </c>
      <c r="F934" s="11" t="s">
        <v>3415</v>
      </c>
      <c r="G934" s="11" t="s">
        <v>83</v>
      </c>
      <c r="H934" s="11" t="s">
        <v>3416</v>
      </c>
      <c r="I934" s="11" t="s">
        <v>3417</v>
      </c>
      <c r="J934" s="12">
        <v>5.3100000000000001E-2</v>
      </c>
      <c r="K934" s="13">
        <v>4</v>
      </c>
      <c r="L934" s="14">
        <v>1269</v>
      </c>
      <c r="M934" s="10">
        <v>79</v>
      </c>
      <c r="N934" s="10">
        <v>140227</v>
      </c>
      <c r="O934" s="10">
        <v>6195</v>
      </c>
      <c r="P934" s="10">
        <v>146422</v>
      </c>
    </row>
    <row r="935" spans="1:16" ht="27" customHeight="1" x14ac:dyDescent="0.2">
      <c r="A935" s="9" t="s">
        <v>3382</v>
      </c>
      <c r="B935" s="10" t="s">
        <v>3418</v>
      </c>
      <c r="C935" s="11" t="s">
        <v>18</v>
      </c>
      <c r="D935" s="11" t="s">
        <v>19</v>
      </c>
      <c r="E935" s="11" t="s">
        <v>19</v>
      </c>
      <c r="F935" s="11" t="s">
        <v>3419</v>
      </c>
      <c r="G935" s="11" t="s">
        <v>83</v>
      </c>
      <c r="H935" s="11" t="s">
        <v>3420</v>
      </c>
      <c r="I935" s="11" t="s">
        <v>3421</v>
      </c>
      <c r="J935" s="12">
        <v>7.4800000000000005E-2</v>
      </c>
      <c r="K935" s="13">
        <v>7</v>
      </c>
      <c r="L935" s="14">
        <v>2364</v>
      </c>
      <c r="M935" s="10">
        <v>147</v>
      </c>
      <c r="N935" s="10">
        <v>261226</v>
      </c>
      <c r="O935" s="10">
        <v>11528</v>
      </c>
      <c r="P935" s="10">
        <v>272754</v>
      </c>
    </row>
    <row r="936" spans="1:16" ht="27" customHeight="1" x14ac:dyDescent="0.2">
      <c r="A936" s="9" t="s">
        <v>3382</v>
      </c>
      <c r="B936" s="10" t="s">
        <v>3422</v>
      </c>
      <c r="C936" s="11" t="s">
        <v>18</v>
      </c>
      <c r="D936" s="11" t="s">
        <v>19</v>
      </c>
      <c r="E936" s="11" t="s">
        <v>19</v>
      </c>
      <c r="F936" s="11" t="s">
        <v>3423</v>
      </c>
      <c r="G936" s="11" t="s">
        <v>83</v>
      </c>
      <c r="H936" s="11" t="s">
        <v>3423</v>
      </c>
      <c r="I936" s="11" t="s">
        <v>3424</v>
      </c>
      <c r="J936" s="12">
        <v>0.58819999999999995</v>
      </c>
      <c r="K936" s="13">
        <v>2</v>
      </c>
      <c r="L936" s="14">
        <v>34</v>
      </c>
      <c r="M936" s="10">
        <v>20</v>
      </c>
      <c r="N936" s="10">
        <v>3757</v>
      </c>
      <c r="O936" s="10">
        <v>1568</v>
      </c>
      <c r="P936" s="10">
        <v>5325</v>
      </c>
    </row>
    <row r="937" spans="1:16" ht="27" customHeight="1" x14ac:dyDescent="0.2">
      <c r="A937" s="9" t="s">
        <v>3382</v>
      </c>
      <c r="B937" s="10" t="s">
        <v>3425</v>
      </c>
      <c r="C937" s="11" t="s">
        <v>18</v>
      </c>
      <c r="D937" s="11" t="s">
        <v>19</v>
      </c>
      <c r="E937" s="11" t="s">
        <v>19</v>
      </c>
      <c r="F937" s="11" t="s">
        <v>3426</v>
      </c>
      <c r="G937" s="11" t="s">
        <v>83</v>
      </c>
      <c r="H937" s="11" t="s">
        <v>3427</v>
      </c>
      <c r="I937" s="11" t="s">
        <v>3428</v>
      </c>
      <c r="J937" s="12">
        <v>0.57820000000000005</v>
      </c>
      <c r="K937" s="13">
        <v>16</v>
      </c>
      <c r="L937" s="14">
        <v>7253</v>
      </c>
      <c r="M937" s="10">
        <v>2375</v>
      </c>
      <c r="N937" s="10">
        <v>801469</v>
      </c>
      <c r="O937" s="10">
        <v>186245</v>
      </c>
      <c r="P937" s="10">
        <v>987714</v>
      </c>
    </row>
    <row r="938" spans="1:16" ht="27" customHeight="1" x14ac:dyDescent="0.2">
      <c r="A938" s="9" t="s">
        <v>3382</v>
      </c>
      <c r="B938" s="10" t="s">
        <v>3425</v>
      </c>
      <c r="C938" s="11" t="s">
        <v>3429</v>
      </c>
      <c r="D938" s="11" t="s">
        <v>3430</v>
      </c>
      <c r="E938" s="11" t="s">
        <v>26</v>
      </c>
      <c r="F938" s="11" t="s">
        <v>3431</v>
      </c>
      <c r="G938" s="11" t="s">
        <v>28</v>
      </c>
      <c r="H938" s="11" t="s">
        <v>3431</v>
      </c>
      <c r="I938" s="11" t="s">
        <v>3432</v>
      </c>
      <c r="J938" s="12">
        <v>0.11650000000000001</v>
      </c>
      <c r="K938" s="13">
        <v>1</v>
      </c>
      <c r="L938" s="14">
        <v>266</v>
      </c>
      <c r="M938" s="10">
        <v>31</v>
      </c>
      <c r="N938" s="10">
        <v>29393</v>
      </c>
      <c r="O938" s="10">
        <v>2431</v>
      </c>
      <c r="P938" s="10">
        <v>31824</v>
      </c>
    </row>
    <row r="939" spans="1:16" ht="27" customHeight="1" x14ac:dyDescent="0.2">
      <c r="A939" s="9" t="s">
        <v>3382</v>
      </c>
      <c r="B939" s="10" t="s">
        <v>3433</v>
      </c>
      <c r="C939" s="11" t="s">
        <v>18</v>
      </c>
      <c r="D939" s="11" t="s">
        <v>19</v>
      </c>
      <c r="E939" s="11" t="s">
        <v>19</v>
      </c>
      <c r="F939" s="11" t="s">
        <v>3434</v>
      </c>
      <c r="G939" s="11" t="s">
        <v>83</v>
      </c>
      <c r="H939" s="11" t="s">
        <v>3435</v>
      </c>
      <c r="I939" s="11" t="s">
        <v>3436</v>
      </c>
      <c r="J939" s="12">
        <v>3.8800000000000001E-2</v>
      </c>
      <c r="K939" s="13">
        <v>4</v>
      </c>
      <c r="L939" s="14">
        <v>1023</v>
      </c>
      <c r="M939" s="10">
        <v>45</v>
      </c>
      <c r="N939" s="10">
        <v>113043</v>
      </c>
      <c r="O939" s="10">
        <v>3529</v>
      </c>
      <c r="P939" s="10">
        <v>116572</v>
      </c>
    </row>
    <row r="940" spans="1:16" ht="27" customHeight="1" x14ac:dyDescent="0.2">
      <c r="A940" s="9" t="s">
        <v>3382</v>
      </c>
      <c r="B940" s="10" t="s">
        <v>3437</v>
      </c>
      <c r="C940" s="11" t="s">
        <v>18</v>
      </c>
      <c r="D940" s="11" t="s">
        <v>19</v>
      </c>
      <c r="E940" s="11" t="s">
        <v>19</v>
      </c>
      <c r="F940" s="11" t="s">
        <v>3438</v>
      </c>
      <c r="G940" s="11" t="s">
        <v>83</v>
      </c>
      <c r="H940" s="11" t="s">
        <v>3438</v>
      </c>
      <c r="I940" s="11" t="s">
        <v>3439</v>
      </c>
      <c r="J940" s="12">
        <v>8.3999999999999995E-3</v>
      </c>
      <c r="K940" s="13">
        <v>2</v>
      </c>
      <c r="L940" s="14">
        <v>357</v>
      </c>
      <c r="M940" s="10">
        <v>3</v>
      </c>
      <c r="N940" s="10">
        <v>39449</v>
      </c>
      <c r="O940" s="10">
        <v>235</v>
      </c>
      <c r="P940" s="10">
        <v>39684</v>
      </c>
    </row>
    <row r="941" spans="1:16" ht="27" customHeight="1" x14ac:dyDescent="0.2">
      <c r="A941" s="9" t="s">
        <v>3382</v>
      </c>
      <c r="B941" s="10" t="s">
        <v>3440</v>
      </c>
      <c r="C941" s="11" t="s">
        <v>18</v>
      </c>
      <c r="D941" s="11" t="s">
        <v>19</v>
      </c>
      <c r="E941" s="11" t="s">
        <v>19</v>
      </c>
      <c r="F941" s="11" t="s">
        <v>3441</v>
      </c>
      <c r="G941" s="11" t="s">
        <v>83</v>
      </c>
      <c r="H941" s="11" t="s">
        <v>3385</v>
      </c>
      <c r="I941" s="11" t="s">
        <v>3386</v>
      </c>
      <c r="J941" s="12">
        <v>0.98599999999999999</v>
      </c>
      <c r="K941" s="13">
        <v>10</v>
      </c>
      <c r="L941" s="14">
        <v>4323</v>
      </c>
      <c r="M941" s="10">
        <v>3170</v>
      </c>
      <c r="N941" s="10">
        <v>477699</v>
      </c>
      <c r="O941" s="10">
        <v>248587</v>
      </c>
      <c r="P941" s="10">
        <v>726286</v>
      </c>
    </row>
    <row r="942" spans="1:16" ht="27" customHeight="1" x14ac:dyDescent="0.2">
      <c r="A942" s="9" t="s">
        <v>3382</v>
      </c>
      <c r="B942" s="10" t="s">
        <v>3442</v>
      </c>
      <c r="C942" s="11" t="s">
        <v>18</v>
      </c>
      <c r="D942" s="11" t="s">
        <v>19</v>
      </c>
      <c r="E942" s="11" t="s">
        <v>19</v>
      </c>
      <c r="F942" s="11" t="s">
        <v>3443</v>
      </c>
      <c r="G942" s="11" t="s">
        <v>83</v>
      </c>
      <c r="H942" s="11" t="s">
        <v>3385</v>
      </c>
      <c r="I942" s="11" t="s">
        <v>3386</v>
      </c>
      <c r="J942" s="12">
        <v>0.98599999999999999</v>
      </c>
      <c r="K942" s="13">
        <v>4</v>
      </c>
      <c r="L942" s="14">
        <v>2644</v>
      </c>
      <c r="M942" s="10">
        <v>1612</v>
      </c>
      <c r="N942" s="10">
        <v>292166</v>
      </c>
      <c r="O942" s="10">
        <v>126412</v>
      </c>
      <c r="P942" s="10">
        <v>418578</v>
      </c>
    </row>
    <row r="943" spans="1:16" ht="27" customHeight="1" x14ac:dyDescent="0.2">
      <c r="A943" s="9" t="s">
        <v>3382</v>
      </c>
      <c r="B943" s="10" t="s">
        <v>3444</v>
      </c>
      <c r="C943" s="11" t="s">
        <v>18</v>
      </c>
      <c r="D943" s="11" t="s">
        <v>19</v>
      </c>
      <c r="E943" s="11" t="s">
        <v>19</v>
      </c>
      <c r="F943" s="11" t="s">
        <v>3445</v>
      </c>
      <c r="G943" s="11" t="s">
        <v>83</v>
      </c>
      <c r="H943" s="11" t="s">
        <v>3446</v>
      </c>
      <c r="I943" s="11" t="s">
        <v>3447</v>
      </c>
      <c r="J943" s="12">
        <v>0.46539999999999998</v>
      </c>
      <c r="K943" s="13">
        <v>2</v>
      </c>
      <c r="L943" s="14">
        <v>318</v>
      </c>
      <c r="M943" s="10">
        <v>148</v>
      </c>
      <c r="N943" s="10">
        <v>35140</v>
      </c>
      <c r="O943" s="10">
        <v>11606</v>
      </c>
      <c r="P943" s="10">
        <v>46746</v>
      </c>
    </row>
    <row r="944" spans="1:16" ht="27" customHeight="1" x14ac:dyDescent="0.2">
      <c r="A944" s="9" t="s">
        <v>3382</v>
      </c>
      <c r="B944" s="10" t="s">
        <v>3448</v>
      </c>
      <c r="C944" s="11" t="s">
        <v>18</v>
      </c>
      <c r="D944" s="11" t="s">
        <v>19</v>
      </c>
      <c r="E944" s="11" t="s">
        <v>19</v>
      </c>
      <c r="F944" s="11" t="s">
        <v>3449</v>
      </c>
      <c r="G944" s="11" t="s">
        <v>83</v>
      </c>
      <c r="H944" s="11" t="s">
        <v>3385</v>
      </c>
      <c r="I944" s="11" t="s">
        <v>3386</v>
      </c>
      <c r="J944" s="12">
        <v>0.98599999999999999</v>
      </c>
      <c r="K944" s="13">
        <v>6</v>
      </c>
      <c r="L944" s="14">
        <v>4813</v>
      </c>
      <c r="M944" s="10">
        <v>476</v>
      </c>
      <c r="N944" s="10">
        <v>531845</v>
      </c>
      <c r="O944" s="10">
        <v>37328</v>
      </c>
      <c r="P944" s="10">
        <v>569173</v>
      </c>
    </row>
    <row r="945" spans="1:16" ht="27" customHeight="1" x14ac:dyDescent="0.2">
      <c r="A945" s="9" t="s">
        <v>3382</v>
      </c>
      <c r="B945" s="10" t="s">
        <v>3450</v>
      </c>
      <c r="C945" s="11" t="s">
        <v>18</v>
      </c>
      <c r="D945" s="11" t="s">
        <v>19</v>
      </c>
      <c r="E945" s="11" t="s">
        <v>19</v>
      </c>
      <c r="F945" s="11" t="s">
        <v>3451</v>
      </c>
      <c r="G945" s="11" t="s">
        <v>83</v>
      </c>
      <c r="H945" s="11" t="s">
        <v>3452</v>
      </c>
      <c r="I945" s="11" t="s">
        <v>3453</v>
      </c>
      <c r="J945" s="12">
        <v>0.70830000000000004</v>
      </c>
      <c r="K945" s="13">
        <v>6</v>
      </c>
      <c r="L945" s="14">
        <v>503</v>
      </c>
      <c r="M945" s="10">
        <v>298</v>
      </c>
      <c r="N945" s="10">
        <v>55583</v>
      </c>
      <c r="O945" s="10">
        <v>23369</v>
      </c>
      <c r="P945" s="10">
        <v>78952</v>
      </c>
    </row>
    <row r="946" spans="1:16" ht="27" customHeight="1" x14ac:dyDescent="0.2">
      <c r="A946" s="9" t="s">
        <v>3382</v>
      </c>
      <c r="B946" s="10" t="s">
        <v>3454</v>
      </c>
      <c r="C946" s="11" t="s">
        <v>18</v>
      </c>
      <c r="D946" s="11" t="s">
        <v>19</v>
      </c>
      <c r="E946" s="11" t="s">
        <v>19</v>
      </c>
      <c r="F946" s="11" t="s">
        <v>3455</v>
      </c>
      <c r="G946" s="11" t="s">
        <v>83</v>
      </c>
      <c r="H946" s="11" t="s">
        <v>3456</v>
      </c>
      <c r="I946" s="11" t="s">
        <v>3457</v>
      </c>
      <c r="J946" s="12">
        <v>0.16950000000000001</v>
      </c>
      <c r="K946" s="13">
        <v>6</v>
      </c>
      <c r="L946" s="14">
        <v>1721</v>
      </c>
      <c r="M946" s="10">
        <v>174</v>
      </c>
      <c r="N946" s="10">
        <v>190174</v>
      </c>
      <c r="O946" s="10">
        <v>13645</v>
      </c>
      <c r="P946" s="10">
        <v>203819</v>
      </c>
    </row>
    <row r="947" spans="1:16" ht="27" customHeight="1" x14ac:dyDescent="0.2">
      <c r="A947" s="9" t="s">
        <v>3458</v>
      </c>
      <c r="B947" s="10" t="s">
        <v>3459</v>
      </c>
      <c r="C947" s="11" t="s">
        <v>18</v>
      </c>
      <c r="D947" s="11" t="s">
        <v>19</v>
      </c>
      <c r="E947" s="11" t="s">
        <v>19</v>
      </c>
      <c r="F947" s="11" t="s">
        <v>3460</v>
      </c>
      <c r="G947" s="11" t="s">
        <v>21</v>
      </c>
      <c r="H947" s="11" t="s">
        <v>3461</v>
      </c>
      <c r="I947" s="11" t="s">
        <v>3462</v>
      </c>
      <c r="J947" s="12">
        <v>0.87880000000000003</v>
      </c>
      <c r="K947" s="13">
        <v>4</v>
      </c>
      <c r="L947" s="14">
        <v>52</v>
      </c>
      <c r="M947" s="10">
        <v>39</v>
      </c>
      <c r="N947" s="10">
        <v>5747</v>
      </c>
      <c r="O947" s="10">
        <v>3058</v>
      </c>
      <c r="P947" s="10">
        <v>8805</v>
      </c>
    </row>
    <row r="948" spans="1:16" ht="27" customHeight="1" x14ac:dyDescent="0.2">
      <c r="A948" s="9" t="s">
        <v>3458</v>
      </c>
      <c r="B948" s="10" t="s">
        <v>3463</v>
      </c>
      <c r="C948" s="11" t="s">
        <v>18</v>
      </c>
      <c r="D948" s="11" t="s">
        <v>19</v>
      </c>
      <c r="E948" s="11" t="s">
        <v>19</v>
      </c>
      <c r="F948" s="11" t="s">
        <v>3464</v>
      </c>
      <c r="G948" s="11" t="s">
        <v>83</v>
      </c>
      <c r="H948" s="11" t="s">
        <v>3461</v>
      </c>
      <c r="I948" s="11" t="s">
        <v>3462</v>
      </c>
      <c r="J948" s="12">
        <v>0.87880000000000003</v>
      </c>
      <c r="K948" s="13">
        <v>12</v>
      </c>
      <c r="L948" s="14">
        <v>1695</v>
      </c>
      <c r="M948" s="10">
        <v>1131</v>
      </c>
      <c r="N948" s="10">
        <v>187302</v>
      </c>
      <c r="O948" s="10">
        <v>88691</v>
      </c>
      <c r="P948" s="10">
        <v>275993</v>
      </c>
    </row>
    <row r="949" spans="1:16" ht="27" customHeight="1" x14ac:dyDescent="0.2">
      <c r="A949" s="9" t="s">
        <v>3458</v>
      </c>
      <c r="B949" s="10" t="s">
        <v>3463</v>
      </c>
      <c r="C949" s="11" t="s">
        <v>3465</v>
      </c>
      <c r="D949" s="11" t="s">
        <v>3466</v>
      </c>
      <c r="E949" s="11" t="s">
        <v>26</v>
      </c>
      <c r="F949" s="11" t="s">
        <v>3467</v>
      </c>
      <c r="G949" s="11" t="s">
        <v>28</v>
      </c>
      <c r="H949" s="11" t="s">
        <v>3467</v>
      </c>
      <c r="I949" s="11" t="s">
        <v>3468</v>
      </c>
      <c r="J949" s="12">
        <v>0.42420000000000002</v>
      </c>
      <c r="K949" s="13">
        <v>1</v>
      </c>
      <c r="L949" s="14">
        <v>132</v>
      </c>
      <c r="M949" s="10">
        <v>56</v>
      </c>
      <c r="N949" s="10">
        <v>14586</v>
      </c>
      <c r="O949" s="10">
        <v>4391</v>
      </c>
      <c r="P949" s="10">
        <v>18977</v>
      </c>
    </row>
    <row r="950" spans="1:16" ht="27" customHeight="1" x14ac:dyDescent="0.2">
      <c r="A950" s="9" t="s">
        <v>3469</v>
      </c>
      <c r="B950" s="10" t="s">
        <v>3470</v>
      </c>
      <c r="C950" s="11" t="s">
        <v>18</v>
      </c>
      <c r="D950" s="11" t="s">
        <v>19</v>
      </c>
      <c r="E950" s="11" t="s">
        <v>19</v>
      </c>
      <c r="F950" s="11" t="s">
        <v>3471</v>
      </c>
      <c r="G950" s="11" t="s">
        <v>21</v>
      </c>
      <c r="H950" s="11" t="s">
        <v>3472</v>
      </c>
      <c r="I950" s="11" t="s">
        <v>3473</v>
      </c>
      <c r="J950" s="12">
        <v>0.98109999999999997</v>
      </c>
      <c r="K950" s="13">
        <v>4</v>
      </c>
      <c r="L950" s="14">
        <v>434</v>
      </c>
      <c r="M950" s="10">
        <v>410</v>
      </c>
      <c r="N950" s="10">
        <v>47959</v>
      </c>
      <c r="O950" s="10">
        <v>32153</v>
      </c>
      <c r="P950" s="10">
        <v>80112</v>
      </c>
    </row>
    <row r="951" spans="1:16" ht="27" customHeight="1" x14ac:dyDescent="0.2">
      <c r="A951" s="9" t="s">
        <v>3469</v>
      </c>
      <c r="B951" s="10" t="s">
        <v>3474</v>
      </c>
      <c r="C951" s="11" t="s">
        <v>18</v>
      </c>
      <c r="D951" s="11" t="s">
        <v>19</v>
      </c>
      <c r="E951" s="11" t="s">
        <v>19</v>
      </c>
      <c r="F951" s="11" t="s">
        <v>3475</v>
      </c>
      <c r="G951" s="11" t="s">
        <v>83</v>
      </c>
      <c r="H951" s="11" t="s">
        <v>3476</v>
      </c>
      <c r="I951" s="11" t="s">
        <v>3477</v>
      </c>
      <c r="J951" s="12">
        <v>0.82140000000000002</v>
      </c>
      <c r="K951" s="13">
        <v>3</v>
      </c>
      <c r="L951" s="14">
        <v>423</v>
      </c>
      <c r="M951" s="10">
        <v>344</v>
      </c>
      <c r="N951" s="10">
        <v>46742</v>
      </c>
      <c r="O951" s="10">
        <v>26976</v>
      </c>
      <c r="P951" s="10">
        <v>73718</v>
      </c>
    </row>
    <row r="952" spans="1:16" ht="27" customHeight="1" x14ac:dyDescent="0.2">
      <c r="A952" s="9" t="s">
        <v>3469</v>
      </c>
      <c r="B952" s="10" t="s">
        <v>3478</v>
      </c>
      <c r="C952" s="11" t="s">
        <v>18</v>
      </c>
      <c r="D952" s="11" t="s">
        <v>19</v>
      </c>
      <c r="E952" s="11" t="s">
        <v>19</v>
      </c>
      <c r="F952" s="11" t="s">
        <v>3479</v>
      </c>
      <c r="G952" s="11" t="s">
        <v>83</v>
      </c>
      <c r="H952" s="11" t="s">
        <v>3480</v>
      </c>
      <c r="I952" s="11" t="s">
        <v>3481</v>
      </c>
      <c r="J952" s="12">
        <v>0.63109999999999999</v>
      </c>
      <c r="K952" s="13">
        <v>2</v>
      </c>
      <c r="L952" s="14">
        <v>225</v>
      </c>
      <c r="M952" s="10">
        <v>142</v>
      </c>
      <c r="N952" s="10">
        <v>24863</v>
      </c>
      <c r="O952" s="10">
        <v>11135</v>
      </c>
      <c r="P952" s="10">
        <v>35998</v>
      </c>
    </row>
    <row r="953" spans="1:16" ht="27" customHeight="1" x14ac:dyDescent="0.2">
      <c r="A953" s="9" t="s">
        <v>3469</v>
      </c>
      <c r="B953" s="10" t="s">
        <v>3478</v>
      </c>
      <c r="C953" s="11" t="s">
        <v>3482</v>
      </c>
      <c r="D953" s="11" t="s">
        <v>3483</v>
      </c>
      <c r="E953" s="11" t="s">
        <v>26</v>
      </c>
      <c r="F953" s="11" t="s">
        <v>3484</v>
      </c>
      <c r="G953" s="11" t="s">
        <v>28</v>
      </c>
      <c r="H953" s="11" t="s">
        <v>3484</v>
      </c>
      <c r="I953" s="11" t="s">
        <v>3485</v>
      </c>
      <c r="J953" s="12">
        <v>0.44290000000000002</v>
      </c>
      <c r="K953" s="13">
        <v>1</v>
      </c>
      <c r="L953" s="14">
        <v>70</v>
      </c>
      <c r="M953" s="10">
        <v>31</v>
      </c>
      <c r="N953" s="10">
        <v>7735</v>
      </c>
      <c r="O953" s="10">
        <v>2431</v>
      </c>
      <c r="P953" s="10">
        <v>10166</v>
      </c>
    </row>
    <row r="954" spans="1:16" ht="27" customHeight="1" x14ac:dyDescent="0.2">
      <c r="A954" s="9" t="s">
        <v>3469</v>
      </c>
      <c r="B954" s="10" t="s">
        <v>3486</v>
      </c>
      <c r="C954" s="11" t="s">
        <v>18</v>
      </c>
      <c r="D954" s="11" t="s">
        <v>19</v>
      </c>
      <c r="E954" s="11" t="s">
        <v>19</v>
      </c>
      <c r="F954" s="11" t="s">
        <v>3487</v>
      </c>
      <c r="G954" s="11" t="s">
        <v>83</v>
      </c>
      <c r="H954" s="11" t="s">
        <v>3488</v>
      </c>
      <c r="I954" s="11" t="s">
        <v>3489</v>
      </c>
      <c r="J954" s="12">
        <v>0.81020000000000003</v>
      </c>
      <c r="K954" s="13">
        <v>8</v>
      </c>
      <c r="L954" s="14">
        <v>1695</v>
      </c>
      <c r="M954" s="10">
        <v>1352</v>
      </c>
      <c r="N954" s="10">
        <v>187302</v>
      </c>
      <c r="O954" s="10">
        <v>106023</v>
      </c>
      <c r="P954" s="10">
        <v>293325</v>
      </c>
    </row>
    <row r="955" spans="1:16" ht="27" customHeight="1" x14ac:dyDescent="0.2">
      <c r="A955" s="9" t="s">
        <v>3469</v>
      </c>
      <c r="B955" s="10" t="s">
        <v>3486</v>
      </c>
      <c r="C955" s="11" t="s">
        <v>3490</v>
      </c>
      <c r="D955" s="11" t="s">
        <v>3491</v>
      </c>
      <c r="E955" s="11" t="s">
        <v>26</v>
      </c>
      <c r="F955" s="11" t="s">
        <v>3492</v>
      </c>
      <c r="G955" s="11" t="s">
        <v>28</v>
      </c>
      <c r="H955" s="11" t="s">
        <v>3492</v>
      </c>
      <c r="I955" s="11" t="s">
        <v>3493</v>
      </c>
      <c r="J955" s="12">
        <v>0.67069999999999996</v>
      </c>
      <c r="K955" s="13">
        <v>1</v>
      </c>
      <c r="L955" s="14">
        <v>82</v>
      </c>
      <c r="M955" s="10">
        <v>55</v>
      </c>
      <c r="N955" s="10">
        <v>9061</v>
      </c>
      <c r="O955" s="10">
        <v>4313</v>
      </c>
      <c r="P955" s="10">
        <v>13374</v>
      </c>
    </row>
    <row r="956" spans="1:16" ht="27" customHeight="1" x14ac:dyDescent="0.2">
      <c r="A956" s="9" t="s">
        <v>3469</v>
      </c>
      <c r="B956" s="10" t="s">
        <v>3494</v>
      </c>
      <c r="C956" s="11" t="s">
        <v>18</v>
      </c>
      <c r="D956" s="11" t="s">
        <v>19</v>
      </c>
      <c r="E956" s="11" t="s">
        <v>19</v>
      </c>
      <c r="F956" s="11" t="s">
        <v>3495</v>
      </c>
      <c r="G956" s="11" t="s">
        <v>83</v>
      </c>
      <c r="H956" s="11" t="s">
        <v>3496</v>
      </c>
      <c r="I956" s="11" t="s">
        <v>3497</v>
      </c>
      <c r="J956" s="12">
        <v>0.51429999999999998</v>
      </c>
      <c r="K956" s="13">
        <v>2</v>
      </c>
      <c r="L956" s="14">
        <v>35</v>
      </c>
      <c r="M956" s="10">
        <v>18</v>
      </c>
      <c r="N956" s="10">
        <v>3868</v>
      </c>
      <c r="O956" s="10">
        <v>1412</v>
      </c>
      <c r="P956" s="10">
        <v>5280</v>
      </c>
    </row>
    <row r="957" spans="1:16" ht="27" customHeight="1" x14ac:dyDescent="0.2">
      <c r="A957" s="9" t="s">
        <v>3469</v>
      </c>
      <c r="B957" s="10" t="s">
        <v>3498</v>
      </c>
      <c r="C957" s="11" t="s">
        <v>18</v>
      </c>
      <c r="D957" s="11" t="s">
        <v>19</v>
      </c>
      <c r="E957" s="11" t="s">
        <v>19</v>
      </c>
      <c r="F957" s="11" t="s">
        <v>3499</v>
      </c>
      <c r="G957" s="11" t="s">
        <v>83</v>
      </c>
      <c r="H957" s="11" t="s">
        <v>3500</v>
      </c>
      <c r="I957" s="11" t="s">
        <v>3501</v>
      </c>
      <c r="J957" s="12">
        <v>0.82350000000000001</v>
      </c>
      <c r="K957" s="13">
        <v>7</v>
      </c>
      <c r="L957" s="14">
        <v>462</v>
      </c>
      <c r="M957" s="10">
        <v>293</v>
      </c>
      <c r="N957" s="10">
        <v>51053</v>
      </c>
      <c r="O957" s="10">
        <v>22977</v>
      </c>
      <c r="P957" s="10">
        <v>74030</v>
      </c>
    </row>
    <row r="958" spans="1:16" ht="27" customHeight="1" x14ac:dyDescent="0.2">
      <c r="A958" s="9" t="s">
        <v>3469</v>
      </c>
      <c r="B958" s="10" t="s">
        <v>3502</v>
      </c>
      <c r="C958" s="11" t="s">
        <v>18</v>
      </c>
      <c r="D958" s="11" t="s">
        <v>19</v>
      </c>
      <c r="E958" s="11" t="s">
        <v>19</v>
      </c>
      <c r="F958" s="11" t="s">
        <v>3503</v>
      </c>
      <c r="G958" s="11" t="s">
        <v>83</v>
      </c>
      <c r="H958" s="11" t="s">
        <v>3472</v>
      </c>
      <c r="I958" s="11" t="s">
        <v>3473</v>
      </c>
      <c r="J958" s="12">
        <v>0.98109999999999997</v>
      </c>
      <c r="K958" s="13">
        <v>3</v>
      </c>
      <c r="L958" s="14">
        <v>130</v>
      </c>
      <c r="M958" s="10">
        <v>77</v>
      </c>
      <c r="N958" s="10">
        <v>14366</v>
      </c>
      <c r="O958" s="10">
        <v>6038</v>
      </c>
      <c r="P958" s="10">
        <v>20404</v>
      </c>
    </row>
    <row r="959" spans="1:16" ht="27" customHeight="1" x14ac:dyDescent="0.2">
      <c r="A959" s="9" t="s">
        <v>3469</v>
      </c>
      <c r="B959" s="10" t="s">
        <v>3504</v>
      </c>
      <c r="C959" s="11" t="s">
        <v>18</v>
      </c>
      <c r="D959" s="11" t="s">
        <v>19</v>
      </c>
      <c r="E959" s="11" t="s">
        <v>19</v>
      </c>
      <c r="F959" s="11" t="s">
        <v>3505</v>
      </c>
      <c r="G959" s="11" t="s">
        <v>83</v>
      </c>
      <c r="H959" s="11" t="s">
        <v>1286</v>
      </c>
      <c r="I959" s="11" t="s">
        <v>3506</v>
      </c>
      <c r="J959" s="12">
        <v>0.88490000000000002</v>
      </c>
      <c r="K959" s="13">
        <v>4</v>
      </c>
      <c r="L959" s="14">
        <v>438</v>
      </c>
      <c r="M959" s="10">
        <v>401</v>
      </c>
      <c r="N959" s="10">
        <v>48400</v>
      </c>
      <c r="O959" s="10">
        <v>31446</v>
      </c>
      <c r="P959" s="10">
        <v>79846</v>
      </c>
    </row>
    <row r="960" spans="1:16" ht="27" customHeight="1" x14ac:dyDescent="0.2">
      <c r="A960" s="9" t="s">
        <v>3469</v>
      </c>
      <c r="B960" s="10" t="s">
        <v>3504</v>
      </c>
      <c r="C960" s="11" t="s">
        <v>3507</v>
      </c>
      <c r="D960" s="11" t="s">
        <v>3508</v>
      </c>
      <c r="E960" s="11" t="s">
        <v>26</v>
      </c>
      <c r="F960" s="11" t="s">
        <v>3472</v>
      </c>
      <c r="G960" s="11" t="s">
        <v>28</v>
      </c>
      <c r="H960" s="11" t="s">
        <v>3472</v>
      </c>
      <c r="I960" s="11" t="s">
        <v>3473</v>
      </c>
      <c r="J960" s="12">
        <v>0.98109999999999997</v>
      </c>
      <c r="K960" s="13">
        <v>1</v>
      </c>
      <c r="L960" s="14">
        <v>53</v>
      </c>
      <c r="M960" s="10">
        <v>52</v>
      </c>
      <c r="N960" s="10">
        <v>5857</v>
      </c>
      <c r="O960" s="10">
        <v>4078</v>
      </c>
      <c r="P960" s="10">
        <v>9935</v>
      </c>
    </row>
    <row r="961" spans="1:16" ht="27" customHeight="1" x14ac:dyDescent="0.2">
      <c r="A961" s="9" t="s">
        <v>3469</v>
      </c>
      <c r="B961" s="10" t="s">
        <v>3509</v>
      </c>
      <c r="C961" s="11" t="s">
        <v>18</v>
      </c>
      <c r="D961" s="11" t="s">
        <v>19</v>
      </c>
      <c r="E961" s="11" t="s">
        <v>19</v>
      </c>
      <c r="F961" s="11" t="s">
        <v>3510</v>
      </c>
      <c r="G961" s="11" t="s">
        <v>83</v>
      </c>
      <c r="H961" s="11" t="s">
        <v>3511</v>
      </c>
      <c r="I961" s="11" t="s">
        <v>3512</v>
      </c>
      <c r="J961" s="12">
        <v>0.96050000000000002</v>
      </c>
      <c r="K961" s="13">
        <v>12</v>
      </c>
      <c r="L961" s="14">
        <v>5882</v>
      </c>
      <c r="M961" s="10">
        <v>4629</v>
      </c>
      <c r="N961" s="10">
        <v>649972</v>
      </c>
      <c r="O961" s="10">
        <v>363001</v>
      </c>
      <c r="P961" s="10">
        <v>1012973</v>
      </c>
    </row>
    <row r="962" spans="1:16" ht="27" customHeight="1" x14ac:dyDescent="0.2">
      <c r="A962" s="9" t="s">
        <v>3469</v>
      </c>
      <c r="B962" s="10" t="s">
        <v>3509</v>
      </c>
      <c r="C962" s="11" t="s">
        <v>3513</v>
      </c>
      <c r="D962" s="11" t="s">
        <v>3514</v>
      </c>
      <c r="E962" s="11" t="s">
        <v>26</v>
      </c>
      <c r="F962" s="11" t="s">
        <v>3515</v>
      </c>
      <c r="G962" s="11" t="s">
        <v>28</v>
      </c>
      <c r="H962" s="11" t="s">
        <v>3515</v>
      </c>
      <c r="I962" s="11" t="s">
        <v>3516</v>
      </c>
      <c r="J962" s="12">
        <v>0.41949999999999998</v>
      </c>
      <c r="K962" s="13">
        <v>1</v>
      </c>
      <c r="L962" s="14">
        <v>236</v>
      </c>
      <c r="M962" s="10">
        <v>99</v>
      </c>
      <c r="N962" s="10">
        <v>26078</v>
      </c>
      <c r="O962" s="10">
        <v>7763</v>
      </c>
      <c r="P962" s="10">
        <v>33841</v>
      </c>
    </row>
    <row r="963" spans="1:16" ht="27" customHeight="1" x14ac:dyDescent="0.2">
      <c r="A963" s="9" t="s">
        <v>3469</v>
      </c>
      <c r="B963" s="10" t="s">
        <v>3509</v>
      </c>
      <c r="C963" s="11" t="s">
        <v>3517</v>
      </c>
      <c r="D963" s="11" t="s">
        <v>3518</v>
      </c>
      <c r="E963" s="11" t="s">
        <v>26</v>
      </c>
      <c r="F963" s="11" t="s">
        <v>3519</v>
      </c>
      <c r="G963" s="11" t="s">
        <v>28</v>
      </c>
      <c r="H963" s="11" t="s">
        <v>3519</v>
      </c>
      <c r="I963" s="11" t="s">
        <v>3520</v>
      </c>
      <c r="J963" s="12">
        <v>0.72870000000000001</v>
      </c>
      <c r="K963" s="13">
        <v>1</v>
      </c>
      <c r="L963" s="14">
        <v>129</v>
      </c>
      <c r="M963" s="10">
        <v>94</v>
      </c>
      <c r="N963" s="10">
        <v>14255</v>
      </c>
      <c r="O963" s="10">
        <v>7371</v>
      </c>
      <c r="P963" s="10">
        <v>21626</v>
      </c>
    </row>
    <row r="964" spans="1:16" ht="27" customHeight="1" x14ac:dyDescent="0.2">
      <c r="A964" s="9" t="s">
        <v>3469</v>
      </c>
      <c r="B964" s="10" t="s">
        <v>3509</v>
      </c>
      <c r="C964" s="11" t="s">
        <v>3521</v>
      </c>
      <c r="D964" s="11" t="s">
        <v>3522</v>
      </c>
      <c r="E964" s="11" t="s">
        <v>26</v>
      </c>
      <c r="F964" s="11" t="s">
        <v>3523</v>
      </c>
      <c r="G964" s="11" t="s">
        <v>28</v>
      </c>
      <c r="H964" s="11" t="s">
        <v>3472</v>
      </c>
      <c r="I964" s="11" t="s">
        <v>3473</v>
      </c>
      <c r="J964" s="12">
        <v>0.98109999999999997</v>
      </c>
      <c r="K964" s="13">
        <v>1</v>
      </c>
      <c r="L964" s="14">
        <v>125</v>
      </c>
      <c r="M964" s="10">
        <v>83</v>
      </c>
      <c r="N964" s="10">
        <v>13813</v>
      </c>
      <c r="O964" s="10">
        <v>6509</v>
      </c>
      <c r="P964" s="10">
        <v>20322</v>
      </c>
    </row>
    <row r="965" spans="1:16" ht="27" customHeight="1" x14ac:dyDescent="0.2">
      <c r="A965" s="9" t="s">
        <v>3469</v>
      </c>
      <c r="B965" s="10" t="s">
        <v>3509</v>
      </c>
      <c r="C965" s="11" t="s">
        <v>3524</v>
      </c>
      <c r="D965" s="11" t="s">
        <v>3525</v>
      </c>
      <c r="E965" s="11" t="s">
        <v>26</v>
      </c>
      <c r="F965" s="11" t="s">
        <v>3526</v>
      </c>
      <c r="G965" s="11" t="s">
        <v>28</v>
      </c>
      <c r="H965" s="11" t="s">
        <v>3526</v>
      </c>
      <c r="I965" s="11" t="s">
        <v>3527</v>
      </c>
      <c r="J965" s="12">
        <v>0.86229999999999996</v>
      </c>
      <c r="K965" s="13">
        <v>1</v>
      </c>
      <c r="L965" s="14">
        <v>138</v>
      </c>
      <c r="M965" s="10">
        <v>119</v>
      </c>
      <c r="N965" s="10">
        <v>15249</v>
      </c>
      <c r="O965" s="10">
        <v>9332</v>
      </c>
      <c r="P965" s="10">
        <v>24581</v>
      </c>
    </row>
    <row r="966" spans="1:16" ht="27" customHeight="1" x14ac:dyDescent="0.2">
      <c r="A966" s="9" t="s">
        <v>3469</v>
      </c>
      <c r="B966" s="10" t="s">
        <v>3509</v>
      </c>
      <c r="C966" s="11" t="s">
        <v>3528</v>
      </c>
      <c r="D966" s="11" t="s">
        <v>3529</v>
      </c>
      <c r="E966" s="11" t="s">
        <v>26</v>
      </c>
      <c r="F966" s="11" t="s">
        <v>3530</v>
      </c>
      <c r="G966" s="11" t="s">
        <v>28</v>
      </c>
      <c r="H966" s="11" t="s">
        <v>3530</v>
      </c>
      <c r="I966" s="11" t="s">
        <v>3531</v>
      </c>
      <c r="J966" s="12">
        <v>0.59299999999999997</v>
      </c>
      <c r="K966" s="13">
        <v>1</v>
      </c>
      <c r="L966" s="14">
        <v>86</v>
      </c>
      <c r="M966" s="10">
        <v>51</v>
      </c>
      <c r="N966" s="10">
        <v>9503</v>
      </c>
      <c r="O966" s="10">
        <v>3999</v>
      </c>
      <c r="P966" s="10">
        <v>13502</v>
      </c>
    </row>
    <row r="967" spans="1:16" ht="27" customHeight="1" x14ac:dyDescent="0.2">
      <c r="A967" s="9" t="s">
        <v>3469</v>
      </c>
      <c r="B967" s="10" t="s">
        <v>3532</v>
      </c>
      <c r="C967" s="11" t="s">
        <v>18</v>
      </c>
      <c r="D967" s="11" t="s">
        <v>19</v>
      </c>
      <c r="E967" s="11" t="s">
        <v>19</v>
      </c>
      <c r="F967" s="11" t="s">
        <v>3533</v>
      </c>
      <c r="G967" s="11" t="s">
        <v>83</v>
      </c>
      <c r="H967" s="11" t="s">
        <v>3534</v>
      </c>
      <c r="I967" s="11" t="s">
        <v>3535</v>
      </c>
      <c r="J967" s="12">
        <v>0.69120000000000004</v>
      </c>
      <c r="K967" s="13">
        <v>7</v>
      </c>
      <c r="L967" s="14">
        <v>1535</v>
      </c>
      <c r="M967" s="10">
        <v>928</v>
      </c>
      <c r="N967" s="10">
        <v>169620</v>
      </c>
      <c r="O967" s="10">
        <v>72773</v>
      </c>
      <c r="P967" s="10">
        <v>242393</v>
      </c>
    </row>
    <row r="968" spans="1:16" ht="27" customHeight="1" x14ac:dyDescent="0.2">
      <c r="A968" s="9" t="s">
        <v>3469</v>
      </c>
      <c r="B968" s="10" t="s">
        <v>3532</v>
      </c>
      <c r="C968" s="11" t="s">
        <v>3536</v>
      </c>
      <c r="D968" s="11" t="s">
        <v>3537</v>
      </c>
      <c r="E968" s="11" t="s">
        <v>26</v>
      </c>
      <c r="F968" s="11" t="s">
        <v>3538</v>
      </c>
      <c r="G968" s="11" t="s">
        <v>28</v>
      </c>
      <c r="H968" s="11" t="s">
        <v>3538</v>
      </c>
      <c r="I968" s="11" t="s">
        <v>3539</v>
      </c>
      <c r="J968" s="12">
        <v>0.7722</v>
      </c>
      <c r="K968" s="13">
        <v>1</v>
      </c>
      <c r="L968" s="14">
        <v>79</v>
      </c>
      <c r="M968" s="10">
        <v>61</v>
      </c>
      <c r="N968" s="10">
        <v>8730</v>
      </c>
      <c r="O968" s="10">
        <v>4784</v>
      </c>
      <c r="P968" s="10">
        <v>13514</v>
      </c>
    </row>
    <row r="969" spans="1:16" ht="27" customHeight="1" x14ac:dyDescent="0.2">
      <c r="A969" s="9" t="s">
        <v>3469</v>
      </c>
      <c r="B969" s="10" t="s">
        <v>3532</v>
      </c>
      <c r="C969" s="11" t="s">
        <v>3540</v>
      </c>
      <c r="D969" s="11" t="s">
        <v>3541</v>
      </c>
      <c r="E969" s="11" t="s">
        <v>26</v>
      </c>
      <c r="F969" s="11" t="s">
        <v>3542</v>
      </c>
      <c r="G969" s="11" t="s">
        <v>28</v>
      </c>
      <c r="H969" s="11" t="s">
        <v>3542</v>
      </c>
      <c r="I969" s="11" t="s">
        <v>3543</v>
      </c>
      <c r="J969" s="12">
        <v>0.63449999999999995</v>
      </c>
      <c r="K969" s="13">
        <v>1</v>
      </c>
      <c r="L969" s="14">
        <v>145</v>
      </c>
      <c r="M969" s="10">
        <v>92</v>
      </c>
      <c r="N969" s="10">
        <v>16023</v>
      </c>
      <c r="O969" s="10">
        <v>7215</v>
      </c>
      <c r="P969" s="10">
        <v>23238</v>
      </c>
    </row>
    <row r="970" spans="1:16" ht="27" customHeight="1" x14ac:dyDescent="0.2">
      <c r="A970" s="9" t="s">
        <v>3469</v>
      </c>
      <c r="B970" s="10" t="s">
        <v>3532</v>
      </c>
      <c r="C970" s="11" t="s">
        <v>3544</v>
      </c>
      <c r="D970" s="11" t="s">
        <v>3545</v>
      </c>
      <c r="E970" s="11" t="s">
        <v>26</v>
      </c>
      <c r="F970" s="11" t="s">
        <v>3546</v>
      </c>
      <c r="G970" s="11" t="s">
        <v>28</v>
      </c>
      <c r="H970" s="11" t="s">
        <v>3546</v>
      </c>
      <c r="I970" s="11" t="s">
        <v>3547</v>
      </c>
      <c r="J970" s="12">
        <v>0.54869999999999997</v>
      </c>
      <c r="K970" s="13">
        <v>1</v>
      </c>
      <c r="L970" s="14">
        <v>113</v>
      </c>
      <c r="M970" s="10">
        <v>62</v>
      </c>
      <c r="N970" s="10">
        <v>12487</v>
      </c>
      <c r="O970" s="10">
        <v>4862</v>
      </c>
      <c r="P970" s="10">
        <v>17349</v>
      </c>
    </row>
    <row r="971" spans="1:16" ht="27" customHeight="1" x14ac:dyDescent="0.2">
      <c r="A971" s="9" t="s">
        <v>3469</v>
      </c>
      <c r="B971" s="10" t="s">
        <v>3548</v>
      </c>
      <c r="C971" s="11" t="s">
        <v>18</v>
      </c>
      <c r="D971" s="11" t="s">
        <v>19</v>
      </c>
      <c r="E971" s="11" t="s">
        <v>19</v>
      </c>
      <c r="F971" s="11" t="s">
        <v>3549</v>
      </c>
      <c r="G971" s="11" t="s">
        <v>83</v>
      </c>
      <c r="H971" s="11" t="s">
        <v>3550</v>
      </c>
      <c r="I971" s="11" t="s">
        <v>3551</v>
      </c>
      <c r="J971" s="12">
        <v>0.6</v>
      </c>
      <c r="K971" s="13">
        <v>5</v>
      </c>
      <c r="L971" s="14">
        <v>276</v>
      </c>
      <c r="M971" s="10">
        <v>162</v>
      </c>
      <c r="N971" s="10">
        <v>30499</v>
      </c>
      <c r="O971" s="10">
        <v>12704</v>
      </c>
      <c r="P971" s="10">
        <v>43203</v>
      </c>
    </row>
    <row r="972" spans="1:16" ht="27" customHeight="1" x14ac:dyDescent="0.2">
      <c r="A972" s="9" t="s">
        <v>3469</v>
      </c>
      <c r="B972" s="10" t="s">
        <v>3552</v>
      </c>
      <c r="C972" s="11" t="s">
        <v>18</v>
      </c>
      <c r="D972" s="11" t="s">
        <v>19</v>
      </c>
      <c r="E972" s="11" t="s">
        <v>19</v>
      </c>
      <c r="F972" s="11" t="s">
        <v>3553</v>
      </c>
      <c r="G972" s="11" t="s">
        <v>83</v>
      </c>
      <c r="H972" s="11" t="s">
        <v>3554</v>
      </c>
      <c r="I972" s="11" t="s">
        <v>3555</v>
      </c>
      <c r="J972" s="12">
        <v>0.68140000000000001</v>
      </c>
      <c r="K972" s="13">
        <v>4</v>
      </c>
      <c r="L972" s="14">
        <v>337</v>
      </c>
      <c r="M972" s="10">
        <v>231</v>
      </c>
      <c r="N972" s="10">
        <v>37239</v>
      </c>
      <c r="O972" s="10">
        <v>18115</v>
      </c>
      <c r="P972" s="10">
        <v>55354</v>
      </c>
    </row>
    <row r="973" spans="1:16" ht="27" customHeight="1" x14ac:dyDescent="0.2">
      <c r="A973" s="9" t="s">
        <v>3469</v>
      </c>
      <c r="B973" s="10" t="s">
        <v>3556</v>
      </c>
      <c r="C973" s="11" t="s">
        <v>18</v>
      </c>
      <c r="D973" s="11" t="s">
        <v>19</v>
      </c>
      <c r="E973" s="11" t="s">
        <v>19</v>
      </c>
      <c r="F973" s="11" t="s">
        <v>3557</v>
      </c>
      <c r="G973" s="11" t="s">
        <v>83</v>
      </c>
      <c r="H973" s="11" t="s">
        <v>3558</v>
      </c>
      <c r="I973" s="11" t="s">
        <v>3559</v>
      </c>
      <c r="J973" s="12">
        <v>0.51719999999999999</v>
      </c>
      <c r="K973" s="13">
        <v>6</v>
      </c>
      <c r="L973" s="14">
        <v>127</v>
      </c>
      <c r="M973" s="10">
        <v>56</v>
      </c>
      <c r="N973" s="10">
        <v>14035</v>
      </c>
      <c r="O973" s="10">
        <v>4391</v>
      </c>
      <c r="P973" s="10">
        <v>18426</v>
      </c>
    </row>
    <row r="974" spans="1:16" ht="27" customHeight="1" x14ac:dyDescent="0.2">
      <c r="A974" s="9" t="s">
        <v>3560</v>
      </c>
      <c r="B974" s="10" t="s">
        <v>3561</v>
      </c>
      <c r="C974" s="11" t="s">
        <v>18</v>
      </c>
      <c r="D974" s="11" t="s">
        <v>19</v>
      </c>
      <c r="E974" s="11" t="s">
        <v>19</v>
      </c>
      <c r="F974" s="11" t="s">
        <v>3562</v>
      </c>
      <c r="G974" s="11" t="s">
        <v>21</v>
      </c>
      <c r="H974" s="11" t="s">
        <v>3563</v>
      </c>
      <c r="I974" s="11" t="s">
        <v>3564</v>
      </c>
      <c r="J974" s="12">
        <v>0.98460000000000003</v>
      </c>
      <c r="K974" s="13">
        <v>7</v>
      </c>
      <c r="L974" s="14">
        <v>1509</v>
      </c>
      <c r="M974" s="10">
        <v>1110</v>
      </c>
      <c r="N974" s="10">
        <v>166747</v>
      </c>
      <c r="O974" s="10">
        <v>87044</v>
      </c>
      <c r="P974" s="10">
        <v>253791</v>
      </c>
    </row>
    <row r="975" spans="1:16" ht="27" customHeight="1" x14ac:dyDescent="0.2">
      <c r="A975" s="9" t="s">
        <v>3560</v>
      </c>
      <c r="B975" s="10" t="s">
        <v>3561</v>
      </c>
      <c r="C975" s="11" t="s">
        <v>3565</v>
      </c>
      <c r="D975" s="11" t="s">
        <v>3566</v>
      </c>
      <c r="E975" s="11" t="s">
        <v>57</v>
      </c>
      <c r="F975" s="11" t="s">
        <v>3567</v>
      </c>
      <c r="G975" s="11" t="s">
        <v>28</v>
      </c>
      <c r="H975" s="11" t="s">
        <v>3567</v>
      </c>
      <c r="I975" s="11" t="s">
        <v>3568</v>
      </c>
      <c r="J975" s="12">
        <v>0.79720000000000002</v>
      </c>
      <c r="K975" s="13">
        <v>1</v>
      </c>
      <c r="L975" s="14">
        <v>281</v>
      </c>
      <c r="M975" s="10">
        <v>224</v>
      </c>
      <c r="N975" s="10">
        <v>31051</v>
      </c>
      <c r="O975" s="10">
        <v>17566</v>
      </c>
      <c r="P975" s="10">
        <v>48617</v>
      </c>
    </row>
    <row r="976" spans="1:16" ht="27" customHeight="1" x14ac:dyDescent="0.2">
      <c r="A976" s="9" t="s">
        <v>3560</v>
      </c>
      <c r="B976" s="10" t="s">
        <v>3561</v>
      </c>
      <c r="C976" s="11" t="s">
        <v>3569</v>
      </c>
      <c r="D976" s="11" t="s">
        <v>3570</v>
      </c>
      <c r="E976" s="11" t="s">
        <v>57</v>
      </c>
      <c r="F976" s="11" t="s">
        <v>3571</v>
      </c>
      <c r="G976" s="11" t="s">
        <v>28</v>
      </c>
      <c r="H976" s="11" t="s">
        <v>3563</v>
      </c>
      <c r="I976" s="11" t="s">
        <v>3564</v>
      </c>
      <c r="J976" s="12">
        <v>0.98460000000000003</v>
      </c>
      <c r="K976" s="13">
        <v>1</v>
      </c>
      <c r="L976" s="14">
        <v>102</v>
      </c>
      <c r="M976" s="10">
        <v>90</v>
      </c>
      <c r="N976" s="10">
        <v>11271</v>
      </c>
      <c r="O976" s="10">
        <v>7058</v>
      </c>
      <c r="P976" s="10">
        <v>18329</v>
      </c>
    </row>
    <row r="977" spans="1:16" ht="27" customHeight="1" x14ac:dyDescent="0.2">
      <c r="A977" s="9" t="s">
        <v>3560</v>
      </c>
      <c r="B977" s="10" t="s">
        <v>3572</v>
      </c>
      <c r="C977" s="11" t="s">
        <v>18</v>
      </c>
      <c r="D977" s="11" t="s">
        <v>19</v>
      </c>
      <c r="E977" s="11" t="s">
        <v>19</v>
      </c>
      <c r="F977" s="11" t="s">
        <v>3573</v>
      </c>
      <c r="G977" s="11" t="s">
        <v>83</v>
      </c>
      <c r="H977" s="11" t="s">
        <v>3574</v>
      </c>
      <c r="I977" s="11" t="s">
        <v>3575</v>
      </c>
      <c r="J977" s="12">
        <v>0.90049999999999997</v>
      </c>
      <c r="K977" s="13">
        <v>12</v>
      </c>
      <c r="L977" s="14">
        <v>5048</v>
      </c>
      <c r="M977" s="10">
        <v>3991</v>
      </c>
      <c r="N977" s="10">
        <v>557813</v>
      </c>
      <c r="O977" s="10">
        <v>312967</v>
      </c>
      <c r="P977" s="10">
        <v>870780</v>
      </c>
    </row>
    <row r="978" spans="1:16" ht="27" customHeight="1" x14ac:dyDescent="0.2">
      <c r="A978" s="9" t="s">
        <v>3560</v>
      </c>
      <c r="B978" s="10" t="s">
        <v>3576</v>
      </c>
      <c r="C978" s="11" t="s">
        <v>18</v>
      </c>
      <c r="D978" s="11" t="s">
        <v>19</v>
      </c>
      <c r="E978" s="11" t="s">
        <v>19</v>
      </c>
      <c r="F978" s="11" t="s">
        <v>3577</v>
      </c>
      <c r="G978" s="11" t="s">
        <v>83</v>
      </c>
      <c r="H978" s="11" t="s">
        <v>3578</v>
      </c>
      <c r="I978" s="11" t="s">
        <v>3579</v>
      </c>
      <c r="J978" s="12">
        <v>0.3125</v>
      </c>
      <c r="K978" s="13">
        <v>2</v>
      </c>
      <c r="L978" s="14">
        <v>48</v>
      </c>
      <c r="M978" s="10">
        <v>15</v>
      </c>
      <c r="N978" s="10">
        <v>5304</v>
      </c>
      <c r="O978" s="10">
        <v>1176</v>
      </c>
      <c r="P978" s="10">
        <v>6480</v>
      </c>
    </row>
    <row r="979" spans="1:16" ht="27" customHeight="1" x14ac:dyDescent="0.2">
      <c r="A979" s="9" t="s">
        <v>3560</v>
      </c>
      <c r="B979" s="10" t="s">
        <v>3576</v>
      </c>
      <c r="C979" s="11" t="s">
        <v>3580</v>
      </c>
      <c r="D979" s="11" t="s">
        <v>3581</v>
      </c>
      <c r="E979" s="11" t="s">
        <v>57</v>
      </c>
      <c r="F979" s="11" t="s">
        <v>3582</v>
      </c>
      <c r="G979" s="11" t="s">
        <v>28</v>
      </c>
      <c r="H979" s="11" t="s">
        <v>3582</v>
      </c>
      <c r="I979" s="11" t="s">
        <v>3583</v>
      </c>
      <c r="J979" s="12">
        <v>0.44240000000000002</v>
      </c>
      <c r="K979" s="13">
        <v>1</v>
      </c>
      <c r="L979" s="14">
        <v>321</v>
      </c>
      <c r="M979" s="10">
        <v>142</v>
      </c>
      <c r="N979" s="10">
        <v>35471</v>
      </c>
      <c r="O979" s="10">
        <v>11135</v>
      </c>
      <c r="P979" s="10">
        <v>46606</v>
      </c>
    </row>
    <row r="980" spans="1:16" ht="27" customHeight="1" x14ac:dyDescent="0.2">
      <c r="A980" s="9" t="s">
        <v>3560</v>
      </c>
      <c r="B980" s="10" t="s">
        <v>3584</v>
      </c>
      <c r="C980" s="11" t="s">
        <v>18</v>
      </c>
      <c r="D980" s="11" t="s">
        <v>19</v>
      </c>
      <c r="E980" s="11" t="s">
        <v>19</v>
      </c>
      <c r="F980" s="11" t="s">
        <v>3585</v>
      </c>
      <c r="G980" s="11" t="s">
        <v>83</v>
      </c>
      <c r="H980" s="11" t="s">
        <v>3585</v>
      </c>
      <c r="I980" s="11" t="s">
        <v>3586</v>
      </c>
      <c r="J980" s="12">
        <v>0.93240000000000001</v>
      </c>
      <c r="K980" s="13">
        <v>3</v>
      </c>
      <c r="L980" s="14">
        <v>149</v>
      </c>
      <c r="M980" s="10">
        <v>139</v>
      </c>
      <c r="N980" s="10">
        <v>16465</v>
      </c>
      <c r="O980" s="10">
        <v>10900</v>
      </c>
      <c r="P980" s="10">
        <v>27365</v>
      </c>
    </row>
    <row r="981" spans="1:16" ht="27" customHeight="1" x14ac:dyDescent="0.2">
      <c r="A981" s="9" t="s">
        <v>3560</v>
      </c>
      <c r="B981" s="10" t="s">
        <v>3587</v>
      </c>
      <c r="C981" s="11" t="s">
        <v>18</v>
      </c>
      <c r="D981" s="11" t="s">
        <v>19</v>
      </c>
      <c r="E981" s="11" t="s">
        <v>19</v>
      </c>
      <c r="F981" s="11" t="s">
        <v>3588</v>
      </c>
      <c r="G981" s="11" t="s">
        <v>83</v>
      </c>
      <c r="H981" s="11" t="s">
        <v>3589</v>
      </c>
      <c r="I981" s="11" t="s">
        <v>3590</v>
      </c>
      <c r="J981" s="12">
        <v>0.74170000000000003</v>
      </c>
      <c r="K981" s="13">
        <v>7</v>
      </c>
      <c r="L981" s="14">
        <v>2321</v>
      </c>
      <c r="M981" s="10">
        <v>1113</v>
      </c>
      <c r="N981" s="10">
        <v>256475</v>
      </c>
      <c r="O981" s="10">
        <v>87280</v>
      </c>
      <c r="P981" s="10">
        <v>343755</v>
      </c>
    </row>
    <row r="982" spans="1:16" ht="27" customHeight="1" x14ac:dyDescent="0.2">
      <c r="A982" s="9" t="s">
        <v>3560</v>
      </c>
      <c r="B982" s="10" t="s">
        <v>3591</v>
      </c>
      <c r="C982" s="11" t="s">
        <v>18</v>
      </c>
      <c r="D982" s="11" t="s">
        <v>19</v>
      </c>
      <c r="E982" s="11" t="s">
        <v>19</v>
      </c>
      <c r="F982" s="11" t="s">
        <v>3592</v>
      </c>
      <c r="G982" s="11" t="s">
        <v>83</v>
      </c>
      <c r="H982" s="11" t="s">
        <v>3593</v>
      </c>
      <c r="I982" s="11" t="s">
        <v>3594</v>
      </c>
      <c r="J982" s="12">
        <v>0.80710000000000004</v>
      </c>
      <c r="K982" s="13">
        <v>2</v>
      </c>
      <c r="L982" s="14">
        <v>337</v>
      </c>
      <c r="M982" s="10">
        <v>272</v>
      </c>
      <c r="N982" s="10">
        <v>37239</v>
      </c>
      <c r="O982" s="10">
        <v>21330</v>
      </c>
      <c r="P982" s="10">
        <v>58569</v>
      </c>
    </row>
    <row r="983" spans="1:16" ht="27" customHeight="1" x14ac:dyDescent="0.2">
      <c r="A983" s="9" t="s">
        <v>3560</v>
      </c>
      <c r="B983" s="10" t="s">
        <v>3595</v>
      </c>
      <c r="C983" s="11" t="s">
        <v>18</v>
      </c>
      <c r="D983" s="11" t="s">
        <v>19</v>
      </c>
      <c r="E983" s="11" t="s">
        <v>19</v>
      </c>
      <c r="F983" s="11" t="s">
        <v>3596</v>
      </c>
      <c r="G983" s="11" t="s">
        <v>83</v>
      </c>
      <c r="H983" s="11" t="s">
        <v>3563</v>
      </c>
      <c r="I983" s="11" t="s">
        <v>3564</v>
      </c>
      <c r="J983" s="12">
        <v>0.98460000000000003</v>
      </c>
      <c r="K983" s="13">
        <v>3</v>
      </c>
      <c r="L983" s="14">
        <v>502</v>
      </c>
      <c r="M983" s="10">
        <v>417</v>
      </c>
      <c r="N983" s="10">
        <v>55472</v>
      </c>
      <c r="O983" s="10">
        <v>32701</v>
      </c>
      <c r="P983" s="10">
        <v>88173</v>
      </c>
    </row>
    <row r="984" spans="1:16" ht="27" customHeight="1" x14ac:dyDescent="0.2">
      <c r="A984" s="9" t="s">
        <v>3560</v>
      </c>
      <c r="B984" s="10" t="s">
        <v>3597</v>
      </c>
      <c r="C984" s="11" t="s">
        <v>18</v>
      </c>
      <c r="D984" s="11" t="s">
        <v>19</v>
      </c>
      <c r="E984" s="11" t="s">
        <v>19</v>
      </c>
      <c r="F984" s="11" t="s">
        <v>3598</v>
      </c>
      <c r="G984" s="11" t="s">
        <v>83</v>
      </c>
      <c r="H984" s="11" t="s">
        <v>3599</v>
      </c>
      <c r="I984" s="11" t="s">
        <v>3600</v>
      </c>
      <c r="J984" s="12">
        <v>0.8458</v>
      </c>
      <c r="K984" s="13">
        <v>6</v>
      </c>
      <c r="L984" s="14">
        <v>2595</v>
      </c>
      <c r="M984" s="10">
        <v>2017</v>
      </c>
      <c r="N984" s="10">
        <v>286751</v>
      </c>
      <c r="O984" s="10">
        <v>158170</v>
      </c>
      <c r="P984" s="10">
        <v>444921</v>
      </c>
    </row>
    <row r="985" spans="1:16" ht="27" customHeight="1" x14ac:dyDescent="0.2">
      <c r="A985" s="9" t="s">
        <v>3560</v>
      </c>
      <c r="B985" s="10" t="s">
        <v>3601</v>
      </c>
      <c r="C985" s="11" t="s">
        <v>18</v>
      </c>
      <c r="D985" s="11" t="s">
        <v>19</v>
      </c>
      <c r="E985" s="11" t="s">
        <v>19</v>
      </c>
      <c r="F985" s="11" t="s">
        <v>3602</v>
      </c>
      <c r="G985" s="11" t="s">
        <v>83</v>
      </c>
      <c r="H985" s="11" t="s">
        <v>3603</v>
      </c>
      <c r="I985" s="11" t="s">
        <v>3604</v>
      </c>
      <c r="J985" s="12">
        <v>0.88670000000000004</v>
      </c>
      <c r="K985" s="13">
        <v>18</v>
      </c>
      <c r="L985" s="14">
        <v>11205</v>
      </c>
      <c r="M985" s="10">
        <v>8715</v>
      </c>
      <c r="N985" s="10">
        <v>1238170</v>
      </c>
      <c r="O985" s="10">
        <v>683422</v>
      </c>
      <c r="P985" s="10">
        <v>1921592</v>
      </c>
    </row>
    <row r="986" spans="1:16" ht="27" customHeight="1" x14ac:dyDescent="0.2">
      <c r="A986" s="9" t="s">
        <v>3560</v>
      </c>
      <c r="B986" s="10" t="s">
        <v>3605</v>
      </c>
      <c r="C986" s="11" t="s">
        <v>18</v>
      </c>
      <c r="D986" s="11" t="s">
        <v>19</v>
      </c>
      <c r="E986" s="11" t="s">
        <v>19</v>
      </c>
      <c r="F986" s="11" t="s">
        <v>3606</v>
      </c>
      <c r="G986" s="11" t="s">
        <v>83</v>
      </c>
      <c r="H986" s="11" t="s">
        <v>3607</v>
      </c>
      <c r="I986" s="11" t="s">
        <v>3608</v>
      </c>
      <c r="J986" s="12">
        <v>0.3896</v>
      </c>
      <c r="K986" s="13">
        <v>2</v>
      </c>
      <c r="L986" s="14">
        <v>883</v>
      </c>
      <c r="M986" s="10">
        <v>344</v>
      </c>
      <c r="N986" s="10">
        <v>97573</v>
      </c>
      <c r="O986" s="10">
        <v>26976</v>
      </c>
      <c r="P986" s="10">
        <v>124549</v>
      </c>
    </row>
    <row r="987" spans="1:16" ht="27" customHeight="1" x14ac:dyDescent="0.2">
      <c r="A987" s="9" t="s">
        <v>3560</v>
      </c>
      <c r="B987" s="10" t="s">
        <v>3609</v>
      </c>
      <c r="C987" s="11" t="s">
        <v>18</v>
      </c>
      <c r="D987" s="11" t="s">
        <v>19</v>
      </c>
      <c r="E987" s="11" t="s">
        <v>19</v>
      </c>
      <c r="F987" s="11" t="s">
        <v>3610</v>
      </c>
      <c r="G987" s="11" t="s">
        <v>83</v>
      </c>
      <c r="H987" s="11" t="s">
        <v>3611</v>
      </c>
      <c r="I987" s="11" t="s">
        <v>3612</v>
      </c>
      <c r="J987" s="12">
        <v>0.97870000000000001</v>
      </c>
      <c r="K987" s="13">
        <v>20</v>
      </c>
      <c r="L987" s="14">
        <v>11532</v>
      </c>
      <c r="M987" s="10">
        <v>9321</v>
      </c>
      <c r="N987" s="10">
        <v>1274302</v>
      </c>
      <c r="O987" s="10">
        <v>730943</v>
      </c>
      <c r="P987" s="10">
        <v>2005245</v>
      </c>
    </row>
    <row r="988" spans="1:16" ht="27" customHeight="1" x14ac:dyDescent="0.2">
      <c r="A988" s="9" t="s">
        <v>3560</v>
      </c>
      <c r="B988" s="10" t="s">
        <v>3613</v>
      </c>
      <c r="C988" s="11" t="s">
        <v>18</v>
      </c>
      <c r="D988" s="11" t="s">
        <v>19</v>
      </c>
      <c r="E988" s="11" t="s">
        <v>19</v>
      </c>
      <c r="F988" s="11" t="s">
        <v>3614</v>
      </c>
      <c r="G988" s="11" t="s">
        <v>83</v>
      </c>
      <c r="H988" s="11" t="s">
        <v>3563</v>
      </c>
      <c r="I988" s="11" t="s">
        <v>3564</v>
      </c>
      <c r="J988" s="12">
        <v>0.98460000000000003</v>
      </c>
      <c r="K988" s="13">
        <v>10</v>
      </c>
      <c r="L988" s="14">
        <v>11226</v>
      </c>
      <c r="M988" s="10">
        <v>8609</v>
      </c>
      <c r="N988" s="10">
        <v>1240492</v>
      </c>
      <c r="O988" s="10">
        <v>675109</v>
      </c>
      <c r="P988" s="10">
        <v>1915601</v>
      </c>
    </row>
    <row r="989" spans="1:16" ht="27" customHeight="1" x14ac:dyDescent="0.2">
      <c r="A989" s="9" t="s">
        <v>3560</v>
      </c>
      <c r="B989" s="10" t="s">
        <v>3615</v>
      </c>
      <c r="C989" s="11" t="s">
        <v>18</v>
      </c>
      <c r="D989" s="11" t="s">
        <v>19</v>
      </c>
      <c r="E989" s="11" t="s">
        <v>19</v>
      </c>
      <c r="F989" s="11" t="s">
        <v>3616</v>
      </c>
      <c r="G989" s="11" t="s">
        <v>83</v>
      </c>
      <c r="H989" s="11" t="s">
        <v>3616</v>
      </c>
      <c r="I989" s="11" t="s">
        <v>3617</v>
      </c>
      <c r="J989" s="12">
        <v>0.48149999999999998</v>
      </c>
      <c r="K989" s="13">
        <v>2</v>
      </c>
      <c r="L989" s="14">
        <v>108</v>
      </c>
      <c r="M989" s="10">
        <v>52</v>
      </c>
      <c r="N989" s="10">
        <v>11934</v>
      </c>
      <c r="O989" s="10">
        <v>4078</v>
      </c>
      <c r="P989" s="10">
        <v>16012</v>
      </c>
    </row>
    <row r="990" spans="1:16" ht="27" customHeight="1" x14ac:dyDescent="0.2">
      <c r="A990" s="9" t="s">
        <v>3560</v>
      </c>
      <c r="B990" s="10" t="s">
        <v>3618</v>
      </c>
      <c r="C990" s="11" t="s">
        <v>18</v>
      </c>
      <c r="D990" s="11" t="s">
        <v>19</v>
      </c>
      <c r="E990" s="11" t="s">
        <v>19</v>
      </c>
      <c r="F990" s="11" t="s">
        <v>3563</v>
      </c>
      <c r="G990" s="11" t="s">
        <v>83</v>
      </c>
      <c r="H990" s="11" t="s">
        <v>3563</v>
      </c>
      <c r="I990" s="11" t="s">
        <v>3564</v>
      </c>
      <c r="J990" s="12">
        <v>0.98460000000000003</v>
      </c>
      <c r="K990" s="13">
        <v>3</v>
      </c>
      <c r="L990" s="14">
        <v>875</v>
      </c>
      <c r="M990" s="10">
        <v>865</v>
      </c>
      <c r="N990" s="10">
        <v>96688</v>
      </c>
      <c r="O990" s="10">
        <v>67832</v>
      </c>
      <c r="P990" s="10">
        <v>164520</v>
      </c>
    </row>
    <row r="991" spans="1:16" ht="27" customHeight="1" x14ac:dyDescent="0.2">
      <c r="A991" s="9" t="s">
        <v>3560</v>
      </c>
      <c r="B991" s="10" t="s">
        <v>3619</v>
      </c>
      <c r="C991" s="11" t="s">
        <v>18</v>
      </c>
      <c r="D991" s="11" t="s">
        <v>19</v>
      </c>
      <c r="E991" s="11" t="s">
        <v>19</v>
      </c>
      <c r="F991" s="11" t="s">
        <v>3620</v>
      </c>
      <c r="G991" s="11" t="s">
        <v>83</v>
      </c>
      <c r="H991" s="11" t="s">
        <v>3621</v>
      </c>
      <c r="I991" s="11" t="s">
        <v>3622</v>
      </c>
      <c r="J991" s="12">
        <v>0.88680000000000003</v>
      </c>
      <c r="K991" s="13">
        <v>2</v>
      </c>
      <c r="L991" s="14">
        <v>53</v>
      </c>
      <c r="M991" s="10">
        <v>47</v>
      </c>
      <c r="N991" s="10">
        <v>5857</v>
      </c>
      <c r="O991" s="10">
        <v>3686</v>
      </c>
      <c r="P991" s="10">
        <v>9543</v>
      </c>
    </row>
    <row r="992" spans="1:16" ht="27" customHeight="1" x14ac:dyDescent="0.2">
      <c r="A992" s="9" t="s">
        <v>3560</v>
      </c>
      <c r="B992" s="10" t="s">
        <v>3623</v>
      </c>
      <c r="C992" s="11" t="s">
        <v>18</v>
      </c>
      <c r="D992" s="11" t="s">
        <v>19</v>
      </c>
      <c r="E992" s="11" t="s">
        <v>19</v>
      </c>
      <c r="F992" s="11" t="s">
        <v>3624</v>
      </c>
      <c r="G992" s="11" t="s">
        <v>83</v>
      </c>
      <c r="H992" s="11" t="s">
        <v>3625</v>
      </c>
      <c r="I992" s="11" t="s">
        <v>3626</v>
      </c>
      <c r="J992" s="12">
        <v>0.69330000000000003</v>
      </c>
      <c r="K992" s="13">
        <v>5</v>
      </c>
      <c r="L992" s="14">
        <v>3238</v>
      </c>
      <c r="M992" s="10">
        <v>2169</v>
      </c>
      <c r="N992" s="10">
        <v>357804</v>
      </c>
      <c r="O992" s="10">
        <v>170091</v>
      </c>
      <c r="P992" s="10">
        <v>527895</v>
      </c>
    </row>
    <row r="993" spans="1:16" ht="27" customHeight="1" x14ac:dyDescent="0.2">
      <c r="A993" s="9" t="s">
        <v>3560</v>
      </c>
      <c r="B993" s="10" t="s">
        <v>3627</v>
      </c>
      <c r="C993" s="11" t="s">
        <v>18</v>
      </c>
      <c r="D993" s="11" t="s">
        <v>19</v>
      </c>
      <c r="E993" s="11" t="s">
        <v>19</v>
      </c>
      <c r="F993" s="11" t="s">
        <v>3628</v>
      </c>
      <c r="G993" s="11" t="s">
        <v>83</v>
      </c>
      <c r="H993" s="11" t="s">
        <v>3629</v>
      </c>
      <c r="I993" s="11" t="s">
        <v>3630</v>
      </c>
      <c r="J993" s="12">
        <v>0.9556</v>
      </c>
      <c r="K993" s="13">
        <v>5</v>
      </c>
      <c r="L993" s="14">
        <v>1990</v>
      </c>
      <c r="M993" s="10">
        <v>1842</v>
      </c>
      <c r="N993" s="10">
        <v>219899</v>
      </c>
      <c r="O993" s="10">
        <v>144447</v>
      </c>
      <c r="P993" s="10">
        <v>364346</v>
      </c>
    </row>
    <row r="994" spans="1:16" ht="27" customHeight="1" x14ac:dyDescent="0.2">
      <c r="A994" s="9" t="s">
        <v>3560</v>
      </c>
      <c r="B994" s="10" t="s">
        <v>3631</v>
      </c>
      <c r="C994" s="11" t="s">
        <v>18</v>
      </c>
      <c r="D994" s="11" t="s">
        <v>19</v>
      </c>
      <c r="E994" s="11" t="s">
        <v>19</v>
      </c>
      <c r="F994" s="11" t="s">
        <v>3632</v>
      </c>
      <c r="G994" s="11" t="s">
        <v>83</v>
      </c>
      <c r="H994" s="11" t="s">
        <v>3633</v>
      </c>
      <c r="I994" s="11" t="s">
        <v>3634</v>
      </c>
      <c r="J994" s="12">
        <v>0.82630000000000003</v>
      </c>
      <c r="K994" s="13">
        <v>7</v>
      </c>
      <c r="L994" s="14">
        <v>1746</v>
      </c>
      <c r="M994" s="10">
        <v>1367</v>
      </c>
      <c r="N994" s="10">
        <v>192936</v>
      </c>
      <c r="O994" s="10">
        <v>107199</v>
      </c>
      <c r="P994" s="10">
        <v>300135</v>
      </c>
    </row>
    <row r="995" spans="1:16" ht="27" customHeight="1" x14ac:dyDescent="0.2">
      <c r="A995" s="9" t="s">
        <v>3560</v>
      </c>
      <c r="B995" s="10" t="s">
        <v>3635</v>
      </c>
      <c r="C995" s="11" t="s">
        <v>18</v>
      </c>
      <c r="D995" s="11" t="s">
        <v>19</v>
      </c>
      <c r="E995" s="11" t="s">
        <v>19</v>
      </c>
      <c r="F995" s="11" t="s">
        <v>3636</v>
      </c>
      <c r="G995" s="11" t="s">
        <v>83</v>
      </c>
      <c r="H995" s="11" t="s">
        <v>948</v>
      </c>
      <c r="I995" s="11" t="s">
        <v>3637</v>
      </c>
      <c r="J995" s="12">
        <v>0.8327</v>
      </c>
      <c r="K995" s="13">
        <v>2</v>
      </c>
      <c r="L995" s="14">
        <v>275</v>
      </c>
      <c r="M995" s="10">
        <v>229</v>
      </c>
      <c r="N995" s="10">
        <v>30388</v>
      </c>
      <c r="O995" s="10">
        <v>17958</v>
      </c>
      <c r="P995" s="10">
        <v>48346</v>
      </c>
    </row>
    <row r="996" spans="1:16" ht="27" customHeight="1" x14ac:dyDescent="0.2">
      <c r="A996" s="9" t="s">
        <v>3560</v>
      </c>
      <c r="B996" s="10" t="s">
        <v>3638</v>
      </c>
      <c r="C996" s="11" t="s">
        <v>18</v>
      </c>
      <c r="D996" s="11" t="s">
        <v>19</v>
      </c>
      <c r="E996" s="11" t="s">
        <v>19</v>
      </c>
      <c r="F996" s="11" t="s">
        <v>3639</v>
      </c>
      <c r="G996" s="11" t="s">
        <v>83</v>
      </c>
      <c r="H996" s="11" t="s">
        <v>3640</v>
      </c>
      <c r="I996" s="11" t="s">
        <v>3641</v>
      </c>
      <c r="J996" s="12">
        <v>0.91269999999999996</v>
      </c>
      <c r="K996" s="13">
        <v>9</v>
      </c>
      <c r="L996" s="14">
        <v>2378</v>
      </c>
      <c r="M996" s="10">
        <v>2124</v>
      </c>
      <c r="N996" s="10">
        <v>262774</v>
      </c>
      <c r="O996" s="10">
        <v>166562</v>
      </c>
      <c r="P996" s="10">
        <v>429336</v>
      </c>
    </row>
    <row r="997" spans="1:16" ht="27" customHeight="1" x14ac:dyDescent="0.2">
      <c r="A997" s="9" t="s">
        <v>3560</v>
      </c>
      <c r="B997" s="10" t="s">
        <v>3642</v>
      </c>
      <c r="C997" s="11" t="s">
        <v>18</v>
      </c>
      <c r="D997" s="11" t="s">
        <v>19</v>
      </c>
      <c r="E997" s="11" t="s">
        <v>19</v>
      </c>
      <c r="F997" s="11" t="s">
        <v>3643</v>
      </c>
      <c r="G997" s="11" t="s">
        <v>83</v>
      </c>
      <c r="H997" s="11" t="s">
        <v>3644</v>
      </c>
      <c r="I997" s="11" t="s">
        <v>3645</v>
      </c>
      <c r="J997" s="12">
        <v>0.90610000000000002</v>
      </c>
      <c r="K997" s="13">
        <v>6</v>
      </c>
      <c r="L997" s="14">
        <v>2398</v>
      </c>
      <c r="M997" s="10">
        <v>1958</v>
      </c>
      <c r="N997" s="10">
        <v>264983</v>
      </c>
      <c r="O997" s="10">
        <v>153544</v>
      </c>
      <c r="P997" s="10">
        <v>418527</v>
      </c>
    </row>
    <row r="998" spans="1:16" ht="27" customHeight="1" x14ac:dyDescent="0.2">
      <c r="A998" s="9" t="s">
        <v>3646</v>
      </c>
      <c r="B998" s="10" t="s">
        <v>3647</v>
      </c>
      <c r="C998" s="11" t="s">
        <v>18</v>
      </c>
      <c r="D998" s="11" t="s">
        <v>19</v>
      </c>
      <c r="E998" s="11" t="s">
        <v>19</v>
      </c>
      <c r="F998" s="11" t="s">
        <v>3648</v>
      </c>
      <c r="G998" s="11" t="s">
        <v>21</v>
      </c>
      <c r="H998" s="11" t="s">
        <v>3649</v>
      </c>
      <c r="I998" s="11" t="s">
        <v>3650</v>
      </c>
      <c r="J998" s="12">
        <v>0.79749999999999999</v>
      </c>
      <c r="K998" s="13">
        <v>2</v>
      </c>
      <c r="L998" s="14">
        <v>83</v>
      </c>
      <c r="M998" s="10">
        <v>66</v>
      </c>
      <c r="N998" s="10">
        <v>9172</v>
      </c>
      <c r="O998" s="10">
        <v>5176</v>
      </c>
      <c r="P998" s="10">
        <v>14348</v>
      </c>
    </row>
    <row r="999" spans="1:16" ht="27" customHeight="1" x14ac:dyDescent="0.2">
      <c r="A999" s="9" t="s">
        <v>3646</v>
      </c>
      <c r="B999" s="10" t="s">
        <v>3651</v>
      </c>
      <c r="C999" s="11" t="s">
        <v>18</v>
      </c>
      <c r="D999" s="11" t="s">
        <v>19</v>
      </c>
      <c r="E999" s="11" t="s">
        <v>19</v>
      </c>
      <c r="F999" s="11" t="s">
        <v>3652</v>
      </c>
      <c r="G999" s="11" t="s">
        <v>83</v>
      </c>
      <c r="H999" s="11" t="s">
        <v>3653</v>
      </c>
      <c r="I999" s="11" t="s">
        <v>3654</v>
      </c>
      <c r="J999" s="12">
        <v>0.57689999999999997</v>
      </c>
      <c r="K999" s="13">
        <v>3</v>
      </c>
      <c r="L999" s="14">
        <v>96</v>
      </c>
      <c r="M999" s="10">
        <v>52</v>
      </c>
      <c r="N999" s="10">
        <v>10608</v>
      </c>
      <c r="O999" s="10">
        <v>4078</v>
      </c>
      <c r="P999" s="10">
        <v>14686</v>
      </c>
    </row>
    <row r="1000" spans="1:16" ht="27" customHeight="1" x14ac:dyDescent="0.2">
      <c r="A1000" s="9" t="s">
        <v>3646</v>
      </c>
      <c r="B1000" s="10" t="s">
        <v>3655</v>
      </c>
      <c r="C1000" s="11" t="s">
        <v>18</v>
      </c>
      <c r="D1000" s="11" t="s">
        <v>19</v>
      </c>
      <c r="E1000" s="11" t="s">
        <v>19</v>
      </c>
      <c r="F1000" s="11" t="s">
        <v>3656</v>
      </c>
      <c r="G1000" s="11" t="s">
        <v>83</v>
      </c>
      <c r="H1000" s="11" t="s">
        <v>3657</v>
      </c>
      <c r="I1000" s="11" t="s">
        <v>3658</v>
      </c>
      <c r="J1000" s="12">
        <v>0.66669999999999996</v>
      </c>
      <c r="K1000" s="13">
        <v>7</v>
      </c>
      <c r="L1000" s="14">
        <v>832</v>
      </c>
      <c r="M1000" s="10">
        <v>542</v>
      </c>
      <c r="N1000" s="10">
        <v>91938</v>
      </c>
      <c r="O1000" s="10">
        <v>42503</v>
      </c>
      <c r="P1000" s="10">
        <v>134441</v>
      </c>
    </row>
    <row r="1001" spans="1:16" ht="27" customHeight="1" x14ac:dyDescent="0.2">
      <c r="A1001" s="9" t="s">
        <v>3646</v>
      </c>
      <c r="B1001" s="10" t="s">
        <v>3659</v>
      </c>
      <c r="C1001" s="11" t="s">
        <v>18</v>
      </c>
      <c r="D1001" s="11" t="s">
        <v>19</v>
      </c>
      <c r="E1001" s="11" t="s">
        <v>19</v>
      </c>
      <c r="F1001" s="11" t="s">
        <v>3660</v>
      </c>
      <c r="G1001" s="11" t="s">
        <v>83</v>
      </c>
      <c r="H1001" s="11" t="s">
        <v>3649</v>
      </c>
      <c r="I1001" s="11" t="s">
        <v>3650</v>
      </c>
      <c r="J1001" s="12">
        <v>0.79749999999999999</v>
      </c>
      <c r="K1001" s="13">
        <v>4</v>
      </c>
      <c r="L1001" s="14">
        <v>411</v>
      </c>
      <c r="M1001" s="10">
        <v>334</v>
      </c>
      <c r="N1001" s="10">
        <v>45416</v>
      </c>
      <c r="O1001" s="10">
        <v>26192</v>
      </c>
      <c r="P1001" s="10">
        <v>71608</v>
      </c>
    </row>
    <row r="1002" spans="1:16" ht="27" customHeight="1" x14ac:dyDescent="0.2">
      <c r="A1002" s="9" t="s">
        <v>3661</v>
      </c>
      <c r="B1002" s="10" t="s">
        <v>3662</v>
      </c>
      <c r="C1002" s="11" t="s">
        <v>18</v>
      </c>
      <c r="D1002" s="11" t="s">
        <v>19</v>
      </c>
      <c r="E1002" s="11" t="s">
        <v>19</v>
      </c>
      <c r="F1002" s="11" t="s">
        <v>3663</v>
      </c>
      <c r="G1002" s="11" t="s">
        <v>21</v>
      </c>
      <c r="H1002" s="11" t="s">
        <v>3664</v>
      </c>
      <c r="I1002" s="11" t="s">
        <v>3665</v>
      </c>
      <c r="J1002" s="12">
        <v>0.51039999999999996</v>
      </c>
      <c r="K1002" s="13">
        <v>5</v>
      </c>
      <c r="L1002" s="14">
        <v>70</v>
      </c>
      <c r="M1002" s="10">
        <v>40</v>
      </c>
      <c r="N1002" s="10">
        <v>7736</v>
      </c>
      <c r="O1002" s="10">
        <v>3136</v>
      </c>
      <c r="P1002" s="10">
        <v>10872</v>
      </c>
    </row>
    <row r="1003" spans="1:16" ht="27" customHeight="1" x14ac:dyDescent="0.2">
      <c r="A1003" s="9" t="s">
        <v>3661</v>
      </c>
      <c r="B1003" s="10" t="s">
        <v>3662</v>
      </c>
      <c r="C1003" s="11" t="s">
        <v>3666</v>
      </c>
      <c r="D1003" s="11" t="s">
        <v>3667</v>
      </c>
      <c r="E1003" s="11" t="s">
        <v>57</v>
      </c>
      <c r="F1003" s="11" t="s">
        <v>3668</v>
      </c>
      <c r="G1003" s="11" t="s">
        <v>28</v>
      </c>
      <c r="H1003" s="11" t="s">
        <v>3664</v>
      </c>
      <c r="I1003" s="11" t="s">
        <v>3665</v>
      </c>
      <c r="J1003" s="12">
        <v>0.51039999999999996</v>
      </c>
      <c r="K1003" s="13">
        <v>1</v>
      </c>
      <c r="L1003" s="14">
        <v>183</v>
      </c>
      <c r="M1003" s="10">
        <v>179</v>
      </c>
      <c r="N1003" s="10">
        <v>20222</v>
      </c>
      <c r="O1003" s="10">
        <v>14037</v>
      </c>
      <c r="P1003" s="10">
        <v>34259</v>
      </c>
    </row>
    <row r="1004" spans="1:16" ht="27" customHeight="1" x14ac:dyDescent="0.2">
      <c r="A1004" s="9" t="s">
        <v>3661</v>
      </c>
      <c r="B1004" s="10" t="s">
        <v>3669</v>
      </c>
      <c r="C1004" s="11" t="s">
        <v>18</v>
      </c>
      <c r="D1004" s="11" t="s">
        <v>19</v>
      </c>
      <c r="E1004" s="11" t="s">
        <v>19</v>
      </c>
      <c r="F1004" s="11" t="s">
        <v>3670</v>
      </c>
      <c r="G1004" s="11" t="s">
        <v>83</v>
      </c>
      <c r="H1004" s="11" t="s">
        <v>1963</v>
      </c>
      <c r="I1004" s="11" t="s">
        <v>3671</v>
      </c>
      <c r="J1004" s="12">
        <v>0.48759999999999998</v>
      </c>
      <c r="K1004" s="13">
        <v>7</v>
      </c>
      <c r="L1004" s="14">
        <v>395</v>
      </c>
      <c r="M1004" s="10">
        <v>165</v>
      </c>
      <c r="N1004" s="10">
        <v>43649</v>
      </c>
      <c r="O1004" s="10">
        <v>12939</v>
      </c>
      <c r="P1004" s="10">
        <v>56588</v>
      </c>
    </row>
    <row r="1005" spans="1:16" ht="27" customHeight="1" x14ac:dyDescent="0.2">
      <c r="A1005" s="9" t="s">
        <v>3661</v>
      </c>
      <c r="B1005" s="10" t="s">
        <v>3672</v>
      </c>
      <c r="C1005" s="11" t="s">
        <v>18</v>
      </c>
      <c r="D1005" s="11" t="s">
        <v>19</v>
      </c>
      <c r="E1005" s="11" t="s">
        <v>19</v>
      </c>
      <c r="F1005" s="11" t="s">
        <v>3673</v>
      </c>
      <c r="G1005" s="11" t="s">
        <v>83</v>
      </c>
      <c r="H1005" s="11" t="s">
        <v>3664</v>
      </c>
      <c r="I1005" s="11" t="s">
        <v>3665</v>
      </c>
      <c r="J1005" s="12">
        <v>0.51039999999999996</v>
      </c>
      <c r="K1005" s="13">
        <v>5</v>
      </c>
      <c r="L1005" s="14">
        <v>1118</v>
      </c>
      <c r="M1005" s="10">
        <v>619</v>
      </c>
      <c r="N1005" s="10">
        <v>123541</v>
      </c>
      <c r="O1005" s="10">
        <v>48541</v>
      </c>
      <c r="P1005" s="10">
        <v>172082</v>
      </c>
    </row>
    <row r="1006" spans="1:16" ht="27" customHeight="1" x14ac:dyDescent="0.2">
      <c r="A1006" s="9" t="s">
        <v>3674</v>
      </c>
      <c r="B1006" s="10" t="s">
        <v>3675</v>
      </c>
      <c r="C1006" s="11" t="s">
        <v>18</v>
      </c>
      <c r="D1006" s="11" t="s">
        <v>19</v>
      </c>
      <c r="E1006" s="11" t="s">
        <v>19</v>
      </c>
      <c r="F1006" s="11" t="s">
        <v>3676</v>
      </c>
      <c r="G1006" s="11" t="s">
        <v>21</v>
      </c>
      <c r="H1006" s="11" t="s">
        <v>3677</v>
      </c>
      <c r="I1006" s="11" t="s">
        <v>3678</v>
      </c>
      <c r="J1006" s="12">
        <v>0.98270000000000002</v>
      </c>
      <c r="K1006" s="13">
        <v>4</v>
      </c>
      <c r="L1006" s="14">
        <v>818</v>
      </c>
      <c r="M1006" s="10">
        <v>650</v>
      </c>
      <c r="N1006" s="10">
        <v>90391</v>
      </c>
      <c r="O1006" s="10">
        <v>50972</v>
      </c>
      <c r="P1006" s="10">
        <v>141363</v>
      </c>
    </row>
    <row r="1007" spans="1:16" ht="27" customHeight="1" x14ac:dyDescent="0.2">
      <c r="A1007" s="9" t="s">
        <v>3674</v>
      </c>
      <c r="B1007" s="10" t="s">
        <v>3675</v>
      </c>
      <c r="C1007" s="11" t="s">
        <v>3679</v>
      </c>
      <c r="D1007" s="11" t="s">
        <v>3680</v>
      </c>
      <c r="E1007" s="11" t="s">
        <v>26</v>
      </c>
      <c r="F1007" s="11" t="s">
        <v>3681</v>
      </c>
      <c r="G1007" s="11" t="s">
        <v>28</v>
      </c>
      <c r="H1007" s="11" t="s">
        <v>3681</v>
      </c>
      <c r="I1007" s="11" t="s">
        <v>3682</v>
      </c>
      <c r="J1007" s="12">
        <v>0.18140000000000001</v>
      </c>
      <c r="K1007" s="13">
        <v>1</v>
      </c>
      <c r="L1007" s="14">
        <v>474</v>
      </c>
      <c r="M1007" s="10">
        <v>86</v>
      </c>
      <c r="N1007" s="10">
        <v>52378</v>
      </c>
      <c r="O1007" s="10">
        <v>6744</v>
      </c>
      <c r="P1007" s="10">
        <v>59122</v>
      </c>
    </row>
    <row r="1008" spans="1:16" ht="27" customHeight="1" x14ac:dyDescent="0.2">
      <c r="A1008" s="9" t="s">
        <v>3674</v>
      </c>
      <c r="B1008" s="10" t="s">
        <v>3675</v>
      </c>
      <c r="C1008" s="11" t="s">
        <v>3683</v>
      </c>
      <c r="D1008" s="11" t="s">
        <v>3684</v>
      </c>
      <c r="E1008" s="11" t="s">
        <v>57</v>
      </c>
      <c r="F1008" s="11" t="s">
        <v>3685</v>
      </c>
      <c r="G1008" s="11" t="s">
        <v>28</v>
      </c>
      <c r="H1008" s="11" t="s">
        <v>3677</v>
      </c>
      <c r="I1008" s="11" t="s">
        <v>3678</v>
      </c>
      <c r="J1008" s="12">
        <v>0.98270000000000002</v>
      </c>
      <c r="K1008" s="13">
        <v>1</v>
      </c>
      <c r="L1008" s="14">
        <v>55</v>
      </c>
      <c r="M1008" s="10">
        <v>54</v>
      </c>
      <c r="N1008" s="10">
        <v>6078</v>
      </c>
      <c r="O1008" s="10">
        <v>4235</v>
      </c>
      <c r="P1008" s="10">
        <v>10313</v>
      </c>
    </row>
    <row r="1009" spans="1:16" ht="27" customHeight="1" x14ac:dyDescent="0.2">
      <c r="A1009" s="9" t="s">
        <v>3674</v>
      </c>
      <c r="B1009" s="10" t="s">
        <v>3675</v>
      </c>
      <c r="C1009" s="11" t="s">
        <v>3686</v>
      </c>
      <c r="D1009" s="11" t="s">
        <v>3687</v>
      </c>
      <c r="E1009" s="11" t="s">
        <v>26</v>
      </c>
      <c r="F1009" s="11" t="s">
        <v>3688</v>
      </c>
      <c r="G1009" s="11" t="s">
        <v>28</v>
      </c>
      <c r="H1009" s="11" t="s">
        <v>3688</v>
      </c>
      <c r="I1009" s="11" t="s">
        <v>3689</v>
      </c>
      <c r="J1009" s="12">
        <v>0.46510000000000001</v>
      </c>
      <c r="K1009" s="13">
        <v>1</v>
      </c>
      <c r="L1009" s="14">
        <v>501</v>
      </c>
      <c r="M1009" s="10">
        <v>233</v>
      </c>
      <c r="N1009" s="10">
        <v>55361</v>
      </c>
      <c r="O1009" s="10">
        <v>18272</v>
      </c>
      <c r="P1009" s="10">
        <v>73633</v>
      </c>
    </row>
    <row r="1010" spans="1:16" ht="27" customHeight="1" x14ac:dyDescent="0.2">
      <c r="A1010" s="9" t="s">
        <v>3674</v>
      </c>
      <c r="B1010" s="10" t="s">
        <v>3675</v>
      </c>
      <c r="C1010" s="11" t="s">
        <v>3690</v>
      </c>
      <c r="D1010" s="11" t="s">
        <v>3691</v>
      </c>
      <c r="E1010" s="11" t="s">
        <v>57</v>
      </c>
      <c r="F1010" s="11" t="s">
        <v>3692</v>
      </c>
      <c r="G1010" s="11" t="s">
        <v>28</v>
      </c>
      <c r="H1010" s="11" t="s">
        <v>3692</v>
      </c>
      <c r="I1010" s="11" t="s">
        <v>3693</v>
      </c>
      <c r="J1010" s="12">
        <v>0.64729999999999999</v>
      </c>
      <c r="K1010" s="13">
        <v>1</v>
      </c>
      <c r="L1010" s="14">
        <v>241</v>
      </c>
      <c r="M1010" s="10">
        <v>156</v>
      </c>
      <c r="N1010" s="10">
        <v>26631</v>
      </c>
      <c r="O1010" s="10">
        <v>12233</v>
      </c>
      <c r="P1010" s="10">
        <v>38864</v>
      </c>
    </row>
    <row r="1011" spans="1:16" ht="27" customHeight="1" x14ac:dyDescent="0.2">
      <c r="A1011" s="9" t="s">
        <v>3674</v>
      </c>
      <c r="B1011" s="10" t="s">
        <v>3675</v>
      </c>
      <c r="C1011" s="11" t="s">
        <v>3694</v>
      </c>
      <c r="D1011" s="11" t="s">
        <v>3695</v>
      </c>
      <c r="E1011" s="11" t="s">
        <v>26</v>
      </c>
      <c r="F1011" s="11" t="s">
        <v>3696</v>
      </c>
      <c r="G1011" s="11" t="s">
        <v>28</v>
      </c>
      <c r="H1011" s="11" t="s">
        <v>3696</v>
      </c>
      <c r="I1011" s="11" t="s">
        <v>3697</v>
      </c>
      <c r="J1011" s="12">
        <v>0.5</v>
      </c>
      <c r="K1011" s="13">
        <v>1</v>
      </c>
      <c r="L1011" s="14">
        <v>162</v>
      </c>
      <c r="M1011" s="10">
        <v>81</v>
      </c>
      <c r="N1011" s="10">
        <v>17901</v>
      </c>
      <c r="O1011" s="10">
        <v>6352</v>
      </c>
      <c r="P1011" s="10">
        <v>24253</v>
      </c>
    </row>
    <row r="1012" spans="1:16" ht="27" customHeight="1" x14ac:dyDescent="0.2">
      <c r="A1012" s="9" t="s">
        <v>3674</v>
      </c>
      <c r="B1012" s="10" t="s">
        <v>3698</v>
      </c>
      <c r="C1012" s="11" t="s">
        <v>18</v>
      </c>
      <c r="D1012" s="11" t="s">
        <v>19</v>
      </c>
      <c r="E1012" s="11" t="s">
        <v>19</v>
      </c>
      <c r="F1012" s="11" t="s">
        <v>3699</v>
      </c>
      <c r="G1012" s="11" t="s">
        <v>83</v>
      </c>
      <c r="H1012" s="11" t="s">
        <v>3677</v>
      </c>
      <c r="I1012" s="11" t="s">
        <v>3678</v>
      </c>
      <c r="J1012" s="12">
        <v>0.98270000000000002</v>
      </c>
      <c r="K1012" s="13">
        <v>14</v>
      </c>
      <c r="L1012" s="14">
        <v>7706</v>
      </c>
      <c r="M1012" s="10">
        <v>6988</v>
      </c>
      <c r="N1012" s="10">
        <v>851525</v>
      </c>
      <c r="O1012" s="10">
        <v>547991</v>
      </c>
      <c r="P1012" s="10">
        <v>1399516</v>
      </c>
    </row>
    <row r="1013" spans="1:16" ht="27" customHeight="1" x14ac:dyDescent="0.2">
      <c r="A1013" s="9" t="s">
        <v>3674</v>
      </c>
      <c r="B1013" s="10" t="s">
        <v>3700</v>
      </c>
      <c r="C1013" s="11" t="s">
        <v>18</v>
      </c>
      <c r="D1013" s="11" t="s">
        <v>19</v>
      </c>
      <c r="E1013" s="11" t="s">
        <v>19</v>
      </c>
      <c r="F1013" s="11" t="s">
        <v>3701</v>
      </c>
      <c r="G1013" s="11" t="s">
        <v>83</v>
      </c>
      <c r="H1013" s="11" t="s">
        <v>3702</v>
      </c>
      <c r="I1013" s="11" t="s">
        <v>3703</v>
      </c>
      <c r="J1013" s="12">
        <v>0.2162</v>
      </c>
      <c r="K1013" s="13">
        <v>2</v>
      </c>
      <c r="L1013" s="14">
        <v>37</v>
      </c>
      <c r="M1013" s="10">
        <v>8</v>
      </c>
      <c r="N1013" s="10">
        <v>4089</v>
      </c>
      <c r="O1013" s="10">
        <v>627</v>
      </c>
      <c r="P1013" s="10">
        <v>4716</v>
      </c>
    </row>
    <row r="1014" spans="1:16" ht="27" customHeight="1" x14ac:dyDescent="0.2">
      <c r="A1014" s="9" t="s">
        <v>3674</v>
      </c>
      <c r="B1014" s="10" t="s">
        <v>3704</v>
      </c>
      <c r="C1014" s="11" t="s">
        <v>18</v>
      </c>
      <c r="D1014" s="11" t="s">
        <v>19</v>
      </c>
      <c r="E1014" s="11" t="s">
        <v>19</v>
      </c>
      <c r="F1014" s="11" t="s">
        <v>3705</v>
      </c>
      <c r="G1014" s="11" t="s">
        <v>83</v>
      </c>
      <c r="H1014" s="11" t="s">
        <v>3706</v>
      </c>
      <c r="I1014" s="11" t="s">
        <v>3707</v>
      </c>
      <c r="J1014" s="12">
        <v>0.66669999999999996</v>
      </c>
      <c r="K1014" s="13">
        <v>10</v>
      </c>
      <c r="L1014" s="14">
        <v>2307</v>
      </c>
      <c r="M1014" s="10">
        <v>419</v>
      </c>
      <c r="N1014" s="10">
        <v>254928</v>
      </c>
      <c r="O1014" s="10">
        <v>32858</v>
      </c>
      <c r="P1014" s="10">
        <v>287786</v>
      </c>
    </row>
    <row r="1015" spans="1:16" ht="27" customHeight="1" x14ac:dyDescent="0.2">
      <c r="A1015" s="9" t="s">
        <v>3674</v>
      </c>
      <c r="B1015" s="10" t="s">
        <v>3708</v>
      </c>
      <c r="C1015" s="11" t="s">
        <v>18</v>
      </c>
      <c r="D1015" s="11" t="s">
        <v>19</v>
      </c>
      <c r="E1015" s="11" t="s">
        <v>19</v>
      </c>
      <c r="F1015" s="11" t="s">
        <v>3709</v>
      </c>
      <c r="G1015" s="11" t="s">
        <v>83</v>
      </c>
      <c r="H1015" s="11" t="s">
        <v>3710</v>
      </c>
      <c r="I1015" s="11" t="s">
        <v>3711</v>
      </c>
      <c r="J1015" s="12">
        <v>0.90649999999999997</v>
      </c>
      <c r="K1015" s="13">
        <v>2</v>
      </c>
      <c r="L1015" s="14">
        <v>279</v>
      </c>
      <c r="M1015" s="10">
        <v>253</v>
      </c>
      <c r="N1015" s="10">
        <v>30830</v>
      </c>
      <c r="O1015" s="10">
        <v>19840</v>
      </c>
      <c r="P1015" s="10">
        <v>50670</v>
      </c>
    </row>
    <row r="1016" spans="1:16" ht="27" customHeight="1" x14ac:dyDescent="0.2">
      <c r="A1016" s="9" t="s">
        <v>3674</v>
      </c>
      <c r="B1016" s="10" t="s">
        <v>3712</v>
      </c>
      <c r="C1016" s="11" t="s">
        <v>18</v>
      </c>
      <c r="D1016" s="11" t="s">
        <v>19</v>
      </c>
      <c r="E1016" s="11" t="s">
        <v>19</v>
      </c>
      <c r="F1016" s="11" t="s">
        <v>3713</v>
      </c>
      <c r="G1016" s="11" t="s">
        <v>83</v>
      </c>
      <c r="H1016" s="11" t="s">
        <v>3713</v>
      </c>
      <c r="I1016" s="11" t="s">
        <v>3714</v>
      </c>
      <c r="J1016" s="12">
        <v>0.2581</v>
      </c>
      <c r="K1016" s="13">
        <v>2</v>
      </c>
      <c r="L1016" s="14">
        <v>31</v>
      </c>
      <c r="M1016" s="10">
        <v>8</v>
      </c>
      <c r="N1016" s="10">
        <v>3426</v>
      </c>
      <c r="O1016" s="10">
        <v>627</v>
      </c>
      <c r="P1016" s="10">
        <v>4053</v>
      </c>
    </row>
    <row r="1017" spans="1:16" ht="27" customHeight="1" x14ac:dyDescent="0.2">
      <c r="A1017" s="9" t="s">
        <v>3674</v>
      </c>
      <c r="B1017" s="10" t="s">
        <v>3715</v>
      </c>
      <c r="C1017" s="11" t="s">
        <v>18</v>
      </c>
      <c r="D1017" s="11" t="s">
        <v>19</v>
      </c>
      <c r="E1017" s="11" t="s">
        <v>19</v>
      </c>
      <c r="F1017" s="11" t="s">
        <v>3716</v>
      </c>
      <c r="G1017" s="11" t="s">
        <v>83</v>
      </c>
      <c r="H1017" s="11" t="s">
        <v>3717</v>
      </c>
      <c r="I1017" s="11" t="s">
        <v>3718</v>
      </c>
      <c r="J1017" s="12">
        <v>0.83120000000000005</v>
      </c>
      <c r="K1017" s="13">
        <v>6</v>
      </c>
      <c r="L1017" s="14">
        <v>3425</v>
      </c>
      <c r="M1017" s="10">
        <v>2694</v>
      </c>
      <c r="N1017" s="10">
        <v>378468</v>
      </c>
      <c r="O1017" s="10">
        <v>211261</v>
      </c>
      <c r="P1017" s="10">
        <v>589729</v>
      </c>
    </row>
    <row r="1018" spans="1:16" ht="27" customHeight="1" x14ac:dyDescent="0.2">
      <c r="A1018" s="9" t="s">
        <v>3674</v>
      </c>
      <c r="B1018" s="10" t="s">
        <v>3719</v>
      </c>
      <c r="C1018" s="11" t="s">
        <v>18</v>
      </c>
      <c r="D1018" s="11" t="s">
        <v>19</v>
      </c>
      <c r="E1018" s="11" t="s">
        <v>19</v>
      </c>
      <c r="F1018" s="11" t="s">
        <v>3720</v>
      </c>
      <c r="G1018" s="11" t="s">
        <v>83</v>
      </c>
      <c r="H1018" s="11" t="s">
        <v>3721</v>
      </c>
      <c r="I1018" s="11" t="s">
        <v>3722</v>
      </c>
      <c r="J1018" s="12">
        <v>0.89980000000000004</v>
      </c>
      <c r="K1018" s="13">
        <v>7</v>
      </c>
      <c r="L1018" s="14">
        <v>2657</v>
      </c>
      <c r="M1018" s="10">
        <v>2352</v>
      </c>
      <c r="N1018" s="10">
        <v>293603</v>
      </c>
      <c r="O1018" s="10">
        <v>184441</v>
      </c>
      <c r="P1018" s="10">
        <v>478044</v>
      </c>
    </row>
    <row r="1019" spans="1:16" ht="27" customHeight="1" x14ac:dyDescent="0.2">
      <c r="A1019" s="9" t="s">
        <v>3674</v>
      </c>
      <c r="B1019" s="10" t="s">
        <v>3723</v>
      </c>
      <c r="C1019" s="11" t="s">
        <v>18</v>
      </c>
      <c r="D1019" s="11" t="s">
        <v>19</v>
      </c>
      <c r="E1019" s="11" t="s">
        <v>19</v>
      </c>
      <c r="F1019" s="11" t="s">
        <v>3724</v>
      </c>
      <c r="G1019" s="11" t="s">
        <v>83</v>
      </c>
      <c r="H1019" s="11" t="s">
        <v>3677</v>
      </c>
      <c r="I1019" s="11" t="s">
        <v>3678</v>
      </c>
      <c r="J1019" s="12">
        <v>0.98270000000000002</v>
      </c>
      <c r="K1019" s="13">
        <v>5</v>
      </c>
      <c r="L1019" s="14">
        <v>2761</v>
      </c>
      <c r="M1019" s="10">
        <v>2334</v>
      </c>
      <c r="N1019" s="10">
        <v>305096</v>
      </c>
      <c r="O1019" s="10">
        <v>183030</v>
      </c>
      <c r="P1019" s="10">
        <v>488126</v>
      </c>
    </row>
    <row r="1020" spans="1:16" ht="27" customHeight="1" x14ac:dyDescent="0.2">
      <c r="A1020" s="9" t="s">
        <v>3674</v>
      </c>
      <c r="B1020" s="10" t="s">
        <v>3725</v>
      </c>
      <c r="C1020" s="11" t="s">
        <v>18</v>
      </c>
      <c r="D1020" s="11" t="s">
        <v>19</v>
      </c>
      <c r="E1020" s="11" t="s">
        <v>19</v>
      </c>
      <c r="F1020" s="11" t="s">
        <v>3726</v>
      </c>
      <c r="G1020" s="11" t="s">
        <v>83</v>
      </c>
      <c r="H1020" s="11" t="s">
        <v>3726</v>
      </c>
      <c r="I1020" s="11" t="s">
        <v>3727</v>
      </c>
      <c r="J1020" s="12">
        <v>0.15790000000000001</v>
      </c>
      <c r="K1020" s="13">
        <v>2</v>
      </c>
      <c r="L1020" s="14">
        <v>76</v>
      </c>
      <c r="M1020" s="10">
        <v>12</v>
      </c>
      <c r="N1020" s="10">
        <v>8398</v>
      </c>
      <c r="O1020" s="10">
        <v>941</v>
      </c>
      <c r="P1020" s="10">
        <v>9339</v>
      </c>
    </row>
    <row r="1021" spans="1:16" ht="27" customHeight="1" x14ac:dyDescent="0.2">
      <c r="A1021" s="9" t="s">
        <v>3674</v>
      </c>
      <c r="B1021" s="10" t="s">
        <v>3728</v>
      </c>
      <c r="C1021" s="11" t="s">
        <v>18</v>
      </c>
      <c r="D1021" s="11" t="s">
        <v>19</v>
      </c>
      <c r="E1021" s="11" t="s">
        <v>19</v>
      </c>
      <c r="F1021" s="11" t="s">
        <v>3729</v>
      </c>
      <c r="G1021" s="11" t="s">
        <v>83</v>
      </c>
      <c r="H1021" s="11" t="s">
        <v>3730</v>
      </c>
      <c r="I1021" s="11" t="s">
        <v>3731</v>
      </c>
      <c r="J1021" s="12">
        <v>0.1721</v>
      </c>
      <c r="K1021" s="13">
        <v>2</v>
      </c>
      <c r="L1021" s="14">
        <v>122</v>
      </c>
      <c r="M1021" s="10">
        <v>21</v>
      </c>
      <c r="N1021" s="10">
        <v>13481</v>
      </c>
      <c r="O1021" s="10">
        <v>1647</v>
      </c>
      <c r="P1021" s="10">
        <v>15128</v>
      </c>
    </row>
    <row r="1022" spans="1:16" ht="27" customHeight="1" x14ac:dyDescent="0.2">
      <c r="A1022" s="9" t="s">
        <v>3674</v>
      </c>
      <c r="B1022" s="10" t="s">
        <v>3732</v>
      </c>
      <c r="C1022" s="11" t="s">
        <v>18</v>
      </c>
      <c r="D1022" s="11" t="s">
        <v>19</v>
      </c>
      <c r="E1022" s="11" t="s">
        <v>19</v>
      </c>
      <c r="F1022" s="11" t="s">
        <v>3733</v>
      </c>
      <c r="G1022" s="11" t="s">
        <v>83</v>
      </c>
      <c r="H1022" s="11" t="s">
        <v>3734</v>
      </c>
      <c r="I1022" s="11" t="s">
        <v>3735</v>
      </c>
      <c r="J1022" s="12">
        <v>0.91200000000000003</v>
      </c>
      <c r="K1022" s="13">
        <v>21</v>
      </c>
      <c r="L1022" s="14">
        <v>9478</v>
      </c>
      <c r="M1022" s="10">
        <v>6265</v>
      </c>
      <c r="N1022" s="10">
        <v>1047336</v>
      </c>
      <c r="O1022" s="10">
        <v>491295</v>
      </c>
      <c r="P1022" s="10">
        <v>1538631</v>
      </c>
    </row>
    <row r="1023" spans="1:16" ht="27" customHeight="1" x14ac:dyDescent="0.2">
      <c r="A1023" s="9" t="s">
        <v>3674</v>
      </c>
      <c r="B1023" s="10" t="s">
        <v>3732</v>
      </c>
      <c r="C1023" s="11" t="s">
        <v>3736</v>
      </c>
      <c r="D1023" s="11" t="s">
        <v>3737</v>
      </c>
      <c r="E1023" s="11" t="s">
        <v>26</v>
      </c>
      <c r="F1023" s="11" t="s">
        <v>3738</v>
      </c>
      <c r="G1023" s="11" t="s">
        <v>28</v>
      </c>
      <c r="H1023" s="11" t="s">
        <v>3677</v>
      </c>
      <c r="I1023" s="11" t="s">
        <v>3678</v>
      </c>
      <c r="J1023" s="12">
        <v>0.98270000000000002</v>
      </c>
      <c r="K1023" s="13">
        <v>1</v>
      </c>
      <c r="L1023" s="14">
        <v>128</v>
      </c>
      <c r="M1023" s="10">
        <v>58</v>
      </c>
      <c r="N1023" s="10">
        <v>14144</v>
      </c>
      <c r="O1023" s="10">
        <v>4548</v>
      </c>
      <c r="P1023" s="10">
        <v>18692</v>
      </c>
    </row>
    <row r="1024" spans="1:16" ht="27" customHeight="1" x14ac:dyDescent="0.2">
      <c r="A1024" s="9" t="s">
        <v>3674</v>
      </c>
      <c r="B1024" s="10" t="s">
        <v>3732</v>
      </c>
      <c r="C1024" s="11" t="s">
        <v>3739</v>
      </c>
      <c r="D1024" s="11" t="s">
        <v>3740</v>
      </c>
      <c r="E1024" s="11" t="s">
        <v>26</v>
      </c>
      <c r="F1024" s="11" t="s">
        <v>3741</v>
      </c>
      <c r="G1024" s="11" t="s">
        <v>28</v>
      </c>
      <c r="H1024" s="11" t="s">
        <v>3741</v>
      </c>
      <c r="I1024" s="11" t="s">
        <v>3742</v>
      </c>
      <c r="J1024" s="12">
        <v>0.316</v>
      </c>
      <c r="K1024" s="13">
        <v>1</v>
      </c>
      <c r="L1024" s="14">
        <v>424</v>
      </c>
      <c r="M1024" s="10">
        <v>134</v>
      </c>
      <c r="N1024" s="10">
        <v>46853</v>
      </c>
      <c r="O1024" s="10">
        <v>10508</v>
      </c>
      <c r="P1024" s="10">
        <v>57361</v>
      </c>
    </row>
    <row r="1025" spans="1:16" ht="27" customHeight="1" x14ac:dyDescent="0.2">
      <c r="A1025" s="9" t="s">
        <v>3674</v>
      </c>
      <c r="B1025" s="10" t="s">
        <v>3743</v>
      </c>
      <c r="C1025" s="11" t="s">
        <v>18</v>
      </c>
      <c r="D1025" s="11" t="s">
        <v>19</v>
      </c>
      <c r="E1025" s="11" t="s">
        <v>19</v>
      </c>
      <c r="F1025" s="11" t="s">
        <v>3744</v>
      </c>
      <c r="G1025" s="11" t="s">
        <v>83</v>
      </c>
      <c r="H1025" s="11" t="s">
        <v>3745</v>
      </c>
      <c r="I1025" s="11" t="s">
        <v>3746</v>
      </c>
      <c r="J1025" s="12">
        <v>0.1938</v>
      </c>
      <c r="K1025" s="13">
        <v>6</v>
      </c>
      <c r="L1025" s="14">
        <v>1800</v>
      </c>
      <c r="M1025" s="10">
        <v>308</v>
      </c>
      <c r="N1025" s="10">
        <v>198903</v>
      </c>
      <c r="O1025" s="10">
        <v>24153</v>
      </c>
      <c r="P1025" s="10">
        <v>223056</v>
      </c>
    </row>
    <row r="1026" spans="1:16" ht="27" customHeight="1" x14ac:dyDescent="0.2">
      <c r="A1026" s="9" t="s">
        <v>3674</v>
      </c>
      <c r="B1026" s="10" t="s">
        <v>3747</v>
      </c>
      <c r="C1026" s="11" t="s">
        <v>18</v>
      </c>
      <c r="D1026" s="11" t="s">
        <v>19</v>
      </c>
      <c r="E1026" s="11" t="s">
        <v>19</v>
      </c>
      <c r="F1026" s="11" t="s">
        <v>3748</v>
      </c>
      <c r="G1026" s="11" t="s">
        <v>83</v>
      </c>
      <c r="H1026" s="11" t="s">
        <v>3749</v>
      </c>
      <c r="I1026" s="11" t="s">
        <v>3750</v>
      </c>
      <c r="J1026" s="12">
        <v>0.91990000000000005</v>
      </c>
      <c r="K1026" s="13">
        <v>16</v>
      </c>
      <c r="L1026" s="14">
        <v>8516</v>
      </c>
      <c r="M1026" s="10">
        <v>6154</v>
      </c>
      <c r="N1026" s="10">
        <v>941031</v>
      </c>
      <c r="O1026" s="10">
        <v>482590</v>
      </c>
      <c r="P1026" s="10">
        <v>1423621</v>
      </c>
    </row>
    <row r="1027" spans="1:16" ht="27" customHeight="1" x14ac:dyDescent="0.2">
      <c r="A1027" s="9" t="s">
        <v>3674</v>
      </c>
      <c r="B1027" s="10" t="s">
        <v>3751</v>
      </c>
      <c r="C1027" s="11" t="s">
        <v>18</v>
      </c>
      <c r="D1027" s="11" t="s">
        <v>19</v>
      </c>
      <c r="E1027" s="11" t="s">
        <v>19</v>
      </c>
      <c r="F1027" s="11" t="s">
        <v>3752</v>
      </c>
      <c r="G1027" s="11" t="s">
        <v>83</v>
      </c>
      <c r="H1027" s="11" t="s">
        <v>3677</v>
      </c>
      <c r="I1027" s="11" t="s">
        <v>3678</v>
      </c>
      <c r="J1027" s="12">
        <v>0.98270000000000002</v>
      </c>
      <c r="K1027" s="13">
        <v>13</v>
      </c>
      <c r="L1027" s="14">
        <v>16333</v>
      </c>
      <c r="M1027" s="10">
        <v>14803</v>
      </c>
      <c r="N1027" s="10">
        <v>1804824</v>
      </c>
      <c r="O1027" s="10">
        <v>1160837</v>
      </c>
      <c r="P1027" s="10">
        <v>2965661</v>
      </c>
    </row>
    <row r="1028" spans="1:16" ht="27" customHeight="1" x14ac:dyDescent="0.2">
      <c r="A1028" s="9" t="s">
        <v>3674</v>
      </c>
      <c r="B1028" s="10" t="s">
        <v>3753</v>
      </c>
      <c r="C1028" s="11" t="s">
        <v>18</v>
      </c>
      <c r="D1028" s="11" t="s">
        <v>19</v>
      </c>
      <c r="E1028" s="11" t="s">
        <v>19</v>
      </c>
      <c r="F1028" s="11" t="s">
        <v>3754</v>
      </c>
      <c r="G1028" s="11" t="s">
        <v>83</v>
      </c>
      <c r="H1028" s="11" t="s">
        <v>3755</v>
      </c>
      <c r="I1028" s="11" t="s">
        <v>3756</v>
      </c>
      <c r="J1028" s="12">
        <v>0.4672</v>
      </c>
      <c r="K1028" s="13">
        <v>2</v>
      </c>
      <c r="L1028" s="14">
        <v>137</v>
      </c>
      <c r="M1028" s="10">
        <v>64</v>
      </c>
      <c r="N1028" s="10">
        <v>15139</v>
      </c>
      <c r="O1028" s="10">
        <v>5019</v>
      </c>
      <c r="P1028" s="10">
        <v>20158</v>
      </c>
    </row>
    <row r="1029" spans="1:16" ht="27" customHeight="1" x14ac:dyDescent="0.2">
      <c r="A1029" s="9" t="s">
        <v>3674</v>
      </c>
      <c r="B1029" s="10" t="s">
        <v>3757</v>
      </c>
      <c r="C1029" s="11" t="s">
        <v>18</v>
      </c>
      <c r="D1029" s="11" t="s">
        <v>19</v>
      </c>
      <c r="E1029" s="11" t="s">
        <v>19</v>
      </c>
      <c r="F1029" s="11" t="s">
        <v>3758</v>
      </c>
      <c r="G1029" s="11" t="s">
        <v>83</v>
      </c>
      <c r="H1029" s="11" t="s">
        <v>3759</v>
      </c>
      <c r="I1029" s="11" t="s">
        <v>3760</v>
      </c>
      <c r="J1029" s="12">
        <v>0.74680000000000002</v>
      </c>
      <c r="K1029" s="13">
        <v>2</v>
      </c>
      <c r="L1029" s="14">
        <v>79</v>
      </c>
      <c r="M1029" s="10">
        <v>59</v>
      </c>
      <c r="N1029" s="10">
        <v>8730</v>
      </c>
      <c r="O1029" s="10">
        <v>4627</v>
      </c>
      <c r="P1029" s="10">
        <v>13357</v>
      </c>
    </row>
    <row r="1030" spans="1:16" ht="27" customHeight="1" x14ac:dyDescent="0.2">
      <c r="A1030" s="9" t="s">
        <v>3674</v>
      </c>
      <c r="B1030" s="10" t="s">
        <v>3761</v>
      </c>
      <c r="C1030" s="11" t="s">
        <v>18</v>
      </c>
      <c r="D1030" s="11" t="s">
        <v>19</v>
      </c>
      <c r="E1030" s="11" t="s">
        <v>19</v>
      </c>
      <c r="F1030" s="11" t="s">
        <v>3762</v>
      </c>
      <c r="G1030" s="11" t="s">
        <v>83</v>
      </c>
      <c r="H1030" s="11" t="s">
        <v>3763</v>
      </c>
      <c r="I1030" s="11" t="s">
        <v>3764</v>
      </c>
      <c r="J1030" s="12">
        <v>0.95709999999999995</v>
      </c>
      <c r="K1030" s="13">
        <v>2</v>
      </c>
      <c r="L1030" s="14">
        <v>70</v>
      </c>
      <c r="M1030" s="10">
        <v>67</v>
      </c>
      <c r="N1030" s="10">
        <v>7735</v>
      </c>
      <c r="O1030" s="10">
        <v>5254</v>
      </c>
      <c r="P1030" s="10">
        <v>12989</v>
      </c>
    </row>
    <row r="1031" spans="1:16" ht="27" customHeight="1" x14ac:dyDescent="0.2">
      <c r="A1031" s="9" t="s">
        <v>3674</v>
      </c>
      <c r="B1031" s="10" t="s">
        <v>3765</v>
      </c>
      <c r="C1031" s="11" t="s">
        <v>18</v>
      </c>
      <c r="D1031" s="11" t="s">
        <v>19</v>
      </c>
      <c r="E1031" s="11" t="s">
        <v>19</v>
      </c>
      <c r="F1031" s="11" t="s">
        <v>3766</v>
      </c>
      <c r="G1031" s="11" t="s">
        <v>83</v>
      </c>
      <c r="H1031" s="11" t="s">
        <v>3767</v>
      </c>
      <c r="I1031" s="11" t="s">
        <v>3768</v>
      </c>
      <c r="J1031" s="12">
        <v>0.84319999999999995</v>
      </c>
      <c r="K1031" s="13">
        <v>8</v>
      </c>
      <c r="L1031" s="14">
        <v>3315</v>
      </c>
      <c r="M1031" s="10">
        <v>2400</v>
      </c>
      <c r="N1031" s="10">
        <v>366313</v>
      </c>
      <c r="O1031" s="10">
        <v>188205</v>
      </c>
      <c r="P1031" s="10">
        <v>554518</v>
      </c>
    </row>
    <row r="1032" spans="1:16" ht="27" customHeight="1" x14ac:dyDescent="0.2">
      <c r="A1032" s="9" t="s">
        <v>3674</v>
      </c>
      <c r="B1032" s="10" t="s">
        <v>3769</v>
      </c>
      <c r="C1032" s="11" t="s">
        <v>18</v>
      </c>
      <c r="D1032" s="11" t="s">
        <v>19</v>
      </c>
      <c r="E1032" s="11" t="s">
        <v>19</v>
      </c>
      <c r="F1032" s="11" t="s">
        <v>3770</v>
      </c>
      <c r="G1032" s="11" t="s">
        <v>83</v>
      </c>
      <c r="H1032" s="11" t="s">
        <v>3771</v>
      </c>
      <c r="I1032" s="11" t="s">
        <v>3772</v>
      </c>
      <c r="J1032" s="12">
        <v>0.16639999999999999</v>
      </c>
      <c r="K1032" s="13">
        <v>3</v>
      </c>
      <c r="L1032" s="14">
        <v>921</v>
      </c>
      <c r="M1032" s="10">
        <v>146</v>
      </c>
      <c r="N1032" s="10">
        <v>101772</v>
      </c>
      <c r="O1032" s="10">
        <v>11450</v>
      </c>
      <c r="P1032" s="10">
        <v>113222</v>
      </c>
    </row>
    <row r="1033" spans="1:16" ht="27" customHeight="1" x14ac:dyDescent="0.2">
      <c r="A1033" s="9" t="s">
        <v>3674</v>
      </c>
      <c r="B1033" s="10" t="s">
        <v>3773</v>
      </c>
      <c r="C1033" s="11" t="s">
        <v>18</v>
      </c>
      <c r="D1033" s="11" t="s">
        <v>19</v>
      </c>
      <c r="E1033" s="11" t="s">
        <v>19</v>
      </c>
      <c r="F1033" s="11" t="s">
        <v>3774</v>
      </c>
      <c r="G1033" s="11" t="s">
        <v>83</v>
      </c>
      <c r="H1033" s="11" t="s">
        <v>3775</v>
      </c>
      <c r="I1033" s="11" t="s">
        <v>3776</v>
      </c>
      <c r="J1033" s="12">
        <v>0.1118</v>
      </c>
      <c r="K1033" s="13">
        <v>5</v>
      </c>
      <c r="L1033" s="14">
        <v>735</v>
      </c>
      <c r="M1033" s="10">
        <v>96</v>
      </c>
      <c r="N1033" s="10">
        <v>81218</v>
      </c>
      <c r="O1033" s="10">
        <v>7529</v>
      </c>
      <c r="P1033" s="10">
        <v>88747</v>
      </c>
    </row>
    <row r="1034" spans="1:16" ht="27" customHeight="1" x14ac:dyDescent="0.2">
      <c r="A1034" s="9" t="s">
        <v>3674</v>
      </c>
      <c r="B1034" s="10" t="s">
        <v>3777</v>
      </c>
      <c r="C1034" s="11" t="s">
        <v>18</v>
      </c>
      <c r="D1034" s="11" t="s">
        <v>19</v>
      </c>
      <c r="E1034" s="11" t="s">
        <v>19</v>
      </c>
      <c r="F1034" s="11" t="s">
        <v>3778</v>
      </c>
      <c r="G1034" s="11" t="s">
        <v>83</v>
      </c>
      <c r="H1034" s="11" t="s">
        <v>3779</v>
      </c>
      <c r="I1034" s="11" t="s">
        <v>3780</v>
      </c>
      <c r="J1034" s="12">
        <v>0.88870000000000005</v>
      </c>
      <c r="K1034" s="13">
        <v>9</v>
      </c>
      <c r="L1034" s="14">
        <v>4625</v>
      </c>
      <c r="M1034" s="10">
        <v>3696</v>
      </c>
      <c r="N1034" s="10">
        <v>511069</v>
      </c>
      <c r="O1034" s="10">
        <v>289836</v>
      </c>
      <c r="P1034" s="10">
        <v>800905</v>
      </c>
    </row>
    <row r="1035" spans="1:16" ht="27" customHeight="1" x14ac:dyDescent="0.2">
      <c r="A1035" s="9" t="s">
        <v>3674</v>
      </c>
      <c r="B1035" s="10" t="s">
        <v>3781</v>
      </c>
      <c r="C1035" s="11" t="s">
        <v>18</v>
      </c>
      <c r="D1035" s="11" t="s">
        <v>19</v>
      </c>
      <c r="E1035" s="11" t="s">
        <v>19</v>
      </c>
      <c r="F1035" s="11" t="s">
        <v>3782</v>
      </c>
      <c r="G1035" s="11" t="s">
        <v>83</v>
      </c>
      <c r="H1035" s="11" t="s">
        <v>3783</v>
      </c>
      <c r="I1035" s="11" t="s">
        <v>3784</v>
      </c>
      <c r="J1035" s="12">
        <v>0.73680000000000001</v>
      </c>
      <c r="K1035" s="13">
        <v>2</v>
      </c>
      <c r="L1035" s="14">
        <v>19</v>
      </c>
      <c r="M1035" s="10">
        <v>14</v>
      </c>
      <c r="N1035" s="10">
        <v>2100</v>
      </c>
      <c r="O1035" s="10">
        <v>1098</v>
      </c>
      <c r="P1035" s="10">
        <v>3198</v>
      </c>
    </row>
    <row r="1036" spans="1:16" ht="27" customHeight="1" x14ac:dyDescent="0.2">
      <c r="A1036" s="9" t="s">
        <v>3674</v>
      </c>
      <c r="B1036" s="10" t="s">
        <v>3781</v>
      </c>
      <c r="C1036" s="11" t="s">
        <v>3785</v>
      </c>
      <c r="D1036" s="11" t="s">
        <v>3786</v>
      </c>
      <c r="E1036" s="11" t="s">
        <v>26</v>
      </c>
      <c r="F1036" s="11" t="s">
        <v>3787</v>
      </c>
      <c r="G1036" s="11" t="s">
        <v>28</v>
      </c>
      <c r="H1036" s="11" t="s">
        <v>3787</v>
      </c>
      <c r="I1036" s="11" t="s">
        <v>3788</v>
      </c>
      <c r="J1036" s="12">
        <v>0.29409999999999997</v>
      </c>
      <c r="K1036" s="13">
        <v>1</v>
      </c>
      <c r="L1036" s="14">
        <v>85</v>
      </c>
      <c r="M1036" s="10">
        <v>25</v>
      </c>
      <c r="N1036" s="10">
        <v>9393</v>
      </c>
      <c r="O1036" s="10">
        <v>1960</v>
      </c>
      <c r="P1036" s="10">
        <v>11353</v>
      </c>
    </row>
    <row r="1037" spans="1:16" ht="27" customHeight="1" x14ac:dyDescent="0.2">
      <c r="A1037" s="9" t="s">
        <v>3674</v>
      </c>
      <c r="B1037" s="10" t="s">
        <v>3789</v>
      </c>
      <c r="C1037" s="11" t="s">
        <v>18</v>
      </c>
      <c r="D1037" s="11" t="s">
        <v>19</v>
      </c>
      <c r="E1037" s="11" t="s">
        <v>19</v>
      </c>
      <c r="F1037" s="11" t="s">
        <v>3790</v>
      </c>
      <c r="G1037" s="11" t="s">
        <v>83</v>
      </c>
      <c r="H1037" s="11" t="s">
        <v>3791</v>
      </c>
      <c r="I1037" s="11" t="s">
        <v>3792</v>
      </c>
      <c r="J1037" s="12">
        <v>0.86650000000000005</v>
      </c>
      <c r="K1037" s="13">
        <v>12</v>
      </c>
      <c r="L1037" s="14">
        <v>4874</v>
      </c>
      <c r="M1037" s="10">
        <v>3747</v>
      </c>
      <c r="N1037" s="10">
        <v>538587</v>
      </c>
      <c r="O1037" s="10">
        <v>293837</v>
      </c>
      <c r="P1037" s="10">
        <v>832424</v>
      </c>
    </row>
    <row r="1038" spans="1:16" ht="27" customHeight="1" x14ac:dyDescent="0.2">
      <c r="A1038" s="9" t="s">
        <v>3674</v>
      </c>
      <c r="B1038" s="10" t="s">
        <v>3793</v>
      </c>
      <c r="C1038" s="11" t="s">
        <v>18</v>
      </c>
      <c r="D1038" s="11" t="s">
        <v>19</v>
      </c>
      <c r="E1038" s="11" t="s">
        <v>19</v>
      </c>
      <c r="F1038" s="11" t="s">
        <v>3794</v>
      </c>
      <c r="G1038" s="11" t="s">
        <v>83</v>
      </c>
      <c r="H1038" s="11" t="s">
        <v>3795</v>
      </c>
      <c r="I1038" s="11" t="s">
        <v>3796</v>
      </c>
      <c r="J1038" s="12">
        <v>0.81669999999999998</v>
      </c>
      <c r="K1038" s="13">
        <v>4</v>
      </c>
      <c r="L1038" s="14">
        <v>2153</v>
      </c>
      <c r="M1038" s="10">
        <v>1902</v>
      </c>
      <c r="N1038" s="10">
        <v>237910</v>
      </c>
      <c r="O1038" s="10">
        <v>149152</v>
      </c>
      <c r="P1038" s="10">
        <v>387062</v>
      </c>
    </row>
    <row r="1039" spans="1:16" ht="27" customHeight="1" x14ac:dyDescent="0.2">
      <c r="A1039" s="9" t="s">
        <v>3797</v>
      </c>
      <c r="B1039" s="10" t="s">
        <v>3798</v>
      </c>
      <c r="C1039" s="11" t="s">
        <v>18</v>
      </c>
      <c r="D1039" s="11" t="s">
        <v>19</v>
      </c>
      <c r="E1039" s="11" t="s">
        <v>19</v>
      </c>
      <c r="F1039" s="11" t="s">
        <v>3799</v>
      </c>
      <c r="G1039" s="11" t="s">
        <v>21</v>
      </c>
      <c r="H1039" s="11" t="s">
        <v>3800</v>
      </c>
      <c r="I1039" s="11" t="s">
        <v>3801</v>
      </c>
      <c r="J1039" s="12">
        <v>0.9083</v>
      </c>
      <c r="K1039" s="13">
        <v>4</v>
      </c>
      <c r="L1039" s="14">
        <v>533</v>
      </c>
      <c r="M1039" s="10">
        <v>478</v>
      </c>
      <c r="N1039" s="10">
        <v>58898</v>
      </c>
      <c r="O1039" s="10">
        <v>37484</v>
      </c>
      <c r="P1039" s="10">
        <v>96382</v>
      </c>
    </row>
    <row r="1040" spans="1:16" ht="27" customHeight="1" x14ac:dyDescent="0.2">
      <c r="A1040" s="9" t="s">
        <v>3797</v>
      </c>
      <c r="B1040" s="10" t="s">
        <v>3798</v>
      </c>
      <c r="C1040" s="11" t="s">
        <v>3802</v>
      </c>
      <c r="D1040" s="11" t="s">
        <v>3803</v>
      </c>
      <c r="E1040" s="11" t="s">
        <v>26</v>
      </c>
      <c r="F1040" s="11" t="s">
        <v>3804</v>
      </c>
      <c r="G1040" s="11" t="s">
        <v>28</v>
      </c>
      <c r="H1040" s="11" t="s">
        <v>3800</v>
      </c>
      <c r="I1040" s="11" t="s">
        <v>3801</v>
      </c>
      <c r="J1040" s="12">
        <v>0.9083</v>
      </c>
      <c r="K1040" s="13">
        <v>1</v>
      </c>
      <c r="L1040" s="14">
        <v>0</v>
      </c>
      <c r="M1040" s="10">
        <v>0</v>
      </c>
      <c r="N1040" s="10">
        <v>0</v>
      </c>
      <c r="O1040" s="10">
        <v>0</v>
      </c>
      <c r="P1040" s="10">
        <v>0</v>
      </c>
    </row>
    <row r="1041" spans="1:16" ht="27" customHeight="1" x14ac:dyDescent="0.2">
      <c r="A1041" s="9" t="s">
        <v>3797</v>
      </c>
      <c r="B1041" s="10" t="s">
        <v>3805</v>
      </c>
      <c r="C1041" s="11" t="s">
        <v>18</v>
      </c>
      <c r="D1041" s="11" t="s">
        <v>19</v>
      </c>
      <c r="E1041" s="11" t="s">
        <v>19</v>
      </c>
      <c r="F1041" s="11" t="s">
        <v>3806</v>
      </c>
      <c r="G1041" s="11" t="s">
        <v>83</v>
      </c>
      <c r="H1041" s="11" t="s">
        <v>3807</v>
      </c>
      <c r="I1041" s="11" t="s">
        <v>3808</v>
      </c>
      <c r="J1041" s="12">
        <v>0.82279999999999998</v>
      </c>
      <c r="K1041" s="13">
        <v>4</v>
      </c>
      <c r="L1041" s="14">
        <v>805</v>
      </c>
      <c r="M1041" s="10">
        <v>655</v>
      </c>
      <c r="N1041" s="10">
        <v>88955</v>
      </c>
      <c r="O1041" s="10">
        <v>51364</v>
      </c>
      <c r="P1041" s="10">
        <v>140319</v>
      </c>
    </row>
    <row r="1042" spans="1:16" ht="27" customHeight="1" x14ac:dyDescent="0.2">
      <c r="A1042" s="9" t="s">
        <v>3797</v>
      </c>
      <c r="B1042" s="10" t="s">
        <v>3809</v>
      </c>
      <c r="C1042" s="11" t="s">
        <v>18</v>
      </c>
      <c r="D1042" s="11" t="s">
        <v>19</v>
      </c>
      <c r="E1042" s="11" t="s">
        <v>19</v>
      </c>
      <c r="F1042" s="11" t="s">
        <v>3810</v>
      </c>
      <c r="G1042" s="11" t="s">
        <v>83</v>
      </c>
      <c r="H1042" s="11" t="s">
        <v>3810</v>
      </c>
      <c r="I1042" s="11" t="s">
        <v>3811</v>
      </c>
      <c r="J1042" s="12">
        <v>0.58819999999999995</v>
      </c>
      <c r="K1042" s="13">
        <v>2</v>
      </c>
      <c r="L1042" s="14">
        <v>102</v>
      </c>
      <c r="M1042" s="10">
        <v>60</v>
      </c>
      <c r="N1042" s="10">
        <v>11271</v>
      </c>
      <c r="O1042" s="10">
        <v>4705</v>
      </c>
      <c r="P1042" s="10">
        <v>15976</v>
      </c>
    </row>
    <row r="1043" spans="1:16" ht="27" customHeight="1" x14ac:dyDescent="0.2">
      <c r="A1043" s="9" t="s">
        <v>3797</v>
      </c>
      <c r="B1043" s="10" t="s">
        <v>3812</v>
      </c>
      <c r="C1043" s="11" t="s">
        <v>18</v>
      </c>
      <c r="D1043" s="11" t="s">
        <v>19</v>
      </c>
      <c r="E1043" s="11" t="s">
        <v>19</v>
      </c>
      <c r="F1043" s="11" t="s">
        <v>3813</v>
      </c>
      <c r="G1043" s="11" t="s">
        <v>83</v>
      </c>
      <c r="H1043" s="11" t="s">
        <v>3800</v>
      </c>
      <c r="I1043" s="11" t="s">
        <v>3801</v>
      </c>
      <c r="J1043" s="12">
        <v>0.9083</v>
      </c>
      <c r="K1043" s="13">
        <v>27</v>
      </c>
      <c r="L1043" s="14">
        <v>16162</v>
      </c>
      <c r="M1043" s="10">
        <v>10187</v>
      </c>
      <c r="N1043" s="10">
        <v>1785926</v>
      </c>
      <c r="O1043" s="10">
        <v>798853</v>
      </c>
      <c r="P1043" s="10">
        <v>2584779</v>
      </c>
    </row>
    <row r="1044" spans="1:16" ht="27" customHeight="1" x14ac:dyDescent="0.2">
      <c r="A1044" s="9" t="s">
        <v>3797</v>
      </c>
      <c r="B1044" s="10" t="s">
        <v>3812</v>
      </c>
      <c r="C1044" s="11" t="s">
        <v>3814</v>
      </c>
      <c r="D1044" s="11" t="s">
        <v>3815</v>
      </c>
      <c r="E1044" s="11" t="s">
        <v>26</v>
      </c>
      <c r="F1044" s="11" t="s">
        <v>3816</v>
      </c>
      <c r="G1044" s="11" t="s">
        <v>28</v>
      </c>
      <c r="H1044" s="11" t="s">
        <v>3816</v>
      </c>
      <c r="I1044" s="11" t="s">
        <v>3817</v>
      </c>
      <c r="J1044" s="12">
        <v>0.1273</v>
      </c>
      <c r="K1044" s="13">
        <v>1</v>
      </c>
      <c r="L1044" s="14">
        <v>267</v>
      </c>
      <c r="M1044" s="10">
        <v>34</v>
      </c>
      <c r="N1044" s="10">
        <v>29504</v>
      </c>
      <c r="O1044" s="10">
        <v>2666</v>
      </c>
      <c r="P1044" s="10">
        <v>32170</v>
      </c>
    </row>
    <row r="1045" spans="1:16" ht="27" customHeight="1" x14ac:dyDescent="0.2">
      <c r="A1045" s="9" t="s">
        <v>3797</v>
      </c>
      <c r="B1045" s="10" t="s">
        <v>3818</v>
      </c>
      <c r="C1045" s="11" t="s">
        <v>18</v>
      </c>
      <c r="D1045" s="11" t="s">
        <v>19</v>
      </c>
      <c r="E1045" s="11" t="s">
        <v>19</v>
      </c>
      <c r="F1045" s="11" t="s">
        <v>3819</v>
      </c>
      <c r="G1045" s="11" t="s">
        <v>83</v>
      </c>
      <c r="H1045" s="11" t="s">
        <v>3820</v>
      </c>
      <c r="I1045" s="11" t="s">
        <v>3821</v>
      </c>
      <c r="J1045" s="12">
        <v>0.76359999999999995</v>
      </c>
      <c r="K1045" s="13">
        <v>2</v>
      </c>
      <c r="L1045" s="14">
        <v>55</v>
      </c>
      <c r="M1045" s="10">
        <v>42</v>
      </c>
      <c r="N1045" s="10">
        <v>6078</v>
      </c>
      <c r="O1045" s="10">
        <v>3294</v>
      </c>
      <c r="P1045" s="10">
        <v>9372</v>
      </c>
    </row>
    <row r="1046" spans="1:16" ht="27" customHeight="1" x14ac:dyDescent="0.2">
      <c r="A1046" s="9" t="s">
        <v>3797</v>
      </c>
      <c r="B1046" s="10" t="s">
        <v>3822</v>
      </c>
      <c r="C1046" s="11" t="s">
        <v>18</v>
      </c>
      <c r="D1046" s="11" t="s">
        <v>19</v>
      </c>
      <c r="E1046" s="11" t="s">
        <v>19</v>
      </c>
      <c r="F1046" s="11" t="s">
        <v>3823</v>
      </c>
      <c r="G1046" s="11" t="s">
        <v>83</v>
      </c>
      <c r="H1046" s="11" t="s">
        <v>3824</v>
      </c>
      <c r="I1046" s="11" t="s">
        <v>3825</v>
      </c>
      <c r="J1046" s="12">
        <v>0.36840000000000001</v>
      </c>
      <c r="K1046" s="13">
        <v>6</v>
      </c>
      <c r="L1046" s="14">
        <v>1120</v>
      </c>
      <c r="M1046" s="10">
        <v>394</v>
      </c>
      <c r="N1046" s="10">
        <v>123761</v>
      </c>
      <c r="O1046" s="10">
        <v>30897</v>
      </c>
      <c r="P1046" s="10">
        <v>154658</v>
      </c>
    </row>
    <row r="1047" spans="1:16" ht="27" customHeight="1" x14ac:dyDescent="0.2">
      <c r="A1047" s="9" t="s">
        <v>3826</v>
      </c>
      <c r="B1047" s="10" t="s">
        <v>3827</v>
      </c>
      <c r="C1047" s="11" t="s">
        <v>18</v>
      </c>
      <c r="D1047" s="11" t="s">
        <v>19</v>
      </c>
      <c r="E1047" s="11" t="s">
        <v>19</v>
      </c>
      <c r="F1047" s="11" t="s">
        <v>3828</v>
      </c>
      <c r="G1047" s="11" t="s">
        <v>21</v>
      </c>
      <c r="H1047" s="11" t="s">
        <v>3829</v>
      </c>
      <c r="I1047" s="11" t="s">
        <v>3830</v>
      </c>
      <c r="J1047" s="12">
        <v>0.94979999999999998</v>
      </c>
      <c r="K1047" s="13">
        <v>4</v>
      </c>
      <c r="L1047" s="14">
        <v>115</v>
      </c>
      <c r="M1047" s="10">
        <v>73</v>
      </c>
      <c r="N1047" s="10">
        <v>12708</v>
      </c>
      <c r="O1047" s="10">
        <v>5725</v>
      </c>
      <c r="P1047" s="10">
        <v>18433</v>
      </c>
    </row>
    <row r="1048" spans="1:16" ht="27" customHeight="1" x14ac:dyDescent="0.2">
      <c r="A1048" s="9" t="s">
        <v>3826</v>
      </c>
      <c r="B1048" s="10" t="s">
        <v>3827</v>
      </c>
      <c r="C1048" s="11" t="s">
        <v>3831</v>
      </c>
      <c r="D1048" s="11" t="s">
        <v>3832</v>
      </c>
      <c r="E1048" s="11" t="s">
        <v>57</v>
      </c>
      <c r="F1048" s="11" t="s">
        <v>3833</v>
      </c>
      <c r="G1048" s="11" t="s">
        <v>28</v>
      </c>
      <c r="H1048" s="11" t="s">
        <v>3829</v>
      </c>
      <c r="I1048" s="11" t="s">
        <v>3830</v>
      </c>
      <c r="J1048" s="12">
        <v>0.94979999999999998</v>
      </c>
      <c r="K1048" s="13">
        <v>1</v>
      </c>
      <c r="L1048" s="14">
        <v>87</v>
      </c>
      <c r="M1048" s="10">
        <v>38</v>
      </c>
      <c r="N1048" s="10">
        <v>9614</v>
      </c>
      <c r="O1048" s="10">
        <v>2980</v>
      </c>
      <c r="P1048" s="10">
        <v>12594</v>
      </c>
    </row>
    <row r="1049" spans="1:16" ht="27" customHeight="1" x14ac:dyDescent="0.2">
      <c r="A1049" s="9" t="s">
        <v>3826</v>
      </c>
      <c r="B1049" s="10" t="s">
        <v>3827</v>
      </c>
      <c r="C1049" s="11" t="s">
        <v>3834</v>
      </c>
      <c r="D1049" s="11" t="s">
        <v>3835</v>
      </c>
      <c r="E1049" s="11" t="s">
        <v>26</v>
      </c>
      <c r="F1049" s="11" t="s">
        <v>3836</v>
      </c>
      <c r="G1049" s="11" t="s">
        <v>28</v>
      </c>
      <c r="H1049" s="11" t="s">
        <v>3836</v>
      </c>
      <c r="I1049" s="11" t="s">
        <v>3837</v>
      </c>
      <c r="J1049" s="12">
        <v>0.46350000000000002</v>
      </c>
      <c r="K1049" s="13">
        <v>1</v>
      </c>
      <c r="L1049" s="14">
        <v>315</v>
      </c>
      <c r="M1049" s="10">
        <v>146</v>
      </c>
      <c r="N1049" s="10">
        <v>34808</v>
      </c>
      <c r="O1049" s="10">
        <v>11449</v>
      </c>
      <c r="P1049" s="10">
        <v>46257</v>
      </c>
    </row>
    <row r="1050" spans="1:16" ht="27" customHeight="1" x14ac:dyDescent="0.2">
      <c r="A1050" s="9" t="s">
        <v>3826</v>
      </c>
      <c r="B1050" s="10" t="s">
        <v>3827</v>
      </c>
      <c r="C1050" s="11" t="s">
        <v>3838</v>
      </c>
      <c r="D1050" s="11" t="s">
        <v>3839</v>
      </c>
      <c r="E1050" s="11" t="s">
        <v>26</v>
      </c>
      <c r="F1050" s="11" t="s">
        <v>3840</v>
      </c>
      <c r="G1050" s="11" t="s">
        <v>28</v>
      </c>
      <c r="H1050" s="11" t="s">
        <v>3840</v>
      </c>
      <c r="I1050" s="11" t="s">
        <v>3841</v>
      </c>
      <c r="J1050" s="12">
        <v>0.4849</v>
      </c>
      <c r="K1050" s="13">
        <v>1</v>
      </c>
      <c r="L1050" s="14">
        <v>431</v>
      </c>
      <c r="M1050" s="10">
        <v>209</v>
      </c>
      <c r="N1050" s="10">
        <v>47626</v>
      </c>
      <c r="O1050" s="10">
        <v>16390</v>
      </c>
      <c r="P1050" s="10">
        <v>64016</v>
      </c>
    </row>
    <row r="1051" spans="1:16" ht="27" customHeight="1" x14ac:dyDescent="0.2">
      <c r="A1051" s="9" t="s">
        <v>3826</v>
      </c>
      <c r="B1051" s="10" t="s">
        <v>3827</v>
      </c>
      <c r="C1051" s="11" t="s">
        <v>3842</v>
      </c>
      <c r="D1051" s="11" t="s">
        <v>3843</v>
      </c>
      <c r="E1051" s="11" t="s">
        <v>57</v>
      </c>
      <c r="F1051" s="11" t="s">
        <v>3844</v>
      </c>
      <c r="G1051" s="11" t="s">
        <v>28</v>
      </c>
      <c r="H1051" s="11" t="s">
        <v>3844</v>
      </c>
      <c r="I1051" s="11" t="s">
        <v>3845</v>
      </c>
      <c r="J1051" s="12">
        <v>0.42249999999999999</v>
      </c>
      <c r="K1051" s="13">
        <v>1</v>
      </c>
      <c r="L1051" s="14">
        <v>774</v>
      </c>
      <c r="M1051" s="10">
        <v>327</v>
      </c>
      <c r="N1051" s="10">
        <v>85528</v>
      </c>
      <c r="O1051" s="10">
        <v>25643</v>
      </c>
      <c r="P1051" s="10">
        <v>111171</v>
      </c>
    </row>
    <row r="1052" spans="1:16" ht="27" customHeight="1" x14ac:dyDescent="0.2">
      <c r="A1052" s="9" t="s">
        <v>3826</v>
      </c>
      <c r="B1052" s="10" t="s">
        <v>3827</v>
      </c>
      <c r="C1052" s="11" t="s">
        <v>3846</v>
      </c>
      <c r="D1052" s="11" t="s">
        <v>3847</v>
      </c>
      <c r="E1052" s="11" t="s">
        <v>57</v>
      </c>
      <c r="F1052" s="11" t="s">
        <v>3848</v>
      </c>
      <c r="G1052" s="11" t="s">
        <v>28</v>
      </c>
      <c r="H1052" s="11" t="s">
        <v>3848</v>
      </c>
      <c r="I1052" s="11" t="s">
        <v>3849</v>
      </c>
      <c r="J1052" s="12">
        <v>0.27229999999999999</v>
      </c>
      <c r="K1052" s="13">
        <v>1</v>
      </c>
      <c r="L1052" s="14">
        <v>202</v>
      </c>
      <c r="M1052" s="10">
        <v>55</v>
      </c>
      <c r="N1052" s="10">
        <v>22321</v>
      </c>
      <c r="O1052" s="10">
        <v>4313</v>
      </c>
      <c r="P1052" s="10">
        <v>26634</v>
      </c>
    </row>
    <row r="1053" spans="1:16" ht="27" customHeight="1" x14ac:dyDescent="0.2">
      <c r="A1053" s="9" t="s">
        <v>3826</v>
      </c>
      <c r="B1053" s="10" t="s">
        <v>3827</v>
      </c>
      <c r="C1053" s="11" t="s">
        <v>3850</v>
      </c>
      <c r="D1053" s="11" t="s">
        <v>3851</v>
      </c>
      <c r="E1053" s="11" t="s">
        <v>26</v>
      </c>
      <c r="F1053" s="11" t="s">
        <v>3852</v>
      </c>
      <c r="G1053" s="11" t="s">
        <v>28</v>
      </c>
      <c r="H1053" s="11" t="s">
        <v>3829</v>
      </c>
      <c r="I1053" s="11" t="s">
        <v>3830</v>
      </c>
      <c r="J1053" s="12">
        <v>0.94979999999999998</v>
      </c>
      <c r="K1053" s="13">
        <v>1</v>
      </c>
      <c r="L1053" s="14">
        <v>461</v>
      </c>
      <c r="M1053" s="10">
        <v>296</v>
      </c>
      <c r="N1053" s="10">
        <v>50941</v>
      </c>
      <c r="O1053" s="10">
        <v>23212</v>
      </c>
      <c r="P1053" s="10">
        <v>74153</v>
      </c>
    </row>
    <row r="1054" spans="1:16" ht="27" customHeight="1" x14ac:dyDescent="0.2">
      <c r="A1054" s="9" t="s">
        <v>3826</v>
      </c>
      <c r="B1054" s="10" t="s">
        <v>3827</v>
      </c>
      <c r="C1054" s="11" t="s">
        <v>3853</v>
      </c>
      <c r="D1054" s="11" t="s">
        <v>3854</v>
      </c>
      <c r="E1054" s="11" t="s">
        <v>26</v>
      </c>
      <c r="F1054" s="11" t="s">
        <v>3829</v>
      </c>
      <c r="G1054" s="11" t="s">
        <v>28</v>
      </c>
      <c r="H1054" s="11" t="s">
        <v>3829</v>
      </c>
      <c r="I1054" s="11" t="s">
        <v>3830</v>
      </c>
      <c r="J1054" s="12">
        <v>0.94979999999999998</v>
      </c>
      <c r="K1054" s="13">
        <v>1</v>
      </c>
      <c r="L1054" s="14">
        <v>558</v>
      </c>
      <c r="M1054" s="10">
        <v>530</v>
      </c>
      <c r="N1054" s="10">
        <v>61660</v>
      </c>
      <c r="O1054" s="10">
        <v>41562</v>
      </c>
      <c r="P1054" s="10">
        <v>103222</v>
      </c>
    </row>
    <row r="1055" spans="1:16" ht="27" customHeight="1" x14ac:dyDescent="0.2">
      <c r="A1055" s="9" t="s">
        <v>3826</v>
      </c>
      <c r="B1055" s="10" t="s">
        <v>3855</v>
      </c>
      <c r="C1055" s="11" t="s">
        <v>18</v>
      </c>
      <c r="D1055" s="11" t="s">
        <v>19</v>
      </c>
      <c r="E1055" s="11" t="s">
        <v>19</v>
      </c>
      <c r="F1055" s="11" t="s">
        <v>3856</v>
      </c>
      <c r="G1055" s="11" t="s">
        <v>83</v>
      </c>
      <c r="H1055" s="11" t="s">
        <v>3856</v>
      </c>
      <c r="I1055" s="11" t="s">
        <v>3857</v>
      </c>
      <c r="J1055" s="12">
        <v>0.56200000000000006</v>
      </c>
      <c r="K1055" s="13">
        <v>2</v>
      </c>
      <c r="L1055" s="14">
        <v>122</v>
      </c>
      <c r="M1055" s="10">
        <v>69</v>
      </c>
      <c r="N1055" s="10">
        <v>13481</v>
      </c>
      <c r="O1055" s="10">
        <v>5411</v>
      </c>
      <c r="P1055" s="10">
        <v>18892</v>
      </c>
    </row>
    <row r="1056" spans="1:16" ht="27" customHeight="1" x14ac:dyDescent="0.2">
      <c r="A1056" s="9" t="s">
        <v>3826</v>
      </c>
      <c r="B1056" s="10" t="s">
        <v>3855</v>
      </c>
      <c r="C1056" s="11" t="s">
        <v>3858</v>
      </c>
      <c r="D1056" s="11" t="s">
        <v>3859</v>
      </c>
      <c r="E1056" s="11" t="s">
        <v>57</v>
      </c>
      <c r="F1056" s="11" t="s">
        <v>3860</v>
      </c>
      <c r="G1056" s="11" t="s">
        <v>28</v>
      </c>
      <c r="H1056" s="11" t="s">
        <v>3860</v>
      </c>
      <c r="I1056" s="11" t="s">
        <v>3861</v>
      </c>
      <c r="J1056" s="12">
        <v>0.5</v>
      </c>
      <c r="K1056" s="13">
        <v>1</v>
      </c>
      <c r="L1056" s="14">
        <v>32</v>
      </c>
      <c r="M1056" s="10">
        <v>16</v>
      </c>
      <c r="N1056" s="10">
        <v>3536</v>
      </c>
      <c r="O1056" s="10">
        <v>1255</v>
      </c>
      <c r="P1056" s="10">
        <v>4791</v>
      </c>
    </row>
    <row r="1057" spans="1:16" ht="27" customHeight="1" x14ac:dyDescent="0.2">
      <c r="A1057" s="9" t="s">
        <v>3826</v>
      </c>
      <c r="B1057" s="10" t="s">
        <v>3862</v>
      </c>
      <c r="C1057" s="11" t="s">
        <v>18</v>
      </c>
      <c r="D1057" s="11" t="s">
        <v>19</v>
      </c>
      <c r="E1057" s="11" t="s">
        <v>19</v>
      </c>
      <c r="F1057" s="11" t="s">
        <v>3863</v>
      </c>
      <c r="G1057" s="11" t="s">
        <v>83</v>
      </c>
      <c r="H1057" s="11" t="s">
        <v>3863</v>
      </c>
      <c r="I1057" s="11" t="s">
        <v>3864</v>
      </c>
      <c r="J1057" s="12">
        <v>0.39739999999999998</v>
      </c>
      <c r="K1057" s="13">
        <v>2</v>
      </c>
      <c r="L1057" s="14">
        <v>156</v>
      </c>
      <c r="M1057" s="10">
        <v>62</v>
      </c>
      <c r="N1057" s="10">
        <v>17238</v>
      </c>
      <c r="O1057" s="10">
        <v>4862</v>
      </c>
      <c r="P1057" s="10">
        <v>22100</v>
      </c>
    </row>
    <row r="1058" spans="1:16" ht="27" customHeight="1" x14ac:dyDescent="0.2">
      <c r="A1058" s="9" t="s">
        <v>3826</v>
      </c>
      <c r="B1058" s="10" t="s">
        <v>3865</v>
      </c>
      <c r="C1058" s="11" t="s">
        <v>18</v>
      </c>
      <c r="D1058" s="11" t="s">
        <v>19</v>
      </c>
      <c r="E1058" s="11" t="s">
        <v>19</v>
      </c>
      <c r="F1058" s="11" t="s">
        <v>3866</v>
      </c>
      <c r="G1058" s="11" t="s">
        <v>83</v>
      </c>
      <c r="H1058" s="11" t="s">
        <v>3867</v>
      </c>
      <c r="I1058" s="11" t="s">
        <v>3868</v>
      </c>
      <c r="J1058" s="12">
        <v>0.72319999999999995</v>
      </c>
      <c r="K1058" s="13">
        <v>5</v>
      </c>
      <c r="L1058" s="14">
        <v>1132</v>
      </c>
      <c r="M1058" s="10">
        <v>781</v>
      </c>
      <c r="N1058" s="10">
        <v>125088</v>
      </c>
      <c r="O1058" s="10">
        <v>61245</v>
      </c>
      <c r="P1058" s="10">
        <v>186333</v>
      </c>
    </row>
    <row r="1059" spans="1:16" ht="27" customHeight="1" x14ac:dyDescent="0.2">
      <c r="A1059" s="9" t="s">
        <v>3826</v>
      </c>
      <c r="B1059" s="10" t="s">
        <v>3865</v>
      </c>
      <c r="C1059" s="11" t="s">
        <v>3869</v>
      </c>
      <c r="D1059" s="11" t="s">
        <v>3870</v>
      </c>
      <c r="E1059" s="11" t="s">
        <v>57</v>
      </c>
      <c r="F1059" s="11" t="s">
        <v>3871</v>
      </c>
      <c r="G1059" s="11" t="s">
        <v>28</v>
      </c>
      <c r="H1059" s="11" t="s">
        <v>3871</v>
      </c>
      <c r="I1059" s="11" t="s">
        <v>3872</v>
      </c>
      <c r="J1059" s="12">
        <v>0.34210000000000002</v>
      </c>
      <c r="K1059" s="13">
        <v>1</v>
      </c>
      <c r="L1059" s="14">
        <v>535</v>
      </c>
      <c r="M1059" s="10">
        <v>183</v>
      </c>
      <c r="N1059" s="10">
        <v>59118</v>
      </c>
      <c r="O1059" s="10">
        <v>14351</v>
      </c>
      <c r="P1059" s="10">
        <v>73469</v>
      </c>
    </row>
    <row r="1060" spans="1:16" ht="27" customHeight="1" x14ac:dyDescent="0.2">
      <c r="A1060" s="9" t="s">
        <v>3826</v>
      </c>
      <c r="B1060" s="10" t="s">
        <v>3873</v>
      </c>
      <c r="C1060" s="11" t="s">
        <v>18</v>
      </c>
      <c r="D1060" s="11" t="s">
        <v>19</v>
      </c>
      <c r="E1060" s="11" t="s">
        <v>19</v>
      </c>
      <c r="F1060" s="11" t="s">
        <v>3874</v>
      </c>
      <c r="G1060" s="11" t="s">
        <v>83</v>
      </c>
      <c r="H1060" s="11" t="s">
        <v>3875</v>
      </c>
      <c r="I1060" s="11" t="s">
        <v>3876</v>
      </c>
      <c r="J1060" s="12">
        <v>0.3579</v>
      </c>
      <c r="K1060" s="13">
        <v>3</v>
      </c>
      <c r="L1060" s="14">
        <v>687</v>
      </c>
      <c r="M1060" s="10">
        <v>237</v>
      </c>
      <c r="N1060" s="10">
        <v>75914</v>
      </c>
      <c r="O1060" s="10">
        <v>18585</v>
      </c>
      <c r="P1060" s="10">
        <v>94499</v>
      </c>
    </row>
    <row r="1061" spans="1:16" ht="27" customHeight="1" x14ac:dyDescent="0.2">
      <c r="A1061" s="9" t="s">
        <v>3826</v>
      </c>
      <c r="B1061" s="10" t="s">
        <v>3877</v>
      </c>
      <c r="C1061" s="11" t="s">
        <v>18</v>
      </c>
      <c r="D1061" s="11" t="s">
        <v>19</v>
      </c>
      <c r="E1061" s="11" t="s">
        <v>19</v>
      </c>
      <c r="F1061" s="11" t="s">
        <v>3878</v>
      </c>
      <c r="G1061" s="11" t="s">
        <v>83</v>
      </c>
      <c r="H1061" s="11" t="s">
        <v>3829</v>
      </c>
      <c r="I1061" s="11" t="s">
        <v>3830</v>
      </c>
      <c r="J1061" s="12">
        <v>0.94979999999999998</v>
      </c>
      <c r="K1061" s="13">
        <v>6</v>
      </c>
      <c r="L1061" s="14">
        <v>2481</v>
      </c>
      <c r="M1061" s="10">
        <v>940</v>
      </c>
      <c r="N1061" s="10">
        <v>274155</v>
      </c>
      <c r="O1061" s="10">
        <v>73714</v>
      </c>
      <c r="P1061" s="10">
        <v>347869</v>
      </c>
    </row>
    <row r="1062" spans="1:16" ht="27" customHeight="1" x14ac:dyDescent="0.2">
      <c r="A1062" s="9" t="s">
        <v>3826</v>
      </c>
      <c r="B1062" s="10" t="s">
        <v>3877</v>
      </c>
      <c r="C1062" s="11" t="s">
        <v>3879</v>
      </c>
      <c r="D1062" s="11" t="s">
        <v>3880</v>
      </c>
      <c r="E1062" s="11" t="s">
        <v>26</v>
      </c>
      <c r="F1062" s="11" t="s">
        <v>3881</v>
      </c>
      <c r="G1062" s="11" t="s">
        <v>28</v>
      </c>
      <c r="H1062" s="11" t="s">
        <v>3829</v>
      </c>
      <c r="I1062" s="11" t="s">
        <v>3830</v>
      </c>
      <c r="J1062" s="12">
        <v>0.94979999999999998</v>
      </c>
      <c r="K1062" s="13">
        <v>1</v>
      </c>
      <c r="L1062" s="14">
        <v>164</v>
      </c>
      <c r="M1062" s="10">
        <v>82</v>
      </c>
      <c r="N1062" s="10">
        <v>18122</v>
      </c>
      <c r="O1062" s="10">
        <v>6430</v>
      </c>
      <c r="P1062" s="10">
        <v>24552</v>
      </c>
    </row>
    <row r="1063" spans="1:16" ht="27" customHeight="1" x14ac:dyDescent="0.2">
      <c r="A1063" s="9" t="s">
        <v>3826</v>
      </c>
      <c r="B1063" s="10" t="s">
        <v>3882</v>
      </c>
      <c r="C1063" s="11" t="s">
        <v>18</v>
      </c>
      <c r="D1063" s="11" t="s">
        <v>19</v>
      </c>
      <c r="E1063" s="11" t="s">
        <v>19</v>
      </c>
      <c r="F1063" s="11" t="s">
        <v>3883</v>
      </c>
      <c r="G1063" s="11" t="s">
        <v>83</v>
      </c>
      <c r="H1063" s="11" t="s">
        <v>3884</v>
      </c>
      <c r="I1063" s="11" t="s">
        <v>3885</v>
      </c>
      <c r="J1063" s="12">
        <v>0.3448</v>
      </c>
      <c r="K1063" s="13">
        <v>5</v>
      </c>
      <c r="L1063" s="14">
        <v>1156</v>
      </c>
      <c r="M1063" s="10">
        <v>390</v>
      </c>
      <c r="N1063" s="10">
        <v>127740</v>
      </c>
      <c r="O1063" s="10">
        <v>30583</v>
      </c>
      <c r="P1063" s="10">
        <v>158323</v>
      </c>
    </row>
    <row r="1064" spans="1:16" ht="27" customHeight="1" x14ac:dyDescent="0.2">
      <c r="A1064" s="9" t="s">
        <v>3826</v>
      </c>
      <c r="B1064" s="10" t="s">
        <v>3882</v>
      </c>
      <c r="C1064" s="11" t="s">
        <v>3886</v>
      </c>
      <c r="D1064" s="11" t="s">
        <v>3887</v>
      </c>
      <c r="E1064" s="11" t="s">
        <v>57</v>
      </c>
      <c r="F1064" s="11" t="s">
        <v>3888</v>
      </c>
      <c r="G1064" s="11" t="s">
        <v>28</v>
      </c>
      <c r="H1064" s="11" t="s">
        <v>3888</v>
      </c>
      <c r="I1064" s="11" t="s">
        <v>3889</v>
      </c>
      <c r="J1064" s="12">
        <v>0.2823</v>
      </c>
      <c r="K1064" s="13">
        <v>1</v>
      </c>
      <c r="L1064" s="14">
        <v>248</v>
      </c>
      <c r="M1064" s="10">
        <v>70</v>
      </c>
      <c r="N1064" s="10">
        <v>27404</v>
      </c>
      <c r="O1064" s="10">
        <v>5489</v>
      </c>
      <c r="P1064" s="10">
        <v>32893</v>
      </c>
    </row>
    <row r="1065" spans="1:16" ht="27" customHeight="1" x14ac:dyDescent="0.2">
      <c r="A1065" s="9" t="s">
        <v>3826</v>
      </c>
      <c r="B1065" s="10" t="s">
        <v>3890</v>
      </c>
      <c r="C1065" s="11" t="s">
        <v>18</v>
      </c>
      <c r="D1065" s="11" t="s">
        <v>19</v>
      </c>
      <c r="E1065" s="11" t="s">
        <v>19</v>
      </c>
      <c r="F1065" s="11" t="s">
        <v>3891</v>
      </c>
      <c r="G1065" s="11" t="s">
        <v>83</v>
      </c>
      <c r="H1065" s="11" t="s">
        <v>3829</v>
      </c>
      <c r="I1065" s="11" t="s">
        <v>3830</v>
      </c>
      <c r="J1065" s="12">
        <v>0.94979999999999998</v>
      </c>
      <c r="K1065" s="13">
        <v>2</v>
      </c>
      <c r="L1065" s="14">
        <v>173</v>
      </c>
      <c r="M1065" s="10">
        <v>82</v>
      </c>
      <c r="N1065" s="10">
        <v>19117</v>
      </c>
      <c r="O1065" s="10">
        <v>6431</v>
      </c>
      <c r="P1065" s="10">
        <v>25548</v>
      </c>
    </row>
    <row r="1066" spans="1:16" ht="27" customHeight="1" x14ac:dyDescent="0.2">
      <c r="A1066" s="9" t="s">
        <v>3826</v>
      </c>
      <c r="B1066" s="10" t="s">
        <v>3890</v>
      </c>
      <c r="C1066" s="11" t="s">
        <v>3892</v>
      </c>
      <c r="D1066" s="11" t="s">
        <v>3893</v>
      </c>
      <c r="E1066" s="11" t="s">
        <v>57</v>
      </c>
      <c r="F1066" s="11" t="s">
        <v>3891</v>
      </c>
      <c r="G1066" s="11" t="s">
        <v>28</v>
      </c>
      <c r="H1066" s="11" t="s">
        <v>3891</v>
      </c>
      <c r="I1066" s="11" t="s">
        <v>3894</v>
      </c>
      <c r="J1066" s="12">
        <v>0.4325</v>
      </c>
      <c r="K1066" s="13">
        <v>1</v>
      </c>
      <c r="L1066" s="14">
        <v>541</v>
      </c>
      <c r="M1066" s="10">
        <v>234</v>
      </c>
      <c r="N1066" s="10">
        <v>59781</v>
      </c>
      <c r="O1066" s="10">
        <v>18350</v>
      </c>
      <c r="P1066" s="10">
        <v>78131</v>
      </c>
    </row>
    <row r="1067" spans="1:16" ht="27" customHeight="1" x14ac:dyDescent="0.2">
      <c r="A1067" s="9" t="s">
        <v>3826</v>
      </c>
      <c r="B1067" s="10" t="s">
        <v>3895</v>
      </c>
      <c r="C1067" s="11" t="s">
        <v>18</v>
      </c>
      <c r="D1067" s="11" t="s">
        <v>19</v>
      </c>
      <c r="E1067" s="11" t="s">
        <v>19</v>
      </c>
      <c r="F1067" s="11" t="s">
        <v>3896</v>
      </c>
      <c r="G1067" s="11" t="s">
        <v>83</v>
      </c>
      <c r="H1067" s="11" t="s">
        <v>3897</v>
      </c>
      <c r="I1067" s="11" t="s">
        <v>3898</v>
      </c>
      <c r="J1067" s="12">
        <v>0.81910000000000005</v>
      </c>
      <c r="K1067" s="13">
        <v>3</v>
      </c>
      <c r="L1067" s="14">
        <v>94</v>
      </c>
      <c r="M1067" s="10">
        <v>77</v>
      </c>
      <c r="N1067" s="10">
        <v>10387</v>
      </c>
      <c r="O1067" s="10">
        <v>6038</v>
      </c>
      <c r="P1067" s="10">
        <v>16425</v>
      </c>
    </row>
    <row r="1068" spans="1:16" ht="27" customHeight="1" x14ac:dyDescent="0.2">
      <c r="A1068" s="9" t="s">
        <v>3826</v>
      </c>
      <c r="B1068" s="10" t="s">
        <v>3899</v>
      </c>
      <c r="C1068" s="11" t="s">
        <v>18</v>
      </c>
      <c r="D1068" s="11" t="s">
        <v>19</v>
      </c>
      <c r="E1068" s="11" t="s">
        <v>19</v>
      </c>
      <c r="F1068" s="11" t="s">
        <v>3900</v>
      </c>
      <c r="G1068" s="11" t="s">
        <v>83</v>
      </c>
      <c r="H1068" s="11" t="s">
        <v>3901</v>
      </c>
      <c r="I1068" s="11" t="s">
        <v>3902</v>
      </c>
      <c r="J1068" s="12">
        <v>0.4879</v>
      </c>
      <c r="K1068" s="13">
        <v>4</v>
      </c>
      <c r="L1068" s="14">
        <v>573</v>
      </c>
      <c r="M1068" s="10">
        <v>273</v>
      </c>
      <c r="N1068" s="10">
        <v>63318</v>
      </c>
      <c r="O1068" s="10">
        <v>21408</v>
      </c>
      <c r="P1068" s="10">
        <v>84726</v>
      </c>
    </row>
    <row r="1069" spans="1:16" ht="27" customHeight="1" x14ac:dyDescent="0.2">
      <c r="A1069" s="9" t="s">
        <v>3826</v>
      </c>
      <c r="B1069" s="10" t="s">
        <v>3899</v>
      </c>
      <c r="C1069" s="11" t="s">
        <v>3903</v>
      </c>
      <c r="D1069" s="11" t="s">
        <v>3904</v>
      </c>
      <c r="E1069" s="11" t="s">
        <v>57</v>
      </c>
      <c r="F1069" s="11" t="s">
        <v>3905</v>
      </c>
      <c r="G1069" s="11" t="s">
        <v>28</v>
      </c>
      <c r="H1069" s="11" t="s">
        <v>3905</v>
      </c>
      <c r="I1069" s="11" t="s">
        <v>3906</v>
      </c>
      <c r="J1069" s="12">
        <v>0.878</v>
      </c>
      <c r="K1069" s="13">
        <v>1</v>
      </c>
      <c r="L1069" s="14">
        <v>41</v>
      </c>
      <c r="M1069" s="10">
        <v>36</v>
      </c>
      <c r="N1069" s="10">
        <v>4531</v>
      </c>
      <c r="O1069" s="10">
        <v>2823</v>
      </c>
      <c r="P1069" s="10">
        <v>7354</v>
      </c>
    </row>
    <row r="1070" spans="1:16" ht="27" customHeight="1" x14ac:dyDescent="0.2">
      <c r="A1070" s="9" t="s">
        <v>3907</v>
      </c>
      <c r="B1070" s="10" t="s">
        <v>3908</v>
      </c>
      <c r="C1070" s="11" t="s">
        <v>18</v>
      </c>
      <c r="D1070" s="11" t="s">
        <v>19</v>
      </c>
      <c r="E1070" s="11" t="s">
        <v>19</v>
      </c>
      <c r="F1070" s="11" t="s">
        <v>3909</v>
      </c>
      <c r="G1070" s="11" t="s">
        <v>21</v>
      </c>
      <c r="H1070" s="11" t="s">
        <v>3910</v>
      </c>
      <c r="I1070" s="11" t="s">
        <v>3911</v>
      </c>
      <c r="J1070" s="12">
        <v>0.97689999999999999</v>
      </c>
      <c r="K1070" s="13">
        <v>5</v>
      </c>
      <c r="L1070" s="14">
        <v>2193</v>
      </c>
      <c r="M1070" s="10">
        <v>1530</v>
      </c>
      <c r="N1070" s="10">
        <v>242331</v>
      </c>
      <c r="O1070" s="10">
        <v>119981</v>
      </c>
      <c r="P1070" s="10">
        <v>362312</v>
      </c>
    </row>
    <row r="1071" spans="1:16" ht="27" customHeight="1" x14ac:dyDescent="0.2">
      <c r="A1071" s="9" t="s">
        <v>3907</v>
      </c>
      <c r="B1071" s="10" t="s">
        <v>3908</v>
      </c>
      <c r="C1071" s="11" t="s">
        <v>3912</v>
      </c>
      <c r="D1071" s="11" t="s">
        <v>3913</v>
      </c>
      <c r="E1071" s="11" t="s">
        <v>26</v>
      </c>
      <c r="F1071" s="11" t="s">
        <v>3914</v>
      </c>
      <c r="G1071" s="11" t="s">
        <v>28</v>
      </c>
      <c r="H1071" s="11" t="s">
        <v>3910</v>
      </c>
      <c r="I1071" s="11" t="s">
        <v>3911</v>
      </c>
      <c r="J1071" s="12">
        <v>0.97689999999999999</v>
      </c>
      <c r="K1071" s="13">
        <v>1</v>
      </c>
      <c r="L1071" s="14">
        <v>803</v>
      </c>
      <c r="M1071" s="10">
        <v>602</v>
      </c>
      <c r="N1071" s="10">
        <v>88733</v>
      </c>
      <c r="O1071" s="10">
        <v>47208</v>
      </c>
      <c r="P1071" s="10">
        <v>135941</v>
      </c>
    </row>
    <row r="1072" spans="1:16" ht="27" customHeight="1" x14ac:dyDescent="0.2">
      <c r="A1072" s="9" t="s">
        <v>3907</v>
      </c>
      <c r="B1072" s="10" t="s">
        <v>3908</v>
      </c>
      <c r="C1072" s="11" t="s">
        <v>3915</v>
      </c>
      <c r="D1072" s="11" t="s">
        <v>3916</v>
      </c>
      <c r="E1072" s="11" t="s">
        <v>26</v>
      </c>
      <c r="F1072" s="11" t="s">
        <v>3917</v>
      </c>
      <c r="G1072" s="11" t="s">
        <v>28</v>
      </c>
      <c r="H1072" s="11" t="s">
        <v>3910</v>
      </c>
      <c r="I1072" s="11" t="s">
        <v>3911</v>
      </c>
      <c r="J1072" s="12">
        <v>0.97689999999999999</v>
      </c>
      <c r="K1072" s="13">
        <v>1</v>
      </c>
      <c r="L1072" s="14">
        <v>425</v>
      </c>
      <c r="M1072" s="10">
        <v>391</v>
      </c>
      <c r="N1072" s="10">
        <v>46963</v>
      </c>
      <c r="O1072" s="10">
        <v>30662</v>
      </c>
      <c r="P1072" s="10">
        <v>77625</v>
      </c>
    </row>
    <row r="1073" spans="1:16" ht="27" customHeight="1" x14ac:dyDescent="0.2">
      <c r="A1073" s="9" t="s">
        <v>3907</v>
      </c>
      <c r="B1073" s="10" t="s">
        <v>3908</v>
      </c>
      <c r="C1073" s="11" t="s">
        <v>3918</v>
      </c>
      <c r="D1073" s="11" t="s">
        <v>3919</v>
      </c>
      <c r="E1073" s="11" t="s">
        <v>57</v>
      </c>
      <c r="F1073" s="11" t="s">
        <v>3920</v>
      </c>
      <c r="G1073" s="11" t="s">
        <v>28</v>
      </c>
      <c r="H1073" s="11" t="s">
        <v>3910</v>
      </c>
      <c r="I1073" s="11" t="s">
        <v>3911</v>
      </c>
      <c r="J1073" s="12">
        <v>0.97689999999999999</v>
      </c>
      <c r="K1073" s="13">
        <v>1</v>
      </c>
      <c r="L1073" s="14">
        <v>156</v>
      </c>
      <c r="M1073" s="10">
        <v>143</v>
      </c>
      <c r="N1073" s="10">
        <v>17238</v>
      </c>
      <c r="O1073" s="10">
        <v>11214</v>
      </c>
      <c r="P1073" s="10">
        <v>28452</v>
      </c>
    </row>
    <row r="1074" spans="1:16" ht="27" customHeight="1" x14ac:dyDescent="0.2">
      <c r="A1074" s="9" t="s">
        <v>3907</v>
      </c>
      <c r="B1074" s="10" t="s">
        <v>3908</v>
      </c>
      <c r="C1074" s="11" t="s">
        <v>3921</v>
      </c>
      <c r="D1074" s="11" t="s">
        <v>3922</v>
      </c>
      <c r="E1074" s="11" t="s">
        <v>26</v>
      </c>
      <c r="F1074" s="11" t="s">
        <v>3923</v>
      </c>
      <c r="G1074" s="11" t="s">
        <v>28</v>
      </c>
      <c r="H1074" s="11" t="s">
        <v>3923</v>
      </c>
      <c r="I1074" s="11" t="s">
        <v>3924</v>
      </c>
      <c r="J1074" s="12">
        <v>0.1515</v>
      </c>
      <c r="K1074" s="13">
        <v>1</v>
      </c>
      <c r="L1074" s="14">
        <v>680</v>
      </c>
      <c r="M1074" s="10">
        <v>103</v>
      </c>
      <c r="N1074" s="10">
        <v>75141</v>
      </c>
      <c r="O1074" s="10">
        <v>8077</v>
      </c>
      <c r="P1074" s="10">
        <v>83218</v>
      </c>
    </row>
    <row r="1075" spans="1:16" ht="27" customHeight="1" x14ac:dyDescent="0.2">
      <c r="A1075" s="9" t="s">
        <v>3907</v>
      </c>
      <c r="B1075" s="10" t="s">
        <v>3908</v>
      </c>
      <c r="C1075" s="11" t="s">
        <v>3925</v>
      </c>
      <c r="D1075" s="11" t="s">
        <v>3926</v>
      </c>
      <c r="E1075" s="11" t="s">
        <v>26</v>
      </c>
      <c r="F1075" s="11" t="s">
        <v>3927</v>
      </c>
      <c r="G1075" s="11" t="s">
        <v>28</v>
      </c>
      <c r="H1075" s="11" t="s">
        <v>3910</v>
      </c>
      <c r="I1075" s="11" t="s">
        <v>3911</v>
      </c>
      <c r="J1075" s="12">
        <v>0.97689999999999999</v>
      </c>
      <c r="K1075" s="13">
        <v>1</v>
      </c>
      <c r="L1075" s="14">
        <v>80</v>
      </c>
      <c r="M1075" s="10">
        <v>42</v>
      </c>
      <c r="N1075" s="10">
        <v>8840</v>
      </c>
      <c r="O1075" s="10">
        <v>3294</v>
      </c>
      <c r="P1075" s="10">
        <v>12134</v>
      </c>
    </row>
    <row r="1076" spans="1:16" ht="27" customHeight="1" x14ac:dyDescent="0.2">
      <c r="A1076" s="9" t="s">
        <v>3907</v>
      </c>
      <c r="B1076" s="10" t="s">
        <v>3908</v>
      </c>
      <c r="C1076" s="11" t="s">
        <v>3928</v>
      </c>
      <c r="D1076" s="11" t="s">
        <v>3929</v>
      </c>
      <c r="E1076" s="11" t="s">
        <v>26</v>
      </c>
      <c r="F1076" s="11" t="s">
        <v>3930</v>
      </c>
      <c r="G1076" s="11" t="s">
        <v>28</v>
      </c>
      <c r="H1076" s="11" t="s">
        <v>3910</v>
      </c>
      <c r="I1076" s="11" t="s">
        <v>3911</v>
      </c>
      <c r="J1076" s="12">
        <v>0.97689999999999999</v>
      </c>
      <c r="K1076" s="13">
        <v>1</v>
      </c>
      <c r="L1076" s="14">
        <v>373</v>
      </c>
      <c r="M1076" s="10">
        <v>261</v>
      </c>
      <c r="N1076" s="10">
        <v>41217</v>
      </c>
      <c r="O1076" s="10">
        <v>20467</v>
      </c>
      <c r="P1076" s="10">
        <v>61684</v>
      </c>
    </row>
    <row r="1077" spans="1:16" ht="27" customHeight="1" x14ac:dyDescent="0.2">
      <c r="A1077" s="9" t="s">
        <v>3907</v>
      </c>
      <c r="B1077" s="10" t="s">
        <v>3908</v>
      </c>
      <c r="C1077" s="11" t="s">
        <v>3931</v>
      </c>
      <c r="D1077" s="11" t="s">
        <v>3932</v>
      </c>
      <c r="E1077" s="11" t="s">
        <v>26</v>
      </c>
      <c r="F1077" s="11" t="s">
        <v>3933</v>
      </c>
      <c r="G1077" s="11" t="s">
        <v>28</v>
      </c>
      <c r="H1077" s="11" t="s">
        <v>3933</v>
      </c>
      <c r="I1077" s="11" t="s">
        <v>3934</v>
      </c>
      <c r="J1077" s="12">
        <v>0.22489999999999999</v>
      </c>
      <c r="K1077" s="13">
        <v>1</v>
      </c>
      <c r="L1077" s="14">
        <v>249</v>
      </c>
      <c r="M1077" s="10">
        <v>56</v>
      </c>
      <c r="N1077" s="10">
        <v>27515</v>
      </c>
      <c r="O1077" s="10">
        <v>4391</v>
      </c>
      <c r="P1077" s="10">
        <v>31906</v>
      </c>
    </row>
    <row r="1078" spans="1:16" ht="27" customHeight="1" x14ac:dyDescent="0.2">
      <c r="A1078" s="9" t="s">
        <v>3907</v>
      </c>
      <c r="B1078" s="10" t="s">
        <v>3908</v>
      </c>
      <c r="C1078" s="11" t="s">
        <v>3935</v>
      </c>
      <c r="D1078" s="11" t="s">
        <v>3936</v>
      </c>
      <c r="E1078" s="11" t="s">
        <v>26</v>
      </c>
      <c r="F1078" s="11" t="s">
        <v>3937</v>
      </c>
      <c r="G1078" s="11" t="s">
        <v>28</v>
      </c>
      <c r="H1078" s="11" t="s">
        <v>3937</v>
      </c>
      <c r="I1078" s="11" t="s">
        <v>3938</v>
      </c>
      <c r="J1078" s="12">
        <v>0.41089999999999999</v>
      </c>
      <c r="K1078" s="13">
        <v>1</v>
      </c>
      <c r="L1078" s="14">
        <v>1005</v>
      </c>
      <c r="M1078" s="10">
        <v>413</v>
      </c>
      <c r="N1078" s="10">
        <v>111054</v>
      </c>
      <c r="O1078" s="10">
        <v>32387</v>
      </c>
      <c r="P1078" s="10">
        <v>143441</v>
      </c>
    </row>
    <row r="1079" spans="1:16" ht="27" customHeight="1" x14ac:dyDescent="0.2">
      <c r="A1079" s="9" t="s">
        <v>3907</v>
      </c>
      <c r="B1079" s="10" t="s">
        <v>3908</v>
      </c>
      <c r="C1079" s="11" t="s">
        <v>3939</v>
      </c>
      <c r="D1079" s="11" t="s">
        <v>3940</v>
      </c>
      <c r="E1079" s="11" t="s">
        <v>26</v>
      </c>
      <c r="F1079" s="11" t="s">
        <v>3941</v>
      </c>
      <c r="G1079" s="11" t="s">
        <v>28</v>
      </c>
      <c r="H1079" s="11" t="s">
        <v>3941</v>
      </c>
      <c r="I1079" s="11" t="s">
        <v>3942</v>
      </c>
      <c r="J1079" s="12">
        <v>0.90980000000000005</v>
      </c>
      <c r="K1079" s="13">
        <v>1</v>
      </c>
      <c r="L1079" s="14">
        <v>643</v>
      </c>
      <c r="M1079" s="10">
        <v>585</v>
      </c>
      <c r="N1079" s="10">
        <v>71053</v>
      </c>
      <c r="O1079" s="10">
        <v>45875</v>
      </c>
      <c r="P1079" s="10">
        <v>116928</v>
      </c>
    </row>
    <row r="1080" spans="1:16" ht="27" customHeight="1" x14ac:dyDescent="0.2">
      <c r="A1080" s="9" t="s">
        <v>3907</v>
      </c>
      <c r="B1080" s="10" t="s">
        <v>3908</v>
      </c>
      <c r="C1080" s="11" t="s">
        <v>3943</v>
      </c>
      <c r="D1080" s="11" t="s">
        <v>3944</v>
      </c>
      <c r="E1080" s="11" t="s">
        <v>26</v>
      </c>
      <c r="F1080" s="11" t="s">
        <v>3945</v>
      </c>
      <c r="G1080" s="11" t="s">
        <v>28</v>
      </c>
      <c r="H1080" s="11" t="s">
        <v>3910</v>
      </c>
      <c r="I1080" s="11" t="s">
        <v>3911</v>
      </c>
      <c r="J1080" s="12">
        <v>0.97689999999999999</v>
      </c>
      <c r="K1080" s="13">
        <v>1</v>
      </c>
      <c r="L1080" s="14">
        <v>159</v>
      </c>
      <c r="M1080" s="10">
        <v>144</v>
      </c>
      <c r="N1080" s="10">
        <v>17570</v>
      </c>
      <c r="O1080" s="10">
        <v>11292</v>
      </c>
      <c r="P1080" s="10">
        <v>28862</v>
      </c>
    </row>
    <row r="1081" spans="1:16" ht="27" customHeight="1" x14ac:dyDescent="0.2">
      <c r="A1081" s="9" t="s">
        <v>3907</v>
      </c>
      <c r="B1081" s="10" t="s">
        <v>3908</v>
      </c>
      <c r="C1081" s="11" t="s">
        <v>3946</v>
      </c>
      <c r="D1081" s="11" t="s">
        <v>3947</v>
      </c>
      <c r="E1081" s="11" t="s">
        <v>26</v>
      </c>
      <c r="F1081" s="11" t="s">
        <v>3948</v>
      </c>
      <c r="G1081" s="11" t="s">
        <v>28</v>
      </c>
      <c r="H1081" s="11" t="s">
        <v>3948</v>
      </c>
      <c r="I1081" s="11" t="s">
        <v>3949</v>
      </c>
      <c r="J1081" s="12">
        <v>0.61209999999999998</v>
      </c>
      <c r="K1081" s="13">
        <v>1</v>
      </c>
      <c r="L1081" s="14">
        <v>397</v>
      </c>
      <c r="M1081" s="10">
        <v>243</v>
      </c>
      <c r="N1081" s="10">
        <v>43869</v>
      </c>
      <c r="O1081" s="10">
        <v>19056</v>
      </c>
      <c r="P1081" s="10">
        <v>62925</v>
      </c>
    </row>
    <row r="1082" spans="1:16" ht="27" customHeight="1" x14ac:dyDescent="0.2">
      <c r="A1082" s="9" t="s">
        <v>3907</v>
      </c>
      <c r="B1082" s="10" t="s">
        <v>3908</v>
      </c>
      <c r="C1082" s="11" t="s">
        <v>3950</v>
      </c>
      <c r="D1082" s="11" t="s">
        <v>3951</v>
      </c>
      <c r="E1082" s="11" t="s">
        <v>26</v>
      </c>
      <c r="F1082" s="11" t="s">
        <v>3952</v>
      </c>
      <c r="G1082" s="11" t="s">
        <v>28</v>
      </c>
      <c r="H1082" s="11" t="s">
        <v>3952</v>
      </c>
      <c r="I1082" s="11" t="s">
        <v>3953</v>
      </c>
      <c r="J1082" s="12">
        <v>0.87880000000000003</v>
      </c>
      <c r="K1082" s="13">
        <v>1</v>
      </c>
      <c r="L1082" s="14">
        <v>330</v>
      </c>
      <c r="M1082" s="10">
        <v>290</v>
      </c>
      <c r="N1082" s="10">
        <v>36466</v>
      </c>
      <c r="O1082" s="10">
        <v>22742</v>
      </c>
      <c r="P1082" s="10">
        <v>59208</v>
      </c>
    </row>
    <row r="1083" spans="1:16" ht="27" customHeight="1" x14ac:dyDescent="0.2">
      <c r="A1083" s="9" t="s">
        <v>3907</v>
      </c>
      <c r="B1083" s="10" t="s">
        <v>3908</v>
      </c>
      <c r="C1083" s="11" t="s">
        <v>3954</v>
      </c>
      <c r="D1083" s="11" t="s">
        <v>3955</v>
      </c>
      <c r="E1083" s="11" t="s">
        <v>26</v>
      </c>
      <c r="F1083" s="11" t="s">
        <v>3956</v>
      </c>
      <c r="G1083" s="11" t="s">
        <v>28</v>
      </c>
      <c r="H1083" s="11" t="s">
        <v>3956</v>
      </c>
      <c r="I1083" s="11" t="s">
        <v>3957</v>
      </c>
      <c r="J1083" s="12">
        <v>0.63639999999999997</v>
      </c>
      <c r="K1083" s="13">
        <v>1</v>
      </c>
      <c r="L1083" s="14">
        <v>187</v>
      </c>
      <c r="M1083" s="10">
        <v>119</v>
      </c>
      <c r="N1083" s="10">
        <v>20664</v>
      </c>
      <c r="O1083" s="10">
        <v>9332</v>
      </c>
      <c r="P1083" s="10">
        <v>29996</v>
      </c>
    </row>
    <row r="1084" spans="1:16" ht="27" customHeight="1" x14ac:dyDescent="0.2">
      <c r="A1084" s="9" t="s">
        <v>3907</v>
      </c>
      <c r="B1084" s="10" t="s">
        <v>3908</v>
      </c>
      <c r="C1084" s="11" t="s">
        <v>3958</v>
      </c>
      <c r="D1084" s="11" t="s">
        <v>3959</v>
      </c>
      <c r="E1084" s="11" t="s">
        <v>26</v>
      </c>
      <c r="F1084" s="11" t="s">
        <v>3960</v>
      </c>
      <c r="G1084" s="11" t="s">
        <v>28</v>
      </c>
      <c r="H1084" s="11" t="s">
        <v>3960</v>
      </c>
      <c r="I1084" s="11" t="s">
        <v>3961</v>
      </c>
      <c r="J1084" s="12">
        <v>0.57140000000000002</v>
      </c>
      <c r="K1084" s="13">
        <v>1</v>
      </c>
      <c r="L1084" s="14">
        <v>77</v>
      </c>
      <c r="M1084" s="10">
        <v>44</v>
      </c>
      <c r="N1084" s="10">
        <v>8509</v>
      </c>
      <c r="O1084" s="10">
        <v>3450</v>
      </c>
      <c r="P1084" s="10">
        <v>11959</v>
      </c>
    </row>
    <row r="1085" spans="1:16" ht="27" customHeight="1" x14ac:dyDescent="0.2">
      <c r="A1085" s="9" t="s">
        <v>3907</v>
      </c>
      <c r="B1085" s="10" t="s">
        <v>3908</v>
      </c>
      <c r="C1085" s="11" t="s">
        <v>3962</v>
      </c>
      <c r="D1085" s="11" t="s">
        <v>3963</v>
      </c>
      <c r="E1085" s="11" t="s">
        <v>26</v>
      </c>
      <c r="F1085" s="11" t="s">
        <v>3964</v>
      </c>
      <c r="G1085" s="11" t="s">
        <v>28</v>
      </c>
      <c r="H1085" s="11" t="s">
        <v>3964</v>
      </c>
      <c r="I1085" s="11" t="s">
        <v>3965</v>
      </c>
      <c r="J1085" s="12">
        <v>0.33119999999999999</v>
      </c>
      <c r="K1085" s="13">
        <v>1</v>
      </c>
      <c r="L1085" s="14">
        <v>157</v>
      </c>
      <c r="M1085" s="10">
        <v>52</v>
      </c>
      <c r="N1085" s="10">
        <v>17349</v>
      </c>
      <c r="O1085" s="10">
        <v>4078</v>
      </c>
      <c r="P1085" s="10">
        <v>21427</v>
      </c>
    </row>
    <row r="1086" spans="1:16" ht="27" customHeight="1" x14ac:dyDescent="0.2">
      <c r="A1086" s="9" t="s">
        <v>3907</v>
      </c>
      <c r="B1086" s="10" t="s">
        <v>3908</v>
      </c>
      <c r="C1086" s="11" t="s">
        <v>3966</v>
      </c>
      <c r="D1086" s="11" t="s">
        <v>3967</v>
      </c>
      <c r="E1086" s="11" t="s">
        <v>26</v>
      </c>
      <c r="F1086" s="11" t="s">
        <v>3968</v>
      </c>
      <c r="G1086" s="11" t="s">
        <v>28</v>
      </c>
      <c r="H1086" s="11" t="s">
        <v>3968</v>
      </c>
      <c r="I1086" s="11" t="s">
        <v>3969</v>
      </c>
      <c r="J1086" s="12">
        <v>0.6</v>
      </c>
      <c r="K1086" s="13">
        <v>1</v>
      </c>
      <c r="L1086" s="14">
        <v>130</v>
      </c>
      <c r="M1086" s="10">
        <v>78</v>
      </c>
      <c r="N1086" s="10">
        <v>14365</v>
      </c>
      <c r="O1086" s="10">
        <v>6117</v>
      </c>
      <c r="P1086" s="10">
        <v>20482</v>
      </c>
    </row>
    <row r="1087" spans="1:16" ht="27" customHeight="1" x14ac:dyDescent="0.2">
      <c r="A1087" s="9" t="s">
        <v>3907</v>
      </c>
      <c r="B1087" s="10" t="s">
        <v>3908</v>
      </c>
      <c r="C1087" s="11" t="s">
        <v>3970</v>
      </c>
      <c r="D1087" s="11" t="s">
        <v>3971</v>
      </c>
      <c r="E1087" s="11" t="s">
        <v>26</v>
      </c>
      <c r="F1087" s="11" t="s">
        <v>3972</v>
      </c>
      <c r="G1087" s="11" t="s">
        <v>28</v>
      </c>
      <c r="H1087" s="11" t="s">
        <v>3972</v>
      </c>
      <c r="I1087" s="11" t="s">
        <v>3973</v>
      </c>
      <c r="J1087" s="12">
        <v>0.14560000000000001</v>
      </c>
      <c r="K1087" s="13">
        <v>1</v>
      </c>
      <c r="L1087" s="14">
        <v>529</v>
      </c>
      <c r="M1087" s="10">
        <v>77</v>
      </c>
      <c r="N1087" s="10">
        <v>58455</v>
      </c>
      <c r="O1087" s="10">
        <v>6038</v>
      </c>
      <c r="P1087" s="10">
        <v>64493</v>
      </c>
    </row>
    <row r="1088" spans="1:16" ht="27" customHeight="1" x14ac:dyDescent="0.2">
      <c r="A1088" s="9" t="s">
        <v>3907</v>
      </c>
      <c r="B1088" s="10" t="s">
        <v>3908</v>
      </c>
      <c r="C1088" s="11" t="s">
        <v>3974</v>
      </c>
      <c r="D1088" s="11" t="s">
        <v>3975</v>
      </c>
      <c r="E1088" s="11" t="s">
        <v>26</v>
      </c>
      <c r="F1088" s="11" t="s">
        <v>3976</v>
      </c>
      <c r="G1088" s="11" t="s">
        <v>28</v>
      </c>
      <c r="H1088" s="11" t="s">
        <v>3976</v>
      </c>
      <c r="I1088" s="11" t="s">
        <v>3977</v>
      </c>
      <c r="J1088" s="12">
        <v>0.14760000000000001</v>
      </c>
      <c r="K1088" s="13">
        <v>1</v>
      </c>
      <c r="L1088" s="14">
        <v>210</v>
      </c>
      <c r="M1088" s="10">
        <v>31</v>
      </c>
      <c r="N1088" s="10">
        <v>23205</v>
      </c>
      <c r="O1088" s="10">
        <v>2431</v>
      </c>
      <c r="P1088" s="10">
        <v>25636</v>
      </c>
    </row>
    <row r="1089" spans="1:16" ht="27" customHeight="1" x14ac:dyDescent="0.2">
      <c r="A1089" s="9" t="s">
        <v>3907</v>
      </c>
      <c r="B1089" s="10" t="s">
        <v>3908</v>
      </c>
      <c r="C1089" s="11" t="s">
        <v>3978</v>
      </c>
      <c r="D1089" s="11" t="s">
        <v>3979</v>
      </c>
      <c r="E1089" s="11" t="s">
        <v>26</v>
      </c>
      <c r="F1089" s="11" t="s">
        <v>3980</v>
      </c>
      <c r="G1089" s="11" t="s">
        <v>28</v>
      </c>
      <c r="H1089" s="11" t="s">
        <v>3910</v>
      </c>
      <c r="I1089" s="11" t="s">
        <v>3911</v>
      </c>
      <c r="J1089" s="12">
        <v>0.97689999999999999</v>
      </c>
      <c r="K1089" s="13">
        <v>1</v>
      </c>
      <c r="L1089" s="14">
        <v>0</v>
      </c>
      <c r="M1089" s="10">
        <v>0</v>
      </c>
      <c r="N1089" s="10">
        <v>0</v>
      </c>
      <c r="O1089" s="10">
        <v>0</v>
      </c>
      <c r="P1089" s="10">
        <v>0</v>
      </c>
    </row>
    <row r="1090" spans="1:16" ht="27" customHeight="1" x14ac:dyDescent="0.2">
      <c r="A1090" s="9" t="s">
        <v>3907</v>
      </c>
      <c r="B1090" s="10" t="s">
        <v>3908</v>
      </c>
      <c r="C1090" s="11" t="s">
        <v>3981</v>
      </c>
      <c r="D1090" s="11" t="s">
        <v>3982</v>
      </c>
      <c r="E1090" s="11" t="s">
        <v>26</v>
      </c>
      <c r="F1090" s="11" t="s">
        <v>3983</v>
      </c>
      <c r="G1090" s="11" t="s">
        <v>28</v>
      </c>
      <c r="H1090" s="11" t="s">
        <v>3983</v>
      </c>
      <c r="I1090" s="11" t="s">
        <v>3984</v>
      </c>
      <c r="J1090" s="12">
        <v>0</v>
      </c>
      <c r="K1090" s="13">
        <v>1</v>
      </c>
      <c r="L1090" s="14">
        <v>0</v>
      </c>
      <c r="M1090" s="10">
        <v>0</v>
      </c>
      <c r="N1090" s="10">
        <v>0</v>
      </c>
      <c r="O1090" s="10">
        <v>0</v>
      </c>
      <c r="P1090" s="10">
        <v>0</v>
      </c>
    </row>
    <row r="1091" spans="1:16" ht="27" customHeight="1" x14ac:dyDescent="0.2">
      <c r="A1091" s="9" t="s">
        <v>3907</v>
      </c>
      <c r="B1091" s="10" t="s">
        <v>3908</v>
      </c>
      <c r="C1091" s="11" t="s">
        <v>3985</v>
      </c>
      <c r="D1091" s="11" t="s">
        <v>3986</v>
      </c>
      <c r="E1091" s="11" t="s">
        <v>26</v>
      </c>
      <c r="F1091" s="11" t="s">
        <v>3987</v>
      </c>
      <c r="G1091" s="11" t="s">
        <v>28</v>
      </c>
      <c r="H1091" s="11" t="s">
        <v>3910</v>
      </c>
      <c r="I1091" s="11" t="s">
        <v>3911</v>
      </c>
      <c r="J1091" s="12">
        <v>0.97689999999999999</v>
      </c>
      <c r="K1091" s="13">
        <v>1</v>
      </c>
      <c r="L1091" s="14">
        <v>0</v>
      </c>
      <c r="M1091" s="10">
        <v>0</v>
      </c>
      <c r="N1091" s="10">
        <v>0</v>
      </c>
      <c r="O1091" s="10">
        <v>0</v>
      </c>
      <c r="P1091" s="10">
        <v>0</v>
      </c>
    </row>
    <row r="1092" spans="1:16" ht="27" customHeight="1" x14ac:dyDescent="0.2">
      <c r="A1092" s="9" t="s">
        <v>3907</v>
      </c>
      <c r="B1092" s="10" t="s">
        <v>3908</v>
      </c>
      <c r="C1092" s="11" t="s">
        <v>3988</v>
      </c>
      <c r="D1092" s="11" t="s">
        <v>3989</v>
      </c>
      <c r="E1092" s="11" t="s">
        <v>26</v>
      </c>
      <c r="F1092" s="11" t="s">
        <v>3990</v>
      </c>
      <c r="G1092" s="11" t="s">
        <v>28</v>
      </c>
      <c r="H1092" s="11" t="s">
        <v>3990</v>
      </c>
      <c r="I1092" s="11" t="s">
        <v>3991</v>
      </c>
      <c r="J1092" s="12">
        <v>0</v>
      </c>
      <c r="K1092" s="13">
        <v>1</v>
      </c>
      <c r="L1092" s="14">
        <v>0</v>
      </c>
      <c r="M1092" s="10">
        <v>0</v>
      </c>
      <c r="N1092" s="10">
        <v>0</v>
      </c>
      <c r="O1092" s="10">
        <v>0</v>
      </c>
      <c r="P1092" s="10">
        <v>0</v>
      </c>
    </row>
    <row r="1093" spans="1:16" ht="27" customHeight="1" x14ac:dyDescent="0.2">
      <c r="A1093" s="9" t="s">
        <v>3907</v>
      </c>
      <c r="B1093" s="10" t="s">
        <v>3908</v>
      </c>
      <c r="C1093" s="11" t="s">
        <v>3992</v>
      </c>
      <c r="D1093" s="11" t="s">
        <v>3993</v>
      </c>
      <c r="E1093" s="11" t="s">
        <v>26</v>
      </c>
      <c r="F1093" s="11" t="s">
        <v>3994</v>
      </c>
      <c r="G1093" s="11" t="s">
        <v>28</v>
      </c>
      <c r="H1093" s="11" t="s">
        <v>3910</v>
      </c>
      <c r="I1093" s="11" t="s">
        <v>3911</v>
      </c>
      <c r="J1093" s="12">
        <v>0.97689999999999999</v>
      </c>
      <c r="K1093" s="13">
        <v>1</v>
      </c>
      <c r="L1093" s="14">
        <v>2252</v>
      </c>
      <c r="M1093" s="10">
        <v>280</v>
      </c>
      <c r="N1093" s="10">
        <v>248850</v>
      </c>
      <c r="O1093" s="10">
        <v>21957</v>
      </c>
      <c r="P1093" s="10">
        <v>270807</v>
      </c>
    </row>
    <row r="1094" spans="1:16" ht="27" customHeight="1" x14ac:dyDescent="0.2">
      <c r="A1094" s="9" t="s">
        <v>3907</v>
      </c>
      <c r="B1094" s="10" t="s">
        <v>3995</v>
      </c>
      <c r="C1094" s="11" t="s">
        <v>18</v>
      </c>
      <c r="D1094" s="11" t="s">
        <v>19</v>
      </c>
      <c r="E1094" s="11" t="s">
        <v>19</v>
      </c>
      <c r="F1094" s="11" t="s">
        <v>3996</v>
      </c>
      <c r="G1094" s="11" t="s">
        <v>83</v>
      </c>
      <c r="H1094" s="11" t="s">
        <v>3997</v>
      </c>
      <c r="I1094" s="11" t="s">
        <v>3998</v>
      </c>
      <c r="J1094" s="12">
        <v>0.60829999999999995</v>
      </c>
      <c r="K1094" s="13">
        <v>7</v>
      </c>
      <c r="L1094" s="14">
        <v>3095</v>
      </c>
      <c r="M1094" s="10">
        <v>1716</v>
      </c>
      <c r="N1094" s="10">
        <v>342003</v>
      </c>
      <c r="O1094" s="10">
        <v>134567</v>
      </c>
      <c r="P1094" s="10">
        <v>476570</v>
      </c>
    </row>
    <row r="1095" spans="1:16" ht="27" customHeight="1" x14ac:dyDescent="0.2">
      <c r="A1095" s="9" t="s">
        <v>3907</v>
      </c>
      <c r="B1095" s="10" t="s">
        <v>3999</v>
      </c>
      <c r="C1095" s="11" t="s">
        <v>18</v>
      </c>
      <c r="D1095" s="11" t="s">
        <v>19</v>
      </c>
      <c r="E1095" s="11" t="s">
        <v>19</v>
      </c>
      <c r="F1095" s="11" t="s">
        <v>4000</v>
      </c>
      <c r="G1095" s="11" t="s">
        <v>83</v>
      </c>
      <c r="H1095" s="11" t="s">
        <v>4001</v>
      </c>
      <c r="I1095" s="11" t="s">
        <v>4002</v>
      </c>
      <c r="J1095" s="12">
        <v>0.83399999999999996</v>
      </c>
      <c r="K1095" s="13">
        <v>25</v>
      </c>
      <c r="L1095" s="14">
        <v>15593</v>
      </c>
      <c r="M1095" s="10">
        <v>11546</v>
      </c>
      <c r="N1095" s="10">
        <v>1723052</v>
      </c>
      <c r="O1095" s="10">
        <v>905426</v>
      </c>
      <c r="P1095" s="10">
        <v>2628478</v>
      </c>
    </row>
    <row r="1096" spans="1:16" ht="27" customHeight="1" x14ac:dyDescent="0.2">
      <c r="A1096" s="9" t="s">
        <v>3907</v>
      </c>
      <c r="B1096" s="10" t="s">
        <v>3999</v>
      </c>
      <c r="C1096" s="11" t="s">
        <v>4003</v>
      </c>
      <c r="D1096" s="11" t="s">
        <v>4004</v>
      </c>
      <c r="E1096" s="11" t="s">
        <v>26</v>
      </c>
      <c r="F1096" s="11" t="s">
        <v>4005</v>
      </c>
      <c r="G1096" s="11" t="s">
        <v>28</v>
      </c>
      <c r="H1096" s="11" t="s">
        <v>4005</v>
      </c>
      <c r="I1096" s="11" t="s">
        <v>4006</v>
      </c>
      <c r="J1096" s="12">
        <v>0.66390000000000005</v>
      </c>
      <c r="K1096" s="13">
        <v>1</v>
      </c>
      <c r="L1096" s="14">
        <v>241</v>
      </c>
      <c r="M1096" s="10">
        <v>160</v>
      </c>
      <c r="N1096" s="10">
        <v>26631</v>
      </c>
      <c r="O1096" s="10">
        <v>12547</v>
      </c>
      <c r="P1096" s="10">
        <v>39178</v>
      </c>
    </row>
    <row r="1097" spans="1:16" ht="27" customHeight="1" x14ac:dyDescent="0.2">
      <c r="A1097" s="9" t="s">
        <v>3907</v>
      </c>
      <c r="B1097" s="10" t="s">
        <v>3999</v>
      </c>
      <c r="C1097" s="11" t="s">
        <v>4007</v>
      </c>
      <c r="D1097" s="11" t="s">
        <v>4008</v>
      </c>
      <c r="E1097" s="11" t="s">
        <v>26</v>
      </c>
      <c r="F1097" s="11" t="s">
        <v>4009</v>
      </c>
      <c r="G1097" s="11" t="s">
        <v>28</v>
      </c>
      <c r="H1097" s="11" t="s">
        <v>4009</v>
      </c>
      <c r="I1097" s="11" t="s">
        <v>4010</v>
      </c>
      <c r="J1097" s="12">
        <v>0.84250000000000003</v>
      </c>
      <c r="K1097" s="13">
        <v>1</v>
      </c>
      <c r="L1097" s="14">
        <v>273</v>
      </c>
      <c r="M1097" s="10">
        <v>230</v>
      </c>
      <c r="N1097" s="10">
        <v>30167</v>
      </c>
      <c r="O1097" s="10">
        <v>18036</v>
      </c>
      <c r="P1097" s="10">
        <v>48203</v>
      </c>
    </row>
    <row r="1098" spans="1:16" ht="27" customHeight="1" x14ac:dyDescent="0.2">
      <c r="A1098" s="9" t="s">
        <v>3907</v>
      </c>
      <c r="B1098" s="10" t="s">
        <v>4011</v>
      </c>
      <c r="C1098" s="11" t="s">
        <v>18</v>
      </c>
      <c r="D1098" s="11" t="s">
        <v>19</v>
      </c>
      <c r="E1098" s="11" t="s">
        <v>19</v>
      </c>
      <c r="F1098" s="11" t="s">
        <v>4012</v>
      </c>
      <c r="G1098" s="11" t="s">
        <v>83</v>
      </c>
      <c r="H1098" s="11" t="s">
        <v>3910</v>
      </c>
      <c r="I1098" s="11" t="s">
        <v>3911</v>
      </c>
      <c r="J1098" s="12">
        <v>0.97689999999999999</v>
      </c>
      <c r="K1098" s="13">
        <v>22</v>
      </c>
      <c r="L1098" s="14">
        <v>27706</v>
      </c>
      <c r="M1098" s="10">
        <v>21541</v>
      </c>
      <c r="N1098" s="10">
        <v>3061560</v>
      </c>
      <c r="O1098" s="10">
        <v>1689221</v>
      </c>
      <c r="P1098" s="10">
        <v>4750781</v>
      </c>
    </row>
    <row r="1099" spans="1:16" ht="27" customHeight="1" x14ac:dyDescent="0.2">
      <c r="A1099" s="9" t="s">
        <v>3907</v>
      </c>
      <c r="B1099" s="10" t="s">
        <v>4013</v>
      </c>
      <c r="C1099" s="11" t="s">
        <v>18</v>
      </c>
      <c r="D1099" s="11" t="s">
        <v>19</v>
      </c>
      <c r="E1099" s="11" t="s">
        <v>19</v>
      </c>
      <c r="F1099" s="11" t="s">
        <v>4014</v>
      </c>
      <c r="G1099" s="11" t="s">
        <v>83</v>
      </c>
      <c r="H1099" s="11" t="s">
        <v>4015</v>
      </c>
      <c r="I1099" s="11" t="s">
        <v>4016</v>
      </c>
      <c r="J1099" s="12">
        <v>0.32890000000000003</v>
      </c>
      <c r="K1099" s="13">
        <v>11</v>
      </c>
      <c r="L1099" s="14">
        <v>5841</v>
      </c>
      <c r="M1099" s="10">
        <v>1286</v>
      </c>
      <c r="N1099" s="10">
        <v>645440</v>
      </c>
      <c r="O1099" s="10">
        <v>100847</v>
      </c>
      <c r="P1099" s="10">
        <v>746287</v>
      </c>
    </row>
    <row r="1100" spans="1:16" ht="27" customHeight="1" x14ac:dyDescent="0.2">
      <c r="A1100" s="9" t="s">
        <v>3907</v>
      </c>
      <c r="B1100" s="10" t="s">
        <v>4017</v>
      </c>
      <c r="C1100" s="11" t="s">
        <v>18</v>
      </c>
      <c r="D1100" s="11" t="s">
        <v>19</v>
      </c>
      <c r="E1100" s="11" t="s">
        <v>19</v>
      </c>
      <c r="F1100" s="11" t="s">
        <v>4018</v>
      </c>
      <c r="G1100" s="11" t="s">
        <v>83</v>
      </c>
      <c r="H1100" s="11" t="s">
        <v>4019</v>
      </c>
      <c r="I1100" s="11" t="s">
        <v>4020</v>
      </c>
      <c r="J1100" s="12">
        <v>0.91139999999999999</v>
      </c>
      <c r="K1100" s="13">
        <v>8</v>
      </c>
      <c r="L1100" s="14">
        <v>4118</v>
      </c>
      <c r="M1100" s="10">
        <v>3236</v>
      </c>
      <c r="N1100" s="10">
        <v>455048</v>
      </c>
      <c r="O1100" s="10">
        <v>253764</v>
      </c>
      <c r="P1100" s="10">
        <v>708812</v>
      </c>
    </row>
    <row r="1101" spans="1:16" ht="27" customHeight="1" x14ac:dyDescent="0.2">
      <c r="A1101" s="9" t="s">
        <v>3907</v>
      </c>
      <c r="B1101" s="10" t="s">
        <v>4021</v>
      </c>
      <c r="C1101" s="11" t="s">
        <v>18</v>
      </c>
      <c r="D1101" s="11" t="s">
        <v>19</v>
      </c>
      <c r="E1101" s="11" t="s">
        <v>19</v>
      </c>
      <c r="F1101" s="11" t="s">
        <v>4022</v>
      </c>
      <c r="G1101" s="11" t="s">
        <v>83</v>
      </c>
      <c r="H1101" s="11" t="s">
        <v>4023</v>
      </c>
      <c r="I1101" s="11" t="s">
        <v>4024</v>
      </c>
      <c r="J1101" s="12">
        <v>0.89970000000000006</v>
      </c>
      <c r="K1101" s="13">
        <v>59</v>
      </c>
      <c r="L1101" s="14">
        <v>42164</v>
      </c>
      <c r="M1101" s="10">
        <v>14703</v>
      </c>
      <c r="N1101" s="10">
        <v>4659194</v>
      </c>
      <c r="O1101" s="10">
        <v>1152992</v>
      </c>
      <c r="P1101" s="10">
        <v>5812186</v>
      </c>
    </row>
    <row r="1102" spans="1:16" ht="27" customHeight="1" x14ac:dyDescent="0.2">
      <c r="A1102" s="9" t="s">
        <v>3907</v>
      </c>
      <c r="B1102" s="10" t="s">
        <v>4021</v>
      </c>
      <c r="C1102" s="11" t="s">
        <v>4025</v>
      </c>
      <c r="D1102" s="11" t="s">
        <v>4026</v>
      </c>
      <c r="E1102" s="11" t="s">
        <v>26</v>
      </c>
      <c r="F1102" s="11" t="s">
        <v>4027</v>
      </c>
      <c r="G1102" s="11" t="s">
        <v>28</v>
      </c>
      <c r="H1102" s="11" t="s">
        <v>4027</v>
      </c>
      <c r="I1102" s="11" t="s">
        <v>4028</v>
      </c>
      <c r="J1102" s="12">
        <v>0.51160000000000005</v>
      </c>
      <c r="K1102" s="13">
        <v>1</v>
      </c>
      <c r="L1102" s="14">
        <v>5142</v>
      </c>
      <c r="M1102" s="10">
        <v>2631</v>
      </c>
      <c r="N1102" s="10">
        <v>568199</v>
      </c>
      <c r="O1102" s="10">
        <v>206320</v>
      </c>
      <c r="P1102" s="10">
        <v>774519</v>
      </c>
    </row>
    <row r="1103" spans="1:16" ht="27" customHeight="1" x14ac:dyDescent="0.2">
      <c r="A1103" s="9" t="s">
        <v>3907</v>
      </c>
      <c r="B1103" s="10" t="s">
        <v>4021</v>
      </c>
      <c r="C1103" s="11" t="s">
        <v>4029</v>
      </c>
      <c r="D1103" s="11" t="s">
        <v>4030</v>
      </c>
      <c r="E1103" s="11" t="s">
        <v>26</v>
      </c>
      <c r="F1103" s="11" t="s">
        <v>4031</v>
      </c>
      <c r="G1103" s="11" t="s">
        <v>28</v>
      </c>
      <c r="H1103" s="11" t="s">
        <v>4031</v>
      </c>
      <c r="I1103" s="11" t="s">
        <v>4032</v>
      </c>
      <c r="J1103" s="12">
        <v>0.10730000000000001</v>
      </c>
      <c r="K1103" s="13">
        <v>1</v>
      </c>
      <c r="L1103" s="14">
        <v>783</v>
      </c>
      <c r="M1103" s="10">
        <v>84</v>
      </c>
      <c r="N1103" s="10">
        <v>86523</v>
      </c>
      <c r="O1103" s="10">
        <v>6587</v>
      </c>
      <c r="P1103" s="10">
        <v>93110</v>
      </c>
    </row>
    <row r="1104" spans="1:16" ht="27" customHeight="1" x14ac:dyDescent="0.2">
      <c r="A1104" s="9" t="s">
        <v>3907</v>
      </c>
      <c r="B1104" s="10" t="s">
        <v>4021</v>
      </c>
      <c r="C1104" s="11" t="s">
        <v>4033</v>
      </c>
      <c r="D1104" s="11" t="s">
        <v>4034</v>
      </c>
      <c r="E1104" s="11" t="s">
        <v>26</v>
      </c>
      <c r="F1104" s="11" t="s">
        <v>4035</v>
      </c>
      <c r="G1104" s="11" t="s">
        <v>28</v>
      </c>
      <c r="H1104" s="11" t="s">
        <v>4035</v>
      </c>
      <c r="I1104" s="11" t="s">
        <v>4036</v>
      </c>
      <c r="J1104" s="12">
        <v>0.13589999999999999</v>
      </c>
      <c r="K1104" s="13">
        <v>1</v>
      </c>
      <c r="L1104" s="14">
        <v>847</v>
      </c>
      <c r="M1104" s="10">
        <v>115</v>
      </c>
      <c r="N1104" s="10">
        <v>93595</v>
      </c>
      <c r="O1104" s="10">
        <v>9018</v>
      </c>
      <c r="P1104" s="10">
        <v>102613</v>
      </c>
    </row>
    <row r="1105" spans="1:16" ht="27" customHeight="1" x14ac:dyDescent="0.2">
      <c r="A1105" s="9" t="s">
        <v>3907</v>
      </c>
      <c r="B1105" s="10" t="s">
        <v>4021</v>
      </c>
      <c r="C1105" s="11" t="s">
        <v>4037</v>
      </c>
      <c r="D1105" s="11" t="s">
        <v>4038</v>
      </c>
      <c r="E1105" s="11" t="s">
        <v>26</v>
      </c>
      <c r="F1105" s="11" t="s">
        <v>4039</v>
      </c>
      <c r="G1105" s="11" t="s">
        <v>28</v>
      </c>
      <c r="H1105" s="11" t="s">
        <v>4039</v>
      </c>
      <c r="I1105" s="11" t="s">
        <v>4040</v>
      </c>
      <c r="J1105" s="12">
        <v>0.31309999999999999</v>
      </c>
      <c r="K1105" s="13">
        <v>1</v>
      </c>
      <c r="L1105" s="14">
        <v>99</v>
      </c>
      <c r="M1105" s="10">
        <v>31</v>
      </c>
      <c r="N1105" s="10">
        <v>10940</v>
      </c>
      <c r="O1105" s="10">
        <v>2431</v>
      </c>
      <c r="P1105" s="10">
        <v>13371</v>
      </c>
    </row>
    <row r="1106" spans="1:16" ht="27" customHeight="1" x14ac:dyDescent="0.2">
      <c r="A1106" s="9" t="s">
        <v>3907</v>
      </c>
      <c r="B1106" s="10" t="s">
        <v>4021</v>
      </c>
      <c r="C1106" s="11" t="s">
        <v>4041</v>
      </c>
      <c r="D1106" s="11" t="s">
        <v>4042</v>
      </c>
      <c r="E1106" s="11" t="s">
        <v>26</v>
      </c>
      <c r="F1106" s="11" t="s">
        <v>4043</v>
      </c>
      <c r="G1106" s="11" t="s">
        <v>28</v>
      </c>
      <c r="H1106" s="11" t="s">
        <v>4043</v>
      </c>
      <c r="I1106" s="11" t="s">
        <v>4044</v>
      </c>
      <c r="J1106" s="12">
        <v>0.20100000000000001</v>
      </c>
      <c r="K1106" s="13">
        <v>1</v>
      </c>
      <c r="L1106" s="14">
        <v>582</v>
      </c>
      <c r="M1106" s="10">
        <v>117</v>
      </c>
      <c r="N1106" s="10">
        <v>64312</v>
      </c>
      <c r="O1106" s="10">
        <v>9175</v>
      </c>
      <c r="P1106" s="10">
        <v>73487</v>
      </c>
    </row>
    <row r="1107" spans="1:16" ht="27" customHeight="1" x14ac:dyDescent="0.2">
      <c r="A1107" s="9" t="s">
        <v>3907</v>
      </c>
      <c r="B1107" s="10" t="s">
        <v>4021</v>
      </c>
      <c r="C1107" s="11" t="s">
        <v>4045</v>
      </c>
      <c r="D1107" s="11" t="s">
        <v>4046</v>
      </c>
      <c r="E1107" s="11" t="s">
        <v>26</v>
      </c>
      <c r="F1107" s="11" t="s">
        <v>4047</v>
      </c>
      <c r="G1107" s="11" t="s">
        <v>28</v>
      </c>
      <c r="H1107" s="11" t="s">
        <v>3910</v>
      </c>
      <c r="I1107" s="11" t="s">
        <v>3911</v>
      </c>
      <c r="J1107" s="12">
        <v>0.97689999999999999</v>
      </c>
      <c r="K1107" s="13">
        <v>1</v>
      </c>
      <c r="L1107" s="14">
        <v>115</v>
      </c>
      <c r="M1107" s="10">
        <v>56</v>
      </c>
      <c r="N1107" s="10">
        <v>12708</v>
      </c>
      <c r="O1107" s="10">
        <v>4391</v>
      </c>
      <c r="P1107" s="10">
        <v>17099</v>
      </c>
    </row>
    <row r="1108" spans="1:16" ht="27" customHeight="1" x14ac:dyDescent="0.2">
      <c r="A1108" s="9" t="s">
        <v>3907</v>
      </c>
      <c r="B1108" s="10" t="s">
        <v>4048</v>
      </c>
      <c r="C1108" s="11" t="s">
        <v>18</v>
      </c>
      <c r="D1108" s="11" t="s">
        <v>19</v>
      </c>
      <c r="E1108" s="11" t="s">
        <v>19</v>
      </c>
      <c r="F1108" s="11" t="s">
        <v>4049</v>
      </c>
      <c r="G1108" s="11" t="s">
        <v>83</v>
      </c>
      <c r="H1108" s="11" t="s">
        <v>4050</v>
      </c>
      <c r="I1108" s="11" t="s">
        <v>4051</v>
      </c>
      <c r="J1108" s="12">
        <v>0.93779999999999997</v>
      </c>
      <c r="K1108" s="13">
        <v>9</v>
      </c>
      <c r="L1108" s="14">
        <v>4301</v>
      </c>
      <c r="M1108" s="10">
        <v>2828</v>
      </c>
      <c r="N1108" s="10">
        <v>475268</v>
      </c>
      <c r="O1108" s="10">
        <v>221769</v>
      </c>
      <c r="P1108" s="10">
        <v>697037</v>
      </c>
    </row>
    <row r="1109" spans="1:16" ht="27" customHeight="1" x14ac:dyDescent="0.2">
      <c r="A1109" s="9" t="s">
        <v>3907</v>
      </c>
      <c r="B1109" s="10" t="s">
        <v>4052</v>
      </c>
      <c r="C1109" s="11" t="s">
        <v>18</v>
      </c>
      <c r="D1109" s="11" t="s">
        <v>19</v>
      </c>
      <c r="E1109" s="11" t="s">
        <v>19</v>
      </c>
      <c r="F1109" s="11" t="s">
        <v>4053</v>
      </c>
      <c r="G1109" s="11" t="s">
        <v>83</v>
      </c>
      <c r="H1109" s="11" t="s">
        <v>4054</v>
      </c>
      <c r="I1109" s="11" t="s">
        <v>4055</v>
      </c>
      <c r="J1109" s="12">
        <v>0.68600000000000005</v>
      </c>
      <c r="K1109" s="13">
        <v>7</v>
      </c>
      <c r="L1109" s="14">
        <v>3432</v>
      </c>
      <c r="M1109" s="10">
        <v>1465</v>
      </c>
      <c r="N1109" s="10">
        <v>379242</v>
      </c>
      <c r="O1109" s="10">
        <v>114883</v>
      </c>
      <c r="P1109" s="10">
        <v>494125</v>
      </c>
    </row>
    <row r="1110" spans="1:16" ht="27" customHeight="1" x14ac:dyDescent="0.2">
      <c r="A1110" s="9" t="s">
        <v>3907</v>
      </c>
      <c r="B1110" s="10" t="s">
        <v>4056</v>
      </c>
      <c r="C1110" s="11" t="s">
        <v>18</v>
      </c>
      <c r="D1110" s="11" t="s">
        <v>19</v>
      </c>
      <c r="E1110" s="11" t="s">
        <v>19</v>
      </c>
      <c r="F1110" s="11" t="s">
        <v>4057</v>
      </c>
      <c r="G1110" s="11" t="s">
        <v>83</v>
      </c>
      <c r="H1110" s="11" t="s">
        <v>4058</v>
      </c>
      <c r="I1110" s="11" t="s">
        <v>4059</v>
      </c>
      <c r="J1110" s="12">
        <v>0.30580000000000002</v>
      </c>
      <c r="K1110" s="13">
        <v>11</v>
      </c>
      <c r="L1110" s="14">
        <v>6085</v>
      </c>
      <c r="M1110" s="10">
        <v>1444</v>
      </c>
      <c r="N1110" s="10">
        <v>672401</v>
      </c>
      <c r="O1110" s="10">
        <v>113238</v>
      </c>
      <c r="P1110" s="10">
        <v>785639</v>
      </c>
    </row>
    <row r="1111" spans="1:16" ht="27" customHeight="1" x14ac:dyDescent="0.2">
      <c r="A1111" s="9" t="s">
        <v>3907</v>
      </c>
      <c r="B1111" s="10" t="s">
        <v>4060</v>
      </c>
      <c r="C1111" s="11" t="s">
        <v>18</v>
      </c>
      <c r="D1111" s="11" t="s">
        <v>19</v>
      </c>
      <c r="E1111" s="11" t="s">
        <v>19</v>
      </c>
      <c r="F1111" s="11" t="s">
        <v>4061</v>
      </c>
      <c r="G1111" s="11" t="s">
        <v>83</v>
      </c>
      <c r="H1111" s="11" t="s">
        <v>4062</v>
      </c>
      <c r="I1111" s="11" t="s">
        <v>4063</v>
      </c>
      <c r="J1111" s="12">
        <v>0.92789999999999995</v>
      </c>
      <c r="K1111" s="13">
        <v>21</v>
      </c>
      <c r="L1111" s="14">
        <v>11991</v>
      </c>
      <c r="M1111" s="10">
        <v>6856</v>
      </c>
      <c r="N1111" s="10">
        <v>1325024</v>
      </c>
      <c r="O1111" s="10">
        <v>537641</v>
      </c>
      <c r="P1111" s="10">
        <v>1862665</v>
      </c>
    </row>
    <row r="1112" spans="1:16" ht="27" customHeight="1" x14ac:dyDescent="0.2">
      <c r="A1112" s="9" t="s">
        <v>3907</v>
      </c>
      <c r="B1112" s="10" t="s">
        <v>4064</v>
      </c>
      <c r="C1112" s="11" t="s">
        <v>18</v>
      </c>
      <c r="D1112" s="11" t="s">
        <v>19</v>
      </c>
      <c r="E1112" s="11" t="s">
        <v>19</v>
      </c>
      <c r="F1112" s="11" t="s">
        <v>4065</v>
      </c>
      <c r="G1112" s="11" t="s">
        <v>83</v>
      </c>
      <c r="H1112" s="11" t="s">
        <v>3910</v>
      </c>
      <c r="I1112" s="11" t="s">
        <v>3911</v>
      </c>
      <c r="J1112" s="12">
        <v>0.97689999999999999</v>
      </c>
      <c r="K1112" s="13">
        <v>9</v>
      </c>
      <c r="L1112" s="14">
        <v>13152</v>
      </c>
      <c r="M1112" s="10">
        <v>7641</v>
      </c>
      <c r="N1112" s="10">
        <v>1453318</v>
      </c>
      <c r="O1112" s="10">
        <v>599200</v>
      </c>
      <c r="P1112" s="10">
        <v>2052518</v>
      </c>
    </row>
    <row r="1113" spans="1:16" ht="27" customHeight="1" x14ac:dyDescent="0.2">
      <c r="A1113" s="9" t="s">
        <v>3907</v>
      </c>
      <c r="B1113" s="10" t="s">
        <v>4066</v>
      </c>
      <c r="C1113" s="11" t="s">
        <v>18</v>
      </c>
      <c r="D1113" s="11" t="s">
        <v>19</v>
      </c>
      <c r="E1113" s="11" t="s">
        <v>19</v>
      </c>
      <c r="F1113" s="11" t="s">
        <v>4067</v>
      </c>
      <c r="G1113" s="11" t="s">
        <v>83</v>
      </c>
      <c r="H1113" s="11" t="s">
        <v>4068</v>
      </c>
      <c r="I1113" s="11" t="s">
        <v>4069</v>
      </c>
      <c r="J1113" s="12">
        <v>0.93969999999999998</v>
      </c>
      <c r="K1113" s="13">
        <v>67</v>
      </c>
      <c r="L1113" s="14">
        <v>38847</v>
      </c>
      <c r="M1113" s="10">
        <v>30625</v>
      </c>
      <c r="N1113" s="10">
        <v>4292661</v>
      </c>
      <c r="O1113" s="10">
        <v>2401582</v>
      </c>
      <c r="P1113" s="10">
        <v>6694243</v>
      </c>
    </row>
    <row r="1114" spans="1:16" ht="27" customHeight="1" x14ac:dyDescent="0.2">
      <c r="A1114" s="9" t="s">
        <v>3907</v>
      </c>
      <c r="B1114" s="10" t="s">
        <v>4070</v>
      </c>
      <c r="C1114" s="11" t="s">
        <v>18</v>
      </c>
      <c r="D1114" s="11" t="s">
        <v>19</v>
      </c>
      <c r="E1114" s="11" t="s">
        <v>19</v>
      </c>
      <c r="F1114" s="11" t="s">
        <v>4071</v>
      </c>
      <c r="G1114" s="11" t="s">
        <v>83</v>
      </c>
      <c r="H1114" s="11" t="s">
        <v>4072</v>
      </c>
      <c r="I1114" s="11" t="s">
        <v>4073</v>
      </c>
      <c r="J1114" s="12">
        <v>0.4274</v>
      </c>
      <c r="K1114" s="13">
        <v>9</v>
      </c>
      <c r="L1114" s="14">
        <v>4818</v>
      </c>
      <c r="M1114" s="10">
        <v>1363</v>
      </c>
      <c r="N1114" s="10">
        <v>532397</v>
      </c>
      <c r="O1114" s="10">
        <v>106885</v>
      </c>
      <c r="P1114" s="10">
        <v>639282</v>
      </c>
    </row>
    <row r="1115" spans="1:16" ht="27" customHeight="1" x14ac:dyDescent="0.2">
      <c r="A1115" s="9" t="s">
        <v>3907</v>
      </c>
      <c r="B1115" s="10" t="s">
        <v>4070</v>
      </c>
      <c r="C1115" s="11" t="s">
        <v>4074</v>
      </c>
      <c r="D1115" s="11" t="s">
        <v>4075</v>
      </c>
      <c r="E1115" s="11" t="s">
        <v>26</v>
      </c>
      <c r="F1115" s="11" t="s">
        <v>4076</v>
      </c>
      <c r="G1115" s="11" t="s">
        <v>28</v>
      </c>
      <c r="H1115" s="11" t="s">
        <v>4076</v>
      </c>
      <c r="I1115" s="11" t="s">
        <v>4077</v>
      </c>
      <c r="J1115" s="12">
        <v>0.28749999999999998</v>
      </c>
      <c r="K1115" s="13">
        <v>1</v>
      </c>
      <c r="L1115" s="14">
        <v>327</v>
      </c>
      <c r="M1115" s="10">
        <v>94</v>
      </c>
      <c r="N1115" s="10">
        <v>36134</v>
      </c>
      <c r="O1115" s="10">
        <v>7371</v>
      </c>
      <c r="P1115" s="10">
        <v>43505</v>
      </c>
    </row>
    <row r="1116" spans="1:16" ht="27" customHeight="1" x14ac:dyDescent="0.2">
      <c r="A1116" s="9" t="s">
        <v>3907</v>
      </c>
      <c r="B1116" s="10" t="s">
        <v>4078</v>
      </c>
      <c r="C1116" s="11" t="s">
        <v>18</v>
      </c>
      <c r="D1116" s="11" t="s">
        <v>19</v>
      </c>
      <c r="E1116" s="11" t="s">
        <v>19</v>
      </c>
      <c r="F1116" s="11" t="s">
        <v>4079</v>
      </c>
      <c r="G1116" s="11" t="s">
        <v>83</v>
      </c>
      <c r="H1116" s="11" t="s">
        <v>3910</v>
      </c>
      <c r="I1116" s="11" t="s">
        <v>3911</v>
      </c>
      <c r="J1116" s="12">
        <v>0.97689999999999999</v>
      </c>
      <c r="K1116" s="13">
        <v>9</v>
      </c>
      <c r="L1116" s="14">
        <v>14509</v>
      </c>
      <c r="M1116" s="10">
        <v>7481</v>
      </c>
      <c r="N1116" s="10">
        <v>1603268</v>
      </c>
      <c r="O1116" s="10">
        <v>586652</v>
      </c>
      <c r="P1116" s="10">
        <v>2189920</v>
      </c>
    </row>
    <row r="1117" spans="1:16" ht="27" customHeight="1" x14ac:dyDescent="0.2">
      <c r="A1117" s="9" t="s">
        <v>3907</v>
      </c>
      <c r="B1117" s="10" t="s">
        <v>4080</v>
      </c>
      <c r="C1117" s="11" t="s">
        <v>18</v>
      </c>
      <c r="D1117" s="11" t="s">
        <v>19</v>
      </c>
      <c r="E1117" s="11" t="s">
        <v>19</v>
      </c>
      <c r="F1117" s="11" t="s">
        <v>4081</v>
      </c>
      <c r="G1117" s="11" t="s">
        <v>83</v>
      </c>
      <c r="H1117" s="11" t="s">
        <v>4082</v>
      </c>
      <c r="I1117" s="11" t="s">
        <v>4083</v>
      </c>
      <c r="J1117" s="12">
        <v>0.23319999999999999</v>
      </c>
      <c r="K1117" s="13">
        <v>5</v>
      </c>
      <c r="L1117" s="14">
        <v>2448</v>
      </c>
      <c r="M1117" s="10">
        <v>493</v>
      </c>
      <c r="N1117" s="10">
        <v>270509</v>
      </c>
      <c r="O1117" s="10">
        <v>38660</v>
      </c>
      <c r="P1117" s="10">
        <v>309169</v>
      </c>
    </row>
    <row r="1118" spans="1:16" ht="27" customHeight="1" x14ac:dyDescent="0.2">
      <c r="A1118" s="9" t="s">
        <v>3907</v>
      </c>
      <c r="B1118" s="10" t="s">
        <v>4084</v>
      </c>
      <c r="C1118" s="11" t="s">
        <v>18</v>
      </c>
      <c r="D1118" s="11" t="s">
        <v>19</v>
      </c>
      <c r="E1118" s="11" t="s">
        <v>19</v>
      </c>
      <c r="F1118" s="11" t="s">
        <v>4085</v>
      </c>
      <c r="G1118" s="11" t="s">
        <v>83</v>
      </c>
      <c r="H1118" s="11" t="s">
        <v>4086</v>
      </c>
      <c r="I1118" s="11" t="s">
        <v>4087</v>
      </c>
      <c r="J1118" s="12">
        <v>0.90849999999999997</v>
      </c>
      <c r="K1118" s="13">
        <v>10</v>
      </c>
      <c r="L1118" s="14">
        <v>4417</v>
      </c>
      <c r="M1118" s="10">
        <v>3520</v>
      </c>
      <c r="N1118" s="10">
        <v>488086</v>
      </c>
      <c r="O1118" s="10">
        <v>276036</v>
      </c>
      <c r="P1118" s="10">
        <v>764122</v>
      </c>
    </row>
    <row r="1119" spans="1:16" ht="27" customHeight="1" x14ac:dyDescent="0.2">
      <c r="A1119" s="9" t="s">
        <v>3907</v>
      </c>
      <c r="B1119" s="10" t="s">
        <v>4088</v>
      </c>
      <c r="C1119" s="11" t="s">
        <v>18</v>
      </c>
      <c r="D1119" s="11" t="s">
        <v>19</v>
      </c>
      <c r="E1119" s="11" t="s">
        <v>19</v>
      </c>
      <c r="F1119" s="11" t="s">
        <v>4089</v>
      </c>
      <c r="G1119" s="11" t="s">
        <v>83</v>
      </c>
      <c r="H1119" s="11" t="s">
        <v>4090</v>
      </c>
      <c r="I1119" s="11" t="s">
        <v>4091</v>
      </c>
      <c r="J1119" s="12">
        <v>0.90790000000000004</v>
      </c>
      <c r="K1119" s="13">
        <v>10</v>
      </c>
      <c r="L1119" s="14">
        <v>5369</v>
      </c>
      <c r="M1119" s="10">
        <v>4351</v>
      </c>
      <c r="N1119" s="10">
        <v>593283</v>
      </c>
      <c r="O1119" s="10">
        <v>341201</v>
      </c>
      <c r="P1119" s="10">
        <v>934484</v>
      </c>
    </row>
    <row r="1120" spans="1:16" ht="27" customHeight="1" x14ac:dyDescent="0.2">
      <c r="A1120" s="9" t="s">
        <v>3907</v>
      </c>
      <c r="B1120" s="10" t="s">
        <v>4092</v>
      </c>
      <c r="C1120" s="11" t="s">
        <v>18</v>
      </c>
      <c r="D1120" s="11" t="s">
        <v>19</v>
      </c>
      <c r="E1120" s="11" t="s">
        <v>19</v>
      </c>
      <c r="F1120" s="11" t="s">
        <v>4093</v>
      </c>
      <c r="G1120" s="11" t="s">
        <v>83</v>
      </c>
      <c r="H1120" s="11" t="s">
        <v>3910</v>
      </c>
      <c r="I1120" s="11" t="s">
        <v>3911</v>
      </c>
      <c r="J1120" s="12">
        <v>0.97689999999999999</v>
      </c>
      <c r="K1120" s="13">
        <v>33</v>
      </c>
      <c r="L1120" s="14">
        <v>18279</v>
      </c>
      <c r="M1120" s="10">
        <v>9677</v>
      </c>
      <c r="N1120" s="10">
        <v>2019861</v>
      </c>
      <c r="O1120" s="10">
        <v>758859</v>
      </c>
      <c r="P1120" s="10">
        <v>2778720</v>
      </c>
    </row>
    <row r="1121" spans="1:16" ht="27" customHeight="1" x14ac:dyDescent="0.2">
      <c r="A1121" s="9" t="s">
        <v>3907</v>
      </c>
      <c r="B1121" s="10" t="s">
        <v>4094</v>
      </c>
      <c r="C1121" s="11" t="s">
        <v>18</v>
      </c>
      <c r="D1121" s="11" t="s">
        <v>19</v>
      </c>
      <c r="E1121" s="11" t="s">
        <v>19</v>
      </c>
      <c r="F1121" s="11" t="s">
        <v>4095</v>
      </c>
      <c r="G1121" s="11" t="s">
        <v>83</v>
      </c>
      <c r="H1121" s="11" t="s">
        <v>4096</v>
      </c>
      <c r="I1121" s="11" t="s">
        <v>4097</v>
      </c>
      <c r="J1121" s="12">
        <v>0.97640000000000005</v>
      </c>
      <c r="K1121" s="13">
        <v>15</v>
      </c>
      <c r="L1121" s="14">
        <v>7022</v>
      </c>
      <c r="M1121" s="10">
        <v>4089</v>
      </c>
      <c r="N1121" s="10">
        <v>775944</v>
      </c>
      <c r="O1121" s="10">
        <v>320655</v>
      </c>
      <c r="P1121" s="10">
        <v>1096599</v>
      </c>
    </row>
    <row r="1122" spans="1:16" ht="27" customHeight="1" x14ac:dyDescent="0.2">
      <c r="A1122" s="9" t="s">
        <v>3907</v>
      </c>
      <c r="B1122" s="10" t="s">
        <v>4098</v>
      </c>
      <c r="C1122" s="11" t="s">
        <v>18</v>
      </c>
      <c r="D1122" s="11" t="s">
        <v>19</v>
      </c>
      <c r="E1122" s="11" t="s">
        <v>19</v>
      </c>
      <c r="F1122" s="11" t="s">
        <v>4099</v>
      </c>
      <c r="G1122" s="11" t="s">
        <v>83</v>
      </c>
      <c r="H1122" s="11" t="s">
        <v>4100</v>
      </c>
      <c r="I1122" s="11" t="s">
        <v>4101</v>
      </c>
      <c r="J1122" s="12">
        <v>0.93520000000000003</v>
      </c>
      <c r="K1122" s="13">
        <v>41</v>
      </c>
      <c r="L1122" s="14">
        <v>24090</v>
      </c>
      <c r="M1122" s="10">
        <v>14107</v>
      </c>
      <c r="N1122" s="10">
        <v>2661983</v>
      </c>
      <c r="O1122" s="10">
        <v>1106259</v>
      </c>
      <c r="P1122" s="10">
        <v>3768242</v>
      </c>
    </row>
    <row r="1123" spans="1:16" ht="27" customHeight="1" x14ac:dyDescent="0.2">
      <c r="A1123" s="9" t="s">
        <v>3907</v>
      </c>
      <c r="B1123" s="10" t="s">
        <v>4098</v>
      </c>
      <c r="C1123" s="11" t="s">
        <v>4102</v>
      </c>
      <c r="D1123" s="11" t="s">
        <v>4103</v>
      </c>
      <c r="E1123" s="11" t="s">
        <v>26</v>
      </c>
      <c r="F1123" s="11" t="s">
        <v>4104</v>
      </c>
      <c r="G1123" s="11" t="s">
        <v>28</v>
      </c>
      <c r="H1123" s="11" t="s">
        <v>3910</v>
      </c>
      <c r="I1123" s="11" t="s">
        <v>3911</v>
      </c>
      <c r="J1123" s="12">
        <v>0.97689999999999999</v>
      </c>
      <c r="K1123" s="13">
        <v>1</v>
      </c>
      <c r="L1123" s="14">
        <v>1079</v>
      </c>
      <c r="M1123" s="10">
        <v>713</v>
      </c>
      <c r="N1123" s="10">
        <v>119231</v>
      </c>
      <c r="O1123" s="10">
        <v>55913</v>
      </c>
      <c r="P1123" s="10">
        <v>175144</v>
      </c>
    </row>
    <row r="1124" spans="1:16" ht="27" customHeight="1" x14ac:dyDescent="0.2">
      <c r="A1124" s="9" t="s">
        <v>3907</v>
      </c>
      <c r="B1124" s="10" t="s">
        <v>4098</v>
      </c>
      <c r="C1124" s="11" t="s">
        <v>4105</v>
      </c>
      <c r="D1124" s="11" t="s">
        <v>4106</v>
      </c>
      <c r="E1124" s="11" t="s">
        <v>57</v>
      </c>
      <c r="F1124" s="11" t="s">
        <v>4107</v>
      </c>
      <c r="G1124" s="11" t="s">
        <v>28</v>
      </c>
      <c r="H1124" s="11" t="s">
        <v>3910</v>
      </c>
      <c r="I1124" s="11" t="s">
        <v>3911</v>
      </c>
      <c r="J1124" s="12">
        <v>0.97689999999999999</v>
      </c>
      <c r="K1124" s="13">
        <v>1</v>
      </c>
      <c r="L1124" s="14">
        <v>1108</v>
      </c>
      <c r="M1124" s="10">
        <v>330</v>
      </c>
      <c r="N1124" s="10">
        <v>122436</v>
      </c>
      <c r="O1124" s="10">
        <v>25878</v>
      </c>
      <c r="P1124" s="10">
        <v>148314</v>
      </c>
    </row>
    <row r="1125" spans="1:16" ht="27" customHeight="1" x14ac:dyDescent="0.2">
      <c r="A1125" s="9" t="s">
        <v>3907</v>
      </c>
      <c r="B1125" s="10" t="s">
        <v>4108</v>
      </c>
      <c r="C1125" s="11" t="s">
        <v>18</v>
      </c>
      <c r="D1125" s="11" t="s">
        <v>19</v>
      </c>
      <c r="E1125" s="11" t="s">
        <v>19</v>
      </c>
      <c r="F1125" s="11" t="s">
        <v>4109</v>
      </c>
      <c r="G1125" s="11" t="s">
        <v>83</v>
      </c>
      <c r="H1125" s="11" t="s">
        <v>4110</v>
      </c>
      <c r="I1125" s="11" t="s">
        <v>4111</v>
      </c>
      <c r="J1125" s="12">
        <v>0.96440000000000003</v>
      </c>
      <c r="K1125" s="13">
        <v>35</v>
      </c>
      <c r="L1125" s="14">
        <v>23435</v>
      </c>
      <c r="M1125" s="10">
        <v>10697</v>
      </c>
      <c r="N1125" s="10">
        <v>2589606</v>
      </c>
      <c r="O1125" s="10">
        <v>838847</v>
      </c>
      <c r="P1125" s="10">
        <v>3428453</v>
      </c>
    </row>
    <row r="1126" spans="1:16" ht="27" customHeight="1" x14ac:dyDescent="0.2">
      <c r="A1126" s="9" t="s">
        <v>3907</v>
      </c>
      <c r="B1126" s="10" t="s">
        <v>4112</v>
      </c>
      <c r="C1126" s="11" t="s">
        <v>18</v>
      </c>
      <c r="D1126" s="11" t="s">
        <v>19</v>
      </c>
      <c r="E1126" s="11" t="s">
        <v>19</v>
      </c>
      <c r="F1126" s="11" t="s">
        <v>4113</v>
      </c>
      <c r="G1126" s="11" t="s">
        <v>83</v>
      </c>
      <c r="H1126" s="11" t="s">
        <v>4114</v>
      </c>
      <c r="I1126" s="11" t="s">
        <v>4115</v>
      </c>
      <c r="J1126" s="12">
        <v>0.90139999999999998</v>
      </c>
      <c r="K1126" s="13">
        <v>52</v>
      </c>
      <c r="L1126" s="14">
        <v>40639</v>
      </c>
      <c r="M1126" s="10">
        <v>30089</v>
      </c>
      <c r="N1126" s="10">
        <v>4490676</v>
      </c>
      <c r="O1126" s="10">
        <v>2359554</v>
      </c>
      <c r="P1126" s="10">
        <v>6850230</v>
      </c>
    </row>
    <row r="1127" spans="1:16" ht="27" customHeight="1" x14ac:dyDescent="0.2">
      <c r="A1127" s="9" t="s">
        <v>3907</v>
      </c>
      <c r="B1127" s="10" t="s">
        <v>4112</v>
      </c>
      <c r="C1127" s="11" t="s">
        <v>4116</v>
      </c>
      <c r="D1127" s="11" t="s">
        <v>4117</v>
      </c>
      <c r="E1127" s="11" t="s">
        <v>26</v>
      </c>
      <c r="F1127" s="11" t="s">
        <v>4118</v>
      </c>
      <c r="G1127" s="11" t="s">
        <v>28</v>
      </c>
      <c r="H1127" s="11" t="s">
        <v>4118</v>
      </c>
      <c r="I1127" s="11" t="s">
        <v>4119</v>
      </c>
      <c r="J1127" s="12">
        <v>0.90869999999999995</v>
      </c>
      <c r="K1127" s="13">
        <v>1</v>
      </c>
      <c r="L1127" s="14">
        <v>438</v>
      </c>
      <c r="M1127" s="10">
        <v>398</v>
      </c>
      <c r="N1127" s="10">
        <v>48400</v>
      </c>
      <c r="O1127" s="10">
        <v>31211</v>
      </c>
      <c r="P1127" s="10">
        <v>79611</v>
      </c>
    </row>
    <row r="1128" spans="1:16" ht="27" customHeight="1" x14ac:dyDescent="0.2">
      <c r="A1128" s="9" t="s">
        <v>3907</v>
      </c>
      <c r="B1128" s="10" t="s">
        <v>4112</v>
      </c>
      <c r="C1128" s="11" t="s">
        <v>4120</v>
      </c>
      <c r="D1128" s="11" t="s">
        <v>4121</v>
      </c>
      <c r="E1128" s="11" t="s">
        <v>26</v>
      </c>
      <c r="F1128" s="11" t="s">
        <v>4122</v>
      </c>
      <c r="G1128" s="11" t="s">
        <v>28</v>
      </c>
      <c r="H1128" s="11" t="s">
        <v>3910</v>
      </c>
      <c r="I1128" s="11" t="s">
        <v>3911</v>
      </c>
      <c r="J1128" s="12">
        <v>0.97689999999999999</v>
      </c>
      <c r="K1128" s="13">
        <v>1</v>
      </c>
      <c r="L1128" s="14">
        <v>308</v>
      </c>
      <c r="M1128" s="10">
        <v>278</v>
      </c>
      <c r="N1128" s="10">
        <v>34035</v>
      </c>
      <c r="O1128" s="10">
        <v>21800</v>
      </c>
      <c r="P1128" s="10">
        <v>55835</v>
      </c>
    </row>
    <row r="1129" spans="1:16" ht="27" customHeight="1" x14ac:dyDescent="0.2">
      <c r="A1129" s="9" t="s">
        <v>3907</v>
      </c>
      <c r="B1129" s="10" t="s">
        <v>4112</v>
      </c>
      <c r="C1129" s="11" t="s">
        <v>4123</v>
      </c>
      <c r="D1129" s="11" t="s">
        <v>4124</v>
      </c>
      <c r="E1129" s="11" t="s">
        <v>26</v>
      </c>
      <c r="F1129" s="11" t="s">
        <v>4125</v>
      </c>
      <c r="G1129" s="11" t="s">
        <v>28</v>
      </c>
      <c r="H1129" s="11" t="s">
        <v>4125</v>
      </c>
      <c r="I1129" s="11" t="s">
        <v>4126</v>
      </c>
      <c r="J1129" s="12">
        <v>0.66390000000000005</v>
      </c>
      <c r="K1129" s="13">
        <v>1</v>
      </c>
      <c r="L1129" s="14">
        <v>610</v>
      </c>
      <c r="M1129" s="10">
        <v>405</v>
      </c>
      <c r="N1129" s="10">
        <v>67406</v>
      </c>
      <c r="O1129" s="10">
        <v>31760</v>
      </c>
      <c r="P1129" s="10">
        <v>99166</v>
      </c>
    </row>
    <row r="1130" spans="1:16" ht="27" customHeight="1" x14ac:dyDescent="0.2">
      <c r="A1130" s="9" t="s">
        <v>3907</v>
      </c>
      <c r="B1130" s="10" t="s">
        <v>4112</v>
      </c>
      <c r="C1130" s="11" t="s">
        <v>4127</v>
      </c>
      <c r="D1130" s="11" t="s">
        <v>4128</v>
      </c>
      <c r="E1130" s="11" t="s">
        <v>57</v>
      </c>
      <c r="F1130" s="11" t="s">
        <v>4129</v>
      </c>
      <c r="G1130" s="11" t="s">
        <v>28</v>
      </c>
      <c r="H1130" s="11" t="s">
        <v>4129</v>
      </c>
      <c r="I1130" s="11" t="s">
        <v>4130</v>
      </c>
      <c r="J1130" s="12">
        <v>0.69279999999999997</v>
      </c>
      <c r="K1130" s="13">
        <v>1</v>
      </c>
      <c r="L1130" s="14">
        <v>332</v>
      </c>
      <c r="M1130" s="10">
        <v>230</v>
      </c>
      <c r="N1130" s="10">
        <v>36687</v>
      </c>
      <c r="O1130" s="10">
        <v>18036</v>
      </c>
      <c r="P1130" s="10">
        <v>54723</v>
      </c>
    </row>
    <row r="1131" spans="1:16" ht="27" customHeight="1" x14ac:dyDescent="0.2">
      <c r="A1131" s="9" t="s">
        <v>3907</v>
      </c>
      <c r="B1131" s="10" t="s">
        <v>4112</v>
      </c>
      <c r="C1131" s="11" t="s">
        <v>4131</v>
      </c>
      <c r="D1131" s="11" t="s">
        <v>4132</v>
      </c>
      <c r="E1131" s="11" t="s">
        <v>26</v>
      </c>
      <c r="F1131" s="11" t="s">
        <v>4133</v>
      </c>
      <c r="G1131" s="11" t="s">
        <v>28</v>
      </c>
      <c r="H1131" s="11" t="s">
        <v>4133</v>
      </c>
      <c r="I1131" s="11" t="s">
        <v>4134</v>
      </c>
      <c r="J1131" s="12">
        <v>0.58160000000000001</v>
      </c>
      <c r="K1131" s="13">
        <v>1</v>
      </c>
      <c r="L1131" s="14">
        <v>956</v>
      </c>
      <c r="M1131" s="10">
        <v>556</v>
      </c>
      <c r="N1131" s="10">
        <v>105640</v>
      </c>
      <c r="O1131" s="10">
        <v>43601</v>
      </c>
      <c r="P1131" s="10">
        <v>149241</v>
      </c>
    </row>
    <row r="1132" spans="1:16" ht="27" customHeight="1" x14ac:dyDescent="0.2">
      <c r="A1132" s="9" t="s">
        <v>3907</v>
      </c>
      <c r="B1132" s="10" t="s">
        <v>4135</v>
      </c>
      <c r="C1132" s="11" t="s">
        <v>18</v>
      </c>
      <c r="D1132" s="11" t="s">
        <v>19</v>
      </c>
      <c r="E1132" s="11" t="s">
        <v>19</v>
      </c>
      <c r="F1132" s="11" t="s">
        <v>4136</v>
      </c>
      <c r="G1132" s="11" t="s">
        <v>83</v>
      </c>
      <c r="H1132" s="11" t="s">
        <v>4137</v>
      </c>
      <c r="I1132" s="11" t="s">
        <v>4138</v>
      </c>
      <c r="J1132" s="12">
        <v>0.85609999999999997</v>
      </c>
      <c r="K1132" s="13">
        <v>5</v>
      </c>
      <c r="L1132" s="14">
        <v>1838</v>
      </c>
      <c r="M1132" s="10">
        <v>1492</v>
      </c>
      <c r="N1132" s="10">
        <v>203102</v>
      </c>
      <c r="O1132" s="10">
        <v>117000</v>
      </c>
      <c r="P1132" s="10">
        <v>320102</v>
      </c>
    </row>
    <row r="1133" spans="1:16" ht="27" customHeight="1" x14ac:dyDescent="0.2">
      <c r="A1133" s="9" t="s">
        <v>3907</v>
      </c>
      <c r="B1133" s="10" t="s">
        <v>4139</v>
      </c>
      <c r="C1133" s="11" t="s">
        <v>18</v>
      </c>
      <c r="D1133" s="11" t="s">
        <v>19</v>
      </c>
      <c r="E1133" s="11" t="s">
        <v>19</v>
      </c>
      <c r="F1133" s="11" t="s">
        <v>4140</v>
      </c>
      <c r="G1133" s="11" t="s">
        <v>83</v>
      </c>
      <c r="H1133" s="11" t="s">
        <v>4141</v>
      </c>
      <c r="I1133" s="11" t="s">
        <v>4142</v>
      </c>
      <c r="J1133" s="12">
        <v>0.89129999999999998</v>
      </c>
      <c r="K1133" s="13">
        <v>18</v>
      </c>
      <c r="L1133" s="14">
        <v>8413</v>
      </c>
      <c r="M1133" s="10">
        <v>6219</v>
      </c>
      <c r="N1133" s="10">
        <v>929649</v>
      </c>
      <c r="O1133" s="10">
        <v>487689</v>
      </c>
      <c r="P1133" s="10">
        <v>1417338</v>
      </c>
    </row>
    <row r="1134" spans="1:16" ht="27" customHeight="1" x14ac:dyDescent="0.2">
      <c r="A1134" s="9" t="s">
        <v>3907</v>
      </c>
      <c r="B1134" s="10" t="s">
        <v>4143</v>
      </c>
      <c r="C1134" s="11" t="s">
        <v>18</v>
      </c>
      <c r="D1134" s="11" t="s">
        <v>19</v>
      </c>
      <c r="E1134" s="11" t="s">
        <v>19</v>
      </c>
      <c r="F1134" s="11" t="s">
        <v>4144</v>
      </c>
      <c r="G1134" s="11" t="s">
        <v>83</v>
      </c>
      <c r="H1134" s="11" t="s">
        <v>4145</v>
      </c>
      <c r="I1134" s="11" t="s">
        <v>4146</v>
      </c>
      <c r="J1134" s="12">
        <v>0.81020000000000003</v>
      </c>
      <c r="K1134" s="13">
        <v>35</v>
      </c>
      <c r="L1134" s="14">
        <v>23907</v>
      </c>
      <c r="M1134" s="10">
        <v>10448</v>
      </c>
      <c r="N1134" s="10">
        <v>2641761</v>
      </c>
      <c r="O1134" s="10">
        <v>819324</v>
      </c>
      <c r="P1134" s="10">
        <v>3461085</v>
      </c>
    </row>
    <row r="1135" spans="1:16" ht="27" customHeight="1" x14ac:dyDescent="0.2">
      <c r="A1135" s="9" t="s">
        <v>3907</v>
      </c>
      <c r="B1135" s="10" t="s">
        <v>4147</v>
      </c>
      <c r="C1135" s="11" t="s">
        <v>18</v>
      </c>
      <c r="D1135" s="11" t="s">
        <v>19</v>
      </c>
      <c r="E1135" s="11" t="s">
        <v>19</v>
      </c>
      <c r="F1135" s="11" t="s">
        <v>4148</v>
      </c>
      <c r="G1135" s="11" t="s">
        <v>83</v>
      </c>
      <c r="H1135" s="11" t="s">
        <v>4149</v>
      </c>
      <c r="I1135" s="11" t="s">
        <v>4150</v>
      </c>
      <c r="J1135" s="12">
        <v>0.92859999999999998</v>
      </c>
      <c r="K1135" s="13">
        <v>29</v>
      </c>
      <c r="L1135" s="14">
        <v>22230</v>
      </c>
      <c r="M1135" s="10">
        <v>9703</v>
      </c>
      <c r="N1135" s="10">
        <v>2456453</v>
      </c>
      <c r="O1135" s="10">
        <v>760904</v>
      </c>
      <c r="P1135" s="10">
        <v>3217357</v>
      </c>
    </row>
    <row r="1136" spans="1:16" ht="27" customHeight="1" x14ac:dyDescent="0.2">
      <c r="A1136" s="9" t="s">
        <v>3907</v>
      </c>
      <c r="B1136" s="10" t="s">
        <v>4151</v>
      </c>
      <c r="C1136" s="11" t="s">
        <v>18</v>
      </c>
      <c r="D1136" s="11" t="s">
        <v>19</v>
      </c>
      <c r="E1136" s="11" t="s">
        <v>19</v>
      </c>
      <c r="F1136" s="11" t="s">
        <v>4152</v>
      </c>
      <c r="G1136" s="11" t="s">
        <v>83</v>
      </c>
      <c r="H1136" s="11" t="s">
        <v>4153</v>
      </c>
      <c r="I1136" s="11" t="s">
        <v>4154</v>
      </c>
      <c r="J1136" s="12">
        <v>0.43830000000000002</v>
      </c>
      <c r="K1136" s="13">
        <v>46</v>
      </c>
      <c r="L1136" s="14">
        <v>36928</v>
      </c>
      <c r="M1136" s="10">
        <v>7296</v>
      </c>
      <c r="N1136" s="10">
        <v>4080605</v>
      </c>
      <c r="O1136" s="10">
        <v>572146</v>
      </c>
      <c r="P1136" s="10">
        <v>4652751</v>
      </c>
    </row>
    <row r="1137" spans="1:16" ht="27" customHeight="1" x14ac:dyDescent="0.2">
      <c r="A1137" s="9" t="s">
        <v>3907</v>
      </c>
      <c r="B1137" s="10" t="s">
        <v>4151</v>
      </c>
      <c r="C1137" s="11" t="s">
        <v>4155</v>
      </c>
      <c r="D1137" s="11" t="s">
        <v>4156</v>
      </c>
      <c r="E1137" s="11" t="s">
        <v>26</v>
      </c>
      <c r="F1137" s="11" t="s">
        <v>4157</v>
      </c>
      <c r="G1137" s="11" t="s">
        <v>28</v>
      </c>
      <c r="H1137" s="11" t="s">
        <v>4157</v>
      </c>
      <c r="I1137" s="11" t="s">
        <v>4158</v>
      </c>
      <c r="J1137" s="12">
        <v>0</v>
      </c>
      <c r="K1137" s="13">
        <v>1</v>
      </c>
      <c r="L1137" s="14">
        <v>0</v>
      </c>
      <c r="M1137" s="10">
        <v>0</v>
      </c>
      <c r="N1137" s="10">
        <v>0</v>
      </c>
      <c r="O1137" s="10">
        <v>0</v>
      </c>
      <c r="P1137" s="10">
        <v>0</v>
      </c>
    </row>
    <row r="1138" spans="1:16" ht="27" customHeight="1" x14ac:dyDescent="0.2">
      <c r="A1138" s="9" t="s">
        <v>3907</v>
      </c>
      <c r="B1138" s="10" t="s">
        <v>4159</v>
      </c>
      <c r="C1138" s="11" t="s">
        <v>18</v>
      </c>
      <c r="D1138" s="11" t="s">
        <v>19</v>
      </c>
      <c r="E1138" s="11" t="s">
        <v>19</v>
      </c>
      <c r="F1138" s="11" t="s">
        <v>4160</v>
      </c>
      <c r="G1138" s="11" t="s">
        <v>83</v>
      </c>
      <c r="H1138" s="11" t="s">
        <v>4161</v>
      </c>
      <c r="I1138" s="11" t="s">
        <v>4162</v>
      </c>
      <c r="J1138" s="12">
        <v>0.29060000000000002</v>
      </c>
      <c r="K1138" s="13">
        <v>10</v>
      </c>
      <c r="L1138" s="14">
        <v>8996</v>
      </c>
      <c r="M1138" s="10">
        <v>1398</v>
      </c>
      <c r="N1138" s="10">
        <v>994076</v>
      </c>
      <c r="O1138" s="10">
        <v>109630</v>
      </c>
      <c r="P1138" s="10">
        <v>1103706</v>
      </c>
    </row>
    <row r="1139" spans="1:16" ht="27" customHeight="1" x14ac:dyDescent="0.2">
      <c r="A1139" s="9" t="s">
        <v>3907</v>
      </c>
      <c r="B1139" s="10" t="s">
        <v>4163</v>
      </c>
      <c r="C1139" s="11" t="s">
        <v>4164</v>
      </c>
      <c r="D1139" s="11" t="s">
        <v>4165</v>
      </c>
      <c r="E1139" s="11" t="s">
        <v>26</v>
      </c>
      <c r="F1139" s="11" t="s">
        <v>4166</v>
      </c>
      <c r="G1139" s="11" t="s">
        <v>28</v>
      </c>
      <c r="H1139" s="11" t="s">
        <v>4166</v>
      </c>
      <c r="I1139" s="11" t="s">
        <v>4167</v>
      </c>
      <c r="J1139" s="12">
        <v>0.81669999999999998</v>
      </c>
      <c r="K1139" s="13">
        <v>1</v>
      </c>
      <c r="L1139" s="14">
        <v>502</v>
      </c>
      <c r="M1139" s="10">
        <v>410</v>
      </c>
      <c r="N1139" s="10">
        <v>55472</v>
      </c>
      <c r="O1139" s="10">
        <v>32152</v>
      </c>
      <c r="P1139" s="10">
        <v>87624</v>
      </c>
    </row>
    <row r="1140" spans="1:16" ht="27" customHeight="1" x14ac:dyDescent="0.2">
      <c r="A1140" s="9" t="s">
        <v>4168</v>
      </c>
      <c r="B1140" s="10" t="s">
        <v>4169</v>
      </c>
      <c r="C1140" s="11" t="s">
        <v>18</v>
      </c>
      <c r="D1140" s="11" t="s">
        <v>19</v>
      </c>
      <c r="E1140" s="11" t="s">
        <v>19</v>
      </c>
      <c r="F1140" s="11" t="s">
        <v>4170</v>
      </c>
      <c r="G1140" s="11" t="s">
        <v>21</v>
      </c>
      <c r="H1140" s="11" t="s">
        <v>4171</v>
      </c>
      <c r="I1140" s="11" t="s">
        <v>4172</v>
      </c>
      <c r="J1140" s="12">
        <v>0.87150000000000005</v>
      </c>
      <c r="K1140" s="13">
        <v>4</v>
      </c>
      <c r="L1140" s="14">
        <v>478</v>
      </c>
      <c r="M1140" s="10">
        <v>384</v>
      </c>
      <c r="N1140" s="10">
        <v>52821</v>
      </c>
      <c r="O1140" s="10">
        <v>30113</v>
      </c>
      <c r="P1140" s="10">
        <v>82934</v>
      </c>
    </row>
    <row r="1141" spans="1:16" ht="27" customHeight="1" x14ac:dyDescent="0.2">
      <c r="A1141" s="9" t="s">
        <v>4168</v>
      </c>
      <c r="B1141" s="10" t="s">
        <v>4169</v>
      </c>
      <c r="C1141" s="11" t="s">
        <v>4173</v>
      </c>
      <c r="D1141" s="11" t="s">
        <v>4174</v>
      </c>
      <c r="E1141" s="11" t="s">
        <v>57</v>
      </c>
      <c r="F1141" s="11" t="s">
        <v>4175</v>
      </c>
      <c r="G1141" s="11" t="s">
        <v>28</v>
      </c>
      <c r="H1141" s="11" t="s">
        <v>4171</v>
      </c>
      <c r="I1141" s="11" t="s">
        <v>4172</v>
      </c>
      <c r="J1141" s="12">
        <v>0.87150000000000005</v>
      </c>
      <c r="K1141" s="13">
        <v>1</v>
      </c>
      <c r="L1141" s="14">
        <v>292</v>
      </c>
      <c r="M1141" s="10">
        <v>143</v>
      </c>
      <c r="N1141" s="10">
        <v>32266</v>
      </c>
      <c r="O1141" s="10">
        <v>11214</v>
      </c>
      <c r="P1141" s="10">
        <v>43480</v>
      </c>
    </row>
    <row r="1142" spans="1:16" ht="27" customHeight="1" x14ac:dyDescent="0.2">
      <c r="A1142" s="9" t="s">
        <v>4168</v>
      </c>
      <c r="B1142" s="10" t="s">
        <v>4176</v>
      </c>
      <c r="C1142" s="11" t="s">
        <v>18</v>
      </c>
      <c r="D1142" s="11" t="s">
        <v>19</v>
      </c>
      <c r="E1142" s="11" t="s">
        <v>19</v>
      </c>
      <c r="F1142" s="11" t="s">
        <v>4177</v>
      </c>
      <c r="G1142" s="11" t="s">
        <v>83</v>
      </c>
      <c r="H1142" s="11" t="s">
        <v>4178</v>
      </c>
      <c r="I1142" s="11" t="s">
        <v>4179</v>
      </c>
      <c r="J1142" s="12">
        <v>0.25340000000000001</v>
      </c>
      <c r="K1142" s="13">
        <v>2</v>
      </c>
      <c r="L1142" s="14">
        <v>597</v>
      </c>
      <c r="M1142" s="10">
        <v>151</v>
      </c>
      <c r="N1142" s="10">
        <v>65969</v>
      </c>
      <c r="O1142" s="10">
        <v>11841</v>
      </c>
      <c r="P1142" s="10">
        <v>77810</v>
      </c>
    </row>
    <row r="1143" spans="1:16" ht="27" customHeight="1" x14ac:dyDescent="0.2">
      <c r="A1143" s="9" t="s">
        <v>4168</v>
      </c>
      <c r="B1143" s="10" t="s">
        <v>4180</v>
      </c>
      <c r="C1143" s="11" t="s">
        <v>18</v>
      </c>
      <c r="D1143" s="11" t="s">
        <v>19</v>
      </c>
      <c r="E1143" s="11" t="s">
        <v>19</v>
      </c>
      <c r="F1143" s="11" t="s">
        <v>4181</v>
      </c>
      <c r="G1143" s="11" t="s">
        <v>83</v>
      </c>
      <c r="H1143" s="11" t="s">
        <v>4182</v>
      </c>
      <c r="I1143" s="11" t="s">
        <v>4183</v>
      </c>
      <c r="J1143" s="12">
        <v>0.21110000000000001</v>
      </c>
      <c r="K1143" s="13">
        <v>2</v>
      </c>
      <c r="L1143" s="14">
        <v>91</v>
      </c>
      <c r="M1143" s="10">
        <v>19</v>
      </c>
      <c r="N1143" s="10">
        <v>10056</v>
      </c>
      <c r="O1143" s="10">
        <v>1490</v>
      </c>
      <c r="P1143" s="10">
        <v>11546</v>
      </c>
    </row>
    <row r="1144" spans="1:16" ht="27" customHeight="1" x14ac:dyDescent="0.2">
      <c r="A1144" s="9" t="s">
        <v>4168</v>
      </c>
      <c r="B1144" s="10" t="s">
        <v>4184</v>
      </c>
      <c r="C1144" s="11" t="s">
        <v>18</v>
      </c>
      <c r="D1144" s="11" t="s">
        <v>19</v>
      </c>
      <c r="E1144" s="11" t="s">
        <v>19</v>
      </c>
      <c r="F1144" s="11" t="s">
        <v>4185</v>
      </c>
      <c r="G1144" s="11" t="s">
        <v>83</v>
      </c>
      <c r="H1144" s="11" t="s">
        <v>4186</v>
      </c>
      <c r="I1144" s="11" t="s">
        <v>4187</v>
      </c>
      <c r="J1144" s="12">
        <v>0.46850000000000003</v>
      </c>
      <c r="K1144" s="13">
        <v>4</v>
      </c>
      <c r="L1144" s="14">
        <v>1172</v>
      </c>
      <c r="M1144" s="10">
        <v>522</v>
      </c>
      <c r="N1144" s="10">
        <v>129508</v>
      </c>
      <c r="O1144" s="10">
        <v>40935</v>
      </c>
      <c r="P1144" s="10">
        <v>170443</v>
      </c>
    </row>
    <row r="1145" spans="1:16" ht="27" customHeight="1" x14ac:dyDescent="0.2">
      <c r="A1145" s="9" t="s">
        <v>4168</v>
      </c>
      <c r="B1145" s="10" t="s">
        <v>4184</v>
      </c>
      <c r="C1145" s="11" t="s">
        <v>4188</v>
      </c>
      <c r="D1145" s="11" t="s">
        <v>4189</v>
      </c>
      <c r="E1145" s="11" t="s">
        <v>57</v>
      </c>
      <c r="F1145" s="11" t="s">
        <v>4190</v>
      </c>
      <c r="G1145" s="11" t="s">
        <v>28</v>
      </c>
      <c r="H1145" s="11" t="s">
        <v>4190</v>
      </c>
      <c r="I1145" s="11" t="s">
        <v>4191</v>
      </c>
      <c r="J1145" s="12">
        <v>0</v>
      </c>
      <c r="K1145" s="13">
        <v>1</v>
      </c>
      <c r="L1145" s="14">
        <v>0</v>
      </c>
      <c r="M1145" s="10">
        <v>0</v>
      </c>
      <c r="N1145" s="10">
        <v>0</v>
      </c>
      <c r="O1145" s="10">
        <v>0</v>
      </c>
      <c r="P1145" s="10">
        <v>0</v>
      </c>
    </row>
    <row r="1146" spans="1:16" ht="27" customHeight="1" x14ac:dyDescent="0.2">
      <c r="A1146" s="9" t="s">
        <v>4168</v>
      </c>
      <c r="B1146" s="10" t="s">
        <v>4192</v>
      </c>
      <c r="C1146" s="11" t="s">
        <v>18</v>
      </c>
      <c r="D1146" s="11" t="s">
        <v>19</v>
      </c>
      <c r="E1146" s="11" t="s">
        <v>19</v>
      </c>
      <c r="F1146" s="11" t="s">
        <v>4193</v>
      </c>
      <c r="G1146" s="11" t="s">
        <v>83</v>
      </c>
      <c r="H1146" s="11" t="s">
        <v>4193</v>
      </c>
      <c r="I1146" s="11" t="s">
        <v>4194</v>
      </c>
      <c r="J1146" s="12">
        <v>0.43269999999999997</v>
      </c>
      <c r="K1146" s="13">
        <v>2</v>
      </c>
      <c r="L1146" s="14">
        <v>351</v>
      </c>
      <c r="M1146" s="10">
        <v>152</v>
      </c>
      <c r="N1146" s="10">
        <v>38786</v>
      </c>
      <c r="O1146" s="10">
        <v>11920</v>
      </c>
      <c r="P1146" s="10">
        <v>50706</v>
      </c>
    </row>
    <row r="1147" spans="1:16" ht="27" customHeight="1" x14ac:dyDescent="0.2">
      <c r="A1147" s="9" t="s">
        <v>4168</v>
      </c>
      <c r="B1147" s="10" t="s">
        <v>4195</v>
      </c>
      <c r="C1147" s="11" t="s">
        <v>18</v>
      </c>
      <c r="D1147" s="11" t="s">
        <v>19</v>
      </c>
      <c r="E1147" s="11" t="s">
        <v>19</v>
      </c>
      <c r="F1147" s="11" t="s">
        <v>4196</v>
      </c>
      <c r="G1147" s="11" t="s">
        <v>83</v>
      </c>
      <c r="H1147" s="11" t="s">
        <v>4197</v>
      </c>
      <c r="I1147" s="11" t="s">
        <v>4198</v>
      </c>
      <c r="J1147" s="12">
        <v>0.61760000000000004</v>
      </c>
      <c r="K1147" s="13">
        <v>10</v>
      </c>
      <c r="L1147" s="14">
        <v>6390</v>
      </c>
      <c r="M1147" s="10">
        <v>2486</v>
      </c>
      <c r="N1147" s="10">
        <v>706106</v>
      </c>
      <c r="O1147" s="10">
        <v>194950</v>
      </c>
      <c r="P1147" s="10">
        <v>901056</v>
      </c>
    </row>
    <row r="1148" spans="1:16" ht="27" customHeight="1" x14ac:dyDescent="0.2">
      <c r="A1148" s="9" t="s">
        <v>4168</v>
      </c>
      <c r="B1148" s="10" t="s">
        <v>4199</v>
      </c>
      <c r="C1148" s="11" t="s">
        <v>18</v>
      </c>
      <c r="D1148" s="11" t="s">
        <v>19</v>
      </c>
      <c r="E1148" s="11" t="s">
        <v>19</v>
      </c>
      <c r="F1148" s="11" t="s">
        <v>4200</v>
      </c>
      <c r="G1148" s="11" t="s">
        <v>83</v>
      </c>
      <c r="H1148" s="11" t="s">
        <v>4201</v>
      </c>
      <c r="I1148" s="11" t="s">
        <v>4202</v>
      </c>
      <c r="J1148" s="12">
        <v>0.2258</v>
      </c>
      <c r="K1148" s="13">
        <v>8</v>
      </c>
      <c r="L1148" s="14">
        <v>3169</v>
      </c>
      <c r="M1148" s="10">
        <v>414</v>
      </c>
      <c r="N1148" s="10">
        <v>350180</v>
      </c>
      <c r="O1148" s="10">
        <v>32465</v>
      </c>
      <c r="P1148" s="10">
        <v>382645</v>
      </c>
    </row>
    <row r="1149" spans="1:16" ht="27" customHeight="1" x14ac:dyDescent="0.2">
      <c r="A1149" s="9" t="s">
        <v>4168</v>
      </c>
      <c r="B1149" s="10" t="s">
        <v>4203</v>
      </c>
      <c r="C1149" s="11" t="s">
        <v>18</v>
      </c>
      <c r="D1149" s="11" t="s">
        <v>19</v>
      </c>
      <c r="E1149" s="11" t="s">
        <v>19</v>
      </c>
      <c r="F1149" s="11" t="s">
        <v>4204</v>
      </c>
      <c r="G1149" s="11" t="s">
        <v>83</v>
      </c>
      <c r="H1149" s="11" t="s">
        <v>4205</v>
      </c>
      <c r="I1149" s="11" t="s">
        <v>4206</v>
      </c>
      <c r="J1149" s="12">
        <v>0.3901</v>
      </c>
      <c r="K1149" s="13">
        <v>2</v>
      </c>
      <c r="L1149" s="14">
        <v>454</v>
      </c>
      <c r="M1149" s="10">
        <v>177</v>
      </c>
      <c r="N1149" s="10">
        <v>50168</v>
      </c>
      <c r="O1149" s="10">
        <v>13880</v>
      </c>
      <c r="P1149" s="10">
        <v>64048</v>
      </c>
    </row>
    <row r="1150" spans="1:16" ht="27" customHeight="1" x14ac:dyDescent="0.2">
      <c r="A1150" s="9" t="s">
        <v>4168</v>
      </c>
      <c r="B1150" s="10" t="s">
        <v>4207</v>
      </c>
      <c r="C1150" s="11" t="s">
        <v>18</v>
      </c>
      <c r="D1150" s="11" t="s">
        <v>19</v>
      </c>
      <c r="E1150" s="11" t="s">
        <v>19</v>
      </c>
      <c r="F1150" s="11" t="s">
        <v>4208</v>
      </c>
      <c r="G1150" s="11" t="s">
        <v>83</v>
      </c>
      <c r="H1150" s="11" t="s">
        <v>4209</v>
      </c>
      <c r="I1150" s="11" t="s">
        <v>4210</v>
      </c>
      <c r="J1150" s="12">
        <v>0.27189999999999998</v>
      </c>
      <c r="K1150" s="13">
        <v>7</v>
      </c>
      <c r="L1150" s="14">
        <v>2405</v>
      </c>
      <c r="M1150" s="10">
        <v>348</v>
      </c>
      <c r="N1150" s="10">
        <v>265755</v>
      </c>
      <c r="O1150" s="10">
        <v>27291</v>
      </c>
      <c r="P1150" s="10">
        <v>293046</v>
      </c>
    </row>
    <row r="1151" spans="1:16" ht="27" customHeight="1" x14ac:dyDescent="0.2">
      <c r="A1151" s="9" t="s">
        <v>4168</v>
      </c>
      <c r="B1151" s="10" t="s">
        <v>4207</v>
      </c>
      <c r="C1151" s="11" t="s">
        <v>4211</v>
      </c>
      <c r="D1151" s="11" t="s">
        <v>4212</v>
      </c>
      <c r="E1151" s="11" t="s">
        <v>57</v>
      </c>
      <c r="F1151" s="11" t="s">
        <v>4213</v>
      </c>
      <c r="G1151" s="11" t="s">
        <v>28</v>
      </c>
      <c r="H1151" s="11" t="s">
        <v>4213</v>
      </c>
      <c r="I1151" s="11" t="s">
        <v>4214</v>
      </c>
      <c r="J1151" s="12">
        <v>8.43E-2</v>
      </c>
      <c r="K1151" s="13">
        <v>1</v>
      </c>
      <c r="L1151" s="14">
        <v>498</v>
      </c>
      <c r="M1151" s="10">
        <v>42</v>
      </c>
      <c r="N1151" s="10">
        <v>55030</v>
      </c>
      <c r="O1151" s="10">
        <v>3294</v>
      </c>
      <c r="P1151" s="10">
        <v>58324</v>
      </c>
    </row>
    <row r="1152" spans="1:16" ht="27" customHeight="1" x14ac:dyDescent="0.2">
      <c r="A1152" s="9" t="s">
        <v>4168</v>
      </c>
      <c r="B1152" s="10" t="s">
        <v>4215</v>
      </c>
      <c r="C1152" s="11" t="s">
        <v>18</v>
      </c>
      <c r="D1152" s="11" t="s">
        <v>19</v>
      </c>
      <c r="E1152" s="11" t="s">
        <v>19</v>
      </c>
      <c r="F1152" s="11" t="s">
        <v>4216</v>
      </c>
      <c r="G1152" s="11" t="s">
        <v>83</v>
      </c>
      <c r="H1152" s="11" t="s">
        <v>4216</v>
      </c>
      <c r="I1152" s="11" t="s">
        <v>4217</v>
      </c>
      <c r="J1152" s="12">
        <v>0.25169999999999998</v>
      </c>
      <c r="K1152" s="13">
        <v>2</v>
      </c>
      <c r="L1152" s="14">
        <v>152</v>
      </c>
      <c r="M1152" s="10">
        <v>38</v>
      </c>
      <c r="N1152" s="10">
        <v>16796</v>
      </c>
      <c r="O1152" s="10">
        <v>2980</v>
      </c>
      <c r="P1152" s="10">
        <v>19776</v>
      </c>
    </row>
    <row r="1153" spans="1:16" ht="27" customHeight="1" x14ac:dyDescent="0.2">
      <c r="A1153" s="9" t="s">
        <v>4168</v>
      </c>
      <c r="B1153" s="10" t="s">
        <v>4215</v>
      </c>
      <c r="C1153" s="11" t="s">
        <v>4218</v>
      </c>
      <c r="D1153" s="11" t="s">
        <v>4219</v>
      </c>
      <c r="E1153" s="11" t="s">
        <v>57</v>
      </c>
      <c r="F1153" s="11" t="s">
        <v>4220</v>
      </c>
      <c r="G1153" s="11" t="s">
        <v>28</v>
      </c>
      <c r="H1153" s="11" t="s">
        <v>4220</v>
      </c>
      <c r="I1153" s="11" t="s">
        <v>4221</v>
      </c>
      <c r="J1153" s="12">
        <v>0.2596</v>
      </c>
      <c r="K1153" s="13">
        <v>1</v>
      </c>
      <c r="L1153" s="14">
        <v>285</v>
      </c>
      <c r="M1153" s="10">
        <v>74</v>
      </c>
      <c r="N1153" s="10">
        <v>31493</v>
      </c>
      <c r="O1153" s="10">
        <v>5803</v>
      </c>
      <c r="P1153" s="10">
        <v>37296</v>
      </c>
    </row>
    <row r="1154" spans="1:16" ht="27" customHeight="1" x14ac:dyDescent="0.2">
      <c r="A1154" s="9" t="s">
        <v>4168</v>
      </c>
      <c r="B1154" s="10" t="s">
        <v>4215</v>
      </c>
      <c r="C1154" s="11" t="s">
        <v>4222</v>
      </c>
      <c r="D1154" s="11" t="s">
        <v>4223</v>
      </c>
      <c r="E1154" s="11" t="s">
        <v>26</v>
      </c>
      <c r="F1154" s="11" t="s">
        <v>4224</v>
      </c>
      <c r="G1154" s="11" t="s">
        <v>28</v>
      </c>
      <c r="H1154" s="11" t="s">
        <v>4224</v>
      </c>
      <c r="I1154" s="11" t="s">
        <v>4225</v>
      </c>
      <c r="J1154" s="12">
        <v>7.6600000000000001E-2</v>
      </c>
      <c r="K1154" s="13">
        <v>1</v>
      </c>
      <c r="L1154" s="14">
        <v>235</v>
      </c>
      <c r="M1154" s="10">
        <v>18</v>
      </c>
      <c r="N1154" s="10">
        <v>25968</v>
      </c>
      <c r="O1154" s="10">
        <v>1412</v>
      </c>
      <c r="P1154" s="10">
        <v>27380</v>
      </c>
    </row>
    <row r="1155" spans="1:16" ht="27" customHeight="1" x14ac:dyDescent="0.2">
      <c r="A1155" s="9" t="s">
        <v>4168</v>
      </c>
      <c r="B1155" s="10" t="s">
        <v>4215</v>
      </c>
      <c r="C1155" s="11" t="s">
        <v>4226</v>
      </c>
      <c r="D1155" s="11" t="s">
        <v>4227</v>
      </c>
      <c r="E1155" s="11" t="s">
        <v>26</v>
      </c>
      <c r="F1155" s="11" t="s">
        <v>4228</v>
      </c>
      <c r="G1155" s="11" t="s">
        <v>28</v>
      </c>
      <c r="H1155" s="11" t="s">
        <v>4228</v>
      </c>
      <c r="I1155" s="11" t="s">
        <v>4229</v>
      </c>
      <c r="J1155" s="12">
        <v>0.14099999999999999</v>
      </c>
      <c r="K1155" s="13">
        <v>1</v>
      </c>
      <c r="L1155" s="14">
        <v>305</v>
      </c>
      <c r="M1155" s="10">
        <v>43</v>
      </c>
      <c r="N1155" s="10">
        <v>33703</v>
      </c>
      <c r="O1155" s="10">
        <v>3372</v>
      </c>
      <c r="P1155" s="10">
        <v>37075</v>
      </c>
    </row>
    <row r="1156" spans="1:16" ht="27" customHeight="1" x14ac:dyDescent="0.2">
      <c r="A1156" s="9" t="s">
        <v>4168</v>
      </c>
      <c r="B1156" s="10" t="s">
        <v>4215</v>
      </c>
      <c r="C1156" s="11" t="s">
        <v>4230</v>
      </c>
      <c r="D1156" s="11" t="s">
        <v>4231</v>
      </c>
      <c r="E1156" s="11" t="s">
        <v>26</v>
      </c>
      <c r="F1156" s="11" t="s">
        <v>4232</v>
      </c>
      <c r="G1156" s="11" t="s">
        <v>28</v>
      </c>
      <c r="H1156" s="11" t="s">
        <v>4232</v>
      </c>
      <c r="I1156" s="11" t="s">
        <v>4233</v>
      </c>
      <c r="J1156" s="12">
        <v>0.11219999999999999</v>
      </c>
      <c r="K1156" s="13">
        <v>1</v>
      </c>
      <c r="L1156" s="14">
        <v>1176</v>
      </c>
      <c r="M1156" s="10">
        <v>132</v>
      </c>
      <c r="N1156" s="10">
        <v>129950</v>
      </c>
      <c r="O1156" s="10">
        <v>10351</v>
      </c>
      <c r="P1156" s="10">
        <v>140301</v>
      </c>
    </row>
    <row r="1157" spans="1:16" ht="27" customHeight="1" x14ac:dyDescent="0.2">
      <c r="A1157" s="9" t="s">
        <v>4168</v>
      </c>
      <c r="B1157" s="10" t="s">
        <v>4234</v>
      </c>
      <c r="C1157" s="11" t="s">
        <v>18</v>
      </c>
      <c r="D1157" s="11" t="s">
        <v>19</v>
      </c>
      <c r="E1157" s="11" t="s">
        <v>19</v>
      </c>
      <c r="F1157" s="11" t="s">
        <v>4235</v>
      </c>
      <c r="G1157" s="11" t="s">
        <v>83</v>
      </c>
      <c r="H1157" s="11" t="s">
        <v>4236</v>
      </c>
      <c r="I1157" s="11" t="s">
        <v>4237</v>
      </c>
      <c r="J1157" s="12">
        <v>0.28889999999999999</v>
      </c>
      <c r="K1157" s="13">
        <v>3</v>
      </c>
      <c r="L1157" s="14">
        <v>772</v>
      </c>
      <c r="M1157" s="10">
        <v>223</v>
      </c>
      <c r="N1157" s="10">
        <v>85308</v>
      </c>
      <c r="O1157" s="10">
        <v>17487</v>
      </c>
      <c r="P1157" s="10">
        <v>102795</v>
      </c>
    </row>
    <row r="1158" spans="1:16" ht="27" customHeight="1" x14ac:dyDescent="0.2">
      <c r="A1158" s="9" t="s">
        <v>4168</v>
      </c>
      <c r="B1158" s="10" t="s">
        <v>4238</v>
      </c>
      <c r="C1158" s="11" t="s">
        <v>18</v>
      </c>
      <c r="D1158" s="11" t="s">
        <v>19</v>
      </c>
      <c r="E1158" s="11" t="s">
        <v>19</v>
      </c>
      <c r="F1158" s="11" t="s">
        <v>4239</v>
      </c>
      <c r="G1158" s="11" t="s">
        <v>83</v>
      </c>
      <c r="H1158" s="11" t="s">
        <v>4171</v>
      </c>
      <c r="I1158" s="11" t="s">
        <v>4172</v>
      </c>
      <c r="J1158" s="12">
        <v>0.87150000000000005</v>
      </c>
      <c r="K1158" s="13">
        <v>6</v>
      </c>
      <c r="L1158" s="14">
        <v>3886</v>
      </c>
      <c r="M1158" s="10">
        <v>864</v>
      </c>
      <c r="N1158" s="10">
        <v>429409</v>
      </c>
      <c r="O1158" s="10">
        <v>67756</v>
      </c>
      <c r="P1158" s="10">
        <v>497165</v>
      </c>
    </row>
    <row r="1159" spans="1:16" ht="27" customHeight="1" x14ac:dyDescent="0.2">
      <c r="A1159" s="9" t="s">
        <v>4168</v>
      </c>
      <c r="B1159" s="10" t="s">
        <v>4238</v>
      </c>
      <c r="C1159" s="11" t="s">
        <v>4240</v>
      </c>
      <c r="D1159" s="11" t="s">
        <v>4241</v>
      </c>
      <c r="E1159" s="11" t="s">
        <v>57</v>
      </c>
      <c r="F1159" s="11" t="s">
        <v>4242</v>
      </c>
      <c r="G1159" s="11" t="s">
        <v>28</v>
      </c>
      <c r="H1159" s="11" t="s">
        <v>4171</v>
      </c>
      <c r="I1159" s="11" t="s">
        <v>4172</v>
      </c>
      <c r="J1159" s="12">
        <v>0.87150000000000005</v>
      </c>
      <c r="K1159" s="13">
        <v>1</v>
      </c>
      <c r="L1159" s="14">
        <v>115</v>
      </c>
      <c r="M1159" s="10">
        <v>42</v>
      </c>
      <c r="N1159" s="10">
        <v>12708</v>
      </c>
      <c r="O1159" s="10">
        <v>3294</v>
      </c>
      <c r="P1159" s="10">
        <v>16002</v>
      </c>
    </row>
    <row r="1160" spans="1:16" ht="27" customHeight="1" x14ac:dyDescent="0.2">
      <c r="A1160" s="9" t="s">
        <v>4168</v>
      </c>
      <c r="B1160" s="10" t="s">
        <v>4243</v>
      </c>
      <c r="C1160" s="11" t="s">
        <v>18</v>
      </c>
      <c r="D1160" s="11" t="s">
        <v>19</v>
      </c>
      <c r="E1160" s="11" t="s">
        <v>19</v>
      </c>
      <c r="F1160" s="11" t="s">
        <v>4244</v>
      </c>
      <c r="G1160" s="11" t="s">
        <v>83</v>
      </c>
      <c r="H1160" s="11" t="s">
        <v>4171</v>
      </c>
      <c r="I1160" s="11" t="s">
        <v>4172</v>
      </c>
      <c r="J1160" s="12">
        <v>0.87150000000000005</v>
      </c>
      <c r="K1160" s="13">
        <v>22</v>
      </c>
      <c r="L1160" s="14">
        <v>11735</v>
      </c>
      <c r="M1160" s="10">
        <v>5969</v>
      </c>
      <c r="N1160" s="10">
        <v>1296735</v>
      </c>
      <c r="O1160" s="10">
        <v>468086</v>
      </c>
      <c r="P1160" s="10">
        <v>1764821</v>
      </c>
    </row>
    <row r="1161" spans="1:16" ht="27" customHeight="1" x14ac:dyDescent="0.2">
      <c r="A1161" s="9" t="s">
        <v>4168</v>
      </c>
      <c r="B1161" s="10" t="s">
        <v>4245</v>
      </c>
      <c r="C1161" s="11" t="s">
        <v>18</v>
      </c>
      <c r="D1161" s="11" t="s">
        <v>19</v>
      </c>
      <c r="E1161" s="11" t="s">
        <v>19</v>
      </c>
      <c r="F1161" s="11" t="s">
        <v>4246</v>
      </c>
      <c r="G1161" s="11" t="s">
        <v>83</v>
      </c>
      <c r="H1161" s="11" t="s">
        <v>4171</v>
      </c>
      <c r="I1161" s="11" t="s">
        <v>4172</v>
      </c>
      <c r="J1161" s="12">
        <v>0.87150000000000005</v>
      </c>
      <c r="K1161" s="13">
        <v>9</v>
      </c>
      <c r="L1161" s="14">
        <v>10557</v>
      </c>
      <c r="M1161" s="10">
        <v>2537</v>
      </c>
      <c r="N1161" s="10">
        <v>1166564</v>
      </c>
      <c r="O1161" s="10">
        <v>198948</v>
      </c>
      <c r="P1161" s="10">
        <v>1365512</v>
      </c>
    </row>
    <row r="1162" spans="1:16" ht="27" customHeight="1" x14ac:dyDescent="0.2">
      <c r="A1162" s="9" t="s">
        <v>4168</v>
      </c>
      <c r="B1162" s="10" t="s">
        <v>4245</v>
      </c>
      <c r="C1162" s="11" t="s">
        <v>4247</v>
      </c>
      <c r="D1162" s="11" t="s">
        <v>4248</v>
      </c>
      <c r="E1162" s="11" t="s">
        <v>26</v>
      </c>
      <c r="F1162" s="11" t="s">
        <v>4249</v>
      </c>
      <c r="G1162" s="11" t="s">
        <v>28</v>
      </c>
      <c r="H1162" s="11" t="s">
        <v>4249</v>
      </c>
      <c r="I1162" s="11" t="s">
        <v>4250</v>
      </c>
      <c r="J1162" s="12">
        <v>0.3327</v>
      </c>
      <c r="K1162" s="13">
        <v>1</v>
      </c>
      <c r="L1162" s="14">
        <v>1590</v>
      </c>
      <c r="M1162" s="10">
        <v>529</v>
      </c>
      <c r="N1162" s="10">
        <v>175698</v>
      </c>
      <c r="O1162" s="10">
        <v>41484</v>
      </c>
      <c r="P1162" s="10">
        <v>217182</v>
      </c>
    </row>
    <row r="1163" spans="1:16" ht="27" customHeight="1" x14ac:dyDescent="0.2">
      <c r="A1163" s="9" t="s">
        <v>4168</v>
      </c>
      <c r="B1163" s="10" t="s">
        <v>4245</v>
      </c>
      <c r="C1163" s="11" t="s">
        <v>4251</v>
      </c>
      <c r="D1163" s="11" t="s">
        <v>4252</v>
      </c>
      <c r="E1163" s="11" t="s">
        <v>26</v>
      </c>
      <c r="F1163" s="11" t="s">
        <v>4253</v>
      </c>
      <c r="G1163" s="11" t="s">
        <v>28</v>
      </c>
      <c r="H1163" s="11" t="s">
        <v>4253</v>
      </c>
      <c r="I1163" s="11" t="s">
        <v>4254</v>
      </c>
      <c r="J1163" s="12">
        <v>0.51949999999999996</v>
      </c>
      <c r="K1163" s="13">
        <v>1</v>
      </c>
      <c r="L1163" s="14">
        <v>77</v>
      </c>
      <c r="M1163" s="10">
        <v>40</v>
      </c>
      <c r="N1163" s="10">
        <v>8509</v>
      </c>
      <c r="O1163" s="10">
        <v>3137</v>
      </c>
      <c r="P1163" s="10">
        <v>11646</v>
      </c>
    </row>
    <row r="1164" spans="1:16" ht="27" customHeight="1" x14ac:dyDescent="0.2">
      <c r="A1164" s="9" t="s">
        <v>4168</v>
      </c>
      <c r="B1164" s="10" t="s">
        <v>4255</v>
      </c>
      <c r="C1164" s="11" t="s">
        <v>18</v>
      </c>
      <c r="D1164" s="11" t="s">
        <v>19</v>
      </c>
      <c r="E1164" s="11" t="s">
        <v>19</v>
      </c>
      <c r="F1164" s="11" t="s">
        <v>4256</v>
      </c>
      <c r="G1164" s="11" t="s">
        <v>83</v>
      </c>
      <c r="H1164" s="11" t="s">
        <v>4257</v>
      </c>
      <c r="I1164" s="11" t="s">
        <v>4258</v>
      </c>
      <c r="J1164" s="12">
        <v>0.51659999999999995</v>
      </c>
      <c r="K1164" s="13">
        <v>12</v>
      </c>
      <c r="L1164" s="14">
        <v>4019</v>
      </c>
      <c r="M1164" s="10">
        <v>1181</v>
      </c>
      <c r="N1164" s="10">
        <v>444106</v>
      </c>
      <c r="O1164" s="10">
        <v>92613</v>
      </c>
      <c r="P1164" s="10">
        <v>536719</v>
      </c>
    </row>
    <row r="1165" spans="1:16" ht="27" customHeight="1" x14ac:dyDescent="0.2">
      <c r="A1165" s="9" t="s">
        <v>4168</v>
      </c>
      <c r="B1165" s="10" t="s">
        <v>4255</v>
      </c>
      <c r="C1165" s="11" t="s">
        <v>4259</v>
      </c>
      <c r="D1165" s="11" t="s">
        <v>4260</v>
      </c>
      <c r="E1165" s="11" t="s">
        <v>26</v>
      </c>
      <c r="F1165" s="11" t="s">
        <v>4261</v>
      </c>
      <c r="G1165" s="11" t="s">
        <v>28</v>
      </c>
      <c r="H1165" s="11" t="s">
        <v>4261</v>
      </c>
      <c r="I1165" s="11" t="s">
        <v>4262</v>
      </c>
      <c r="J1165" s="12">
        <v>0.27010000000000001</v>
      </c>
      <c r="K1165" s="13">
        <v>1</v>
      </c>
      <c r="L1165" s="14">
        <v>211</v>
      </c>
      <c r="M1165" s="10">
        <v>57</v>
      </c>
      <c r="N1165" s="10">
        <v>23316</v>
      </c>
      <c r="O1165" s="10">
        <v>4470</v>
      </c>
      <c r="P1165" s="10">
        <v>27786</v>
      </c>
    </row>
    <row r="1166" spans="1:16" ht="27" customHeight="1" x14ac:dyDescent="0.2">
      <c r="A1166" s="9" t="s">
        <v>4168</v>
      </c>
      <c r="B1166" s="10" t="s">
        <v>4263</v>
      </c>
      <c r="C1166" s="11" t="s">
        <v>18</v>
      </c>
      <c r="D1166" s="11" t="s">
        <v>19</v>
      </c>
      <c r="E1166" s="11" t="s">
        <v>19</v>
      </c>
      <c r="F1166" s="11" t="s">
        <v>4264</v>
      </c>
      <c r="G1166" s="11" t="s">
        <v>83</v>
      </c>
      <c r="H1166" s="11" t="s">
        <v>4265</v>
      </c>
      <c r="I1166" s="11" t="s">
        <v>4266</v>
      </c>
      <c r="J1166" s="12">
        <v>0.65539999999999998</v>
      </c>
      <c r="K1166" s="13">
        <v>15</v>
      </c>
      <c r="L1166" s="14">
        <v>7634</v>
      </c>
      <c r="M1166" s="10">
        <v>2271</v>
      </c>
      <c r="N1166" s="10">
        <v>843570</v>
      </c>
      <c r="O1166" s="10">
        <v>178089</v>
      </c>
      <c r="P1166" s="10">
        <v>1021659</v>
      </c>
    </row>
    <row r="1167" spans="1:16" ht="27" customHeight="1" x14ac:dyDescent="0.2">
      <c r="A1167" s="9" t="s">
        <v>4168</v>
      </c>
      <c r="B1167" s="10" t="s">
        <v>4263</v>
      </c>
      <c r="C1167" s="11" t="s">
        <v>4267</v>
      </c>
      <c r="D1167" s="11" t="s">
        <v>4268</v>
      </c>
      <c r="E1167" s="11" t="s">
        <v>26</v>
      </c>
      <c r="F1167" s="11" t="s">
        <v>4269</v>
      </c>
      <c r="G1167" s="11" t="s">
        <v>28</v>
      </c>
      <c r="H1167" s="11" t="s">
        <v>4269</v>
      </c>
      <c r="I1167" s="11" t="s">
        <v>4270</v>
      </c>
      <c r="J1167" s="12">
        <v>0.16639999999999999</v>
      </c>
      <c r="K1167" s="13">
        <v>1</v>
      </c>
      <c r="L1167" s="14">
        <v>1376</v>
      </c>
      <c r="M1167" s="10">
        <v>229</v>
      </c>
      <c r="N1167" s="10">
        <v>152050</v>
      </c>
      <c r="O1167" s="10">
        <v>17958</v>
      </c>
      <c r="P1167" s="10">
        <v>170008</v>
      </c>
    </row>
    <row r="1168" spans="1:16" ht="27" customHeight="1" x14ac:dyDescent="0.2">
      <c r="A1168" s="9" t="s">
        <v>4168</v>
      </c>
      <c r="B1168" s="10" t="s">
        <v>4263</v>
      </c>
      <c r="C1168" s="11" t="s">
        <v>4271</v>
      </c>
      <c r="D1168" s="11" t="s">
        <v>4272</v>
      </c>
      <c r="E1168" s="11" t="s">
        <v>26</v>
      </c>
      <c r="F1168" s="11" t="s">
        <v>4273</v>
      </c>
      <c r="G1168" s="11" t="s">
        <v>28</v>
      </c>
      <c r="H1168" s="11" t="s">
        <v>4273</v>
      </c>
      <c r="I1168" s="11" t="s">
        <v>4274</v>
      </c>
      <c r="J1168" s="12">
        <v>0.53510000000000002</v>
      </c>
      <c r="K1168" s="13">
        <v>1</v>
      </c>
      <c r="L1168" s="14">
        <v>1508</v>
      </c>
      <c r="M1168" s="10">
        <v>807</v>
      </c>
      <c r="N1168" s="10">
        <v>166636</v>
      </c>
      <c r="O1168" s="10">
        <v>63284</v>
      </c>
      <c r="P1168" s="10">
        <v>229920</v>
      </c>
    </row>
    <row r="1169" spans="1:16" ht="27" customHeight="1" x14ac:dyDescent="0.2">
      <c r="A1169" s="9" t="s">
        <v>4168</v>
      </c>
      <c r="B1169" s="10" t="s">
        <v>4275</v>
      </c>
      <c r="C1169" s="11" t="s">
        <v>18</v>
      </c>
      <c r="D1169" s="11" t="s">
        <v>19</v>
      </c>
      <c r="E1169" s="11" t="s">
        <v>19</v>
      </c>
      <c r="F1169" s="11" t="s">
        <v>4276</v>
      </c>
      <c r="G1169" s="11" t="s">
        <v>83</v>
      </c>
      <c r="H1169" s="11" t="s">
        <v>4277</v>
      </c>
      <c r="I1169" s="11" t="s">
        <v>4278</v>
      </c>
      <c r="J1169" s="12">
        <v>0.35170000000000001</v>
      </c>
      <c r="K1169" s="13">
        <v>19</v>
      </c>
      <c r="L1169" s="14">
        <v>11472</v>
      </c>
      <c r="M1169" s="10">
        <v>2160</v>
      </c>
      <c r="N1169" s="10">
        <v>1267676</v>
      </c>
      <c r="O1169" s="10">
        <v>169385</v>
      </c>
      <c r="P1169" s="10">
        <v>1437061</v>
      </c>
    </row>
    <row r="1170" spans="1:16" ht="27" customHeight="1" x14ac:dyDescent="0.2">
      <c r="A1170" s="9" t="s">
        <v>4168</v>
      </c>
      <c r="B1170" s="10" t="s">
        <v>4275</v>
      </c>
      <c r="C1170" s="11" t="s">
        <v>4279</v>
      </c>
      <c r="D1170" s="11" t="s">
        <v>4280</v>
      </c>
      <c r="E1170" s="11" t="s">
        <v>26</v>
      </c>
      <c r="F1170" s="11" t="s">
        <v>4281</v>
      </c>
      <c r="G1170" s="11" t="s">
        <v>28</v>
      </c>
      <c r="H1170" s="11" t="s">
        <v>4281</v>
      </c>
      <c r="I1170" s="11" t="s">
        <v>4282</v>
      </c>
      <c r="J1170" s="12">
        <v>0.1231</v>
      </c>
      <c r="K1170" s="13">
        <v>1</v>
      </c>
      <c r="L1170" s="14">
        <v>260</v>
      </c>
      <c r="M1170" s="10">
        <v>32</v>
      </c>
      <c r="N1170" s="10">
        <v>28730</v>
      </c>
      <c r="O1170" s="10">
        <v>2509</v>
      </c>
      <c r="P1170" s="10">
        <v>31239</v>
      </c>
    </row>
    <row r="1171" spans="1:16" ht="27" customHeight="1" x14ac:dyDescent="0.2">
      <c r="A1171" s="9" t="s">
        <v>4168</v>
      </c>
      <c r="B1171" s="10" t="s">
        <v>4275</v>
      </c>
      <c r="C1171" s="11" t="s">
        <v>4283</v>
      </c>
      <c r="D1171" s="11" t="s">
        <v>4284</v>
      </c>
      <c r="E1171" s="11" t="s">
        <v>26</v>
      </c>
      <c r="F1171" s="11" t="s">
        <v>4285</v>
      </c>
      <c r="G1171" s="11" t="s">
        <v>28</v>
      </c>
      <c r="H1171" s="11" t="s">
        <v>4285</v>
      </c>
      <c r="I1171" s="11" t="s">
        <v>4286</v>
      </c>
      <c r="J1171" s="12">
        <v>0.1371</v>
      </c>
      <c r="K1171" s="13">
        <v>1</v>
      </c>
      <c r="L1171" s="14">
        <v>773</v>
      </c>
      <c r="M1171" s="10">
        <v>106</v>
      </c>
      <c r="N1171" s="10">
        <v>85418</v>
      </c>
      <c r="O1171" s="10">
        <v>8312</v>
      </c>
      <c r="P1171" s="10">
        <v>93730</v>
      </c>
    </row>
    <row r="1172" spans="1:16" ht="27" customHeight="1" x14ac:dyDescent="0.2">
      <c r="A1172" s="9" t="s">
        <v>4168</v>
      </c>
      <c r="B1172" s="10" t="s">
        <v>4275</v>
      </c>
      <c r="C1172" s="11" t="s">
        <v>4287</v>
      </c>
      <c r="D1172" s="11" t="s">
        <v>4288</v>
      </c>
      <c r="E1172" s="11" t="s">
        <v>26</v>
      </c>
      <c r="F1172" s="11" t="s">
        <v>4289</v>
      </c>
      <c r="G1172" s="11" t="s">
        <v>28</v>
      </c>
      <c r="H1172" s="11" t="s">
        <v>4289</v>
      </c>
      <c r="I1172" s="11" t="s">
        <v>4290</v>
      </c>
      <c r="J1172" s="12">
        <v>0.1106</v>
      </c>
      <c r="K1172" s="13">
        <v>1</v>
      </c>
      <c r="L1172" s="14">
        <v>479</v>
      </c>
      <c r="M1172" s="10">
        <v>53</v>
      </c>
      <c r="N1172" s="10">
        <v>52930</v>
      </c>
      <c r="O1172" s="10">
        <v>4156</v>
      </c>
      <c r="P1172" s="10">
        <v>57086</v>
      </c>
    </row>
    <row r="1173" spans="1:16" ht="27" customHeight="1" x14ac:dyDescent="0.2">
      <c r="A1173" s="9" t="s">
        <v>4291</v>
      </c>
      <c r="B1173" s="10" t="s">
        <v>4292</v>
      </c>
      <c r="C1173" s="11" t="s">
        <v>18</v>
      </c>
      <c r="D1173" s="11" t="s">
        <v>19</v>
      </c>
      <c r="E1173" s="11" t="s">
        <v>19</v>
      </c>
      <c r="F1173" s="11" t="s">
        <v>4293</v>
      </c>
      <c r="G1173" s="11" t="s">
        <v>21</v>
      </c>
      <c r="H1173" s="11" t="s">
        <v>4294</v>
      </c>
      <c r="I1173" s="11" t="s">
        <v>4295</v>
      </c>
      <c r="J1173" s="12">
        <v>0.72540000000000004</v>
      </c>
      <c r="K1173" s="13">
        <v>4</v>
      </c>
      <c r="L1173" s="14">
        <v>9</v>
      </c>
      <c r="M1173" s="10">
        <v>9</v>
      </c>
      <c r="N1173" s="10">
        <v>996</v>
      </c>
      <c r="O1173" s="10">
        <v>705</v>
      </c>
      <c r="P1173" s="10">
        <v>1701</v>
      </c>
    </row>
    <row r="1174" spans="1:16" ht="27" customHeight="1" x14ac:dyDescent="0.2">
      <c r="A1174" s="9" t="s">
        <v>4291</v>
      </c>
      <c r="B1174" s="10" t="s">
        <v>4296</v>
      </c>
      <c r="C1174" s="11" t="s">
        <v>18</v>
      </c>
      <c r="D1174" s="11" t="s">
        <v>19</v>
      </c>
      <c r="E1174" s="11" t="s">
        <v>19</v>
      </c>
      <c r="F1174" s="11" t="s">
        <v>4297</v>
      </c>
      <c r="G1174" s="11" t="s">
        <v>83</v>
      </c>
      <c r="H1174" s="11" t="s">
        <v>4294</v>
      </c>
      <c r="I1174" s="11" t="s">
        <v>4295</v>
      </c>
      <c r="J1174" s="12">
        <v>0.72540000000000004</v>
      </c>
      <c r="K1174" s="13">
        <v>11</v>
      </c>
      <c r="L1174" s="14">
        <v>1769</v>
      </c>
      <c r="M1174" s="10">
        <v>1106</v>
      </c>
      <c r="N1174" s="10">
        <v>195479</v>
      </c>
      <c r="O1174" s="10">
        <v>86732</v>
      </c>
      <c r="P1174" s="10">
        <v>282211</v>
      </c>
    </row>
    <row r="1175" spans="1:16" ht="27" customHeight="1" x14ac:dyDescent="0.2">
      <c r="A1175" s="9" t="s">
        <v>4291</v>
      </c>
      <c r="B1175" s="10" t="s">
        <v>4296</v>
      </c>
      <c r="C1175" s="11" t="s">
        <v>4298</v>
      </c>
      <c r="D1175" s="11" t="s">
        <v>4299</v>
      </c>
      <c r="E1175" s="11" t="s">
        <v>26</v>
      </c>
      <c r="F1175" s="11" t="s">
        <v>4300</v>
      </c>
      <c r="G1175" s="11" t="s">
        <v>28</v>
      </c>
      <c r="H1175" s="11" t="s">
        <v>4300</v>
      </c>
      <c r="I1175" s="11" t="s">
        <v>4301</v>
      </c>
      <c r="J1175" s="12">
        <v>0.36709999999999998</v>
      </c>
      <c r="K1175" s="13">
        <v>1</v>
      </c>
      <c r="L1175" s="14">
        <v>346</v>
      </c>
      <c r="M1175" s="10">
        <v>127</v>
      </c>
      <c r="N1175" s="10">
        <v>38234</v>
      </c>
      <c r="O1175" s="10">
        <v>9959</v>
      </c>
      <c r="P1175" s="10">
        <v>48193</v>
      </c>
    </row>
    <row r="1176" spans="1:16" ht="27" customHeight="1" x14ac:dyDescent="0.2">
      <c r="A1176" s="9" t="s">
        <v>4302</v>
      </c>
      <c r="B1176" s="10" t="s">
        <v>4303</v>
      </c>
      <c r="C1176" s="11" t="s">
        <v>18</v>
      </c>
      <c r="D1176" s="11" t="s">
        <v>19</v>
      </c>
      <c r="E1176" s="11" t="s">
        <v>19</v>
      </c>
      <c r="F1176" s="11" t="s">
        <v>4304</v>
      </c>
      <c r="G1176" s="11" t="s">
        <v>21</v>
      </c>
      <c r="H1176" s="11" t="s">
        <v>4305</v>
      </c>
      <c r="I1176" s="11" t="s">
        <v>4306</v>
      </c>
      <c r="J1176" s="12">
        <v>0.98470000000000002</v>
      </c>
      <c r="K1176" s="13">
        <v>5</v>
      </c>
      <c r="L1176" s="14">
        <v>1681</v>
      </c>
      <c r="M1176" s="10">
        <v>1353</v>
      </c>
      <c r="N1176" s="10">
        <v>185753</v>
      </c>
      <c r="O1176" s="10">
        <v>106100</v>
      </c>
      <c r="P1176" s="10">
        <v>291853</v>
      </c>
    </row>
    <row r="1177" spans="1:16" ht="27" customHeight="1" x14ac:dyDescent="0.2">
      <c r="A1177" s="9" t="s">
        <v>4302</v>
      </c>
      <c r="B1177" s="10" t="s">
        <v>4303</v>
      </c>
      <c r="C1177" s="11" t="s">
        <v>4307</v>
      </c>
      <c r="D1177" s="11" t="s">
        <v>4308</v>
      </c>
      <c r="E1177" s="11" t="s">
        <v>26</v>
      </c>
      <c r="F1177" s="11" t="s">
        <v>4309</v>
      </c>
      <c r="G1177" s="11" t="s">
        <v>28</v>
      </c>
      <c r="H1177" s="11" t="s">
        <v>4309</v>
      </c>
      <c r="I1177" s="11" t="s">
        <v>4310</v>
      </c>
      <c r="J1177" s="12">
        <v>0.57779999999999998</v>
      </c>
      <c r="K1177" s="13">
        <v>1</v>
      </c>
      <c r="L1177" s="14">
        <v>6886</v>
      </c>
      <c r="M1177" s="10">
        <v>3979</v>
      </c>
      <c r="N1177" s="10">
        <v>760914</v>
      </c>
      <c r="O1177" s="10">
        <v>312029</v>
      </c>
      <c r="P1177" s="10">
        <v>1072943</v>
      </c>
    </row>
    <row r="1178" spans="1:16" ht="27" customHeight="1" x14ac:dyDescent="0.2">
      <c r="A1178" s="9" t="s">
        <v>4302</v>
      </c>
      <c r="B1178" s="10" t="s">
        <v>4303</v>
      </c>
      <c r="C1178" s="11" t="s">
        <v>4311</v>
      </c>
      <c r="D1178" s="11" t="s">
        <v>4312</v>
      </c>
      <c r="E1178" s="11" t="s">
        <v>26</v>
      </c>
      <c r="F1178" s="11" t="s">
        <v>4313</v>
      </c>
      <c r="G1178" s="11" t="s">
        <v>28</v>
      </c>
      <c r="H1178" s="11" t="s">
        <v>4305</v>
      </c>
      <c r="I1178" s="11" t="s">
        <v>4306</v>
      </c>
      <c r="J1178" s="12">
        <v>0.98470000000000002</v>
      </c>
      <c r="K1178" s="13">
        <v>1</v>
      </c>
      <c r="L1178" s="14">
        <v>143</v>
      </c>
      <c r="M1178" s="10">
        <v>108</v>
      </c>
      <c r="N1178" s="10">
        <v>15802</v>
      </c>
      <c r="O1178" s="10">
        <v>8469</v>
      </c>
      <c r="P1178" s="10">
        <v>24271</v>
      </c>
    </row>
    <row r="1179" spans="1:16" ht="27" customHeight="1" x14ac:dyDescent="0.2">
      <c r="A1179" s="9" t="s">
        <v>4302</v>
      </c>
      <c r="B1179" s="10" t="s">
        <v>4303</v>
      </c>
      <c r="C1179" s="11" t="s">
        <v>4314</v>
      </c>
      <c r="D1179" s="11" t="s">
        <v>4315</v>
      </c>
      <c r="E1179" s="11" t="s">
        <v>26</v>
      </c>
      <c r="F1179" s="11" t="s">
        <v>4316</v>
      </c>
      <c r="G1179" s="11" t="s">
        <v>28</v>
      </c>
      <c r="H1179" s="11" t="s">
        <v>4316</v>
      </c>
      <c r="I1179" s="11" t="s">
        <v>4317</v>
      </c>
      <c r="J1179" s="12">
        <v>0.5373</v>
      </c>
      <c r="K1179" s="13">
        <v>1</v>
      </c>
      <c r="L1179" s="14">
        <v>1312</v>
      </c>
      <c r="M1179" s="10">
        <v>705</v>
      </c>
      <c r="N1179" s="10">
        <v>144978</v>
      </c>
      <c r="O1179" s="10">
        <v>55285</v>
      </c>
      <c r="P1179" s="10">
        <v>200263</v>
      </c>
    </row>
    <row r="1180" spans="1:16" ht="27" customHeight="1" x14ac:dyDescent="0.2">
      <c r="A1180" s="9" t="s">
        <v>4302</v>
      </c>
      <c r="B1180" s="10" t="s">
        <v>4303</v>
      </c>
      <c r="C1180" s="11" t="s">
        <v>4318</v>
      </c>
      <c r="D1180" s="11" t="s">
        <v>4319</v>
      </c>
      <c r="E1180" s="11" t="s">
        <v>57</v>
      </c>
      <c r="F1180" s="11" t="s">
        <v>4320</v>
      </c>
      <c r="G1180" s="11" t="s">
        <v>28</v>
      </c>
      <c r="H1180" s="11" t="s">
        <v>4305</v>
      </c>
      <c r="I1180" s="11" t="s">
        <v>4306</v>
      </c>
      <c r="J1180" s="12">
        <v>0.98470000000000002</v>
      </c>
      <c r="K1180" s="13">
        <v>1</v>
      </c>
      <c r="L1180" s="14">
        <v>500</v>
      </c>
      <c r="M1180" s="10">
        <v>323</v>
      </c>
      <c r="N1180" s="10">
        <v>55251</v>
      </c>
      <c r="O1180" s="10">
        <v>25329</v>
      </c>
      <c r="P1180" s="10">
        <v>80580</v>
      </c>
    </row>
    <row r="1181" spans="1:16" ht="27" customHeight="1" x14ac:dyDescent="0.2">
      <c r="A1181" s="9" t="s">
        <v>4302</v>
      </c>
      <c r="B1181" s="10" t="s">
        <v>4303</v>
      </c>
      <c r="C1181" s="11" t="s">
        <v>4321</v>
      </c>
      <c r="D1181" s="11" t="s">
        <v>4322</v>
      </c>
      <c r="E1181" s="11" t="s">
        <v>26</v>
      </c>
      <c r="F1181" s="11" t="s">
        <v>4323</v>
      </c>
      <c r="G1181" s="11" t="s">
        <v>28</v>
      </c>
      <c r="H1181" s="11" t="s">
        <v>4305</v>
      </c>
      <c r="I1181" s="11" t="s">
        <v>4306</v>
      </c>
      <c r="J1181" s="12">
        <v>0.98470000000000002</v>
      </c>
      <c r="K1181" s="13">
        <v>1</v>
      </c>
      <c r="L1181" s="14">
        <v>128</v>
      </c>
      <c r="M1181" s="10">
        <v>67</v>
      </c>
      <c r="N1181" s="10">
        <v>14144</v>
      </c>
      <c r="O1181" s="10">
        <v>5254</v>
      </c>
      <c r="P1181" s="10">
        <v>19398</v>
      </c>
    </row>
    <row r="1182" spans="1:16" ht="27" customHeight="1" x14ac:dyDescent="0.2">
      <c r="A1182" s="9" t="s">
        <v>4302</v>
      </c>
      <c r="B1182" s="10" t="s">
        <v>4303</v>
      </c>
      <c r="C1182" s="11" t="s">
        <v>4324</v>
      </c>
      <c r="D1182" s="11" t="s">
        <v>4325</v>
      </c>
      <c r="E1182" s="11" t="s">
        <v>26</v>
      </c>
      <c r="F1182" s="11" t="s">
        <v>4326</v>
      </c>
      <c r="G1182" s="11" t="s">
        <v>28</v>
      </c>
      <c r="H1182" s="11" t="s">
        <v>4326</v>
      </c>
      <c r="I1182" s="11" t="s">
        <v>4327</v>
      </c>
      <c r="J1182" s="12">
        <v>0.1623</v>
      </c>
      <c r="K1182" s="13">
        <v>1</v>
      </c>
      <c r="L1182" s="14">
        <v>309</v>
      </c>
      <c r="M1182" s="10">
        <v>50</v>
      </c>
      <c r="N1182" s="10">
        <v>34145</v>
      </c>
      <c r="O1182" s="10">
        <v>3921</v>
      </c>
      <c r="P1182" s="10">
        <v>38066</v>
      </c>
    </row>
    <row r="1183" spans="1:16" ht="27" customHeight="1" x14ac:dyDescent="0.2">
      <c r="A1183" s="9" t="s">
        <v>4302</v>
      </c>
      <c r="B1183" s="10" t="s">
        <v>4303</v>
      </c>
      <c r="C1183" s="11" t="s">
        <v>4328</v>
      </c>
      <c r="D1183" s="11" t="s">
        <v>4329</v>
      </c>
      <c r="E1183" s="11" t="s">
        <v>26</v>
      </c>
      <c r="F1183" s="11" t="s">
        <v>4330</v>
      </c>
      <c r="G1183" s="11" t="s">
        <v>28</v>
      </c>
      <c r="H1183" s="11" t="s">
        <v>4330</v>
      </c>
      <c r="I1183" s="11" t="s">
        <v>4331</v>
      </c>
      <c r="J1183" s="12">
        <v>0.52480000000000004</v>
      </c>
      <c r="K1183" s="13">
        <v>1</v>
      </c>
      <c r="L1183" s="14">
        <v>141</v>
      </c>
      <c r="M1183" s="10">
        <v>74</v>
      </c>
      <c r="N1183" s="10">
        <v>15581</v>
      </c>
      <c r="O1183" s="10">
        <v>5803</v>
      </c>
      <c r="P1183" s="10">
        <v>21384</v>
      </c>
    </row>
    <row r="1184" spans="1:16" ht="27" customHeight="1" x14ac:dyDescent="0.2">
      <c r="A1184" s="9" t="s">
        <v>4302</v>
      </c>
      <c r="B1184" s="10" t="s">
        <v>4303</v>
      </c>
      <c r="C1184" s="11" t="s">
        <v>4332</v>
      </c>
      <c r="D1184" s="11" t="s">
        <v>4333</v>
      </c>
      <c r="E1184" s="11" t="s">
        <v>26</v>
      </c>
      <c r="F1184" s="11" t="s">
        <v>4334</v>
      </c>
      <c r="G1184" s="11" t="s">
        <v>28</v>
      </c>
      <c r="H1184" s="11" t="s">
        <v>4334</v>
      </c>
      <c r="I1184" s="11" t="s">
        <v>4335</v>
      </c>
      <c r="J1184" s="12">
        <v>0.58879999999999999</v>
      </c>
      <c r="K1184" s="13">
        <v>1</v>
      </c>
      <c r="L1184" s="14">
        <v>429</v>
      </c>
      <c r="M1184" s="10">
        <v>253</v>
      </c>
      <c r="N1184" s="10">
        <v>47405</v>
      </c>
      <c r="O1184" s="10">
        <v>19840</v>
      </c>
      <c r="P1184" s="10">
        <v>67245</v>
      </c>
    </row>
    <row r="1185" spans="1:16" ht="27" customHeight="1" x14ac:dyDescent="0.2">
      <c r="A1185" s="9" t="s">
        <v>4302</v>
      </c>
      <c r="B1185" s="10" t="s">
        <v>4303</v>
      </c>
      <c r="C1185" s="11" t="s">
        <v>4336</v>
      </c>
      <c r="D1185" s="11" t="s">
        <v>4337</v>
      </c>
      <c r="E1185" s="11" t="s">
        <v>26</v>
      </c>
      <c r="F1185" s="11" t="s">
        <v>4338</v>
      </c>
      <c r="G1185" s="11" t="s">
        <v>28</v>
      </c>
      <c r="H1185" s="11" t="s">
        <v>4305</v>
      </c>
      <c r="I1185" s="11" t="s">
        <v>4306</v>
      </c>
      <c r="J1185" s="12">
        <v>0.98470000000000002</v>
      </c>
      <c r="K1185" s="13">
        <v>1</v>
      </c>
      <c r="L1185" s="14">
        <v>129</v>
      </c>
      <c r="M1185" s="10">
        <v>54</v>
      </c>
      <c r="N1185" s="10">
        <v>14255</v>
      </c>
      <c r="O1185" s="10">
        <v>4235</v>
      </c>
      <c r="P1185" s="10">
        <v>18490</v>
      </c>
    </row>
    <row r="1186" spans="1:16" ht="27" customHeight="1" x14ac:dyDescent="0.2">
      <c r="A1186" s="9" t="s">
        <v>4302</v>
      </c>
      <c r="B1186" s="10" t="s">
        <v>4303</v>
      </c>
      <c r="C1186" s="11" t="s">
        <v>4339</v>
      </c>
      <c r="D1186" s="11" t="s">
        <v>4340</v>
      </c>
      <c r="E1186" s="11" t="s">
        <v>26</v>
      </c>
      <c r="F1186" s="11" t="s">
        <v>4043</v>
      </c>
      <c r="G1186" s="11" t="s">
        <v>28</v>
      </c>
      <c r="H1186" s="11" t="s">
        <v>4043</v>
      </c>
      <c r="I1186" s="11" t="s">
        <v>4341</v>
      </c>
      <c r="J1186" s="12">
        <v>0.80910000000000004</v>
      </c>
      <c r="K1186" s="13">
        <v>1</v>
      </c>
      <c r="L1186" s="14">
        <v>550</v>
      </c>
      <c r="M1186" s="10">
        <v>445</v>
      </c>
      <c r="N1186" s="10">
        <v>60776</v>
      </c>
      <c r="O1186" s="10">
        <v>34896</v>
      </c>
      <c r="P1186" s="10">
        <v>95672</v>
      </c>
    </row>
    <row r="1187" spans="1:16" ht="27" customHeight="1" x14ac:dyDescent="0.2">
      <c r="A1187" s="9" t="s">
        <v>4302</v>
      </c>
      <c r="B1187" s="10" t="s">
        <v>4303</v>
      </c>
      <c r="C1187" s="11" t="s">
        <v>4342</v>
      </c>
      <c r="D1187" s="11" t="s">
        <v>4343</v>
      </c>
      <c r="E1187" s="11" t="s">
        <v>26</v>
      </c>
      <c r="F1187" s="11" t="s">
        <v>4344</v>
      </c>
      <c r="G1187" s="11" t="s">
        <v>28</v>
      </c>
      <c r="H1187" s="11" t="s">
        <v>4344</v>
      </c>
      <c r="I1187" s="11" t="s">
        <v>4345</v>
      </c>
      <c r="J1187" s="12">
        <v>0.40260000000000001</v>
      </c>
      <c r="K1187" s="13">
        <v>1</v>
      </c>
      <c r="L1187" s="14">
        <v>755</v>
      </c>
      <c r="M1187" s="10">
        <v>304</v>
      </c>
      <c r="N1187" s="10">
        <v>83429</v>
      </c>
      <c r="O1187" s="10">
        <v>23839</v>
      </c>
      <c r="P1187" s="10">
        <v>107268</v>
      </c>
    </row>
    <row r="1188" spans="1:16" ht="27" customHeight="1" x14ac:dyDescent="0.2">
      <c r="A1188" s="9" t="s">
        <v>4302</v>
      </c>
      <c r="B1188" s="10" t="s">
        <v>4303</v>
      </c>
      <c r="C1188" s="11" t="s">
        <v>4346</v>
      </c>
      <c r="D1188" s="11" t="s">
        <v>4347</v>
      </c>
      <c r="E1188" s="11" t="s">
        <v>26</v>
      </c>
      <c r="F1188" s="11" t="s">
        <v>4348</v>
      </c>
      <c r="G1188" s="11" t="s">
        <v>28</v>
      </c>
      <c r="H1188" s="11" t="s">
        <v>4305</v>
      </c>
      <c r="I1188" s="11" t="s">
        <v>4306</v>
      </c>
      <c r="J1188" s="12">
        <v>0.98470000000000002</v>
      </c>
      <c r="K1188" s="13">
        <v>1</v>
      </c>
      <c r="L1188" s="14">
        <v>157</v>
      </c>
      <c r="M1188" s="10">
        <v>113</v>
      </c>
      <c r="N1188" s="10">
        <v>17349</v>
      </c>
      <c r="O1188" s="10">
        <v>8861</v>
      </c>
      <c r="P1188" s="10">
        <v>26210</v>
      </c>
    </row>
    <row r="1189" spans="1:16" ht="27" customHeight="1" x14ac:dyDescent="0.2">
      <c r="A1189" s="9" t="s">
        <v>4302</v>
      </c>
      <c r="B1189" s="10" t="s">
        <v>4303</v>
      </c>
      <c r="C1189" s="11" t="s">
        <v>4349</v>
      </c>
      <c r="D1189" s="11" t="s">
        <v>4350</v>
      </c>
      <c r="E1189" s="11" t="s">
        <v>26</v>
      </c>
      <c r="F1189" s="11" t="s">
        <v>4351</v>
      </c>
      <c r="G1189" s="11" t="s">
        <v>28</v>
      </c>
      <c r="H1189" s="11" t="s">
        <v>4351</v>
      </c>
      <c r="I1189" s="11" t="s">
        <v>4352</v>
      </c>
      <c r="J1189" s="12">
        <v>0.73219999999999996</v>
      </c>
      <c r="K1189" s="13">
        <v>1</v>
      </c>
      <c r="L1189" s="14">
        <v>239</v>
      </c>
      <c r="M1189" s="10">
        <v>175</v>
      </c>
      <c r="N1189" s="10">
        <v>26410</v>
      </c>
      <c r="O1189" s="10">
        <v>13723</v>
      </c>
      <c r="P1189" s="10">
        <v>40133</v>
      </c>
    </row>
    <row r="1190" spans="1:16" ht="27" customHeight="1" x14ac:dyDescent="0.2">
      <c r="A1190" s="9" t="s">
        <v>4302</v>
      </c>
      <c r="B1190" s="10" t="s">
        <v>4353</v>
      </c>
      <c r="C1190" s="11" t="s">
        <v>4354</v>
      </c>
      <c r="D1190" s="11" t="s">
        <v>19</v>
      </c>
      <c r="E1190" s="11" t="s">
        <v>19</v>
      </c>
      <c r="F1190" s="11" t="s">
        <v>4355</v>
      </c>
      <c r="G1190" s="11" t="s">
        <v>77</v>
      </c>
      <c r="H1190" s="11" t="s">
        <v>4305</v>
      </c>
      <c r="I1190" s="11" t="s">
        <v>4306</v>
      </c>
      <c r="J1190" s="12">
        <v>0.98470000000000002</v>
      </c>
      <c r="K1190" s="13">
        <v>1</v>
      </c>
      <c r="L1190" s="14">
        <v>319</v>
      </c>
      <c r="M1190" s="10">
        <v>138</v>
      </c>
      <c r="N1190" s="10">
        <v>35250</v>
      </c>
      <c r="O1190" s="10">
        <v>10822</v>
      </c>
      <c r="P1190" s="10">
        <v>46072</v>
      </c>
    </row>
    <row r="1191" spans="1:16" ht="27" customHeight="1" x14ac:dyDescent="0.2">
      <c r="A1191" s="9" t="s">
        <v>4302</v>
      </c>
      <c r="B1191" s="10" t="s">
        <v>4356</v>
      </c>
      <c r="C1191" s="11" t="s">
        <v>18</v>
      </c>
      <c r="D1191" s="11" t="s">
        <v>19</v>
      </c>
      <c r="E1191" s="11" t="s">
        <v>19</v>
      </c>
      <c r="F1191" s="11" t="s">
        <v>4357</v>
      </c>
      <c r="G1191" s="11" t="s">
        <v>83</v>
      </c>
      <c r="H1191" s="11" t="s">
        <v>4358</v>
      </c>
      <c r="I1191" s="11" t="s">
        <v>4359</v>
      </c>
      <c r="J1191" s="12">
        <v>0.97860000000000003</v>
      </c>
      <c r="K1191" s="13">
        <v>27</v>
      </c>
      <c r="L1191" s="14">
        <v>17160</v>
      </c>
      <c r="M1191" s="10">
        <v>14602</v>
      </c>
      <c r="N1191" s="10">
        <v>1896209</v>
      </c>
      <c r="O1191" s="10">
        <v>1145075</v>
      </c>
      <c r="P1191" s="10">
        <v>3041284</v>
      </c>
    </row>
    <row r="1192" spans="1:16" ht="27" customHeight="1" x14ac:dyDescent="0.2">
      <c r="A1192" s="9" t="s">
        <v>4302</v>
      </c>
      <c r="B1192" s="10" t="s">
        <v>4360</v>
      </c>
      <c r="C1192" s="11" t="s">
        <v>18</v>
      </c>
      <c r="D1192" s="11" t="s">
        <v>19</v>
      </c>
      <c r="E1192" s="11" t="s">
        <v>19</v>
      </c>
      <c r="F1192" s="11" t="s">
        <v>4361</v>
      </c>
      <c r="G1192" s="11" t="s">
        <v>83</v>
      </c>
      <c r="H1192" s="11" t="s">
        <v>4362</v>
      </c>
      <c r="I1192" s="11" t="s">
        <v>4363</v>
      </c>
      <c r="J1192" s="12">
        <v>0.91180000000000005</v>
      </c>
      <c r="K1192" s="13">
        <v>12</v>
      </c>
      <c r="L1192" s="14">
        <v>4448</v>
      </c>
      <c r="M1192" s="10">
        <v>3946</v>
      </c>
      <c r="N1192" s="10">
        <v>491512</v>
      </c>
      <c r="O1192" s="10">
        <v>309441</v>
      </c>
      <c r="P1192" s="10">
        <v>800953</v>
      </c>
    </row>
    <row r="1193" spans="1:16" ht="27" customHeight="1" x14ac:dyDescent="0.2">
      <c r="A1193" s="9" t="s">
        <v>4302</v>
      </c>
      <c r="B1193" s="10" t="s">
        <v>4364</v>
      </c>
      <c r="C1193" s="11" t="s">
        <v>18</v>
      </c>
      <c r="D1193" s="11" t="s">
        <v>19</v>
      </c>
      <c r="E1193" s="11" t="s">
        <v>19</v>
      </c>
      <c r="F1193" s="11" t="s">
        <v>4365</v>
      </c>
      <c r="G1193" s="11" t="s">
        <v>83</v>
      </c>
      <c r="H1193" s="11" t="s">
        <v>4366</v>
      </c>
      <c r="I1193" s="11" t="s">
        <v>4367</v>
      </c>
      <c r="J1193" s="12">
        <v>0.87450000000000006</v>
      </c>
      <c r="K1193" s="13">
        <v>16</v>
      </c>
      <c r="L1193" s="14">
        <v>11890</v>
      </c>
      <c r="M1193" s="10">
        <v>7614</v>
      </c>
      <c r="N1193" s="10">
        <v>1313868</v>
      </c>
      <c r="O1193" s="10">
        <v>597082</v>
      </c>
      <c r="P1193" s="10">
        <v>1910950</v>
      </c>
    </row>
    <row r="1194" spans="1:16" ht="27" customHeight="1" x14ac:dyDescent="0.2">
      <c r="A1194" s="9" t="s">
        <v>4302</v>
      </c>
      <c r="B1194" s="10" t="s">
        <v>4364</v>
      </c>
      <c r="C1194" s="11" t="s">
        <v>4368</v>
      </c>
      <c r="D1194" s="11" t="s">
        <v>4369</v>
      </c>
      <c r="E1194" s="11" t="s">
        <v>26</v>
      </c>
      <c r="F1194" s="11" t="s">
        <v>4370</v>
      </c>
      <c r="G1194" s="11" t="s">
        <v>28</v>
      </c>
      <c r="H1194" s="11" t="s">
        <v>4370</v>
      </c>
      <c r="I1194" s="11" t="s">
        <v>4371</v>
      </c>
      <c r="J1194" s="12">
        <v>0.39700000000000002</v>
      </c>
      <c r="K1194" s="13">
        <v>1</v>
      </c>
      <c r="L1194" s="14">
        <v>330</v>
      </c>
      <c r="M1194" s="10">
        <v>131</v>
      </c>
      <c r="N1194" s="10">
        <v>36466</v>
      </c>
      <c r="O1194" s="10">
        <v>10273</v>
      </c>
      <c r="P1194" s="10">
        <v>46739</v>
      </c>
    </row>
    <row r="1195" spans="1:16" ht="27" customHeight="1" x14ac:dyDescent="0.2">
      <c r="A1195" s="9" t="s">
        <v>4302</v>
      </c>
      <c r="B1195" s="10" t="s">
        <v>4364</v>
      </c>
      <c r="C1195" s="11" t="s">
        <v>4372</v>
      </c>
      <c r="D1195" s="11" t="s">
        <v>4373</v>
      </c>
      <c r="E1195" s="11" t="s">
        <v>26</v>
      </c>
      <c r="F1195" s="11" t="s">
        <v>4374</v>
      </c>
      <c r="G1195" s="11" t="s">
        <v>28</v>
      </c>
      <c r="H1195" s="11" t="s">
        <v>4374</v>
      </c>
      <c r="I1195" s="11" t="s">
        <v>4375</v>
      </c>
      <c r="J1195" s="12">
        <v>0.41199999999999998</v>
      </c>
      <c r="K1195" s="13">
        <v>1</v>
      </c>
      <c r="L1195" s="14">
        <v>4794</v>
      </c>
      <c r="M1195" s="10">
        <v>1975</v>
      </c>
      <c r="N1195" s="10">
        <v>529745</v>
      </c>
      <c r="O1195" s="10">
        <v>154877</v>
      </c>
      <c r="P1195" s="10">
        <v>684622</v>
      </c>
    </row>
    <row r="1196" spans="1:16" ht="27" customHeight="1" x14ac:dyDescent="0.2">
      <c r="A1196" s="9" t="s">
        <v>4302</v>
      </c>
      <c r="B1196" s="10" t="s">
        <v>4376</v>
      </c>
      <c r="C1196" s="11" t="s">
        <v>18</v>
      </c>
      <c r="D1196" s="11" t="s">
        <v>19</v>
      </c>
      <c r="E1196" s="11" t="s">
        <v>19</v>
      </c>
      <c r="F1196" s="11" t="s">
        <v>4377</v>
      </c>
      <c r="G1196" s="11" t="s">
        <v>83</v>
      </c>
      <c r="H1196" s="11" t="s">
        <v>4378</v>
      </c>
      <c r="I1196" s="11" t="s">
        <v>4379</v>
      </c>
      <c r="J1196" s="12">
        <v>0.95589999999999997</v>
      </c>
      <c r="K1196" s="13">
        <v>54</v>
      </c>
      <c r="L1196" s="14">
        <v>51060</v>
      </c>
      <c r="M1196" s="10">
        <v>36268</v>
      </c>
      <c r="N1196" s="10">
        <v>5642216</v>
      </c>
      <c r="O1196" s="10">
        <v>2844105</v>
      </c>
      <c r="P1196" s="10">
        <v>8486321</v>
      </c>
    </row>
    <row r="1197" spans="1:16" ht="27" customHeight="1" x14ac:dyDescent="0.2">
      <c r="A1197" s="9" t="s">
        <v>4302</v>
      </c>
      <c r="B1197" s="10" t="s">
        <v>4380</v>
      </c>
      <c r="C1197" s="11" t="s">
        <v>18</v>
      </c>
      <c r="D1197" s="11" t="s">
        <v>19</v>
      </c>
      <c r="E1197" s="11" t="s">
        <v>19</v>
      </c>
      <c r="F1197" s="11" t="s">
        <v>4381</v>
      </c>
      <c r="G1197" s="11" t="s">
        <v>83</v>
      </c>
      <c r="H1197" s="11" t="s">
        <v>4382</v>
      </c>
      <c r="I1197" s="11" t="s">
        <v>4383</v>
      </c>
      <c r="J1197" s="12">
        <v>0.68</v>
      </c>
      <c r="K1197" s="13">
        <v>2</v>
      </c>
      <c r="L1197" s="14">
        <v>26</v>
      </c>
      <c r="M1197" s="10">
        <v>18</v>
      </c>
      <c r="N1197" s="10">
        <v>2874</v>
      </c>
      <c r="O1197" s="10">
        <v>1411</v>
      </c>
      <c r="P1197" s="10">
        <v>4285</v>
      </c>
    </row>
    <row r="1198" spans="1:16" ht="27" customHeight="1" x14ac:dyDescent="0.2">
      <c r="A1198" s="9" t="s">
        <v>4302</v>
      </c>
      <c r="B1198" s="10" t="s">
        <v>4384</v>
      </c>
      <c r="C1198" s="11" t="s">
        <v>18</v>
      </c>
      <c r="D1198" s="11" t="s">
        <v>19</v>
      </c>
      <c r="E1198" s="11" t="s">
        <v>19</v>
      </c>
      <c r="F1198" s="11" t="s">
        <v>4385</v>
      </c>
      <c r="G1198" s="11" t="s">
        <v>83</v>
      </c>
      <c r="H1198" s="11" t="s">
        <v>4386</v>
      </c>
      <c r="I1198" s="11" t="s">
        <v>4387</v>
      </c>
      <c r="J1198" s="12">
        <v>0.91310000000000002</v>
      </c>
      <c r="K1198" s="13">
        <v>34</v>
      </c>
      <c r="L1198" s="14">
        <v>24616</v>
      </c>
      <c r="M1198" s="10">
        <v>18706</v>
      </c>
      <c r="N1198" s="10">
        <v>2720106</v>
      </c>
      <c r="O1198" s="10">
        <v>1466906</v>
      </c>
      <c r="P1198" s="10">
        <v>4187012</v>
      </c>
    </row>
    <row r="1199" spans="1:16" ht="27" customHeight="1" x14ac:dyDescent="0.2">
      <c r="A1199" s="9" t="s">
        <v>4302</v>
      </c>
      <c r="B1199" s="10" t="s">
        <v>4384</v>
      </c>
      <c r="C1199" s="11" t="s">
        <v>4388</v>
      </c>
      <c r="D1199" s="11" t="s">
        <v>4389</v>
      </c>
      <c r="E1199" s="11" t="s">
        <v>57</v>
      </c>
      <c r="F1199" s="11" t="s">
        <v>4390</v>
      </c>
      <c r="G1199" s="11" t="s">
        <v>28</v>
      </c>
      <c r="H1199" s="11" t="s">
        <v>4390</v>
      </c>
      <c r="I1199" s="11" t="s">
        <v>4391</v>
      </c>
      <c r="J1199" s="12">
        <v>0.49009999999999998</v>
      </c>
      <c r="K1199" s="13">
        <v>1</v>
      </c>
      <c r="L1199" s="14">
        <v>755</v>
      </c>
      <c r="M1199" s="10">
        <v>370</v>
      </c>
      <c r="N1199" s="10">
        <v>83429</v>
      </c>
      <c r="O1199" s="10">
        <v>29015</v>
      </c>
      <c r="P1199" s="10">
        <v>112444</v>
      </c>
    </row>
    <row r="1200" spans="1:16" ht="27" customHeight="1" x14ac:dyDescent="0.2">
      <c r="A1200" s="9" t="s">
        <v>4302</v>
      </c>
      <c r="B1200" s="10" t="s">
        <v>4384</v>
      </c>
      <c r="C1200" s="11" t="s">
        <v>4392</v>
      </c>
      <c r="D1200" s="11" t="s">
        <v>4393</v>
      </c>
      <c r="E1200" s="11" t="s">
        <v>57</v>
      </c>
      <c r="F1200" s="11" t="s">
        <v>4394</v>
      </c>
      <c r="G1200" s="11" t="s">
        <v>28</v>
      </c>
      <c r="H1200" s="11" t="s">
        <v>4305</v>
      </c>
      <c r="I1200" s="11" t="s">
        <v>4306</v>
      </c>
      <c r="J1200" s="12">
        <v>0.98470000000000002</v>
      </c>
      <c r="K1200" s="13">
        <v>1</v>
      </c>
      <c r="L1200" s="14">
        <v>1347</v>
      </c>
      <c r="M1200" s="10">
        <v>812</v>
      </c>
      <c r="N1200" s="10">
        <v>148846</v>
      </c>
      <c r="O1200" s="10">
        <v>63676</v>
      </c>
      <c r="P1200" s="10">
        <v>212522</v>
      </c>
    </row>
    <row r="1201" spans="1:16" ht="27" customHeight="1" x14ac:dyDescent="0.2">
      <c r="A1201" s="9" t="s">
        <v>4302</v>
      </c>
      <c r="B1201" s="10" t="s">
        <v>4395</v>
      </c>
      <c r="C1201" s="11" t="s">
        <v>18</v>
      </c>
      <c r="D1201" s="11" t="s">
        <v>19</v>
      </c>
      <c r="E1201" s="11" t="s">
        <v>19</v>
      </c>
      <c r="F1201" s="11" t="s">
        <v>4396</v>
      </c>
      <c r="G1201" s="11" t="s">
        <v>83</v>
      </c>
      <c r="H1201" s="11" t="s">
        <v>4397</v>
      </c>
      <c r="I1201" s="11" t="s">
        <v>4398</v>
      </c>
      <c r="J1201" s="12">
        <v>0.95479999999999998</v>
      </c>
      <c r="K1201" s="13">
        <v>27</v>
      </c>
      <c r="L1201" s="14">
        <v>21810</v>
      </c>
      <c r="M1201" s="10">
        <v>18821</v>
      </c>
      <c r="N1201" s="10">
        <v>2410043</v>
      </c>
      <c r="O1201" s="10">
        <v>1475927</v>
      </c>
      <c r="P1201" s="10">
        <v>3885970</v>
      </c>
    </row>
    <row r="1202" spans="1:16" ht="27" customHeight="1" x14ac:dyDescent="0.2">
      <c r="A1202" s="9" t="s">
        <v>4302</v>
      </c>
      <c r="B1202" s="10" t="s">
        <v>4395</v>
      </c>
      <c r="C1202" s="11" t="s">
        <v>4399</v>
      </c>
      <c r="D1202" s="11" t="s">
        <v>4400</v>
      </c>
      <c r="E1202" s="11" t="s">
        <v>57</v>
      </c>
      <c r="F1202" s="11" t="s">
        <v>4401</v>
      </c>
      <c r="G1202" s="11" t="s">
        <v>28</v>
      </c>
      <c r="H1202" s="11" t="s">
        <v>4401</v>
      </c>
      <c r="I1202" s="11" t="s">
        <v>4402</v>
      </c>
      <c r="J1202" s="12">
        <v>0.56299999999999994</v>
      </c>
      <c r="K1202" s="13">
        <v>1</v>
      </c>
      <c r="L1202" s="14">
        <v>746</v>
      </c>
      <c r="M1202" s="10">
        <v>420</v>
      </c>
      <c r="N1202" s="10">
        <v>82434</v>
      </c>
      <c r="O1202" s="10">
        <v>32936</v>
      </c>
      <c r="P1202" s="10">
        <v>115370</v>
      </c>
    </row>
    <row r="1203" spans="1:16" ht="27" customHeight="1" x14ac:dyDescent="0.2">
      <c r="A1203" s="9" t="s">
        <v>4302</v>
      </c>
      <c r="B1203" s="10" t="s">
        <v>4403</v>
      </c>
      <c r="C1203" s="11" t="s">
        <v>18</v>
      </c>
      <c r="D1203" s="11" t="s">
        <v>19</v>
      </c>
      <c r="E1203" s="11" t="s">
        <v>19</v>
      </c>
      <c r="F1203" s="11" t="s">
        <v>4404</v>
      </c>
      <c r="G1203" s="11" t="s">
        <v>83</v>
      </c>
      <c r="H1203" s="11" t="s">
        <v>4405</v>
      </c>
      <c r="I1203" s="11" t="s">
        <v>4406</v>
      </c>
      <c r="J1203" s="12">
        <v>0.95309999999999995</v>
      </c>
      <c r="K1203" s="13">
        <v>26</v>
      </c>
      <c r="L1203" s="14">
        <v>18539</v>
      </c>
      <c r="M1203" s="10">
        <v>14418</v>
      </c>
      <c r="N1203" s="10">
        <v>2048590</v>
      </c>
      <c r="O1203" s="10">
        <v>1130645</v>
      </c>
      <c r="P1203" s="10">
        <v>3179235</v>
      </c>
    </row>
    <row r="1204" spans="1:16" ht="27" customHeight="1" x14ac:dyDescent="0.2">
      <c r="A1204" s="9" t="s">
        <v>4302</v>
      </c>
      <c r="B1204" s="10" t="s">
        <v>4407</v>
      </c>
      <c r="C1204" s="11" t="s">
        <v>18</v>
      </c>
      <c r="D1204" s="11" t="s">
        <v>19</v>
      </c>
      <c r="E1204" s="11" t="s">
        <v>19</v>
      </c>
      <c r="F1204" s="11" t="s">
        <v>4408</v>
      </c>
      <c r="G1204" s="11" t="s">
        <v>83</v>
      </c>
      <c r="H1204" s="11" t="s">
        <v>4409</v>
      </c>
      <c r="I1204" s="11" t="s">
        <v>4410</v>
      </c>
      <c r="J1204" s="12">
        <v>0.81210000000000004</v>
      </c>
      <c r="K1204" s="13">
        <v>18</v>
      </c>
      <c r="L1204" s="14">
        <v>11986</v>
      </c>
      <c r="M1204" s="10">
        <v>7105</v>
      </c>
      <c r="N1204" s="10">
        <v>1324474</v>
      </c>
      <c r="O1204" s="10">
        <v>557168</v>
      </c>
      <c r="P1204" s="10">
        <v>1881642</v>
      </c>
    </row>
    <row r="1205" spans="1:16" ht="27" customHeight="1" x14ac:dyDescent="0.2">
      <c r="A1205" s="9" t="s">
        <v>4302</v>
      </c>
      <c r="B1205" s="10" t="s">
        <v>4407</v>
      </c>
      <c r="C1205" s="11" t="s">
        <v>4411</v>
      </c>
      <c r="D1205" s="11" t="s">
        <v>4412</v>
      </c>
      <c r="E1205" s="11" t="s">
        <v>26</v>
      </c>
      <c r="F1205" s="11" t="s">
        <v>4413</v>
      </c>
      <c r="G1205" s="11" t="s">
        <v>28</v>
      </c>
      <c r="H1205" s="11" t="s">
        <v>4413</v>
      </c>
      <c r="I1205" s="11" t="s">
        <v>4414</v>
      </c>
      <c r="J1205" s="12">
        <v>0.26829999999999998</v>
      </c>
      <c r="K1205" s="13">
        <v>1</v>
      </c>
      <c r="L1205" s="14">
        <v>1569</v>
      </c>
      <c r="M1205" s="10">
        <v>421</v>
      </c>
      <c r="N1205" s="10">
        <v>173377</v>
      </c>
      <c r="O1205" s="10">
        <v>33014</v>
      </c>
      <c r="P1205" s="10">
        <v>206391</v>
      </c>
    </row>
    <row r="1206" spans="1:16" ht="27" customHeight="1" x14ac:dyDescent="0.2">
      <c r="A1206" s="9" t="s">
        <v>4302</v>
      </c>
      <c r="B1206" s="10" t="s">
        <v>4415</v>
      </c>
      <c r="C1206" s="11" t="s">
        <v>18</v>
      </c>
      <c r="D1206" s="11" t="s">
        <v>19</v>
      </c>
      <c r="E1206" s="11" t="s">
        <v>19</v>
      </c>
      <c r="F1206" s="11" t="s">
        <v>4416</v>
      </c>
      <c r="G1206" s="11" t="s">
        <v>83</v>
      </c>
      <c r="H1206" s="11" t="s">
        <v>4417</v>
      </c>
      <c r="I1206" s="11" t="s">
        <v>4418</v>
      </c>
      <c r="J1206" s="12">
        <v>0.87429999999999997</v>
      </c>
      <c r="K1206" s="13">
        <v>40</v>
      </c>
      <c r="L1206" s="14">
        <v>31841</v>
      </c>
      <c r="M1206" s="10">
        <v>22340</v>
      </c>
      <c r="N1206" s="10">
        <v>3518485</v>
      </c>
      <c r="O1206" s="10">
        <v>1751881</v>
      </c>
      <c r="P1206" s="10">
        <v>5270366</v>
      </c>
    </row>
    <row r="1207" spans="1:16" ht="27" customHeight="1" x14ac:dyDescent="0.2">
      <c r="A1207" s="9" t="s">
        <v>4302</v>
      </c>
      <c r="B1207" s="10" t="s">
        <v>4419</v>
      </c>
      <c r="C1207" s="11" t="s">
        <v>18</v>
      </c>
      <c r="D1207" s="11" t="s">
        <v>19</v>
      </c>
      <c r="E1207" s="11" t="s">
        <v>19</v>
      </c>
      <c r="F1207" s="11" t="s">
        <v>4420</v>
      </c>
      <c r="G1207" s="11" t="s">
        <v>83</v>
      </c>
      <c r="H1207" s="11" t="s">
        <v>4421</v>
      </c>
      <c r="I1207" s="11" t="s">
        <v>4422</v>
      </c>
      <c r="J1207" s="12">
        <v>0.85150000000000003</v>
      </c>
      <c r="K1207" s="13">
        <v>4</v>
      </c>
      <c r="L1207" s="14">
        <v>1620</v>
      </c>
      <c r="M1207" s="10">
        <v>1300</v>
      </c>
      <c r="N1207" s="10">
        <v>179014</v>
      </c>
      <c r="O1207" s="10">
        <v>101945</v>
      </c>
      <c r="P1207" s="10">
        <v>280959</v>
      </c>
    </row>
    <row r="1208" spans="1:16" ht="27" customHeight="1" x14ac:dyDescent="0.2">
      <c r="A1208" s="9" t="s">
        <v>4302</v>
      </c>
      <c r="B1208" s="10" t="s">
        <v>4419</v>
      </c>
      <c r="C1208" s="11" t="s">
        <v>4423</v>
      </c>
      <c r="D1208" s="11" t="s">
        <v>4424</v>
      </c>
      <c r="E1208" s="11" t="s">
        <v>57</v>
      </c>
      <c r="F1208" s="11" t="s">
        <v>4425</v>
      </c>
      <c r="G1208" s="11" t="s">
        <v>28</v>
      </c>
      <c r="H1208" s="11" t="s">
        <v>4305</v>
      </c>
      <c r="I1208" s="11" t="s">
        <v>4306</v>
      </c>
      <c r="J1208" s="12">
        <v>0.98470000000000002</v>
      </c>
      <c r="K1208" s="13">
        <v>1</v>
      </c>
      <c r="L1208" s="14">
        <v>661</v>
      </c>
      <c r="M1208" s="10">
        <v>459</v>
      </c>
      <c r="N1208" s="10">
        <v>73042</v>
      </c>
      <c r="O1208" s="10">
        <v>35994</v>
      </c>
      <c r="P1208" s="10">
        <v>109036</v>
      </c>
    </row>
    <row r="1209" spans="1:16" ht="27" customHeight="1" x14ac:dyDescent="0.2">
      <c r="A1209" s="9" t="s">
        <v>4302</v>
      </c>
      <c r="B1209" s="10" t="s">
        <v>4426</v>
      </c>
      <c r="C1209" s="11" t="s">
        <v>18</v>
      </c>
      <c r="D1209" s="11" t="s">
        <v>19</v>
      </c>
      <c r="E1209" s="11" t="s">
        <v>19</v>
      </c>
      <c r="F1209" s="11" t="s">
        <v>4427</v>
      </c>
      <c r="G1209" s="11" t="s">
        <v>83</v>
      </c>
      <c r="H1209" s="11" t="s">
        <v>4305</v>
      </c>
      <c r="I1209" s="11" t="s">
        <v>4306</v>
      </c>
      <c r="J1209" s="12">
        <v>0.98470000000000002</v>
      </c>
      <c r="K1209" s="13">
        <v>28</v>
      </c>
      <c r="L1209" s="14">
        <v>20511</v>
      </c>
      <c r="M1209" s="10">
        <v>19918</v>
      </c>
      <c r="N1209" s="10">
        <v>2266503</v>
      </c>
      <c r="O1209" s="10">
        <v>1561951</v>
      </c>
      <c r="P1209" s="10">
        <v>3828454</v>
      </c>
    </row>
    <row r="1210" spans="1:16" ht="27" customHeight="1" x14ac:dyDescent="0.2">
      <c r="A1210" s="9" t="s">
        <v>4302</v>
      </c>
      <c r="B1210" s="10" t="s">
        <v>4426</v>
      </c>
      <c r="C1210" s="11" t="s">
        <v>4428</v>
      </c>
      <c r="D1210" s="11" t="s">
        <v>4429</v>
      </c>
      <c r="E1210" s="11" t="s">
        <v>57</v>
      </c>
      <c r="F1210" s="11" t="s">
        <v>4430</v>
      </c>
      <c r="G1210" s="11" t="s">
        <v>28</v>
      </c>
      <c r="H1210" s="11" t="s">
        <v>4430</v>
      </c>
      <c r="I1210" s="11" t="s">
        <v>4431</v>
      </c>
      <c r="J1210" s="12">
        <v>0.94269999999999998</v>
      </c>
      <c r="K1210" s="13">
        <v>1</v>
      </c>
      <c r="L1210" s="14">
        <v>872</v>
      </c>
      <c r="M1210" s="10">
        <v>822</v>
      </c>
      <c r="N1210" s="10">
        <v>96357</v>
      </c>
      <c r="O1210" s="10">
        <v>64460</v>
      </c>
      <c r="P1210" s="10">
        <v>160817</v>
      </c>
    </row>
    <row r="1211" spans="1:16" ht="27" customHeight="1" x14ac:dyDescent="0.2">
      <c r="A1211" s="9" t="s">
        <v>4302</v>
      </c>
      <c r="B1211" s="10" t="s">
        <v>4432</v>
      </c>
      <c r="C1211" s="11" t="s">
        <v>18</v>
      </c>
      <c r="D1211" s="11" t="s">
        <v>19</v>
      </c>
      <c r="E1211" s="11" t="s">
        <v>19</v>
      </c>
      <c r="F1211" s="11" t="s">
        <v>4433</v>
      </c>
      <c r="G1211" s="11" t="s">
        <v>83</v>
      </c>
      <c r="H1211" s="11" t="s">
        <v>4434</v>
      </c>
      <c r="I1211" s="11" t="s">
        <v>4435</v>
      </c>
      <c r="J1211" s="12">
        <v>0.87460000000000004</v>
      </c>
      <c r="K1211" s="13">
        <v>7</v>
      </c>
      <c r="L1211" s="14">
        <v>2834</v>
      </c>
      <c r="M1211" s="10">
        <v>2317</v>
      </c>
      <c r="N1211" s="10">
        <v>313162</v>
      </c>
      <c r="O1211" s="10">
        <v>181697</v>
      </c>
      <c r="P1211" s="10">
        <v>494859</v>
      </c>
    </row>
    <row r="1212" spans="1:16" ht="27" customHeight="1" x14ac:dyDescent="0.2">
      <c r="A1212" s="9" t="s">
        <v>4302</v>
      </c>
      <c r="B1212" s="10" t="s">
        <v>4432</v>
      </c>
      <c r="C1212" s="11" t="s">
        <v>4436</v>
      </c>
      <c r="D1212" s="11" t="s">
        <v>4437</v>
      </c>
      <c r="E1212" s="11" t="s">
        <v>26</v>
      </c>
      <c r="F1212" s="11" t="s">
        <v>4438</v>
      </c>
      <c r="G1212" s="11" t="s">
        <v>28</v>
      </c>
      <c r="H1212" s="11" t="s">
        <v>4438</v>
      </c>
      <c r="I1212" s="11" t="s">
        <v>4439</v>
      </c>
      <c r="J1212" s="12">
        <v>0.58789999999999998</v>
      </c>
      <c r="K1212" s="13">
        <v>1</v>
      </c>
      <c r="L1212" s="14">
        <v>956</v>
      </c>
      <c r="M1212" s="10">
        <v>562</v>
      </c>
      <c r="N1212" s="10">
        <v>105640</v>
      </c>
      <c r="O1212" s="10">
        <v>44071</v>
      </c>
      <c r="P1212" s="10">
        <v>149711</v>
      </c>
    </row>
    <row r="1213" spans="1:16" ht="27" customHeight="1" x14ac:dyDescent="0.2">
      <c r="A1213" s="9" t="s">
        <v>4302</v>
      </c>
      <c r="B1213" s="10" t="s">
        <v>4440</v>
      </c>
      <c r="C1213" s="11" t="s">
        <v>18</v>
      </c>
      <c r="D1213" s="11" t="s">
        <v>19</v>
      </c>
      <c r="E1213" s="11" t="s">
        <v>19</v>
      </c>
      <c r="F1213" s="11" t="s">
        <v>4441</v>
      </c>
      <c r="G1213" s="11" t="s">
        <v>83</v>
      </c>
      <c r="H1213" s="11" t="s">
        <v>4441</v>
      </c>
      <c r="I1213" s="11" t="s">
        <v>4442</v>
      </c>
      <c r="J1213" s="12">
        <v>0.86839999999999995</v>
      </c>
      <c r="K1213" s="13">
        <v>9</v>
      </c>
      <c r="L1213" s="14">
        <v>4904</v>
      </c>
      <c r="M1213" s="10">
        <v>4147</v>
      </c>
      <c r="N1213" s="10">
        <v>541899</v>
      </c>
      <c r="O1213" s="10">
        <v>325203</v>
      </c>
      <c r="P1213" s="10">
        <v>867102</v>
      </c>
    </row>
    <row r="1214" spans="1:16" ht="27" customHeight="1" x14ac:dyDescent="0.2">
      <c r="A1214" s="9" t="s">
        <v>4302</v>
      </c>
      <c r="B1214" s="10" t="s">
        <v>4440</v>
      </c>
      <c r="C1214" s="11" t="s">
        <v>4443</v>
      </c>
      <c r="D1214" s="11" t="s">
        <v>4444</v>
      </c>
      <c r="E1214" s="11" t="s">
        <v>57</v>
      </c>
      <c r="F1214" s="11" t="s">
        <v>4445</v>
      </c>
      <c r="G1214" s="11" t="s">
        <v>28</v>
      </c>
      <c r="H1214" s="11" t="s">
        <v>4445</v>
      </c>
      <c r="I1214" s="11" t="s">
        <v>4446</v>
      </c>
      <c r="J1214" s="12">
        <v>0.84179999999999999</v>
      </c>
      <c r="K1214" s="13">
        <v>1</v>
      </c>
      <c r="L1214" s="14">
        <v>904</v>
      </c>
      <c r="M1214" s="10">
        <v>761</v>
      </c>
      <c r="N1214" s="10">
        <v>99893</v>
      </c>
      <c r="O1214" s="10">
        <v>59677</v>
      </c>
      <c r="P1214" s="10">
        <v>159570</v>
      </c>
    </row>
    <row r="1215" spans="1:16" ht="27" customHeight="1" x14ac:dyDescent="0.2">
      <c r="A1215" s="9" t="s">
        <v>4302</v>
      </c>
      <c r="B1215" s="10" t="s">
        <v>4447</v>
      </c>
      <c r="C1215" s="11" t="s">
        <v>18</v>
      </c>
      <c r="D1215" s="11" t="s">
        <v>19</v>
      </c>
      <c r="E1215" s="11" t="s">
        <v>19</v>
      </c>
      <c r="F1215" s="11" t="s">
        <v>4448</v>
      </c>
      <c r="G1215" s="11" t="s">
        <v>83</v>
      </c>
      <c r="H1215" s="11" t="s">
        <v>4305</v>
      </c>
      <c r="I1215" s="11" t="s">
        <v>4306</v>
      </c>
      <c r="J1215" s="12">
        <v>0.98470000000000002</v>
      </c>
      <c r="K1215" s="13">
        <v>9</v>
      </c>
      <c r="L1215" s="14">
        <v>10706</v>
      </c>
      <c r="M1215" s="10">
        <v>7788</v>
      </c>
      <c r="N1215" s="10">
        <v>1183030</v>
      </c>
      <c r="O1215" s="10">
        <v>610727</v>
      </c>
      <c r="P1215" s="10">
        <v>1793757</v>
      </c>
    </row>
    <row r="1216" spans="1:16" ht="27" customHeight="1" x14ac:dyDescent="0.2">
      <c r="A1216" s="9" t="s">
        <v>4302</v>
      </c>
      <c r="B1216" s="10" t="s">
        <v>4447</v>
      </c>
      <c r="C1216" s="11" t="s">
        <v>4449</v>
      </c>
      <c r="D1216" s="11" t="s">
        <v>4450</v>
      </c>
      <c r="E1216" s="11" t="s">
        <v>57</v>
      </c>
      <c r="F1216" s="11" t="s">
        <v>4451</v>
      </c>
      <c r="G1216" s="11" t="s">
        <v>28</v>
      </c>
      <c r="H1216" s="11" t="s">
        <v>4451</v>
      </c>
      <c r="I1216" s="11" t="s">
        <v>4452</v>
      </c>
      <c r="J1216" s="12">
        <v>0.89259999999999995</v>
      </c>
      <c r="K1216" s="13">
        <v>1</v>
      </c>
      <c r="L1216" s="14">
        <v>1006</v>
      </c>
      <c r="M1216" s="10">
        <v>898</v>
      </c>
      <c r="N1216" s="10">
        <v>111165</v>
      </c>
      <c r="O1216" s="10">
        <v>70420</v>
      </c>
      <c r="P1216" s="10">
        <v>181585</v>
      </c>
    </row>
    <row r="1217" spans="1:16" ht="27" customHeight="1" x14ac:dyDescent="0.2">
      <c r="A1217" s="9" t="s">
        <v>4302</v>
      </c>
      <c r="B1217" s="10" t="s">
        <v>4453</v>
      </c>
      <c r="C1217" s="11" t="s">
        <v>18</v>
      </c>
      <c r="D1217" s="11" t="s">
        <v>19</v>
      </c>
      <c r="E1217" s="11" t="s">
        <v>19</v>
      </c>
      <c r="F1217" s="11" t="s">
        <v>4454</v>
      </c>
      <c r="G1217" s="11" t="s">
        <v>83</v>
      </c>
      <c r="H1217" s="11" t="s">
        <v>4455</v>
      </c>
      <c r="I1217" s="11" t="s">
        <v>4456</v>
      </c>
      <c r="J1217" s="12">
        <v>0.92669999999999997</v>
      </c>
      <c r="K1217" s="13">
        <v>50</v>
      </c>
      <c r="L1217" s="14">
        <v>40068</v>
      </c>
      <c r="M1217" s="10">
        <v>29123</v>
      </c>
      <c r="N1217" s="10">
        <v>4427579</v>
      </c>
      <c r="O1217" s="10">
        <v>2283796</v>
      </c>
      <c r="P1217" s="10">
        <v>6711375</v>
      </c>
    </row>
    <row r="1218" spans="1:16" ht="27" customHeight="1" x14ac:dyDescent="0.2">
      <c r="A1218" s="9" t="s">
        <v>4302</v>
      </c>
      <c r="B1218" s="10" t="s">
        <v>4453</v>
      </c>
      <c r="C1218" s="11" t="s">
        <v>4457</v>
      </c>
      <c r="D1218" s="11" t="s">
        <v>4458</v>
      </c>
      <c r="E1218" s="11" t="s">
        <v>26</v>
      </c>
      <c r="F1218" s="11" t="s">
        <v>4459</v>
      </c>
      <c r="G1218" s="11" t="s">
        <v>28</v>
      </c>
      <c r="H1218" s="11" t="s">
        <v>4459</v>
      </c>
      <c r="I1218" s="11" t="s">
        <v>4460</v>
      </c>
      <c r="J1218" s="12">
        <v>0.53039999999999998</v>
      </c>
      <c r="K1218" s="13">
        <v>1</v>
      </c>
      <c r="L1218" s="14">
        <v>624</v>
      </c>
      <c r="M1218" s="10">
        <v>331</v>
      </c>
      <c r="N1218" s="10">
        <v>68953</v>
      </c>
      <c r="O1218" s="10">
        <v>25957</v>
      </c>
      <c r="P1218" s="10">
        <v>94910</v>
      </c>
    </row>
    <row r="1219" spans="1:16" ht="27" customHeight="1" x14ac:dyDescent="0.2">
      <c r="A1219" s="9" t="s">
        <v>4302</v>
      </c>
      <c r="B1219" s="10" t="s">
        <v>4461</v>
      </c>
      <c r="C1219" s="11" t="s">
        <v>18</v>
      </c>
      <c r="D1219" s="11" t="s">
        <v>19</v>
      </c>
      <c r="E1219" s="11" t="s">
        <v>19</v>
      </c>
      <c r="F1219" s="11" t="s">
        <v>4462</v>
      </c>
      <c r="G1219" s="11" t="s">
        <v>83</v>
      </c>
      <c r="H1219" s="11" t="s">
        <v>4462</v>
      </c>
      <c r="I1219" s="11" t="s">
        <v>4463</v>
      </c>
      <c r="J1219" s="12">
        <v>0.91190000000000004</v>
      </c>
      <c r="K1219" s="13">
        <v>7</v>
      </c>
      <c r="L1219" s="14">
        <v>4577</v>
      </c>
      <c r="M1219" s="10">
        <v>3272</v>
      </c>
      <c r="N1219" s="10">
        <v>505767</v>
      </c>
      <c r="O1219" s="10">
        <v>256586</v>
      </c>
      <c r="P1219" s="10">
        <v>762353</v>
      </c>
    </row>
    <row r="1220" spans="1:16" ht="27" customHeight="1" x14ac:dyDescent="0.2">
      <c r="A1220" s="9" t="s">
        <v>4302</v>
      </c>
      <c r="B1220" s="10" t="s">
        <v>4464</v>
      </c>
      <c r="C1220" s="11" t="s">
        <v>18</v>
      </c>
      <c r="D1220" s="11" t="s">
        <v>19</v>
      </c>
      <c r="E1220" s="11" t="s">
        <v>19</v>
      </c>
      <c r="F1220" s="11" t="s">
        <v>4465</v>
      </c>
      <c r="G1220" s="11" t="s">
        <v>83</v>
      </c>
      <c r="H1220" s="11" t="s">
        <v>4466</v>
      </c>
      <c r="I1220" s="11" t="s">
        <v>4467</v>
      </c>
      <c r="J1220" s="12">
        <v>0.93100000000000005</v>
      </c>
      <c r="K1220" s="13">
        <v>17</v>
      </c>
      <c r="L1220" s="14">
        <v>10334</v>
      </c>
      <c r="M1220" s="10">
        <v>8779</v>
      </c>
      <c r="N1220" s="10">
        <v>1141922</v>
      </c>
      <c r="O1220" s="10">
        <v>688439</v>
      </c>
      <c r="P1220" s="10">
        <v>1830361</v>
      </c>
    </row>
    <row r="1221" spans="1:16" ht="27" customHeight="1" x14ac:dyDescent="0.2">
      <c r="A1221" s="9" t="s">
        <v>4302</v>
      </c>
      <c r="B1221" s="10" t="s">
        <v>4464</v>
      </c>
      <c r="C1221" s="11" t="s">
        <v>4468</v>
      </c>
      <c r="D1221" s="11" t="s">
        <v>4469</v>
      </c>
      <c r="E1221" s="11" t="s">
        <v>26</v>
      </c>
      <c r="F1221" s="11" t="s">
        <v>4470</v>
      </c>
      <c r="G1221" s="11" t="s">
        <v>28</v>
      </c>
      <c r="H1221" s="11" t="s">
        <v>4470</v>
      </c>
      <c r="I1221" s="11" t="s">
        <v>4471</v>
      </c>
      <c r="J1221" s="12">
        <v>0.58499999999999996</v>
      </c>
      <c r="K1221" s="13">
        <v>1</v>
      </c>
      <c r="L1221" s="14">
        <v>1571</v>
      </c>
      <c r="M1221" s="10">
        <v>919</v>
      </c>
      <c r="N1221" s="10">
        <v>173598</v>
      </c>
      <c r="O1221" s="10">
        <v>72067</v>
      </c>
      <c r="P1221" s="10">
        <v>245665</v>
      </c>
    </row>
    <row r="1222" spans="1:16" ht="27" customHeight="1" x14ac:dyDescent="0.2">
      <c r="A1222" s="9" t="s">
        <v>4302</v>
      </c>
      <c r="B1222" s="10" t="s">
        <v>4472</v>
      </c>
      <c r="C1222" s="11" t="s">
        <v>18</v>
      </c>
      <c r="D1222" s="11" t="s">
        <v>19</v>
      </c>
      <c r="E1222" s="11" t="s">
        <v>19</v>
      </c>
      <c r="F1222" s="11" t="s">
        <v>4473</v>
      </c>
      <c r="G1222" s="11" t="s">
        <v>83</v>
      </c>
      <c r="H1222" s="11" t="s">
        <v>4474</v>
      </c>
      <c r="I1222" s="11" t="s">
        <v>4475</v>
      </c>
      <c r="J1222" s="12">
        <v>0.96889999999999998</v>
      </c>
      <c r="K1222" s="13">
        <v>23</v>
      </c>
      <c r="L1222" s="14">
        <v>16611</v>
      </c>
      <c r="M1222" s="10">
        <v>15167</v>
      </c>
      <c r="N1222" s="10">
        <v>1835544</v>
      </c>
      <c r="O1222" s="10">
        <v>1189379</v>
      </c>
      <c r="P1222" s="10">
        <v>3024923</v>
      </c>
    </row>
    <row r="1223" spans="1:16" ht="27" customHeight="1" x14ac:dyDescent="0.2">
      <c r="A1223" s="9" t="s">
        <v>4302</v>
      </c>
      <c r="B1223" s="10" t="s">
        <v>4472</v>
      </c>
      <c r="C1223" s="11" t="s">
        <v>4476</v>
      </c>
      <c r="D1223" s="11" t="s">
        <v>4477</v>
      </c>
      <c r="E1223" s="11" t="s">
        <v>26</v>
      </c>
      <c r="F1223" s="11" t="s">
        <v>4478</v>
      </c>
      <c r="G1223" s="11" t="s">
        <v>28</v>
      </c>
      <c r="H1223" s="11" t="s">
        <v>4305</v>
      </c>
      <c r="I1223" s="11" t="s">
        <v>4306</v>
      </c>
      <c r="J1223" s="12">
        <v>0.98470000000000002</v>
      </c>
      <c r="K1223" s="13">
        <v>1</v>
      </c>
      <c r="L1223" s="14">
        <v>231</v>
      </c>
      <c r="M1223" s="10">
        <v>211</v>
      </c>
      <c r="N1223" s="10">
        <v>25526</v>
      </c>
      <c r="O1223" s="10">
        <v>16546</v>
      </c>
      <c r="P1223" s="10">
        <v>42072</v>
      </c>
    </row>
    <row r="1224" spans="1:16" ht="27" customHeight="1" x14ac:dyDescent="0.2">
      <c r="A1224" s="9" t="s">
        <v>4302</v>
      </c>
      <c r="B1224" s="10" t="s">
        <v>4479</v>
      </c>
      <c r="C1224" s="11" t="s">
        <v>18</v>
      </c>
      <c r="D1224" s="11" t="s">
        <v>19</v>
      </c>
      <c r="E1224" s="11" t="s">
        <v>19</v>
      </c>
      <c r="F1224" s="11" t="s">
        <v>4480</v>
      </c>
      <c r="G1224" s="11" t="s">
        <v>83</v>
      </c>
      <c r="H1224" s="11" t="s">
        <v>4481</v>
      </c>
      <c r="I1224" s="11" t="s">
        <v>4482</v>
      </c>
      <c r="J1224" s="12">
        <v>0.94789999999999996</v>
      </c>
      <c r="K1224" s="13">
        <v>26</v>
      </c>
      <c r="L1224" s="14">
        <v>21249</v>
      </c>
      <c r="M1224" s="10">
        <v>15153</v>
      </c>
      <c r="N1224" s="10">
        <v>2348052</v>
      </c>
      <c r="O1224" s="10">
        <v>1188282</v>
      </c>
      <c r="P1224" s="10">
        <v>3536334</v>
      </c>
    </row>
    <row r="1225" spans="1:16" ht="27" customHeight="1" x14ac:dyDescent="0.2">
      <c r="A1225" s="9" t="s">
        <v>4302</v>
      </c>
      <c r="B1225" s="10" t="s">
        <v>4479</v>
      </c>
      <c r="C1225" s="11" t="s">
        <v>4483</v>
      </c>
      <c r="D1225" s="11" t="s">
        <v>4484</v>
      </c>
      <c r="E1225" s="11" t="s">
        <v>26</v>
      </c>
      <c r="F1225" s="11" t="s">
        <v>4485</v>
      </c>
      <c r="G1225" s="11" t="s">
        <v>28</v>
      </c>
      <c r="H1225" s="11" t="s">
        <v>4485</v>
      </c>
      <c r="I1225" s="11" t="s">
        <v>4486</v>
      </c>
      <c r="J1225" s="12">
        <v>0.36880000000000002</v>
      </c>
      <c r="K1225" s="13">
        <v>1</v>
      </c>
      <c r="L1225" s="14">
        <v>507</v>
      </c>
      <c r="M1225" s="10">
        <v>187</v>
      </c>
      <c r="N1225" s="10">
        <v>56024</v>
      </c>
      <c r="O1225" s="10">
        <v>14664</v>
      </c>
      <c r="P1225" s="10">
        <v>70688</v>
      </c>
    </row>
    <row r="1226" spans="1:16" ht="27" customHeight="1" x14ac:dyDescent="0.2">
      <c r="A1226" s="9" t="s">
        <v>4302</v>
      </c>
      <c r="B1226" s="10" t="s">
        <v>4487</v>
      </c>
      <c r="C1226" s="11" t="s">
        <v>18</v>
      </c>
      <c r="D1226" s="11" t="s">
        <v>19</v>
      </c>
      <c r="E1226" s="11" t="s">
        <v>19</v>
      </c>
      <c r="F1226" s="11" t="s">
        <v>4488</v>
      </c>
      <c r="G1226" s="11" t="s">
        <v>83</v>
      </c>
      <c r="H1226" s="11" t="s">
        <v>4489</v>
      </c>
      <c r="I1226" s="11" t="s">
        <v>4490</v>
      </c>
      <c r="J1226" s="12">
        <v>0.64659999999999995</v>
      </c>
      <c r="K1226" s="13">
        <v>31</v>
      </c>
      <c r="L1226" s="14">
        <v>26704</v>
      </c>
      <c r="M1226" s="10">
        <v>7200</v>
      </c>
      <c r="N1226" s="10">
        <v>2950836</v>
      </c>
      <c r="O1226" s="10">
        <v>564615</v>
      </c>
      <c r="P1226" s="10">
        <v>3515451</v>
      </c>
    </row>
    <row r="1227" spans="1:16" ht="27" customHeight="1" x14ac:dyDescent="0.2">
      <c r="A1227" s="9" t="s">
        <v>4302</v>
      </c>
      <c r="B1227" s="10" t="s">
        <v>4487</v>
      </c>
      <c r="C1227" s="11" t="s">
        <v>4491</v>
      </c>
      <c r="D1227" s="11" t="s">
        <v>4492</v>
      </c>
      <c r="E1227" s="11" t="s">
        <v>26</v>
      </c>
      <c r="F1227" s="11" t="s">
        <v>4493</v>
      </c>
      <c r="G1227" s="11" t="s">
        <v>28</v>
      </c>
      <c r="H1227" s="11" t="s">
        <v>4493</v>
      </c>
      <c r="I1227" s="11" t="s">
        <v>4494</v>
      </c>
      <c r="J1227" s="12">
        <v>0.1668</v>
      </c>
      <c r="K1227" s="13">
        <v>1</v>
      </c>
      <c r="L1227" s="14">
        <v>1079</v>
      </c>
      <c r="M1227" s="10">
        <v>180</v>
      </c>
      <c r="N1227" s="10">
        <v>119231</v>
      </c>
      <c r="O1227" s="10">
        <v>14115</v>
      </c>
      <c r="P1227" s="10">
        <v>133346</v>
      </c>
    </row>
    <row r="1228" spans="1:16" ht="27" customHeight="1" x14ac:dyDescent="0.2">
      <c r="A1228" s="9" t="s">
        <v>4302</v>
      </c>
      <c r="B1228" s="10" t="s">
        <v>4487</v>
      </c>
      <c r="C1228" s="11" t="s">
        <v>4495</v>
      </c>
      <c r="D1228" s="11" t="s">
        <v>4496</v>
      </c>
      <c r="E1228" s="11" t="s">
        <v>26</v>
      </c>
      <c r="F1228" s="11" t="s">
        <v>4497</v>
      </c>
      <c r="G1228" s="11" t="s">
        <v>28</v>
      </c>
      <c r="H1228" s="11" t="s">
        <v>4497</v>
      </c>
      <c r="I1228" s="11" t="s">
        <v>4498</v>
      </c>
      <c r="J1228" s="12">
        <v>0.1585</v>
      </c>
      <c r="K1228" s="13">
        <v>1</v>
      </c>
      <c r="L1228" s="14">
        <v>530</v>
      </c>
      <c r="M1228" s="10">
        <v>84</v>
      </c>
      <c r="N1228" s="10">
        <v>58566</v>
      </c>
      <c r="O1228" s="10">
        <v>6587</v>
      </c>
      <c r="P1228" s="10">
        <v>65153</v>
      </c>
    </row>
    <row r="1229" spans="1:16" ht="27" customHeight="1" x14ac:dyDescent="0.2">
      <c r="A1229" s="9" t="s">
        <v>4302</v>
      </c>
      <c r="B1229" s="10" t="s">
        <v>4499</v>
      </c>
      <c r="C1229" s="11" t="s">
        <v>18</v>
      </c>
      <c r="D1229" s="11" t="s">
        <v>19</v>
      </c>
      <c r="E1229" s="11" t="s">
        <v>19</v>
      </c>
      <c r="F1229" s="11" t="s">
        <v>4500</v>
      </c>
      <c r="G1229" s="11" t="s">
        <v>83</v>
      </c>
      <c r="H1229" s="11" t="s">
        <v>4501</v>
      </c>
      <c r="I1229" s="11" t="s">
        <v>4502</v>
      </c>
      <c r="J1229" s="12">
        <v>0.64639999999999997</v>
      </c>
      <c r="K1229" s="13">
        <v>22</v>
      </c>
      <c r="L1229" s="14">
        <v>22722</v>
      </c>
      <c r="M1229" s="10">
        <v>11036</v>
      </c>
      <c r="N1229" s="10">
        <v>2510819</v>
      </c>
      <c r="O1229" s="10">
        <v>865429</v>
      </c>
      <c r="P1229" s="10">
        <v>3376248</v>
      </c>
    </row>
    <row r="1230" spans="1:16" ht="27" customHeight="1" x14ac:dyDescent="0.2">
      <c r="A1230" s="9" t="s">
        <v>4302</v>
      </c>
      <c r="B1230" s="10" t="s">
        <v>4503</v>
      </c>
      <c r="C1230" s="11" t="s">
        <v>18</v>
      </c>
      <c r="D1230" s="11" t="s">
        <v>19</v>
      </c>
      <c r="E1230" s="11" t="s">
        <v>19</v>
      </c>
      <c r="F1230" s="11" t="s">
        <v>4504</v>
      </c>
      <c r="G1230" s="11" t="s">
        <v>83</v>
      </c>
      <c r="H1230" s="11" t="s">
        <v>1879</v>
      </c>
      <c r="I1230" s="11" t="s">
        <v>4505</v>
      </c>
      <c r="J1230" s="12">
        <v>0.97270000000000001</v>
      </c>
      <c r="K1230" s="13">
        <v>24</v>
      </c>
      <c r="L1230" s="14">
        <v>19701</v>
      </c>
      <c r="M1230" s="10">
        <v>17240</v>
      </c>
      <c r="N1230" s="10">
        <v>2176993</v>
      </c>
      <c r="O1230" s="10">
        <v>1351943</v>
      </c>
      <c r="P1230" s="10">
        <v>3528936</v>
      </c>
    </row>
    <row r="1231" spans="1:16" ht="27" customHeight="1" x14ac:dyDescent="0.2">
      <c r="A1231" s="9" t="s">
        <v>4506</v>
      </c>
      <c r="B1231" s="10" t="s">
        <v>4507</v>
      </c>
      <c r="C1231" s="11" t="s">
        <v>18</v>
      </c>
      <c r="D1231" s="11" t="s">
        <v>19</v>
      </c>
      <c r="E1231" s="11" t="s">
        <v>19</v>
      </c>
      <c r="F1231" s="11" t="s">
        <v>4508</v>
      </c>
      <c r="G1231" s="11" t="s">
        <v>21</v>
      </c>
      <c r="H1231" s="11" t="s">
        <v>4509</v>
      </c>
      <c r="I1231" s="11" t="s">
        <v>4510</v>
      </c>
      <c r="J1231" s="12">
        <v>0.96040000000000003</v>
      </c>
      <c r="K1231" s="13">
        <v>7</v>
      </c>
      <c r="L1231" s="14">
        <v>961</v>
      </c>
      <c r="M1231" s="10">
        <v>606</v>
      </c>
      <c r="N1231" s="10">
        <v>106192</v>
      </c>
      <c r="O1231" s="10">
        <v>47521</v>
      </c>
      <c r="P1231" s="10">
        <v>153713</v>
      </c>
    </row>
    <row r="1232" spans="1:16" ht="27" customHeight="1" x14ac:dyDescent="0.2">
      <c r="A1232" s="9" t="s">
        <v>4506</v>
      </c>
      <c r="B1232" s="10" t="s">
        <v>4507</v>
      </c>
      <c r="C1232" s="11" t="s">
        <v>4511</v>
      </c>
      <c r="D1232" s="11" t="s">
        <v>4512</v>
      </c>
      <c r="E1232" s="11" t="s">
        <v>26</v>
      </c>
      <c r="F1232" s="11" t="s">
        <v>4513</v>
      </c>
      <c r="G1232" s="11" t="s">
        <v>28</v>
      </c>
      <c r="H1232" s="11" t="s">
        <v>4513</v>
      </c>
      <c r="I1232" s="11" t="s">
        <v>4514</v>
      </c>
      <c r="J1232" s="12">
        <v>0.72940000000000005</v>
      </c>
      <c r="K1232" s="13">
        <v>1</v>
      </c>
      <c r="L1232" s="14">
        <v>1866</v>
      </c>
      <c r="M1232" s="10">
        <v>1361</v>
      </c>
      <c r="N1232" s="10">
        <v>206196</v>
      </c>
      <c r="O1232" s="10">
        <v>106728</v>
      </c>
      <c r="P1232" s="10">
        <v>312924</v>
      </c>
    </row>
    <row r="1233" spans="1:16" ht="27" customHeight="1" x14ac:dyDescent="0.2">
      <c r="A1233" s="9" t="s">
        <v>4506</v>
      </c>
      <c r="B1233" s="10" t="s">
        <v>4507</v>
      </c>
      <c r="C1233" s="11" t="s">
        <v>4515</v>
      </c>
      <c r="D1233" s="11" t="s">
        <v>4516</v>
      </c>
      <c r="E1233" s="11" t="s">
        <v>26</v>
      </c>
      <c r="F1233" s="11" t="s">
        <v>4517</v>
      </c>
      <c r="G1233" s="11" t="s">
        <v>28</v>
      </c>
      <c r="H1233" s="11" t="s">
        <v>4517</v>
      </c>
      <c r="I1233" s="11" t="s">
        <v>4518</v>
      </c>
      <c r="J1233" s="12">
        <v>0.33750000000000002</v>
      </c>
      <c r="K1233" s="13">
        <v>1</v>
      </c>
      <c r="L1233" s="14">
        <v>80</v>
      </c>
      <c r="M1233" s="10">
        <v>27</v>
      </c>
      <c r="N1233" s="10">
        <v>8840</v>
      </c>
      <c r="O1233" s="10">
        <v>2117</v>
      </c>
      <c r="P1233" s="10">
        <v>10957</v>
      </c>
    </row>
    <row r="1234" spans="1:16" ht="27" customHeight="1" x14ac:dyDescent="0.2">
      <c r="A1234" s="9" t="s">
        <v>4506</v>
      </c>
      <c r="B1234" s="10" t="s">
        <v>4507</v>
      </c>
      <c r="C1234" s="11" t="s">
        <v>4519</v>
      </c>
      <c r="D1234" s="11" t="s">
        <v>4520</v>
      </c>
      <c r="E1234" s="11" t="s">
        <v>26</v>
      </c>
      <c r="F1234" s="11" t="s">
        <v>4521</v>
      </c>
      <c r="G1234" s="11" t="s">
        <v>28</v>
      </c>
      <c r="H1234" s="11" t="s">
        <v>4509</v>
      </c>
      <c r="I1234" s="11" t="s">
        <v>4510</v>
      </c>
      <c r="J1234" s="12">
        <v>0.96040000000000003</v>
      </c>
      <c r="K1234" s="13">
        <v>1</v>
      </c>
      <c r="L1234" s="14">
        <v>0</v>
      </c>
      <c r="M1234" s="10">
        <v>0</v>
      </c>
      <c r="N1234" s="10">
        <v>0</v>
      </c>
      <c r="O1234" s="10">
        <v>0</v>
      </c>
      <c r="P1234" s="10">
        <v>0</v>
      </c>
    </row>
    <row r="1235" spans="1:16" ht="27" customHeight="1" x14ac:dyDescent="0.2">
      <c r="A1235" s="9" t="s">
        <v>4506</v>
      </c>
      <c r="B1235" s="10" t="s">
        <v>4522</v>
      </c>
      <c r="C1235" s="11" t="s">
        <v>18</v>
      </c>
      <c r="D1235" s="11" t="s">
        <v>19</v>
      </c>
      <c r="E1235" s="11" t="s">
        <v>19</v>
      </c>
      <c r="F1235" s="11" t="s">
        <v>4523</v>
      </c>
      <c r="G1235" s="11" t="s">
        <v>83</v>
      </c>
      <c r="H1235" s="11" t="s">
        <v>4524</v>
      </c>
      <c r="I1235" s="11" t="s">
        <v>4525</v>
      </c>
      <c r="J1235" s="12">
        <v>0.36859999999999998</v>
      </c>
      <c r="K1235" s="13">
        <v>2</v>
      </c>
      <c r="L1235" s="14">
        <v>491</v>
      </c>
      <c r="M1235" s="10">
        <v>181</v>
      </c>
      <c r="N1235" s="10">
        <v>54256</v>
      </c>
      <c r="O1235" s="10">
        <v>14194</v>
      </c>
      <c r="P1235" s="10">
        <v>68450</v>
      </c>
    </row>
    <row r="1236" spans="1:16" ht="27" customHeight="1" x14ac:dyDescent="0.2">
      <c r="A1236" s="9" t="s">
        <v>4506</v>
      </c>
      <c r="B1236" s="10" t="s">
        <v>4526</v>
      </c>
      <c r="C1236" s="11" t="s">
        <v>18</v>
      </c>
      <c r="D1236" s="11" t="s">
        <v>19</v>
      </c>
      <c r="E1236" s="11" t="s">
        <v>19</v>
      </c>
      <c r="F1236" s="11" t="s">
        <v>4527</v>
      </c>
      <c r="G1236" s="11" t="s">
        <v>83</v>
      </c>
      <c r="H1236" s="11" t="s">
        <v>4528</v>
      </c>
      <c r="I1236" s="11" t="s">
        <v>4529</v>
      </c>
      <c r="J1236" s="12">
        <v>0.72460000000000002</v>
      </c>
      <c r="K1236" s="13">
        <v>67</v>
      </c>
      <c r="L1236" s="14">
        <v>62162</v>
      </c>
      <c r="M1236" s="10">
        <v>26401</v>
      </c>
      <c r="N1236" s="10">
        <v>6869007</v>
      </c>
      <c r="O1236" s="10">
        <v>2070342</v>
      </c>
      <c r="P1236" s="10">
        <v>8939349</v>
      </c>
    </row>
    <row r="1237" spans="1:16" ht="27" customHeight="1" x14ac:dyDescent="0.2">
      <c r="A1237" s="9" t="s">
        <v>4506</v>
      </c>
      <c r="B1237" s="10" t="s">
        <v>4526</v>
      </c>
      <c r="C1237" s="11" t="s">
        <v>4530</v>
      </c>
      <c r="D1237" s="11" t="s">
        <v>4531</v>
      </c>
      <c r="E1237" s="11" t="s">
        <v>26</v>
      </c>
      <c r="F1237" s="11" t="s">
        <v>4532</v>
      </c>
      <c r="G1237" s="11" t="s">
        <v>28</v>
      </c>
      <c r="H1237" s="11" t="s">
        <v>4532</v>
      </c>
      <c r="I1237" s="11" t="s">
        <v>4533</v>
      </c>
      <c r="J1237" s="12">
        <v>0.2407</v>
      </c>
      <c r="K1237" s="13">
        <v>1</v>
      </c>
      <c r="L1237" s="14">
        <v>536</v>
      </c>
      <c r="M1237" s="10">
        <v>129</v>
      </c>
      <c r="N1237" s="10">
        <v>59229</v>
      </c>
      <c r="O1237" s="10">
        <v>10116</v>
      </c>
      <c r="P1237" s="10">
        <v>69345</v>
      </c>
    </row>
    <row r="1238" spans="1:16" ht="27" customHeight="1" x14ac:dyDescent="0.2">
      <c r="A1238" s="9" t="s">
        <v>4506</v>
      </c>
      <c r="B1238" s="10" t="s">
        <v>4526</v>
      </c>
      <c r="C1238" s="11" t="s">
        <v>4534</v>
      </c>
      <c r="D1238" s="11" t="s">
        <v>4535</v>
      </c>
      <c r="E1238" s="11" t="s">
        <v>26</v>
      </c>
      <c r="F1238" s="11" t="s">
        <v>4536</v>
      </c>
      <c r="G1238" s="11" t="s">
        <v>28</v>
      </c>
      <c r="H1238" s="11" t="s">
        <v>4509</v>
      </c>
      <c r="I1238" s="11" t="s">
        <v>4510</v>
      </c>
      <c r="J1238" s="12">
        <v>0.96040000000000003</v>
      </c>
      <c r="K1238" s="13">
        <v>1</v>
      </c>
      <c r="L1238" s="14">
        <v>360</v>
      </c>
      <c r="M1238" s="10">
        <v>227</v>
      </c>
      <c r="N1238" s="10">
        <v>39781</v>
      </c>
      <c r="O1238" s="10">
        <v>17801</v>
      </c>
      <c r="P1238" s="10">
        <v>57582</v>
      </c>
    </row>
    <row r="1239" spans="1:16" ht="27" customHeight="1" x14ac:dyDescent="0.2">
      <c r="A1239" s="9" t="s">
        <v>4506</v>
      </c>
      <c r="B1239" s="10" t="s">
        <v>4526</v>
      </c>
      <c r="C1239" s="11" t="s">
        <v>4537</v>
      </c>
      <c r="D1239" s="11" t="s">
        <v>4538</v>
      </c>
      <c r="E1239" s="11" t="s">
        <v>57</v>
      </c>
      <c r="F1239" s="11" t="s">
        <v>4539</v>
      </c>
      <c r="G1239" s="11" t="s">
        <v>28</v>
      </c>
      <c r="H1239" s="11" t="s">
        <v>4509</v>
      </c>
      <c r="I1239" s="11" t="s">
        <v>4510</v>
      </c>
      <c r="J1239" s="12">
        <v>0.96040000000000003</v>
      </c>
      <c r="K1239" s="13">
        <v>1</v>
      </c>
      <c r="L1239" s="14">
        <v>295</v>
      </c>
      <c r="M1239" s="10">
        <v>136</v>
      </c>
      <c r="N1239" s="10">
        <v>32598</v>
      </c>
      <c r="O1239" s="10">
        <v>10665</v>
      </c>
      <c r="P1239" s="10">
        <v>43263</v>
      </c>
    </row>
    <row r="1240" spans="1:16" ht="27" customHeight="1" x14ac:dyDescent="0.2">
      <c r="A1240" s="9" t="s">
        <v>4506</v>
      </c>
      <c r="B1240" s="10" t="s">
        <v>4540</v>
      </c>
      <c r="C1240" s="11" t="s">
        <v>18</v>
      </c>
      <c r="D1240" s="11" t="s">
        <v>19</v>
      </c>
      <c r="E1240" s="11" t="s">
        <v>19</v>
      </c>
      <c r="F1240" s="11" t="s">
        <v>4541</v>
      </c>
      <c r="G1240" s="11" t="s">
        <v>83</v>
      </c>
      <c r="H1240" s="11" t="s">
        <v>4542</v>
      </c>
      <c r="I1240" s="11" t="s">
        <v>4543</v>
      </c>
      <c r="J1240" s="12">
        <v>0.6794</v>
      </c>
      <c r="K1240" s="13">
        <v>3</v>
      </c>
      <c r="L1240" s="14">
        <v>212</v>
      </c>
      <c r="M1240" s="10">
        <v>150</v>
      </c>
      <c r="N1240" s="10">
        <v>23427</v>
      </c>
      <c r="O1240" s="10">
        <v>11763</v>
      </c>
      <c r="P1240" s="10">
        <v>35190</v>
      </c>
    </row>
    <row r="1241" spans="1:16" ht="27" customHeight="1" x14ac:dyDescent="0.2">
      <c r="A1241" s="9" t="s">
        <v>4506</v>
      </c>
      <c r="B1241" s="10" t="s">
        <v>4544</v>
      </c>
      <c r="C1241" s="11" t="s">
        <v>18</v>
      </c>
      <c r="D1241" s="11" t="s">
        <v>19</v>
      </c>
      <c r="E1241" s="11" t="s">
        <v>19</v>
      </c>
      <c r="F1241" s="11" t="s">
        <v>4545</v>
      </c>
      <c r="G1241" s="11" t="s">
        <v>83</v>
      </c>
      <c r="H1241" s="11" t="s">
        <v>4546</v>
      </c>
      <c r="I1241" s="11" t="s">
        <v>4547</v>
      </c>
      <c r="J1241" s="12">
        <v>0.91610000000000003</v>
      </c>
      <c r="K1241" s="13">
        <v>36</v>
      </c>
      <c r="L1241" s="14">
        <v>20799</v>
      </c>
      <c r="M1241" s="10">
        <v>7100</v>
      </c>
      <c r="N1241" s="10">
        <v>2298326</v>
      </c>
      <c r="O1241" s="10">
        <v>556776</v>
      </c>
      <c r="P1241" s="10">
        <v>2855102</v>
      </c>
    </row>
    <row r="1242" spans="1:16" ht="27" customHeight="1" x14ac:dyDescent="0.2">
      <c r="A1242" s="9" t="s">
        <v>4506</v>
      </c>
      <c r="B1242" s="10" t="s">
        <v>4544</v>
      </c>
      <c r="C1242" s="11" t="s">
        <v>4548</v>
      </c>
      <c r="D1242" s="11" t="s">
        <v>4549</v>
      </c>
      <c r="E1242" s="11" t="s">
        <v>57</v>
      </c>
      <c r="F1242" s="11" t="s">
        <v>4550</v>
      </c>
      <c r="G1242" s="11" t="s">
        <v>28</v>
      </c>
      <c r="H1242" s="11" t="s">
        <v>4550</v>
      </c>
      <c r="I1242" s="11" t="s">
        <v>4551</v>
      </c>
      <c r="J1242" s="12">
        <v>0.26219999999999999</v>
      </c>
      <c r="K1242" s="13">
        <v>1</v>
      </c>
      <c r="L1242" s="14">
        <v>164</v>
      </c>
      <c r="M1242" s="10">
        <v>43</v>
      </c>
      <c r="N1242" s="10">
        <v>18122</v>
      </c>
      <c r="O1242" s="10">
        <v>3372</v>
      </c>
      <c r="P1242" s="10">
        <v>21494</v>
      </c>
    </row>
    <row r="1243" spans="1:16" ht="27" customHeight="1" x14ac:dyDescent="0.2">
      <c r="A1243" s="9" t="s">
        <v>4506</v>
      </c>
      <c r="B1243" s="10" t="s">
        <v>4544</v>
      </c>
      <c r="C1243" s="11" t="s">
        <v>4552</v>
      </c>
      <c r="D1243" s="11" t="s">
        <v>4553</v>
      </c>
      <c r="E1243" s="11" t="s">
        <v>26</v>
      </c>
      <c r="F1243" s="11" t="s">
        <v>4554</v>
      </c>
      <c r="G1243" s="11" t="s">
        <v>28</v>
      </c>
      <c r="H1243" s="11" t="s">
        <v>4554</v>
      </c>
      <c r="I1243" s="11" t="s">
        <v>4555</v>
      </c>
      <c r="J1243" s="12">
        <v>0</v>
      </c>
      <c r="K1243" s="13">
        <v>1</v>
      </c>
      <c r="L1243" s="14">
        <v>0</v>
      </c>
      <c r="M1243" s="10">
        <v>0</v>
      </c>
      <c r="N1243" s="10">
        <v>0</v>
      </c>
      <c r="O1243" s="10">
        <v>0</v>
      </c>
      <c r="P1243" s="10">
        <v>0</v>
      </c>
    </row>
    <row r="1244" spans="1:16" ht="27" customHeight="1" x14ac:dyDescent="0.2">
      <c r="A1244" s="9" t="s">
        <v>4506</v>
      </c>
      <c r="B1244" s="10" t="s">
        <v>4556</v>
      </c>
      <c r="C1244" s="11" t="s">
        <v>18</v>
      </c>
      <c r="D1244" s="11" t="s">
        <v>19</v>
      </c>
      <c r="E1244" s="11" t="s">
        <v>19</v>
      </c>
      <c r="F1244" s="11" t="s">
        <v>4557</v>
      </c>
      <c r="G1244" s="11" t="s">
        <v>83</v>
      </c>
      <c r="H1244" s="11" t="s">
        <v>4558</v>
      </c>
      <c r="I1244" s="11" t="s">
        <v>4559</v>
      </c>
      <c r="J1244" s="12">
        <v>0.79559999999999997</v>
      </c>
      <c r="K1244" s="13">
        <v>8</v>
      </c>
      <c r="L1244" s="14">
        <v>3505</v>
      </c>
      <c r="M1244" s="10">
        <v>2021</v>
      </c>
      <c r="N1244" s="10">
        <v>387307</v>
      </c>
      <c r="O1244" s="10">
        <v>158484</v>
      </c>
      <c r="P1244" s="10">
        <v>545791</v>
      </c>
    </row>
    <row r="1245" spans="1:16" ht="27" customHeight="1" x14ac:dyDescent="0.2">
      <c r="A1245" s="9" t="s">
        <v>4506</v>
      </c>
      <c r="B1245" s="10" t="s">
        <v>4560</v>
      </c>
      <c r="C1245" s="11" t="s">
        <v>18</v>
      </c>
      <c r="D1245" s="11" t="s">
        <v>19</v>
      </c>
      <c r="E1245" s="11" t="s">
        <v>19</v>
      </c>
      <c r="F1245" s="11" t="s">
        <v>4561</v>
      </c>
      <c r="G1245" s="11" t="s">
        <v>83</v>
      </c>
      <c r="H1245" s="11" t="s">
        <v>4509</v>
      </c>
      <c r="I1245" s="11" t="s">
        <v>4510</v>
      </c>
      <c r="J1245" s="12">
        <v>0.96040000000000003</v>
      </c>
      <c r="K1245" s="13">
        <v>4</v>
      </c>
      <c r="L1245" s="14">
        <v>2063</v>
      </c>
      <c r="M1245" s="10">
        <v>1086</v>
      </c>
      <c r="N1245" s="10">
        <v>227966</v>
      </c>
      <c r="O1245" s="10">
        <v>85163</v>
      </c>
      <c r="P1245" s="10">
        <v>313129</v>
      </c>
    </row>
    <row r="1246" spans="1:16" ht="27" customHeight="1" x14ac:dyDescent="0.2">
      <c r="A1246" s="9" t="s">
        <v>4506</v>
      </c>
      <c r="B1246" s="10" t="s">
        <v>4562</v>
      </c>
      <c r="C1246" s="11" t="s">
        <v>18</v>
      </c>
      <c r="D1246" s="11" t="s">
        <v>19</v>
      </c>
      <c r="E1246" s="11" t="s">
        <v>19</v>
      </c>
      <c r="F1246" s="11" t="s">
        <v>4563</v>
      </c>
      <c r="G1246" s="11" t="s">
        <v>83</v>
      </c>
      <c r="H1246" s="11" t="s">
        <v>4564</v>
      </c>
      <c r="I1246" s="11" t="s">
        <v>4565</v>
      </c>
      <c r="J1246" s="12">
        <v>0.79520000000000002</v>
      </c>
      <c r="K1246" s="13">
        <v>12</v>
      </c>
      <c r="L1246" s="14">
        <v>1806</v>
      </c>
      <c r="M1246" s="10">
        <v>1051</v>
      </c>
      <c r="N1246" s="10">
        <v>199566</v>
      </c>
      <c r="O1246" s="10">
        <v>82419</v>
      </c>
      <c r="P1246" s="10">
        <v>281985</v>
      </c>
    </row>
    <row r="1247" spans="1:16" ht="27" customHeight="1" x14ac:dyDescent="0.2">
      <c r="A1247" s="9" t="s">
        <v>4506</v>
      </c>
      <c r="B1247" s="10" t="s">
        <v>4562</v>
      </c>
      <c r="C1247" s="11" t="s">
        <v>4566</v>
      </c>
      <c r="D1247" s="11" t="s">
        <v>4567</v>
      </c>
      <c r="E1247" s="11" t="s">
        <v>26</v>
      </c>
      <c r="F1247" s="11" t="s">
        <v>4568</v>
      </c>
      <c r="G1247" s="11" t="s">
        <v>28</v>
      </c>
      <c r="H1247" s="11" t="s">
        <v>4568</v>
      </c>
      <c r="I1247" s="11" t="s">
        <v>4569</v>
      </c>
      <c r="J1247" s="12">
        <v>0.24529999999999999</v>
      </c>
      <c r="K1247" s="13">
        <v>1</v>
      </c>
      <c r="L1247" s="14">
        <v>371</v>
      </c>
      <c r="M1247" s="10">
        <v>91</v>
      </c>
      <c r="N1247" s="10">
        <v>40996</v>
      </c>
      <c r="O1247" s="10">
        <v>7136</v>
      </c>
      <c r="P1247" s="10">
        <v>48132</v>
      </c>
    </row>
    <row r="1248" spans="1:16" ht="27" customHeight="1" x14ac:dyDescent="0.2">
      <c r="A1248" s="9" t="s">
        <v>4506</v>
      </c>
      <c r="B1248" s="10" t="s">
        <v>4570</v>
      </c>
      <c r="C1248" s="11" t="s">
        <v>18</v>
      </c>
      <c r="D1248" s="11" t="s">
        <v>19</v>
      </c>
      <c r="E1248" s="11" t="s">
        <v>19</v>
      </c>
      <c r="F1248" s="11" t="s">
        <v>4571</v>
      </c>
      <c r="G1248" s="11" t="s">
        <v>83</v>
      </c>
      <c r="H1248" s="11" t="s">
        <v>4572</v>
      </c>
      <c r="I1248" s="11" t="s">
        <v>4573</v>
      </c>
      <c r="J1248" s="12">
        <v>0.92589999999999995</v>
      </c>
      <c r="K1248" s="13">
        <v>7</v>
      </c>
      <c r="L1248" s="14">
        <v>2116</v>
      </c>
      <c r="M1248" s="10">
        <v>1814</v>
      </c>
      <c r="N1248" s="10">
        <v>233823</v>
      </c>
      <c r="O1248" s="10">
        <v>142252</v>
      </c>
      <c r="P1248" s="10">
        <v>376075</v>
      </c>
    </row>
    <row r="1249" spans="1:16" ht="27" customHeight="1" x14ac:dyDescent="0.2">
      <c r="A1249" s="9" t="s">
        <v>4506</v>
      </c>
      <c r="B1249" s="10" t="s">
        <v>4570</v>
      </c>
      <c r="C1249" s="11" t="s">
        <v>4574</v>
      </c>
      <c r="D1249" s="11" t="s">
        <v>4575</v>
      </c>
      <c r="E1249" s="11" t="s">
        <v>26</v>
      </c>
      <c r="F1249" s="11" t="s">
        <v>4576</v>
      </c>
      <c r="G1249" s="11" t="s">
        <v>28</v>
      </c>
      <c r="H1249" s="11" t="s">
        <v>4576</v>
      </c>
      <c r="I1249" s="11" t="s">
        <v>4577</v>
      </c>
      <c r="J1249" s="12">
        <v>0.82609999999999995</v>
      </c>
      <c r="K1249" s="13">
        <v>1</v>
      </c>
      <c r="L1249" s="14">
        <v>46</v>
      </c>
      <c r="M1249" s="10">
        <v>38</v>
      </c>
      <c r="N1249" s="10">
        <v>5083</v>
      </c>
      <c r="O1249" s="10">
        <v>2980</v>
      </c>
      <c r="P1249" s="10">
        <v>8063</v>
      </c>
    </row>
    <row r="1250" spans="1:16" ht="27" customHeight="1" x14ac:dyDescent="0.2">
      <c r="A1250" s="9" t="s">
        <v>4506</v>
      </c>
      <c r="B1250" s="10" t="s">
        <v>4570</v>
      </c>
      <c r="C1250" s="11" t="s">
        <v>4578</v>
      </c>
      <c r="D1250" s="11" t="s">
        <v>4579</v>
      </c>
      <c r="E1250" s="11" t="s">
        <v>26</v>
      </c>
      <c r="F1250" s="11" t="s">
        <v>4580</v>
      </c>
      <c r="G1250" s="11" t="s">
        <v>28</v>
      </c>
      <c r="H1250" s="11" t="s">
        <v>4580</v>
      </c>
      <c r="I1250" s="11" t="s">
        <v>4581</v>
      </c>
      <c r="J1250" s="12">
        <v>0.85980000000000001</v>
      </c>
      <c r="K1250" s="13">
        <v>1</v>
      </c>
      <c r="L1250" s="14">
        <v>328</v>
      </c>
      <c r="M1250" s="10">
        <v>282</v>
      </c>
      <c r="N1250" s="10">
        <v>36245</v>
      </c>
      <c r="O1250" s="10">
        <v>22114</v>
      </c>
      <c r="P1250" s="10">
        <v>58359</v>
      </c>
    </row>
    <row r="1251" spans="1:16" ht="27" customHeight="1" x14ac:dyDescent="0.2">
      <c r="A1251" s="9" t="s">
        <v>4506</v>
      </c>
      <c r="B1251" s="10" t="s">
        <v>4570</v>
      </c>
      <c r="C1251" s="11" t="s">
        <v>4582</v>
      </c>
      <c r="D1251" s="11" t="s">
        <v>4583</v>
      </c>
      <c r="E1251" s="11" t="s">
        <v>26</v>
      </c>
      <c r="F1251" s="11" t="s">
        <v>4584</v>
      </c>
      <c r="G1251" s="11" t="s">
        <v>28</v>
      </c>
      <c r="H1251" s="11" t="s">
        <v>4584</v>
      </c>
      <c r="I1251" s="11" t="s">
        <v>4585</v>
      </c>
      <c r="J1251" s="12">
        <v>0.86470000000000002</v>
      </c>
      <c r="K1251" s="13">
        <v>1</v>
      </c>
      <c r="L1251" s="14">
        <v>207</v>
      </c>
      <c r="M1251" s="10">
        <v>179</v>
      </c>
      <c r="N1251" s="10">
        <v>22874</v>
      </c>
      <c r="O1251" s="10">
        <v>14037</v>
      </c>
      <c r="P1251" s="10">
        <v>36911</v>
      </c>
    </row>
    <row r="1252" spans="1:16" ht="27" customHeight="1" x14ac:dyDescent="0.2">
      <c r="A1252" s="9" t="s">
        <v>4506</v>
      </c>
      <c r="B1252" s="10" t="s">
        <v>4586</v>
      </c>
      <c r="C1252" s="11" t="s">
        <v>18</v>
      </c>
      <c r="D1252" s="11" t="s">
        <v>19</v>
      </c>
      <c r="E1252" s="11" t="s">
        <v>19</v>
      </c>
      <c r="F1252" s="11" t="s">
        <v>4587</v>
      </c>
      <c r="G1252" s="11" t="s">
        <v>83</v>
      </c>
      <c r="H1252" s="11" t="s">
        <v>4509</v>
      </c>
      <c r="I1252" s="11" t="s">
        <v>4510</v>
      </c>
      <c r="J1252" s="12">
        <v>0.96040000000000003</v>
      </c>
      <c r="K1252" s="13">
        <v>69</v>
      </c>
      <c r="L1252" s="14">
        <v>38130</v>
      </c>
      <c r="M1252" s="10">
        <v>26317</v>
      </c>
      <c r="N1252" s="10">
        <v>4213430</v>
      </c>
      <c r="O1252" s="10">
        <v>2063752</v>
      </c>
      <c r="P1252" s="10">
        <v>6277182</v>
      </c>
    </row>
    <row r="1253" spans="1:16" ht="27" customHeight="1" x14ac:dyDescent="0.2">
      <c r="A1253" s="9" t="s">
        <v>4506</v>
      </c>
      <c r="B1253" s="10" t="s">
        <v>4586</v>
      </c>
      <c r="C1253" s="11" t="s">
        <v>4588</v>
      </c>
      <c r="D1253" s="11" t="s">
        <v>4589</v>
      </c>
      <c r="E1253" s="11" t="s">
        <v>26</v>
      </c>
      <c r="F1253" s="11" t="s">
        <v>4590</v>
      </c>
      <c r="G1253" s="11" t="s">
        <v>28</v>
      </c>
      <c r="H1253" s="11" t="s">
        <v>4590</v>
      </c>
      <c r="I1253" s="11" t="s">
        <v>4591</v>
      </c>
      <c r="J1253" s="12">
        <v>0.82940000000000003</v>
      </c>
      <c r="K1253" s="13">
        <v>1</v>
      </c>
      <c r="L1253" s="14">
        <v>557</v>
      </c>
      <c r="M1253" s="10">
        <v>462</v>
      </c>
      <c r="N1253" s="10">
        <v>61549</v>
      </c>
      <c r="O1253" s="10">
        <v>36230</v>
      </c>
      <c r="P1253" s="10">
        <v>97779</v>
      </c>
    </row>
    <row r="1254" spans="1:16" ht="27" customHeight="1" x14ac:dyDescent="0.2">
      <c r="A1254" s="9" t="s">
        <v>4506</v>
      </c>
      <c r="B1254" s="10" t="s">
        <v>4586</v>
      </c>
      <c r="C1254" s="11" t="s">
        <v>4592</v>
      </c>
      <c r="D1254" s="11" t="s">
        <v>4593</v>
      </c>
      <c r="E1254" s="11" t="s">
        <v>26</v>
      </c>
      <c r="F1254" s="11" t="s">
        <v>4594</v>
      </c>
      <c r="G1254" s="11" t="s">
        <v>28</v>
      </c>
      <c r="H1254" s="11" t="s">
        <v>4594</v>
      </c>
      <c r="I1254" s="11" t="s">
        <v>4595</v>
      </c>
      <c r="J1254" s="12">
        <v>0.46200000000000002</v>
      </c>
      <c r="K1254" s="13">
        <v>1</v>
      </c>
      <c r="L1254" s="14">
        <v>355</v>
      </c>
      <c r="M1254" s="10">
        <v>164</v>
      </c>
      <c r="N1254" s="10">
        <v>39228</v>
      </c>
      <c r="O1254" s="10">
        <v>12861</v>
      </c>
      <c r="P1254" s="10">
        <v>52089</v>
      </c>
    </row>
    <row r="1255" spans="1:16" ht="27" customHeight="1" x14ac:dyDescent="0.2">
      <c r="A1255" s="9" t="s">
        <v>4506</v>
      </c>
      <c r="B1255" s="10" t="s">
        <v>4586</v>
      </c>
      <c r="C1255" s="11" t="s">
        <v>4596</v>
      </c>
      <c r="D1255" s="11" t="s">
        <v>4597</v>
      </c>
      <c r="E1255" s="11" t="s">
        <v>57</v>
      </c>
      <c r="F1255" s="11" t="s">
        <v>4598</v>
      </c>
      <c r="G1255" s="11" t="s">
        <v>28</v>
      </c>
      <c r="H1255" s="11" t="s">
        <v>4509</v>
      </c>
      <c r="I1255" s="11" t="s">
        <v>4510</v>
      </c>
      <c r="J1255" s="12">
        <v>0.96040000000000003</v>
      </c>
      <c r="K1255" s="13">
        <v>1</v>
      </c>
      <c r="L1255" s="14">
        <v>154</v>
      </c>
      <c r="M1255" s="10">
        <v>118</v>
      </c>
      <c r="N1255" s="10">
        <v>17017</v>
      </c>
      <c r="O1255" s="10">
        <v>9253</v>
      </c>
      <c r="P1255" s="10">
        <v>26270</v>
      </c>
    </row>
    <row r="1256" spans="1:16" ht="27" customHeight="1" x14ac:dyDescent="0.2">
      <c r="A1256" s="9" t="s">
        <v>4506</v>
      </c>
      <c r="B1256" s="10" t="s">
        <v>4586</v>
      </c>
      <c r="C1256" s="11" t="s">
        <v>4599</v>
      </c>
      <c r="D1256" s="11" t="s">
        <v>4600</v>
      </c>
      <c r="E1256" s="11" t="s">
        <v>57</v>
      </c>
      <c r="F1256" s="11" t="s">
        <v>4601</v>
      </c>
      <c r="G1256" s="11" t="s">
        <v>28</v>
      </c>
      <c r="H1256" s="11" t="s">
        <v>4509</v>
      </c>
      <c r="I1256" s="11" t="s">
        <v>4510</v>
      </c>
      <c r="J1256" s="12">
        <v>0.96040000000000003</v>
      </c>
      <c r="K1256" s="13">
        <v>1</v>
      </c>
      <c r="L1256" s="14">
        <v>195</v>
      </c>
      <c r="M1256" s="10">
        <v>85</v>
      </c>
      <c r="N1256" s="10">
        <v>21548</v>
      </c>
      <c r="O1256" s="10">
        <v>6666</v>
      </c>
      <c r="P1256" s="10">
        <v>28214</v>
      </c>
    </row>
    <row r="1257" spans="1:16" ht="27" customHeight="1" x14ac:dyDescent="0.2">
      <c r="A1257" s="9" t="s">
        <v>4506</v>
      </c>
      <c r="B1257" s="10" t="s">
        <v>4586</v>
      </c>
      <c r="C1257" s="11" t="s">
        <v>4602</v>
      </c>
      <c r="D1257" s="11" t="s">
        <v>4603</v>
      </c>
      <c r="E1257" s="11" t="s">
        <v>57</v>
      </c>
      <c r="F1257" s="11" t="s">
        <v>4604</v>
      </c>
      <c r="G1257" s="11" t="s">
        <v>28</v>
      </c>
      <c r="H1257" s="11" t="s">
        <v>4509</v>
      </c>
      <c r="I1257" s="11" t="s">
        <v>4510</v>
      </c>
      <c r="J1257" s="12">
        <v>0.96040000000000003</v>
      </c>
      <c r="K1257" s="13">
        <v>1</v>
      </c>
      <c r="L1257" s="14">
        <v>222</v>
      </c>
      <c r="M1257" s="10">
        <v>119</v>
      </c>
      <c r="N1257" s="10">
        <v>24531</v>
      </c>
      <c r="O1257" s="10">
        <v>9332</v>
      </c>
      <c r="P1257" s="10">
        <v>33863</v>
      </c>
    </row>
    <row r="1258" spans="1:16" ht="27" customHeight="1" x14ac:dyDescent="0.2">
      <c r="A1258" s="9" t="s">
        <v>4506</v>
      </c>
      <c r="B1258" s="10" t="s">
        <v>4586</v>
      </c>
      <c r="C1258" s="11" t="s">
        <v>4605</v>
      </c>
      <c r="D1258" s="11" t="s">
        <v>4606</v>
      </c>
      <c r="E1258" s="11" t="s">
        <v>26</v>
      </c>
      <c r="F1258" s="11" t="s">
        <v>4607</v>
      </c>
      <c r="G1258" s="11" t="s">
        <v>28</v>
      </c>
      <c r="H1258" s="11" t="s">
        <v>4509</v>
      </c>
      <c r="I1258" s="11" t="s">
        <v>4510</v>
      </c>
      <c r="J1258" s="12">
        <v>0.96040000000000003</v>
      </c>
      <c r="K1258" s="13">
        <v>1</v>
      </c>
      <c r="L1258" s="14">
        <v>365</v>
      </c>
      <c r="M1258" s="10">
        <v>257</v>
      </c>
      <c r="N1258" s="10">
        <v>40333</v>
      </c>
      <c r="O1258" s="10">
        <v>20154</v>
      </c>
      <c r="P1258" s="10">
        <v>60487</v>
      </c>
    </row>
    <row r="1259" spans="1:16" ht="27" customHeight="1" x14ac:dyDescent="0.2">
      <c r="A1259" s="9" t="s">
        <v>4506</v>
      </c>
      <c r="B1259" s="10" t="s">
        <v>4586</v>
      </c>
      <c r="C1259" s="11" t="s">
        <v>4608</v>
      </c>
      <c r="D1259" s="11" t="s">
        <v>4609</v>
      </c>
      <c r="E1259" s="11" t="s">
        <v>26</v>
      </c>
      <c r="F1259" s="11" t="s">
        <v>4610</v>
      </c>
      <c r="G1259" s="11" t="s">
        <v>28</v>
      </c>
      <c r="H1259" s="11" t="s">
        <v>4610</v>
      </c>
      <c r="I1259" s="11" t="s">
        <v>4611</v>
      </c>
      <c r="J1259" s="12">
        <v>0.88239999999999996</v>
      </c>
      <c r="K1259" s="13">
        <v>1</v>
      </c>
      <c r="L1259" s="14">
        <v>170</v>
      </c>
      <c r="M1259" s="10">
        <v>150</v>
      </c>
      <c r="N1259" s="10">
        <v>18785</v>
      </c>
      <c r="O1259" s="10">
        <v>11763</v>
      </c>
      <c r="P1259" s="10">
        <v>30548</v>
      </c>
    </row>
    <row r="1260" spans="1:16" ht="27" customHeight="1" x14ac:dyDescent="0.2">
      <c r="A1260" s="9" t="s">
        <v>4506</v>
      </c>
      <c r="B1260" s="10" t="s">
        <v>4586</v>
      </c>
      <c r="C1260" s="11" t="s">
        <v>4612</v>
      </c>
      <c r="D1260" s="11" t="s">
        <v>4613</v>
      </c>
      <c r="E1260" s="11" t="s">
        <v>26</v>
      </c>
      <c r="F1260" s="11" t="s">
        <v>4614</v>
      </c>
      <c r="G1260" s="11" t="s">
        <v>28</v>
      </c>
      <c r="H1260" s="11" t="s">
        <v>4614</v>
      </c>
      <c r="I1260" s="11" t="s">
        <v>4615</v>
      </c>
      <c r="J1260" s="12">
        <v>0.73860000000000003</v>
      </c>
      <c r="K1260" s="13">
        <v>1</v>
      </c>
      <c r="L1260" s="14">
        <v>616</v>
      </c>
      <c r="M1260" s="10">
        <v>455</v>
      </c>
      <c r="N1260" s="10">
        <v>68069</v>
      </c>
      <c r="O1260" s="10">
        <v>35681</v>
      </c>
      <c r="P1260" s="10">
        <v>103750</v>
      </c>
    </row>
    <row r="1261" spans="1:16" ht="27" customHeight="1" x14ac:dyDescent="0.2">
      <c r="A1261" s="9" t="s">
        <v>4506</v>
      </c>
      <c r="B1261" s="10" t="s">
        <v>4586</v>
      </c>
      <c r="C1261" s="11" t="s">
        <v>4616</v>
      </c>
      <c r="D1261" s="11" t="s">
        <v>4617</v>
      </c>
      <c r="E1261" s="11" t="s">
        <v>26</v>
      </c>
      <c r="F1261" s="11" t="s">
        <v>4618</v>
      </c>
      <c r="G1261" s="11" t="s">
        <v>28</v>
      </c>
      <c r="H1261" s="11" t="s">
        <v>4618</v>
      </c>
      <c r="I1261" s="11" t="s">
        <v>4619</v>
      </c>
      <c r="J1261" s="12">
        <v>0.21879999999999999</v>
      </c>
      <c r="K1261" s="13">
        <v>1</v>
      </c>
      <c r="L1261" s="14">
        <v>352</v>
      </c>
      <c r="M1261" s="10">
        <v>77</v>
      </c>
      <c r="N1261" s="10">
        <v>38897</v>
      </c>
      <c r="O1261" s="10">
        <v>6038</v>
      </c>
      <c r="P1261" s="10">
        <v>44935</v>
      </c>
    </row>
    <row r="1262" spans="1:16" ht="27" customHeight="1" x14ac:dyDescent="0.2">
      <c r="A1262" s="9" t="s">
        <v>4506</v>
      </c>
      <c r="B1262" s="10" t="s">
        <v>4586</v>
      </c>
      <c r="C1262" s="11" t="s">
        <v>4620</v>
      </c>
      <c r="D1262" s="11" t="s">
        <v>4621</v>
      </c>
      <c r="E1262" s="11" t="s">
        <v>26</v>
      </c>
      <c r="F1262" s="11" t="s">
        <v>4622</v>
      </c>
      <c r="G1262" s="11" t="s">
        <v>28</v>
      </c>
      <c r="H1262" s="11" t="s">
        <v>4622</v>
      </c>
      <c r="I1262" s="11" t="s">
        <v>4623</v>
      </c>
      <c r="J1262" s="12">
        <v>0.57509999999999994</v>
      </c>
      <c r="K1262" s="13">
        <v>1</v>
      </c>
      <c r="L1262" s="14">
        <v>426</v>
      </c>
      <c r="M1262" s="10">
        <v>245</v>
      </c>
      <c r="N1262" s="10">
        <v>47074</v>
      </c>
      <c r="O1262" s="10">
        <v>19213</v>
      </c>
      <c r="P1262" s="10">
        <v>66287</v>
      </c>
    </row>
    <row r="1263" spans="1:16" ht="27" customHeight="1" x14ac:dyDescent="0.2">
      <c r="A1263" s="9" t="s">
        <v>4506</v>
      </c>
      <c r="B1263" s="10" t="s">
        <v>4586</v>
      </c>
      <c r="C1263" s="11" t="s">
        <v>4624</v>
      </c>
      <c r="D1263" s="11" t="s">
        <v>4625</v>
      </c>
      <c r="E1263" s="11" t="s">
        <v>26</v>
      </c>
      <c r="F1263" s="11" t="s">
        <v>4626</v>
      </c>
      <c r="G1263" s="11" t="s">
        <v>28</v>
      </c>
      <c r="H1263" s="11" t="s">
        <v>4626</v>
      </c>
      <c r="I1263" s="11" t="s">
        <v>4627</v>
      </c>
      <c r="J1263" s="12">
        <v>0.83209999999999995</v>
      </c>
      <c r="K1263" s="13">
        <v>1</v>
      </c>
      <c r="L1263" s="14">
        <v>417</v>
      </c>
      <c r="M1263" s="10">
        <v>347</v>
      </c>
      <c r="N1263" s="10">
        <v>46079</v>
      </c>
      <c r="O1263" s="10">
        <v>27211</v>
      </c>
      <c r="P1263" s="10">
        <v>73290</v>
      </c>
    </row>
    <row r="1264" spans="1:16" ht="27" customHeight="1" x14ac:dyDescent="0.2">
      <c r="A1264" s="9" t="s">
        <v>4506</v>
      </c>
      <c r="B1264" s="10" t="s">
        <v>4586</v>
      </c>
      <c r="C1264" s="11" t="s">
        <v>4628</v>
      </c>
      <c r="D1264" s="11" t="s">
        <v>4629</v>
      </c>
      <c r="E1264" s="11" t="s">
        <v>57</v>
      </c>
      <c r="F1264" s="11" t="s">
        <v>4630</v>
      </c>
      <c r="G1264" s="11" t="s">
        <v>28</v>
      </c>
      <c r="H1264" s="11" t="s">
        <v>4630</v>
      </c>
      <c r="I1264" s="11" t="s">
        <v>4631</v>
      </c>
      <c r="J1264" s="12">
        <v>0.90129999999999999</v>
      </c>
      <c r="K1264" s="13">
        <v>1</v>
      </c>
      <c r="L1264" s="14">
        <v>233</v>
      </c>
      <c r="M1264" s="10">
        <v>210</v>
      </c>
      <c r="N1264" s="10">
        <v>25747</v>
      </c>
      <c r="O1264" s="10">
        <v>16468</v>
      </c>
      <c r="P1264" s="10">
        <v>42215</v>
      </c>
    </row>
    <row r="1265" spans="1:16" ht="27" customHeight="1" x14ac:dyDescent="0.2">
      <c r="A1265" s="9" t="s">
        <v>4506</v>
      </c>
      <c r="B1265" s="10" t="s">
        <v>4586</v>
      </c>
      <c r="C1265" s="11" t="s">
        <v>4632</v>
      </c>
      <c r="D1265" s="11" t="s">
        <v>4633</v>
      </c>
      <c r="E1265" s="11" t="s">
        <v>26</v>
      </c>
      <c r="F1265" s="11" t="s">
        <v>4634</v>
      </c>
      <c r="G1265" s="11" t="s">
        <v>28</v>
      </c>
      <c r="H1265" s="11" t="s">
        <v>4634</v>
      </c>
      <c r="I1265" s="11" t="s">
        <v>4635</v>
      </c>
      <c r="J1265" s="12">
        <v>0.57909999999999995</v>
      </c>
      <c r="K1265" s="13">
        <v>1</v>
      </c>
      <c r="L1265" s="14">
        <v>278</v>
      </c>
      <c r="M1265" s="10">
        <v>161</v>
      </c>
      <c r="N1265" s="10">
        <v>30719</v>
      </c>
      <c r="O1265" s="10">
        <v>12625</v>
      </c>
      <c r="P1265" s="10">
        <v>43344</v>
      </c>
    </row>
    <row r="1266" spans="1:16" ht="27" customHeight="1" x14ac:dyDescent="0.2">
      <c r="A1266" s="9" t="s">
        <v>4506</v>
      </c>
      <c r="B1266" s="10" t="s">
        <v>4586</v>
      </c>
      <c r="C1266" s="11" t="s">
        <v>4636</v>
      </c>
      <c r="D1266" s="11" t="s">
        <v>4637</v>
      </c>
      <c r="E1266" s="11" t="s">
        <v>26</v>
      </c>
      <c r="F1266" s="11" t="s">
        <v>4638</v>
      </c>
      <c r="G1266" s="11" t="s">
        <v>28</v>
      </c>
      <c r="H1266" s="11" t="s">
        <v>4509</v>
      </c>
      <c r="I1266" s="11" t="s">
        <v>4510</v>
      </c>
      <c r="J1266" s="12">
        <v>0.96040000000000003</v>
      </c>
      <c r="K1266" s="13">
        <v>1</v>
      </c>
      <c r="L1266" s="14">
        <v>709</v>
      </c>
      <c r="M1266" s="10">
        <v>624</v>
      </c>
      <c r="N1266" s="10">
        <v>78346</v>
      </c>
      <c r="O1266" s="10">
        <v>48933</v>
      </c>
      <c r="P1266" s="10">
        <v>127279</v>
      </c>
    </row>
    <row r="1267" spans="1:16" ht="27" customHeight="1" x14ac:dyDescent="0.2">
      <c r="A1267" s="9" t="s">
        <v>4506</v>
      </c>
      <c r="B1267" s="10" t="s">
        <v>4586</v>
      </c>
      <c r="C1267" s="11" t="s">
        <v>4639</v>
      </c>
      <c r="D1267" s="11" t="s">
        <v>4640</v>
      </c>
      <c r="E1267" s="11" t="s">
        <v>57</v>
      </c>
      <c r="F1267" s="11" t="s">
        <v>4641</v>
      </c>
      <c r="G1267" s="11" t="s">
        <v>28</v>
      </c>
      <c r="H1267" s="11" t="s">
        <v>4641</v>
      </c>
      <c r="I1267" s="11" t="s">
        <v>4642</v>
      </c>
      <c r="J1267" s="12">
        <v>0.89290000000000003</v>
      </c>
      <c r="K1267" s="13">
        <v>1</v>
      </c>
      <c r="L1267" s="14">
        <v>731</v>
      </c>
      <c r="M1267" s="10">
        <v>653</v>
      </c>
      <c r="N1267" s="10">
        <v>80777</v>
      </c>
      <c r="O1267" s="10">
        <v>51208</v>
      </c>
      <c r="P1267" s="10">
        <v>131985</v>
      </c>
    </row>
    <row r="1268" spans="1:16" ht="27" customHeight="1" x14ac:dyDescent="0.2">
      <c r="A1268" s="9" t="s">
        <v>4506</v>
      </c>
      <c r="B1268" s="10" t="s">
        <v>4643</v>
      </c>
      <c r="C1268" s="11" t="s">
        <v>18</v>
      </c>
      <c r="D1268" s="11" t="s">
        <v>19</v>
      </c>
      <c r="E1268" s="11" t="s">
        <v>19</v>
      </c>
      <c r="F1268" s="11" t="s">
        <v>4644</v>
      </c>
      <c r="G1268" s="11" t="s">
        <v>83</v>
      </c>
      <c r="H1268" s="11" t="s">
        <v>4645</v>
      </c>
      <c r="I1268" s="11" t="s">
        <v>4646</v>
      </c>
      <c r="J1268" s="12">
        <v>0.94269999999999998</v>
      </c>
      <c r="K1268" s="13">
        <v>69</v>
      </c>
      <c r="L1268" s="14">
        <v>38632</v>
      </c>
      <c r="M1268" s="10">
        <v>21099</v>
      </c>
      <c r="N1268" s="10">
        <v>4268899</v>
      </c>
      <c r="O1268" s="10">
        <v>1654566</v>
      </c>
      <c r="P1268" s="10">
        <v>5923465</v>
      </c>
    </row>
    <row r="1269" spans="1:16" ht="27" customHeight="1" x14ac:dyDescent="0.2">
      <c r="A1269" s="9" t="s">
        <v>4506</v>
      </c>
      <c r="B1269" s="10" t="s">
        <v>4643</v>
      </c>
      <c r="C1269" s="11" t="s">
        <v>4647</v>
      </c>
      <c r="D1269" s="11" t="s">
        <v>4648</v>
      </c>
      <c r="E1269" s="11" t="s">
        <v>26</v>
      </c>
      <c r="F1269" s="11" t="s">
        <v>4649</v>
      </c>
      <c r="G1269" s="11" t="s">
        <v>28</v>
      </c>
      <c r="H1269" s="11" t="s">
        <v>4649</v>
      </c>
      <c r="I1269" s="11" t="s">
        <v>4650</v>
      </c>
      <c r="J1269" s="12">
        <v>0.27839999999999998</v>
      </c>
      <c r="K1269" s="13">
        <v>1</v>
      </c>
      <c r="L1269" s="14">
        <v>1426</v>
      </c>
      <c r="M1269" s="10">
        <v>397</v>
      </c>
      <c r="N1269" s="10">
        <v>157575</v>
      </c>
      <c r="O1269" s="10">
        <v>31132</v>
      </c>
      <c r="P1269" s="10">
        <v>188707</v>
      </c>
    </row>
    <row r="1270" spans="1:16" ht="27" customHeight="1" x14ac:dyDescent="0.2">
      <c r="A1270" s="9" t="s">
        <v>4506</v>
      </c>
      <c r="B1270" s="10" t="s">
        <v>4643</v>
      </c>
      <c r="C1270" s="11" t="s">
        <v>4651</v>
      </c>
      <c r="D1270" s="11" t="s">
        <v>4652</v>
      </c>
      <c r="E1270" s="11" t="s">
        <v>26</v>
      </c>
      <c r="F1270" s="11" t="s">
        <v>4653</v>
      </c>
      <c r="G1270" s="11" t="s">
        <v>28</v>
      </c>
      <c r="H1270" s="11" t="s">
        <v>4653</v>
      </c>
      <c r="I1270" s="11" t="s">
        <v>4654</v>
      </c>
      <c r="J1270" s="12">
        <v>0.33119999999999999</v>
      </c>
      <c r="K1270" s="13">
        <v>1</v>
      </c>
      <c r="L1270" s="14">
        <v>314</v>
      </c>
      <c r="M1270" s="10">
        <v>104</v>
      </c>
      <c r="N1270" s="10">
        <v>34698</v>
      </c>
      <c r="O1270" s="10">
        <v>8156</v>
      </c>
      <c r="P1270" s="10">
        <v>42854</v>
      </c>
    </row>
    <row r="1271" spans="1:16" ht="27" customHeight="1" x14ac:dyDescent="0.2">
      <c r="A1271" s="9" t="s">
        <v>4506</v>
      </c>
      <c r="B1271" s="10" t="s">
        <v>4643</v>
      </c>
      <c r="C1271" s="11" t="s">
        <v>4655</v>
      </c>
      <c r="D1271" s="11" t="s">
        <v>4656</v>
      </c>
      <c r="E1271" s="11" t="s">
        <v>26</v>
      </c>
      <c r="F1271" s="11" t="s">
        <v>4657</v>
      </c>
      <c r="G1271" s="11" t="s">
        <v>28</v>
      </c>
      <c r="H1271" s="11" t="s">
        <v>4657</v>
      </c>
      <c r="I1271" s="11" t="s">
        <v>4658</v>
      </c>
      <c r="J1271" s="12">
        <v>0.83450000000000002</v>
      </c>
      <c r="K1271" s="13">
        <v>1</v>
      </c>
      <c r="L1271" s="14">
        <v>429</v>
      </c>
      <c r="M1271" s="10">
        <v>358</v>
      </c>
      <c r="N1271" s="10">
        <v>47405</v>
      </c>
      <c r="O1271" s="10">
        <v>28074</v>
      </c>
      <c r="P1271" s="10">
        <v>75479</v>
      </c>
    </row>
    <row r="1272" spans="1:16" ht="27" customHeight="1" x14ac:dyDescent="0.2">
      <c r="A1272" s="9" t="s">
        <v>4506</v>
      </c>
      <c r="B1272" s="10" t="s">
        <v>4643</v>
      </c>
      <c r="C1272" s="11" t="s">
        <v>4659</v>
      </c>
      <c r="D1272" s="11" t="s">
        <v>4660</v>
      </c>
      <c r="E1272" s="11" t="s">
        <v>26</v>
      </c>
      <c r="F1272" s="11" t="s">
        <v>4661</v>
      </c>
      <c r="G1272" s="11" t="s">
        <v>28</v>
      </c>
      <c r="H1272" s="11" t="s">
        <v>4661</v>
      </c>
      <c r="I1272" s="11" t="s">
        <v>4662</v>
      </c>
      <c r="J1272" s="12">
        <v>0.8911</v>
      </c>
      <c r="K1272" s="13">
        <v>1</v>
      </c>
      <c r="L1272" s="14">
        <v>505</v>
      </c>
      <c r="M1272" s="10">
        <v>450</v>
      </c>
      <c r="N1272" s="10">
        <v>55803</v>
      </c>
      <c r="O1272" s="10">
        <v>35289</v>
      </c>
      <c r="P1272" s="10">
        <v>91092</v>
      </c>
    </row>
    <row r="1273" spans="1:16" ht="27" customHeight="1" x14ac:dyDescent="0.2">
      <c r="A1273" s="9" t="s">
        <v>4506</v>
      </c>
      <c r="B1273" s="10" t="s">
        <v>4643</v>
      </c>
      <c r="C1273" s="11" t="s">
        <v>4663</v>
      </c>
      <c r="D1273" s="11" t="s">
        <v>4664</v>
      </c>
      <c r="E1273" s="11" t="s">
        <v>26</v>
      </c>
      <c r="F1273" s="11" t="s">
        <v>4665</v>
      </c>
      <c r="G1273" s="11" t="s">
        <v>28</v>
      </c>
      <c r="H1273" s="11" t="s">
        <v>4665</v>
      </c>
      <c r="I1273" s="11" t="s">
        <v>4666</v>
      </c>
      <c r="J1273" s="12">
        <v>0.77470000000000006</v>
      </c>
      <c r="K1273" s="13">
        <v>1</v>
      </c>
      <c r="L1273" s="14">
        <v>577</v>
      </c>
      <c r="M1273" s="10">
        <v>447</v>
      </c>
      <c r="N1273" s="10">
        <v>63759</v>
      </c>
      <c r="O1273" s="10">
        <v>35053</v>
      </c>
      <c r="P1273" s="10">
        <v>98812</v>
      </c>
    </row>
    <row r="1274" spans="1:16" ht="27" customHeight="1" x14ac:dyDescent="0.2">
      <c r="A1274" s="9" t="s">
        <v>4506</v>
      </c>
      <c r="B1274" s="10" t="s">
        <v>4643</v>
      </c>
      <c r="C1274" s="11" t="s">
        <v>4667</v>
      </c>
      <c r="D1274" s="11" t="s">
        <v>4668</v>
      </c>
      <c r="E1274" s="11" t="s">
        <v>26</v>
      </c>
      <c r="F1274" s="11" t="s">
        <v>4669</v>
      </c>
      <c r="G1274" s="11" t="s">
        <v>28</v>
      </c>
      <c r="H1274" s="11" t="s">
        <v>4669</v>
      </c>
      <c r="I1274" s="11" t="s">
        <v>4670</v>
      </c>
      <c r="J1274" s="12">
        <v>0.29749999999999999</v>
      </c>
      <c r="K1274" s="13">
        <v>1</v>
      </c>
      <c r="L1274" s="14">
        <v>279</v>
      </c>
      <c r="M1274" s="10">
        <v>83</v>
      </c>
      <c r="N1274" s="10">
        <v>30830</v>
      </c>
      <c r="O1274" s="10">
        <v>6509</v>
      </c>
      <c r="P1274" s="10">
        <v>37339</v>
      </c>
    </row>
    <row r="1275" spans="1:16" ht="27" customHeight="1" x14ac:dyDescent="0.2">
      <c r="A1275" s="9" t="s">
        <v>4506</v>
      </c>
      <c r="B1275" s="10" t="s">
        <v>4643</v>
      </c>
      <c r="C1275" s="11" t="s">
        <v>4671</v>
      </c>
      <c r="D1275" s="11" t="s">
        <v>4672</v>
      </c>
      <c r="E1275" s="11" t="s">
        <v>26</v>
      </c>
      <c r="F1275" s="11" t="s">
        <v>4673</v>
      </c>
      <c r="G1275" s="11" t="s">
        <v>28</v>
      </c>
      <c r="H1275" s="11" t="s">
        <v>4509</v>
      </c>
      <c r="I1275" s="11" t="s">
        <v>4510</v>
      </c>
      <c r="J1275" s="12">
        <v>0.96040000000000003</v>
      </c>
      <c r="K1275" s="13">
        <v>1</v>
      </c>
      <c r="L1275" s="14">
        <v>796</v>
      </c>
      <c r="M1275" s="10">
        <v>627</v>
      </c>
      <c r="N1275" s="10">
        <v>87959</v>
      </c>
      <c r="O1275" s="10">
        <v>49169</v>
      </c>
      <c r="P1275" s="10">
        <v>137128</v>
      </c>
    </row>
    <row r="1276" spans="1:16" ht="27" customHeight="1" x14ac:dyDescent="0.2">
      <c r="A1276" s="9" t="s">
        <v>4506</v>
      </c>
      <c r="B1276" s="10" t="s">
        <v>4643</v>
      </c>
      <c r="C1276" s="11" t="s">
        <v>4674</v>
      </c>
      <c r="D1276" s="11" t="s">
        <v>4675</v>
      </c>
      <c r="E1276" s="11" t="s">
        <v>26</v>
      </c>
      <c r="F1276" s="11" t="s">
        <v>4676</v>
      </c>
      <c r="G1276" s="11" t="s">
        <v>28</v>
      </c>
      <c r="H1276" s="11" t="s">
        <v>4676</v>
      </c>
      <c r="I1276" s="11" t="s">
        <v>4677</v>
      </c>
      <c r="J1276" s="12">
        <v>0.54920000000000002</v>
      </c>
      <c r="K1276" s="13">
        <v>1</v>
      </c>
      <c r="L1276" s="14">
        <v>6591</v>
      </c>
      <c r="M1276" s="10">
        <v>3620</v>
      </c>
      <c r="N1276" s="10">
        <v>728316</v>
      </c>
      <c r="O1276" s="10">
        <v>283877</v>
      </c>
      <c r="P1276" s="10">
        <v>1012193</v>
      </c>
    </row>
    <row r="1277" spans="1:16" ht="27" customHeight="1" x14ac:dyDescent="0.2">
      <c r="A1277" s="9" t="s">
        <v>4506</v>
      </c>
      <c r="B1277" s="10" t="s">
        <v>4643</v>
      </c>
      <c r="C1277" s="11" t="s">
        <v>4678</v>
      </c>
      <c r="D1277" s="11" t="s">
        <v>4679</v>
      </c>
      <c r="E1277" s="11" t="s">
        <v>57</v>
      </c>
      <c r="F1277" s="11" t="s">
        <v>4680</v>
      </c>
      <c r="G1277" s="11" t="s">
        <v>28</v>
      </c>
      <c r="H1277" s="11" t="s">
        <v>4680</v>
      </c>
      <c r="I1277" s="11" t="s">
        <v>4681</v>
      </c>
      <c r="J1277" s="12">
        <v>0.53920000000000001</v>
      </c>
      <c r="K1277" s="13">
        <v>1</v>
      </c>
      <c r="L1277" s="14">
        <v>217</v>
      </c>
      <c r="M1277" s="10">
        <v>117</v>
      </c>
      <c r="N1277" s="10">
        <v>23979</v>
      </c>
      <c r="O1277" s="10">
        <v>9175</v>
      </c>
      <c r="P1277" s="10">
        <v>33154</v>
      </c>
    </row>
    <row r="1278" spans="1:16" ht="27" customHeight="1" x14ac:dyDescent="0.2">
      <c r="A1278" s="9" t="s">
        <v>4506</v>
      </c>
      <c r="B1278" s="10" t="s">
        <v>4682</v>
      </c>
      <c r="C1278" s="11" t="s">
        <v>18</v>
      </c>
      <c r="D1278" s="11" t="s">
        <v>19</v>
      </c>
      <c r="E1278" s="11" t="s">
        <v>19</v>
      </c>
      <c r="F1278" s="11" t="s">
        <v>4683</v>
      </c>
      <c r="G1278" s="11" t="s">
        <v>83</v>
      </c>
      <c r="H1278" s="11" t="s">
        <v>4684</v>
      </c>
      <c r="I1278" s="11" t="s">
        <v>4685</v>
      </c>
      <c r="J1278" s="12">
        <v>0.70279999999999998</v>
      </c>
      <c r="K1278" s="13">
        <v>9</v>
      </c>
      <c r="L1278" s="14">
        <v>4233</v>
      </c>
      <c r="M1278" s="10">
        <v>2503</v>
      </c>
      <c r="N1278" s="10">
        <v>467754</v>
      </c>
      <c r="O1278" s="10">
        <v>196282</v>
      </c>
      <c r="P1278" s="10">
        <v>664036</v>
      </c>
    </row>
    <row r="1279" spans="1:16" ht="27" customHeight="1" x14ac:dyDescent="0.2">
      <c r="A1279" s="9" t="s">
        <v>4506</v>
      </c>
      <c r="B1279" s="10" t="s">
        <v>4686</v>
      </c>
      <c r="C1279" s="11" t="s">
        <v>18</v>
      </c>
      <c r="D1279" s="11" t="s">
        <v>19</v>
      </c>
      <c r="E1279" s="11" t="s">
        <v>19</v>
      </c>
      <c r="F1279" s="11" t="s">
        <v>4687</v>
      </c>
      <c r="G1279" s="11" t="s">
        <v>83</v>
      </c>
      <c r="H1279" s="11" t="s">
        <v>4688</v>
      </c>
      <c r="I1279" s="11" t="s">
        <v>4689</v>
      </c>
      <c r="J1279" s="12">
        <v>0.80089999999999995</v>
      </c>
      <c r="K1279" s="13">
        <v>16</v>
      </c>
      <c r="L1279" s="14">
        <v>11273</v>
      </c>
      <c r="M1279" s="10">
        <v>6179</v>
      </c>
      <c r="N1279" s="10">
        <v>1245685</v>
      </c>
      <c r="O1279" s="10">
        <v>484549</v>
      </c>
      <c r="P1279" s="10">
        <v>1730234</v>
      </c>
    </row>
    <row r="1280" spans="1:16" ht="27" customHeight="1" x14ac:dyDescent="0.2">
      <c r="A1280" s="9" t="s">
        <v>4506</v>
      </c>
      <c r="B1280" s="10" t="s">
        <v>4686</v>
      </c>
      <c r="C1280" s="11" t="s">
        <v>4690</v>
      </c>
      <c r="D1280" s="11" t="s">
        <v>4691</v>
      </c>
      <c r="E1280" s="11" t="s">
        <v>57</v>
      </c>
      <c r="F1280" s="11" t="s">
        <v>4692</v>
      </c>
      <c r="G1280" s="11" t="s">
        <v>28</v>
      </c>
      <c r="H1280" s="11" t="s">
        <v>4692</v>
      </c>
      <c r="I1280" s="11" t="s">
        <v>4693</v>
      </c>
      <c r="J1280" s="12">
        <v>0.33600000000000002</v>
      </c>
      <c r="K1280" s="13">
        <v>1</v>
      </c>
      <c r="L1280" s="14">
        <v>1247</v>
      </c>
      <c r="M1280" s="10">
        <v>419</v>
      </c>
      <c r="N1280" s="10">
        <v>137796</v>
      </c>
      <c r="O1280" s="10">
        <v>32858</v>
      </c>
      <c r="P1280" s="10">
        <v>170654</v>
      </c>
    </row>
    <row r="1281" spans="1:16" ht="27" customHeight="1" x14ac:dyDescent="0.2">
      <c r="A1281" s="9" t="s">
        <v>4506</v>
      </c>
      <c r="B1281" s="10" t="s">
        <v>4686</v>
      </c>
      <c r="C1281" s="11" t="s">
        <v>4694</v>
      </c>
      <c r="D1281" s="11" t="s">
        <v>4695</v>
      </c>
      <c r="E1281" s="11" t="s">
        <v>57</v>
      </c>
      <c r="F1281" s="11" t="s">
        <v>4696</v>
      </c>
      <c r="G1281" s="11" t="s">
        <v>28</v>
      </c>
      <c r="H1281" s="11" t="s">
        <v>4509</v>
      </c>
      <c r="I1281" s="11" t="s">
        <v>4510</v>
      </c>
      <c r="J1281" s="12">
        <v>0.96040000000000003</v>
      </c>
      <c r="K1281" s="13">
        <v>1</v>
      </c>
      <c r="L1281" s="14">
        <v>621</v>
      </c>
      <c r="M1281" s="10">
        <v>223</v>
      </c>
      <c r="N1281" s="10">
        <v>68622</v>
      </c>
      <c r="O1281" s="10">
        <v>17487</v>
      </c>
      <c r="P1281" s="10">
        <v>86109</v>
      </c>
    </row>
    <row r="1282" spans="1:16" ht="27" customHeight="1" x14ac:dyDescent="0.2">
      <c r="A1282" s="9" t="s">
        <v>4506</v>
      </c>
      <c r="B1282" s="10" t="s">
        <v>4686</v>
      </c>
      <c r="C1282" s="11" t="s">
        <v>4697</v>
      </c>
      <c r="D1282" s="11" t="s">
        <v>4698</v>
      </c>
      <c r="E1282" s="11" t="s">
        <v>57</v>
      </c>
      <c r="F1282" s="11" t="s">
        <v>4699</v>
      </c>
      <c r="G1282" s="11" t="s">
        <v>28</v>
      </c>
      <c r="H1282" s="11" t="s">
        <v>4509</v>
      </c>
      <c r="I1282" s="11" t="s">
        <v>4510</v>
      </c>
      <c r="J1282" s="12">
        <v>0.96040000000000003</v>
      </c>
      <c r="K1282" s="13">
        <v>1</v>
      </c>
      <c r="L1282" s="14">
        <v>513</v>
      </c>
      <c r="M1282" s="10">
        <v>196</v>
      </c>
      <c r="N1282" s="10">
        <v>56687</v>
      </c>
      <c r="O1282" s="10">
        <v>15370</v>
      </c>
      <c r="P1282" s="10">
        <v>72057</v>
      </c>
    </row>
    <row r="1283" spans="1:16" ht="27" customHeight="1" x14ac:dyDescent="0.2">
      <c r="A1283" s="9" t="s">
        <v>4506</v>
      </c>
      <c r="B1283" s="10" t="s">
        <v>4686</v>
      </c>
      <c r="C1283" s="11" t="s">
        <v>4700</v>
      </c>
      <c r="D1283" s="11" t="s">
        <v>4701</v>
      </c>
      <c r="E1283" s="11" t="s">
        <v>57</v>
      </c>
      <c r="F1283" s="11" t="s">
        <v>4702</v>
      </c>
      <c r="G1283" s="11" t="s">
        <v>28</v>
      </c>
      <c r="H1283" s="11" t="s">
        <v>4702</v>
      </c>
      <c r="I1283" s="11" t="s">
        <v>4703</v>
      </c>
      <c r="J1283" s="12">
        <v>0.44429999999999997</v>
      </c>
      <c r="K1283" s="13">
        <v>1</v>
      </c>
      <c r="L1283" s="14">
        <v>754</v>
      </c>
      <c r="M1283" s="10">
        <v>335</v>
      </c>
      <c r="N1283" s="10">
        <v>83318</v>
      </c>
      <c r="O1283" s="10">
        <v>26270</v>
      </c>
      <c r="P1283" s="10">
        <v>109588</v>
      </c>
    </row>
    <row r="1284" spans="1:16" ht="27" customHeight="1" x14ac:dyDescent="0.2">
      <c r="A1284" s="9" t="s">
        <v>4506</v>
      </c>
      <c r="B1284" s="10" t="s">
        <v>4686</v>
      </c>
      <c r="C1284" s="11" t="s">
        <v>4704</v>
      </c>
      <c r="D1284" s="11" t="s">
        <v>4705</v>
      </c>
      <c r="E1284" s="11" t="s">
        <v>57</v>
      </c>
      <c r="F1284" s="11" t="s">
        <v>4706</v>
      </c>
      <c r="G1284" s="11" t="s">
        <v>28</v>
      </c>
      <c r="H1284" s="11" t="s">
        <v>4706</v>
      </c>
      <c r="I1284" s="11" t="s">
        <v>4707</v>
      </c>
      <c r="J1284" s="12">
        <v>0.32269999999999999</v>
      </c>
      <c r="K1284" s="13">
        <v>1</v>
      </c>
      <c r="L1284" s="14">
        <v>440</v>
      </c>
      <c r="M1284" s="10">
        <v>142</v>
      </c>
      <c r="N1284" s="10">
        <v>48621</v>
      </c>
      <c r="O1284" s="10">
        <v>11135</v>
      </c>
      <c r="P1284" s="10">
        <v>59756</v>
      </c>
    </row>
    <row r="1285" spans="1:16" ht="27" customHeight="1" x14ac:dyDescent="0.2">
      <c r="A1285" s="9" t="s">
        <v>4506</v>
      </c>
      <c r="B1285" s="10" t="s">
        <v>4686</v>
      </c>
      <c r="C1285" s="11" t="s">
        <v>4708</v>
      </c>
      <c r="D1285" s="11" t="s">
        <v>4709</v>
      </c>
      <c r="E1285" s="11" t="s">
        <v>26</v>
      </c>
      <c r="F1285" s="11" t="s">
        <v>4710</v>
      </c>
      <c r="G1285" s="11" t="s">
        <v>28</v>
      </c>
      <c r="H1285" s="11" t="s">
        <v>4710</v>
      </c>
      <c r="I1285" s="11" t="s">
        <v>4711</v>
      </c>
      <c r="J1285" s="12">
        <v>0.21510000000000001</v>
      </c>
      <c r="K1285" s="13">
        <v>1</v>
      </c>
      <c r="L1285" s="14">
        <v>1869</v>
      </c>
      <c r="M1285" s="10">
        <v>402</v>
      </c>
      <c r="N1285" s="10">
        <v>206528</v>
      </c>
      <c r="O1285" s="10">
        <v>31524</v>
      </c>
      <c r="P1285" s="10">
        <v>238052</v>
      </c>
    </row>
    <row r="1286" spans="1:16" ht="27" customHeight="1" x14ac:dyDescent="0.2">
      <c r="A1286" s="9" t="s">
        <v>4506</v>
      </c>
      <c r="B1286" s="10" t="s">
        <v>4712</v>
      </c>
      <c r="C1286" s="11" t="s">
        <v>18</v>
      </c>
      <c r="D1286" s="11" t="s">
        <v>19</v>
      </c>
      <c r="E1286" s="11" t="s">
        <v>19</v>
      </c>
      <c r="F1286" s="11" t="s">
        <v>4713</v>
      </c>
      <c r="G1286" s="11" t="s">
        <v>83</v>
      </c>
      <c r="H1286" s="11" t="s">
        <v>3051</v>
      </c>
      <c r="I1286" s="11" t="s">
        <v>4714</v>
      </c>
      <c r="J1286" s="12">
        <v>0.95330000000000004</v>
      </c>
      <c r="K1286" s="13">
        <v>41</v>
      </c>
      <c r="L1286" s="14">
        <v>22497</v>
      </c>
      <c r="M1286" s="10">
        <v>19910</v>
      </c>
      <c r="N1286" s="10">
        <v>2485958</v>
      </c>
      <c r="O1286" s="10">
        <v>1561320</v>
      </c>
      <c r="P1286" s="10">
        <v>4047278</v>
      </c>
    </row>
    <row r="1287" spans="1:16" ht="27" customHeight="1" x14ac:dyDescent="0.2">
      <c r="A1287" s="9" t="s">
        <v>4506</v>
      </c>
      <c r="B1287" s="10" t="s">
        <v>4712</v>
      </c>
      <c r="C1287" s="11" t="s">
        <v>4715</v>
      </c>
      <c r="D1287" s="11" t="s">
        <v>4716</v>
      </c>
      <c r="E1287" s="11" t="s">
        <v>26</v>
      </c>
      <c r="F1287" s="11" t="s">
        <v>4717</v>
      </c>
      <c r="G1287" s="11" t="s">
        <v>28</v>
      </c>
      <c r="H1287" s="11" t="s">
        <v>4717</v>
      </c>
      <c r="I1287" s="11" t="s">
        <v>4718</v>
      </c>
      <c r="J1287" s="12">
        <v>0.82499999999999996</v>
      </c>
      <c r="K1287" s="13">
        <v>1</v>
      </c>
      <c r="L1287" s="14">
        <v>1714</v>
      </c>
      <c r="M1287" s="10">
        <v>1414</v>
      </c>
      <c r="N1287" s="10">
        <v>189400</v>
      </c>
      <c r="O1287" s="10">
        <v>110884</v>
      </c>
      <c r="P1287" s="10">
        <v>300284</v>
      </c>
    </row>
    <row r="1288" spans="1:16" ht="27" customHeight="1" x14ac:dyDescent="0.2">
      <c r="A1288" s="9" t="s">
        <v>4506</v>
      </c>
      <c r="B1288" s="10" t="s">
        <v>4712</v>
      </c>
      <c r="C1288" s="11" t="s">
        <v>4719</v>
      </c>
      <c r="D1288" s="11" t="s">
        <v>4720</v>
      </c>
      <c r="E1288" s="11" t="s">
        <v>26</v>
      </c>
      <c r="F1288" s="11" t="s">
        <v>4721</v>
      </c>
      <c r="G1288" s="11" t="s">
        <v>28</v>
      </c>
      <c r="H1288" s="11" t="s">
        <v>4509</v>
      </c>
      <c r="I1288" s="11" t="s">
        <v>4510</v>
      </c>
      <c r="J1288" s="12">
        <v>0.96040000000000003</v>
      </c>
      <c r="K1288" s="13">
        <v>1</v>
      </c>
      <c r="L1288" s="14">
        <v>459</v>
      </c>
      <c r="M1288" s="10">
        <v>422</v>
      </c>
      <c r="N1288" s="10">
        <v>50720</v>
      </c>
      <c r="O1288" s="10">
        <v>33093</v>
      </c>
      <c r="P1288" s="10">
        <v>83813</v>
      </c>
    </row>
    <row r="1289" spans="1:16" ht="27" customHeight="1" x14ac:dyDescent="0.2">
      <c r="A1289" s="9" t="s">
        <v>4506</v>
      </c>
      <c r="B1289" s="10" t="s">
        <v>4712</v>
      </c>
      <c r="C1289" s="11" t="s">
        <v>4722</v>
      </c>
      <c r="D1289" s="11" t="s">
        <v>4723</v>
      </c>
      <c r="E1289" s="11" t="s">
        <v>26</v>
      </c>
      <c r="F1289" s="11" t="s">
        <v>4724</v>
      </c>
      <c r="G1289" s="11" t="s">
        <v>28</v>
      </c>
      <c r="H1289" s="11" t="s">
        <v>4724</v>
      </c>
      <c r="I1289" s="11" t="s">
        <v>4725</v>
      </c>
      <c r="J1289" s="12">
        <v>0.4647</v>
      </c>
      <c r="K1289" s="13">
        <v>1</v>
      </c>
      <c r="L1289" s="14">
        <v>1106</v>
      </c>
      <c r="M1289" s="10">
        <v>514</v>
      </c>
      <c r="N1289" s="10">
        <v>122215</v>
      </c>
      <c r="O1289" s="10">
        <v>40307</v>
      </c>
      <c r="P1289" s="10">
        <v>162522</v>
      </c>
    </row>
    <row r="1290" spans="1:16" ht="27" customHeight="1" x14ac:dyDescent="0.2">
      <c r="A1290" s="9" t="s">
        <v>4506</v>
      </c>
      <c r="B1290" s="10" t="s">
        <v>4712</v>
      </c>
      <c r="C1290" s="11" t="s">
        <v>4726</v>
      </c>
      <c r="D1290" s="11" t="s">
        <v>4727</v>
      </c>
      <c r="E1290" s="11" t="s">
        <v>57</v>
      </c>
      <c r="F1290" s="11" t="s">
        <v>4728</v>
      </c>
      <c r="G1290" s="11" t="s">
        <v>28</v>
      </c>
      <c r="H1290" s="11" t="s">
        <v>4728</v>
      </c>
      <c r="I1290" s="11" t="s">
        <v>4729</v>
      </c>
      <c r="J1290" s="12">
        <v>0.75980000000000003</v>
      </c>
      <c r="K1290" s="13">
        <v>1</v>
      </c>
      <c r="L1290" s="14">
        <v>691</v>
      </c>
      <c r="M1290" s="10">
        <v>525</v>
      </c>
      <c r="N1290" s="10">
        <v>76357</v>
      </c>
      <c r="O1290" s="10">
        <v>41170</v>
      </c>
      <c r="P1290" s="10">
        <v>117527</v>
      </c>
    </row>
    <row r="1291" spans="1:16" ht="27" customHeight="1" x14ac:dyDescent="0.2">
      <c r="A1291" s="9" t="s">
        <v>4506</v>
      </c>
      <c r="B1291" s="10" t="s">
        <v>4712</v>
      </c>
      <c r="C1291" s="11" t="s">
        <v>4730</v>
      </c>
      <c r="D1291" s="11" t="s">
        <v>4731</v>
      </c>
      <c r="E1291" s="11" t="s">
        <v>26</v>
      </c>
      <c r="F1291" s="11" t="s">
        <v>4732</v>
      </c>
      <c r="G1291" s="11" t="s">
        <v>28</v>
      </c>
      <c r="H1291" s="11" t="s">
        <v>4732</v>
      </c>
      <c r="I1291" s="11" t="s">
        <v>4733</v>
      </c>
      <c r="J1291" s="12">
        <v>0.82840000000000003</v>
      </c>
      <c r="K1291" s="13">
        <v>1</v>
      </c>
      <c r="L1291" s="14">
        <v>606</v>
      </c>
      <c r="M1291" s="10">
        <v>502</v>
      </c>
      <c r="N1291" s="10">
        <v>66964</v>
      </c>
      <c r="O1291" s="10">
        <v>39366</v>
      </c>
      <c r="P1291" s="10">
        <v>106330</v>
      </c>
    </row>
    <row r="1292" spans="1:16" ht="27" customHeight="1" x14ac:dyDescent="0.2">
      <c r="A1292" s="9" t="s">
        <v>4506</v>
      </c>
      <c r="B1292" s="10" t="s">
        <v>4712</v>
      </c>
      <c r="C1292" s="11" t="s">
        <v>4734</v>
      </c>
      <c r="D1292" s="11" t="s">
        <v>4735</v>
      </c>
      <c r="E1292" s="11" t="s">
        <v>26</v>
      </c>
      <c r="F1292" s="11" t="s">
        <v>4736</v>
      </c>
      <c r="G1292" s="11" t="s">
        <v>28</v>
      </c>
      <c r="H1292" s="11" t="s">
        <v>4736</v>
      </c>
      <c r="I1292" s="11" t="s">
        <v>4737</v>
      </c>
      <c r="J1292" s="12">
        <v>0.86119999999999997</v>
      </c>
      <c r="K1292" s="13">
        <v>1</v>
      </c>
      <c r="L1292" s="14">
        <v>533</v>
      </c>
      <c r="M1292" s="10">
        <v>459</v>
      </c>
      <c r="N1292" s="10">
        <v>58897</v>
      </c>
      <c r="O1292" s="10">
        <v>35994</v>
      </c>
      <c r="P1292" s="10">
        <v>94891</v>
      </c>
    </row>
    <row r="1293" spans="1:16" ht="27" customHeight="1" x14ac:dyDescent="0.2">
      <c r="A1293" s="9" t="s">
        <v>4506</v>
      </c>
      <c r="B1293" s="10" t="s">
        <v>4712</v>
      </c>
      <c r="C1293" s="11" t="s">
        <v>4738</v>
      </c>
      <c r="D1293" s="11" t="s">
        <v>4739</v>
      </c>
      <c r="E1293" s="11" t="s">
        <v>26</v>
      </c>
      <c r="F1293" s="11" t="s">
        <v>4740</v>
      </c>
      <c r="G1293" s="11" t="s">
        <v>28</v>
      </c>
      <c r="H1293" s="11" t="s">
        <v>4509</v>
      </c>
      <c r="I1293" s="11" t="s">
        <v>4510</v>
      </c>
      <c r="J1293" s="12">
        <v>0.96040000000000003</v>
      </c>
      <c r="K1293" s="13">
        <v>1</v>
      </c>
      <c r="L1293" s="14">
        <v>176</v>
      </c>
      <c r="M1293" s="10">
        <v>142</v>
      </c>
      <c r="N1293" s="10">
        <v>19448</v>
      </c>
      <c r="O1293" s="10">
        <v>11135</v>
      </c>
      <c r="P1293" s="10">
        <v>30583</v>
      </c>
    </row>
    <row r="1294" spans="1:16" ht="27" customHeight="1" x14ac:dyDescent="0.2">
      <c r="A1294" s="9" t="s">
        <v>4506</v>
      </c>
      <c r="B1294" s="10" t="s">
        <v>4712</v>
      </c>
      <c r="C1294" s="11" t="s">
        <v>4741</v>
      </c>
      <c r="D1294" s="11" t="s">
        <v>4742</v>
      </c>
      <c r="E1294" s="11" t="s">
        <v>26</v>
      </c>
      <c r="F1294" s="11" t="s">
        <v>4743</v>
      </c>
      <c r="G1294" s="11" t="s">
        <v>28</v>
      </c>
      <c r="H1294" s="11" t="s">
        <v>4743</v>
      </c>
      <c r="I1294" s="11" t="s">
        <v>4744</v>
      </c>
      <c r="J1294" s="12">
        <v>0.85489999999999999</v>
      </c>
      <c r="K1294" s="13">
        <v>1</v>
      </c>
      <c r="L1294" s="14">
        <v>6749</v>
      </c>
      <c r="M1294" s="10">
        <v>5770</v>
      </c>
      <c r="N1294" s="10">
        <v>745776</v>
      </c>
      <c r="O1294" s="10">
        <v>452477</v>
      </c>
      <c r="P1294" s="10">
        <v>1198253</v>
      </c>
    </row>
    <row r="1295" spans="1:16" ht="27" customHeight="1" x14ac:dyDescent="0.2">
      <c r="A1295" s="9" t="s">
        <v>4506</v>
      </c>
      <c r="B1295" s="10" t="s">
        <v>4712</v>
      </c>
      <c r="C1295" s="11" t="s">
        <v>4745</v>
      </c>
      <c r="D1295" s="11" t="s">
        <v>4746</v>
      </c>
      <c r="E1295" s="11" t="s">
        <v>26</v>
      </c>
      <c r="F1295" s="11" t="s">
        <v>4747</v>
      </c>
      <c r="G1295" s="11" t="s">
        <v>28</v>
      </c>
      <c r="H1295" s="11" t="s">
        <v>4747</v>
      </c>
      <c r="I1295" s="11" t="s">
        <v>4748</v>
      </c>
      <c r="J1295" s="12">
        <v>0.84740000000000004</v>
      </c>
      <c r="K1295" s="13">
        <v>1</v>
      </c>
      <c r="L1295" s="14">
        <v>2202</v>
      </c>
      <c r="M1295" s="10">
        <v>1866</v>
      </c>
      <c r="N1295" s="10">
        <v>243325</v>
      </c>
      <c r="O1295" s="10">
        <v>146330</v>
      </c>
      <c r="P1295" s="10">
        <v>389655</v>
      </c>
    </row>
    <row r="1296" spans="1:16" ht="27" customHeight="1" x14ac:dyDescent="0.2">
      <c r="A1296" s="9" t="s">
        <v>4506</v>
      </c>
      <c r="B1296" s="10" t="s">
        <v>4712</v>
      </c>
      <c r="C1296" s="11" t="s">
        <v>4749</v>
      </c>
      <c r="D1296" s="11" t="s">
        <v>4750</v>
      </c>
      <c r="E1296" s="11" t="s">
        <v>57</v>
      </c>
      <c r="F1296" s="11" t="s">
        <v>4751</v>
      </c>
      <c r="G1296" s="11" t="s">
        <v>28</v>
      </c>
      <c r="H1296" s="11" t="s">
        <v>4751</v>
      </c>
      <c r="I1296" s="11" t="s">
        <v>4752</v>
      </c>
      <c r="J1296" s="12">
        <v>0.90339999999999998</v>
      </c>
      <c r="K1296" s="13">
        <v>1</v>
      </c>
      <c r="L1296" s="14">
        <v>1077</v>
      </c>
      <c r="M1296" s="10">
        <v>973</v>
      </c>
      <c r="N1296" s="10">
        <v>119010</v>
      </c>
      <c r="O1296" s="10">
        <v>76302</v>
      </c>
      <c r="P1296" s="10">
        <v>195312</v>
      </c>
    </row>
    <row r="1297" spans="1:16" ht="27" customHeight="1" x14ac:dyDescent="0.2">
      <c r="A1297" s="9" t="s">
        <v>4506</v>
      </c>
      <c r="B1297" s="10" t="s">
        <v>4712</v>
      </c>
      <c r="C1297" s="11" t="s">
        <v>4753</v>
      </c>
      <c r="D1297" s="11" t="s">
        <v>4754</v>
      </c>
      <c r="E1297" s="11" t="s">
        <v>57</v>
      </c>
      <c r="F1297" s="11" t="s">
        <v>4755</v>
      </c>
      <c r="G1297" s="11" t="s">
        <v>28</v>
      </c>
      <c r="H1297" s="11" t="s">
        <v>4509</v>
      </c>
      <c r="I1297" s="11" t="s">
        <v>4510</v>
      </c>
      <c r="J1297" s="12">
        <v>0.96040000000000003</v>
      </c>
      <c r="K1297" s="13">
        <v>1</v>
      </c>
      <c r="L1297" s="14">
        <v>392</v>
      </c>
      <c r="M1297" s="10">
        <v>294</v>
      </c>
      <c r="N1297" s="10">
        <v>43317</v>
      </c>
      <c r="O1297" s="10">
        <v>23055</v>
      </c>
      <c r="P1297" s="10">
        <v>66372</v>
      </c>
    </row>
    <row r="1298" spans="1:16" ht="27" customHeight="1" x14ac:dyDescent="0.2">
      <c r="A1298" s="9" t="s">
        <v>4756</v>
      </c>
      <c r="B1298" s="10" t="s">
        <v>4757</v>
      </c>
      <c r="C1298" s="11" t="s">
        <v>18</v>
      </c>
      <c r="D1298" s="11" t="s">
        <v>19</v>
      </c>
      <c r="E1298" s="11" t="s">
        <v>19</v>
      </c>
      <c r="F1298" s="11" t="s">
        <v>4758</v>
      </c>
      <c r="G1298" s="11" t="s">
        <v>21</v>
      </c>
      <c r="H1298" s="11" t="s">
        <v>1482</v>
      </c>
      <c r="I1298" s="11" t="s">
        <v>4759</v>
      </c>
      <c r="J1298" s="12">
        <v>1</v>
      </c>
      <c r="K1298" s="13">
        <v>5</v>
      </c>
      <c r="L1298" s="14">
        <v>134</v>
      </c>
      <c r="M1298" s="10">
        <v>130</v>
      </c>
      <c r="N1298" s="10">
        <v>14808</v>
      </c>
      <c r="O1298" s="10">
        <v>10195</v>
      </c>
      <c r="P1298" s="10">
        <v>25003</v>
      </c>
    </row>
    <row r="1299" spans="1:16" ht="27" customHeight="1" x14ac:dyDescent="0.2">
      <c r="A1299" s="9" t="s">
        <v>4756</v>
      </c>
      <c r="B1299" s="10" t="s">
        <v>4760</v>
      </c>
      <c r="C1299" s="11" t="s">
        <v>18</v>
      </c>
      <c r="D1299" s="11" t="s">
        <v>19</v>
      </c>
      <c r="E1299" s="11" t="s">
        <v>19</v>
      </c>
      <c r="F1299" s="11" t="s">
        <v>4761</v>
      </c>
      <c r="G1299" s="11" t="s">
        <v>83</v>
      </c>
      <c r="H1299" s="11" t="s">
        <v>4761</v>
      </c>
      <c r="I1299" s="11" t="s">
        <v>4762</v>
      </c>
      <c r="J1299" s="12">
        <v>0.36670000000000003</v>
      </c>
      <c r="K1299" s="13">
        <v>2</v>
      </c>
      <c r="L1299" s="14">
        <v>30</v>
      </c>
      <c r="M1299" s="10">
        <v>11</v>
      </c>
      <c r="N1299" s="10">
        <v>3315</v>
      </c>
      <c r="O1299" s="10">
        <v>863</v>
      </c>
      <c r="P1299" s="10">
        <v>4178</v>
      </c>
    </row>
    <row r="1300" spans="1:16" ht="27" customHeight="1" x14ac:dyDescent="0.2">
      <c r="A1300" s="9" t="s">
        <v>4756</v>
      </c>
      <c r="B1300" s="10" t="s">
        <v>4763</v>
      </c>
      <c r="C1300" s="11" t="s">
        <v>18</v>
      </c>
      <c r="D1300" s="11" t="s">
        <v>19</v>
      </c>
      <c r="E1300" s="11" t="s">
        <v>19</v>
      </c>
      <c r="F1300" s="11" t="s">
        <v>4764</v>
      </c>
      <c r="G1300" s="11" t="s">
        <v>83</v>
      </c>
      <c r="H1300" s="11" t="s">
        <v>4765</v>
      </c>
      <c r="I1300" s="11" t="s">
        <v>4766</v>
      </c>
      <c r="J1300" s="12">
        <v>0.52380000000000004</v>
      </c>
      <c r="K1300" s="13">
        <v>2</v>
      </c>
      <c r="L1300" s="14">
        <v>21</v>
      </c>
      <c r="M1300" s="10">
        <v>11</v>
      </c>
      <c r="N1300" s="10">
        <v>2321</v>
      </c>
      <c r="O1300" s="10">
        <v>863</v>
      </c>
      <c r="P1300" s="10">
        <v>3184</v>
      </c>
    </row>
    <row r="1301" spans="1:16" ht="27" customHeight="1" x14ac:dyDescent="0.2">
      <c r="A1301" s="9" t="s">
        <v>4756</v>
      </c>
      <c r="B1301" s="10" t="s">
        <v>4767</v>
      </c>
      <c r="C1301" s="11" t="s">
        <v>18</v>
      </c>
      <c r="D1301" s="11" t="s">
        <v>19</v>
      </c>
      <c r="E1301" s="11" t="s">
        <v>19</v>
      </c>
      <c r="F1301" s="11" t="s">
        <v>4768</v>
      </c>
      <c r="G1301" s="11" t="s">
        <v>83</v>
      </c>
      <c r="H1301" s="11" t="s">
        <v>4769</v>
      </c>
      <c r="I1301" s="11" t="s">
        <v>4770</v>
      </c>
      <c r="J1301" s="12">
        <v>0.73519999999999996</v>
      </c>
      <c r="K1301" s="13">
        <v>11</v>
      </c>
      <c r="L1301" s="14">
        <v>5670</v>
      </c>
      <c r="M1301" s="10">
        <v>2970</v>
      </c>
      <c r="N1301" s="10">
        <v>626543</v>
      </c>
      <c r="O1301" s="10">
        <v>232904</v>
      </c>
      <c r="P1301" s="10">
        <v>859447</v>
      </c>
    </row>
    <row r="1302" spans="1:16" ht="27" customHeight="1" x14ac:dyDescent="0.2">
      <c r="A1302" s="9" t="s">
        <v>4756</v>
      </c>
      <c r="B1302" s="10" t="s">
        <v>4767</v>
      </c>
      <c r="C1302" s="11" t="s">
        <v>4771</v>
      </c>
      <c r="D1302" s="11" t="s">
        <v>4772</v>
      </c>
      <c r="E1302" s="11" t="s">
        <v>26</v>
      </c>
      <c r="F1302" s="11" t="s">
        <v>4773</v>
      </c>
      <c r="G1302" s="11" t="s">
        <v>28</v>
      </c>
      <c r="H1302" s="11" t="s">
        <v>4773</v>
      </c>
      <c r="I1302" s="11" t="s">
        <v>4774</v>
      </c>
      <c r="J1302" s="12">
        <v>0.50090000000000001</v>
      </c>
      <c r="K1302" s="13">
        <v>1</v>
      </c>
      <c r="L1302" s="14">
        <v>539</v>
      </c>
      <c r="M1302" s="10">
        <v>270</v>
      </c>
      <c r="N1302" s="10">
        <v>59560</v>
      </c>
      <c r="O1302" s="10">
        <v>21173</v>
      </c>
      <c r="P1302" s="10">
        <v>80733</v>
      </c>
    </row>
    <row r="1303" spans="1:16" ht="27" customHeight="1" x14ac:dyDescent="0.2">
      <c r="A1303" s="9" t="s">
        <v>4756</v>
      </c>
      <c r="B1303" s="10" t="s">
        <v>4775</v>
      </c>
      <c r="C1303" s="11" t="s">
        <v>18</v>
      </c>
      <c r="D1303" s="11" t="s">
        <v>19</v>
      </c>
      <c r="E1303" s="11" t="s">
        <v>19</v>
      </c>
      <c r="F1303" s="11" t="s">
        <v>1482</v>
      </c>
      <c r="G1303" s="11" t="s">
        <v>83</v>
      </c>
      <c r="H1303" s="11" t="s">
        <v>1482</v>
      </c>
      <c r="I1303" s="11" t="s">
        <v>4759</v>
      </c>
      <c r="J1303" s="12">
        <v>1</v>
      </c>
      <c r="K1303" s="13">
        <v>2</v>
      </c>
      <c r="L1303" s="14">
        <v>3</v>
      </c>
      <c r="M1303" s="10">
        <v>3</v>
      </c>
      <c r="N1303" s="10">
        <v>332</v>
      </c>
      <c r="O1303" s="10">
        <v>235</v>
      </c>
      <c r="P1303" s="10">
        <v>567</v>
      </c>
    </row>
    <row r="1304" spans="1:16" ht="27" customHeight="1" x14ac:dyDescent="0.2">
      <c r="A1304" s="9" t="s">
        <v>4756</v>
      </c>
      <c r="B1304" s="10" t="s">
        <v>4776</v>
      </c>
      <c r="C1304" s="11" t="s">
        <v>18</v>
      </c>
      <c r="D1304" s="11" t="s">
        <v>19</v>
      </c>
      <c r="E1304" s="11" t="s">
        <v>19</v>
      </c>
      <c r="F1304" s="11" t="s">
        <v>4777</v>
      </c>
      <c r="G1304" s="11" t="s">
        <v>83</v>
      </c>
      <c r="H1304" s="11" t="s">
        <v>4778</v>
      </c>
      <c r="I1304" s="11" t="s">
        <v>4779</v>
      </c>
      <c r="J1304" s="12">
        <v>0.39700000000000002</v>
      </c>
      <c r="K1304" s="13">
        <v>2</v>
      </c>
      <c r="L1304" s="14">
        <v>743</v>
      </c>
      <c r="M1304" s="10">
        <v>295</v>
      </c>
      <c r="N1304" s="10">
        <v>82103</v>
      </c>
      <c r="O1304" s="10">
        <v>23134</v>
      </c>
      <c r="P1304" s="10">
        <v>105237</v>
      </c>
    </row>
    <row r="1305" spans="1:16" ht="27" customHeight="1" x14ac:dyDescent="0.2">
      <c r="A1305" s="9" t="s">
        <v>4756</v>
      </c>
      <c r="B1305" s="10" t="s">
        <v>4780</v>
      </c>
      <c r="C1305" s="11" t="s">
        <v>18</v>
      </c>
      <c r="D1305" s="11" t="s">
        <v>19</v>
      </c>
      <c r="E1305" s="11" t="s">
        <v>19</v>
      </c>
      <c r="F1305" s="11" t="s">
        <v>4781</v>
      </c>
      <c r="G1305" s="11" t="s">
        <v>83</v>
      </c>
      <c r="H1305" s="11" t="s">
        <v>4781</v>
      </c>
      <c r="I1305" s="11" t="s">
        <v>4782</v>
      </c>
      <c r="J1305" s="12">
        <v>0.75</v>
      </c>
      <c r="K1305" s="13">
        <v>2</v>
      </c>
      <c r="L1305" s="14">
        <v>8</v>
      </c>
      <c r="M1305" s="10">
        <v>6</v>
      </c>
      <c r="N1305" s="10">
        <v>884</v>
      </c>
      <c r="O1305" s="10">
        <v>471</v>
      </c>
      <c r="P1305" s="10">
        <v>1355</v>
      </c>
    </row>
    <row r="1306" spans="1:16" ht="27" customHeight="1" x14ac:dyDescent="0.2">
      <c r="A1306" s="9" t="s">
        <v>4756</v>
      </c>
      <c r="B1306" s="10" t="s">
        <v>4783</v>
      </c>
      <c r="C1306" s="11" t="s">
        <v>18</v>
      </c>
      <c r="D1306" s="11" t="s">
        <v>19</v>
      </c>
      <c r="E1306" s="11" t="s">
        <v>19</v>
      </c>
      <c r="F1306" s="11" t="s">
        <v>4784</v>
      </c>
      <c r="G1306" s="11" t="s">
        <v>83</v>
      </c>
      <c r="H1306" s="11" t="s">
        <v>1482</v>
      </c>
      <c r="I1306" s="11" t="s">
        <v>4759</v>
      </c>
      <c r="J1306" s="12">
        <v>1</v>
      </c>
      <c r="K1306" s="13">
        <v>3</v>
      </c>
      <c r="L1306" s="14">
        <v>3556</v>
      </c>
      <c r="M1306" s="10">
        <v>1604</v>
      </c>
      <c r="N1306" s="10">
        <v>392944</v>
      </c>
      <c r="O1306" s="10">
        <v>125784</v>
      </c>
      <c r="P1306" s="10">
        <v>518728</v>
      </c>
    </row>
    <row r="1307" spans="1:16" ht="27" customHeight="1" x14ac:dyDescent="0.2">
      <c r="A1307" s="9" t="s">
        <v>4756</v>
      </c>
      <c r="B1307" s="10" t="s">
        <v>4785</v>
      </c>
      <c r="C1307" s="11" t="s">
        <v>18</v>
      </c>
      <c r="D1307" s="11" t="s">
        <v>19</v>
      </c>
      <c r="E1307" s="11" t="s">
        <v>19</v>
      </c>
      <c r="F1307" s="11" t="s">
        <v>4786</v>
      </c>
      <c r="G1307" s="11" t="s">
        <v>83</v>
      </c>
      <c r="H1307" s="11" t="s">
        <v>4786</v>
      </c>
      <c r="I1307" s="11" t="s">
        <v>4787</v>
      </c>
      <c r="J1307" s="12">
        <v>0.42059999999999997</v>
      </c>
      <c r="K1307" s="13">
        <v>2</v>
      </c>
      <c r="L1307" s="14">
        <v>233</v>
      </c>
      <c r="M1307" s="10">
        <v>98</v>
      </c>
      <c r="N1307" s="10">
        <v>25747</v>
      </c>
      <c r="O1307" s="10">
        <v>7685</v>
      </c>
      <c r="P1307" s="10">
        <v>33432</v>
      </c>
    </row>
    <row r="1308" spans="1:16" ht="27" customHeight="1" x14ac:dyDescent="0.2">
      <c r="A1308" s="9" t="s">
        <v>4756</v>
      </c>
      <c r="B1308" s="10" t="s">
        <v>4788</v>
      </c>
      <c r="C1308" s="11" t="s">
        <v>18</v>
      </c>
      <c r="D1308" s="11" t="s">
        <v>19</v>
      </c>
      <c r="E1308" s="11" t="s">
        <v>19</v>
      </c>
      <c r="F1308" s="11" t="s">
        <v>4789</v>
      </c>
      <c r="G1308" s="11" t="s">
        <v>83</v>
      </c>
      <c r="H1308" s="11" t="s">
        <v>4790</v>
      </c>
      <c r="I1308" s="11" t="s">
        <v>4791</v>
      </c>
      <c r="J1308" s="12">
        <v>0.54900000000000004</v>
      </c>
      <c r="K1308" s="13">
        <v>2</v>
      </c>
      <c r="L1308" s="14">
        <v>51</v>
      </c>
      <c r="M1308" s="10">
        <v>28</v>
      </c>
      <c r="N1308" s="10">
        <v>5636</v>
      </c>
      <c r="O1308" s="10">
        <v>2196</v>
      </c>
      <c r="P1308" s="10">
        <v>7832</v>
      </c>
    </row>
    <row r="1309" spans="1:16" ht="27" customHeight="1" x14ac:dyDescent="0.2">
      <c r="A1309" s="9" t="s">
        <v>4756</v>
      </c>
      <c r="B1309" s="10" t="s">
        <v>4792</v>
      </c>
      <c r="C1309" s="11" t="s">
        <v>18</v>
      </c>
      <c r="D1309" s="11" t="s">
        <v>19</v>
      </c>
      <c r="E1309" s="11" t="s">
        <v>19</v>
      </c>
      <c r="F1309" s="11" t="s">
        <v>4793</v>
      </c>
      <c r="G1309" s="11" t="s">
        <v>83</v>
      </c>
      <c r="H1309" s="11" t="s">
        <v>4794</v>
      </c>
      <c r="I1309" s="11" t="s">
        <v>4795</v>
      </c>
      <c r="J1309" s="12">
        <v>0.85</v>
      </c>
      <c r="K1309" s="13">
        <v>2</v>
      </c>
      <c r="L1309" s="14">
        <v>20</v>
      </c>
      <c r="M1309" s="10">
        <v>17</v>
      </c>
      <c r="N1309" s="10">
        <v>2210</v>
      </c>
      <c r="O1309" s="10">
        <v>1333</v>
      </c>
      <c r="P1309" s="10">
        <v>3543</v>
      </c>
    </row>
    <row r="1310" spans="1:16" ht="27" customHeight="1" x14ac:dyDescent="0.2">
      <c r="A1310" s="9" t="s">
        <v>4756</v>
      </c>
      <c r="B1310" s="10" t="s">
        <v>4796</v>
      </c>
      <c r="C1310" s="11" t="s">
        <v>18</v>
      </c>
      <c r="D1310" s="11" t="s">
        <v>19</v>
      </c>
      <c r="E1310" s="11" t="s">
        <v>19</v>
      </c>
      <c r="F1310" s="11" t="s">
        <v>4797</v>
      </c>
      <c r="G1310" s="11" t="s">
        <v>83</v>
      </c>
      <c r="H1310" s="11" t="s">
        <v>4798</v>
      </c>
      <c r="I1310" s="11" t="s">
        <v>4799</v>
      </c>
      <c r="J1310" s="12">
        <v>0.48060000000000003</v>
      </c>
      <c r="K1310" s="13">
        <v>4</v>
      </c>
      <c r="L1310" s="14">
        <v>1032</v>
      </c>
      <c r="M1310" s="10">
        <v>503</v>
      </c>
      <c r="N1310" s="10">
        <v>114037</v>
      </c>
      <c r="O1310" s="10">
        <v>39444</v>
      </c>
      <c r="P1310" s="10">
        <v>153481</v>
      </c>
    </row>
    <row r="1311" spans="1:16" ht="27" customHeight="1" x14ac:dyDescent="0.2">
      <c r="A1311" s="9" t="s">
        <v>4800</v>
      </c>
      <c r="B1311" s="10" t="s">
        <v>4801</v>
      </c>
      <c r="C1311" s="11" t="s">
        <v>18</v>
      </c>
      <c r="D1311" s="11" t="s">
        <v>19</v>
      </c>
      <c r="E1311" s="11" t="s">
        <v>19</v>
      </c>
      <c r="F1311" s="11" t="s">
        <v>4802</v>
      </c>
      <c r="G1311" s="11" t="s">
        <v>21</v>
      </c>
      <c r="H1311" s="11" t="s">
        <v>4803</v>
      </c>
      <c r="I1311" s="11" t="s">
        <v>4804</v>
      </c>
      <c r="J1311" s="12">
        <v>0.98809999999999998</v>
      </c>
      <c r="K1311" s="13">
        <v>4</v>
      </c>
      <c r="L1311" s="14">
        <v>4054</v>
      </c>
      <c r="M1311" s="10">
        <v>3635</v>
      </c>
      <c r="N1311" s="10">
        <v>447974</v>
      </c>
      <c r="O1311" s="10">
        <v>285053</v>
      </c>
      <c r="P1311" s="10">
        <v>733027</v>
      </c>
    </row>
    <row r="1312" spans="1:16" ht="27" customHeight="1" x14ac:dyDescent="0.2">
      <c r="A1312" s="9" t="s">
        <v>4800</v>
      </c>
      <c r="B1312" s="10" t="s">
        <v>4801</v>
      </c>
      <c r="C1312" s="11" t="s">
        <v>4805</v>
      </c>
      <c r="D1312" s="11" t="s">
        <v>4806</v>
      </c>
      <c r="E1312" s="11" t="s">
        <v>26</v>
      </c>
      <c r="F1312" s="11" t="s">
        <v>4807</v>
      </c>
      <c r="G1312" s="11" t="s">
        <v>28</v>
      </c>
      <c r="H1312" s="11" t="s">
        <v>4807</v>
      </c>
      <c r="I1312" s="11" t="s">
        <v>4808</v>
      </c>
      <c r="J1312" s="12">
        <v>0.77400000000000002</v>
      </c>
      <c r="K1312" s="13">
        <v>1</v>
      </c>
      <c r="L1312" s="14">
        <v>1106</v>
      </c>
      <c r="M1312" s="10">
        <v>856</v>
      </c>
      <c r="N1312" s="10">
        <v>122215</v>
      </c>
      <c r="O1312" s="10">
        <v>67127</v>
      </c>
      <c r="P1312" s="10">
        <v>189342</v>
      </c>
    </row>
    <row r="1313" spans="1:16" ht="27" customHeight="1" x14ac:dyDescent="0.2">
      <c r="A1313" s="9" t="s">
        <v>4800</v>
      </c>
      <c r="B1313" s="10" t="s">
        <v>4801</v>
      </c>
      <c r="C1313" s="11" t="s">
        <v>4809</v>
      </c>
      <c r="D1313" s="11" t="s">
        <v>4810</v>
      </c>
      <c r="E1313" s="11" t="s">
        <v>26</v>
      </c>
      <c r="F1313" s="11" t="s">
        <v>4811</v>
      </c>
      <c r="G1313" s="11" t="s">
        <v>28</v>
      </c>
      <c r="H1313" s="11" t="s">
        <v>4811</v>
      </c>
      <c r="I1313" s="11" t="s">
        <v>4812</v>
      </c>
      <c r="J1313" s="12">
        <v>0.40839999999999999</v>
      </c>
      <c r="K1313" s="13">
        <v>1</v>
      </c>
      <c r="L1313" s="14">
        <v>311</v>
      </c>
      <c r="M1313" s="10">
        <v>127</v>
      </c>
      <c r="N1313" s="10">
        <v>34366</v>
      </c>
      <c r="O1313" s="10">
        <v>9959</v>
      </c>
      <c r="P1313" s="10">
        <v>44325</v>
      </c>
    </row>
    <row r="1314" spans="1:16" ht="27" customHeight="1" x14ac:dyDescent="0.2">
      <c r="A1314" s="9" t="s">
        <v>4800</v>
      </c>
      <c r="B1314" s="10" t="s">
        <v>4801</v>
      </c>
      <c r="C1314" s="11" t="s">
        <v>4813</v>
      </c>
      <c r="D1314" s="11" t="s">
        <v>4814</v>
      </c>
      <c r="E1314" s="11" t="s">
        <v>26</v>
      </c>
      <c r="F1314" s="11" t="s">
        <v>4815</v>
      </c>
      <c r="G1314" s="11" t="s">
        <v>28</v>
      </c>
      <c r="H1314" s="11" t="s">
        <v>4803</v>
      </c>
      <c r="I1314" s="11" t="s">
        <v>4804</v>
      </c>
      <c r="J1314" s="12">
        <v>0.98809999999999998</v>
      </c>
      <c r="K1314" s="13">
        <v>1</v>
      </c>
      <c r="L1314" s="14">
        <v>286</v>
      </c>
      <c r="M1314" s="10">
        <v>213</v>
      </c>
      <c r="N1314" s="10">
        <v>31603</v>
      </c>
      <c r="O1314" s="10">
        <v>16703</v>
      </c>
      <c r="P1314" s="10">
        <v>48306</v>
      </c>
    </row>
    <row r="1315" spans="1:16" ht="27" customHeight="1" x14ac:dyDescent="0.2">
      <c r="A1315" s="9" t="s">
        <v>4800</v>
      </c>
      <c r="B1315" s="10" t="s">
        <v>4801</v>
      </c>
      <c r="C1315" s="11" t="s">
        <v>4816</v>
      </c>
      <c r="D1315" s="11" t="s">
        <v>4817</v>
      </c>
      <c r="E1315" s="11" t="s">
        <v>26</v>
      </c>
      <c r="F1315" s="11" t="s">
        <v>4818</v>
      </c>
      <c r="G1315" s="11" t="s">
        <v>28</v>
      </c>
      <c r="H1315" s="11" t="s">
        <v>4803</v>
      </c>
      <c r="I1315" s="11" t="s">
        <v>4804</v>
      </c>
      <c r="J1315" s="12">
        <v>0.98809999999999998</v>
      </c>
      <c r="K1315" s="13">
        <v>1</v>
      </c>
      <c r="L1315" s="14">
        <v>2180</v>
      </c>
      <c r="M1315" s="10">
        <v>1376</v>
      </c>
      <c r="N1315" s="10">
        <v>240894</v>
      </c>
      <c r="O1315" s="10">
        <v>107905</v>
      </c>
      <c r="P1315" s="10">
        <v>348799</v>
      </c>
    </row>
    <row r="1316" spans="1:16" ht="27" customHeight="1" x14ac:dyDescent="0.2">
      <c r="A1316" s="9" t="s">
        <v>4800</v>
      </c>
      <c r="B1316" s="10" t="s">
        <v>4801</v>
      </c>
      <c r="C1316" s="11" t="s">
        <v>4819</v>
      </c>
      <c r="D1316" s="11" t="s">
        <v>4820</v>
      </c>
      <c r="E1316" s="11" t="s">
        <v>26</v>
      </c>
      <c r="F1316" s="11" t="s">
        <v>4821</v>
      </c>
      <c r="G1316" s="11" t="s">
        <v>28</v>
      </c>
      <c r="H1316" s="11" t="s">
        <v>4821</v>
      </c>
      <c r="I1316" s="11" t="s">
        <v>4822</v>
      </c>
      <c r="J1316" s="12">
        <v>0.80459999999999998</v>
      </c>
      <c r="K1316" s="13">
        <v>1</v>
      </c>
      <c r="L1316" s="14">
        <v>527</v>
      </c>
      <c r="M1316" s="15">
        <v>424</v>
      </c>
      <c r="N1316" s="15">
        <v>58234</v>
      </c>
      <c r="O1316" s="10">
        <v>33250</v>
      </c>
      <c r="P1316" s="15">
        <v>91484</v>
      </c>
    </row>
    <row r="1317" spans="1:16" ht="27" customHeight="1" x14ac:dyDescent="0.2">
      <c r="A1317" s="9" t="s">
        <v>4800</v>
      </c>
      <c r="B1317" s="10" t="s">
        <v>4823</v>
      </c>
      <c r="C1317" s="11" t="s">
        <v>18</v>
      </c>
      <c r="D1317" s="11" t="s">
        <v>19</v>
      </c>
      <c r="E1317" s="11" t="s">
        <v>19</v>
      </c>
      <c r="F1317" s="11" t="s">
        <v>4824</v>
      </c>
      <c r="G1317" s="11" t="s">
        <v>83</v>
      </c>
      <c r="H1317" s="11" t="s">
        <v>4824</v>
      </c>
      <c r="I1317" s="11" t="s">
        <v>4825</v>
      </c>
      <c r="J1317" s="12">
        <v>0.91290000000000004</v>
      </c>
      <c r="K1317" s="13">
        <v>16</v>
      </c>
      <c r="L1317" s="14">
        <v>7742</v>
      </c>
      <c r="M1317" s="10">
        <v>5915</v>
      </c>
      <c r="N1317" s="10">
        <v>855503</v>
      </c>
      <c r="O1317" s="10">
        <v>463848</v>
      </c>
      <c r="P1317" s="10">
        <v>1319351</v>
      </c>
    </row>
    <row r="1318" spans="1:16" ht="27" customHeight="1" x14ac:dyDescent="0.2">
      <c r="A1318" s="9" t="s">
        <v>4800</v>
      </c>
      <c r="B1318" s="10" t="s">
        <v>4823</v>
      </c>
      <c r="C1318" s="11" t="s">
        <v>4826</v>
      </c>
      <c r="D1318" s="11" t="s">
        <v>4827</v>
      </c>
      <c r="E1318" s="11" t="s">
        <v>26</v>
      </c>
      <c r="F1318" s="11" t="s">
        <v>4828</v>
      </c>
      <c r="G1318" s="11" t="s">
        <v>28</v>
      </c>
      <c r="H1318" s="11" t="s">
        <v>4828</v>
      </c>
      <c r="I1318" s="11" t="s">
        <v>4829</v>
      </c>
      <c r="J1318" s="12">
        <v>0.85350000000000004</v>
      </c>
      <c r="K1318" s="13">
        <v>1</v>
      </c>
      <c r="L1318" s="14">
        <v>471</v>
      </c>
      <c r="M1318" s="10">
        <v>402</v>
      </c>
      <c r="N1318" s="10">
        <v>52046</v>
      </c>
      <c r="O1318" s="10">
        <v>31524</v>
      </c>
      <c r="P1318" s="10">
        <v>83570</v>
      </c>
    </row>
    <row r="1319" spans="1:16" ht="27" customHeight="1" x14ac:dyDescent="0.2">
      <c r="A1319" s="9" t="s">
        <v>4800</v>
      </c>
      <c r="B1319" s="10" t="s">
        <v>4830</v>
      </c>
      <c r="C1319" s="11" t="s">
        <v>18</v>
      </c>
      <c r="D1319" s="11" t="s">
        <v>19</v>
      </c>
      <c r="E1319" s="11" t="s">
        <v>19</v>
      </c>
      <c r="F1319" s="11" t="s">
        <v>4831</v>
      </c>
      <c r="G1319" s="11" t="s">
        <v>83</v>
      </c>
      <c r="H1319" s="11" t="s">
        <v>4831</v>
      </c>
      <c r="I1319" s="11" t="s">
        <v>4832</v>
      </c>
      <c r="J1319" s="12">
        <v>0.50890000000000002</v>
      </c>
      <c r="K1319" s="13">
        <v>11</v>
      </c>
      <c r="L1319" s="14">
        <v>5528</v>
      </c>
      <c r="M1319" s="10">
        <v>2004</v>
      </c>
      <c r="N1319" s="10">
        <v>610852</v>
      </c>
      <c r="O1319" s="10">
        <v>157151</v>
      </c>
      <c r="P1319" s="10">
        <v>768003</v>
      </c>
    </row>
    <row r="1320" spans="1:16" ht="27" customHeight="1" x14ac:dyDescent="0.2">
      <c r="A1320" s="9" t="s">
        <v>4800</v>
      </c>
      <c r="B1320" s="10" t="s">
        <v>4833</v>
      </c>
      <c r="C1320" s="11" t="s">
        <v>18</v>
      </c>
      <c r="D1320" s="11" t="s">
        <v>19</v>
      </c>
      <c r="E1320" s="11" t="s">
        <v>19</v>
      </c>
      <c r="F1320" s="11" t="s">
        <v>4834</v>
      </c>
      <c r="G1320" s="11" t="s">
        <v>83</v>
      </c>
      <c r="H1320" s="11" t="s">
        <v>4835</v>
      </c>
      <c r="I1320" s="11" t="s">
        <v>4836</v>
      </c>
      <c r="J1320" s="12">
        <v>0.89490000000000003</v>
      </c>
      <c r="K1320" s="13">
        <v>15</v>
      </c>
      <c r="L1320" s="14">
        <v>6394</v>
      </c>
      <c r="M1320" s="10">
        <v>4792</v>
      </c>
      <c r="N1320" s="10">
        <v>706547</v>
      </c>
      <c r="O1320" s="10">
        <v>375785</v>
      </c>
      <c r="P1320" s="10">
        <v>1082332</v>
      </c>
    </row>
    <row r="1321" spans="1:16" ht="27" customHeight="1" x14ac:dyDescent="0.2">
      <c r="A1321" s="9" t="s">
        <v>4800</v>
      </c>
      <c r="B1321" s="10" t="s">
        <v>4837</v>
      </c>
      <c r="C1321" s="11" t="s">
        <v>18</v>
      </c>
      <c r="D1321" s="11" t="s">
        <v>19</v>
      </c>
      <c r="E1321" s="11" t="s">
        <v>19</v>
      </c>
      <c r="F1321" s="11" t="s">
        <v>4838</v>
      </c>
      <c r="G1321" s="11" t="s">
        <v>83</v>
      </c>
      <c r="H1321" s="11" t="s">
        <v>4839</v>
      </c>
      <c r="I1321" s="11" t="s">
        <v>4840</v>
      </c>
      <c r="J1321" s="12">
        <v>0.70940000000000003</v>
      </c>
      <c r="K1321" s="13">
        <v>7</v>
      </c>
      <c r="L1321" s="14">
        <v>2146</v>
      </c>
      <c r="M1321" s="10">
        <v>1476</v>
      </c>
      <c r="N1321" s="10">
        <v>237136</v>
      </c>
      <c r="O1321" s="10">
        <v>115747</v>
      </c>
      <c r="P1321" s="10">
        <v>352883</v>
      </c>
    </row>
    <row r="1322" spans="1:16" ht="27" customHeight="1" x14ac:dyDescent="0.2">
      <c r="A1322" s="9" t="s">
        <v>4800</v>
      </c>
      <c r="B1322" s="10" t="s">
        <v>4841</v>
      </c>
      <c r="C1322" s="11" t="s">
        <v>18</v>
      </c>
      <c r="D1322" s="11" t="s">
        <v>19</v>
      </c>
      <c r="E1322" s="11" t="s">
        <v>19</v>
      </c>
      <c r="F1322" s="11" t="s">
        <v>1806</v>
      </c>
      <c r="G1322" s="11" t="s">
        <v>83</v>
      </c>
      <c r="H1322" s="11" t="s">
        <v>4842</v>
      </c>
      <c r="I1322" s="11" t="s">
        <v>4843</v>
      </c>
      <c r="J1322" s="12">
        <v>0.81599999999999995</v>
      </c>
      <c r="K1322" s="13">
        <v>8</v>
      </c>
      <c r="L1322" s="14">
        <v>4269</v>
      </c>
      <c r="M1322" s="10">
        <v>2823</v>
      </c>
      <c r="N1322" s="10">
        <v>471732</v>
      </c>
      <c r="O1322" s="10">
        <v>221377</v>
      </c>
      <c r="P1322" s="10">
        <v>693109</v>
      </c>
    </row>
    <row r="1323" spans="1:16" ht="27" customHeight="1" x14ac:dyDescent="0.2">
      <c r="A1323" s="9" t="s">
        <v>4800</v>
      </c>
      <c r="B1323" s="10" t="s">
        <v>4844</v>
      </c>
      <c r="C1323" s="11" t="s">
        <v>18</v>
      </c>
      <c r="D1323" s="11" t="s">
        <v>19</v>
      </c>
      <c r="E1323" s="11" t="s">
        <v>19</v>
      </c>
      <c r="F1323" s="11" t="s">
        <v>4845</v>
      </c>
      <c r="G1323" s="11" t="s">
        <v>83</v>
      </c>
      <c r="H1323" s="11" t="s">
        <v>4803</v>
      </c>
      <c r="I1323" s="11" t="s">
        <v>4804</v>
      </c>
      <c r="J1323" s="12">
        <v>0.98809999999999998</v>
      </c>
      <c r="K1323" s="13">
        <v>12</v>
      </c>
      <c r="L1323" s="14">
        <v>23058</v>
      </c>
      <c r="M1323" s="10">
        <v>14078</v>
      </c>
      <c r="N1323" s="10">
        <v>2547948</v>
      </c>
      <c r="O1323" s="10">
        <v>1103980</v>
      </c>
      <c r="P1323" s="10">
        <v>3651928</v>
      </c>
    </row>
    <row r="1324" spans="1:16" ht="27" customHeight="1" x14ac:dyDescent="0.2">
      <c r="A1324" s="9" t="s">
        <v>4800</v>
      </c>
      <c r="B1324" s="10" t="s">
        <v>4846</v>
      </c>
      <c r="C1324" s="11" t="s">
        <v>18</v>
      </c>
      <c r="D1324" s="11" t="s">
        <v>19</v>
      </c>
      <c r="E1324" s="11" t="s">
        <v>19</v>
      </c>
      <c r="F1324" s="11" t="s">
        <v>4847</v>
      </c>
      <c r="G1324" s="11" t="s">
        <v>83</v>
      </c>
      <c r="H1324" s="11" t="s">
        <v>4848</v>
      </c>
      <c r="I1324" s="11" t="s">
        <v>4849</v>
      </c>
      <c r="J1324" s="12">
        <v>0.93310000000000004</v>
      </c>
      <c r="K1324" s="13">
        <v>35</v>
      </c>
      <c r="L1324" s="14">
        <v>25723</v>
      </c>
      <c r="M1324" s="10">
        <v>12375</v>
      </c>
      <c r="N1324" s="10">
        <v>2842436</v>
      </c>
      <c r="O1324" s="10">
        <v>970434</v>
      </c>
      <c r="P1324" s="10">
        <v>3812870</v>
      </c>
    </row>
    <row r="1325" spans="1:16" ht="27" customHeight="1" x14ac:dyDescent="0.2">
      <c r="A1325" s="9" t="s">
        <v>4800</v>
      </c>
      <c r="B1325" s="10" t="s">
        <v>4846</v>
      </c>
      <c r="C1325" s="11" t="s">
        <v>4850</v>
      </c>
      <c r="D1325" s="11" t="s">
        <v>4851</v>
      </c>
      <c r="E1325" s="11" t="s">
        <v>26</v>
      </c>
      <c r="F1325" s="11" t="s">
        <v>4852</v>
      </c>
      <c r="G1325" s="11" t="s">
        <v>28</v>
      </c>
      <c r="H1325" s="11" t="s">
        <v>4852</v>
      </c>
      <c r="I1325" s="11" t="s">
        <v>4853</v>
      </c>
      <c r="J1325" s="12">
        <v>0.32529999999999998</v>
      </c>
      <c r="K1325" s="13">
        <v>1</v>
      </c>
      <c r="L1325" s="14">
        <v>956</v>
      </c>
      <c r="M1325" s="10">
        <v>311</v>
      </c>
      <c r="N1325" s="10">
        <v>105640</v>
      </c>
      <c r="O1325" s="10">
        <v>24388</v>
      </c>
      <c r="P1325" s="10">
        <v>130028</v>
      </c>
    </row>
    <row r="1326" spans="1:16" ht="27" customHeight="1" x14ac:dyDescent="0.2">
      <c r="A1326" s="9" t="s">
        <v>4800</v>
      </c>
      <c r="B1326" s="10" t="s">
        <v>4854</v>
      </c>
      <c r="C1326" s="11" t="s">
        <v>18</v>
      </c>
      <c r="D1326" s="11" t="s">
        <v>19</v>
      </c>
      <c r="E1326" s="11" t="s">
        <v>19</v>
      </c>
      <c r="F1326" s="11" t="s">
        <v>4855</v>
      </c>
      <c r="G1326" s="11" t="s">
        <v>83</v>
      </c>
      <c r="H1326" s="11" t="s">
        <v>4856</v>
      </c>
      <c r="I1326" s="11" t="s">
        <v>4857</v>
      </c>
      <c r="J1326" s="12">
        <v>0.94989999999999997</v>
      </c>
      <c r="K1326" s="13">
        <v>29</v>
      </c>
      <c r="L1326" s="14">
        <v>19640</v>
      </c>
      <c r="M1326" s="10">
        <v>16291</v>
      </c>
      <c r="N1326" s="10">
        <v>2170251</v>
      </c>
      <c r="O1326" s="10">
        <v>1277525</v>
      </c>
      <c r="P1326" s="10">
        <v>3447776</v>
      </c>
    </row>
    <row r="1327" spans="1:16" ht="27" customHeight="1" x14ac:dyDescent="0.2">
      <c r="A1327" s="9" t="s">
        <v>4800</v>
      </c>
      <c r="B1327" s="10" t="s">
        <v>4858</v>
      </c>
      <c r="C1327" s="11" t="s">
        <v>18</v>
      </c>
      <c r="D1327" s="11" t="s">
        <v>19</v>
      </c>
      <c r="E1327" s="11" t="s">
        <v>19</v>
      </c>
      <c r="F1327" s="11" t="s">
        <v>4859</v>
      </c>
      <c r="G1327" s="11" t="s">
        <v>83</v>
      </c>
      <c r="H1327" s="11" t="s">
        <v>4859</v>
      </c>
      <c r="I1327" s="11" t="s">
        <v>4860</v>
      </c>
      <c r="J1327" s="12">
        <v>0.69440000000000002</v>
      </c>
      <c r="K1327" s="13">
        <v>5</v>
      </c>
      <c r="L1327" s="14">
        <v>2342</v>
      </c>
      <c r="M1327" s="10">
        <v>1536</v>
      </c>
      <c r="N1327" s="10">
        <v>258794</v>
      </c>
      <c r="O1327" s="10">
        <v>120451</v>
      </c>
      <c r="P1327" s="10">
        <v>379245</v>
      </c>
    </row>
    <row r="1328" spans="1:16" ht="27" customHeight="1" x14ac:dyDescent="0.2">
      <c r="A1328" s="9" t="s">
        <v>4800</v>
      </c>
      <c r="B1328" s="10" t="s">
        <v>4861</v>
      </c>
      <c r="C1328" s="11" t="s">
        <v>18</v>
      </c>
      <c r="D1328" s="11" t="s">
        <v>19</v>
      </c>
      <c r="E1328" s="11" t="s">
        <v>19</v>
      </c>
      <c r="F1328" s="11" t="s">
        <v>4862</v>
      </c>
      <c r="G1328" s="11" t="s">
        <v>83</v>
      </c>
      <c r="H1328" s="11" t="s">
        <v>4863</v>
      </c>
      <c r="I1328" s="11" t="s">
        <v>4864</v>
      </c>
      <c r="J1328" s="12">
        <v>0.66769999999999996</v>
      </c>
      <c r="K1328" s="13">
        <v>19</v>
      </c>
      <c r="L1328" s="14">
        <v>13476</v>
      </c>
      <c r="M1328" s="10">
        <v>6940</v>
      </c>
      <c r="N1328" s="10">
        <v>1489120</v>
      </c>
      <c r="O1328" s="10">
        <v>544227</v>
      </c>
      <c r="P1328" s="10">
        <v>2033347</v>
      </c>
    </row>
    <row r="1329" spans="1:16" ht="27" customHeight="1" x14ac:dyDescent="0.2">
      <c r="A1329" s="9" t="s">
        <v>4800</v>
      </c>
      <c r="B1329" s="10" t="s">
        <v>4865</v>
      </c>
      <c r="C1329" s="11" t="s">
        <v>18</v>
      </c>
      <c r="D1329" s="11" t="s">
        <v>19</v>
      </c>
      <c r="E1329" s="11" t="s">
        <v>19</v>
      </c>
      <c r="F1329" s="11" t="s">
        <v>4866</v>
      </c>
      <c r="G1329" s="11" t="s">
        <v>83</v>
      </c>
      <c r="H1329" s="11" t="s">
        <v>4867</v>
      </c>
      <c r="I1329" s="11" t="s">
        <v>4868</v>
      </c>
      <c r="J1329" s="12">
        <v>0.90810000000000002</v>
      </c>
      <c r="K1329" s="13">
        <v>45</v>
      </c>
      <c r="L1329" s="14">
        <v>35219</v>
      </c>
      <c r="M1329" s="10">
        <v>27398</v>
      </c>
      <c r="N1329" s="10">
        <v>3891759</v>
      </c>
      <c r="O1329" s="10">
        <v>2148526</v>
      </c>
      <c r="P1329" s="10">
        <v>6040285</v>
      </c>
    </row>
    <row r="1330" spans="1:16" ht="27" customHeight="1" x14ac:dyDescent="0.2">
      <c r="A1330" s="9" t="s">
        <v>4800</v>
      </c>
      <c r="B1330" s="10" t="s">
        <v>4865</v>
      </c>
      <c r="C1330" s="11" t="s">
        <v>4869</v>
      </c>
      <c r="D1330" s="11" t="s">
        <v>4870</v>
      </c>
      <c r="E1330" s="11" t="s">
        <v>26</v>
      </c>
      <c r="F1330" s="11" t="s">
        <v>4871</v>
      </c>
      <c r="G1330" s="11" t="s">
        <v>28</v>
      </c>
      <c r="H1330" s="11" t="s">
        <v>4871</v>
      </c>
      <c r="I1330" s="11" t="s">
        <v>4872</v>
      </c>
      <c r="J1330" s="12">
        <v>0</v>
      </c>
      <c r="K1330" s="13">
        <v>1</v>
      </c>
      <c r="L1330" s="14">
        <v>0</v>
      </c>
      <c r="M1330" s="10">
        <v>0</v>
      </c>
      <c r="N1330" s="10">
        <v>0</v>
      </c>
      <c r="O1330" s="10">
        <v>0</v>
      </c>
      <c r="P1330" s="10">
        <v>0</v>
      </c>
    </row>
    <row r="1331" spans="1:16" ht="27" customHeight="1" x14ac:dyDescent="0.2">
      <c r="A1331" s="9" t="s">
        <v>4800</v>
      </c>
      <c r="B1331" s="10" t="s">
        <v>4873</v>
      </c>
      <c r="C1331" s="11" t="s">
        <v>18</v>
      </c>
      <c r="D1331" s="11" t="s">
        <v>19</v>
      </c>
      <c r="E1331" s="11" t="s">
        <v>19</v>
      </c>
      <c r="F1331" s="11" t="s">
        <v>4874</v>
      </c>
      <c r="G1331" s="11" t="s">
        <v>83</v>
      </c>
      <c r="H1331" s="11" t="s">
        <v>4874</v>
      </c>
      <c r="I1331" s="11" t="s">
        <v>4875</v>
      </c>
      <c r="J1331" s="12">
        <v>0.55769999999999997</v>
      </c>
      <c r="K1331" s="13">
        <v>3</v>
      </c>
      <c r="L1331" s="14">
        <v>678</v>
      </c>
      <c r="M1331" s="10">
        <v>374</v>
      </c>
      <c r="N1331" s="10">
        <v>74920</v>
      </c>
      <c r="O1331" s="10">
        <v>29329</v>
      </c>
      <c r="P1331" s="10">
        <v>104249</v>
      </c>
    </row>
    <row r="1332" spans="1:16" ht="27" customHeight="1" x14ac:dyDescent="0.2">
      <c r="A1332" s="9" t="s">
        <v>4800</v>
      </c>
      <c r="B1332" s="10" t="s">
        <v>4873</v>
      </c>
      <c r="C1332" s="11" t="s">
        <v>4876</v>
      </c>
      <c r="D1332" s="11" t="s">
        <v>4877</v>
      </c>
      <c r="E1332" s="11" t="s">
        <v>57</v>
      </c>
      <c r="F1332" s="11" t="s">
        <v>4878</v>
      </c>
      <c r="G1332" s="11" t="s">
        <v>28</v>
      </c>
      <c r="H1332" s="11" t="s">
        <v>4803</v>
      </c>
      <c r="I1332" s="11" t="s">
        <v>4804</v>
      </c>
      <c r="J1332" s="12">
        <v>0.98809999999999998</v>
      </c>
      <c r="K1332" s="13">
        <v>1</v>
      </c>
      <c r="L1332" s="14">
        <v>294</v>
      </c>
      <c r="M1332" s="10">
        <v>137</v>
      </c>
      <c r="N1332" s="10">
        <v>32487</v>
      </c>
      <c r="O1332" s="10">
        <v>10743</v>
      </c>
      <c r="P1332" s="10">
        <v>43230</v>
      </c>
    </row>
    <row r="1333" spans="1:16" ht="27" customHeight="1" x14ac:dyDescent="0.2">
      <c r="A1333" s="9" t="s">
        <v>4800</v>
      </c>
      <c r="B1333" s="10" t="s">
        <v>4873</v>
      </c>
      <c r="C1333" s="11" t="s">
        <v>4879</v>
      </c>
      <c r="D1333" s="11" t="s">
        <v>4880</v>
      </c>
      <c r="E1333" s="11" t="s">
        <v>26</v>
      </c>
      <c r="F1333" s="11" t="s">
        <v>4881</v>
      </c>
      <c r="G1333" s="11" t="s">
        <v>28</v>
      </c>
      <c r="H1333" s="11" t="s">
        <v>4881</v>
      </c>
      <c r="I1333" s="11" t="s">
        <v>4882</v>
      </c>
      <c r="J1333" s="12">
        <v>0.51570000000000005</v>
      </c>
      <c r="K1333" s="13">
        <v>1</v>
      </c>
      <c r="L1333" s="14">
        <v>1497</v>
      </c>
      <c r="M1333" s="10">
        <v>772</v>
      </c>
      <c r="N1333" s="10">
        <v>165421</v>
      </c>
      <c r="O1333" s="10">
        <v>60539</v>
      </c>
      <c r="P1333" s="10">
        <v>225960</v>
      </c>
    </row>
    <row r="1334" spans="1:16" ht="27" customHeight="1" x14ac:dyDescent="0.2">
      <c r="A1334" s="9" t="s">
        <v>4800</v>
      </c>
      <c r="B1334" s="10" t="s">
        <v>4873</v>
      </c>
      <c r="C1334" s="11" t="s">
        <v>4883</v>
      </c>
      <c r="D1334" s="11" t="s">
        <v>4884</v>
      </c>
      <c r="E1334" s="11" t="s">
        <v>57</v>
      </c>
      <c r="F1334" s="11" t="s">
        <v>4885</v>
      </c>
      <c r="G1334" s="11" t="s">
        <v>28</v>
      </c>
      <c r="H1334" s="11" t="s">
        <v>4885</v>
      </c>
      <c r="I1334" s="11" t="s">
        <v>4886</v>
      </c>
      <c r="J1334" s="12">
        <v>0.68700000000000006</v>
      </c>
      <c r="K1334" s="13">
        <v>1</v>
      </c>
      <c r="L1334" s="14">
        <v>131</v>
      </c>
      <c r="M1334" s="10">
        <v>90</v>
      </c>
      <c r="N1334" s="10">
        <v>14476</v>
      </c>
      <c r="O1334" s="10">
        <v>7058</v>
      </c>
      <c r="P1334" s="10">
        <v>21534</v>
      </c>
    </row>
    <row r="1335" spans="1:16" ht="27" customHeight="1" x14ac:dyDescent="0.2">
      <c r="A1335" s="9" t="s">
        <v>4800</v>
      </c>
      <c r="B1335" s="10" t="s">
        <v>4873</v>
      </c>
      <c r="C1335" s="11" t="s">
        <v>4887</v>
      </c>
      <c r="D1335" s="11" t="s">
        <v>4888</v>
      </c>
      <c r="E1335" s="11" t="s">
        <v>26</v>
      </c>
      <c r="F1335" s="11" t="s">
        <v>4889</v>
      </c>
      <c r="G1335" s="11" t="s">
        <v>28</v>
      </c>
      <c r="H1335" s="11" t="s">
        <v>4889</v>
      </c>
      <c r="I1335" s="11" t="s">
        <v>4890</v>
      </c>
      <c r="J1335" s="12">
        <v>0.38119999999999998</v>
      </c>
      <c r="K1335" s="13">
        <v>1</v>
      </c>
      <c r="L1335" s="14">
        <v>3048</v>
      </c>
      <c r="M1335" s="10">
        <v>1162</v>
      </c>
      <c r="N1335" s="10">
        <v>336809</v>
      </c>
      <c r="O1335" s="10">
        <v>91123</v>
      </c>
      <c r="P1335" s="10">
        <v>427932</v>
      </c>
    </row>
    <row r="1336" spans="1:16" ht="27" customHeight="1" x14ac:dyDescent="0.2">
      <c r="A1336" s="9" t="s">
        <v>4800</v>
      </c>
      <c r="B1336" s="10" t="s">
        <v>4873</v>
      </c>
      <c r="C1336" s="11" t="s">
        <v>4891</v>
      </c>
      <c r="D1336" s="11" t="s">
        <v>4892</v>
      </c>
      <c r="E1336" s="11" t="s">
        <v>26</v>
      </c>
      <c r="F1336" s="11" t="s">
        <v>4893</v>
      </c>
      <c r="G1336" s="11" t="s">
        <v>28</v>
      </c>
      <c r="H1336" s="11" t="s">
        <v>4893</v>
      </c>
      <c r="I1336" s="11" t="s">
        <v>4894</v>
      </c>
      <c r="J1336" s="12">
        <v>0.76859999999999995</v>
      </c>
      <c r="K1336" s="13">
        <v>1</v>
      </c>
      <c r="L1336" s="14">
        <v>631</v>
      </c>
      <c r="M1336" s="10">
        <v>485</v>
      </c>
      <c r="N1336" s="10">
        <v>69727</v>
      </c>
      <c r="O1336" s="10">
        <v>38033</v>
      </c>
      <c r="P1336" s="10">
        <v>107760</v>
      </c>
    </row>
    <row r="1337" spans="1:16" ht="27" customHeight="1" x14ac:dyDescent="0.2">
      <c r="A1337" s="9" t="s">
        <v>4800</v>
      </c>
      <c r="B1337" s="10" t="s">
        <v>4873</v>
      </c>
      <c r="C1337" s="11" t="s">
        <v>4895</v>
      </c>
      <c r="D1337" s="11" t="s">
        <v>4896</v>
      </c>
      <c r="E1337" s="11" t="s">
        <v>26</v>
      </c>
      <c r="F1337" s="11" t="s">
        <v>4897</v>
      </c>
      <c r="G1337" s="11" t="s">
        <v>28</v>
      </c>
      <c r="H1337" s="11" t="s">
        <v>4897</v>
      </c>
      <c r="I1337" s="11" t="s">
        <v>4898</v>
      </c>
      <c r="J1337" s="12">
        <v>0.49719999999999998</v>
      </c>
      <c r="K1337" s="13">
        <v>1</v>
      </c>
      <c r="L1337" s="14">
        <v>545</v>
      </c>
      <c r="M1337" s="10">
        <v>271</v>
      </c>
      <c r="N1337" s="10">
        <v>60223</v>
      </c>
      <c r="O1337" s="10">
        <v>21252</v>
      </c>
      <c r="P1337" s="10">
        <v>81475</v>
      </c>
    </row>
    <row r="1338" spans="1:16" ht="27" customHeight="1" x14ac:dyDescent="0.2">
      <c r="A1338" s="9" t="s">
        <v>4800</v>
      </c>
      <c r="B1338" s="10" t="s">
        <v>4899</v>
      </c>
      <c r="C1338" s="11" t="s">
        <v>18</v>
      </c>
      <c r="D1338" s="11" t="s">
        <v>19</v>
      </c>
      <c r="E1338" s="11" t="s">
        <v>19</v>
      </c>
      <c r="F1338" s="11" t="s">
        <v>4900</v>
      </c>
      <c r="G1338" s="11" t="s">
        <v>83</v>
      </c>
      <c r="H1338" s="11" t="s">
        <v>4901</v>
      </c>
      <c r="I1338" s="11" t="s">
        <v>4902</v>
      </c>
      <c r="J1338" s="12">
        <v>0.80159999999999998</v>
      </c>
      <c r="K1338" s="13">
        <v>18</v>
      </c>
      <c r="L1338" s="14">
        <v>7464</v>
      </c>
      <c r="M1338" s="10">
        <v>4914</v>
      </c>
      <c r="N1338" s="10">
        <v>824786</v>
      </c>
      <c r="O1338" s="10">
        <v>385349</v>
      </c>
      <c r="P1338" s="10">
        <v>1210135</v>
      </c>
    </row>
    <row r="1339" spans="1:16" ht="27" customHeight="1" x14ac:dyDescent="0.2">
      <c r="A1339" s="9" t="s">
        <v>4800</v>
      </c>
      <c r="B1339" s="10" t="s">
        <v>4903</v>
      </c>
      <c r="C1339" s="11" t="s">
        <v>18</v>
      </c>
      <c r="D1339" s="11" t="s">
        <v>19</v>
      </c>
      <c r="E1339" s="11" t="s">
        <v>19</v>
      </c>
      <c r="F1339" s="11" t="s">
        <v>3014</v>
      </c>
      <c r="G1339" s="11" t="s">
        <v>83</v>
      </c>
      <c r="H1339" s="11" t="s">
        <v>3014</v>
      </c>
      <c r="I1339" s="11" t="s">
        <v>4904</v>
      </c>
      <c r="J1339" s="12">
        <v>0.63129999999999997</v>
      </c>
      <c r="K1339" s="13">
        <v>6</v>
      </c>
      <c r="L1339" s="14">
        <v>3046</v>
      </c>
      <c r="M1339" s="10">
        <v>1546</v>
      </c>
      <c r="N1339" s="10">
        <v>336587</v>
      </c>
      <c r="O1339" s="10">
        <v>121237</v>
      </c>
      <c r="P1339" s="10">
        <v>457824</v>
      </c>
    </row>
    <row r="1340" spans="1:16" ht="27" customHeight="1" x14ac:dyDescent="0.2">
      <c r="A1340" s="9" t="s">
        <v>4800</v>
      </c>
      <c r="B1340" s="10" t="s">
        <v>4905</v>
      </c>
      <c r="C1340" s="11" t="s">
        <v>18</v>
      </c>
      <c r="D1340" s="11" t="s">
        <v>19</v>
      </c>
      <c r="E1340" s="11" t="s">
        <v>19</v>
      </c>
      <c r="F1340" s="11" t="s">
        <v>4906</v>
      </c>
      <c r="G1340" s="11" t="s">
        <v>83</v>
      </c>
      <c r="H1340" s="11" t="s">
        <v>4906</v>
      </c>
      <c r="I1340" s="11" t="s">
        <v>4907</v>
      </c>
      <c r="J1340" s="12">
        <v>0.3871</v>
      </c>
      <c r="K1340" s="13">
        <v>2</v>
      </c>
      <c r="L1340" s="14">
        <v>93</v>
      </c>
      <c r="M1340" s="10">
        <v>36</v>
      </c>
      <c r="N1340" s="10">
        <v>10277</v>
      </c>
      <c r="O1340" s="10">
        <v>2823</v>
      </c>
      <c r="P1340" s="10">
        <v>13100</v>
      </c>
    </row>
    <row r="1341" spans="1:16" ht="27" customHeight="1" x14ac:dyDescent="0.2">
      <c r="A1341" s="9" t="s">
        <v>4800</v>
      </c>
      <c r="B1341" s="10" t="s">
        <v>4908</v>
      </c>
      <c r="C1341" s="11" t="s">
        <v>18</v>
      </c>
      <c r="D1341" s="11" t="s">
        <v>19</v>
      </c>
      <c r="E1341" s="11" t="s">
        <v>19</v>
      </c>
      <c r="F1341" s="11" t="s">
        <v>4909</v>
      </c>
      <c r="G1341" s="11" t="s">
        <v>83</v>
      </c>
      <c r="H1341" s="11" t="s">
        <v>4910</v>
      </c>
      <c r="I1341" s="11" t="s">
        <v>4911</v>
      </c>
      <c r="J1341" s="12">
        <v>0.85</v>
      </c>
      <c r="K1341" s="13">
        <v>8</v>
      </c>
      <c r="L1341" s="14">
        <v>955</v>
      </c>
      <c r="M1341" s="10">
        <v>754</v>
      </c>
      <c r="N1341" s="10">
        <v>105529</v>
      </c>
      <c r="O1341" s="10">
        <v>59128</v>
      </c>
      <c r="P1341" s="10">
        <v>164657</v>
      </c>
    </row>
    <row r="1342" spans="1:16" ht="27" customHeight="1" x14ac:dyDescent="0.2">
      <c r="A1342" s="9" t="s">
        <v>4800</v>
      </c>
      <c r="B1342" s="10" t="s">
        <v>4912</v>
      </c>
      <c r="C1342" s="11" t="s">
        <v>18</v>
      </c>
      <c r="D1342" s="11" t="s">
        <v>19</v>
      </c>
      <c r="E1342" s="11" t="s">
        <v>19</v>
      </c>
      <c r="F1342" s="11" t="s">
        <v>4913</v>
      </c>
      <c r="G1342" s="11" t="s">
        <v>83</v>
      </c>
      <c r="H1342" s="11" t="s">
        <v>4914</v>
      </c>
      <c r="I1342" s="11" t="s">
        <v>4915</v>
      </c>
      <c r="J1342" s="12">
        <v>0.93520000000000003</v>
      </c>
      <c r="K1342" s="13">
        <v>34</v>
      </c>
      <c r="L1342" s="14">
        <v>19266</v>
      </c>
      <c r="M1342" s="10">
        <v>16297</v>
      </c>
      <c r="N1342" s="10">
        <v>2128923</v>
      </c>
      <c r="O1342" s="10">
        <v>1277995</v>
      </c>
      <c r="P1342" s="10">
        <v>3406918</v>
      </c>
    </row>
    <row r="1343" spans="1:16" ht="27" customHeight="1" x14ac:dyDescent="0.2">
      <c r="A1343" s="9" t="s">
        <v>4800</v>
      </c>
      <c r="B1343" s="10" t="s">
        <v>4916</v>
      </c>
      <c r="C1343" s="11" t="s">
        <v>18</v>
      </c>
      <c r="D1343" s="11" t="s">
        <v>19</v>
      </c>
      <c r="E1343" s="11" t="s">
        <v>19</v>
      </c>
      <c r="F1343" s="11" t="s">
        <v>4917</v>
      </c>
      <c r="G1343" s="11" t="s">
        <v>83</v>
      </c>
      <c r="H1343" s="11" t="s">
        <v>4918</v>
      </c>
      <c r="I1343" s="11" t="s">
        <v>4919</v>
      </c>
      <c r="J1343" s="12">
        <v>0.91490000000000005</v>
      </c>
      <c r="K1343" s="13">
        <v>2</v>
      </c>
      <c r="L1343" s="14">
        <v>94</v>
      </c>
      <c r="M1343" s="10">
        <v>86</v>
      </c>
      <c r="N1343" s="10">
        <v>10387</v>
      </c>
      <c r="O1343" s="10">
        <v>6744</v>
      </c>
      <c r="P1343" s="10">
        <v>17131</v>
      </c>
    </row>
    <row r="1344" spans="1:16" ht="27" customHeight="1" x14ac:dyDescent="0.2">
      <c r="A1344" s="9" t="s">
        <v>4800</v>
      </c>
      <c r="B1344" s="10" t="s">
        <v>4916</v>
      </c>
      <c r="C1344" s="11" t="s">
        <v>4920</v>
      </c>
      <c r="D1344" s="11" t="s">
        <v>4921</v>
      </c>
      <c r="E1344" s="11" t="s">
        <v>26</v>
      </c>
      <c r="F1344" s="11" t="s">
        <v>4922</v>
      </c>
      <c r="G1344" s="11" t="s">
        <v>28</v>
      </c>
      <c r="H1344" s="11" t="s">
        <v>4922</v>
      </c>
      <c r="I1344" s="11" t="s">
        <v>4923</v>
      </c>
      <c r="J1344" s="12">
        <v>0.80820000000000003</v>
      </c>
      <c r="K1344" s="13">
        <v>1</v>
      </c>
      <c r="L1344" s="14">
        <v>2508</v>
      </c>
      <c r="M1344" s="10">
        <v>2027</v>
      </c>
      <c r="N1344" s="10">
        <v>277138</v>
      </c>
      <c r="O1344" s="10">
        <v>158955</v>
      </c>
      <c r="P1344" s="10">
        <v>436093</v>
      </c>
    </row>
    <row r="1345" spans="1:16" ht="27" customHeight="1" x14ac:dyDescent="0.2">
      <c r="A1345" s="9" t="s">
        <v>4800</v>
      </c>
      <c r="B1345" s="10" t="s">
        <v>4916</v>
      </c>
      <c r="C1345" s="11" t="s">
        <v>4924</v>
      </c>
      <c r="D1345" s="11" t="s">
        <v>4925</v>
      </c>
      <c r="E1345" s="11" t="s">
        <v>26</v>
      </c>
      <c r="F1345" s="11" t="s">
        <v>4926</v>
      </c>
      <c r="G1345" s="11" t="s">
        <v>28</v>
      </c>
      <c r="H1345" s="11" t="s">
        <v>4926</v>
      </c>
      <c r="I1345" s="11" t="s">
        <v>4927</v>
      </c>
      <c r="J1345" s="12">
        <v>0.88319999999999999</v>
      </c>
      <c r="K1345" s="13">
        <v>1</v>
      </c>
      <c r="L1345" s="14">
        <v>214</v>
      </c>
      <c r="M1345" s="10">
        <v>189</v>
      </c>
      <c r="N1345" s="10">
        <v>23647</v>
      </c>
      <c r="O1345" s="10">
        <v>14821</v>
      </c>
      <c r="P1345" s="10">
        <v>38468</v>
      </c>
    </row>
    <row r="1346" spans="1:16" ht="27" customHeight="1" x14ac:dyDescent="0.2">
      <c r="A1346" s="9" t="s">
        <v>4800</v>
      </c>
      <c r="B1346" s="10" t="s">
        <v>4916</v>
      </c>
      <c r="C1346" s="11" t="s">
        <v>4928</v>
      </c>
      <c r="D1346" s="11" t="s">
        <v>4929</v>
      </c>
      <c r="E1346" s="11" t="s">
        <v>26</v>
      </c>
      <c r="F1346" s="11" t="s">
        <v>4930</v>
      </c>
      <c r="G1346" s="11" t="s">
        <v>28</v>
      </c>
      <c r="H1346" s="11" t="s">
        <v>4930</v>
      </c>
      <c r="I1346" s="11" t="s">
        <v>4931</v>
      </c>
      <c r="J1346" s="12">
        <v>0.78320000000000001</v>
      </c>
      <c r="K1346" s="13">
        <v>1</v>
      </c>
      <c r="L1346" s="14">
        <v>655</v>
      </c>
      <c r="M1346" s="10">
        <v>513</v>
      </c>
      <c r="N1346" s="10">
        <v>72379</v>
      </c>
      <c r="O1346" s="10">
        <v>40229</v>
      </c>
      <c r="P1346" s="10">
        <v>112608</v>
      </c>
    </row>
    <row r="1347" spans="1:16" ht="27" customHeight="1" x14ac:dyDescent="0.2">
      <c r="A1347" s="9" t="s">
        <v>4800</v>
      </c>
      <c r="B1347" s="10" t="s">
        <v>4916</v>
      </c>
      <c r="C1347" s="11" t="s">
        <v>4932</v>
      </c>
      <c r="D1347" s="11" t="s">
        <v>4933</v>
      </c>
      <c r="E1347" s="11" t="s">
        <v>26</v>
      </c>
      <c r="F1347" s="11" t="s">
        <v>4934</v>
      </c>
      <c r="G1347" s="11" t="s">
        <v>28</v>
      </c>
      <c r="H1347" s="11" t="s">
        <v>4934</v>
      </c>
      <c r="I1347" s="11" t="s">
        <v>4935</v>
      </c>
      <c r="J1347" s="12">
        <v>0.84060000000000001</v>
      </c>
      <c r="K1347" s="13">
        <v>1</v>
      </c>
      <c r="L1347" s="14">
        <v>734</v>
      </c>
      <c r="M1347" s="10">
        <v>617</v>
      </c>
      <c r="N1347" s="10">
        <v>81108</v>
      </c>
      <c r="O1347" s="10">
        <v>48385</v>
      </c>
      <c r="P1347" s="10">
        <v>129493</v>
      </c>
    </row>
    <row r="1348" spans="1:16" ht="27" customHeight="1" x14ac:dyDescent="0.2">
      <c r="A1348" s="9" t="s">
        <v>4800</v>
      </c>
      <c r="B1348" s="10" t="s">
        <v>4916</v>
      </c>
      <c r="C1348" s="11" t="s">
        <v>4936</v>
      </c>
      <c r="D1348" s="11" t="s">
        <v>4937</v>
      </c>
      <c r="E1348" s="11" t="s">
        <v>26</v>
      </c>
      <c r="F1348" s="11" t="s">
        <v>4938</v>
      </c>
      <c r="G1348" s="11" t="s">
        <v>28</v>
      </c>
      <c r="H1348" s="11" t="s">
        <v>4938</v>
      </c>
      <c r="I1348" s="11" t="s">
        <v>4939</v>
      </c>
      <c r="J1348" s="12">
        <v>0.91579999999999995</v>
      </c>
      <c r="K1348" s="13">
        <v>1</v>
      </c>
      <c r="L1348" s="14">
        <v>368</v>
      </c>
      <c r="M1348" s="10">
        <v>337</v>
      </c>
      <c r="N1348" s="10">
        <v>40665</v>
      </c>
      <c r="O1348" s="10">
        <v>26427</v>
      </c>
      <c r="P1348" s="10">
        <v>67092</v>
      </c>
    </row>
    <row r="1349" spans="1:16" ht="27" customHeight="1" x14ac:dyDescent="0.2">
      <c r="A1349" s="9" t="s">
        <v>4800</v>
      </c>
      <c r="B1349" s="10" t="s">
        <v>4916</v>
      </c>
      <c r="C1349" s="11" t="s">
        <v>4940</v>
      </c>
      <c r="D1349" s="11" t="s">
        <v>4941</v>
      </c>
      <c r="E1349" s="11" t="s">
        <v>26</v>
      </c>
      <c r="F1349" s="11" t="s">
        <v>4942</v>
      </c>
      <c r="G1349" s="11" t="s">
        <v>28</v>
      </c>
      <c r="H1349" s="11" t="s">
        <v>4942</v>
      </c>
      <c r="I1349" s="11" t="s">
        <v>4943</v>
      </c>
      <c r="J1349" s="12">
        <v>0.8851</v>
      </c>
      <c r="K1349" s="13">
        <v>1</v>
      </c>
      <c r="L1349" s="14">
        <v>322</v>
      </c>
      <c r="M1349" s="10">
        <v>285</v>
      </c>
      <c r="N1349" s="10">
        <v>35582</v>
      </c>
      <c r="O1349" s="10">
        <v>22349</v>
      </c>
      <c r="P1349" s="10">
        <v>57931</v>
      </c>
    </row>
    <row r="1350" spans="1:16" ht="27" customHeight="1" x14ac:dyDescent="0.2">
      <c r="A1350" s="9" t="s">
        <v>4800</v>
      </c>
      <c r="B1350" s="10" t="s">
        <v>4916</v>
      </c>
      <c r="C1350" s="11" t="s">
        <v>4944</v>
      </c>
      <c r="D1350" s="11" t="s">
        <v>4945</v>
      </c>
      <c r="E1350" s="11" t="s">
        <v>26</v>
      </c>
      <c r="F1350" s="11" t="s">
        <v>4946</v>
      </c>
      <c r="G1350" s="11" t="s">
        <v>28</v>
      </c>
      <c r="H1350" s="11" t="s">
        <v>4946</v>
      </c>
      <c r="I1350" s="11" t="s">
        <v>4947</v>
      </c>
      <c r="J1350" s="12">
        <v>0.81599999999999995</v>
      </c>
      <c r="K1350" s="13">
        <v>1</v>
      </c>
      <c r="L1350" s="14">
        <v>538</v>
      </c>
      <c r="M1350" s="10">
        <v>439</v>
      </c>
      <c r="N1350" s="10">
        <v>59450</v>
      </c>
      <c r="O1350" s="10">
        <v>34426</v>
      </c>
      <c r="P1350" s="10">
        <v>93876</v>
      </c>
    </row>
    <row r="1351" spans="1:16" ht="27" customHeight="1" x14ac:dyDescent="0.2">
      <c r="A1351" s="9" t="s">
        <v>4800</v>
      </c>
      <c r="B1351" s="10" t="s">
        <v>4916</v>
      </c>
      <c r="C1351" s="11" t="s">
        <v>4948</v>
      </c>
      <c r="D1351" s="11" t="s">
        <v>4949</v>
      </c>
      <c r="E1351" s="11" t="s">
        <v>26</v>
      </c>
      <c r="F1351" s="11" t="s">
        <v>4950</v>
      </c>
      <c r="G1351" s="11" t="s">
        <v>28</v>
      </c>
      <c r="H1351" s="11" t="s">
        <v>4950</v>
      </c>
      <c r="I1351" s="11" t="s">
        <v>4951</v>
      </c>
      <c r="J1351" s="12">
        <v>0.8306</v>
      </c>
      <c r="K1351" s="13">
        <v>1</v>
      </c>
      <c r="L1351" s="14">
        <v>183</v>
      </c>
      <c r="M1351" s="10">
        <v>152</v>
      </c>
      <c r="N1351" s="10">
        <v>20222</v>
      </c>
      <c r="O1351" s="10">
        <v>11920</v>
      </c>
      <c r="P1351" s="10">
        <v>32142</v>
      </c>
    </row>
    <row r="1352" spans="1:16" ht="27" customHeight="1" x14ac:dyDescent="0.2">
      <c r="A1352" s="9" t="s">
        <v>4800</v>
      </c>
      <c r="B1352" s="10" t="s">
        <v>4952</v>
      </c>
      <c r="C1352" s="11" t="s">
        <v>18</v>
      </c>
      <c r="D1352" s="11" t="s">
        <v>19</v>
      </c>
      <c r="E1352" s="11" t="s">
        <v>19</v>
      </c>
      <c r="F1352" s="11" t="s">
        <v>4953</v>
      </c>
      <c r="G1352" s="11" t="s">
        <v>83</v>
      </c>
      <c r="H1352" s="11" t="s">
        <v>4954</v>
      </c>
      <c r="I1352" s="11" t="s">
        <v>4955</v>
      </c>
      <c r="J1352" s="12">
        <v>0.91449999999999998</v>
      </c>
      <c r="K1352" s="13">
        <v>26</v>
      </c>
      <c r="L1352" s="14">
        <v>19882</v>
      </c>
      <c r="M1352" s="10">
        <v>13368</v>
      </c>
      <c r="N1352" s="10">
        <v>2196994</v>
      </c>
      <c r="O1352" s="10">
        <v>1048305</v>
      </c>
      <c r="P1352" s="10">
        <v>3245299</v>
      </c>
    </row>
    <row r="1353" spans="1:16" ht="27" customHeight="1" x14ac:dyDescent="0.2">
      <c r="A1353" s="9" t="s">
        <v>4800</v>
      </c>
      <c r="B1353" s="10" t="s">
        <v>4952</v>
      </c>
      <c r="C1353" s="11" t="s">
        <v>4956</v>
      </c>
      <c r="D1353" s="11" t="s">
        <v>4957</v>
      </c>
      <c r="E1353" s="11" t="s">
        <v>26</v>
      </c>
      <c r="F1353" s="11" t="s">
        <v>4958</v>
      </c>
      <c r="G1353" s="11" t="s">
        <v>28</v>
      </c>
      <c r="H1353" s="11" t="s">
        <v>4803</v>
      </c>
      <c r="I1353" s="11" t="s">
        <v>4804</v>
      </c>
      <c r="J1353" s="12">
        <v>0.98809999999999998</v>
      </c>
      <c r="K1353" s="13">
        <v>1</v>
      </c>
      <c r="L1353" s="14">
        <v>246</v>
      </c>
      <c r="M1353" s="10">
        <v>53</v>
      </c>
      <c r="N1353" s="10">
        <v>27183</v>
      </c>
      <c r="O1353" s="10">
        <v>4156</v>
      </c>
      <c r="P1353" s="10">
        <v>31339</v>
      </c>
    </row>
    <row r="1354" spans="1:16" ht="27" customHeight="1" x14ac:dyDescent="0.2">
      <c r="A1354" s="9" t="s">
        <v>4800</v>
      </c>
      <c r="B1354" s="10" t="s">
        <v>4959</v>
      </c>
      <c r="C1354" s="11" t="s">
        <v>18</v>
      </c>
      <c r="D1354" s="11" t="s">
        <v>19</v>
      </c>
      <c r="E1354" s="11" t="s">
        <v>19</v>
      </c>
      <c r="F1354" s="11" t="s">
        <v>4960</v>
      </c>
      <c r="G1354" s="11" t="s">
        <v>83</v>
      </c>
      <c r="H1354" s="11" t="s">
        <v>4961</v>
      </c>
      <c r="I1354" s="11" t="s">
        <v>4962</v>
      </c>
      <c r="J1354" s="12">
        <v>0.89859999999999995</v>
      </c>
      <c r="K1354" s="13">
        <v>31</v>
      </c>
      <c r="L1354" s="14">
        <v>24930</v>
      </c>
      <c r="M1354" s="10">
        <v>20338</v>
      </c>
      <c r="N1354" s="10">
        <v>2754806</v>
      </c>
      <c r="O1354" s="10">
        <v>1594884</v>
      </c>
      <c r="P1354" s="10">
        <v>4349690</v>
      </c>
    </row>
    <row r="1355" spans="1:16" ht="27" customHeight="1" x14ac:dyDescent="0.2">
      <c r="A1355" s="9" t="s">
        <v>4800</v>
      </c>
      <c r="B1355" s="10" t="s">
        <v>4963</v>
      </c>
      <c r="C1355" s="11" t="s">
        <v>18</v>
      </c>
      <c r="D1355" s="11" t="s">
        <v>19</v>
      </c>
      <c r="E1355" s="11" t="s">
        <v>19</v>
      </c>
      <c r="F1355" s="11" t="s">
        <v>4964</v>
      </c>
      <c r="G1355" s="11" t="s">
        <v>83</v>
      </c>
      <c r="H1355" s="11" t="s">
        <v>4965</v>
      </c>
      <c r="I1355" s="11" t="s">
        <v>4966</v>
      </c>
      <c r="J1355" s="12">
        <v>0.66969999999999996</v>
      </c>
      <c r="K1355" s="13">
        <v>8</v>
      </c>
      <c r="L1355" s="14">
        <v>2885</v>
      </c>
      <c r="M1355" s="10">
        <v>1647</v>
      </c>
      <c r="N1355" s="10">
        <v>318797</v>
      </c>
      <c r="O1355" s="10">
        <v>129156</v>
      </c>
      <c r="P1355" s="10">
        <v>447953</v>
      </c>
    </row>
    <row r="1356" spans="1:16" ht="27" customHeight="1" x14ac:dyDescent="0.2">
      <c r="A1356" s="9" t="s">
        <v>4800</v>
      </c>
      <c r="B1356" s="10" t="s">
        <v>4967</v>
      </c>
      <c r="C1356" s="11" t="s">
        <v>18</v>
      </c>
      <c r="D1356" s="11" t="s">
        <v>19</v>
      </c>
      <c r="E1356" s="11" t="s">
        <v>19</v>
      </c>
      <c r="F1356" s="11" t="s">
        <v>4968</v>
      </c>
      <c r="G1356" s="11" t="s">
        <v>83</v>
      </c>
      <c r="H1356" s="11" t="s">
        <v>4969</v>
      </c>
      <c r="I1356" s="11" t="s">
        <v>4970</v>
      </c>
      <c r="J1356" s="12">
        <v>0.95740000000000003</v>
      </c>
      <c r="K1356" s="13">
        <v>77</v>
      </c>
      <c r="L1356" s="14">
        <v>47072</v>
      </c>
      <c r="M1356" s="10">
        <v>41772</v>
      </c>
      <c r="N1356" s="10">
        <v>5201534</v>
      </c>
      <c r="O1356" s="10">
        <v>3275713</v>
      </c>
      <c r="P1356" s="10">
        <v>8477247</v>
      </c>
    </row>
    <row r="1357" spans="1:16" ht="27" customHeight="1" x14ac:dyDescent="0.2">
      <c r="A1357" s="9" t="s">
        <v>4800</v>
      </c>
      <c r="B1357" s="10" t="s">
        <v>4967</v>
      </c>
      <c r="C1357" s="11" t="s">
        <v>4971</v>
      </c>
      <c r="D1357" s="11" t="s">
        <v>4972</v>
      </c>
      <c r="E1357" s="11" t="s">
        <v>26</v>
      </c>
      <c r="F1357" s="11" t="s">
        <v>4973</v>
      </c>
      <c r="G1357" s="11" t="s">
        <v>28</v>
      </c>
      <c r="H1357" s="11" t="s">
        <v>4973</v>
      </c>
      <c r="I1357" s="11" t="s">
        <v>4974</v>
      </c>
      <c r="J1357" s="12">
        <v>0.90910000000000002</v>
      </c>
      <c r="K1357" s="13">
        <v>1</v>
      </c>
      <c r="L1357" s="14">
        <v>319</v>
      </c>
      <c r="M1357" s="10">
        <v>290</v>
      </c>
      <c r="N1357" s="10">
        <v>35250</v>
      </c>
      <c r="O1357" s="10">
        <v>22742</v>
      </c>
      <c r="P1357" s="10">
        <v>57992</v>
      </c>
    </row>
    <row r="1358" spans="1:16" ht="27" customHeight="1" x14ac:dyDescent="0.2">
      <c r="A1358" s="9" t="s">
        <v>4800</v>
      </c>
      <c r="B1358" s="10" t="s">
        <v>4967</v>
      </c>
      <c r="C1358" s="11" t="s">
        <v>4975</v>
      </c>
      <c r="D1358" s="11" t="s">
        <v>4976</v>
      </c>
      <c r="E1358" s="11" t="s">
        <v>26</v>
      </c>
      <c r="F1358" s="11" t="s">
        <v>4977</v>
      </c>
      <c r="G1358" s="11" t="s">
        <v>28</v>
      </c>
      <c r="H1358" s="11" t="s">
        <v>4977</v>
      </c>
      <c r="I1358" s="11" t="s">
        <v>4978</v>
      </c>
      <c r="J1358" s="12">
        <v>0.96879999999999999</v>
      </c>
      <c r="K1358" s="13">
        <v>1</v>
      </c>
      <c r="L1358" s="14">
        <v>385</v>
      </c>
      <c r="M1358" s="10">
        <v>373</v>
      </c>
      <c r="N1358" s="10">
        <v>42543</v>
      </c>
      <c r="O1358" s="10">
        <v>29250</v>
      </c>
      <c r="P1358" s="10">
        <v>71793</v>
      </c>
    </row>
    <row r="1359" spans="1:16" ht="27" customHeight="1" x14ac:dyDescent="0.2">
      <c r="A1359" s="9" t="s">
        <v>4800</v>
      </c>
      <c r="B1359" s="10" t="s">
        <v>4967</v>
      </c>
      <c r="C1359" s="11" t="s">
        <v>4979</v>
      </c>
      <c r="D1359" s="11" t="s">
        <v>4980</v>
      </c>
      <c r="E1359" s="11" t="s">
        <v>26</v>
      </c>
      <c r="F1359" s="11" t="s">
        <v>4981</v>
      </c>
      <c r="G1359" s="11" t="s">
        <v>28</v>
      </c>
      <c r="H1359" s="11" t="s">
        <v>4981</v>
      </c>
      <c r="I1359" s="11" t="s">
        <v>4982</v>
      </c>
      <c r="J1359" s="12">
        <v>0.85609999999999997</v>
      </c>
      <c r="K1359" s="13">
        <v>1</v>
      </c>
      <c r="L1359" s="14">
        <v>431</v>
      </c>
      <c r="M1359" s="10">
        <v>369</v>
      </c>
      <c r="N1359" s="10">
        <v>47626</v>
      </c>
      <c r="O1359" s="10">
        <v>28937</v>
      </c>
      <c r="P1359" s="10">
        <v>76563</v>
      </c>
    </row>
    <row r="1360" spans="1:16" ht="27" customHeight="1" x14ac:dyDescent="0.2">
      <c r="A1360" s="9" t="s">
        <v>4800</v>
      </c>
      <c r="B1360" s="10" t="s">
        <v>4967</v>
      </c>
      <c r="C1360" s="11" t="s">
        <v>4983</v>
      </c>
      <c r="D1360" s="11" t="s">
        <v>4984</v>
      </c>
      <c r="E1360" s="11" t="s">
        <v>26</v>
      </c>
      <c r="F1360" s="11" t="s">
        <v>4985</v>
      </c>
      <c r="G1360" s="11" t="s">
        <v>28</v>
      </c>
      <c r="H1360" s="11" t="s">
        <v>4803</v>
      </c>
      <c r="I1360" s="11" t="s">
        <v>4804</v>
      </c>
      <c r="J1360" s="12">
        <v>0.98809999999999998</v>
      </c>
      <c r="K1360" s="13">
        <v>1</v>
      </c>
      <c r="L1360" s="14">
        <v>363</v>
      </c>
      <c r="M1360" s="10">
        <v>338</v>
      </c>
      <c r="N1360" s="10">
        <v>40112</v>
      </c>
      <c r="O1360" s="10">
        <v>26506</v>
      </c>
      <c r="P1360" s="10">
        <v>66618</v>
      </c>
    </row>
    <row r="1361" spans="1:16" ht="27" customHeight="1" x14ac:dyDescent="0.2">
      <c r="A1361" s="9" t="s">
        <v>4800</v>
      </c>
      <c r="B1361" s="10" t="s">
        <v>4967</v>
      </c>
      <c r="C1361" s="11" t="s">
        <v>4986</v>
      </c>
      <c r="D1361" s="11" t="s">
        <v>4987</v>
      </c>
      <c r="E1361" s="11" t="s">
        <v>26</v>
      </c>
      <c r="F1361" s="11" t="s">
        <v>4988</v>
      </c>
      <c r="G1361" s="11" t="s">
        <v>28</v>
      </c>
      <c r="H1361" s="11" t="s">
        <v>4803</v>
      </c>
      <c r="I1361" s="11" t="s">
        <v>4804</v>
      </c>
      <c r="J1361" s="12">
        <v>0.98809999999999998</v>
      </c>
      <c r="K1361" s="13">
        <v>1</v>
      </c>
      <c r="L1361" s="14">
        <v>910</v>
      </c>
      <c r="M1361" s="10">
        <v>810</v>
      </c>
      <c r="N1361" s="10">
        <v>100557</v>
      </c>
      <c r="O1361" s="10">
        <v>63519</v>
      </c>
      <c r="P1361" s="10">
        <v>164076</v>
      </c>
    </row>
    <row r="1362" spans="1:16" ht="27" customHeight="1" x14ac:dyDescent="0.2">
      <c r="A1362" s="9" t="s">
        <v>4800</v>
      </c>
      <c r="B1362" s="10" t="s">
        <v>4967</v>
      </c>
      <c r="C1362" s="11" t="s">
        <v>4989</v>
      </c>
      <c r="D1362" s="11" t="s">
        <v>4990</v>
      </c>
      <c r="E1362" s="11" t="s">
        <v>26</v>
      </c>
      <c r="F1362" s="11" t="s">
        <v>4991</v>
      </c>
      <c r="G1362" s="11" t="s">
        <v>28</v>
      </c>
      <c r="H1362" s="11" t="s">
        <v>4991</v>
      </c>
      <c r="I1362" s="11" t="s">
        <v>4992</v>
      </c>
      <c r="J1362" s="12">
        <v>0.93169999999999997</v>
      </c>
      <c r="K1362" s="13">
        <v>1</v>
      </c>
      <c r="L1362" s="14">
        <v>454</v>
      </c>
      <c r="M1362" s="10">
        <v>423</v>
      </c>
      <c r="N1362" s="10">
        <v>50168</v>
      </c>
      <c r="O1362" s="10">
        <v>33171</v>
      </c>
      <c r="P1362" s="10">
        <v>83339</v>
      </c>
    </row>
    <row r="1363" spans="1:16" ht="27" customHeight="1" x14ac:dyDescent="0.2">
      <c r="A1363" s="9" t="s">
        <v>4800</v>
      </c>
      <c r="B1363" s="10" t="s">
        <v>4967</v>
      </c>
      <c r="C1363" s="11" t="s">
        <v>4993</v>
      </c>
      <c r="D1363" s="11" t="s">
        <v>4994</v>
      </c>
      <c r="E1363" s="11" t="s">
        <v>26</v>
      </c>
      <c r="F1363" s="11" t="s">
        <v>4995</v>
      </c>
      <c r="G1363" s="11" t="s">
        <v>28</v>
      </c>
      <c r="H1363" s="11" t="s">
        <v>4995</v>
      </c>
      <c r="I1363" s="11" t="s">
        <v>4996</v>
      </c>
      <c r="J1363" s="12">
        <v>0.86750000000000005</v>
      </c>
      <c r="K1363" s="13">
        <v>1</v>
      </c>
      <c r="L1363" s="14">
        <v>317</v>
      </c>
      <c r="M1363" s="10">
        <v>275</v>
      </c>
      <c r="N1363" s="10">
        <v>35029</v>
      </c>
      <c r="O1363" s="10">
        <v>21565</v>
      </c>
      <c r="P1363" s="10">
        <v>56594</v>
      </c>
    </row>
    <row r="1364" spans="1:16" ht="27" customHeight="1" x14ac:dyDescent="0.2">
      <c r="A1364" s="9" t="s">
        <v>4800</v>
      </c>
      <c r="B1364" s="10" t="s">
        <v>4967</v>
      </c>
      <c r="C1364" s="11" t="s">
        <v>4997</v>
      </c>
      <c r="D1364" s="11" t="s">
        <v>4998</v>
      </c>
      <c r="E1364" s="11" t="s">
        <v>26</v>
      </c>
      <c r="F1364" s="11" t="s">
        <v>4803</v>
      </c>
      <c r="G1364" s="11" t="s">
        <v>28</v>
      </c>
      <c r="H1364" s="11" t="s">
        <v>4803</v>
      </c>
      <c r="I1364" s="11" t="s">
        <v>4804</v>
      </c>
      <c r="J1364" s="12">
        <v>0.98809999999999998</v>
      </c>
      <c r="K1364" s="13">
        <v>1</v>
      </c>
      <c r="L1364" s="14">
        <v>84</v>
      </c>
      <c r="M1364" s="10">
        <v>83</v>
      </c>
      <c r="N1364" s="10">
        <v>9282</v>
      </c>
      <c r="O1364" s="10">
        <v>6509</v>
      </c>
      <c r="P1364" s="10">
        <v>15791</v>
      </c>
    </row>
    <row r="1365" spans="1:16" ht="27" customHeight="1" x14ac:dyDescent="0.2">
      <c r="A1365" s="9" t="s">
        <v>4800</v>
      </c>
      <c r="B1365" s="10" t="s">
        <v>4967</v>
      </c>
      <c r="C1365" s="11" t="s">
        <v>4999</v>
      </c>
      <c r="D1365" s="11" t="s">
        <v>5000</v>
      </c>
      <c r="E1365" s="11" t="s">
        <v>26</v>
      </c>
      <c r="F1365" s="11" t="s">
        <v>5001</v>
      </c>
      <c r="G1365" s="11" t="s">
        <v>28</v>
      </c>
      <c r="H1365" s="11" t="s">
        <v>5001</v>
      </c>
      <c r="I1365" s="11" t="s">
        <v>5002</v>
      </c>
      <c r="J1365" s="12">
        <v>0.85709999999999997</v>
      </c>
      <c r="K1365" s="13">
        <v>1</v>
      </c>
      <c r="L1365" s="14">
        <v>168</v>
      </c>
      <c r="M1365" s="10">
        <v>144</v>
      </c>
      <c r="N1365" s="10">
        <v>18564</v>
      </c>
      <c r="O1365" s="10">
        <v>11292</v>
      </c>
      <c r="P1365" s="10">
        <v>29856</v>
      </c>
    </row>
    <row r="1366" spans="1:16" ht="27" customHeight="1" x14ac:dyDescent="0.2">
      <c r="A1366" s="9" t="s">
        <v>4800</v>
      </c>
      <c r="B1366" s="10" t="s">
        <v>4967</v>
      </c>
      <c r="C1366" s="11" t="s">
        <v>5003</v>
      </c>
      <c r="D1366" s="11" t="s">
        <v>5004</v>
      </c>
      <c r="E1366" s="11" t="s">
        <v>26</v>
      </c>
      <c r="F1366" s="11" t="s">
        <v>5005</v>
      </c>
      <c r="G1366" s="11" t="s">
        <v>28</v>
      </c>
      <c r="H1366" s="11" t="s">
        <v>4803</v>
      </c>
      <c r="I1366" s="11" t="s">
        <v>4804</v>
      </c>
      <c r="J1366" s="12">
        <v>0.98809999999999998</v>
      </c>
      <c r="K1366" s="13">
        <v>1</v>
      </c>
      <c r="L1366" s="14">
        <v>579</v>
      </c>
      <c r="M1366" s="10">
        <v>458</v>
      </c>
      <c r="N1366" s="10">
        <v>63980</v>
      </c>
      <c r="O1366" s="10">
        <v>35916</v>
      </c>
      <c r="P1366" s="10">
        <v>99896</v>
      </c>
    </row>
    <row r="1367" spans="1:16" ht="27" customHeight="1" x14ac:dyDescent="0.2">
      <c r="A1367" s="9" t="s">
        <v>4800</v>
      </c>
      <c r="B1367" s="10" t="s">
        <v>4967</v>
      </c>
      <c r="C1367" s="11" t="s">
        <v>5006</v>
      </c>
      <c r="D1367" s="11" t="s">
        <v>5007</v>
      </c>
      <c r="E1367" s="11" t="s">
        <v>26</v>
      </c>
      <c r="F1367" s="11" t="s">
        <v>5008</v>
      </c>
      <c r="G1367" s="11" t="s">
        <v>28</v>
      </c>
      <c r="H1367" s="11" t="s">
        <v>5008</v>
      </c>
      <c r="I1367" s="11" t="s">
        <v>5009</v>
      </c>
      <c r="J1367" s="12">
        <v>0.77249999999999996</v>
      </c>
      <c r="K1367" s="13">
        <v>1</v>
      </c>
      <c r="L1367" s="14">
        <v>212</v>
      </c>
      <c r="M1367" s="10">
        <v>164</v>
      </c>
      <c r="N1367" s="10">
        <v>23426</v>
      </c>
      <c r="O1367" s="10">
        <v>12861</v>
      </c>
      <c r="P1367" s="10">
        <v>36287</v>
      </c>
    </row>
    <row r="1368" spans="1:16" ht="27" customHeight="1" x14ac:dyDescent="0.2">
      <c r="A1368" s="9" t="s">
        <v>4800</v>
      </c>
      <c r="B1368" s="10" t="s">
        <v>4967</v>
      </c>
      <c r="C1368" s="11" t="s">
        <v>5010</v>
      </c>
      <c r="D1368" s="11" t="s">
        <v>5011</v>
      </c>
      <c r="E1368" s="11" t="s">
        <v>26</v>
      </c>
      <c r="F1368" s="11" t="s">
        <v>5012</v>
      </c>
      <c r="G1368" s="11" t="s">
        <v>28</v>
      </c>
      <c r="H1368" s="11" t="s">
        <v>5012</v>
      </c>
      <c r="I1368" s="11" t="s">
        <v>5013</v>
      </c>
      <c r="J1368" s="12">
        <v>0.80579999999999996</v>
      </c>
      <c r="K1368" s="13">
        <v>1</v>
      </c>
      <c r="L1368" s="14">
        <v>242</v>
      </c>
      <c r="M1368" s="10">
        <v>195</v>
      </c>
      <c r="N1368" s="10">
        <v>26741</v>
      </c>
      <c r="O1368" s="10">
        <v>15292</v>
      </c>
      <c r="P1368" s="10">
        <v>42033</v>
      </c>
    </row>
    <row r="1369" spans="1:16" ht="27" customHeight="1" x14ac:dyDescent="0.2">
      <c r="A1369" s="9" t="s">
        <v>4800</v>
      </c>
      <c r="B1369" s="10" t="s">
        <v>5014</v>
      </c>
      <c r="C1369" s="11" t="s">
        <v>18</v>
      </c>
      <c r="D1369" s="11" t="s">
        <v>19</v>
      </c>
      <c r="E1369" s="11" t="s">
        <v>19</v>
      </c>
      <c r="F1369" s="11" t="s">
        <v>5015</v>
      </c>
      <c r="G1369" s="11" t="s">
        <v>83</v>
      </c>
      <c r="H1369" s="11" t="s">
        <v>5016</v>
      </c>
      <c r="I1369" s="11" t="s">
        <v>5017</v>
      </c>
      <c r="J1369" s="12">
        <v>0.70989999999999998</v>
      </c>
      <c r="K1369" s="13">
        <v>3</v>
      </c>
      <c r="L1369" s="14">
        <v>248</v>
      </c>
      <c r="M1369" s="10">
        <v>182</v>
      </c>
      <c r="N1369" s="10">
        <v>27404</v>
      </c>
      <c r="O1369" s="10">
        <v>14272</v>
      </c>
      <c r="P1369" s="10">
        <v>41676</v>
      </c>
    </row>
    <row r="1370" spans="1:16" ht="27" customHeight="1" x14ac:dyDescent="0.2">
      <c r="A1370" s="9" t="s">
        <v>4800</v>
      </c>
      <c r="B1370" s="10" t="s">
        <v>5018</v>
      </c>
      <c r="C1370" s="11" t="s">
        <v>18</v>
      </c>
      <c r="D1370" s="11" t="s">
        <v>19</v>
      </c>
      <c r="E1370" s="11" t="s">
        <v>19</v>
      </c>
      <c r="F1370" s="11" t="s">
        <v>5019</v>
      </c>
      <c r="G1370" s="11" t="s">
        <v>83</v>
      </c>
      <c r="H1370" s="11" t="s">
        <v>5020</v>
      </c>
      <c r="I1370" s="11" t="s">
        <v>5021</v>
      </c>
      <c r="J1370" s="12">
        <v>0.96799999999999997</v>
      </c>
      <c r="K1370" s="13">
        <v>18</v>
      </c>
      <c r="L1370" s="14">
        <v>11961</v>
      </c>
      <c r="M1370" s="10">
        <v>10201</v>
      </c>
      <c r="N1370" s="10">
        <v>1321710</v>
      </c>
      <c r="O1370" s="10">
        <v>799952</v>
      </c>
      <c r="P1370" s="10">
        <v>2121662</v>
      </c>
    </row>
    <row r="1371" spans="1:16" ht="27" customHeight="1" x14ac:dyDescent="0.2">
      <c r="A1371" s="9" t="s">
        <v>4800</v>
      </c>
      <c r="B1371" s="10" t="s">
        <v>5018</v>
      </c>
      <c r="C1371" s="11" t="s">
        <v>5022</v>
      </c>
      <c r="D1371" s="11" t="s">
        <v>5023</v>
      </c>
      <c r="E1371" s="11" t="s">
        <v>57</v>
      </c>
      <c r="F1371" s="11" t="s">
        <v>5024</v>
      </c>
      <c r="G1371" s="11" t="s">
        <v>28</v>
      </c>
      <c r="H1371" s="11" t="s">
        <v>5024</v>
      </c>
      <c r="I1371" s="11" t="s">
        <v>5025</v>
      </c>
      <c r="J1371" s="12">
        <v>0.74570000000000003</v>
      </c>
      <c r="K1371" s="13">
        <v>1</v>
      </c>
      <c r="L1371" s="14">
        <v>232</v>
      </c>
      <c r="M1371" s="10">
        <v>173</v>
      </c>
      <c r="N1371" s="10">
        <v>25636</v>
      </c>
      <c r="O1371" s="10">
        <v>13566</v>
      </c>
      <c r="P1371" s="10">
        <v>39202</v>
      </c>
    </row>
    <row r="1372" spans="1:16" ht="27" customHeight="1" x14ac:dyDescent="0.2">
      <c r="A1372" s="9" t="s">
        <v>4800</v>
      </c>
      <c r="B1372" s="10" t="s">
        <v>5018</v>
      </c>
      <c r="C1372" s="11" t="s">
        <v>5026</v>
      </c>
      <c r="D1372" s="11" t="s">
        <v>5027</v>
      </c>
      <c r="E1372" s="11" t="s">
        <v>57</v>
      </c>
      <c r="F1372" s="11" t="s">
        <v>5028</v>
      </c>
      <c r="G1372" s="11" t="s">
        <v>28</v>
      </c>
      <c r="H1372" s="11" t="s">
        <v>5028</v>
      </c>
      <c r="I1372" s="11" t="s">
        <v>5029</v>
      </c>
      <c r="J1372" s="12">
        <v>0.47299999999999998</v>
      </c>
      <c r="K1372" s="13">
        <v>1</v>
      </c>
      <c r="L1372" s="14">
        <v>222</v>
      </c>
      <c r="M1372" s="10">
        <v>105</v>
      </c>
      <c r="N1372" s="10">
        <v>24531</v>
      </c>
      <c r="O1372" s="10">
        <v>8234</v>
      </c>
      <c r="P1372" s="10">
        <v>32765</v>
      </c>
    </row>
    <row r="1373" spans="1:16" ht="27" customHeight="1" x14ac:dyDescent="0.2">
      <c r="A1373" s="9" t="s">
        <v>4800</v>
      </c>
      <c r="B1373" s="10" t="s">
        <v>5030</v>
      </c>
      <c r="C1373" s="11" t="s">
        <v>18</v>
      </c>
      <c r="D1373" s="11" t="s">
        <v>19</v>
      </c>
      <c r="E1373" s="11" t="s">
        <v>19</v>
      </c>
      <c r="F1373" s="11" t="s">
        <v>5031</v>
      </c>
      <c r="G1373" s="11" t="s">
        <v>83</v>
      </c>
      <c r="H1373" s="11" t="s">
        <v>4803</v>
      </c>
      <c r="I1373" s="11" t="s">
        <v>4804</v>
      </c>
      <c r="J1373" s="12">
        <v>0.98809999999999998</v>
      </c>
      <c r="K1373" s="13">
        <v>12</v>
      </c>
      <c r="L1373" s="14">
        <v>11340</v>
      </c>
      <c r="M1373" s="10">
        <v>7381</v>
      </c>
      <c r="N1373" s="10">
        <v>1253088</v>
      </c>
      <c r="O1373" s="10">
        <v>578811</v>
      </c>
      <c r="P1373" s="10">
        <v>1831899</v>
      </c>
    </row>
    <row r="1374" spans="1:16" ht="27" customHeight="1" x14ac:dyDescent="0.2">
      <c r="A1374" s="9" t="s">
        <v>4800</v>
      </c>
      <c r="B1374" s="10" t="s">
        <v>5030</v>
      </c>
      <c r="C1374" s="11" t="s">
        <v>5032</v>
      </c>
      <c r="D1374" s="11" t="s">
        <v>5033</v>
      </c>
      <c r="E1374" s="11" t="s">
        <v>26</v>
      </c>
      <c r="F1374" s="11" t="s">
        <v>5034</v>
      </c>
      <c r="G1374" s="11" t="s">
        <v>28</v>
      </c>
      <c r="H1374" s="11" t="s">
        <v>4803</v>
      </c>
      <c r="I1374" s="11" t="s">
        <v>4804</v>
      </c>
      <c r="J1374" s="12">
        <v>0.98809999999999998</v>
      </c>
      <c r="K1374" s="13">
        <v>1</v>
      </c>
      <c r="L1374" s="14">
        <v>748</v>
      </c>
      <c r="M1374" s="10">
        <v>665</v>
      </c>
      <c r="N1374" s="10">
        <v>82655</v>
      </c>
      <c r="O1374" s="10">
        <v>52149</v>
      </c>
      <c r="P1374" s="10">
        <v>134804</v>
      </c>
    </row>
    <row r="1375" spans="1:16" ht="27" customHeight="1" x14ac:dyDescent="0.2">
      <c r="A1375" s="9" t="s">
        <v>4800</v>
      </c>
      <c r="B1375" s="10" t="s">
        <v>5035</v>
      </c>
      <c r="C1375" s="11" t="s">
        <v>18</v>
      </c>
      <c r="D1375" s="11" t="s">
        <v>19</v>
      </c>
      <c r="E1375" s="11" t="s">
        <v>19</v>
      </c>
      <c r="F1375" s="11" t="s">
        <v>5036</v>
      </c>
      <c r="G1375" s="11" t="s">
        <v>83</v>
      </c>
      <c r="H1375" s="11" t="s">
        <v>5037</v>
      </c>
      <c r="I1375" s="11" t="s">
        <v>5038</v>
      </c>
      <c r="J1375" s="12">
        <v>0.80600000000000005</v>
      </c>
      <c r="K1375" s="13">
        <v>14</v>
      </c>
      <c r="L1375" s="14">
        <v>7915</v>
      </c>
      <c r="M1375" s="10">
        <v>5048</v>
      </c>
      <c r="N1375" s="10">
        <v>874622</v>
      </c>
      <c r="O1375" s="10">
        <v>395860</v>
      </c>
      <c r="P1375" s="10">
        <v>1270482</v>
      </c>
    </row>
    <row r="1376" spans="1:16" ht="27" customHeight="1" x14ac:dyDescent="0.2">
      <c r="A1376" s="9" t="s">
        <v>4800</v>
      </c>
      <c r="B1376" s="10" t="s">
        <v>5035</v>
      </c>
      <c r="C1376" s="11" t="s">
        <v>5039</v>
      </c>
      <c r="D1376" s="11" t="s">
        <v>5040</v>
      </c>
      <c r="E1376" s="11" t="s">
        <v>26</v>
      </c>
      <c r="F1376" s="11" t="s">
        <v>5041</v>
      </c>
      <c r="G1376" s="11" t="s">
        <v>28</v>
      </c>
      <c r="H1376" s="11" t="s">
        <v>5041</v>
      </c>
      <c r="I1376" s="11" t="s">
        <v>5042</v>
      </c>
      <c r="J1376" s="12">
        <v>0.26829999999999998</v>
      </c>
      <c r="K1376" s="13">
        <v>1</v>
      </c>
      <c r="L1376" s="14">
        <v>984</v>
      </c>
      <c r="M1376" s="10">
        <v>264</v>
      </c>
      <c r="N1376" s="10">
        <v>108734</v>
      </c>
      <c r="O1376" s="10">
        <v>20703</v>
      </c>
      <c r="P1376" s="10">
        <v>129437</v>
      </c>
    </row>
    <row r="1377" spans="1:16" ht="27" customHeight="1" x14ac:dyDescent="0.2">
      <c r="A1377" s="9" t="s">
        <v>4800</v>
      </c>
      <c r="B1377" s="10" t="s">
        <v>5035</v>
      </c>
      <c r="C1377" s="11" t="s">
        <v>5043</v>
      </c>
      <c r="D1377" s="11" t="s">
        <v>5044</v>
      </c>
      <c r="E1377" s="11" t="s">
        <v>57</v>
      </c>
      <c r="F1377" s="11" t="s">
        <v>5045</v>
      </c>
      <c r="G1377" s="11" t="s">
        <v>28</v>
      </c>
      <c r="H1377" s="11" t="s">
        <v>5045</v>
      </c>
      <c r="I1377" s="11" t="s">
        <v>5046</v>
      </c>
      <c r="J1377" s="12">
        <v>0.35010000000000002</v>
      </c>
      <c r="K1377" s="13">
        <v>1</v>
      </c>
      <c r="L1377" s="14">
        <v>697</v>
      </c>
      <c r="M1377" s="10">
        <v>244</v>
      </c>
      <c r="N1377" s="10">
        <v>77020</v>
      </c>
      <c r="O1377" s="10">
        <v>19134</v>
      </c>
      <c r="P1377" s="10">
        <v>96154</v>
      </c>
    </row>
    <row r="1378" spans="1:16" ht="27" customHeight="1" x14ac:dyDescent="0.2">
      <c r="A1378" s="9" t="s">
        <v>4800</v>
      </c>
      <c r="B1378" s="10" t="s">
        <v>5047</v>
      </c>
      <c r="C1378" s="11" t="s">
        <v>18</v>
      </c>
      <c r="D1378" s="11" t="s">
        <v>19</v>
      </c>
      <c r="E1378" s="11" t="s">
        <v>19</v>
      </c>
      <c r="F1378" s="11" t="s">
        <v>5048</v>
      </c>
      <c r="G1378" s="11" t="s">
        <v>83</v>
      </c>
      <c r="H1378" s="11" t="s">
        <v>5049</v>
      </c>
      <c r="I1378" s="11" t="s">
        <v>5050</v>
      </c>
      <c r="J1378" s="12">
        <v>0.67159999999999997</v>
      </c>
      <c r="K1378" s="13">
        <v>4</v>
      </c>
      <c r="L1378" s="14">
        <v>134</v>
      </c>
      <c r="M1378" s="10">
        <v>75</v>
      </c>
      <c r="N1378" s="10">
        <v>14808</v>
      </c>
      <c r="O1378" s="10">
        <v>5882</v>
      </c>
      <c r="P1378" s="10">
        <v>20690</v>
      </c>
    </row>
    <row r="1379" spans="1:16" ht="27" customHeight="1" x14ac:dyDescent="0.2">
      <c r="A1379" s="9" t="s">
        <v>4800</v>
      </c>
      <c r="B1379" s="10" t="s">
        <v>5051</v>
      </c>
      <c r="C1379" s="11" t="s">
        <v>18</v>
      </c>
      <c r="D1379" s="11" t="s">
        <v>19</v>
      </c>
      <c r="E1379" s="11" t="s">
        <v>19</v>
      </c>
      <c r="F1379" s="11" t="s">
        <v>5052</v>
      </c>
      <c r="G1379" s="11" t="s">
        <v>83</v>
      </c>
      <c r="H1379" s="11" t="s">
        <v>5053</v>
      </c>
      <c r="I1379" s="11" t="s">
        <v>5054</v>
      </c>
      <c r="J1379" s="12">
        <v>0.91510000000000002</v>
      </c>
      <c r="K1379" s="13">
        <v>10</v>
      </c>
      <c r="L1379" s="14">
        <v>1965</v>
      </c>
      <c r="M1379" s="10">
        <v>1141</v>
      </c>
      <c r="N1379" s="10">
        <v>217137</v>
      </c>
      <c r="O1379" s="10">
        <v>89477</v>
      </c>
      <c r="P1379" s="10">
        <v>306614</v>
      </c>
    </row>
    <row r="1380" spans="1:16" ht="27" customHeight="1" x14ac:dyDescent="0.2">
      <c r="A1380" s="9" t="s">
        <v>4800</v>
      </c>
      <c r="B1380" s="10" t="s">
        <v>5055</v>
      </c>
      <c r="C1380" s="11" t="s">
        <v>18</v>
      </c>
      <c r="D1380" s="11" t="s">
        <v>19</v>
      </c>
      <c r="E1380" s="11" t="s">
        <v>19</v>
      </c>
      <c r="F1380" s="11" t="s">
        <v>5056</v>
      </c>
      <c r="G1380" s="11" t="s">
        <v>83</v>
      </c>
      <c r="H1380" s="11" t="s">
        <v>5057</v>
      </c>
      <c r="I1380" s="11" t="s">
        <v>5058</v>
      </c>
      <c r="J1380" s="12">
        <v>0.84599999999999997</v>
      </c>
      <c r="K1380" s="13">
        <v>13</v>
      </c>
      <c r="L1380" s="14">
        <v>7962</v>
      </c>
      <c r="M1380" s="10">
        <v>5427</v>
      </c>
      <c r="N1380" s="10">
        <v>879815</v>
      </c>
      <c r="O1380" s="10">
        <v>425580</v>
      </c>
      <c r="P1380" s="10">
        <v>1305395</v>
      </c>
    </row>
    <row r="1381" spans="1:16" ht="27" customHeight="1" x14ac:dyDescent="0.2">
      <c r="A1381" s="9" t="s">
        <v>4800</v>
      </c>
      <c r="B1381" s="10" t="s">
        <v>5059</v>
      </c>
      <c r="C1381" s="11" t="s">
        <v>18</v>
      </c>
      <c r="D1381" s="11" t="s">
        <v>19</v>
      </c>
      <c r="E1381" s="11" t="s">
        <v>19</v>
      </c>
      <c r="F1381" s="11" t="s">
        <v>5060</v>
      </c>
      <c r="G1381" s="11" t="s">
        <v>83</v>
      </c>
      <c r="H1381" s="11" t="s">
        <v>5061</v>
      </c>
      <c r="I1381" s="11" t="s">
        <v>5062</v>
      </c>
      <c r="J1381" s="12">
        <v>0.77790000000000004</v>
      </c>
      <c r="K1381" s="13">
        <v>26</v>
      </c>
      <c r="L1381" s="14">
        <v>23015</v>
      </c>
      <c r="M1381" s="10">
        <v>13360</v>
      </c>
      <c r="N1381" s="10">
        <v>2543194</v>
      </c>
      <c r="O1381" s="10">
        <v>1047679</v>
      </c>
      <c r="P1381" s="10">
        <v>3590873</v>
      </c>
    </row>
    <row r="1382" spans="1:16" ht="27" customHeight="1" x14ac:dyDescent="0.2">
      <c r="A1382" s="9" t="s">
        <v>4800</v>
      </c>
      <c r="B1382" s="10" t="s">
        <v>5059</v>
      </c>
      <c r="C1382" s="11" t="s">
        <v>5063</v>
      </c>
      <c r="D1382" s="11" t="s">
        <v>5064</v>
      </c>
      <c r="E1382" s="11" t="s">
        <v>26</v>
      </c>
      <c r="F1382" s="11" t="s">
        <v>5065</v>
      </c>
      <c r="G1382" s="11" t="s">
        <v>28</v>
      </c>
      <c r="H1382" s="11" t="s">
        <v>4803</v>
      </c>
      <c r="I1382" s="11" t="s">
        <v>4804</v>
      </c>
      <c r="J1382" s="12">
        <v>0.98809999999999998</v>
      </c>
      <c r="K1382" s="13">
        <v>1</v>
      </c>
      <c r="L1382" s="14">
        <v>224</v>
      </c>
      <c r="M1382" s="10">
        <v>183</v>
      </c>
      <c r="N1382" s="10">
        <v>24752</v>
      </c>
      <c r="O1382" s="10">
        <v>14351</v>
      </c>
      <c r="P1382" s="10">
        <v>39103</v>
      </c>
    </row>
    <row r="1383" spans="1:16" ht="27" customHeight="1" x14ac:dyDescent="0.2">
      <c r="A1383" s="9" t="s">
        <v>4800</v>
      </c>
      <c r="B1383" s="10" t="s">
        <v>5059</v>
      </c>
      <c r="C1383" s="11" t="s">
        <v>5066</v>
      </c>
      <c r="D1383" s="11" t="s">
        <v>5067</v>
      </c>
      <c r="E1383" s="11" t="s">
        <v>26</v>
      </c>
      <c r="F1383" s="11" t="s">
        <v>5068</v>
      </c>
      <c r="G1383" s="11" t="s">
        <v>28</v>
      </c>
      <c r="H1383" s="11" t="s">
        <v>5068</v>
      </c>
      <c r="I1383" s="11" t="s">
        <v>5069</v>
      </c>
      <c r="J1383" s="12">
        <v>0.59950000000000003</v>
      </c>
      <c r="K1383" s="13">
        <v>1</v>
      </c>
      <c r="L1383" s="14">
        <v>372</v>
      </c>
      <c r="M1383" s="10">
        <v>223</v>
      </c>
      <c r="N1383" s="10">
        <v>41107</v>
      </c>
      <c r="O1383" s="10">
        <v>17487</v>
      </c>
      <c r="P1383" s="10">
        <v>58594</v>
      </c>
    </row>
    <row r="1384" spans="1:16" ht="27" customHeight="1" x14ac:dyDescent="0.2">
      <c r="A1384" s="9" t="s">
        <v>4800</v>
      </c>
      <c r="B1384" s="10" t="s">
        <v>5059</v>
      </c>
      <c r="C1384" s="11" t="s">
        <v>5070</v>
      </c>
      <c r="D1384" s="11" t="s">
        <v>5071</v>
      </c>
      <c r="E1384" s="11" t="s">
        <v>26</v>
      </c>
      <c r="F1384" s="11" t="s">
        <v>5072</v>
      </c>
      <c r="G1384" s="11" t="s">
        <v>28</v>
      </c>
      <c r="H1384" s="11" t="s">
        <v>4803</v>
      </c>
      <c r="I1384" s="11" t="s">
        <v>4804</v>
      </c>
      <c r="J1384" s="12">
        <v>0.98809999999999998</v>
      </c>
      <c r="K1384" s="13">
        <v>1</v>
      </c>
      <c r="L1384" s="14">
        <v>287</v>
      </c>
      <c r="M1384" s="10">
        <v>215</v>
      </c>
      <c r="N1384" s="10">
        <v>31714</v>
      </c>
      <c r="O1384" s="10">
        <v>16860</v>
      </c>
      <c r="P1384" s="10">
        <v>48574</v>
      </c>
    </row>
    <row r="1385" spans="1:16" ht="27" customHeight="1" x14ac:dyDescent="0.2">
      <c r="A1385" s="9" t="s">
        <v>4800</v>
      </c>
      <c r="B1385" s="10" t="s">
        <v>5059</v>
      </c>
      <c r="C1385" s="11" t="s">
        <v>5073</v>
      </c>
      <c r="D1385" s="11" t="s">
        <v>5074</v>
      </c>
      <c r="E1385" s="11" t="s">
        <v>26</v>
      </c>
      <c r="F1385" s="11" t="s">
        <v>5075</v>
      </c>
      <c r="G1385" s="11" t="s">
        <v>28</v>
      </c>
      <c r="H1385" s="11" t="s">
        <v>4803</v>
      </c>
      <c r="I1385" s="11" t="s">
        <v>4804</v>
      </c>
      <c r="J1385" s="12">
        <v>0.98809999999999998</v>
      </c>
      <c r="K1385" s="13">
        <v>1</v>
      </c>
      <c r="L1385" s="14">
        <v>630</v>
      </c>
      <c r="M1385" s="10">
        <v>326</v>
      </c>
      <c r="N1385" s="10">
        <v>69616</v>
      </c>
      <c r="O1385" s="10">
        <v>25565</v>
      </c>
      <c r="P1385" s="10">
        <v>95181</v>
      </c>
    </row>
    <row r="1386" spans="1:16" ht="27" customHeight="1" x14ac:dyDescent="0.2">
      <c r="A1386" s="9" t="s">
        <v>4800</v>
      </c>
      <c r="B1386" s="10" t="s">
        <v>5059</v>
      </c>
      <c r="C1386" s="11" t="s">
        <v>5076</v>
      </c>
      <c r="D1386" s="11" t="s">
        <v>5077</v>
      </c>
      <c r="E1386" s="11" t="s">
        <v>26</v>
      </c>
      <c r="F1386" s="11" t="s">
        <v>5078</v>
      </c>
      <c r="G1386" s="11" t="s">
        <v>28</v>
      </c>
      <c r="H1386" s="11" t="s">
        <v>5078</v>
      </c>
      <c r="I1386" s="11" t="s">
        <v>5079</v>
      </c>
      <c r="J1386" s="12">
        <v>0.64600000000000002</v>
      </c>
      <c r="K1386" s="13">
        <v>1</v>
      </c>
      <c r="L1386" s="14">
        <v>531</v>
      </c>
      <c r="M1386" s="10">
        <v>343</v>
      </c>
      <c r="N1386" s="10">
        <v>58676</v>
      </c>
      <c r="O1386" s="10">
        <v>26898</v>
      </c>
      <c r="P1386" s="10">
        <v>85574</v>
      </c>
    </row>
    <row r="1387" spans="1:16" ht="27" customHeight="1" x14ac:dyDescent="0.2">
      <c r="A1387" s="9" t="s">
        <v>4800</v>
      </c>
      <c r="B1387" s="10" t="s">
        <v>5080</v>
      </c>
      <c r="C1387" s="11" t="s">
        <v>18</v>
      </c>
      <c r="D1387" s="11" t="s">
        <v>19</v>
      </c>
      <c r="E1387" s="11" t="s">
        <v>19</v>
      </c>
      <c r="F1387" s="11" t="s">
        <v>5081</v>
      </c>
      <c r="G1387" s="11" t="s">
        <v>83</v>
      </c>
      <c r="H1387" s="11" t="s">
        <v>5082</v>
      </c>
      <c r="I1387" s="11" t="s">
        <v>5083</v>
      </c>
      <c r="J1387" s="12">
        <v>0.91279999999999994</v>
      </c>
      <c r="K1387" s="13">
        <v>5</v>
      </c>
      <c r="L1387" s="14">
        <v>1029</v>
      </c>
      <c r="M1387" s="10">
        <v>934</v>
      </c>
      <c r="N1387" s="10">
        <v>113707</v>
      </c>
      <c r="O1387" s="10">
        <v>73244</v>
      </c>
      <c r="P1387" s="10">
        <v>186951</v>
      </c>
    </row>
    <row r="1388" spans="1:16" ht="27" customHeight="1" x14ac:dyDescent="0.2">
      <c r="A1388" s="9" t="s">
        <v>4800</v>
      </c>
      <c r="B1388" s="10" t="s">
        <v>5080</v>
      </c>
      <c r="C1388" s="11" t="s">
        <v>5084</v>
      </c>
      <c r="D1388" s="11" t="s">
        <v>5085</v>
      </c>
      <c r="E1388" s="11" t="s">
        <v>26</v>
      </c>
      <c r="F1388" s="11" t="s">
        <v>5086</v>
      </c>
      <c r="G1388" s="11" t="s">
        <v>28</v>
      </c>
      <c r="H1388" s="11" t="s">
        <v>5086</v>
      </c>
      <c r="I1388" s="11" t="s">
        <v>5087</v>
      </c>
      <c r="J1388" s="12">
        <v>0.34889999999999999</v>
      </c>
      <c r="K1388" s="13">
        <v>1</v>
      </c>
      <c r="L1388" s="14">
        <v>2138</v>
      </c>
      <c r="M1388" s="10">
        <v>746</v>
      </c>
      <c r="N1388" s="10">
        <v>236253</v>
      </c>
      <c r="O1388" s="10">
        <v>58501</v>
      </c>
      <c r="P1388" s="10">
        <v>294754</v>
      </c>
    </row>
    <row r="1389" spans="1:16" ht="27" customHeight="1" x14ac:dyDescent="0.2">
      <c r="A1389" s="9" t="s">
        <v>4800</v>
      </c>
      <c r="B1389" s="10" t="s">
        <v>5080</v>
      </c>
      <c r="C1389" s="11" t="s">
        <v>5088</v>
      </c>
      <c r="D1389" s="11" t="s">
        <v>5089</v>
      </c>
      <c r="E1389" s="11" t="s">
        <v>26</v>
      </c>
      <c r="F1389" s="11" t="s">
        <v>5090</v>
      </c>
      <c r="G1389" s="11" t="s">
        <v>28</v>
      </c>
      <c r="H1389" s="11" t="s">
        <v>4803</v>
      </c>
      <c r="I1389" s="11" t="s">
        <v>4804</v>
      </c>
      <c r="J1389" s="12">
        <v>0.98809999999999998</v>
      </c>
      <c r="K1389" s="13">
        <v>1</v>
      </c>
      <c r="L1389" s="14">
        <v>2023</v>
      </c>
      <c r="M1389" s="10">
        <v>1763</v>
      </c>
      <c r="N1389" s="10">
        <v>223545</v>
      </c>
      <c r="O1389" s="10">
        <v>138253</v>
      </c>
      <c r="P1389" s="10">
        <v>361798</v>
      </c>
    </row>
    <row r="1390" spans="1:16" ht="27" customHeight="1" x14ac:dyDescent="0.2">
      <c r="A1390" s="9" t="s">
        <v>4800</v>
      </c>
      <c r="B1390" s="10" t="s">
        <v>5080</v>
      </c>
      <c r="C1390" s="11" t="s">
        <v>5091</v>
      </c>
      <c r="D1390" s="11" t="s">
        <v>5092</v>
      </c>
      <c r="E1390" s="11" t="s">
        <v>26</v>
      </c>
      <c r="F1390" s="11" t="s">
        <v>5093</v>
      </c>
      <c r="G1390" s="11" t="s">
        <v>28</v>
      </c>
      <c r="H1390" s="11" t="s">
        <v>5093</v>
      </c>
      <c r="I1390" s="11" t="s">
        <v>5094</v>
      </c>
      <c r="J1390" s="12">
        <v>0.51229999999999998</v>
      </c>
      <c r="K1390" s="13">
        <v>1</v>
      </c>
      <c r="L1390" s="14">
        <v>693</v>
      </c>
      <c r="M1390" s="10">
        <v>355</v>
      </c>
      <c r="N1390" s="10">
        <v>76578</v>
      </c>
      <c r="O1390" s="10">
        <v>27839</v>
      </c>
      <c r="P1390" s="10">
        <v>104417</v>
      </c>
    </row>
    <row r="1391" spans="1:16" ht="27" customHeight="1" x14ac:dyDescent="0.2">
      <c r="A1391" s="9" t="s">
        <v>4800</v>
      </c>
      <c r="B1391" s="10" t="s">
        <v>5080</v>
      </c>
      <c r="C1391" s="11" t="s">
        <v>5095</v>
      </c>
      <c r="D1391" s="11" t="s">
        <v>5096</v>
      </c>
      <c r="E1391" s="11" t="s">
        <v>26</v>
      </c>
      <c r="F1391" s="11" t="s">
        <v>5097</v>
      </c>
      <c r="G1391" s="11" t="s">
        <v>28</v>
      </c>
      <c r="H1391" s="11" t="s">
        <v>5097</v>
      </c>
      <c r="I1391" s="11" t="s">
        <v>5098</v>
      </c>
      <c r="J1391" s="12">
        <v>0.40239999999999998</v>
      </c>
      <c r="K1391" s="13">
        <v>1</v>
      </c>
      <c r="L1391" s="14">
        <v>1260</v>
      </c>
      <c r="M1391" s="10">
        <v>507</v>
      </c>
      <c r="N1391" s="10">
        <v>139232</v>
      </c>
      <c r="O1391" s="10">
        <v>39758</v>
      </c>
      <c r="P1391" s="10">
        <v>178990</v>
      </c>
    </row>
    <row r="1392" spans="1:16" ht="27" customHeight="1" x14ac:dyDescent="0.2">
      <c r="A1392" s="9" t="s">
        <v>4800</v>
      </c>
      <c r="B1392" s="10" t="s">
        <v>5080</v>
      </c>
      <c r="C1392" s="11" t="s">
        <v>5099</v>
      </c>
      <c r="D1392" s="11" t="s">
        <v>5100</v>
      </c>
      <c r="E1392" s="11" t="s">
        <v>26</v>
      </c>
      <c r="F1392" s="11" t="s">
        <v>5101</v>
      </c>
      <c r="G1392" s="11" t="s">
        <v>28</v>
      </c>
      <c r="H1392" s="11" t="s">
        <v>5101</v>
      </c>
      <c r="I1392" s="11" t="s">
        <v>5102</v>
      </c>
      <c r="J1392" s="12">
        <v>0.58169999999999999</v>
      </c>
      <c r="K1392" s="13">
        <v>1</v>
      </c>
      <c r="L1392" s="14">
        <v>569</v>
      </c>
      <c r="M1392" s="10">
        <v>331</v>
      </c>
      <c r="N1392" s="10">
        <v>62875</v>
      </c>
      <c r="O1392" s="10">
        <v>25957</v>
      </c>
      <c r="P1392" s="10">
        <v>88832</v>
      </c>
    </row>
    <row r="1393" spans="1:16" ht="27" customHeight="1" x14ac:dyDescent="0.2">
      <c r="A1393" s="9" t="s">
        <v>4800</v>
      </c>
      <c r="B1393" s="10" t="s">
        <v>5080</v>
      </c>
      <c r="C1393" s="11" t="s">
        <v>5103</v>
      </c>
      <c r="D1393" s="11" t="s">
        <v>5104</v>
      </c>
      <c r="E1393" s="11" t="s">
        <v>26</v>
      </c>
      <c r="F1393" s="11" t="s">
        <v>5105</v>
      </c>
      <c r="G1393" s="11" t="s">
        <v>28</v>
      </c>
      <c r="H1393" s="11" t="s">
        <v>5105</v>
      </c>
      <c r="I1393" s="11" t="s">
        <v>5106</v>
      </c>
      <c r="J1393" s="12">
        <v>0.441</v>
      </c>
      <c r="K1393" s="13">
        <v>1</v>
      </c>
      <c r="L1393" s="14">
        <v>3433</v>
      </c>
      <c r="M1393" s="10">
        <v>1514</v>
      </c>
      <c r="N1393" s="10">
        <v>379352</v>
      </c>
      <c r="O1393" s="10">
        <v>118726</v>
      </c>
      <c r="P1393" s="10">
        <v>498078</v>
      </c>
    </row>
    <row r="1394" spans="1:16" ht="27" customHeight="1" x14ac:dyDescent="0.2">
      <c r="A1394" s="9" t="s">
        <v>4800</v>
      </c>
      <c r="B1394" s="10" t="s">
        <v>5107</v>
      </c>
      <c r="C1394" s="11" t="s">
        <v>18</v>
      </c>
      <c r="D1394" s="11" t="s">
        <v>19</v>
      </c>
      <c r="E1394" s="11" t="s">
        <v>19</v>
      </c>
      <c r="F1394" s="11" t="s">
        <v>5108</v>
      </c>
      <c r="G1394" s="11" t="s">
        <v>83</v>
      </c>
      <c r="H1394" s="11" t="s">
        <v>5109</v>
      </c>
      <c r="I1394" s="11" t="s">
        <v>5110</v>
      </c>
      <c r="J1394" s="12">
        <v>0.87109999999999999</v>
      </c>
      <c r="K1394" s="13">
        <v>15</v>
      </c>
      <c r="L1394" s="14">
        <v>10125</v>
      </c>
      <c r="M1394" s="10">
        <v>6835</v>
      </c>
      <c r="N1394" s="10">
        <v>1118828</v>
      </c>
      <c r="O1394" s="10">
        <v>535993</v>
      </c>
      <c r="P1394" s="10">
        <v>1654821</v>
      </c>
    </row>
    <row r="1395" spans="1:16" ht="27" customHeight="1" x14ac:dyDescent="0.2">
      <c r="A1395" s="9" t="s">
        <v>4800</v>
      </c>
      <c r="B1395" s="10" t="s">
        <v>5111</v>
      </c>
      <c r="C1395" s="11" t="s">
        <v>18</v>
      </c>
      <c r="D1395" s="11" t="s">
        <v>19</v>
      </c>
      <c r="E1395" s="11" t="s">
        <v>19</v>
      </c>
      <c r="F1395" s="11" t="s">
        <v>5112</v>
      </c>
      <c r="G1395" s="11" t="s">
        <v>83</v>
      </c>
      <c r="H1395" s="11" t="s">
        <v>5113</v>
      </c>
      <c r="I1395" s="11" t="s">
        <v>5114</v>
      </c>
      <c r="J1395" s="12">
        <v>0.85699999999999998</v>
      </c>
      <c r="K1395" s="13">
        <v>16</v>
      </c>
      <c r="L1395" s="14">
        <v>13961</v>
      </c>
      <c r="M1395" s="10">
        <v>10143</v>
      </c>
      <c r="N1395" s="10">
        <v>1542713</v>
      </c>
      <c r="O1395" s="10">
        <v>795405</v>
      </c>
      <c r="P1395" s="10">
        <v>2338118</v>
      </c>
    </row>
    <row r="1396" spans="1:16" ht="27" customHeight="1" x14ac:dyDescent="0.2">
      <c r="A1396" s="9" t="s">
        <v>4800</v>
      </c>
      <c r="B1396" s="10" t="s">
        <v>5111</v>
      </c>
      <c r="C1396" s="11" t="s">
        <v>5115</v>
      </c>
      <c r="D1396" s="11" t="s">
        <v>5116</v>
      </c>
      <c r="E1396" s="11" t="s">
        <v>26</v>
      </c>
      <c r="F1396" s="11" t="s">
        <v>5117</v>
      </c>
      <c r="G1396" s="11" t="s">
        <v>28</v>
      </c>
      <c r="H1396" s="11" t="s">
        <v>5117</v>
      </c>
      <c r="I1396" s="11" t="s">
        <v>5118</v>
      </c>
      <c r="J1396" s="12">
        <v>0.43130000000000002</v>
      </c>
      <c r="K1396" s="13">
        <v>1</v>
      </c>
      <c r="L1396" s="14">
        <v>1484</v>
      </c>
      <c r="M1396" s="10">
        <v>640</v>
      </c>
      <c r="N1396" s="10">
        <v>163984</v>
      </c>
      <c r="O1396" s="10">
        <v>50188</v>
      </c>
      <c r="P1396" s="10">
        <v>214172</v>
      </c>
    </row>
    <row r="1397" spans="1:16" ht="27" customHeight="1" x14ac:dyDescent="0.2">
      <c r="A1397" s="9" t="s">
        <v>5119</v>
      </c>
      <c r="B1397" s="10" t="s">
        <v>5120</v>
      </c>
      <c r="C1397" s="11" t="s">
        <v>18</v>
      </c>
      <c r="D1397" s="11" t="s">
        <v>19</v>
      </c>
      <c r="E1397" s="11" t="s">
        <v>19</v>
      </c>
      <c r="F1397" s="11" t="s">
        <v>5121</v>
      </c>
      <c r="G1397" s="11" t="s">
        <v>21</v>
      </c>
      <c r="H1397" s="11" t="s">
        <v>5122</v>
      </c>
      <c r="I1397" s="11" t="s">
        <v>5123</v>
      </c>
      <c r="J1397" s="12">
        <v>1</v>
      </c>
      <c r="K1397" s="13">
        <v>9</v>
      </c>
      <c r="L1397" s="14">
        <v>1110</v>
      </c>
      <c r="M1397" s="10">
        <v>1001</v>
      </c>
      <c r="N1397" s="10">
        <v>122658</v>
      </c>
      <c r="O1397" s="10">
        <v>78497</v>
      </c>
      <c r="P1397" s="10">
        <v>201155</v>
      </c>
    </row>
    <row r="1398" spans="1:16" ht="27" customHeight="1" x14ac:dyDescent="0.2">
      <c r="A1398" s="9" t="s">
        <v>5119</v>
      </c>
      <c r="B1398" s="10" t="s">
        <v>5120</v>
      </c>
      <c r="C1398" s="11" t="s">
        <v>5124</v>
      </c>
      <c r="D1398" s="11" t="s">
        <v>5125</v>
      </c>
      <c r="E1398" s="11" t="s">
        <v>26</v>
      </c>
      <c r="F1398" s="11" t="s">
        <v>5126</v>
      </c>
      <c r="G1398" s="11" t="s">
        <v>28</v>
      </c>
      <c r="H1398" s="11" t="s">
        <v>5126</v>
      </c>
      <c r="I1398" s="11" t="s">
        <v>5127</v>
      </c>
      <c r="J1398" s="12">
        <v>0.85140000000000005</v>
      </c>
      <c r="K1398" s="13">
        <v>1</v>
      </c>
      <c r="L1398" s="14">
        <v>424</v>
      </c>
      <c r="M1398" s="10">
        <v>361</v>
      </c>
      <c r="N1398" s="10">
        <v>46853</v>
      </c>
      <c r="O1398" s="10">
        <v>28309</v>
      </c>
      <c r="P1398" s="10">
        <v>75162</v>
      </c>
    </row>
    <row r="1399" spans="1:16" ht="27" customHeight="1" x14ac:dyDescent="0.2">
      <c r="A1399" s="9" t="s">
        <v>5119</v>
      </c>
      <c r="B1399" s="10" t="s">
        <v>5120</v>
      </c>
      <c r="C1399" s="11" t="s">
        <v>5128</v>
      </c>
      <c r="D1399" s="11" t="s">
        <v>5129</v>
      </c>
      <c r="E1399" s="11" t="s">
        <v>26</v>
      </c>
      <c r="F1399" s="11" t="s">
        <v>5130</v>
      </c>
      <c r="G1399" s="11" t="s">
        <v>28</v>
      </c>
      <c r="H1399" s="11" t="s">
        <v>5130</v>
      </c>
      <c r="I1399" s="11" t="s">
        <v>5131</v>
      </c>
      <c r="J1399" s="12">
        <v>0.83260000000000001</v>
      </c>
      <c r="K1399" s="13">
        <v>1</v>
      </c>
      <c r="L1399" s="14">
        <v>239</v>
      </c>
      <c r="M1399" s="10">
        <v>199</v>
      </c>
      <c r="N1399" s="10">
        <v>26410</v>
      </c>
      <c r="O1399" s="10">
        <v>15605</v>
      </c>
      <c r="P1399" s="10">
        <v>42015</v>
      </c>
    </row>
    <row r="1400" spans="1:16" ht="27" customHeight="1" x14ac:dyDescent="0.2">
      <c r="A1400" s="9" t="s">
        <v>5119</v>
      </c>
      <c r="B1400" s="10" t="s">
        <v>5120</v>
      </c>
      <c r="C1400" s="11" t="s">
        <v>5132</v>
      </c>
      <c r="D1400" s="11" t="s">
        <v>5133</v>
      </c>
      <c r="E1400" s="11" t="s">
        <v>26</v>
      </c>
      <c r="F1400" s="11" t="s">
        <v>5134</v>
      </c>
      <c r="G1400" s="11" t="s">
        <v>28</v>
      </c>
      <c r="H1400" s="11" t="s">
        <v>5134</v>
      </c>
      <c r="I1400" s="11" t="s">
        <v>5135</v>
      </c>
      <c r="J1400" s="12">
        <v>0.55249999999999999</v>
      </c>
      <c r="K1400" s="13">
        <v>1</v>
      </c>
      <c r="L1400" s="14">
        <v>219</v>
      </c>
      <c r="M1400" s="10">
        <v>121</v>
      </c>
      <c r="N1400" s="10">
        <v>24200</v>
      </c>
      <c r="O1400" s="10">
        <v>9489</v>
      </c>
      <c r="P1400" s="10">
        <v>33689</v>
      </c>
    </row>
    <row r="1401" spans="1:16" ht="27" customHeight="1" x14ac:dyDescent="0.2">
      <c r="A1401" s="9" t="s">
        <v>5119</v>
      </c>
      <c r="B1401" s="10" t="s">
        <v>5120</v>
      </c>
      <c r="C1401" s="11" t="s">
        <v>5136</v>
      </c>
      <c r="D1401" s="11" t="s">
        <v>5137</v>
      </c>
      <c r="E1401" s="11" t="s">
        <v>26</v>
      </c>
      <c r="F1401" s="11" t="s">
        <v>5138</v>
      </c>
      <c r="G1401" s="11" t="s">
        <v>28</v>
      </c>
      <c r="H1401" s="11" t="s">
        <v>5138</v>
      </c>
      <c r="I1401" s="11" t="s">
        <v>5139</v>
      </c>
      <c r="J1401" s="12">
        <v>0.73660000000000003</v>
      </c>
      <c r="K1401" s="13">
        <v>1</v>
      </c>
      <c r="L1401" s="14">
        <v>543</v>
      </c>
      <c r="M1401" s="10">
        <v>400</v>
      </c>
      <c r="N1401" s="10">
        <v>60002</v>
      </c>
      <c r="O1401" s="10">
        <v>31368</v>
      </c>
      <c r="P1401" s="10">
        <v>91370</v>
      </c>
    </row>
    <row r="1402" spans="1:16" ht="27" customHeight="1" x14ac:dyDescent="0.2">
      <c r="A1402" s="9" t="s">
        <v>5119</v>
      </c>
      <c r="B1402" s="10" t="s">
        <v>5120</v>
      </c>
      <c r="C1402" s="11" t="s">
        <v>5140</v>
      </c>
      <c r="D1402" s="11" t="s">
        <v>5141</v>
      </c>
      <c r="E1402" s="11" t="s">
        <v>26</v>
      </c>
      <c r="F1402" s="11" t="s">
        <v>5142</v>
      </c>
      <c r="G1402" s="11" t="s">
        <v>28</v>
      </c>
      <c r="H1402" s="11" t="s">
        <v>5142</v>
      </c>
      <c r="I1402" s="11" t="s">
        <v>5143</v>
      </c>
      <c r="J1402" s="12">
        <v>0.27029999999999998</v>
      </c>
      <c r="K1402" s="13">
        <v>1</v>
      </c>
      <c r="L1402" s="14">
        <v>762</v>
      </c>
      <c r="M1402" s="10">
        <v>206</v>
      </c>
      <c r="N1402" s="10">
        <v>84202</v>
      </c>
      <c r="O1402" s="10">
        <v>16154</v>
      </c>
      <c r="P1402" s="10">
        <v>100356</v>
      </c>
    </row>
    <row r="1403" spans="1:16" ht="27" customHeight="1" x14ac:dyDescent="0.2">
      <c r="A1403" s="9" t="s">
        <v>5119</v>
      </c>
      <c r="B1403" s="10" t="s">
        <v>5120</v>
      </c>
      <c r="C1403" s="11" t="s">
        <v>5144</v>
      </c>
      <c r="D1403" s="11" t="s">
        <v>5145</v>
      </c>
      <c r="E1403" s="11" t="s">
        <v>26</v>
      </c>
      <c r="F1403" s="11" t="s">
        <v>5146</v>
      </c>
      <c r="G1403" s="11" t="s">
        <v>28</v>
      </c>
      <c r="H1403" s="11" t="s">
        <v>5146</v>
      </c>
      <c r="I1403" s="11" t="s">
        <v>5147</v>
      </c>
      <c r="J1403" s="12">
        <v>0.51919999999999999</v>
      </c>
      <c r="K1403" s="13">
        <v>1</v>
      </c>
      <c r="L1403" s="14">
        <v>468</v>
      </c>
      <c r="M1403" s="10">
        <v>243</v>
      </c>
      <c r="N1403" s="10">
        <v>51715</v>
      </c>
      <c r="O1403" s="10">
        <v>19056</v>
      </c>
      <c r="P1403" s="10">
        <v>70771</v>
      </c>
    </row>
    <row r="1404" spans="1:16" ht="27" customHeight="1" x14ac:dyDescent="0.2">
      <c r="A1404" s="9" t="s">
        <v>5119</v>
      </c>
      <c r="B1404" s="10" t="s">
        <v>5120</v>
      </c>
      <c r="C1404" s="11" t="s">
        <v>5148</v>
      </c>
      <c r="D1404" s="11" t="s">
        <v>5149</v>
      </c>
      <c r="E1404" s="11" t="s">
        <v>26</v>
      </c>
      <c r="F1404" s="11" t="s">
        <v>5150</v>
      </c>
      <c r="G1404" s="11" t="s">
        <v>28</v>
      </c>
      <c r="H1404" s="11" t="s">
        <v>5150</v>
      </c>
      <c r="I1404" s="11" t="s">
        <v>5151</v>
      </c>
      <c r="J1404" s="12">
        <v>0.43969999999999998</v>
      </c>
      <c r="K1404" s="13">
        <v>1</v>
      </c>
      <c r="L1404" s="14">
        <v>514</v>
      </c>
      <c r="M1404" s="10">
        <v>226</v>
      </c>
      <c r="N1404" s="10">
        <v>56798</v>
      </c>
      <c r="O1404" s="10">
        <v>17723</v>
      </c>
      <c r="P1404" s="10">
        <v>74521</v>
      </c>
    </row>
    <row r="1405" spans="1:16" ht="27" customHeight="1" x14ac:dyDescent="0.2">
      <c r="A1405" s="9" t="s">
        <v>5119</v>
      </c>
      <c r="B1405" s="10" t="s">
        <v>5120</v>
      </c>
      <c r="C1405" s="11" t="s">
        <v>5152</v>
      </c>
      <c r="D1405" s="11" t="s">
        <v>5153</v>
      </c>
      <c r="E1405" s="11" t="s">
        <v>26</v>
      </c>
      <c r="F1405" s="11" t="s">
        <v>5154</v>
      </c>
      <c r="G1405" s="11" t="s">
        <v>28</v>
      </c>
      <c r="H1405" s="11" t="s">
        <v>5154</v>
      </c>
      <c r="I1405" s="11" t="s">
        <v>5155</v>
      </c>
      <c r="J1405" s="12">
        <v>0.25829999999999997</v>
      </c>
      <c r="K1405" s="13">
        <v>1</v>
      </c>
      <c r="L1405" s="14">
        <v>573</v>
      </c>
      <c r="M1405" s="10">
        <v>148</v>
      </c>
      <c r="N1405" s="10">
        <v>63317</v>
      </c>
      <c r="O1405" s="10">
        <v>11606</v>
      </c>
      <c r="P1405" s="10">
        <v>74923</v>
      </c>
    </row>
    <row r="1406" spans="1:16" ht="27" customHeight="1" x14ac:dyDescent="0.2">
      <c r="A1406" s="9" t="s">
        <v>5119</v>
      </c>
      <c r="B1406" s="10" t="s">
        <v>5120</v>
      </c>
      <c r="C1406" s="11" t="s">
        <v>5156</v>
      </c>
      <c r="D1406" s="11" t="s">
        <v>5157</v>
      </c>
      <c r="E1406" s="11" t="s">
        <v>26</v>
      </c>
      <c r="F1406" s="11" t="s">
        <v>5158</v>
      </c>
      <c r="G1406" s="11" t="s">
        <v>28</v>
      </c>
      <c r="H1406" s="11" t="s">
        <v>5158</v>
      </c>
      <c r="I1406" s="11" t="s">
        <v>5159</v>
      </c>
      <c r="J1406" s="12">
        <v>0.4667</v>
      </c>
      <c r="K1406" s="13">
        <v>1</v>
      </c>
      <c r="L1406" s="14">
        <v>240</v>
      </c>
      <c r="M1406" s="10">
        <v>112</v>
      </c>
      <c r="N1406" s="10">
        <v>26520</v>
      </c>
      <c r="O1406" s="10">
        <v>8783</v>
      </c>
      <c r="P1406" s="10">
        <v>35303</v>
      </c>
    </row>
    <row r="1407" spans="1:16" ht="27" customHeight="1" x14ac:dyDescent="0.2">
      <c r="A1407" s="9" t="s">
        <v>5119</v>
      </c>
      <c r="B1407" s="10" t="s">
        <v>5120</v>
      </c>
      <c r="C1407" s="11" t="s">
        <v>5160</v>
      </c>
      <c r="D1407" s="11" t="s">
        <v>5161</v>
      </c>
      <c r="E1407" s="11" t="s">
        <v>26</v>
      </c>
      <c r="F1407" s="11" t="s">
        <v>5162</v>
      </c>
      <c r="G1407" s="11" t="s">
        <v>28</v>
      </c>
      <c r="H1407" s="11" t="s">
        <v>5162</v>
      </c>
      <c r="I1407" s="11" t="s">
        <v>5163</v>
      </c>
      <c r="J1407" s="12">
        <v>0.56579999999999997</v>
      </c>
      <c r="K1407" s="13">
        <v>1</v>
      </c>
      <c r="L1407" s="14">
        <v>228</v>
      </c>
      <c r="M1407" s="10">
        <v>129</v>
      </c>
      <c r="N1407" s="10">
        <v>25194</v>
      </c>
      <c r="O1407" s="10">
        <v>10116</v>
      </c>
      <c r="P1407" s="10">
        <v>35310</v>
      </c>
    </row>
    <row r="1408" spans="1:16" ht="27" customHeight="1" x14ac:dyDescent="0.2">
      <c r="A1408" s="9" t="s">
        <v>5119</v>
      </c>
      <c r="B1408" s="10" t="s">
        <v>5120</v>
      </c>
      <c r="C1408" s="11" t="s">
        <v>5164</v>
      </c>
      <c r="D1408" s="11" t="s">
        <v>5165</v>
      </c>
      <c r="E1408" s="11" t="s">
        <v>26</v>
      </c>
      <c r="F1408" s="11" t="s">
        <v>5166</v>
      </c>
      <c r="G1408" s="11" t="s">
        <v>28</v>
      </c>
      <c r="H1408" s="11" t="s">
        <v>5166</v>
      </c>
      <c r="I1408" s="11" t="s">
        <v>5167</v>
      </c>
      <c r="J1408" s="12">
        <v>0.51980000000000004</v>
      </c>
      <c r="K1408" s="13">
        <v>1</v>
      </c>
      <c r="L1408" s="14">
        <v>1972</v>
      </c>
      <c r="M1408" s="10">
        <v>1025</v>
      </c>
      <c r="N1408" s="10">
        <v>217909</v>
      </c>
      <c r="O1408" s="10">
        <v>80379</v>
      </c>
      <c r="P1408" s="10">
        <v>298288</v>
      </c>
    </row>
    <row r="1409" spans="1:16" ht="27" customHeight="1" x14ac:dyDescent="0.2">
      <c r="A1409" s="9" t="s">
        <v>5119</v>
      </c>
      <c r="B1409" s="10" t="s">
        <v>5168</v>
      </c>
      <c r="C1409" s="11" t="s">
        <v>18</v>
      </c>
      <c r="D1409" s="11" t="s">
        <v>19</v>
      </c>
      <c r="E1409" s="11" t="s">
        <v>19</v>
      </c>
      <c r="F1409" s="11" t="s">
        <v>5169</v>
      </c>
      <c r="G1409" s="11" t="s">
        <v>83</v>
      </c>
      <c r="H1409" s="11" t="s">
        <v>5170</v>
      </c>
      <c r="I1409" s="11" t="s">
        <v>5171</v>
      </c>
      <c r="J1409" s="12">
        <v>0.45779999999999998</v>
      </c>
      <c r="K1409" s="13">
        <v>6</v>
      </c>
      <c r="L1409" s="14">
        <v>1546</v>
      </c>
      <c r="M1409" s="10">
        <v>611</v>
      </c>
      <c r="N1409" s="10">
        <v>170836</v>
      </c>
      <c r="O1409" s="10">
        <v>47914</v>
      </c>
      <c r="P1409" s="10">
        <v>218750</v>
      </c>
    </row>
    <row r="1410" spans="1:16" ht="27" customHeight="1" x14ac:dyDescent="0.2">
      <c r="A1410" s="9" t="s">
        <v>5119</v>
      </c>
      <c r="B1410" s="10" t="s">
        <v>5172</v>
      </c>
      <c r="C1410" s="11" t="s">
        <v>18</v>
      </c>
      <c r="D1410" s="11" t="s">
        <v>19</v>
      </c>
      <c r="E1410" s="11" t="s">
        <v>19</v>
      </c>
      <c r="F1410" s="11" t="s">
        <v>5173</v>
      </c>
      <c r="G1410" s="11" t="s">
        <v>83</v>
      </c>
      <c r="H1410" s="11" t="s">
        <v>5174</v>
      </c>
      <c r="I1410" s="11" t="s">
        <v>5175</v>
      </c>
      <c r="J1410" s="12">
        <v>0.8377</v>
      </c>
      <c r="K1410" s="13">
        <v>4</v>
      </c>
      <c r="L1410" s="14">
        <v>376</v>
      </c>
      <c r="M1410" s="10">
        <v>326</v>
      </c>
      <c r="N1410" s="10">
        <v>41549</v>
      </c>
      <c r="O1410" s="10">
        <v>25564</v>
      </c>
      <c r="P1410" s="10">
        <v>67113</v>
      </c>
    </row>
    <row r="1411" spans="1:16" ht="27" customHeight="1" x14ac:dyDescent="0.2">
      <c r="A1411" s="9" t="s">
        <v>5119</v>
      </c>
      <c r="B1411" s="10" t="s">
        <v>5172</v>
      </c>
      <c r="C1411" s="11" t="s">
        <v>5176</v>
      </c>
      <c r="D1411" s="11" t="s">
        <v>5177</v>
      </c>
      <c r="E1411" s="11" t="s">
        <v>26</v>
      </c>
      <c r="F1411" s="11" t="s">
        <v>5178</v>
      </c>
      <c r="G1411" s="11" t="s">
        <v>28</v>
      </c>
      <c r="H1411" s="11" t="s">
        <v>5122</v>
      </c>
      <c r="I1411" s="11" t="s">
        <v>5123</v>
      </c>
      <c r="J1411" s="12">
        <v>1</v>
      </c>
      <c r="K1411" s="13">
        <v>1</v>
      </c>
      <c r="L1411" s="14">
        <v>2332</v>
      </c>
      <c r="M1411" s="10">
        <v>1760</v>
      </c>
      <c r="N1411" s="10">
        <v>257690</v>
      </c>
      <c r="O1411" s="10">
        <v>138017</v>
      </c>
      <c r="P1411" s="10">
        <v>395707</v>
      </c>
    </row>
    <row r="1412" spans="1:16" ht="27" customHeight="1" x14ac:dyDescent="0.2">
      <c r="A1412" s="9" t="s">
        <v>5119</v>
      </c>
      <c r="B1412" s="10" t="s">
        <v>5179</v>
      </c>
      <c r="C1412" s="11" t="s">
        <v>18</v>
      </c>
      <c r="D1412" s="11" t="s">
        <v>19</v>
      </c>
      <c r="E1412" s="11" t="s">
        <v>19</v>
      </c>
      <c r="F1412" s="11" t="s">
        <v>5180</v>
      </c>
      <c r="G1412" s="11" t="s">
        <v>83</v>
      </c>
      <c r="H1412" s="11" t="s">
        <v>5181</v>
      </c>
      <c r="I1412" s="11" t="s">
        <v>5182</v>
      </c>
      <c r="J1412" s="12">
        <v>0.89349999999999996</v>
      </c>
      <c r="K1412" s="13">
        <v>27</v>
      </c>
      <c r="L1412" s="14">
        <v>16014</v>
      </c>
      <c r="M1412" s="10">
        <v>11580</v>
      </c>
      <c r="N1412" s="10">
        <v>1769574</v>
      </c>
      <c r="O1412" s="10">
        <v>908091</v>
      </c>
      <c r="P1412" s="10">
        <v>2677665</v>
      </c>
    </row>
    <row r="1413" spans="1:16" ht="27" customHeight="1" x14ac:dyDescent="0.2">
      <c r="A1413" s="9" t="s">
        <v>5119</v>
      </c>
      <c r="B1413" s="10" t="s">
        <v>5179</v>
      </c>
      <c r="C1413" s="11" t="s">
        <v>5183</v>
      </c>
      <c r="D1413" s="11" t="s">
        <v>5184</v>
      </c>
      <c r="E1413" s="11" t="s">
        <v>26</v>
      </c>
      <c r="F1413" s="11" t="s">
        <v>5185</v>
      </c>
      <c r="G1413" s="11" t="s">
        <v>28</v>
      </c>
      <c r="H1413" s="11" t="s">
        <v>5185</v>
      </c>
      <c r="I1413" s="11" t="s">
        <v>5186</v>
      </c>
      <c r="J1413" s="12">
        <v>0.65429999999999999</v>
      </c>
      <c r="K1413" s="13">
        <v>1</v>
      </c>
      <c r="L1413" s="14">
        <v>564</v>
      </c>
      <c r="M1413" s="10">
        <v>369</v>
      </c>
      <c r="N1413" s="10">
        <v>62323</v>
      </c>
      <c r="O1413" s="10">
        <v>28937</v>
      </c>
      <c r="P1413" s="10">
        <v>91260</v>
      </c>
    </row>
    <row r="1414" spans="1:16" ht="27" customHeight="1" x14ac:dyDescent="0.2">
      <c r="A1414" s="9" t="s">
        <v>5119</v>
      </c>
      <c r="B1414" s="10" t="s">
        <v>5179</v>
      </c>
      <c r="C1414" s="11" t="s">
        <v>5187</v>
      </c>
      <c r="D1414" s="11" t="s">
        <v>5188</v>
      </c>
      <c r="E1414" s="11" t="s">
        <v>26</v>
      </c>
      <c r="F1414" s="11" t="s">
        <v>5189</v>
      </c>
      <c r="G1414" s="11" t="s">
        <v>28</v>
      </c>
      <c r="H1414" s="11" t="s">
        <v>5122</v>
      </c>
      <c r="I1414" s="11" t="s">
        <v>5123</v>
      </c>
      <c r="J1414" s="12">
        <v>1</v>
      </c>
      <c r="K1414" s="13">
        <v>1</v>
      </c>
      <c r="L1414" s="14">
        <v>254</v>
      </c>
      <c r="M1414" s="10">
        <v>170</v>
      </c>
      <c r="N1414" s="10">
        <v>28067</v>
      </c>
      <c r="O1414" s="10">
        <v>13331</v>
      </c>
      <c r="P1414" s="10">
        <v>41398</v>
      </c>
    </row>
    <row r="1415" spans="1:16" ht="27" customHeight="1" x14ac:dyDescent="0.2">
      <c r="A1415" s="9" t="s">
        <v>5119</v>
      </c>
      <c r="B1415" s="10" t="s">
        <v>5179</v>
      </c>
      <c r="C1415" s="11" t="s">
        <v>5190</v>
      </c>
      <c r="D1415" s="11" t="s">
        <v>5191</v>
      </c>
      <c r="E1415" s="11" t="s">
        <v>26</v>
      </c>
      <c r="F1415" s="11" t="s">
        <v>5192</v>
      </c>
      <c r="G1415" s="11" t="s">
        <v>28</v>
      </c>
      <c r="H1415" s="11" t="s">
        <v>5192</v>
      </c>
      <c r="I1415" s="11" t="s">
        <v>5193</v>
      </c>
      <c r="J1415" s="12">
        <v>0.89429999999999998</v>
      </c>
      <c r="K1415" s="13">
        <v>1</v>
      </c>
      <c r="L1415" s="14">
        <v>227</v>
      </c>
      <c r="M1415" s="10">
        <v>203</v>
      </c>
      <c r="N1415" s="10">
        <v>25084</v>
      </c>
      <c r="O1415" s="10">
        <v>15919</v>
      </c>
      <c r="P1415" s="10">
        <v>41003</v>
      </c>
    </row>
    <row r="1416" spans="1:16" ht="27" customHeight="1" x14ac:dyDescent="0.2">
      <c r="A1416" s="9" t="s">
        <v>5119</v>
      </c>
      <c r="B1416" s="10" t="s">
        <v>5179</v>
      </c>
      <c r="C1416" s="11" t="s">
        <v>5194</v>
      </c>
      <c r="D1416" s="11" t="s">
        <v>5195</v>
      </c>
      <c r="E1416" s="11" t="s">
        <v>26</v>
      </c>
      <c r="F1416" s="11" t="s">
        <v>5196</v>
      </c>
      <c r="G1416" s="11" t="s">
        <v>28</v>
      </c>
      <c r="H1416" s="11" t="s">
        <v>5196</v>
      </c>
      <c r="I1416" s="11" t="s">
        <v>5197</v>
      </c>
      <c r="J1416" s="12">
        <v>0.63639999999999997</v>
      </c>
      <c r="K1416" s="13">
        <v>1</v>
      </c>
      <c r="L1416" s="14">
        <v>1144</v>
      </c>
      <c r="M1416" s="10">
        <v>728</v>
      </c>
      <c r="N1416" s="10">
        <v>126414</v>
      </c>
      <c r="O1416" s="10">
        <v>57089</v>
      </c>
      <c r="P1416" s="10">
        <v>183503</v>
      </c>
    </row>
    <row r="1417" spans="1:16" ht="27" customHeight="1" x14ac:dyDescent="0.2">
      <c r="A1417" s="9" t="s">
        <v>5119</v>
      </c>
      <c r="B1417" s="10" t="s">
        <v>5198</v>
      </c>
      <c r="C1417" s="11" t="s">
        <v>18</v>
      </c>
      <c r="D1417" s="11" t="s">
        <v>19</v>
      </c>
      <c r="E1417" s="11" t="s">
        <v>19</v>
      </c>
      <c r="F1417" s="11" t="s">
        <v>5199</v>
      </c>
      <c r="G1417" s="11" t="s">
        <v>83</v>
      </c>
      <c r="H1417" s="11" t="s">
        <v>5200</v>
      </c>
      <c r="I1417" s="11" t="s">
        <v>5201</v>
      </c>
      <c r="J1417" s="12">
        <v>0.14799999999999999</v>
      </c>
      <c r="K1417" s="13">
        <v>3</v>
      </c>
      <c r="L1417" s="14">
        <v>654</v>
      </c>
      <c r="M1417" s="10">
        <v>87</v>
      </c>
      <c r="N1417" s="10">
        <v>72269</v>
      </c>
      <c r="O1417" s="10">
        <v>6822</v>
      </c>
      <c r="P1417" s="10">
        <v>79091</v>
      </c>
    </row>
    <row r="1418" spans="1:16" ht="27" customHeight="1" x14ac:dyDescent="0.2">
      <c r="A1418" s="9" t="s">
        <v>5119</v>
      </c>
      <c r="B1418" s="10" t="s">
        <v>5202</v>
      </c>
      <c r="C1418" s="11" t="s">
        <v>18</v>
      </c>
      <c r="D1418" s="11" t="s">
        <v>19</v>
      </c>
      <c r="E1418" s="11" t="s">
        <v>19</v>
      </c>
      <c r="F1418" s="11" t="s">
        <v>5203</v>
      </c>
      <c r="G1418" s="11" t="s">
        <v>83</v>
      </c>
      <c r="H1418" s="11" t="s">
        <v>5204</v>
      </c>
      <c r="I1418" s="11" t="s">
        <v>5205</v>
      </c>
      <c r="J1418" s="12">
        <v>0.90159999999999996</v>
      </c>
      <c r="K1418" s="13">
        <v>44</v>
      </c>
      <c r="L1418" s="14">
        <v>23237</v>
      </c>
      <c r="M1418" s="10">
        <v>11493</v>
      </c>
      <c r="N1418" s="10">
        <v>2567726</v>
      </c>
      <c r="O1418" s="10">
        <v>901268</v>
      </c>
      <c r="P1418" s="10">
        <v>3468994</v>
      </c>
    </row>
    <row r="1419" spans="1:16" ht="27" customHeight="1" x14ac:dyDescent="0.2">
      <c r="A1419" s="9" t="s">
        <v>5119</v>
      </c>
      <c r="B1419" s="10" t="s">
        <v>5202</v>
      </c>
      <c r="C1419" s="11" t="s">
        <v>5206</v>
      </c>
      <c r="D1419" s="11" t="s">
        <v>5207</v>
      </c>
      <c r="E1419" s="11" t="s">
        <v>26</v>
      </c>
      <c r="F1419" s="11" t="s">
        <v>5208</v>
      </c>
      <c r="G1419" s="11" t="s">
        <v>28</v>
      </c>
      <c r="H1419" s="11" t="s">
        <v>5208</v>
      </c>
      <c r="I1419" s="11" t="s">
        <v>5209</v>
      </c>
      <c r="J1419" s="12">
        <v>0.55430000000000001</v>
      </c>
      <c r="K1419" s="13">
        <v>1</v>
      </c>
      <c r="L1419" s="14">
        <v>258</v>
      </c>
      <c r="M1419" s="10">
        <v>143</v>
      </c>
      <c r="N1419" s="10">
        <v>28509</v>
      </c>
      <c r="O1419" s="10">
        <v>11214</v>
      </c>
      <c r="P1419" s="10">
        <v>39723</v>
      </c>
    </row>
    <row r="1420" spans="1:16" ht="27" customHeight="1" x14ac:dyDescent="0.2">
      <c r="A1420" s="9" t="s">
        <v>5119</v>
      </c>
      <c r="B1420" s="10" t="s">
        <v>5202</v>
      </c>
      <c r="C1420" s="11" t="s">
        <v>5210</v>
      </c>
      <c r="D1420" s="11" t="s">
        <v>5211</v>
      </c>
      <c r="E1420" s="11" t="s">
        <v>26</v>
      </c>
      <c r="F1420" s="11" t="s">
        <v>5212</v>
      </c>
      <c r="G1420" s="11" t="s">
        <v>28</v>
      </c>
      <c r="H1420" s="11" t="s">
        <v>5212</v>
      </c>
      <c r="I1420" s="11" t="s">
        <v>5213</v>
      </c>
      <c r="J1420" s="12">
        <v>0.48089999999999999</v>
      </c>
      <c r="K1420" s="13">
        <v>1</v>
      </c>
      <c r="L1420" s="14">
        <v>393</v>
      </c>
      <c r="M1420" s="10">
        <v>189</v>
      </c>
      <c r="N1420" s="10">
        <v>43427</v>
      </c>
      <c r="O1420" s="10">
        <v>14821</v>
      </c>
      <c r="P1420" s="10">
        <v>58248</v>
      </c>
    </row>
    <row r="1421" spans="1:16" ht="27" customHeight="1" x14ac:dyDescent="0.2">
      <c r="A1421" s="9" t="s">
        <v>5119</v>
      </c>
      <c r="B1421" s="10" t="s">
        <v>5202</v>
      </c>
      <c r="C1421" s="11" t="s">
        <v>5214</v>
      </c>
      <c r="D1421" s="11" t="s">
        <v>5215</v>
      </c>
      <c r="E1421" s="11" t="s">
        <v>26</v>
      </c>
      <c r="F1421" s="11" t="s">
        <v>5216</v>
      </c>
      <c r="G1421" s="11" t="s">
        <v>28</v>
      </c>
      <c r="H1421" s="11" t="s">
        <v>5216</v>
      </c>
      <c r="I1421" s="11" t="s">
        <v>5217</v>
      </c>
      <c r="J1421" s="12">
        <v>0.7984</v>
      </c>
      <c r="K1421" s="13">
        <v>1</v>
      </c>
      <c r="L1421" s="14">
        <v>1121</v>
      </c>
      <c r="M1421" s="10">
        <v>895</v>
      </c>
      <c r="N1421" s="10">
        <v>123872</v>
      </c>
      <c r="O1421" s="10">
        <v>70185</v>
      </c>
      <c r="P1421" s="10">
        <v>194057</v>
      </c>
    </row>
    <row r="1422" spans="1:16" ht="27" customHeight="1" x14ac:dyDescent="0.2">
      <c r="A1422" s="9" t="s">
        <v>5119</v>
      </c>
      <c r="B1422" s="10" t="s">
        <v>5202</v>
      </c>
      <c r="C1422" s="11" t="s">
        <v>5218</v>
      </c>
      <c r="D1422" s="11" t="s">
        <v>5219</v>
      </c>
      <c r="E1422" s="11" t="s">
        <v>26</v>
      </c>
      <c r="F1422" s="11" t="s">
        <v>5220</v>
      </c>
      <c r="G1422" s="11" t="s">
        <v>28</v>
      </c>
      <c r="H1422" s="11" t="s">
        <v>5220</v>
      </c>
      <c r="I1422" s="11" t="s">
        <v>5221</v>
      </c>
      <c r="J1422" s="12">
        <v>0.7702</v>
      </c>
      <c r="K1422" s="13">
        <v>1</v>
      </c>
      <c r="L1422" s="14">
        <v>1607</v>
      </c>
      <c r="M1422" s="10">
        <v>1238</v>
      </c>
      <c r="N1422" s="10">
        <v>177576</v>
      </c>
      <c r="O1422" s="10">
        <v>97083</v>
      </c>
      <c r="P1422" s="10">
        <v>274659</v>
      </c>
    </row>
    <row r="1423" spans="1:16" ht="27" customHeight="1" x14ac:dyDescent="0.2">
      <c r="A1423" s="9" t="s">
        <v>5119</v>
      </c>
      <c r="B1423" s="10" t="s">
        <v>5202</v>
      </c>
      <c r="C1423" s="11" t="s">
        <v>5222</v>
      </c>
      <c r="D1423" s="11" t="s">
        <v>5223</v>
      </c>
      <c r="E1423" s="11" t="s">
        <v>26</v>
      </c>
      <c r="F1423" s="11" t="s">
        <v>5224</v>
      </c>
      <c r="G1423" s="11" t="s">
        <v>28</v>
      </c>
      <c r="H1423" s="11" t="s">
        <v>5224</v>
      </c>
      <c r="I1423" s="11" t="s">
        <v>5225</v>
      </c>
      <c r="J1423" s="12">
        <v>0.33500000000000002</v>
      </c>
      <c r="K1423" s="13">
        <v>1</v>
      </c>
      <c r="L1423" s="14">
        <v>982</v>
      </c>
      <c r="M1423" s="10">
        <v>329</v>
      </c>
      <c r="N1423" s="10">
        <v>108513</v>
      </c>
      <c r="O1423" s="10">
        <v>25800</v>
      </c>
      <c r="P1423" s="10">
        <v>134313</v>
      </c>
    </row>
    <row r="1424" spans="1:16" ht="27" customHeight="1" x14ac:dyDescent="0.2">
      <c r="A1424" s="9" t="s">
        <v>5119</v>
      </c>
      <c r="B1424" s="10" t="s">
        <v>5202</v>
      </c>
      <c r="C1424" s="11" t="s">
        <v>5226</v>
      </c>
      <c r="D1424" s="11" t="s">
        <v>5227</v>
      </c>
      <c r="E1424" s="11" t="s">
        <v>26</v>
      </c>
      <c r="F1424" s="11" t="s">
        <v>5228</v>
      </c>
      <c r="G1424" s="11" t="s">
        <v>28</v>
      </c>
      <c r="H1424" s="11" t="s">
        <v>5228</v>
      </c>
      <c r="I1424" s="11" t="s">
        <v>5229</v>
      </c>
      <c r="J1424" s="12">
        <v>0.59289999999999998</v>
      </c>
      <c r="K1424" s="13">
        <v>1</v>
      </c>
      <c r="L1424" s="14">
        <v>1429</v>
      </c>
      <c r="M1424" s="10">
        <v>847</v>
      </c>
      <c r="N1424" s="10">
        <v>157907</v>
      </c>
      <c r="O1424" s="10">
        <v>66421</v>
      </c>
      <c r="P1424" s="10">
        <v>224328</v>
      </c>
    </row>
    <row r="1425" spans="1:16" ht="27" customHeight="1" x14ac:dyDescent="0.2">
      <c r="A1425" s="9" t="s">
        <v>5119</v>
      </c>
      <c r="B1425" s="10" t="s">
        <v>5202</v>
      </c>
      <c r="C1425" s="11" t="s">
        <v>5230</v>
      </c>
      <c r="D1425" s="11" t="s">
        <v>5231</v>
      </c>
      <c r="E1425" s="11" t="s">
        <v>26</v>
      </c>
      <c r="F1425" s="11" t="s">
        <v>5232</v>
      </c>
      <c r="G1425" s="11" t="s">
        <v>28</v>
      </c>
      <c r="H1425" s="11" t="s">
        <v>5232</v>
      </c>
      <c r="I1425" s="11" t="s">
        <v>5233</v>
      </c>
      <c r="J1425" s="12">
        <v>0.20019999999999999</v>
      </c>
      <c r="K1425" s="13">
        <v>1</v>
      </c>
      <c r="L1425" s="14">
        <v>939</v>
      </c>
      <c r="M1425" s="10">
        <v>188</v>
      </c>
      <c r="N1425" s="10">
        <v>103761</v>
      </c>
      <c r="O1425" s="10">
        <v>14743</v>
      </c>
      <c r="P1425" s="10">
        <v>118504</v>
      </c>
    </row>
    <row r="1426" spans="1:16" ht="27" customHeight="1" x14ac:dyDescent="0.2">
      <c r="A1426" s="9" t="s">
        <v>5119</v>
      </c>
      <c r="B1426" s="10" t="s">
        <v>5234</v>
      </c>
      <c r="C1426" s="11" t="s">
        <v>18</v>
      </c>
      <c r="D1426" s="11" t="s">
        <v>19</v>
      </c>
      <c r="E1426" s="11" t="s">
        <v>19</v>
      </c>
      <c r="F1426" s="11" t="s">
        <v>5235</v>
      </c>
      <c r="G1426" s="11" t="s">
        <v>83</v>
      </c>
      <c r="H1426" s="11" t="s">
        <v>5236</v>
      </c>
      <c r="I1426" s="11" t="s">
        <v>5237</v>
      </c>
      <c r="J1426" s="12">
        <v>0.21299999999999999</v>
      </c>
      <c r="K1426" s="13">
        <v>6</v>
      </c>
      <c r="L1426" s="14">
        <v>2863</v>
      </c>
      <c r="M1426" s="10">
        <v>463</v>
      </c>
      <c r="N1426" s="10">
        <v>316367</v>
      </c>
      <c r="O1426" s="10">
        <v>36308</v>
      </c>
      <c r="P1426" s="10">
        <v>352675</v>
      </c>
    </row>
    <row r="1427" spans="1:16" ht="27" customHeight="1" x14ac:dyDescent="0.2">
      <c r="A1427" s="9" t="s">
        <v>5119</v>
      </c>
      <c r="B1427" s="10" t="s">
        <v>5238</v>
      </c>
      <c r="C1427" s="11" t="s">
        <v>18</v>
      </c>
      <c r="D1427" s="11" t="s">
        <v>19</v>
      </c>
      <c r="E1427" s="11" t="s">
        <v>19</v>
      </c>
      <c r="F1427" s="11" t="s">
        <v>5239</v>
      </c>
      <c r="G1427" s="11" t="s">
        <v>83</v>
      </c>
      <c r="H1427" s="11" t="s">
        <v>5239</v>
      </c>
      <c r="I1427" s="11" t="s">
        <v>5240</v>
      </c>
      <c r="J1427" s="12">
        <v>0.36899999999999999</v>
      </c>
      <c r="K1427" s="13">
        <v>2</v>
      </c>
      <c r="L1427" s="14">
        <v>84</v>
      </c>
      <c r="M1427" s="10">
        <v>31</v>
      </c>
      <c r="N1427" s="10">
        <v>9282</v>
      </c>
      <c r="O1427" s="10">
        <v>2431</v>
      </c>
      <c r="P1427" s="10">
        <v>11713</v>
      </c>
    </row>
    <row r="1428" spans="1:16" ht="27" customHeight="1" x14ac:dyDescent="0.2">
      <c r="A1428" s="9" t="s">
        <v>5119</v>
      </c>
      <c r="B1428" s="10" t="s">
        <v>5238</v>
      </c>
      <c r="C1428" s="11" t="s">
        <v>5241</v>
      </c>
      <c r="D1428" s="11" t="s">
        <v>5242</v>
      </c>
      <c r="E1428" s="11" t="s">
        <v>26</v>
      </c>
      <c r="F1428" s="11" t="s">
        <v>5243</v>
      </c>
      <c r="G1428" s="11" t="s">
        <v>28</v>
      </c>
      <c r="H1428" s="11" t="s">
        <v>5243</v>
      </c>
      <c r="I1428" s="11" t="s">
        <v>5244</v>
      </c>
      <c r="J1428" s="12">
        <v>0.1358</v>
      </c>
      <c r="K1428" s="13">
        <v>1</v>
      </c>
      <c r="L1428" s="14">
        <v>265</v>
      </c>
      <c r="M1428" s="10">
        <v>36</v>
      </c>
      <c r="N1428" s="10">
        <v>29283</v>
      </c>
      <c r="O1428" s="10">
        <v>2823</v>
      </c>
      <c r="P1428" s="10">
        <v>32106</v>
      </c>
    </row>
    <row r="1429" spans="1:16" ht="27" customHeight="1" x14ac:dyDescent="0.2">
      <c r="A1429" s="9" t="s">
        <v>5119</v>
      </c>
      <c r="B1429" s="10" t="s">
        <v>5238</v>
      </c>
      <c r="C1429" s="11" t="s">
        <v>5245</v>
      </c>
      <c r="D1429" s="11" t="s">
        <v>5246</v>
      </c>
      <c r="E1429" s="11" t="s">
        <v>26</v>
      </c>
      <c r="F1429" s="11" t="s">
        <v>5247</v>
      </c>
      <c r="G1429" s="11" t="s">
        <v>28</v>
      </c>
      <c r="H1429" s="11" t="s">
        <v>5247</v>
      </c>
      <c r="I1429" s="11" t="s">
        <v>5248</v>
      </c>
      <c r="J1429" s="12">
        <v>0.3977</v>
      </c>
      <c r="K1429" s="13">
        <v>1</v>
      </c>
      <c r="L1429" s="14">
        <v>342</v>
      </c>
      <c r="M1429" s="10">
        <v>136</v>
      </c>
      <c r="N1429" s="10">
        <v>37792</v>
      </c>
      <c r="O1429" s="10">
        <v>10665</v>
      </c>
      <c r="P1429" s="10">
        <v>48457</v>
      </c>
    </row>
    <row r="1430" spans="1:16" ht="27" customHeight="1" x14ac:dyDescent="0.2">
      <c r="A1430" s="9" t="s">
        <v>5119</v>
      </c>
      <c r="B1430" s="10" t="s">
        <v>5238</v>
      </c>
      <c r="C1430" s="11" t="s">
        <v>5249</v>
      </c>
      <c r="D1430" s="11" t="s">
        <v>5250</v>
      </c>
      <c r="E1430" s="11" t="s">
        <v>26</v>
      </c>
      <c r="F1430" s="11" t="s">
        <v>5251</v>
      </c>
      <c r="G1430" s="11" t="s">
        <v>28</v>
      </c>
      <c r="H1430" s="11" t="s">
        <v>5251</v>
      </c>
      <c r="I1430" s="11" t="s">
        <v>5252</v>
      </c>
      <c r="J1430" s="12">
        <v>0.34200000000000003</v>
      </c>
      <c r="K1430" s="13">
        <v>1</v>
      </c>
      <c r="L1430" s="14">
        <v>4283</v>
      </c>
      <c r="M1430" s="10">
        <v>1465</v>
      </c>
      <c r="N1430" s="10">
        <v>473279</v>
      </c>
      <c r="O1430" s="10">
        <v>114884</v>
      </c>
      <c r="P1430" s="10">
        <v>588163</v>
      </c>
    </row>
    <row r="1431" spans="1:16" ht="27" customHeight="1" x14ac:dyDescent="0.2">
      <c r="A1431" s="9" t="s">
        <v>5119</v>
      </c>
      <c r="B1431" s="10" t="s">
        <v>5238</v>
      </c>
      <c r="C1431" s="11" t="s">
        <v>5253</v>
      </c>
      <c r="D1431" s="11" t="s">
        <v>5254</v>
      </c>
      <c r="E1431" s="11" t="s">
        <v>26</v>
      </c>
      <c r="F1431" s="11" t="s">
        <v>5255</v>
      </c>
      <c r="G1431" s="11" t="s">
        <v>28</v>
      </c>
      <c r="H1431" s="11" t="s">
        <v>5255</v>
      </c>
      <c r="I1431" s="11" t="s">
        <v>5256</v>
      </c>
      <c r="J1431" s="12">
        <v>0.37780000000000002</v>
      </c>
      <c r="K1431" s="13">
        <v>1</v>
      </c>
      <c r="L1431" s="14">
        <v>4891</v>
      </c>
      <c r="M1431" s="10">
        <v>1848</v>
      </c>
      <c r="N1431" s="10">
        <v>540464</v>
      </c>
      <c r="O1431" s="10">
        <v>144918</v>
      </c>
      <c r="P1431" s="10">
        <v>685382</v>
      </c>
    </row>
    <row r="1432" spans="1:16" ht="27" customHeight="1" x14ac:dyDescent="0.2">
      <c r="A1432" s="9" t="s">
        <v>5119</v>
      </c>
      <c r="B1432" s="10" t="s">
        <v>5238</v>
      </c>
      <c r="C1432" s="11" t="s">
        <v>5257</v>
      </c>
      <c r="D1432" s="11" t="s">
        <v>5258</v>
      </c>
      <c r="E1432" s="11" t="s">
        <v>26</v>
      </c>
      <c r="F1432" s="11" t="s">
        <v>5259</v>
      </c>
      <c r="G1432" s="11" t="s">
        <v>28</v>
      </c>
      <c r="H1432" s="11" t="s">
        <v>5259</v>
      </c>
      <c r="I1432" s="11" t="s">
        <v>5260</v>
      </c>
      <c r="J1432" s="12">
        <v>0.87170000000000003</v>
      </c>
      <c r="K1432" s="13">
        <v>1</v>
      </c>
      <c r="L1432" s="14">
        <v>304</v>
      </c>
      <c r="M1432" s="10">
        <v>265</v>
      </c>
      <c r="N1432" s="10">
        <v>33593</v>
      </c>
      <c r="O1432" s="10">
        <v>20781</v>
      </c>
      <c r="P1432" s="10">
        <v>54374</v>
      </c>
    </row>
    <row r="1433" spans="1:16" ht="27" customHeight="1" x14ac:dyDescent="0.2">
      <c r="A1433" s="9" t="s">
        <v>5119</v>
      </c>
      <c r="B1433" s="10" t="s">
        <v>5261</v>
      </c>
      <c r="C1433" s="11" t="s">
        <v>18</v>
      </c>
      <c r="D1433" s="11" t="s">
        <v>19</v>
      </c>
      <c r="E1433" s="11" t="s">
        <v>19</v>
      </c>
      <c r="F1433" s="11" t="s">
        <v>5262</v>
      </c>
      <c r="G1433" s="11" t="s">
        <v>83</v>
      </c>
      <c r="H1433" s="11" t="s">
        <v>5263</v>
      </c>
      <c r="I1433" s="11" t="s">
        <v>5264</v>
      </c>
      <c r="J1433" s="12">
        <v>0.21959999999999999</v>
      </c>
      <c r="K1433" s="13">
        <v>10</v>
      </c>
      <c r="L1433" s="14">
        <v>3791</v>
      </c>
      <c r="M1433" s="10">
        <v>315</v>
      </c>
      <c r="N1433" s="10">
        <v>418912</v>
      </c>
      <c r="O1433" s="10">
        <v>24702</v>
      </c>
      <c r="P1433" s="10">
        <v>443614</v>
      </c>
    </row>
    <row r="1434" spans="1:16" ht="27" customHeight="1" x14ac:dyDescent="0.2">
      <c r="A1434" s="9" t="s">
        <v>5119</v>
      </c>
      <c r="B1434" s="10" t="s">
        <v>5265</v>
      </c>
      <c r="C1434" s="11" t="s">
        <v>18</v>
      </c>
      <c r="D1434" s="11" t="s">
        <v>19</v>
      </c>
      <c r="E1434" s="11" t="s">
        <v>19</v>
      </c>
      <c r="F1434" s="11" t="s">
        <v>5266</v>
      </c>
      <c r="G1434" s="11" t="s">
        <v>83</v>
      </c>
      <c r="H1434" s="11" t="s">
        <v>5267</v>
      </c>
      <c r="I1434" s="11" t="s">
        <v>5268</v>
      </c>
      <c r="J1434" s="12">
        <v>0.31169999999999998</v>
      </c>
      <c r="K1434" s="13">
        <v>10</v>
      </c>
      <c r="L1434" s="14">
        <v>4695</v>
      </c>
      <c r="M1434" s="10">
        <v>851</v>
      </c>
      <c r="N1434" s="10">
        <v>518805</v>
      </c>
      <c r="O1434" s="10">
        <v>66733</v>
      </c>
      <c r="P1434" s="10">
        <v>585538</v>
      </c>
    </row>
    <row r="1435" spans="1:16" ht="27" customHeight="1" x14ac:dyDescent="0.2">
      <c r="A1435" s="9" t="s">
        <v>5119</v>
      </c>
      <c r="B1435" s="10" t="s">
        <v>5269</v>
      </c>
      <c r="C1435" s="11" t="s">
        <v>18</v>
      </c>
      <c r="D1435" s="11" t="s">
        <v>19</v>
      </c>
      <c r="E1435" s="11" t="s">
        <v>19</v>
      </c>
      <c r="F1435" s="11" t="s">
        <v>5270</v>
      </c>
      <c r="G1435" s="11" t="s">
        <v>83</v>
      </c>
      <c r="H1435" s="11" t="s">
        <v>1587</v>
      </c>
      <c r="I1435" s="11" t="s">
        <v>5271</v>
      </c>
      <c r="J1435" s="12">
        <v>0.91320000000000001</v>
      </c>
      <c r="K1435" s="13">
        <v>25</v>
      </c>
      <c r="L1435" s="14">
        <v>14779</v>
      </c>
      <c r="M1435" s="10">
        <v>11363</v>
      </c>
      <c r="N1435" s="10">
        <v>1633104</v>
      </c>
      <c r="O1435" s="10">
        <v>891074</v>
      </c>
      <c r="P1435" s="10">
        <v>2524178</v>
      </c>
    </row>
    <row r="1436" spans="1:16" ht="27" customHeight="1" x14ac:dyDescent="0.2">
      <c r="A1436" s="9" t="s">
        <v>5119</v>
      </c>
      <c r="B1436" s="10" t="s">
        <v>5269</v>
      </c>
      <c r="C1436" s="11" t="s">
        <v>5272</v>
      </c>
      <c r="D1436" s="11" t="s">
        <v>5273</v>
      </c>
      <c r="E1436" s="11" t="s">
        <v>26</v>
      </c>
      <c r="F1436" s="11" t="s">
        <v>5274</v>
      </c>
      <c r="G1436" s="11" t="s">
        <v>28</v>
      </c>
      <c r="H1436" s="11" t="s">
        <v>5274</v>
      </c>
      <c r="I1436" s="11" t="s">
        <v>5275</v>
      </c>
      <c r="J1436" s="12">
        <v>0.41039999999999999</v>
      </c>
      <c r="K1436" s="13">
        <v>1</v>
      </c>
      <c r="L1436" s="14">
        <v>1328</v>
      </c>
      <c r="M1436" s="10">
        <v>545</v>
      </c>
      <c r="N1436" s="10">
        <v>146746</v>
      </c>
      <c r="O1436" s="10">
        <v>42738</v>
      </c>
      <c r="P1436" s="10">
        <v>189484</v>
      </c>
    </row>
    <row r="1437" spans="1:16" ht="27" customHeight="1" x14ac:dyDescent="0.2">
      <c r="A1437" s="9" t="s">
        <v>5119</v>
      </c>
      <c r="B1437" s="10" t="s">
        <v>5269</v>
      </c>
      <c r="C1437" s="11" t="s">
        <v>5276</v>
      </c>
      <c r="D1437" s="11" t="s">
        <v>5277</v>
      </c>
      <c r="E1437" s="11" t="s">
        <v>26</v>
      </c>
      <c r="F1437" s="11" t="s">
        <v>5278</v>
      </c>
      <c r="G1437" s="11" t="s">
        <v>28</v>
      </c>
      <c r="H1437" s="11" t="s">
        <v>5278</v>
      </c>
      <c r="I1437" s="11" t="s">
        <v>5279</v>
      </c>
      <c r="J1437" s="12">
        <v>0.24099999999999999</v>
      </c>
      <c r="K1437" s="13">
        <v>1</v>
      </c>
      <c r="L1437" s="14">
        <v>1531</v>
      </c>
      <c r="M1437" s="10">
        <v>369</v>
      </c>
      <c r="N1437" s="10">
        <v>169178</v>
      </c>
      <c r="O1437" s="10">
        <v>28937</v>
      </c>
      <c r="P1437" s="10">
        <v>198115</v>
      </c>
    </row>
    <row r="1438" spans="1:16" ht="27" customHeight="1" x14ac:dyDescent="0.2">
      <c r="A1438" s="9" t="s">
        <v>5119</v>
      </c>
      <c r="B1438" s="10" t="s">
        <v>5280</v>
      </c>
      <c r="C1438" s="11" t="s">
        <v>18</v>
      </c>
      <c r="D1438" s="11" t="s">
        <v>19</v>
      </c>
      <c r="E1438" s="11" t="s">
        <v>19</v>
      </c>
      <c r="F1438" s="11" t="s">
        <v>5281</v>
      </c>
      <c r="G1438" s="11" t="s">
        <v>83</v>
      </c>
      <c r="H1438" s="11" t="s">
        <v>5122</v>
      </c>
      <c r="I1438" s="11" t="s">
        <v>5123</v>
      </c>
      <c r="J1438" s="12">
        <v>1</v>
      </c>
      <c r="K1438" s="13">
        <v>6</v>
      </c>
      <c r="L1438" s="14">
        <v>6862</v>
      </c>
      <c r="M1438" s="10">
        <v>5567</v>
      </c>
      <c r="N1438" s="10">
        <v>758262</v>
      </c>
      <c r="O1438" s="10">
        <v>436558</v>
      </c>
      <c r="P1438" s="10">
        <v>1194820</v>
      </c>
    </row>
    <row r="1439" spans="1:16" ht="27" customHeight="1" x14ac:dyDescent="0.2">
      <c r="A1439" s="9" t="s">
        <v>5119</v>
      </c>
      <c r="B1439" s="10" t="s">
        <v>5280</v>
      </c>
      <c r="C1439" s="11" t="s">
        <v>5282</v>
      </c>
      <c r="D1439" s="11" t="s">
        <v>5283</v>
      </c>
      <c r="E1439" s="11" t="s">
        <v>26</v>
      </c>
      <c r="F1439" s="11" t="s">
        <v>5284</v>
      </c>
      <c r="G1439" s="11" t="s">
        <v>28</v>
      </c>
      <c r="H1439" s="11" t="s">
        <v>5122</v>
      </c>
      <c r="I1439" s="11" t="s">
        <v>5123</v>
      </c>
      <c r="J1439" s="12">
        <v>1</v>
      </c>
      <c r="K1439" s="13">
        <v>1</v>
      </c>
      <c r="L1439" s="14">
        <v>1283</v>
      </c>
      <c r="M1439" s="10">
        <v>274</v>
      </c>
      <c r="N1439" s="10">
        <v>141774</v>
      </c>
      <c r="O1439" s="10">
        <v>21487</v>
      </c>
      <c r="P1439" s="10">
        <v>163261</v>
      </c>
    </row>
    <row r="1440" spans="1:16" ht="27" customHeight="1" x14ac:dyDescent="0.2">
      <c r="A1440" s="9" t="s">
        <v>5119</v>
      </c>
      <c r="B1440" s="10" t="s">
        <v>5280</v>
      </c>
      <c r="C1440" s="11" t="s">
        <v>5285</v>
      </c>
      <c r="D1440" s="11" t="s">
        <v>5286</v>
      </c>
      <c r="E1440" s="11" t="s">
        <v>26</v>
      </c>
      <c r="F1440" s="11" t="s">
        <v>5287</v>
      </c>
      <c r="G1440" s="11" t="s">
        <v>28</v>
      </c>
      <c r="H1440" s="11" t="s">
        <v>5287</v>
      </c>
      <c r="I1440" s="11" t="s">
        <v>5288</v>
      </c>
      <c r="J1440" s="12">
        <v>0.60360000000000003</v>
      </c>
      <c r="K1440" s="13">
        <v>1</v>
      </c>
      <c r="L1440" s="14">
        <v>111</v>
      </c>
      <c r="M1440" s="10">
        <v>67</v>
      </c>
      <c r="N1440" s="10">
        <v>12266</v>
      </c>
      <c r="O1440" s="10">
        <v>5254</v>
      </c>
      <c r="P1440" s="10">
        <v>17520</v>
      </c>
    </row>
    <row r="1441" spans="1:16" ht="27" customHeight="1" x14ac:dyDescent="0.2">
      <c r="A1441" s="9" t="s">
        <v>5119</v>
      </c>
      <c r="B1441" s="10" t="s">
        <v>5280</v>
      </c>
      <c r="C1441" s="11" t="s">
        <v>5289</v>
      </c>
      <c r="D1441" s="11" t="s">
        <v>5290</v>
      </c>
      <c r="E1441" s="11" t="s">
        <v>26</v>
      </c>
      <c r="F1441" s="11" t="s">
        <v>5291</v>
      </c>
      <c r="G1441" s="11" t="s">
        <v>28</v>
      </c>
      <c r="H1441" s="11" t="s">
        <v>5122</v>
      </c>
      <c r="I1441" s="11" t="s">
        <v>5123</v>
      </c>
      <c r="J1441" s="12">
        <v>1</v>
      </c>
      <c r="K1441" s="13">
        <v>1</v>
      </c>
      <c r="L1441" s="14">
        <v>927</v>
      </c>
      <c r="M1441" s="10">
        <v>435</v>
      </c>
      <c r="N1441" s="10">
        <v>102435</v>
      </c>
      <c r="O1441" s="10">
        <v>34112</v>
      </c>
      <c r="P1441" s="10">
        <v>136547</v>
      </c>
    </row>
    <row r="1442" spans="1:16" ht="27" customHeight="1" x14ac:dyDescent="0.2">
      <c r="A1442" s="9" t="s">
        <v>5119</v>
      </c>
      <c r="B1442" s="10" t="s">
        <v>5292</v>
      </c>
      <c r="C1442" s="11" t="s">
        <v>18</v>
      </c>
      <c r="D1442" s="11" t="s">
        <v>19</v>
      </c>
      <c r="E1442" s="11" t="s">
        <v>19</v>
      </c>
      <c r="F1442" s="11" t="s">
        <v>5293</v>
      </c>
      <c r="G1442" s="11" t="s">
        <v>83</v>
      </c>
      <c r="H1442" s="11" t="s">
        <v>5294</v>
      </c>
      <c r="I1442" s="11" t="s">
        <v>5295</v>
      </c>
      <c r="J1442" s="12">
        <v>0.89259999999999995</v>
      </c>
      <c r="K1442" s="13">
        <v>12</v>
      </c>
      <c r="L1442" s="14">
        <v>5186</v>
      </c>
      <c r="M1442" s="10">
        <v>3889</v>
      </c>
      <c r="N1442" s="10">
        <v>573062</v>
      </c>
      <c r="O1442" s="10">
        <v>304971</v>
      </c>
      <c r="P1442" s="10">
        <v>878033</v>
      </c>
    </row>
    <row r="1443" spans="1:16" ht="27" customHeight="1" x14ac:dyDescent="0.2">
      <c r="A1443" s="9" t="s">
        <v>5119</v>
      </c>
      <c r="B1443" s="10" t="s">
        <v>5296</v>
      </c>
      <c r="C1443" s="11" t="s">
        <v>18</v>
      </c>
      <c r="D1443" s="11" t="s">
        <v>19</v>
      </c>
      <c r="E1443" s="11" t="s">
        <v>19</v>
      </c>
      <c r="F1443" s="11" t="s">
        <v>5297</v>
      </c>
      <c r="G1443" s="11" t="s">
        <v>83</v>
      </c>
      <c r="H1443" s="11" t="s">
        <v>5122</v>
      </c>
      <c r="I1443" s="11" t="s">
        <v>5123</v>
      </c>
      <c r="J1443" s="12">
        <v>1</v>
      </c>
      <c r="K1443" s="13">
        <v>4</v>
      </c>
      <c r="L1443" s="14">
        <v>2093</v>
      </c>
      <c r="M1443" s="10">
        <v>1498</v>
      </c>
      <c r="N1443" s="10">
        <v>231280</v>
      </c>
      <c r="O1443" s="10">
        <v>117471</v>
      </c>
      <c r="P1443" s="10">
        <v>348751</v>
      </c>
    </row>
    <row r="1444" spans="1:16" ht="27" customHeight="1" x14ac:dyDescent="0.2">
      <c r="A1444" s="9" t="s">
        <v>5119</v>
      </c>
      <c r="B1444" s="10" t="s">
        <v>5298</v>
      </c>
      <c r="C1444" s="11" t="s">
        <v>18</v>
      </c>
      <c r="D1444" s="11" t="s">
        <v>19</v>
      </c>
      <c r="E1444" s="11" t="s">
        <v>19</v>
      </c>
      <c r="F1444" s="11" t="s">
        <v>5299</v>
      </c>
      <c r="G1444" s="11" t="s">
        <v>83</v>
      </c>
      <c r="H1444" s="11" t="s">
        <v>5122</v>
      </c>
      <c r="I1444" s="11" t="s">
        <v>5123</v>
      </c>
      <c r="J1444" s="12">
        <v>1</v>
      </c>
      <c r="K1444" s="13">
        <v>16</v>
      </c>
      <c r="L1444" s="14">
        <v>16675</v>
      </c>
      <c r="M1444" s="10">
        <v>10445</v>
      </c>
      <c r="N1444" s="10">
        <v>1842617</v>
      </c>
      <c r="O1444" s="10">
        <v>819087</v>
      </c>
      <c r="P1444" s="10">
        <v>2661704</v>
      </c>
    </row>
    <row r="1445" spans="1:16" ht="27" customHeight="1" x14ac:dyDescent="0.2">
      <c r="A1445" s="9" t="s">
        <v>5119</v>
      </c>
      <c r="B1445" s="10" t="s">
        <v>5298</v>
      </c>
      <c r="C1445" s="11" t="s">
        <v>5300</v>
      </c>
      <c r="D1445" s="11" t="s">
        <v>5301</v>
      </c>
      <c r="E1445" s="11" t="s">
        <v>26</v>
      </c>
      <c r="F1445" s="11" t="s">
        <v>5302</v>
      </c>
      <c r="G1445" s="11" t="s">
        <v>28</v>
      </c>
      <c r="H1445" s="11" t="s">
        <v>5302</v>
      </c>
      <c r="I1445" s="11" t="s">
        <v>5303</v>
      </c>
      <c r="J1445" s="12">
        <v>0.59460000000000002</v>
      </c>
      <c r="K1445" s="13">
        <v>1</v>
      </c>
      <c r="L1445" s="14">
        <v>407</v>
      </c>
      <c r="M1445" s="10">
        <v>242</v>
      </c>
      <c r="N1445" s="10">
        <v>44974</v>
      </c>
      <c r="O1445" s="10">
        <v>18977</v>
      </c>
      <c r="P1445" s="10">
        <v>63951</v>
      </c>
    </row>
    <row r="1446" spans="1:16" ht="27" customHeight="1" x14ac:dyDescent="0.2">
      <c r="A1446" s="9" t="s">
        <v>5119</v>
      </c>
      <c r="B1446" s="10" t="s">
        <v>5298</v>
      </c>
      <c r="C1446" s="11" t="s">
        <v>5304</v>
      </c>
      <c r="D1446" s="11" t="s">
        <v>5305</v>
      </c>
      <c r="E1446" s="11" t="s">
        <v>26</v>
      </c>
      <c r="F1446" s="11" t="s">
        <v>5306</v>
      </c>
      <c r="G1446" s="11" t="s">
        <v>28</v>
      </c>
      <c r="H1446" s="11" t="s">
        <v>5122</v>
      </c>
      <c r="I1446" s="11" t="s">
        <v>5123</v>
      </c>
      <c r="J1446" s="12">
        <v>1</v>
      </c>
      <c r="K1446" s="13">
        <v>1</v>
      </c>
      <c r="L1446" s="14">
        <v>2168</v>
      </c>
      <c r="M1446" s="10">
        <v>1009</v>
      </c>
      <c r="N1446" s="10">
        <v>239568</v>
      </c>
      <c r="O1446" s="10">
        <v>79125</v>
      </c>
      <c r="P1446" s="10">
        <v>318693</v>
      </c>
    </row>
    <row r="1447" spans="1:16" ht="27" customHeight="1" x14ac:dyDescent="0.2">
      <c r="A1447" s="9" t="s">
        <v>5119</v>
      </c>
      <c r="B1447" s="10" t="s">
        <v>5298</v>
      </c>
      <c r="C1447" s="11" t="s">
        <v>5307</v>
      </c>
      <c r="D1447" s="11" t="s">
        <v>5308</v>
      </c>
      <c r="E1447" s="11" t="s">
        <v>26</v>
      </c>
      <c r="F1447" s="11" t="s">
        <v>5309</v>
      </c>
      <c r="G1447" s="11" t="s">
        <v>28</v>
      </c>
      <c r="H1447" s="11" t="s">
        <v>5122</v>
      </c>
      <c r="I1447" s="11" t="s">
        <v>5123</v>
      </c>
      <c r="J1447" s="12">
        <v>1</v>
      </c>
      <c r="K1447" s="13">
        <v>1</v>
      </c>
      <c r="L1447" s="14">
        <v>2502</v>
      </c>
      <c r="M1447" s="10">
        <v>1538</v>
      </c>
      <c r="N1447" s="10">
        <v>276475</v>
      </c>
      <c r="O1447" s="10">
        <v>120608</v>
      </c>
      <c r="P1447" s="10">
        <v>397083</v>
      </c>
    </row>
    <row r="1448" spans="1:16" ht="27" customHeight="1" x14ac:dyDescent="0.2">
      <c r="A1448" s="9" t="s">
        <v>5119</v>
      </c>
      <c r="B1448" s="10" t="s">
        <v>5310</v>
      </c>
      <c r="C1448" s="11" t="s">
        <v>18</v>
      </c>
      <c r="D1448" s="11" t="s">
        <v>19</v>
      </c>
      <c r="E1448" s="11" t="s">
        <v>19</v>
      </c>
      <c r="F1448" s="11" t="s">
        <v>5311</v>
      </c>
      <c r="G1448" s="11" t="s">
        <v>83</v>
      </c>
      <c r="H1448" s="11" t="s">
        <v>5312</v>
      </c>
      <c r="I1448" s="11" t="s">
        <v>5313</v>
      </c>
      <c r="J1448" s="12">
        <v>0.58899999999999997</v>
      </c>
      <c r="K1448" s="13">
        <v>3</v>
      </c>
      <c r="L1448" s="14">
        <v>571</v>
      </c>
      <c r="M1448" s="10">
        <v>320</v>
      </c>
      <c r="N1448" s="10">
        <v>63096</v>
      </c>
      <c r="O1448" s="10">
        <v>25095</v>
      </c>
      <c r="P1448" s="10">
        <v>88191</v>
      </c>
    </row>
    <row r="1449" spans="1:16" ht="27" customHeight="1" x14ac:dyDescent="0.2">
      <c r="A1449" s="9" t="s">
        <v>5119</v>
      </c>
      <c r="B1449" s="10" t="s">
        <v>5310</v>
      </c>
      <c r="C1449" s="11" t="s">
        <v>5314</v>
      </c>
      <c r="D1449" s="11" t="s">
        <v>5315</v>
      </c>
      <c r="E1449" s="11" t="s">
        <v>26</v>
      </c>
      <c r="F1449" s="11" t="s">
        <v>5316</v>
      </c>
      <c r="G1449" s="11" t="s">
        <v>28</v>
      </c>
      <c r="H1449" s="11" t="s">
        <v>5316</v>
      </c>
      <c r="I1449" s="11" t="s">
        <v>5317</v>
      </c>
      <c r="J1449" s="12">
        <v>0.4481</v>
      </c>
      <c r="K1449" s="13">
        <v>1</v>
      </c>
      <c r="L1449" s="14">
        <v>183</v>
      </c>
      <c r="M1449" s="10">
        <v>82</v>
      </c>
      <c r="N1449" s="10">
        <v>20222</v>
      </c>
      <c r="O1449" s="10">
        <v>6430</v>
      </c>
      <c r="P1449" s="10">
        <v>26652</v>
      </c>
    </row>
    <row r="1450" spans="1:16" ht="27" customHeight="1" x14ac:dyDescent="0.2">
      <c r="A1450" s="9" t="s">
        <v>5119</v>
      </c>
      <c r="B1450" s="10" t="s">
        <v>5318</v>
      </c>
      <c r="C1450" s="11" t="s">
        <v>18</v>
      </c>
      <c r="D1450" s="11" t="s">
        <v>19</v>
      </c>
      <c r="E1450" s="11" t="s">
        <v>19</v>
      </c>
      <c r="F1450" s="11" t="s">
        <v>5319</v>
      </c>
      <c r="G1450" s="11" t="s">
        <v>83</v>
      </c>
      <c r="H1450" s="11" t="s">
        <v>5320</v>
      </c>
      <c r="I1450" s="11" t="s">
        <v>5321</v>
      </c>
      <c r="J1450" s="12">
        <v>0.64710000000000001</v>
      </c>
      <c r="K1450" s="13">
        <v>3</v>
      </c>
      <c r="L1450" s="14">
        <v>279</v>
      </c>
      <c r="M1450" s="10">
        <v>183</v>
      </c>
      <c r="N1450" s="10">
        <v>30830</v>
      </c>
      <c r="O1450" s="10">
        <v>14351</v>
      </c>
      <c r="P1450" s="10">
        <v>45181</v>
      </c>
    </row>
    <row r="1451" spans="1:16" ht="27" customHeight="1" x14ac:dyDescent="0.2">
      <c r="A1451" s="9" t="s">
        <v>5119</v>
      </c>
      <c r="B1451" s="10" t="s">
        <v>5318</v>
      </c>
      <c r="C1451" s="11" t="s">
        <v>5322</v>
      </c>
      <c r="D1451" s="11" t="s">
        <v>5323</v>
      </c>
      <c r="E1451" s="11" t="s">
        <v>26</v>
      </c>
      <c r="F1451" s="11" t="s">
        <v>5324</v>
      </c>
      <c r="G1451" s="11" t="s">
        <v>28</v>
      </c>
      <c r="H1451" s="11" t="s">
        <v>5324</v>
      </c>
      <c r="I1451" s="11" t="s">
        <v>5325</v>
      </c>
      <c r="J1451" s="12">
        <v>0.53790000000000004</v>
      </c>
      <c r="K1451" s="13">
        <v>1</v>
      </c>
      <c r="L1451" s="14">
        <v>277</v>
      </c>
      <c r="M1451" s="10">
        <v>149</v>
      </c>
      <c r="N1451" s="10">
        <v>30609</v>
      </c>
      <c r="O1451" s="10">
        <v>11684</v>
      </c>
      <c r="P1451" s="10">
        <v>42293</v>
      </c>
    </row>
    <row r="1452" spans="1:16" ht="27" customHeight="1" x14ac:dyDescent="0.2">
      <c r="A1452" s="9" t="s">
        <v>5119</v>
      </c>
      <c r="B1452" s="10" t="s">
        <v>5318</v>
      </c>
      <c r="C1452" s="11" t="s">
        <v>5326</v>
      </c>
      <c r="D1452" s="11" t="s">
        <v>5327</v>
      </c>
      <c r="E1452" s="11" t="s">
        <v>26</v>
      </c>
      <c r="F1452" s="11" t="s">
        <v>5328</v>
      </c>
      <c r="G1452" s="11" t="s">
        <v>28</v>
      </c>
      <c r="H1452" s="11" t="s">
        <v>5328</v>
      </c>
      <c r="I1452" s="11" t="s">
        <v>5329</v>
      </c>
      <c r="J1452" s="12">
        <v>0.82479999999999998</v>
      </c>
      <c r="K1452" s="13">
        <v>1</v>
      </c>
      <c r="L1452" s="14">
        <v>411</v>
      </c>
      <c r="M1452" s="10">
        <v>339</v>
      </c>
      <c r="N1452" s="10">
        <v>45416</v>
      </c>
      <c r="O1452" s="10">
        <v>26584</v>
      </c>
      <c r="P1452" s="10">
        <v>72000</v>
      </c>
    </row>
    <row r="1453" spans="1:16" ht="27" customHeight="1" x14ac:dyDescent="0.2">
      <c r="A1453" s="9" t="s">
        <v>5119</v>
      </c>
      <c r="B1453" s="10" t="s">
        <v>5318</v>
      </c>
      <c r="C1453" s="11" t="s">
        <v>5330</v>
      </c>
      <c r="D1453" s="11" t="s">
        <v>5331</v>
      </c>
      <c r="E1453" s="11" t="s">
        <v>26</v>
      </c>
      <c r="F1453" s="11" t="s">
        <v>5332</v>
      </c>
      <c r="G1453" s="11" t="s">
        <v>28</v>
      </c>
      <c r="H1453" s="11" t="s">
        <v>5332</v>
      </c>
      <c r="I1453" s="11" t="s">
        <v>5333</v>
      </c>
      <c r="J1453" s="12">
        <v>0.14349999999999999</v>
      </c>
      <c r="K1453" s="13">
        <v>1</v>
      </c>
      <c r="L1453" s="14">
        <v>237</v>
      </c>
      <c r="M1453" s="10">
        <v>34</v>
      </c>
      <c r="N1453" s="10">
        <v>26189</v>
      </c>
      <c r="O1453" s="10">
        <v>2666</v>
      </c>
      <c r="P1453" s="10">
        <v>28855</v>
      </c>
    </row>
    <row r="1454" spans="1:16" ht="27" customHeight="1" x14ac:dyDescent="0.2">
      <c r="A1454" s="9" t="s">
        <v>5119</v>
      </c>
      <c r="B1454" s="10" t="s">
        <v>5318</v>
      </c>
      <c r="C1454" s="11" t="s">
        <v>5334</v>
      </c>
      <c r="D1454" s="11" t="s">
        <v>5335</v>
      </c>
      <c r="E1454" s="11" t="s">
        <v>26</v>
      </c>
      <c r="F1454" s="11" t="s">
        <v>5336</v>
      </c>
      <c r="G1454" s="11" t="s">
        <v>28</v>
      </c>
      <c r="H1454" s="11" t="s">
        <v>5336</v>
      </c>
      <c r="I1454" s="11" t="s">
        <v>5337</v>
      </c>
      <c r="J1454" s="12">
        <v>0.375</v>
      </c>
      <c r="K1454" s="13">
        <v>1</v>
      </c>
      <c r="L1454" s="14">
        <v>136</v>
      </c>
      <c r="M1454" s="10">
        <v>51</v>
      </c>
      <c r="N1454" s="10">
        <v>15028</v>
      </c>
      <c r="O1454" s="10">
        <v>3999</v>
      </c>
      <c r="P1454" s="10">
        <v>19027</v>
      </c>
    </row>
    <row r="1455" spans="1:16" ht="27" customHeight="1" x14ac:dyDescent="0.2">
      <c r="A1455" s="9" t="s">
        <v>5119</v>
      </c>
      <c r="B1455" s="10" t="s">
        <v>5318</v>
      </c>
      <c r="C1455" s="11" t="s">
        <v>5338</v>
      </c>
      <c r="D1455" s="11" t="s">
        <v>5339</v>
      </c>
      <c r="E1455" s="11" t="s">
        <v>26</v>
      </c>
      <c r="F1455" s="11" t="s">
        <v>5340</v>
      </c>
      <c r="G1455" s="11" t="s">
        <v>28</v>
      </c>
      <c r="H1455" s="11" t="s">
        <v>5340</v>
      </c>
      <c r="I1455" s="11" t="s">
        <v>5341</v>
      </c>
      <c r="J1455" s="12">
        <v>0.70450000000000002</v>
      </c>
      <c r="K1455" s="13">
        <v>1</v>
      </c>
      <c r="L1455" s="14">
        <v>379</v>
      </c>
      <c r="M1455" s="10">
        <v>267</v>
      </c>
      <c r="N1455" s="10">
        <v>41880</v>
      </c>
      <c r="O1455" s="10">
        <v>20938</v>
      </c>
      <c r="P1455" s="10">
        <v>62818</v>
      </c>
    </row>
    <row r="1456" spans="1:16" ht="27" customHeight="1" x14ac:dyDescent="0.2">
      <c r="A1456" s="9" t="s">
        <v>5119</v>
      </c>
      <c r="B1456" s="10" t="s">
        <v>5318</v>
      </c>
      <c r="C1456" s="11" t="s">
        <v>5342</v>
      </c>
      <c r="D1456" s="11" t="s">
        <v>5343</v>
      </c>
      <c r="E1456" s="11" t="s">
        <v>26</v>
      </c>
      <c r="F1456" s="11" t="s">
        <v>5344</v>
      </c>
      <c r="G1456" s="11" t="s">
        <v>28</v>
      </c>
      <c r="H1456" s="11" t="s">
        <v>5344</v>
      </c>
      <c r="I1456" s="11" t="s">
        <v>5345</v>
      </c>
      <c r="J1456" s="12">
        <v>0.38419999999999999</v>
      </c>
      <c r="K1456" s="13">
        <v>1</v>
      </c>
      <c r="L1456" s="14">
        <v>203</v>
      </c>
      <c r="M1456" s="10">
        <v>78</v>
      </c>
      <c r="N1456" s="10">
        <v>22432</v>
      </c>
      <c r="O1456" s="10">
        <v>6117</v>
      </c>
      <c r="P1456" s="10">
        <v>28549</v>
      </c>
    </row>
    <row r="1457" spans="1:16" ht="27" customHeight="1" x14ac:dyDescent="0.2">
      <c r="A1457" s="9" t="s">
        <v>5119</v>
      </c>
      <c r="B1457" s="10" t="s">
        <v>5346</v>
      </c>
      <c r="C1457" s="11" t="s">
        <v>18</v>
      </c>
      <c r="D1457" s="11" t="s">
        <v>19</v>
      </c>
      <c r="E1457" s="11" t="s">
        <v>19</v>
      </c>
      <c r="F1457" s="11" t="s">
        <v>5347</v>
      </c>
      <c r="G1457" s="11" t="s">
        <v>83</v>
      </c>
      <c r="H1457" s="11" t="s">
        <v>5122</v>
      </c>
      <c r="I1457" s="11" t="s">
        <v>5123</v>
      </c>
      <c r="J1457" s="12">
        <v>1</v>
      </c>
      <c r="K1457" s="13">
        <v>2</v>
      </c>
      <c r="L1457" s="14">
        <v>100</v>
      </c>
      <c r="M1457" s="10">
        <v>53</v>
      </c>
      <c r="N1457" s="10">
        <v>11050</v>
      </c>
      <c r="O1457" s="10">
        <v>4156</v>
      </c>
      <c r="P1457" s="10">
        <v>15206</v>
      </c>
    </row>
    <row r="1458" spans="1:16" ht="27" customHeight="1" x14ac:dyDescent="0.2">
      <c r="A1458" s="9" t="s">
        <v>5119</v>
      </c>
      <c r="B1458" s="10" t="s">
        <v>5348</v>
      </c>
      <c r="C1458" s="11" t="s">
        <v>18</v>
      </c>
      <c r="D1458" s="11" t="s">
        <v>19</v>
      </c>
      <c r="E1458" s="11" t="s">
        <v>19</v>
      </c>
      <c r="F1458" s="11" t="s">
        <v>1568</v>
      </c>
      <c r="G1458" s="11" t="s">
        <v>83</v>
      </c>
      <c r="H1458" s="11" t="s">
        <v>5349</v>
      </c>
      <c r="I1458" s="11" t="s">
        <v>5350</v>
      </c>
      <c r="J1458" s="12">
        <v>0.66890000000000005</v>
      </c>
      <c r="K1458" s="13">
        <v>11</v>
      </c>
      <c r="L1458" s="14">
        <v>4640</v>
      </c>
      <c r="M1458" s="10">
        <v>1637</v>
      </c>
      <c r="N1458" s="10">
        <v>512730</v>
      </c>
      <c r="O1458" s="10">
        <v>128372</v>
      </c>
      <c r="P1458" s="10">
        <v>641102</v>
      </c>
    </row>
    <row r="1459" spans="1:16" ht="27" customHeight="1" x14ac:dyDescent="0.2">
      <c r="A1459" s="9" t="s">
        <v>5119</v>
      </c>
      <c r="B1459" s="10" t="s">
        <v>5348</v>
      </c>
      <c r="C1459" s="11" t="s">
        <v>5351</v>
      </c>
      <c r="D1459" s="11" t="s">
        <v>5352</v>
      </c>
      <c r="E1459" s="11" t="s">
        <v>26</v>
      </c>
      <c r="F1459" s="11" t="s">
        <v>5353</v>
      </c>
      <c r="G1459" s="11" t="s">
        <v>28</v>
      </c>
      <c r="H1459" s="11" t="s">
        <v>5122</v>
      </c>
      <c r="I1459" s="11" t="s">
        <v>5123</v>
      </c>
      <c r="J1459" s="12">
        <v>1</v>
      </c>
      <c r="K1459" s="13">
        <v>1</v>
      </c>
      <c r="L1459" s="14">
        <v>228</v>
      </c>
      <c r="M1459" s="10">
        <v>37</v>
      </c>
      <c r="N1459" s="10">
        <v>25194</v>
      </c>
      <c r="O1459" s="10">
        <v>2902</v>
      </c>
      <c r="P1459" s="10">
        <v>28096</v>
      </c>
    </row>
    <row r="1460" spans="1:16" ht="27" customHeight="1" x14ac:dyDescent="0.2">
      <c r="A1460" s="9" t="s">
        <v>5119</v>
      </c>
      <c r="B1460" s="10" t="s">
        <v>5348</v>
      </c>
      <c r="C1460" s="11" t="s">
        <v>5354</v>
      </c>
      <c r="D1460" s="11" t="s">
        <v>5355</v>
      </c>
      <c r="E1460" s="11" t="s">
        <v>26</v>
      </c>
      <c r="F1460" s="11" t="s">
        <v>5356</v>
      </c>
      <c r="G1460" s="11" t="s">
        <v>28</v>
      </c>
      <c r="H1460" s="11" t="s">
        <v>5356</v>
      </c>
      <c r="I1460" s="11" t="s">
        <v>5357</v>
      </c>
      <c r="J1460" s="12">
        <v>0.46910000000000002</v>
      </c>
      <c r="K1460" s="13">
        <v>1</v>
      </c>
      <c r="L1460" s="14">
        <v>81</v>
      </c>
      <c r="M1460" s="10">
        <v>38</v>
      </c>
      <c r="N1460" s="10">
        <v>8951</v>
      </c>
      <c r="O1460" s="10">
        <v>2980</v>
      </c>
      <c r="P1460" s="10">
        <v>11931</v>
      </c>
    </row>
    <row r="1461" spans="1:16" ht="27" customHeight="1" x14ac:dyDescent="0.2">
      <c r="A1461" s="9" t="s">
        <v>5119</v>
      </c>
      <c r="B1461" s="10" t="s">
        <v>5358</v>
      </c>
      <c r="C1461" s="11" t="s">
        <v>18</v>
      </c>
      <c r="D1461" s="11" t="s">
        <v>19</v>
      </c>
      <c r="E1461" s="11" t="s">
        <v>19</v>
      </c>
      <c r="F1461" s="11" t="s">
        <v>5359</v>
      </c>
      <c r="G1461" s="11" t="s">
        <v>83</v>
      </c>
      <c r="H1461" s="11" t="s">
        <v>5360</v>
      </c>
      <c r="I1461" s="11" t="s">
        <v>5361</v>
      </c>
      <c r="J1461" s="12">
        <v>0.89249999999999996</v>
      </c>
      <c r="K1461" s="13">
        <v>23</v>
      </c>
      <c r="L1461" s="14">
        <v>10990</v>
      </c>
      <c r="M1461" s="10">
        <v>7094</v>
      </c>
      <c r="N1461" s="10">
        <v>1214412</v>
      </c>
      <c r="O1461" s="10">
        <v>556302</v>
      </c>
      <c r="P1461" s="10">
        <v>1770714</v>
      </c>
    </row>
    <row r="1462" spans="1:16" ht="27" customHeight="1" x14ac:dyDescent="0.2">
      <c r="A1462" s="9" t="s">
        <v>5119</v>
      </c>
      <c r="B1462" s="10" t="s">
        <v>5358</v>
      </c>
      <c r="C1462" s="11" t="s">
        <v>5362</v>
      </c>
      <c r="D1462" s="11" t="s">
        <v>5363</v>
      </c>
      <c r="E1462" s="11" t="s">
        <v>26</v>
      </c>
      <c r="F1462" s="11" t="s">
        <v>5364</v>
      </c>
      <c r="G1462" s="11" t="s">
        <v>28</v>
      </c>
      <c r="H1462" s="11" t="s">
        <v>5364</v>
      </c>
      <c r="I1462" s="11" t="s">
        <v>5365</v>
      </c>
      <c r="J1462" s="12">
        <v>0.28820000000000001</v>
      </c>
      <c r="K1462" s="13">
        <v>1</v>
      </c>
      <c r="L1462" s="14">
        <v>399</v>
      </c>
      <c r="M1462" s="10">
        <v>115</v>
      </c>
      <c r="N1462" s="10">
        <v>44090</v>
      </c>
      <c r="O1462" s="10">
        <v>9018</v>
      </c>
      <c r="P1462" s="10">
        <v>53108</v>
      </c>
    </row>
    <row r="1463" spans="1:16" ht="27" customHeight="1" x14ac:dyDescent="0.2">
      <c r="A1463" s="9" t="s">
        <v>5119</v>
      </c>
      <c r="B1463" s="10" t="s">
        <v>5366</v>
      </c>
      <c r="C1463" s="11" t="s">
        <v>18</v>
      </c>
      <c r="D1463" s="11" t="s">
        <v>19</v>
      </c>
      <c r="E1463" s="11" t="s">
        <v>19</v>
      </c>
      <c r="F1463" s="11" t="s">
        <v>5367</v>
      </c>
      <c r="G1463" s="11" t="s">
        <v>83</v>
      </c>
      <c r="H1463" s="11" t="s">
        <v>5368</v>
      </c>
      <c r="I1463" s="11" t="s">
        <v>5369</v>
      </c>
      <c r="J1463" s="12">
        <v>0.66739999999999999</v>
      </c>
      <c r="K1463" s="13">
        <v>9</v>
      </c>
      <c r="L1463" s="14">
        <v>3301</v>
      </c>
      <c r="M1463" s="10">
        <v>1901</v>
      </c>
      <c r="N1463" s="10">
        <v>364767</v>
      </c>
      <c r="O1463" s="10">
        <v>149076</v>
      </c>
      <c r="P1463" s="10">
        <v>513843</v>
      </c>
    </row>
    <row r="1464" spans="1:16" ht="27" customHeight="1" x14ac:dyDescent="0.2">
      <c r="A1464" s="9" t="s">
        <v>5119</v>
      </c>
      <c r="B1464" s="10" t="s">
        <v>5370</v>
      </c>
      <c r="C1464" s="11" t="s">
        <v>18</v>
      </c>
      <c r="D1464" s="11" t="s">
        <v>19</v>
      </c>
      <c r="E1464" s="11" t="s">
        <v>19</v>
      </c>
      <c r="F1464" s="11" t="s">
        <v>5371</v>
      </c>
      <c r="G1464" s="11" t="s">
        <v>83</v>
      </c>
      <c r="H1464" s="11" t="s">
        <v>1887</v>
      </c>
      <c r="I1464" s="11" t="s">
        <v>5372</v>
      </c>
      <c r="J1464" s="12">
        <v>0.72729999999999995</v>
      </c>
      <c r="K1464" s="13">
        <v>11</v>
      </c>
      <c r="L1464" s="14">
        <v>1728</v>
      </c>
      <c r="M1464" s="10">
        <v>990</v>
      </c>
      <c r="N1464" s="10">
        <v>190948</v>
      </c>
      <c r="O1464" s="10">
        <v>77635</v>
      </c>
      <c r="P1464" s="10">
        <v>268583</v>
      </c>
    </row>
    <row r="1465" spans="1:16" ht="27" customHeight="1" x14ac:dyDescent="0.2">
      <c r="A1465" s="9" t="s">
        <v>5119</v>
      </c>
      <c r="B1465" s="10" t="s">
        <v>5370</v>
      </c>
      <c r="C1465" s="11" t="s">
        <v>5373</v>
      </c>
      <c r="D1465" s="11" t="s">
        <v>5374</v>
      </c>
      <c r="E1465" s="11" t="s">
        <v>26</v>
      </c>
      <c r="F1465" s="11" t="s">
        <v>5375</v>
      </c>
      <c r="G1465" s="11" t="s">
        <v>28</v>
      </c>
      <c r="H1465" s="11" t="s">
        <v>5375</v>
      </c>
      <c r="I1465" s="11" t="s">
        <v>5376</v>
      </c>
      <c r="J1465" s="12">
        <v>0.6482</v>
      </c>
      <c r="K1465" s="13">
        <v>1</v>
      </c>
      <c r="L1465" s="14">
        <v>398</v>
      </c>
      <c r="M1465" s="10">
        <v>258</v>
      </c>
      <c r="N1465" s="10">
        <v>43980</v>
      </c>
      <c r="O1465" s="10">
        <v>20232</v>
      </c>
      <c r="P1465" s="10">
        <v>64212</v>
      </c>
    </row>
    <row r="1466" spans="1:16" ht="27" customHeight="1" x14ac:dyDescent="0.2">
      <c r="A1466" s="9" t="s">
        <v>5119</v>
      </c>
      <c r="B1466" s="10" t="s">
        <v>5370</v>
      </c>
      <c r="C1466" s="11" t="s">
        <v>5377</v>
      </c>
      <c r="D1466" s="11" t="s">
        <v>5378</v>
      </c>
      <c r="E1466" s="11" t="s">
        <v>26</v>
      </c>
      <c r="F1466" s="11" t="s">
        <v>5379</v>
      </c>
      <c r="G1466" s="11" t="s">
        <v>28</v>
      </c>
      <c r="H1466" s="11" t="s">
        <v>5379</v>
      </c>
      <c r="I1466" s="11" t="s">
        <v>5380</v>
      </c>
      <c r="J1466" s="12">
        <v>0.51280000000000003</v>
      </c>
      <c r="K1466" s="13">
        <v>1</v>
      </c>
      <c r="L1466" s="14">
        <v>819</v>
      </c>
      <c r="M1466" s="10">
        <v>420</v>
      </c>
      <c r="N1466" s="10">
        <v>90501</v>
      </c>
      <c r="O1466" s="10">
        <v>32936</v>
      </c>
      <c r="P1466" s="10">
        <v>123437</v>
      </c>
    </row>
    <row r="1467" spans="1:16" ht="27" customHeight="1" x14ac:dyDescent="0.2">
      <c r="A1467" s="9" t="s">
        <v>5119</v>
      </c>
      <c r="B1467" s="10" t="s">
        <v>5370</v>
      </c>
      <c r="C1467" s="11" t="s">
        <v>5381</v>
      </c>
      <c r="D1467" s="11" t="s">
        <v>5382</v>
      </c>
      <c r="E1467" s="11" t="s">
        <v>26</v>
      </c>
      <c r="F1467" s="11" t="s">
        <v>5383</v>
      </c>
      <c r="G1467" s="11" t="s">
        <v>28</v>
      </c>
      <c r="H1467" s="11" t="s">
        <v>5383</v>
      </c>
      <c r="I1467" s="11" t="s">
        <v>5384</v>
      </c>
      <c r="J1467" s="12">
        <v>0.73199999999999998</v>
      </c>
      <c r="K1467" s="13">
        <v>1</v>
      </c>
      <c r="L1467" s="14">
        <v>194</v>
      </c>
      <c r="M1467" s="10">
        <v>142</v>
      </c>
      <c r="N1467" s="10">
        <v>21437</v>
      </c>
      <c r="O1467" s="10">
        <v>11135</v>
      </c>
      <c r="P1467" s="10">
        <v>32572</v>
      </c>
    </row>
    <row r="1468" spans="1:16" ht="27" customHeight="1" x14ac:dyDescent="0.2">
      <c r="A1468" s="9" t="s">
        <v>5119</v>
      </c>
      <c r="B1468" s="10" t="s">
        <v>5370</v>
      </c>
      <c r="C1468" s="11" t="s">
        <v>5385</v>
      </c>
      <c r="D1468" s="11" t="s">
        <v>5386</v>
      </c>
      <c r="E1468" s="11" t="s">
        <v>26</v>
      </c>
      <c r="F1468" s="11" t="s">
        <v>5387</v>
      </c>
      <c r="G1468" s="11" t="s">
        <v>28</v>
      </c>
      <c r="H1468" s="11" t="s">
        <v>5387</v>
      </c>
      <c r="I1468" s="11" t="s">
        <v>5388</v>
      </c>
      <c r="J1468" s="12">
        <v>0.41</v>
      </c>
      <c r="K1468" s="13">
        <v>1</v>
      </c>
      <c r="L1468" s="14">
        <v>817</v>
      </c>
      <c r="M1468" s="10">
        <v>335</v>
      </c>
      <c r="N1468" s="10">
        <v>90280</v>
      </c>
      <c r="O1468" s="10">
        <v>26270</v>
      </c>
      <c r="P1468" s="10">
        <v>116550</v>
      </c>
    </row>
    <row r="1469" spans="1:16" ht="27" customHeight="1" x14ac:dyDescent="0.2">
      <c r="A1469" s="9" t="s">
        <v>5119</v>
      </c>
      <c r="B1469" s="10" t="s">
        <v>5370</v>
      </c>
      <c r="C1469" s="11" t="s">
        <v>5389</v>
      </c>
      <c r="D1469" s="11" t="s">
        <v>5390</v>
      </c>
      <c r="E1469" s="11" t="s">
        <v>26</v>
      </c>
      <c r="F1469" s="11" t="s">
        <v>5391</v>
      </c>
      <c r="G1469" s="11" t="s">
        <v>28</v>
      </c>
      <c r="H1469" s="11" t="s">
        <v>5391</v>
      </c>
      <c r="I1469" s="11" t="s">
        <v>5392</v>
      </c>
      <c r="J1469" s="12">
        <v>0.56640000000000001</v>
      </c>
      <c r="K1469" s="13">
        <v>1</v>
      </c>
      <c r="L1469" s="14">
        <v>143</v>
      </c>
      <c r="M1469" s="10">
        <v>81</v>
      </c>
      <c r="N1469" s="10">
        <v>15802</v>
      </c>
      <c r="O1469" s="10">
        <v>6352</v>
      </c>
      <c r="P1469" s="10">
        <v>22154</v>
      </c>
    </row>
    <row r="1470" spans="1:16" ht="27" customHeight="1" x14ac:dyDescent="0.2">
      <c r="A1470" s="9" t="s">
        <v>5119</v>
      </c>
      <c r="B1470" s="10" t="s">
        <v>5393</v>
      </c>
      <c r="C1470" s="11" t="s">
        <v>18</v>
      </c>
      <c r="D1470" s="11" t="s">
        <v>19</v>
      </c>
      <c r="E1470" s="11" t="s">
        <v>19</v>
      </c>
      <c r="F1470" s="11" t="s">
        <v>5394</v>
      </c>
      <c r="G1470" s="11" t="s">
        <v>83</v>
      </c>
      <c r="H1470" s="11" t="s">
        <v>5395</v>
      </c>
      <c r="I1470" s="11" t="s">
        <v>5396</v>
      </c>
      <c r="J1470" s="12">
        <v>0.88360000000000005</v>
      </c>
      <c r="K1470" s="13">
        <v>12</v>
      </c>
      <c r="L1470" s="14">
        <v>4492</v>
      </c>
      <c r="M1470" s="10">
        <v>3456</v>
      </c>
      <c r="N1470" s="10">
        <v>496373</v>
      </c>
      <c r="O1470" s="10">
        <v>271017</v>
      </c>
      <c r="P1470" s="10">
        <v>767390</v>
      </c>
    </row>
    <row r="1471" spans="1:16" ht="27" customHeight="1" x14ac:dyDescent="0.2">
      <c r="A1471" s="9" t="s">
        <v>5119</v>
      </c>
      <c r="B1471" s="10" t="s">
        <v>5393</v>
      </c>
      <c r="C1471" s="11" t="s">
        <v>5397</v>
      </c>
      <c r="D1471" s="11" t="s">
        <v>5398</v>
      </c>
      <c r="E1471" s="11" t="s">
        <v>26</v>
      </c>
      <c r="F1471" s="11" t="s">
        <v>5399</v>
      </c>
      <c r="G1471" s="11" t="s">
        <v>28</v>
      </c>
      <c r="H1471" s="11" t="s">
        <v>5399</v>
      </c>
      <c r="I1471" s="11" t="s">
        <v>5400</v>
      </c>
      <c r="J1471" s="12">
        <v>0.84860000000000002</v>
      </c>
      <c r="K1471" s="13">
        <v>1</v>
      </c>
      <c r="L1471" s="14">
        <v>383</v>
      </c>
      <c r="M1471" s="10">
        <v>325</v>
      </c>
      <c r="N1471" s="10">
        <v>42322</v>
      </c>
      <c r="O1471" s="10">
        <v>25486</v>
      </c>
      <c r="P1471" s="10">
        <v>67808</v>
      </c>
    </row>
    <row r="1472" spans="1:16" ht="27" customHeight="1" x14ac:dyDescent="0.2">
      <c r="A1472" s="9" t="s">
        <v>5119</v>
      </c>
      <c r="B1472" s="10" t="s">
        <v>5401</v>
      </c>
      <c r="C1472" s="11" t="s">
        <v>18</v>
      </c>
      <c r="D1472" s="11" t="s">
        <v>19</v>
      </c>
      <c r="E1472" s="11" t="s">
        <v>19</v>
      </c>
      <c r="F1472" s="11" t="s">
        <v>5402</v>
      </c>
      <c r="G1472" s="11" t="s">
        <v>83</v>
      </c>
      <c r="H1472" s="11" t="s">
        <v>5037</v>
      </c>
      <c r="I1472" s="11" t="s">
        <v>5403</v>
      </c>
      <c r="J1472" s="12">
        <v>0.40720000000000001</v>
      </c>
      <c r="K1472" s="13">
        <v>40</v>
      </c>
      <c r="L1472" s="14">
        <v>35229</v>
      </c>
      <c r="M1472" s="10">
        <v>5353</v>
      </c>
      <c r="N1472" s="10">
        <v>3892866</v>
      </c>
      <c r="O1472" s="10">
        <v>419775</v>
      </c>
      <c r="P1472" s="10">
        <v>4312641</v>
      </c>
    </row>
    <row r="1473" spans="1:16" ht="27" customHeight="1" x14ac:dyDescent="0.2">
      <c r="A1473" s="9" t="s">
        <v>5119</v>
      </c>
      <c r="B1473" s="10" t="s">
        <v>5404</v>
      </c>
      <c r="C1473" s="11" t="s">
        <v>18</v>
      </c>
      <c r="D1473" s="11" t="s">
        <v>19</v>
      </c>
      <c r="E1473" s="11" t="s">
        <v>19</v>
      </c>
      <c r="F1473" s="11" t="s">
        <v>5405</v>
      </c>
      <c r="G1473" s="11" t="s">
        <v>83</v>
      </c>
      <c r="H1473" s="11" t="s">
        <v>5406</v>
      </c>
      <c r="I1473" s="11" t="s">
        <v>5407</v>
      </c>
      <c r="J1473" s="12">
        <v>0.85640000000000005</v>
      </c>
      <c r="K1473" s="13">
        <v>12</v>
      </c>
      <c r="L1473" s="14">
        <v>5103</v>
      </c>
      <c r="M1473" s="10">
        <v>3019</v>
      </c>
      <c r="N1473" s="10">
        <v>563890</v>
      </c>
      <c r="O1473" s="10">
        <v>236747</v>
      </c>
      <c r="P1473" s="10">
        <v>800637</v>
      </c>
    </row>
    <row r="1474" spans="1:16" ht="27" customHeight="1" x14ac:dyDescent="0.2">
      <c r="A1474" s="9" t="s">
        <v>5119</v>
      </c>
      <c r="B1474" s="10" t="s">
        <v>5408</v>
      </c>
      <c r="C1474" s="11" t="s">
        <v>18</v>
      </c>
      <c r="D1474" s="11" t="s">
        <v>19</v>
      </c>
      <c r="E1474" s="11" t="s">
        <v>19</v>
      </c>
      <c r="F1474" s="11" t="s">
        <v>5409</v>
      </c>
      <c r="G1474" s="11" t="s">
        <v>83</v>
      </c>
      <c r="H1474" s="11" t="s">
        <v>5410</v>
      </c>
      <c r="I1474" s="11" t="s">
        <v>5411</v>
      </c>
      <c r="J1474" s="12">
        <v>4.8599999999999997E-2</v>
      </c>
      <c r="K1474" s="13">
        <v>3</v>
      </c>
      <c r="L1474" s="14">
        <v>580</v>
      </c>
      <c r="M1474" s="10">
        <v>24</v>
      </c>
      <c r="N1474" s="10">
        <v>64091</v>
      </c>
      <c r="O1474" s="10">
        <v>1882</v>
      </c>
      <c r="P1474" s="10">
        <v>65973</v>
      </c>
    </row>
    <row r="1475" spans="1:16" ht="27" customHeight="1" x14ac:dyDescent="0.2">
      <c r="A1475" s="9" t="s">
        <v>5119</v>
      </c>
      <c r="B1475" s="10" t="s">
        <v>5412</v>
      </c>
      <c r="C1475" s="11" t="s">
        <v>18</v>
      </c>
      <c r="D1475" s="11" t="s">
        <v>19</v>
      </c>
      <c r="E1475" s="11" t="s">
        <v>19</v>
      </c>
      <c r="F1475" s="11" t="s">
        <v>5413</v>
      </c>
      <c r="G1475" s="11" t="s">
        <v>83</v>
      </c>
      <c r="H1475" s="11" t="s">
        <v>5414</v>
      </c>
      <c r="I1475" s="11" t="s">
        <v>5415</v>
      </c>
      <c r="J1475" s="12">
        <v>0.98709999999999998</v>
      </c>
      <c r="K1475" s="13">
        <v>176</v>
      </c>
      <c r="L1475" s="14">
        <v>95250</v>
      </c>
      <c r="M1475" s="10">
        <v>54190</v>
      </c>
      <c r="N1475" s="10">
        <v>10525289</v>
      </c>
      <c r="O1475" s="10">
        <v>4249529</v>
      </c>
      <c r="P1475" s="10">
        <v>14774818</v>
      </c>
    </row>
    <row r="1476" spans="1:16" ht="27" customHeight="1" x14ac:dyDescent="0.2">
      <c r="A1476" s="9" t="s">
        <v>5119</v>
      </c>
      <c r="B1476" s="10" t="s">
        <v>5412</v>
      </c>
      <c r="C1476" s="11" t="s">
        <v>5416</v>
      </c>
      <c r="D1476" s="11" t="s">
        <v>5417</v>
      </c>
      <c r="E1476" s="11" t="s">
        <v>26</v>
      </c>
      <c r="F1476" s="11" t="s">
        <v>5418</v>
      </c>
      <c r="G1476" s="11" t="s">
        <v>28</v>
      </c>
      <c r="H1476" s="11" t="s">
        <v>5122</v>
      </c>
      <c r="I1476" s="11" t="s">
        <v>5123</v>
      </c>
      <c r="J1476" s="12">
        <v>1</v>
      </c>
      <c r="K1476" s="13">
        <v>1</v>
      </c>
      <c r="L1476" s="14">
        <v>330</v>
      </c>
      <c r="M1476" s="10">
        <v>146</v>
      </c>
      <c r="N1476" s="10">
        <v>36466</v>
      </c>
      <c r="O1476" s="10">
        <v>11449</v>
      </c>
      <c r="P1476" s="10">
        <v>47915</v>
      </c>
    </row>
    <row r="1477" spans="1:16" ht="27" customHeight="1" x14ac:dyDescent="0.2">
      <c r="A1477" s="9" t="s">
        <v>5119</v>
      </c>
      <c r="B1477" s="10" t="s">
        <v>5412</v>
      </c>
      <c r="C1477" s="11" t="s">
        <v>5419</v>
      </c>
      <c r="D1477" s="11" t="s">
        <v>5420</v>
      </c>
      <c r="E1477" s="11" t="s">
        <v>26</v>
      </c>
      <c r="F1477" s="11" t="s">
        <v>5421</v>
      </c>
      <c r="G1477" s="11" t="s">
        <v>28</v>
      </c>
      <c r="H1477" s="11" t="s">
        <v>5122</v>
      </c>
      <c r="I1477" s="11" t="s">
        <v>5123</v>
      </c>
      <c r="J1477" s="12">
        <v>1</v>
      </c>
      <c r="K1477" s="13">
        <v>1</v>
      </c>
      <c r="L1477" s="14">
        <v>352</v>
      </c>
      <c r="M1477" s="10">
        <v>319</v>
      </c>
      <c r="N1477" s="10">
        <v>38897</v>
      </c>
      <c r="O1477" s="10">
        <v>25016</v>
      </c>
      <c r="P1477" s="10">
        <v>63913</v>
      </c>
    </row>
    <row r="1478" spans="1:16" ht="27" customHeight="1" x14ac:dyDescent="0.2">
      <c r="A1478" s="9" t="s">
        <v>5119</v>
      </c>
      <c r="B1478" s="10" t="s">
        <v>5412</v>
      </c>
      <c r="C1478" s="11" t="s">
        <v>5422</v>
      </c>
      <c r="D1478" s="11" t="s">
        <v>5423</v>
      </c>
      <c r="E1478" s="11" t="s">
        <v>26</v>
      </c>
      <c r="F1478" s="11" t="s">
        <v>5424</v>
      </c>
      <c r="G1478" s="11" t="s">
        <v>28</v>
      </c>
      <c r="H1478" s="11" t="s">
        <v>5122</v>
      </c>
      <c r="I1478" s="11" t="s">
        <v>5123</v>
      </c>
      <c r="J1478" s="12">
        <v>1</v>
      </c>
      <c r="K1478" s="13">
        <v>1</v>
      </c>
      <c r="L1478" s="14">
        <v>396</v>
      </c>
      <c r="M1478" s="10">
        <v>141</v>
      </c>
      <c r="N1478" s="10">
        <v>43759</v>
      </c>
      <c r="O1478" s="10">
        <v>11057</v>
      </c>
      <c r="P1478" s="10">
        <v>54816</v>
      </c>
    </row>
    <row r="1479" spans="1:16" ht="27" customHeight="1" x14ac:dyDescent="0.2">
      <c r="A1479" s="9" t="s">
        <v>5119</v>
      </c>
      <c r="B1479" s="10" t="s">
        <v>5412</v>
      </c>
      <c r="C1479" s="11" t="s">
        <v>5425</v>
      </c>
      <c r="D1479" s="11" t="s">
        <v>5426</v>
      </c>
      <c r="E1479" s="11" t="s">
        <v>26</v>
      </c>
      <c r="F1479" s="11" t="s">
        <v>5427</v>
      </c>
      <c r="G1479" s="11" t="s">
        <v>28</v>
      </c>
      <c r="H1479" s="11" t="s">
        <v>5427</v>
      </c>
      <c r="I1479" s="11" t="s">
        <v>5428</v>
      </c>
      <c r="J1479" s="12">
        <v>0.3</v>
      </c>
      <c r="K1479" s="13">
        <v>1</v>
      </c>
      <c r="L1479" s="14">
        <v>170</v>
      </c>
      <c r="M1479" s="10">
        <v>51</v>
      </c>
      <c r="N1479" s="10">
        <v>18785</v>
      </c>
      <c r="O1479" s="10">
        <v>3999</v>
      </c>
      <c r="P1479" s="10">
        <v>22784</v>
      </c>
    </row>
    <row r="1480" spans="1:16" ht="27" customHeight="1" x14ac:dyDescent="0.2">
      <c r="A1480" s="9" t="s">
        <v>5119</v>
      </c>
      <c r="B1480" s="10" t="s">
        <v>5412</v>
      </c>
      <c r="C1480" s="11" t="s">
        <v>5429</v>
      </c>
      <c r="D1480" s="11" t="s">
        <v>5430</v>
      </c>
      <c r="E1480" s="11" t="s">
        <v>26</v>
      </c>
      <c r="F1480" s="11" t="s">
        <v>5431</v>
      </c>
      <c r="G1480" s="11" t="s">
        <v>28</v>
      </c>
      <c r="H1480" s="11" t="s">
        <v>5122</v>
      </c>
      <c r="I1480" s="11" t="s">
        <v>5123</v>
      </c>
      <c r="J1480" s="12">
        <v>1</v>
      </c>
      <c r="K1480" s="13">
        <v>1</v>
      </c>
      <c r="L1480" s="14">
        <v>341</v>
      </c>
      <c r="M1480" s="10">
        <v>128</v>
      </c>
      <c r="N1480" s="10">
        <v>37681</v>
      </c>
      <c r="O1480" s="10">
        <v>10038</v>
      </c>
      <c r="P1480" s="10">
        <v>47719</v>
      </c>
    </row>
    <row r="1481" spans="1:16" ht="27" customHeight="1" x14ac:dyDescent="0.2">
      <c r="A1481" s="9" t="s">
        <v>5119</v>
      </c>
      <c r="B1481" s="10" t="s">
        <v>5412</v>
      </c>
      <c r="C1481" s="11" t="s">
        <v>5432</v>
      </c>
      <c r="D1481" s="11" t="s">
        <v>5433</v>
      </c>
      <c r="E1481" s="11" t="s">
        <v>26</v>
      </c>
      <c r="F1481" s="11" t="s">
        <v>5434</v>
      </c>
      <c r="G1481" s="11" t="s">
        <v>28</v>
      </c>
      <c r="H1481" s="11" t="s">
        <v>5122</v>
      </c>
      <c r="I1481" s="11" t="s">
        <v>5123</v>
      </c>
      <c r="J1481" s="12">
        <v>1</v>
      </c>
      <c r="K1481" s="13">
        <v>1</v>
      </c>
      <c r="L1481" s="14">
        <v>389</v>
      </c>
      <c r="M1481" s="10">
        <v>135</v>
      </c>
      <c r="N1481" s="10">
        <v>42985</v>
      </c>
      <c r="O1481" s="10">
        <v>10587</v>
      </c>
      <c r="P1481" s="10">
        <v>53572</v>
      </c>
    </row>
    <row r="1482" spans="1:16" ht="27" customHeight="1" x14ac:dyDescent="0.2">
      <c r="A1482" s="9" t="s">
        <v>5119</v>
      </c>
      <c r="B1482" s="10" t="s">
        <v>5412</v>
      </c>
      <c r="C1482" s="11" t="s">
        <v>5435</v>
      </c>
      <c r="D1482" s="11" t="s">
        <v>5436</v>
      </c>
      <c r="E1482" s="11" t="s">
        <v>26</v>
      </c>
      <c r="F1482" s="11" t="s">
        <v>5437</v>
      </c>
      <c r="G1482" s="11" t="s">
        <v>28</v>
      </c>
      <c r="H1482" s="11" t="s">
        <v>5437</v>
      </c>
      <c r="I1482" s="11" t="s">
        <v>5438</v>
      </c>
      <c r="J1482" s="12">
        <v>0.93920000000000003</v>
      </c>
      <c r="K1482" s="13">
        <v>1</v>
      </c>
      <c r="L1482" s="14">
        <v>181</v>
      </c>
      <c r="M1482" s="10">
        <v>170</v>
      </c>
      <c r="N1482" s="10">
        <v>20001</v>
      </c>
      <c r="O1482" s="10">
        <v>13331</v>
      </c>
      <c r="P1482" s="10">
        <v>33332</v>
      </c>
    </row>
    <row r="1483" spans="1:16" ht="27" customHeight="1" x14ac:dyDescent="0.2">
      <c r="A1483" s="9" t="s">
        <v>5119</v>
      </c>
      <c r="B1483" s="10" t="s">
        <v>5412</v>
      </c>
      <c r="C1483" s="11" t="s">
        <v>5439</v>
      </c>
      <c r="D1483" s="11" t="s">
        <v>5440</v>
      </c>
      <c r="E1483" s="11" t="s">
        <v>26</v>
      </c>
      <c r="F1483" s="11" t="s">
        <v>5441</v>
      </c>
      <c r="G1483" s="11" t="s">
        <v>28</v>
      </c>
      <c r="H1483" s="11" t="s">
        <v>5122</v>
      </c>
      <c r="I1483" s="11" t="s">
        <v>5123</v>
      </c>
      <c r="J1483" s="12">
        <v>1</v>
      </c>
      <c r="K1483" s="13">
        <v>1</v>
      </c>
      <c r="L1483" s="14">
        <v>422</v>
      </c>
      <c r="M1483" s="10">
        <v>149</v>
      </c>
      <c r="N1483" s="10">
        <v>46632</v>
      </c>
      <c r="O1483" s="10">
        <v>11684</v>
      </c>
      <c r="P1483" s="10">
        <v>58316</v>
      </c>
    </row>
    <row r="1484" spans="1:16" ht="27" customHeight="1" x14ac:dyDescent="0.2">
      <c r="A1484" s="9" t="s">
        <v>5119</v>
      </c>
      <c r="B1484" s="10" t="s">
        <v>5412</v>
      </c>
      <c r="C1484" s="11" t="s">
        <v>5442</v>
      </c>
      <c r="D1484" s="11" t="s">
        <v>5443</v>
      </c>
      <c r="E1484" s="11" t="s">
        <v>26</v>
      </c>
      <c r="F1484" s="11" t="s">
        <v>5444</v>
      </c>
      <c r="G1484" s="11" t="s">
        <v>28</v>
      </c>
      <c r="H1484" s="11" t="s">
        <v>5444</v>
      </c>
      <c r="I1484" s="11" t="s">
        <v>5445</v>
      </c>
      <c r="J1484" s="12">
        <v>0.36809999999999998</v>
      </c>
      <c r="K1484" s="13">
        <v>1</v>
      </c>
      <c r="L1484" s="14">
        <v>1440</v>
      </c>
      <c r="M1484" s="10">
        <v>530</v>
      </c>
      <c r="N1484" s="10">
        <v>159122</v>
      </c>
      <c r="O1484" s="10">
        <v>41562</v>
      </c>
      <c r="P1484" s="10">
        <v>200684</v>
      </c>
    </row>
    <row r="1485" spans="1:16" ht="27" customHeight="1" x14ac:dyDescent="0.2">
      <c r="A1485" s="9" t="s">
        <v>5119</v>
      </c>
      <c r="B1485" s="10" t="s">
        <v>5412</v>
      </c>
      <c r="C1485" s="11" t="s">
        <v>5446</v>
      </c>
      <c r="D1485" s="11" t="s">
        <v>5447</v>
      </c>
      <c r="E1485" s="11" t="s">
        <v>26</v>
      </c>
      <c r="F1485" s="11" t="s">
        <v>5448</v>
      </c>
      <c r="G1485" s="11" t="s">
        <v>28</v>
      </c>
      <c r="H1485" s="11" t="s">
        <v>5122</v>
      </c>
      <c r="I1485" s="11" t="s">
        <v>5123</v>
      </c>
      <c r="J1485" s="12">
        <v>1</v>
      </c>
      <c r="K1485" s="13">
        <v>1</v>
      </c>
      <c r="L1485" s="14">
        <v>262</v>
      </c>
      <c r="M1485" s="10">
        <v>254</v>
      </c>
      <c r="N1485" s="10">
        <v>28951</v>
      </c>
      <c r="O1485" s="10">
        <v>19918</v>
      </c>
      <c r="P1485" s="10">
        <v>48869</v>
      </c>
    </row>
    <row r="1486" spans="1:16" ht="27" customHeight="1" x14ac:dyDescent="0.2">
      <c r="A1486" s="9" t="s">
        <v>5119</v>
      </c>
      <c r="B1486" s="10" t="s">
        <v>5412</v>
      </c>
      <c r="C1486" s="11" t="s">
        <v>5449</v>
      </c>
      <c r="D1486" s="11" t="s">
        <v>5450</v>
      </c>
      <c r="E1486" s="11" t="s">
        <v>26</v>
      </c>
      <c r="F1486" s="11" t="s">
        <v>5451</v>
      </c>
      <c r="G1486" s="11" t="s">
        <v>28</v>
      </c>
      <c r="H1486" s="11" t="s">
        <v>5122</v>
      </c>
      <c r="I1486" s="11" t="s">
        <v>5123</v>
      </c>
      <c r="J1486" s="12">
        <v>1</v>
      </c>
      <c r="K1486" s="13">
        <v>1</v>
      </c>
      <c r="L1486" s="14">
        <v>525</v>
      </c>
      <c r="M1486" s="10">
        <v>412</v>
      </c>
      <c r="N1486" s="10">
        <v>58013</v>
      </c>
      <c r="O1486" s="10">
        <v>32309</v>
      </c>
      <c r="P1486" s="10">
        <v>90322</v>
      </c>
    </row>
    <row r="1487" spans="1:16" ht="27" customHeight="1" x14ac:dyDescent="0.2">
      <c r="A1487" s="9" t="s">
        <v>5119</v>
      </c>
      <c r="B1487" s="10" t="s">
        <v>5412</v>
      </c>
      <c r="C1487" s="11" t="s">
        <v>5452</v>
      </c>
      <c r="D1487" s="11" t="s">
        <v>5453</v>
      </c>
      <c r="E1487" s="11" t="s">
        <v>26</v>
      </c>
      <c r="F1487" s="11" t="s">
        <v>5454</v>
      </c>
      <c r="G1487" s="11" t="s">
        <v>28</v>
      </c>
      <c r="H1487" s="11" t="s">
        <v>5454</v>
      </c>
      <c r="I1487" s="11" t="s">
        <v>5455</v>
      </c>
      <c r="J1487" s="12">
        <v>0.19700000000000001</v>
      </c>
      <c r="K1487" s="13">
        <v>1</v>
      </c>
      <c r="L1487" s="14">
        <v>467</v>
      </c>
      <c r="M1487" s="10">
        <v>92</v>
      </c>
      <c r="N1487" s="10">
        <v>51604</v>
      </c>
      <c r="O1487" s="10">
        <v>7215</v>
      </c>
      <c r="P1487" s="10">
        <v>58819</v>
      </c>
    </row>
    <row r="1488" spans="1:16" ht="27" customHeight="1" x14ac:dyDescent="0.2">
      <c r="A1488" s="9" t="s">
        <v>5119</v>
      </c>
      <c r="B1488" s="10" t="s">
        <v>5412</v>
      </c>
      <c r="C1488" s="11" t="s">
        <v>5456</v>
      </c>
      <c r="D1488" s="11" t="s">
        <v>5457</v>
      </c>
      <c r="E1488" s="11" t="s">
        <v>26</v>
      </c>
      <c r="F1488" s="11" t="s">
        <v>5458</v>
      </c>
      <c r="G1488" s="11" t="s">
        <v>28</v>
      </c>
      <c r="H1488" s="11" t="s">
        <v>5122</v>
      </c>
      <c r="I1488" s="11" t="s">
        <v>5123</v>
      </c>
      <c r="J1488" s="12">
        <v>1</v>
      </c>
      <c r="K1488" s="13">
        <v>1</v>
      </c>
      <c r="L1488" s="14">
        <v>258</v>
      </c>
      <c r="M1488" s="10">
        <v>246</v>
      </c>
      <c r="N1488" s="10">
        <v>28509</v>
      </c>
      <c r="O1488" s="10">
        <v>19291</v>
      </c>
      <c r="P1488" s="10">
        <v>47800</v>
      </c>
    </row>
    <row r="1489" spans="1:16" ht="27" customHeight="1" x14ac:dyDescent="0.2">
      <c r="A1489" s="9" t="s">
        <v>5119</v>
      </c>
      <c r="B1489" s="10" t="s">
        <v>5412</v>
      </c>
      <c r="C1489" s="11" t="s">
        <v>5459</v>
      </c>
      <c r="D1489" s="11" t="s">
        <v>5460</v>
      </c>
      <c r="E1489" s="11" t="s">
        <v>26</v>
      </c>
      <c r="F1489" s="11" t="s">
        <v>5461</v>
      </c>
      <c r="G1489" s="11" t="s">
        <v>28</v>
      </c>
      <c r="H1489" s="11" t="s">
        <v>5461</v>
      </c>
      <c r="I1489" s="11" t="s">
        <v>5462</v>
      </c>
      <c r="J1489" s="12">
        <v>0.83740000000000003</v>
      </c>
      <c r="K1489" s="13">
        <v>1</v>
      </c>
      <c r="L1489" s="14">
        <v>1279</v>
      </c>
      <c r="M1489" s="10">
        <v>1071</v>
      </c>
      <c r="N1489" s="10">
        <v>141332</v>
      </c>
      <c r="O1489" s="10">
        <v>83987</v>
      </c>
      <c r="P1489" s="10">
        <v>225319</v>
      </c>
    </row>
    <row r="1490" spans="1:16" ht="27" customHeight="1" x14ac:dyDescent="0.2">
      <c r="A1490" s="9" t="s">
        <v>5119</v>
      </c>
      <c r="B1490" s="10" t="s">
        <v>5412</v>
      </c>
      <c r="C1490" s="11" t="s">
        <v>5463</v>
      </c>
      <c r="D1490" s="11" t="s">
        <v>5464</v>
      </c>
      <c r="E1490" s="11" t="s">
        <v>26</v>
      </c>
      <c r="F1490" s="11" t="s">
        <v>5465</v>
      </c>
      <c r="G1490" s="11" t="s">
        <v>28</v>
      </c>
      <c r="H1490" s="11" t="s">
        <v>5465</v>
      </c>
      <c r="I1490" s="11" t="s">
        <v>5466</v>
      </c>
      <c r="J1490" s="12">
        <v>0.6139</v>
      </c>
      <c r="K1490" s="13">
        <v>1</v>
      </c>
      <c r="L1490" s="14">
        <v>417</v>
      </c>
      <c r="M1490" s="10">
        <v>256</v>
      </c>
      <c r="N1490" s="10">
        <v>46079</v>
      </c>
      <c r="O1490" s="10">
        <v>20075</v>
      </c>
      <c r="P1490" s="10">
        <v>66154</v>
      </c>
    </row>
    <row r="1491" spans="1:16" ht="27" customHeight="1" x14ac:dyDescent="0.2">
      <c r="A1491" s="9" t="s">
        <v>5119</v>
      </c>
      <c r="B1491" s="10" t="s">
        <v>5412</v>
      </c>
      <c r="C1491" s="11" t="s">
        <v>5467</v>
      </c>
      <c r="D1491" s="11" t="s">
        <v>5468</v>
      </c>
      <c r="E1491" s="11" t="s">
        <v>26</v>
      </c>
      <c r="F1491" s="11" t="s">
        <v>5469</v>
      </c>
      <c r="G1491" s="11" t="s">
        <v>28</v>
      </c>
      <c r="H1491" s="11" t="s">
        <v>5122</v>
      </c>
      <c r="I1491" s="11" t="s">
        <v>5123</v>
      </c>
      <c r="J1491" s="12">
        <v>1</v>
      </c>
      <c r="K1491" s="13">
        <v>1</v>
      </c>
      <c r="L1491" s="14">
        <v>228</v>
      </c>
      <c r="M1491" s="10">
        <v>56</v>
      </c>
      <c r="N1491" s="10">
        <v>25194</v>
      </c>
      <c r="O1491" s="10">
        <v>4391</v>
      </c>
      <c r="P1491" s="10">
        <v>29585</v>
      </c>
    </row>
    <row r="1492" spans="1:16" ht="27" customHeight="1" x14ac:dyDescent="0.2">
      <c r="A1492" s="9" t="s">
        <v>5119</v>
      </c>
      <c r="B1492" s="10" t="s">
        <v>5412</v>
      </c>
      <c r="C1492" s="11" t="s">
        <v>5470</v>
      </c>
      <c r="D1492" s="11" t="s">
        <v>5471</v>
      </c>
      <c r="E1492" s="11" t="s">
        <v>26</v>
      </c>
      <c r="F1492" s="11" t="s">
        <v>5472</v>
      </c>
      <c r="G1492" s="11" t="s">
        <v>28</v>
      </c>
      <c r="H1492" s="11" t="s">
        <v>5472</v>
      </c>
      <c r="I1492" s="11" t="s">
        <v>5473</v>
      </c>
      <c r="J1492" s="12">
        <v>0.1757</v>
      </c>
      <c r="K1492" s="13">
        <v>1</v>
      </c>
      <c r="L1492" s="14">
        <v>240</v>
      </c>
      <c r="M1492" s="10">
        <v>42</v>
      </c>
      <c r="N1492" s="10">
        <v>26520</v>
      </c>
      <c r="O1492" s="10">
        <v>3294</v>
      </c>
      <c r="P1492" s="10">
        <v>29814</v>
      </c>
    </row>
    <row r="1493" spans="1:16" ht="27" customHeight="1" x14ac:dyDescent="0.2">
      <c r="A1493" s="9" t="s">
        <v>5119</v>
      </c>
      <c r="B1493" s="10" t="s">
        <v>5412</v>
      </c>
      <c r="C1493" s="11" t="s">
        <v>5474</v>
      </c>
      <c r="D1493" s="11" t="s">
        <v>5475</v>
      </c>
      <c r="E1493" s="11" t="s">
        <v>26</v>
      </c>
      <c r="F1493" s="11" t="s">
        <v>5476</v>
      </c>
      <c r="G1493" s="11" t="s">
        <v>28</v>
      </c>
      <c r="H1493" s="11" t="s">
        <v>5476</v>
      </c>
      <c r="I1493" s="11" t="s">
        <v>5477</v>
      </c>
      <c r="J1493" s="12">
        <v>0.92910000000000004</v>
      </c>
      <c r="K1493" s="13">
        <v>1</v>
      </c>
      <c r="L1493" s="14">
        <v>141</v>
      </c>
      <c r="M1493" s="10">
        <v>131</v>
      </c>
      <c r="N1493" s="10">
        <v>15581</v>
      </c>
      <c r="O1493" s="10">
        <v>10273</v>
      </c>
      <c r="P1493" s="10">
        <v>25854</v>
      </c>
    </row>
    <row r="1494" spans="1:16" ht="27" customHeight="1" x14ac:dyDescent="0.2">
      <c r="A1494" s="9" t="s">
        <v>5119</v>
      </c>
      <c r="B1494" s="10" t="s">
        <v>5412</v>
      </c>
      <c r="C1494" s="11" t="s">
        <v>5478</v>
      </c>
      <c r="D1494" s="11" t="s">
        <v>5479</v>
      </c>
      <c r="E1494" s="11" t="s">
        <v>26</v>
      </c>
      <c r="F1494" s="11" t="s">
        <v>5480</v>
      </c>
      <c r="G1494" s="11" t="s">
        <v>28</v>
      </c>
      <c r="H1494" s="11" t="s">
        <v>5480</v>
      </c>
      <c r="I1494" s="11" t="s">
        <v>5481</v>
      </c>
      <c r="J1494" s="12">
        <v>0.29580000000000001</v>
      </c>
      <c r="K1494" s="13">
        <v>1</v>
      </c>
      <c r="L1494" s="14">
        <v>382</v>
      </c>
      <c r="M1494" s="10">
        <v>113</v>
      </c>
      <c r="N1494" s="10">
        <v>42212</v>
      </c>
      <c r="O1494" s="10">
        <v>8861</v>
      </c>
      <c r="P1494" s="10">
        <v>51073</v>
      </c>
    </row>
    <row r="1495" spans="1:16" ht="27" customHeight="1" x14ac:dyDescent="0.2">
      <c r="A1495" s="9" t="s">
        <v>5119</v>
      </c>
      <c r="B1495" s="10" t="s">
        <v>5412</v>
      </c>
      <c r="C1495" s="11" t="s">
        <v>5482</v>
      </c>
      <c r="D1495" s="11" t="s">
        <v>5483</v>
      </c>
      <c r="E1495" s="11" t="s">
        <v>26</v>
      </c>
      <c r="F1495" s="11" t="s">
        <v>5484</v>
      </c>
      <c r="G1495" s="11" t="s">
        <v>28</v>
      </c>
      <c r="H1495" s="11" t="s">
        <v>5122</v>
      </c>
      <c r="I1495" s="11" t="s">
        <v>5123</v>
      </c>
      <c r="J1495" s="12">
        <v>1</v>
      </c>
      <c r="K1495" s="13">
        <v>1</v>
      </c>
      <c r="L1495" s="14">
        <v>398</v>
      </c>
      <c r="M1495" s="10">
        <v>278</v>
      </c>
      <c r="N1495" s="10">
        <v>43980</v>
      </c>
      <c r="O1495" s="10">
        <v>21800</v>
      </c>
      <c r="P1495" s="10">
        <v>65780</v>
      </c>
    </row>
    <row r="1496" spans="1:16" ht="27" customHeight="1" x14ac:dyDescent="0.2">
      <c r="A1496" s="9" t="s">
        <v>5119</v>
      </c>
      <c r="B1496" s="10" t="s">
        <v>5412</v>
      </c>
      <c r="C1496" s="11" t="s">
        <v>5485</v>
      </c>
      <c r="D1496" s="11" t="s">
        <v>5486</v>
      </c>
      <c r="E1496" s="11" t="s">
        <v>26</v>
      </c>
      <c r="F1496" s="11" t="s">
        <v>5487</v>
      </c>
      <c r="G1496" s="11" t="s">
        <v>28</v>
      </c>
      <c r="H1496" s="11" t="s">
        <v>5487</v>
      </c>
      <c r="I1496" s="11" t="s">
        <v>5488</v>
      </c>
      <c r="J1496" s="12">
        <v>0.65069999999999995</v>
      </c>
      <c r="K1496" s="13">
        <v>1</v>
      </c>
      <c r="L1496" s="14">
        <v>146</v>
      </c>
      <c r="M1496" s="10">
        <v>95</v>
      </c>
      <c r="N1496" s="10">
        <v>16133</v>
      </c>
      <c r="O1496" s="10">
        <v>7450</v>
      </c>
      <c r="P1496" s="10">
        <v>23583</v>
      </c>
    </row>
    <row r="1497" spans="1:16" ht="27" customHeight="1" x14ac:dyDescent="0.2">
      <c r="A1497" s="9" t="s">
        <v>5119</v>
      </c>
      <c r="B1497" s="10" t="s">
        <v>5412</v>
      </c>
      <c r="C1497" s="11" t="s">
        <v>5489</v>
      </c>
      <c r="D1497" s="11" t="s">
        <v>5490</v>
      </c>
      <c r="E1497" s="11" t="s">
        <v>26</v>
      </c>
      <c r="F1497" s="11" t="s">
        <v>5491</v>
      </c>
      <c r="G1497" s="11" t="s">
        <v>28</v>
      </c>
      <c r="H1497" s="11" t="s">
        <v>5491</v>
      </c>
      <c r="I1497" s="11" t="s">
        <v>5492</v>
      </c>
      <c r="J1497" s="12">
        <v>0.34060000000000001</v>
      </c>
      <c r="K1497" s="13">
        <v>1</v>
      </c>
      <c r="L1497" s="14">
        <v>461</v>
      </c>
      <c r="M1497" s="10">
        <v>157</v>
      </c>
      <c r="N1497" s="10">
        <v>50941</v>
      </c>
      <c r="O1497" s="10">
        <v>12312</v>
      </c>
      <c r="P1497" s="10">
        <v>63253</v>
      </c>
    </row>
    <row r="1498" spans="1:16" ht="27" customHeight="1" x14ac:dyDescent="0.2">
      <c r="A1498" s="9" t="s">
        <v>5119</v>
      </c>
      <c r="B1498" s="10" t="s">
        <v>5412</v>
      </c>
      <c r="C1498" s="11" t="s">
        <v>5493</v>
      </c>
      <c r="D1498" s="11" t="s">
        <v>5494</v>
      </c>
      <c r="E1498" s="11" t="s">
        <v>26</v>
      </c>
      <c r="F1498" s="11" t="s">
        <v>5495</v>
      </c>
      <c r="G1498" s="11" t="s">
        <v>28</v>
      </c>
      <c r="H1498" s="11" t="s">
        <v>5495</v>
      </c>
      <c r="I1498" s="11" t="s">
        <v>5496</v>
      </c>
      <c r="J1498" s="12">
        <v>0.46529999999999999</v>
      </c>
      <c r="K1498" s="13">
        <v>1</v>
      </c>
      <c r="L1498" s="14">
        <v>432</v>
      </c>
      <c r="M1498" s="10">
        <v>201</v>
      </c>
      <c r="N1498" s="10">
        <v>47737</v>
      </c>
      <c r="O1498" s="10">
        <v>15762</v>
      </c>
      <c r="P1498" s="10">
        <v>63499</v>
      </c>
    </row>
    <row r="1499" spans="1:16" ht="27" customHeight="1" x14ac:dyDescent="0.2">
      <c r="A1499" s="9" t="s">
        <v>5119</v>
      </c>
      <c r="B1499" s="10" t="s">
        <v>5412</v>
      </c>
      <c r="C1499" s="11" t="s">
        <v>5497</v>
      </c>
      <c r="D1499" s="11" t="s">
        <v>5498</v>
      </c>
      <c r="E1499" s="11" t="s">
        <v>26</v>
      </c>
      <c r="F1499" s="11" t="s">
        <v>5499</v>
      </c>
      <c r="G1499" s="11" t="s">
        <v>28</v>
      </c>
      <c r="H1499" s="11" t="s">
        <v>5499</v>
      </c>
      <c r="I1499" s="11" t="s">
        <v>5500</v>
      </c>
      <c r="J1499" s="12">
        <v>0.90259999999999996</v>
      </c>
      <c r="K1499" s="13">
        <v>1</v>
      </c>
      <c r="L1499" s="14">
        <v>154</v>
      </c>
      <c r="M1499" s="10">
        <v>139</v>
      </c>
      <c r="N1499" s="10">
        <v>17017</v>
      </c>
      <c r="O1499" s="10">
        <v>10900</v>
      </c>
      <c r="P1499" s="10">
        <v>27917</v>
      </c>
    </row>
    <row r="1500" spans="1:16" ht="27" customHeight="1" x14ac:dyDescent="0.2">
      <c r="A1500" s="9" t="s">
        <v>5119</v>
      </c>
      <c r="B1500" s="10" t="s">
        <v>5412</v>
      </c>
      <c r="C1500" s="11" t="s">
        <v>5501</v>
      </c>
      <c r="D1500" s="11" t="s">
        <v>5502</v>
      </c>
      <c r="E1500" s="11" t="s">
        <v>26</v>
      </c>
      <c r="F1500" s="11" t="s">
        <v>5503</v>
      </c>
      <c r="G1500" s="11" t="s">
        <v>28</v>
      </c>
      <c r="H1500" s="11" t="s">
        <v>5503</v>
      </c>
      <c r="I1500" s="11" t="s">
        <v>5504</v>
      </c>
      <c r="J1500" s="12">
        <v>0.49740000000000001</v>
      </c>
      <c r="K1500" s="13">
        <v>1</v>
      </c>
      <c r="L1500" s="14">
        <v>382</v>
      </c>
      <c r="M1500" s="10">
        <v>190</v>
      </c>
      <c r="N1500" s="10">
        <v>42212</v>
      </c>
      <c r="O1500" s="10">
        <v>14900</v>
      </c>
      <c r="P1500" s="10">
        <v>57112</v>
      </c>
    </row>
    <row r="1501" spans="1:16" ht="27" customHeight="1" x14ac:dyDescent="0.2">
      <c r="A1501" s="9" t="s">
        <v>5119</v>
      </c>
      <c r="B1501" s="10" t="s">
        <v>5412</v>
      </c>
      <c r="C1501" s="11" t="s">
        <v>5505</v>
      </c>
      <c r="D1501" s="11" t="s">
        <v>5506</v>
      </c>
      <c r="E1501" s="11" t="s">
        <v>26</v>
      </c>
      <c r="F1501" s="11" t="s">
        <v>5507</v>
      </c>
      <c r="G1501" s="11" t="s">
        <v>28</v>
      </c>
      <c r="H1501" s="11" t="s">
        <v>5507</v>
      </c>
      <c r="I1501" s="11" t="s">
        <v>5508</v>
      </c>
      <c r="J1501" s="12">
        <v>0.95050000000000001</v>
      </c>
      <c r="K1501" s="13">
        <v>1</v>
      </c>
      <c r="L1501" s="14">
        <v>444</v>
      </c>
      <c r="M1501" s="10">
        <v>422</v>
      </c>
      <c r="N1501" s="10">
        <v>49063</v>
      </c>
      <c r="O1501" s="10">
        <v>33093</v>
      </c>
      <c r="P1501" s="10">
        <v>82156</v>
      </c>
    </row>
    <row r="1502" spans="1:16" ht="27" customHeight="1" x14ac:dyDescent="0.2">
      <c r="A1502" s="9" t="s">
        <v>5119</v>
      </c>
      <c r="B1502" s="10" t="s">
        <v>5412</v>
      </c>
      <c r="C1502" s="11" t="s">
        <v>5509</v>
      </c>
      <c r="D1502" s="11" t="s">
        <v>5510</v>
      </c>
      <c r="E1502" s="11" t="s">
        <v>26</v>
      </c>
      <c r="F1502" s="11" t="s">
        <v>5511</v>
      </c>
      <c r="G1502" s="11" t="s">
        <v>28</v>
      </c>
      <c r="H1502" s="11" t="s">
        <v>5511</v>
      </c>
      <c r="I1502" s="11" t="s">
        <v>5512</v>
      </c>
      <c r="J1502" s="12">
        <v>0.72440000000000004</v>
      </c>
      <c r="K1502" s="13">
        <v>1</v>
      </c>
      <c r="L1502" s="14">
        <v>1415</v>
      </c>
      <c r="M1502" s="10">
        <v>1025</v>
      </c>
      <c r="N1502" s="10">
        <v>156360</v>
      </c>
      <c r="O1502" s="10">
        <v>80379</v>
      </c>
      <c r="P1502" s="10">
        <v>236739</v>
      </c>
    </row>
    <row r="1503" spans="1:16" ht="27" customHeight="1" x14ac:dyDescent="0.2">
      <c r="A1503" s="9" t="s">
        <v>5119</v>
      </c>
      <c r="B1503" s="10" t="s">
        <v>5412</v>
      </c>
      <c r="C1503" s="11" t="s">
        <v>5513</v>
      </c>
      <c r="D1503" s="11" t="s">
        <v>5514</v>
      </c>
      <c r="E1503" s="11" t="s">
        <v>26</v>
      </c>
      <c r="F1503" s="11" t="s">
        <v>5515</v>
      </c>
      <c r="G1503" s="11" t="s">
        <v>28</v>
      </c>
      <c r="H1503" s="11" t="s">
        <v>5515</v>
      </c>
      <c r="I1503" s="11" t="s">
        <v>5516</v>
      </c>
      <c r="J1503" s="12">
        <v>0.90820000000000001</v>
      </c>
      <c r="K1503" s="13">
        <v>1</v>
      </c>
      <c r="L1503" s="14">
        <v>839</v>
      </c>
      <c r="M1503" s="10">
        <v>762</v>
      </c>
      <c r="N1503" s="10">
        <v>92711</v>
      </c>
      <c r="O1503" s="10">
        <v>59755</v>
      </c>
      <c r="P1503" s="10">
        <v>152466</v>
      </c>
    </row>
    <row r="1504" spans="1:16" ht="27" customHeight="1" x14ac:dyDescent="0.2">
      <c r="A1504" s="9" t="s">
        <v>5119</v>
      </c>
      <c r="B1504" s="10" t="s">
        <v>5412</v>
      </c>
      <c r="C1504" s="11" t="s">
        <v>5517</v>
      </c>
      <c r="D1504" s="11" t="s">
        <v>5518</v>
      </c>
      <c r="E1504" s="11" t="s">
        <v>26</v>
      </c>
      <c r="F1504" s="11" t="s">
        <v>5519</v>
      </c>
      <c r="G1504" s="11" t="s">
        <v>28</v>
      </c>
      <c r="H1504" s="11" t="s">
        <v>5122</v>
      </c>
      <c r="I1504" s="11" t="s">
        <v>5123</v>
      </c>
      <c r="J1504" s="12">
        <v>1</v>
      </c>
      <c r="K1504" s="13">
        <v>1</v>
      </c>
      <c r="L1504" s="14">
        <v>521</v>
      </c>
      <c r="M1504" s="10">
        <v>188</v>
      </c>
      <c r="N1504" s="10">
        <v>57571</v>
      </c>
      <c r="O1504" s="10">
        <v>14743</v>
      </c>
      <c r="P1504" s="10">
        <v>72314</v>
      </c>
    </row>
    <row r="1505" spans="1:16" ht="27" customHeight="1" x14ac:dyDescent="0.2">
      <c r="A1505" s="9" t="s">
        <v>5119</v>
      </c>
      <c r="B1505" s="10" t="s">
        <v>5412</v>
      </c>
      <c r="C1505" s="11" t="s">
        <v>5520</v>
      </c>
      <c r="D1505" s="11" t="s">
        <v>5521</v>
      </c>
      <c r="E1505" s="11" t="s">
        <v>26</v>
      </c>
      <c r="F1505" s="11" t="s">
        <v>5522</v>
      </c>
      <c r="G1505" s="11" t="s">
        <v>28</v>
      </c>
      <c r="H1505" s="11" t="s">
        <v>5522</v>
      </c>
      <c r="I1505" s="11" t="s">
        <v>5523</v>
      </c>
      <c r="J1505" s="12">
        <v>0.62780000000000002</v>
      </c>
      <c r="K1505" s="13">
        <v>1</v>
      </c>
      <c r="L1505" s="14">
        <v>309</v>
      </c>
      <c r="M1505" s="10">
        <v>194</v>
      </c>
      <c r="N1505" s="10">
        <v>34145</v>
      </c>
      <c r="O1505" s="10">
        <v>15213</v>
      </c>
      <c r="P1505" s="10">
        <v>49358</v>
      </c>
    </row>
    <row r="1506" spans="1:16" ht="27" customHeight="1" x14ac:dyDescent="0.2">
      <c r="A1506" s="9" t="s">
        <v>5119</v>
      </c>
      <c r="B1506" s="10" t="s">
        <v>5412</v>
      </c>
      <c r="C1506" s="11" t="s">
        <v>5524</v>
      </c>
      <c r="D1506" s="11" t="s">
        <v>5525</v>
      </c>
      <c r="E1506" s="11" t="s">
        <v>26</v>
      </c>
      <c r="F1506" s="11" t="s">
        <v>5526</v>
      </c>
      <c r="G1506" s="11" t="s">
        <v>28</v>
      </c>
      <c r="H1506" s="11" t="s">
        <v>5526</v>
      </c>
      <c r="I1506" s="11" t="s">
        <v>5527</v>
      </c>
      <c r="J1506" s="12">
        <v>0.7752</v>
      </c>
      <c r="K1506" s="13">
        <v>1</v>
      </c>
      <c r="L1506" s="14">
        <v>467</v>
      </c>
      <c r="M1506" s="10">
        <v>362</v>
      </c>
      <c r="N1506" s="10">
        <v>51604</v>
      </c>
      <c r="O1506" s="10">
        <v>28388</v>
      </c>
      <c r="P1506" s="10">
        <v>79992</v>
      </c>
    </row>
    <row r="1507" spans="1:16" ht="27" customHeight="1" x14ac:dyDescent="0.2">
      <c r="A1507" s="9" t="s">
        <v>5119</v>
      </c>
      <c r="B1507" s="10" t="s">
        <v>5412</v>
      </c>
      <c r="C1507" s="11" t="s">
        <v>5528</v>
      </c>
      <c r="D1507" s="11" t="s">
        <v>5529</v>
      </c>
      <c r="E1507" s="11" t="s">
        <v>26</v>
      </c>
      <c r="F1507" s="11" t="s">
        <v>5530</v>
      </c>
      <c r="G1507" s="11" t="s">
        <v>28</v>
      </c>
      <c r="H1507" s="11" t="s">
        <v>5530</v>
      </c>
      <c r="I1507" s="11" t="s">
        <v>5531</v>
      </c>
      <c r="J1507" s="12">
        <v>0.84250000000000003</v>
      </c>
      <c r="K1507" s="13">
        <v>1</v>
      </c>
      <c r="L1507" s="14">
        <v>603</v>
      </c>
      <c r="M1507" s="10">
        <v>508</v>
      </c>
      <c r="N1507" s="10">
        <v>66632</v>
      </c>
      <c r="O1507" s="10">
        <v>39837</v>
      </c>
      <c r="P1507" s="10">
        <v>106469</v>
      </c>
    </row>
    <row r="1508" spans="1:16" ht="27" customHeight="1" x14ac:dyDescent="0.2">
      <c r="A1508" s="9" t="s">
        <v>5119</v>
      </c>
      <c r="B1508" s="10" t="s">
        <v>5412</v>
      </c>
      <c r="C1508" s="11" t="s">
        <v>5532</v>
      </c>
      <c r="D1508" s="11" t="s">
        <v>5533</v>
      </c>
      <c r="E1508" s="11" t="s">
        <v>26</v>
      </c>
      <c r="F1508" s="11" t="s">
        <v>5534</v>
      </c>
      <c r="G1508" s="11" t="s">
        <v>28</v>
      </c>
      <c r="H1508" s="11" t="s">
        <v>5534</v>
      </c>
      <c r="I1508" s="11" t="s">
        <v>5535</v>
      </c>
      <c r="J1508" s="12">
        <v>0.8841</v>
      </c>
      <c r="K1508" s="13">
        <v>1</v>
      </c>
      <c r="L1508" s="14">
        <v>440</v>
      </c>
      <c r="M1508" s="10">
        <v>389</v>
      </c>
      <c r="N1508" s="10">
        <v>48621</v>
      </c>
      <c r="O1508" s="10">
        <v>30505</v>
      </c>
      <c r="P1508" s="10">
        <v>79126</v>
      </c>
    </row>
    <row r="1509" spans="1:16" ht="27" customHeight="1" x14ac:dyDescent="0.2">
      <c r="A1509" s="9" t="s">
        <v>5119</v>
      </c>
      <c r="B1509" s="10" t="s">
        <v>5412</v>
      </c>
      <c r="C1509" s="11" t="s">
        <v>5536</v>
      </c>
      <c r="D1509" s="11" t="s">
        <v>5537</v>
      </c>
      <c r="E1509" s="11" t="s">
        <v>26</v>
      </c>
      <c r="F1509" s="11" t="s">
        <v>5538</v>
      </c>
      <c r="G1509" s="11" t="s">
        <v>28</v>
      </c>
      <c r="H1509" s="11" t="s">
        <v>5538</v>
      </c>
      <c r="I1509" s="11" t="s">
        <v>5539</v>
      </c>
      <c r="J1509" s="12">
        <v>0.96540000000000004</v>
      </c>
      <c r="K1509" s="13">
        <v>1</v>
      </c>
      <c r="L1509" s="14">
        <v>347</v>
      </c>
      <c r="M1509" s="10">
        <v>335</v>
      </c>
      <c r="N1509" s="10">
        <v>38344</v>
      </c>
      <c r="O1509" s="10">
        <v>26270</v>
      </c>
      <c r="P1509" s="10">
        <v>64614</v>
      </c>
    </row>
    <row r="1510" spans="1:16" ht="27" customHeight="1" x14ac:dyDescent="0.2">
      <c r="A1510" s="9" t="s">
        <v>5119</v>
      </c>
      <c r="B1510" s="10" t="s">
        <v>5412</v>
      </c>
      <c r="C1510" s="11" t="s">
        <v>5540</v>
      </c>
      <c r="D1510" s="11" t="s">
        <v>5541</v>
      </c>
      <c r="E1510" s="11" t="s">
        <v>26</v>
      </c>
      <c r="F1510" s="11" t="s">
        <v>5542</v>
      </c>
      <c r="G1510" s="11" t="s">
        <v>28</v>
      </c>
      <c r="H1510" s="11" t="s">
        <v>5542</v>
      </c>
      <c r="I1510" s="11" t="s">
        <v>5543</v>
      </c>
      <c r="J1510" s="12">
        <v>0.50719999999999998</v>
      </c>
      <c r="K1510" s="13">
        <v>1</v>
      </c>
      <c r="L1510" s="14">
        <v>1818</v>
      </c>
      <c r="M1510" s="10">
        <v>922</v>
      </c>
      <c r="N1510" s="10">
        <v>200892</v>
      </c>
      <c r="O1510" s="10">
        <v>72302</v>
      </c>
      <c r="P1510" s="10">
        <v>273194</v>
      </c>
    </row>
    <row r="1511" spans="1:16" ht="27" customHeight="1" x14ac:dyDescent="0.2">
      <c r="A1511" s="9" t="s">
        <v>5119</v>
      </c>
      <c r="B1511" s="10" t="s">
        <v>5412</v>
      </c>
      <c r="C1511" s="11" t="s">
        <v>5544</v>
      </c>
      <c r="D1511" s="11" t="s">
        <v>5545</v>
      </c>
      <c r="E1511" s="11" t="s">
        <v>26</v>
      </c>
      <c r="F1511" s="11" t="s">
        <v>5546</v>
      </c>
      <c r="G1511" s="11" t="s">
        <v>28</v>
      </c>
      <c r="H1511" s="11" t="s">
        <v>5546</v>
      </c>
      <c r="I1511" s="11" t="s">
        <v>5547</v>
      </c>
      <c r="J1511" s="12">
        <v>0.76</v>
      </c>
      <c r="K1511" s="13">
        <v>1</v>
      </c>
      <c r="L1511" s="14">
        <v>125</v>
      </c>
      <c r="M1511" s="10">
        <v>95</v>
      </c>
      <c r="N1511" s="10">
        <v>13813</v>
      </c>
      <c r="O1511" s="10">
        <v>7450</v>
      </c>
      <c r="P1511" s="10">
        <v>21263</v>
      </c>
    </row>
    <row r="1512" spans="1:16" ht="27" customHeight="1" x14ac:dyDescent="0.2">
      <c r="A1512" s="9" t="s">
        <v>5119</v>
      </c>
      <c r="B1512" s="10" t="s">
        <v>5412</v>
      </c>
      <c r="C1512" s="11" t="s">
        <v>5548</v>
      </c>
      <c r="D1512" s="11" t="s">
        <v>5549</v>
      </c>
      <c r="E1512" s="11" t="s">
        <v>26</v>
      </c>
      <c r="F1512" s="11" t="s">
        <v>5550</v>
      </c>
      <c r="G1512" s="11" t="s">
        <v>28</v>
      </c>
      <c r="H1512" s="11" t="s">
        <v>5550</v>
      </c>
      <c r="I1512" s="11" t="s">
        <v>5551</v>
      </c>
      <c r="J1512" s="12">
        <v>0.30180000000000001</v>
      </c>
      <c r="K1512" s="13">
        <v>1</v>
      </c>
      <c r="L1512" s="14">
        <v>222</v>
      </c>
      <c r="M1512" s="10">
        <v>67</v>
      </c>
      <c r="N1512" s="10">
        <v>24531</v>
      </c>
      <c r="O1512" s="10">
        <v>5254</v>
      </c>
      <c r="P1512" s="10">
        <v>29785</v>
      </c>
    </row>
    <row r="1513" spans="1:16" ht="27" customHeight="1" x14ac:dyDescent="0.2">
      <c r="A1513" s="9" t="s">
        <v>5119</v>
      </c>
      <c r="B1513" s="10" t="s">
        <v>5412</v>
      </c>
      <c r="C1513" s="11" t="s">
        <v>5552</v>
      </c>
      <c r="D1513" s="11" t="s">
        <v>5553</v>
      </c>
      <c r="E1513" s="11" t="s">
        <v>26</v>
      </c>
      <c r="F1513" s="11" t="s">
        <v>5554</v>
      </c>
      <c r="G1513" s="11" t="s">
        <v>28</v>
      </c>
      <c r="H1513" s="11" t="s">
        <v>5554</v>
      </c>
      <c r="I1513" s="11" t="s">
        <v>5555</v>
      </c>
      <c r="J1513" s="12">
        <v>0.89900000000000002</v>
      </c>
      <c r="K1513" s="13">
        <v>1</v>
      </c>
      <c r="L1513" s="14">
        <v>99</v>
      </c>
      <c r="M1513" s="10">
        <v>89</v>
      </c>
      <c r="N1513" s="10">
        <v>10940</v>
      </c>
      <c r="O1513" s="10">
        <v>6979</v>
      </c>
      <c r="P1513" s="10">
        <v>17919</v>
      </c>
    </row>
    <row r="1514" spans="1:16" ht="27" customHeight="1" x14ac:dyDescent="0.2">
      <c r="A1514" s="9" t="s">
        <v>5119</v>
      </c>
      <c r="B1514" s="10" t="s">
        <v>5412</v>
      </c>
      <c r="C1514" s="11" t="s">
        <v>5556</v>
      </c>
      <c r="D1514" s="11" t="s">
        <v>5557</v>
      </c>
      <c r="E1514" s="11" t="s">
        <v>26</v>
      </c>
      <c r="F1514" s="11" t="s">
        <v>5558</v>
      </c>
      <c r="G1514" s="11" t="s">
        <v>28</v>
      </c>
      <c r="H1514" s="11" t="s">
        <v>5558</v>
      </c>
      <c r="I1514" s="11" t="s">
        <v>5559</v>
      </c>
      <c r="J1514" s="12">
        <v>0.40960000000000002</v>
      </c>
      <c r="K1514" s="13">
        <v>1</v>
      </c>
      <c r="L1514" s="14">
        <v>376</v>
      </c>
      <c r="M1514" s="10">
        <v>154</v>
      </c>
      <c r="N1514" s="10">
        <v>41549</v>
      </c>
      <c r="O1514" s="10">
        <v>12077</v>
      </c>
      <c r="P1514" s="10">
        <v>53626</v>
      </c>
    </row>
    <row r="1515" spans="1:16" ht="27" customHeight="1" x14ac:dyDescent="0.2">
      <c r="A1515" s="9" t="s">
        <v>5119</v>
      </c>
      <c r="B1515" s="10" t="s">
        <v>5412</v>
      </c>
      <c r="C1515" s="11" t="s">
        <v>5560</v>
      </c>
      <c r="D1515" s="11" t="s">
        <v>5561</v>
      </c>
      <c r="E1515" s="11" t="s">
        <v>26</v>
      </c>
      <c r="F1515" s="11" t="s">
        <v>5562</v>
      </c>
      <c r="G1515" s="11" t="s">
        <v>28</v>
      </c>
      <c r="H1515" s="11" t="s">
        <v>5562</v>
      </c>
      <c r="I1515" s="11" t="s">
        <v>5563</v>
      </c>
      <c r="J1515" s="12">
        <v>0.50229999999999997</v>
      </c>
      <c r="K1515" s="13">
        <v>1</v>
      </c>
      <c r="L1515" s="14">
        <v>428</v>
      </c>
      <c r="M1515" s="10">
        <v>215</v>
      </c>
      <c r="N1515" s="10">
        <v>47295</v>
      </c>
      <c r="O1515" s="10">
        <v>16860</v>
      </c>
      <c r="P1515" s="10">
        <v>64155</v>
      </c>
    </row>
    <row r="1516" spans="1:16" ht="27" customHeight="1" x14ac:dyDescent="0.2">
      <c r="A1516" s="9" t="s">
        <v>5119</v>
      </c>
      <c r="B1516" s="10" t="s">
        <v>5412</v>
      </c>
      <c r="C1516" s="11" t="s">
        <v>5564</v>
      </c>
      <c r="D1516" s="11" t="s">
        <v>5565</v>
      </c>
      <c r="E1516" s="11" t="s">
        <v>26</v>
      </c>
      <c r="F1516" s="11" t="s">
        <v>5566</v>
      </c>
      <c r="G1516" s="11" t="s">
        <v>28</v>
      </c>
      <c r="H1516" s="11" t="s">
        <v>5566</v>
      </c>
      <c r="I1516" s="11" t="s">
        <v>5567</v>
      </c>
      <c r="J1516" s="12">
        <v>0.96340000000000003</v>
      </c>
      <c r="K1516" s="13">
        <v>1</v>
      </c>
      <c r="L1516" s="14">
        <v>246</v>
      </c>
      <c r="M1516" s="10">
        <v>237</v>
      </c>
      <c r="N1516" s="10">
        <v>27183</v>
      </c>
      <c r="O1516" s="10">
        <v>18585</v>
      </c>
      <c r="P1516" s="10">
        <v>45768</v>
      </c>
    </row>
    <row r="1517" spans="1:16" ht="27" customHeight="1" x14ac:dyDescent="0.2">
      <c r="A1517" s="9" t="s">
        <v>5119</v>
      </c>
      <c r="B1517" s="10" t="s">
        <v>5568</v>
      </c>
      <c r="C1517" s="11" t="s">
        <v>18</v>
      </c>
      <c r="D1517" s="11" t="s">
        <v>19</v>
      </c>
      <c r="E1517" s="11" t="s">
        <v>19</v>
      </c>
      <c r="F1517" s="11" t="s">
        <v>5569</v>
      </c>
      <c r="G1517" s="11" t="s">
        <v>83</v>
      </c>
      <c r="H1517" s="11" t="s">
        <v>5122</v>
      </c>
      <c r="I1517" s="11" t="s">
        <v>5123</v>
      </c>
      <c r="J1517" s="12">
        <v>1</v>
      </c>
      <c r="K1517" s="13">
        <v>11</v>
      </c>
      <c r="L1517" s="14">
        <v>12593</v>
      </c>
      <c r="M1517" s="10">
        <v>2046</v>
      </c>
      <c r="N1517" s="10">
        <v>1391546</v>
      </c>
      <c r="O1517" s="10">
        <v>160445</v>
      </c>
      <c r="P1517" s="10">
        <v>1551991</v>
      </c>
    </row>
    <row r="1518" spans="1:16" ht="27" customHeight="1" x14ac:dyDescent="0.2">
      <c r="A1518" s="9" t="s">
        <v>5119</v>
      </c>
      <c r="B1518" s="10" t="s">
        <v>5570</v>
      </c>
      <c r="C1518" s="11" t="s">
        <v>18</v>
      </c>
      <c r="D1518" s="11" t="s">
        <v>19</v>
      </c>
      <c r="E1518" s="11" t="s">
        <v>19</v>
      </c>
      <c r="F1518" s="11" t="s">
        <v>5571</v>
      </c>
      <c r="G1518" s="11" t="s">
        <v>83</v>
      </c>
      <c r="H1518" s="11" t="s">
        <v>5571</v>
      </c>
      <c r="I1518" s="11" t="s">
        <v>5572</v>
      </c>
      <c r="J1518" s="12">
        <v>0.23250000000000001</v>
      </c>
      <c r="K1518" s="13">
        <v>2</v>
      </c>
      <c r="L1518" s="14">
        <v>488</v>
      </c>
      <c r="M1518" s="10">
        <v>113</v>
      </c>
      <c r="N1518" s="10">
        <v>53925</v>
      </c>
      <c r="O1518" s="10">
        <v>8861</v>
      </c>
      <c r="P1518" s="10">
        <v>62786</v>
      </c>
    </row>
    <row r="1519" spans="1:16" ht="27" customHeight="1" x14ac:dyDescent="0.2">
      <c r="A1519" s="9" t="s">
        <v>5119</v>
      </c>
      <c r="B1519" s="10" t="s">
        <v>5573</v>
      </c>
      <c r="C1519" s="11" t="s">
        <v>18</v>
      </c>
      <c r="D1519" s="11" t="s">
        <v>19</v>
      </c>
      <c r="E1519" s="11" t="s">
        <v>19</v>
      </c>
      <c r="F1519" s="11" t="s">
        <v>5574</v>
      </c>
      <c r="G1519" s="11" t="s">
        <v>83</v>
      </c>
      <c r="H1519" s="11" t="s">
        <v>5575</v>
      </c>
      <c r="I1519" s="11" t="s">
        <v>5576</v>
      </c>
      <c r="J1519" s="12">
        <v>0.55900000000000005</v>
      </c>
      <c r="K1519" s="13">
        <v>12</v>
      </c>
      <c r="L1519" s="14">
        <v>6315</v>
      </c>
      <c r="M1519" s="10">
        <v>2421</v>
      </c>
      <c r="N1519" s="10">
        <v>697818</v>
      </c>
      <c r="O1519" s="10">
        <v>189852</v>
      </c>
      <c r="P1519" s="10">
        <v>887670</v>
      </c>
    </row>
    <row r="1520" spans="1:16" ht="27" customHeight="1" x14ac:dyDescent="0.2">
      <c r="A1520" s="9" t="s">
        <v>5119</v>
      </c>
      <c r="B1520" s="10" t="s">
        <v>5577</v>
      </c>
      <c r="C1520" s="11" t="s">
        <v>18</v>
      </c>
      <c r="D1520" s="11" t="s">
        <v>19</v>
      </c>
      <c r="E1520" s="11" t="s">
        <v>19</v>
      </c>
      <c r="F1520" s="11" t="s">
        <v>5578</v>
      </c>
      <c r="G1520" s="11" t="s">
        <v>83</v>
      </c>
      <c r="H1520" s="11" t="s">
        <v>5579</v>
      </c>
      <c r="I1520" s="11" t="s">
        <v>5580</v>
      </c>
      <c r="J1520" s="12">
        <v>0.67130000000000001</v>
      </c>
      <c r="K1520" s="13">
        <v>8</v>
      </c>
      <c r="L1520" s="14">
        <v>4514</v>
      </c>
      <c r="M1520" s="10">
        <v>2445</v>
      </c>
      <c r="N1520" s="10">
        <v>498804</v>
      </c>
      <c r="O1520" s="10">
        <v>191736</v>
      </c>
      <c r="P1520" s="10">
        <v>690540</v>
      </c>
    </row>
    <row r="1521" spans="1:16" ht="27" customHeight="1" x14ac:dyDescent="0.2">
      <c r="A1521" s="9" t="s">
        <v>5119</v>
      </c>
      <c r="B1521" s="10" t="s">
        <v>5581</v>
      </c>
      <c r="C1521" s="11" t="s">
        <v>18</v>
      </c>
      <c r="D1521" s="11" t="s">
        <v>19</v>
      </c>
      <c r="E1521" s="11" t="s">
        <v>19</v>
      </c>
      <c r="F1521" s="11" t="s">
        <v>5582</v>
      </c>
      <c r="G1521" s="11" t="s">
        <v>83</v>
      </c>
      <c r="H1521" s="11" t="s">
        <v>5583</v>
      </c>
      <c r="I1521" s="11" t="s">
        <v>5584</v>
      </c>
      <c r="J1521" s="12">
        <v>0.25979999999999998</v>
      </c>
      <c r="K1521" s="13">
        <v>8</v>
      </c>
      <c r="L1521" s="14">
        <v>2752</v>
      </c>
      <c r="M1521" s="10">
        <v>351</v>
      </c>
      <c r="N1521" s="10">
        <v>304100</v>
      </c>
      <c r="O1521" s="10">
        <v>27525</v>
      </c>
      <c r="P1521" s="10">
        <v>331625</v>
      </c>
    </row>
    <row r="1522" spans="1:16" ht="27" customHeight="1" x14ac:dyDescent="0.2">
      <c r="A1522" s="9" t="s">
        <v>5119</v>
      </c>
      <c r="B1522" s="10" t="s">
        <v>5585</v>
      </c>
      <c r="C1522" s="11" t="s">
        <v>18</v>
      </c>
      <c r="D1522" s="11" t="s">
        <v>19</v>
      </c>
      <c r="E1522" s="11" t="s">
        <v>19</v>
      </c>
      <c r="F1522" s="11" t="s">
        <v>5586</v>
      </c>
      <c r="G1522" s="11" t="s">
        <v>83</v>
      </c>
      <c r="H1522" s="11" t="s">
        <v>5587</v>
      </c>
      <c r="I1522" s="11" t="s">
        <v>5588</v>
      </c>
      <c r="J1522" s="12">
        <v>0.75449999999999995</v>
      </c>
      <c r="K1522" s="13">
        <v>12</v>
      </c>
      <c r="L1522" s="14">
        <v>4349</v>
      </c>
      <c r="M1522" s="10">
        <v>3019</v>
      </c>
      <c r="N1522" s="10">
        <v>480572</v>
      </c>
      <c r="O1522" s="10">
        <v>236747</v>
      </c>
      <c r="P1522" s="10">
        <v>717319</v>
      </c>
    </row>
    <row r="1523" spans="1:16" ht="27" customHeight="1" x14ac:dyDescent="0.2">
      <c r="A1523" s="9" t="s">
        <v>5119</v>
      </c>
      <c r="B1523" s="10" t="s">
        <v>5585</v>
      </c>
      <c r="C1523" s="11" t="s">
        <v>5589</v>
      </c>
      <c r="D1523" s="11" t="s">
        <v>5590</v>
      </c>
      <c r="E1523" s="11" t="s">
        <v>57</v>
      </c>
      <c r="F1523" s="11" t="s">
        <v>5591</v>
      </c>
      <c r="G1523" s="11" t="s">
        <v>28</v>
      </c>
      <c r="H1523" s="11" t="s">
        <v>5591</v>
      </c>
      <c r="I1523" s="11" t="s">
        <v>5592</v>
      </c>
      <c r="J1523" s="12">
        <v>0.56089999999999995</v>
      </c>
      <c r="K1523" s="13">
        <v>1</v>
      </c>
      <c r="L1523" s="14">
        <v>792</v>
      </c>
      <c r="M1523" s="10">
        <v>444</v>
      </c>
      <c r="N1523" s="10">
        <v>87517</v>
      </c>
      <c r="O1523" s="10">
        <v>34818</v>
      </c>
      <c r="P1523" s="10">
        <v>122335</v>
      </c>
    </row>
    <row r="1524" spans="1:16" ht="27" customHeight="1" x14ac:dyDescent="0.2">
      <c r="A1524" s="9" t="s">
        <v>5119</v>
      </c>
      <c r="B1524" s="10" t="s">
        <v>5585</v>
      </c>
      <c r="C1524" s="11" t="s">
        <v>5593</v>
      </c>
      <c r="D1524" s="11" t="s">
        <v>5594</v>
      </c>
      <c r="E1524" s="11" t="s">
        <v>57</v>
      </c>
      <c r="F1524" s="11" t="s">
        <v>5595</v>
      </c>
      <c r="G1524" s="11" t="s">
        <v>28</v>
      </c>
      <c r="H1524" s="11" t="s">
        <v>5595</v>
      </c>
      <c r="I1524" s="11" t="s">
        <v>5596</v>
      </c>
      <c r="J1524" s="12">
        <v>0.52990000000000004</v>
      </c>
      <c r="K1524" s="13">
        <v>1</v>
      </c>
      <c r="L1524" s="14">
        <v>1036</v>
      </c>
      <c r="M1524" s="10">
        <v>549</v>
      </c>
      <c r="N1524" s="10">
        <v>114480</v>
      </c>
      <c r="O1524" s="10">
        <v>43052</v>
      </c>
      <c r="P1524" s="10">
        <v>157532</v>
      </c>
    </row>
    <row r="1525" spans="1:16" ht="27" customHeight="1" x14ac:dyDescent="0.2">
      <c r="A1525" s="9" t="s">
        <v>5119</v>
      </c>
      <c r="B1525" s="10" t="s">
        <v>5597</v>
      </c>
      <c r="C1525" s="11" t="s">
        <v>18</v>
      </c>
      <c r="D1525" s="11" t="s">
        <v>19</v>
      </c>
      <c r="E1525" s="11" t="s">
        <v>19</v>
      </c>
      <c r="F1525" s="11" t="s">
        <v>5598</v>
      </c>
      <c r="G1525" s="11" t="s">
        <v>83</v>
      </c>
      <c r="H1525" s="11" t="s">
        <v>5598</v>
      </c>
      <c r="I1525" s="11" t="s">
        <v>5599</v>
      </c>
      <c r="J1525" s="12">
        <v>0.43180000000000002</v>
      </c>
      <c r="K1525" s="13">
        <v>2</v>
      </c>
      <c r="L1525" s="14">
        <v>44</v>
      </c>
      <c r="M1525" s="10">
        <v>19</v>
      </c>
      <c r="N1525" s="10">
        <v>4862</v>
      </c>
      <c r="O1525" s="10">
        <v>1490</v>
      </c>
      <c r="P1525" s="10">
        <v>6352</v>
      </c>
    </row>
    <row r="1526" spans="1:16" ht="27" customHeight="1" x14ac:dyDescent="0.2">
      <c r="A1526" s="9" t="s">
        <v>5119</v>
      </c>
      <c r="B1526" s="10" t="s">
        <v>5597</v>
      </c>
      <c r="C1526" s="11" t="s">
        <v>5600</v>
      </c>
      <c r="D1526" s="11" t="s">
        <v>5601</v>
      </c>
      <c r="E1526" s="11" t="s">
        <v>26</v>
      </c>
      <c r="F1526" s="11" t="s">
        <v>5602</v>
      </c>
      <c r="G1526" s="11" t="s">
        <v>28</v>
      </c>
      <c r="H1526" s="11" t="s">
        <v>5602</v>
      </c>
      <c r="I1526" s="11" t="s">
        <v>5603</v>
      </c>
      <c r="J1526" s="12">
        <v>0.65029999999999999</v>
      </c>
      <c r="K1526" s="13">
        <v>1</v>
      </c>
      <c r="L1526" s="14">
        <v>143</v>
      </c>
      <c r="M1526" s="10">
        <v>93</v>
      </c>
      <c r="N1526" s="10">
        <v>15802</v>
      </c>
      <c r="O1526" s="10">
        <v>7293</v>
      </c>
      <c r="P1526" s="10">
        <v>23095</v>
      </c>
    </row>
    <row r="1527" spans="1:16" ht="27" customHeight="1" x14ac:dyDescent="0.2">
      <c r="A1527" s="9" t="s">
        <v>5119</v>
      </c>
      <c r="B1527" s="10" t="s">
        <v>5597</v>
      </c>
      <c r="C1527" s="11" t="s">
        <v>5604</v>
      </c>
      <c r="D1527" s="11" t="s">
        <v>5605</v>
      </c>
      <c r="E1527" s="11" t="s">
        <v>26</v>
      </c>
      <c r="F1527" s="11" t="s">
        <v>5606</v>
      </c>
      <c r="G1527" s="11" t="s">
        <v>28</v>
      </c>
      <c r="H1527" s="11" t="s">
        <v>5606</v>
      </c>
      <c r="I1527" s="11" t="s">
        <v>5607</v>
      </c>
      <c r="J1527" s="12">
        <v>0.63749999999999996</v>
      </c>
      <c r="K1527" s="13">
        <v>1</v>
      </c>
      <c r="L1527" s="14">
        <v>3294</v>
      </c>
      <c r="M1527" s="10">
        <v>2100</v>
      </c>
      <c r="N1527" s="10">
        <v>363992</v>
      </c>
      <c r="O1527" s="10">
        <v>164680</v>
      </c>
      <c r="P1527" s="10">
        <v>528672</v>
      </c>
    </row>
    <row r="1528" spans="1:16" ht="27" customHeight="1" x14ac:dyDescent="0.2">
      <c r="A1528" s="9" t="s">
        <v>5119</v>
      </c>
      <c r="B1528" s="10" t="s">
        <v>5608</v>
      </c>
      <c r="C1528" s="11" t="s">
        <v>18</v>
      </c>
      <c r="D1528" s="11" t="s">
        <v>19</v>
      </c>
      <c r="E1528" s="11" t="s">
        <v>19</v>
      </c>
      <c r="F1528" s="11" t="s">
        <v>5609</v>
      </c>
      <c r="G1528" s="11" t="s">
        <v>83</v>
      </c>
      <c r="H1528" s="11" t="s">
        <v>5122</v>
      </c>
      <c r="I1528" s="11" t="s">
        <v>5123</v>
      </c>
      <c r="J1528" s="12">
        <v>1</v>
      </c>
      <c r="K1528" s="13">
        <v>30</v>
      </c>
      <c r="L1528" s="14">
        <v>36040</v>
      </c>
      <c r="M1528" s="10">
        <v>21404</v>
      </c>
      <c r="N1528" s="10">
        <v>3982479</v>
      </c>
      <c r="O1528" s="10">
        <v>1678477</v>
      </c>
      <c r="P1528" s="10">
        <v>5660956</v>
      </c>
    </row>
    <row r="1529" spans="1:16" ht="27" customHeight="1" x14ac:dyDescent="0.2">
      <c r="A1529" s="9" t="s">
        <v>5119</v>
      </c>
      <c r="B1529" s="10" t="s">
        <v>5608</v>
      </c>
      <c r="C1529" s="11" t="s">
        <v>5610</v>
      </c>
      <c r="D1529" s="11" t="s">
        <v>5611</v>
      </c>
      <c r="E1529" s="11" t="s">
        <v>26</v>
      </c>
      <c r="F1529" s="11" t="s">
        <v>5612</v>
      </c>
      <c r="G1529" s="11" t="s">
        <v>28</v>
      </c>
      <c r="H1529" s="11" t="s">
        <v>5612</v>
      </c>
      <c r="I1529" s="11" t="s">
        <v>5613</v>
      </c>
      <c r="J1529" s="12">
        <v>0.66769999999999996</v>
      </c>
      <c r="K1529" s="13">
        <v>1</v>
      </c>
      <c r="L1529" s="14">
        <v>1297</v>
      </c>
      <c r="M1529" s="10">
        <v>866</v>
      </c>
      <c r="N1529" s="10">
        <v>143321</v>
      </c>
      <c r="O1529" s="10">
        <v>67911</v>
      </c>
      <c r="P1529" s="10">
        <v>211232</v>
      </c>
    </row>
    <row r="1530" spans="1:16" ht="27" customHeight="1" x14ac:dyDescent="0.2">
      <c r="A1530" s="9" t="s">
        <v>5119</v>
      </c>
      <c r="B1530" s="10" t="s">
        <v>5608</v>
      </c>
      <c r="C1530" s="11" t="s">
        <v>5614</v>
      </c>
      <c r="D1530" s="11" t="s">
        <v>5615</v>
      </c>
      <c r="E1530" s="11" t="s">
        <v>26</v>
      </c>
      <c r="F1530" s="11" t="s">
        <v>5616</v>
      </c>
      <c r="G1530" s="11" t="s">
        <v>28</v>
      </c>
      <c r="H1530" s="11" t="s">
        <v>5122</v>
      </c>
      <c r="I1530" s="11" t="s">
        <v>5123</v>
      </c>
      <c r="J1530" s="12">
        <v>1</v>
      </c>
      <c r="K1530" s="13">
        <v>1</v>
      </c>
      <c r="L1530" s="14">
        <v>236</v>
      </c>
      <c r="M1530" s="10">
        <v>209</v>
      </c>
      <c r="N1530" s="10">
        <v>26078</v>
      </c>
      <c r="O1530" s="10">
        <v>16390</v>
      </c>
      <c r="P1530" s="10">
        <v>42468</v>
      </c>
    </row>
    <row r="1531" spans="1:16" ht="27" customHeight="1" x14ac:dyDescent="0.2">
      <c r="A1531" s="9" t="s">
        <v>5119</v>
      </c>
      <c r="B1531" s="10" t="s">
        <v>5617</v>
      </c>
      <c r="C1531" s="11" t="s">
        <v>18</v>
      </c>
      <c r="D1531" s="11" t="s">
        <v>19</v>
      </c>
      <c r="E1531" s="11" t="s">
        <v>19</v>
      </c>
      <c r="F1531" s="11" t="s">
        <v>5618</v>
      </c>
      <c r="G1531" s="11" t="s">
        <v>83</v>
      </c>
      <c r="H1531" s="11" t="s">
        <v>5618</v>
      </c>
      <c r="I1531" s="11" t="s">
        <v>5619</v>
      </c>
      <c r="J1531" s="12">
        <v>0.80320000000000003</v>
      </c>
      <c r="K1531" s="13">
        <v>2</v>
      </c>
      <c r="L1531" s="14">
        <v>188</v>
      </c>
      <c r="M1531" s="10">
        <v>151</v>
      </c>
      <c r="N1531" s="10">
        <v>20774</v>
      </c>
      <c r="O1531" s="10">
        <v>11841</v>
      </c>
      <c r="P1531" s="10">
        <v>32615</v>
      </c>
    </row>
    <row r="1532" spans="1:16" ht="27" customHeight="1" x14ac:dyDescent="0.2">
      <c r="A1532" s="9" t="s">
        <v>5119</v>
      </c>
      <c r="B1532" s="10" t="s">
        <v>5620</v>
      </c>
      <c r="C1532" s="11" t="s">
        <v>18</v>
      </c>
      <c r="D1532" s="11" t="s">
        <v>19</v>
      </c>
      <c r="E1532" s="11" t="s">
        <v>19</v>
      </c>
      <c r="F1532" s="11" t="s">
        <v>5621</v>
      </c>
      <c r="G1532" s="11" t="s">
        <v>83</v>
      </c>
      <c r="H1532" s="11" t="s">
        <v>5622</v>
      </c>
      <c r="I1532" s="11" t="s">
        <v>5623</v>
      </c>
      <c r="J1532" s="12">
        <v>0.89959999999999996</v>
      </c>
      <c r="K1532" s="13">
        <v>29</v>
      </c>
      <c r="L1532" s="14">
        <v>19020</v>
      </c>
      <c r="M1532" s="10">
        <v>11949</v>
      </c>
      <c r="N1532" s="10">
        <v>2101741</v>
      </c>
      <c r="O1532" s="10">
        <v>937029</v>
      </c>
      <c r="P1532" s="10">
        <v>3038770</v>
      </c>
    </row>
    <row r="1533" spans="1:16" ht="27" customHeight="1" x14ac:dyDescent="0.2">
      <c r="A1533" s="9" t="s">
        <v>5119</v>
      </c>
      <c r="B1533" s="10" t="s">
        <v>5620</v>
      </c>
      <c r="C1533" s="11" t="s">
        <v>5624</v>
      </c>
      <c r="D1533" s="11" t="s">
        <v>5625</v>
      </c>
      <c r="E1533" s="11" t="s">
        <v>26</v>
      </c>
      <c r="F1533" s="11" t="s">
        <v>5626</v>
      </c>
      <c r="G1533" s="11" t="s">
        <v>28</v>
      </c>
      <c r="H1533" s="11" t="s">
        <v>5122</v>
      </c>
      <c r="I1533" s="11" t="s">
        <v>5123</v>
      </c>
      <c r="J1533" s="12">
        <v>1</v>
      </c>
      <c r="K1533" s="13">
        <v>1</v>
      </c>
      <c r="L1533" s="14">
        <v>743</v>
      </c>
      <c r="M1533" s="10">
        <v>672</v>
      </c>
      <c r="N1533" s="10">
        <v>82103</v>
      </c>
      <c r="O1533" s="10">
        <v>52698</v>
      </c>
      <c r="P1533" s="10">
        <v>134801</v>
      </c>
    </row>
    <row r="1534" spans="1:16" ht="27" customHeight="1" x14ac:dyDescent="0.2">
      <c r="A1534" s="9" t="s">
        <v>5119</v>
      </c>
      <c r="B1534" s="10" t="s">
        <v>5620</v>
      </c>
      <c r="C1534" s="11" t="s">
        <v>5627</v>
      </c>
      <c r="D1534" s="11" t="s">
        <v>5628</v>
      </c>
      <c r="E1534" s="11" t="s">
        <v>26</v>
      </c>
      <c r="F1534" s="11" t="s">
        <v>5629</v>
      </c>
      <c r="G1534" s="11" t="s">
        <v>28</v>
      </c>
      <c r="H1534" s="11" t="s">
        <v>5122</v>
      </c>
      <c r="I1534" s="11" t="s">
        <v>5123</v>
      </c>
      <c r="J1534" s="12">
        <v>1</v>
      </c>
      <c r="K1534" s="13">
        <v>1</v>
      </c>
      <c r="L1534" s="14">
        <v>173</v>
      </c>
      <c r="M1534" s="10">
        <v>86</v>
      </c>
      <c r="N1534" s="10">
        <v>19117</v>
      </c>
      <c r="O1534" s="10">
        <v>6744</v>
      </c>
      <c r="P1534" s="10">
        <v>25861</v>
      </c>
    </row>
    <row r="1535" spans="1:16" ht="27" customHeight="1" x14ac:dyDescent="0.2">
      <c r="A1535" s="9" t="s">
        <v>5119</v>
      </c>
      <c r="B1535" s="10" t="s">
        <v>5620</v>
      </c>
      <c r="C1535" s="11" t="s">
        <v>5630</v>
      </c>
      <c r="D1535" s="11" t="s">
        <v>5631</v>
      </c>
      <c r="E1535" s="11" t="s">
        <v>26</v>
      </c>
      <c r="F1535" s="11" t="s">
        <v>5632</v>
      </c>
      <c r="G1535" s="11" t="s">
        <v>28</v>
      </c>
      <c r="H1535" s="11" t="s">
        <v>5632</v>
      </c>
      <c r="I1535" s="11" t="s">
        <v>5633</v>
      </c>
      <c r="J1535" s="12">
        <v>0.36359999999999998</v>
      </c>
      <c r="K1535" s="13">
        <v>1</v>
      </c>
      <c r="L1535" s="14">
        <v>55</v>
      </c>
      <c r="M1535" s="10">
        <v>20</v>
      </c>
      <c r="N1535" s="10">
        <v>6078</v>
      </c>
      <c r="O1535" s="10">
        <v>1568</v>
      </c>
      <c r="P1535" s="10">
        <v>7646</v>
      </c>
    </row>
    <row r="1536" spans="1:16" ht="27" customHeight="1" x14ac:dyDescent="0.2">
      <c r="A1536" s="9" t="s">
        <v>5119</v>
      </c>
      <c r="B1536" s="10" t="s">
        <v>5620</v>
      </c>
      <c r="C1536" s="11" t="s">
        <v>5634</v>
      </c>
      <c r="D1536" s="11" t="s">
        <v>5635</v>
      </c>
      <c r="E1536" s="11" t="s">
        <v>26</v>
      </c>
      <c r="F1536" s="11" t="s">
        <v>5636</v>
      </c>
      <c r="G1536" s="11" t="s">
        <v>28</v>
      </c>
      <c r="H1536" s="11" t="s">
        <v>5636</v>
      </c>
      <c r="I1536" s="11" t="s">
        <v>5637</v>
      </c>
      <c r="J1536" s="12">
        <v>0.55530000000000002</v>
      </c>
      <c r="K1536" s="13">
        <v>1</v>
      </c>
      <c r="L1536" s="14">
        <v>398</v>
      </c>
      <c r="M1536" s="10">
        <v>221</v>
      </c>
      <c r="N1536" s="10">
        <v>43980</v>
      </c>
      <c r="O1536" s="10">
        <v>17331</v>
      </c>
      <c r="P1536" s="10">
        <v>61311</v>
      </c>
    </row>
    <row r="1537" spans="1:16" ht="27" customHeight="1" x14ac:dyDescent="0.2">
      <c r="A1537" s="9" t="s">
        <v>5119</v>
      </c>
      <c r="B1537" s="10" t="s">
        <v>5620</v>
      </c>
      <c r="C1537" s="11" t="s">
        <v>5638</v>
      </c>
      <c r="D1537" s="11" t="s">
        <v>5639</v>
      </c>
      <c r="E1537" s="11" t="s">
        <v>26</v>
      </c>
      <c r="F1537" s="11" t="s">
        <v>5640</v>
      </c>
      <c r="G1537" s="11" t="s">
        <v>28</v>
      </c>
      <c r="H1537" s="11" t="s">
        <v>5640</v>
      </c>
      <c r="I1537" s="11" t="s">
        <v>5641</v>
      </c>
      <c r="J1537" s="12">
        <v>0.57430000000000003</v>
      </c>
      <c r="K1537" s="13">
        <v>1</v>
      </c>
      <c r="L1537" s="14">
        <v>1346</v>
      </c>
      <c r="M1537" s="10">
        <v>773</v>
      </c>
      <c r="N1537" s="10">
        <v>148735</v>
      </c>
      <c r="O1537" s="10">
        <v>60618</v>
      </c>
      <c r="P1537" s="10">
        <v>209353</v>
      </c>
    </row>
    <row r="1538" spans="1:16" ht="27" customHeight="1" x14ac:dyDescent="0.2">
      <c r="A1538" s="9" t="s">
        <v>5119</v>
      </c>
      <c r="B1538" s="10" t="s">
        <v>5642</v>
      </c>
      <c r="C1538" s="11" t="s">
        <v>18</v>
      </c>
      <c r="D1538" s="11" t="s">
        <v>19</v>
      </c>
      <c r="E1538" s="11" t="s">
        <v>19</v>
      </c>
      <c r="F1538" s="11" t="s">
        <v>5643</v>
      </c>
      <c r="G1538" s="11" t="s">
        <v>83</v>
      </c>
      <c r="H1538" s="11" t="s">
        <v>1482</v>
      </c>
      <c r="I1538" s="11" t="s">
        <v>5644</v>
      </c>
      <c r="J1538" s="12">
        <v>0.48270000000000002</v>
      </c>
      <c r="K1538" s="13">
        <v>17</v>
      </c>
      <c r="L1538" s="14">
        <v>11029</v>
      </c>
      <c r="M1538" s="10">
        <v>2361</v>
      </c>
      <c r="N1538" s="10">
        <v>1218724</v>
      </c>
      <c r="O1538" s="10">
        <v>185147</v>
      </c>
      <c r="P1538" s="10">
        <v>1403871</v>
      </c>
    </row>
    <row r="1539" spans="1:16" ht="27" customHeight="1" x14ac:dyDescent="0.2">
      <c r="A1539" s="9" t="s">
        <v>5119</v>
      </c>
      <c r="B1539" s="10" t="s">
        <v>5645</v>
      </c>
      <c r="C1539" s="11" t="s">
        <v>18</v>
      </c>
      <c r="D1539" s="11" t="s">
        <v>19</v>
      </c>
      <c r="E1539" s="11" t="s">
        <v>19</v>
      </c>
      <c r="F1539" s="11" t="s">
        <v>5646</v>
      </c>
      <c r="G1539" s="11" t="s">
        <v>83</v>
      </c>
      <c r="H1539" s="11" t="s">
        <v>5647</v>
      </c>
      <c r="I1539" s="11" t="s">
        <v>5648</v>
      </c>
      <c r="J1539" s="12">
        <v>0.94989999999999997</v>
      </c>
      <c r="K1539" s="13">
        <v>24</v>
      </c>
      <c r="L1539" s="14">
        <v>15560</v>
      </c>
      <c r="M1539" s="10">
        <v>11141</v>
      </c>
      <c r="N1539" s="10">
        <v>1719406</v>
      </c>
      <c r="O1539" s="10">
        <v>873666</v>
      </c>
      <c r="P1539" s="10">
        <v>2593072</v>
      </c>
    </row>
    <row r="1540" spans="1:16" ht="27" customHeight="1" x14ac:dyDescent="0.2">
      <c r="A1540" s="9" t="s">
        <v>5119</v>
      </c>
      <c r="B1540" s="10" t="s">
        <v>5645</v>
      </c>
      <c r="C1540" s="11" t="s">
        <v>5649</v>
      </c>
      <c r="D1540" s="11" t="s">
        <v>5650</v>
      </c>
      <c r="E1540" s="11" t="s">
        <v>26</v>
      </c>
      <c r="F1540" s="11" t="s">
        <v>5651</v>
      </c>
      <c r="G1540" s="11" t="s">
        <v>28</v>
      </c>
      <c r="H1540" s="11" t="s">
        <v>5651</v>
      </c>
      <c r="I1540" s="11" t="s">
        <v>5652</v>
      </c>
      <c r="J1540" s="12">
        <v>0.28170000000000001</v>
      </c>
      <c r="K1540" s="13">
        <v>1</v>
      </c>
      <c r="L1540" s="14">
        <v>1789</v>
      </c>
      <c r="M1540" s="10">
        <v>504</v>
      </c>
      <c r="N1540" s="10">
        <v>197687</v>
      </c>
      <c r="O1540" s="10">
        <v>39523</v>
      </c>
      <c r="P1540" s="10">
        <v>237210</v>
      </c>
    </row>
    <row r="1541" spans="1:16" ht="27" customHeight="1" x14ac:dyDescent="0.2">
      <c r="A1541" s="9" t="s">
        <v>5119</v>
      </c>
      <c r="B1541" s="10" t="s">
        <v>5645</v>
      </c>
      <c r="C1541" s="11" t="s">
        <v>5653</v>
      </c>
      <c r="D1541" s="11" t="s">
        <v>5654</v>
      </c>
      <c r="E1541" s="11" t="s">
        <v>26</v>
      </c>
      <c r="F1541" s="11" t="s">
        <v>5655</v>
      </c>
      <c r="G1541" s="11" t="s">
        <v>28</v>
      </c>
      <c r="H1541" s="11" t="s">
        <v>5655</v>
      </c>
      <c r="I1541" s="11" t="s">
        <v>5656</v>
      </c>
      <c r="J1541" s="12">
        <v>0.7077</v>
      </c>
      <c r="K1541" s="13">
        <v>1</v>
      </c>
      <c r="L1541" s="14">
        <v>633</v>
      </c>
      <c r="M1541" s="10">
        <v>448</v>
      </c>
      <c r="N1541" s="10">
        <v>69948</v>
      </c>
      <c r="O1541" s="10">
        <v>35132</v>
      </c>
      <c r="P1541" s="10">
        <v>105080</v>
      </c>
    </row>
    <row r="1542" spans="1:16" ht="27" customHeight="1" x14ac:dyDescent="0.2">
      <c r="A1542" s="9" t="s">
        <v>5119</v>
      </c>
      <c r="B1542" s="10" t="s">
        <v>5657</v>
      </c>
      <c r="C1542" s="11" t="s">
        <v>18</v>
      </c>
      <c r="D1542" s="11" t="s">
        <v>19</v>
      </c>
      <c r="E1542" s="11" t="s">
        <v>19</v>
      </c>
      <c r="F1542" s="11" t="s">
        <v>5658</v>
      </c>
      <c r="G1542" s="11" t="s">
        <v>83</v>
      </c>
      <c r="H1542" s="11" t="s">
        <v>5659</v>
      </c>
      <c r="I1542" s="11" t="s">
        <v>5660</v>
      </c>
      <c r="J1542" s="12">
        <v>0.76919999999999999</v>
      </c>
      <c r="K1542" s="13">
        <v>20</v>
      </c>
      <c r="L1542" s="14">
        <v>19668</v>
      </c>
      <c r="M1542" s="10">
        <v>7346</v>
      </c>
      <c r="N1542" s="10">
        <v>2173347</v>
      </c>
      <c r="O1542" s="10">
        <v>576066</v>
      </c>
      <c r="P1542" s="10">
        <v>2749413</v>
      </c>
    </row>
    <row r="1543" spans="1:16" ht="27" customHeight="1" x14ac:dyDescent="0.2">
      <c r="A1543" s="9" t="s">
        <v>5119</v>
      </c>
      <c r="B1543" s="10" t="s">
        <v>5657</v>
      </c>
      <c r="C1543" s="11" t="s">
        <v>5661</v>
      </c>
      <c r="D1543" s="11" t="s">
        <v>5662</v>
      </c>
      <c r="E1543" s="11" t="s">
        <v>26</v>
      </c>
      <c r="F1543" s="11" t="s">
        <v>5663</v>
      </c>
      <c r="G1543" s="11" t="s">
        <v>28</v>
      </c>
      <c r="H1543" s="11" t="s">
        <v>5663</v>
      </c>
      <c r="I1543" s="11" t="s">
        <v>5664</v>
      </c>
      <c r="J1543" s="12">
        <v>0.45779999999999998</v>
      </c>
      <c r="K1543" s="13">
        <v>1</v>
      </c>
      <c r="L1543" s="14">
        <v>83</v>
      </c>
      <c r="M1543" s="10">
        <v>38</v>
      </c>
      <c r="N1543" s="10">
        <v>9172</v>
      </c>
      <c r="O1543" s="10">
        <v>2980</v>
      </c>
      <c r="P1543" s="10">
        <v>12152</v>
      </c>
    </row>
    <row r="1544" spans="1:16" ht="27" customHeight="1" x14ac:dyDescent="0.2">
      <c r="A1544" s="9" t="s">
        <v>5119</v>
      </c>
      <c r="B1544" s="10" t="s">
        <v>5665</v>
      </c>
      <c r="C1544" s="11" t="s">
        <v>18</v>
      </c>
      <c r="D1544" s="11" t="s">
        <v>19</v>
      </c>
      <c r="E1544" s="11" t="s">
        <v>19</v>
      </c>
      <c r="F1544" s="11" t="s">
        <v>5666</v>
      </c>
      <c r="G1544" s="11" t="s">
        <v>83</v>
      </c>
      <c r="H1544" s="11" t="s">
        <v>5667</v>
      </c>
      <c r="I1544" s="11" t="s">
        <v>5668</v>
      </c>
      <c r="J1544" s="12">
        <v>0.76149999999999995</v>
      </c>
      <c r="K1544" s="13">
        <v>4</v>
      </c>
      <c r="L1544" s="14">
        <v>217</v>
      </c>
      <c r="M1544" s="10">
        <v>159</v>
      </c>
      <c r="N1544" s="10">
        <v>23979</v>
      </c>
      <c r="O1544" s="10">
        <v>12469</v>
      </c>
      <c r="P1544" s="10">
        <v>36448</v>
      </c>
    </row>
    <row r="1545" spans="1:16" ht="27" customHeight="1" x14ac:dyDescent="0.2">
      <c r="A1545" s="9" t="s">
        <v>5119</v>
      </c>
      <c r="B1545" s="10" t="s">
        <v>5665</v>
      </c>
      <c r="C1545" s="11" t="s">
        <v>5669</v>
      </c>
      <c r="D1545" s="11" t="s">
        <v>5670</v>
      </c>
      <c r="E1545" s="11" t="s">
        <v>26</v>
      </c>
      <c r="F1545" s="11" t="s">
        <v>5122</v>
      </c>
      <c r="G1545" s="11" t="s">
        <v>28</v>
      </c>
      <c r="H1545" s="11" t="s">
        <v>5122</v>
      </c>
      <c r="I1545" s="11" t="s">
        <v>5123</v>
      </c>
      <c r="J1545" s="12">
        <v>1</v>
      </c>
      <c r="K1545" s="13">
        <v>1</v>
      </c>
      <c r="L1545" s="14">
        <v>51</v>
      </c>
      <c r="M1545" s="10">
        <v>51</v>
      </c>
      <c r="N1545" s="10">
        <v>5636</v>
      </c>
      <c r="O1545" s="10">
        <v>3999</v>
      </c>
      <c r="P1545" s="10">
        <v>9635</v>
      </c>
    </row>
    <row r="1546" spans="1:16" ht="27" customHeight="1" x14ac:dyDescent="0.2">
      <c r="A1546" s="9" t="s">
        <v>5119</v>
      </c>
      <c r="B1546" s="10" t="s">
        <v>5665</v>
      </c>
      <c r="C1546" s="11" t="s">
        <v>5671</v>
      </c>
      <c r="D1546" s="11" t="s">
        <v>5672</v>
      </c>
      <c r="E1546" s="11" t="s">
        <v>26</v>
      </c>
      <c r="F1546" s="11" t="s">
        <v>5673</v>
      </c>
      <c r="G1546" s="11" t="s">
        <v>28</v>
      </c>
      <c r="H1546" s="11" t="s">
        <v>5673</v>
      </c>
      <c r="I1546" s="11" t="s">
        <v>5674</v>
      </c>
      <c r="J1546" s="12">
        <v>0.5837</v>
      </c>
      <c r="K1546" s="13">
        <v>1</v>
      </c>
      <c r="L1546" s="14">
        <v>245</v>
      </c>
      <c r="M1546" s="10">
        <v>143</v>
      </c>
      <c r="N1546" s="10">
        <v>27073</v>
      </c>
      <c r="O1546" s="10">
        <v>11214</v>
      </c>
      <c r="P1546" s="10">
        <v>38287</v>
      </c>
    </row>
    <row r="1547" spans="1:16" ht="27" customHeight="1" x14ac:dyDescent="0.2">
      <c r="A1547" s="9" t="s">
        <v>5119</v>
      </c>
      <c r="B1547" s="10" t="s">
        <v>5665</v>
      </c>
      <c r="C1547" s="11" t="s">
        <v>5675</v>
      </c>
      <c r="D1547" s="11" t="s">
        <v>5676</v>
      </c>
      <c r="E1547" s="11" t="s">
        <v>26</v>
      </c>
      <c r="F1547" s="11" t="s">
        <v>5677</v>
      </c>
      <c r="G1547" s="11" t="s">
        <v>28</v>
      </c>
      <c r="H1547" s="11" t="s">
        <v>5677</v>
      </c>
      <c r="I1547" s="11" t="s">
        <v>5678</v>
      </c>
      <c r="J1547" s="12">
        <v>0.63580000000000003</v>
      </c>
      <c r="K1547" s="13">
        <v>1</v>
      </c>
      <c r="L1547" s="14">
        <v>151</v>
      </c>
      <c r="M1547" s="10">
        <v>96</v>
      </c>
      <c r="N1547" s="10">
        <v>16686</v>
      </c>
      <c r="O1547" s="10">
        <v>7528</v>
      </c>
      <c r="P1547" s="10">
        <v>24214</v>
      </c>
    </row>
    <row r="1548" spans="1:16" ht="27" customHeight="1" x14ac:dyDescent="0.2">
      <c r="A1548" s="9" t="s">
        <v>5119</v>
      </c>
      <c r="B1548" s="10" t="s">
        <v>5665</v>
      </c>
      <c r="C1548" s="11" t="s">
        <v>5679</v>
      </c>
      <c r="D1548" s="11" t="s">
        <v>5680</v>
      </c>
      <c r="E1548" s="11" t="s">
        <v>26</v>
      </c>
      <c r="F1548" s="11" t="s">
        <v>5681</v>
      </c>
      <c r="G1548" s="11" t="s">
        <v>28</v>
      </c>
      <c r="H1548" s="11" t="s">
        <v>5681</v>
      </c>
      <c r="I1548" s="11" t="s">
        <v>5682</v>
      </c>
      <c r="J1548" s="12">
        <v>0.31809999999999999</v>
      </c>
      <c r="K1548" s="13">
        <v>1</v>
      </c>
      <c r="L1548" s="14">
        <v>371</v>
      </c>
      <c r="M1548" s="10">
        <v>118</v>
      </c>
      <c r="N1548" s="10">
        <v>40996</v>
      </c>
      <c r="O1548" s="10">
        <v>9253</v>
      </c>
      <c r="P1548" s="10">
        <v>50249</v>
      </c>
    </row>
    <row r="1549" spans="1:16" ht="27" customHeight="1" x14ac:dyDescent="0.2">
      <c r="A1549" s="9" t="s">
        <v>5119</v>
      </c>
      <c r="B1549" s="10" t="s">
        <v>5665</v>
      </c>
      <c r="C1549" s="11" t="s">
        <v>5683</v>
      </c>
      <c r="D1549" s="11" t="s">
        <v>5684</v>
      </c>
      <c r="E1549" s="11" t="s">
        <v>26</v>
      </c>
      <c r="F1549" s="11" t="s">
        <v>4897</v>
      </c>
      <c r="G1549" s="11" t="s">
        <v>28</v>
      </c>
      <c r="H1549" s="11" t="s">
        <v>4897</v>
      </c>
      <c r="I1549" s="11" t="s">
        <v>5685</v>
      </c>
      <c r="J1549" s="12">
        <v>0.39029999999999998</v>
      </c>
      <c r="K1549" s="13">
        <v>1</v>
      </c>
      <c r="L1549" s="14">
        <v>1048</v>
      </c>
      <c r="M1549" s="10">
        <v>409</v>
      </c>
      <c r="N1549" s="10">
        <v>115806</v>
      </c>
      <c r="O1549" s="10">
        <v>32073</v>
      </c>
      <c r="P1549" s="10">
        <v>147879</v>
      </c>
    </row>
    <row r="1550" spans="1:16" ht="27" customHeight="1" x14ac:dyDescent="0.2">
      <c r="A1550" s="9" t="s">
        <v>5119</v>
      </c>
      <c r="B1550" s="10" t="s">
        <v>5665</v>
      </c>
      <c r="C1550" s="11" t="s">
        <v>5686</v>
      </c>
      <c r="D1550" s="11" t="s">
        <v>5687</v>
      </c>
      <c r="E1550" s="11" t="s">
        <v>26</v>
      </c>
      <c r="F1550" s="11" t="s">
        <v>5688</v>
      </c>
      <c r="G1550" s="11" t="s">
        <v>28</v>
      </c>
      <c r="H1550" s="11" t="s">
        <v>5122</v>
      </c>
      <c r="I1550" s="11" t="s">
        <v>5123</v>
      </c>
      <c r="J1550" s="12">
        <v>1</v>
      </c>
      <c r="K1550" s="13">
        <v>1</v>
      </c>
      <c r="L1550" s="14">
        <v>179</v>
      </c>
      <c r="M1550" s="10">
        <v>59</v>
      </c>
      <c r="N1550" s="10">
        <v>19780</v>
      </c>
      <c r="O1550" s="10">
        <v>4627</v>
      </c>
      <c r="P1550" s="10">
        <v>24407</v>
      </c>
    </row>
    <row r="1551" spans="1:16" ht="27" customHeight="1" x14ac:dyDescent="0.2">
      <c r="A1551" s="9" t="s">
        <v>5119</v>
      </c>
      <c r="B1551" s="10" t="s">
        <v>5665</v>
      </c>
      <c r="C1551" s="11" t="s">
        <v>5689</v>
      </c>
      <c r="D1551" s="11" t="s">
        <v>5690</v>
      </c>
      <c r="E1551" s="11" t="s">
        <v>26</v>
      </c>
      <c r="F1551" s="11" t="s">
        <v>5691</v>
      </c>
      <c r="G1551" s="11" t="s">
        <v>28</v>
      </c>
      <c r="H1551" s="11" t="s">
        <v>5691</v>
      </c>
      <c r="I1551" s="11" t="s">
        <v>5692</v>
      </c>
      <c r="J1551" s="12">
        <v>1</v>
      </c>
      <c r="K1551" s="13">
        <v>1</v>
      </c>
      <c r="L1551" s="14">
        <v>59</v>
      </c>
      <c r="M1551" s="10">
        <v>59</v>
      </c>
      <c r="N1551" s="10">
        <v>6520</v>
      </c>
      <c r="O1551" s="10">
        <v>4627</v>
      </c>
      <c r="P1551" s="10">
        <v>11147</v>
      </c>
    </row>
    <row r="1552" spans="1:16" ht="27" customHeight="1" x14ac:dyDescent="0.2">
      <c r="A1552" s="9" t="s">
        <v>5119</v>
      </c>
      <c r="B1552" s="10" t="s">
        <v>5693</v>
      </c>
      <c r="C1552" s="11" t="s">
        <v>18</v>
      </c>
      <c r="D1552" s="11" t="s">
        <v>19</v>
      </c>
      <c r="E1552" s="11" t="s">
        <v>19</v>
      </c>
      <c r="F1552" s="11" t="s">
        <v>5694</v>
      </c>
      <c r="G1552" s="11" t="s">
        <v>83</v>
      </c>
      <c r="H1552" s="11" t="s">
        <v>5695</v>
      </c>
      <c r="I1552" s="11" t="s">
        <v>5696</v>
      </c>
      <c r="J1552" s="12">
        <v>0.76949999999999996</v>
      </c>
      <c r="K1552" s="13">
        <v>9</v>
      </c>
      <c r="L1552" s="14">
        <v>3798</v>
      </c>
      <c r="M1552" s="10">
        <v>1897</v>
      </c>
      <c r="N1552" s="10">
        <v>419684</v>
      </c>
      <c r="O1552" s="10">
        <v>148763</v>
      </c>
      <c r="P1552" s="10">
        <v>568447</v>
      </c>
    </row>
    <row r="1553" spans="1:16" ht="27" customHeight="1" x14ac:dyDescent="0.2">
      <c r="A1553" s="9" t="s">
        <v>5119</v>
      </c>
      <c r="B1553" s="10" t="s">
        <v>5697</v>
      </c>
      <c r="C1553" s="11" t="s">
        <v>5698</v>
      </c>
      <c r="D1553" s="11" t="s">
        <v>5699</v>
      </c>
      <c r="E1553" s="11" t="s">
        <v>26</v>
      </c>
      <c r="F1553" s="11" t="s">
        <v>5700</v>
      </c>
      <c r="G1553" s="11" t="s">
        <v>28</v>
      </c>
      <c r="H1553" s="11" t="s">
        <v>5122</v>
      </c>
      <c r="I1553" s="11" t="s">
        <v>5123</v>
      </c>
      <c r="J1553" s="12">
        <v>1</v>
      </c>
      <c r="K1553" s="13">
        <v>1</v>
      </c>
      <c r="L1553" s="14">
        <v>639</v>
      </c>
      <c r="M1553" s="10">
        <v>237</v>
      </c>
      <c r="N1553" s="10">
        <v>70611</v>
      </c>
      <c r="O1553" s="10">
        <v>18585</v>
      </c>
      <c r="P1553" s="10">
        <v>89196</v>
      </c>
    </row>
    <row r="1554" spans="1:16" ht="27" customHeight="1" x14ac:dyDescent="0.2">
      <c r="A1554" s="9" t="s">
        <v>5119</v>
      </c>
      <c r="B1554" s="10" t="s">
        <v>5697</v>
      </c>
      <c r="C1554" s="11" t="s">
        <v>5701</v>
      </c>
      <c r="D1554" s="11" t="s">
        <v>5699</v>
      </c>
      <c r="E1554" s="11" t="s">
        <v>26</v>
      </c>
      <c r="F1554" s="11" t="s">
        <v>5702</v>
      </c>
      <c r="G1554" s="11" t="s">
        <v>28</v>
      </c>
      <c r="H1554" s="11" t="s">
        <v>5122</v>
      </c>
      <c r="I1554" s="11" t="s">
        <v>5123</v>
      </c>
      <c r="J1554" s="12">
        <v>1</v>
      </c>
      <c r="K1554" s="13">
        <v>1</v>
      </c>
      <c r="L1554" s="14">
        <v>418</v>
      </c>
      <c r="M1554" s="10">
        <v>164</v>
      </c>
      <c r="N1554" s="10">
        <v>46190</v>
      </c>
      <c r="O1554" s="10">
        <v>12861</v>
      </c>
      <c r="P1554" s="10">
        <v>59051</v>
      </c>
    </row>
    <row r="1555" spans="1:16" ht="27" customHeight="1" x14ac:dyDescent="0.2">
      <c r="A1555" s="9" t="s">
        <v>5119</v>
      </c>
      <c r="B1555" s="10" t="s">
        <v>5697</v>
      </c>
      <c r="C1555" s="11" t="s">
        <v>5703</v>
      </c>
      <c r="D1555" s="11" t="s">
        <v>5699</v>
      </c>
      <c r="E1555" s="11" t="s">
        <v>26</v>
      </c>
      <c r="F1555" s="11" t="s">
        <v>5704</v>
      </c>
      <c r="G1555" s="11" t="s">
        <v>28</v>
      </c>
      <c r="H1555" s="11" t="s">
        <v>5122</v>
      </c>
      <c r="I1555" s="11" t="s">
        <v>5123</v>
      </c>
      <c r="J1555" s="12">
        <v>1</v>
      </c>
      <c r="K1555" s="13">
        <v>1</v>
      </c>
      <c r="L1555" s="14">
        <v>336</v>
      </c>
      <c r="M1555" s="10">
        <v>155</v>
      </c>
      <c r="N1555" s="10">
        <v>37129</v>
      </c>
      <c r="O1555" s="10">
        <v>12155</v>
      </c>
      <c r="P1555" s="10">
        <v>49284</v>
      </c>
    </row>
    <row r="1556" spans="1:16" ht="27" customHeight="1" x14ac:dyDescent="0.2">
      <c r="A1556" s="9" t="s">
        <v>5119</v>
      </c>
      <c r="B1556" s="10" t="s">
        <v>5697</v>
      </c>
      <c r="C1556" s="11" t="s">
        <v>5705</v>
      </c>
      <c r="D1556" s="11" t="s">
        <v>5699</v>
      </c>
      <c r="E1556" s="11" t="s">
        <v>26</v>
      </c>
      <c r="F1556" s="11" t="s">
        <v>5706</v>
      </c>
      <c r="G1556" s="11" t="s">
        <v>28</v>
      </c>
      <c r="H1556" s="11" t="s">
        <v>5122</v>
      </c>
      <c r="I1556" s="11" t="s">
        <v>5123</v>
      </c>
      <c r="J1556" s="12">
        <v>1</v>
      </c>
      <c r="K1556" s="13">
        <v>1</v>
      </c>
      <c r="L1556" s="14">
        <v>334</v>
      </c>
      <c r="M1556" s="10">
        <v>140</v>
      </c>
      <c r="N1556" s="10">
        <v>36908</v>
      </c>
      <c r="O1556" s="10">
        <v>10979</v>
      </c>
      <c r="P1556" s="10">
        <v>47887</v>
      </c>
    </row>
    <row r="1557" spans="1:16" ht="27" customHeight="1" x14ac:dyDescent="0.2">
      <c r="A1557" s="9" t="s">
        <v>5119</v>
      </c>
      <c r="B1557" s="10" t="s">
        <v>5697</v>
      </c>
      <c r="C1557" s="11" t="s">
        <v>5707</v>
      </c>
      <c r="D1557" s="11" t="s">
        <v>5699</v>
      </c>
      <c r="E1557" s="11" t="s">
        <v>26</v>
      </c>
      <c r="F1557" s="11" t="s">
        <v>5708</v>
      </c>
      <c r="G1557" s="11" t="s">
        <v>28</v>
      </c>
      <c r="H1557" s="11" t="s">
        <v>5708</v>
      </c>
      <c r="I1557" s="11" t="s">
        <v>5709</v>
      </c>
      <c r="J1557" s="12">
        <v>0.53600000000000003</v>
      </c>
      <c r="K1557" s="13">
        <v>1</v>
      </c>
      <c r="L1557" s="14">
        <v>431</v>
      </c>
      <c r="M1557" s="10">
        <v>231</v>
      </c>
      <c r="N1557" s="10">
        <v>47626</v>
      </c>
      <c r="O1557" s="10">
        <v>18115</v>
      </c>
      <c r="P1557" s="10">
        <v>65741</v>
      </c>
    </row>
    <row r="1558" spans="1:16" ht="27" customHeight="1" x14ac:dyDescent="0.2">
      <c r="A1558" s="9" t="s">
        <v>5119</v>
      </c>
      <c r="B1558" s="10" t="s">
        <v>5697</v>
      </c>
      <c r="C1558" s="11" t="s">
        <v>5710</v>
      </c>
      <c r="D1558" s="11" t="s">
        <v>5699</v>
      </c>
      <c r="E1558" s="11" t="s">
        <v>26</v>
      </c>
      <c r="F1558" s="11" t="s">
        <v>5711</v>
      </c>
      <c r="G1558" s="11" t="s">
        <v>28</v>
      </c>
      <c r="H1558" s="11" t="s">
        <v>5711</v>
      </c>
      <c r="I1558" s="11" t="s">
        <v>5712</v>
      </c>
      <c r="J1558" s="12">
        <v>0.50229999999999997</v>
      </c>
      <c r="K1558" s="13">
        <v>1</v>
      </c>
      <c r="L1558" s="14">
        <v>442</v>
      </c>
      <c r="M1558" s="10">
        <v>222</v>
      </c>
      <c r="N1558" s="10">
        <v>48842</v>
      </c>
      <c r="O1558" s="10">
        <v>17409</v>
      </c>
      <c r="P1558" s="10">
        <v>66251</v>
      </c>
    </row>
    <row r="1559" spans="1:16" ht="27" customHeight="1" x14ac:dyDescent="0.2">
      <c r="A1559" s="9" t="s">
        <v>5119</v>
      </c>
      <c r="B1559" s="10" t="s">
        <v>5697</v>
      </c>
      <c r="C1559" s="11" t="s">
        <v>5713</v>
      </c>
      <c r="D1559" s="11" t="s">
        <v>5699</v>
      </c>
      <c r="E1559" s="11" t="s">
        <v>26</v>
      </c>
      <c r="F1559" s="11" t="s">
        <v>5714</v>
      </c>
      <c r="G1559" s="11" t="s">
        <v>28</v>
      </c>
      <c r="H1559" s="11" t="s">
        <v>5122</v>
      </c>
      <c r="I1559" s="11" t="s">
        <v>5123</v>
      </c>
      <c r="J1559" s="12">
        <v>1</v>
      </c>
      <c r="K1559" s="13">
        <v>1</v>
      </c>
      <c r="L1559" s="14">
        <v>434</v>
      </c>
      <c r="M1559" s="10">
        <v>143</v>
      </c>
      <c r="N1559" s="10">
        <v>47958</v>
      </c>
      <c r="O1559" s="10">
        <v>11214</v>
      </c>
      <c r="P1559" s="10">
        <v>59172</v>
      </c>
    </row>
    <row r="1560" spans="1:16" ht="27" customHeight="1" x14ac:dyDescent="0.2">
      <c r="A1560" s="9" t="s">
        <v>5119</v>
      </c>
      <c r="B1560" s="10" t="s">
        <v>5697</v>
      </c>
      <c r="C1560" s="11" t="s">
        <v>5715</v>
      </c>
      <c r="D1560" s="11" t="s">
        <v>5699</v>
      </c>
      <c r="E1560" s="11" t="s">
        <v>26</v>
      </c>
      <c r="F1560" s="11" t="s">
        <v>5716</v>
      </c>
      <c r="G1560" s="11" t="s">
        <v>28</v>
      </c>
      <c r="H1560" s="11" t="s">
        <v>5122</v>
      </c>
      <c r="I1560" s="11" t="s">
        <v>5123</v>
      </c>
      <c r="J1560" s="12">
        <v>1</v>
      </c>
      <c r="K1560" s="13">
        <v>1</v>
      </c>
      <c r="L1560" s="14">
        <v>337</v>
      </c>
      <c r="M1560" s="10">
        <v>121</v>
      </c>
      <c r="N1560" s="10">
        <v>37239</v>
      </c>
      <c r="O1560" s="10">
        <v>9489</v>
      </c>
      <c r="P1560" s="10">
        <v>46728</v>
      </c>
    </row>
    <row r="1561" spans="1:16" ht="27" customHeight="1" x14ac:dyDescent="0.2">
      <c r="A1561" s="9" t="s">
        <v>5119</v>
      </c>
      <c r="B1561" s="10" t="s">
        <v>5697</v>
      </c>
      <c r="C1561" s="11" t="s">
        <v>5717</v>
      </c>
      <c r="D1561" s="11" t="s">
        <v>5699</v>
      </c>
      <c r="E1561" s="11" t="s">
        <v>26</v>
      </c>
      <c r="F1561" s="11" t="s">
        <v>5718</v>
      </c>
      <c r="G1561" s="11" t="s">
        <v>28</v>
      </c>
      <c r="H1561" s="11" t="s">
        <v>5718</v>
      </c>
      <c r="I1561" s="11" t="s">
        <v>5719</v>
      </c>
      <c r="J1561" s="12">
        <v>0.36359999999999998</v>
      </c>
      <c r="K1561" s="13">
        <v>1</v>
      </c>
      <c r="L1561" s="14">
        <v>440</v>
      </c>
      <c r="M1561" s="10">
        <v>160</v>
      </c>
      <c r="N1561" s="10">
        <v>48621</v>
      </c>
      <c r="O1561" s="10">
        <v>12547</v>
      </c>
      <c r="P1561" s="10">
        <v>61168</v>
      </c>
    </row>
    <row r="1562" spans="1:16" ht="27" customHeight="1" x14ac:dyDescent="0.2">
      <c r="A1562" s="9" t="s">
        <v>5119</v>
      </c>
      <c r="B1562" s="10" t="s">
        <v>5720</v>
      </c>
      <c r="C1562" s="11" t="s">
        <v>18</v>
      </c>
      <c r="D1562" s="11" t="s">
        <v>19</v>
      </c>
      <c r="E1562" s="11" t="s">
        <v>19</v>
      </c>
      <c r="F1562" s="11" t="s">
        <v>5721</v>
      </c>
      <c r="G1562" s="11" t="s">
        <v>83</v>
      </c>
      <c r="H1562" s="11" t="s">
        <v>5722</v>
      </c>
      <c r="I1562" s="11" t="s">
        <v>5723</v>
      </c>
      <c r="J1562" s="12">
        <v>0.35349999999999998</v>
      </c>
      <c r="K1562" s="13">
        <v>5</v>
      </c>
      <c r="L1562" s="14">
        <v>2089</v>
      </c>
      <c r="M1562" s="10">
        <v>765</v>
      </c>
      <c r="N1562" s="10">
        <v>230838</v>
      </c>
      <c r="O1562" s="10">
        <v>59990</v>
      </c>
      <c r="P1562" s="10">
        <v>290828</v>
      </c>
    </row>
    <row r="1563" spans="1:16" ht="27" customHeight="1" x14ac:dyDescent="0.2">
      <c r="A1563" s="9" t="s">
        <v>5119</v>
      </c>
      <c r="B1563" s="10" t="s">
        <v>5720</v>
      </c>
      <c r="C1563" s="11" t="s">
        <v>5724</v>
      </c>
      <c r="D1563" s="11" t="s">
        <v>5725</v>
      </c>
      <c r="E1563" s="11" t="s">
        <v>57</v>
      </c>
      <c r="F1563" s="11" t="s">
        <v>5726</v>
      </c>
      <c r="G1563" s="11" t="s">
        <v>28</v>
      </c>
      <c r="H1563" s="11" t="s">
        <v>5726</v>
      </c>
      <c r="I1563" s="11" t="s">
        <v>5727</v>
      </c>
      <c r="J1563" s="12">
        <v>0.59550000000000003</v>
      </c>
      <c r="K1563" s="13">
        <v>1</v>
      </c>
      <c r="L1563" s="14">
        <v>89</v>
      </c>
      <c r="M1563" s="10">
        <v>53</v>
      </c>
      <c r="N1563" s="10">
        <v>9835</v>
      </c>
      <c r="O1563" s="10">
        <v>4156</v>
      </c>
      <c r="P1563" s="10">
        <v>13991</v>
      </c>
    </row>
    <row r="1564" spans="1:16" ht="27" customHeight="1" x14ac:dyDescent="0.2">
      <c r="A1564" s="9" t="s">
        <v>5119</v>
      </c>
      <c r="B1564" s="10" t="s">
        <v>5728</v>
      </c>
      <c r="C1564" s="11" t="s">
        <v>5729</v>
      </c>
      <c r="D1564" s="11" t="s">
        <v>5730</v>
      </c>
      <c r="E1564" s="11" t="s">
        <v>26</v>
      </c>
      <c r="F1564" s="11" t="s">
        <v>5731</v>
      </c>
      <c r="G1564" s="11" t="s">
        <v>28</v>
      </c>
      <c r="H1564" s="11" t="s">
        <v>5122</v>
      </c>
      <c r="I1564" s="11" t="s">
        <v>5123</v>
      </c>
      <c r="J1564" s="12">
        <v>1</v>
      </c>
      <c r="K1564" s="13">
        <v>1</v>
      </c>
      <c r="L1564" s="14">
        <v>257</v>
      </c>
      <c r="M1564" s="10">
        <v>178</v>
      </c>
      <c r="N1564" s="10">
        <v>28399</v>
      </c>
      <c r="O1564" s="10">
        <v>13959</v>
      </c>
      <c r="P1564" s="10">
        <v>42358</v>
      </c>
    </row>
    <row r="1565" spans="1:16" ht="27" customHeight="1" x14ac:dyDescent="0.2">
      <c r="A1565" s="9" t="s">
        <v>5119</v>
      </c>
      <c r="B1565" s="10" t="s">
        <v>5732</v>
      </c>
      <c r="C1565" s="11" t="s">
        <v>5733</v>
      </c>
      <c r="D1565" s="11" t="s">
        <v>5734</v>
      </c>
      <c r="E1565" s="11" t="s">
        <v>26</v>
      </c>
      <c r="F1565" s="11" t="s">
        <v>5735</v>
      </c>
      <c r="G1565" s="11" t="s">
        <v>28</v>
      </c>
      <c r="H1565" s="11" t="s">
        <v>5122</v>
      </c>
      <c r="I1565" s="11" t="s">
        <v>5123</v>
      </c>
      <c r="J1565" s="12">
        <v>1</v>
      </c>
      <c r="K1565" s="13">
        <v>1</v>
      </c>
      <c r="L1565" s="14">
        <v>369</v>
      </c>
      <c r="M1565" s="10">
        <v>270</v>
      </c>
      <c r="N1565" s="10">
        <v>40775</v>
      </c>
      <c r="O1565" s="10">
        <v>21173</v>
      </c>
      <c r="P1565" s="10">
        <v>61948</v>
      </c>
    </row>
    <row r="1566" spans="1:16" ht="27" customHeight="1" x14ac:dyDescent="0.2">
      <c r="A1566" s="9" t="s">
        <v>5119</v>
      </c>
      <c r="B1566" s="10" t="s">
        <v>5736</v>
      </c>
      <c r="C1566" s="11" t="s">
        <v>5737</v>
      </c>
      <c r="D1566" s="11" t="s">
        <v>5738</v>
      </c>
      <c r="E1566" s="11" t="s">
        <v>26</v>
      </c>
      <c r="F1566" s="11" t="s">
        <v>5739</v>
      </c>
      <c r="G1566" s="11" t="s">
        <v>28</v>
      </c>
      <c r="H1566" s="11" t="s">
        <v>5739</v>
      </c>
      <c r="I1566" s="11" t="s">
        <v>5740</v>
      </c>
      <c r="J1566" s="12">
        <v>0.68289999999999995</v>
      </c>
      <c r="K1566" s="13">
        <v>1</v>
      </c>
      <c r="L1566" s="14">
        <v>246</v>
      </c>
      <c r="M1566" s="10">
        <v>168</v>
      </c>
      <c r="N1566" s="10">
        <v>27183</v>
      </c>
      <c r="O1566" s="10">
        <v>13174</v>
      </c>
      <c r="P1566" s="10">
        <v>40357</v>
      </c>
    </row>
    <row r="1567" spans="1:16" ht="27" customHeight="1" x14ac:dyDescent="0.2">
      <c r="A1567" s="9" t="s">
        <v>5119</v>
      </c>
      <c r="B1567" s="10" t="s">
        <v>5741</v>
      </c>
      <c r="C1567" s="11" t="s">
        <v>5742</v>
      </c>
      <c r="D1567" s="11" t="s">
        <v>5743</v>
      </c>
      <c r="E1567" s="11" t="s">
        <v>26</v>
      </c>
      <c r="F1567" s="11" t="s">
        <v>5744</v>
      </c>
      <c r="G1567" s="11" t="s">
        <v>28</v>
      </c>
      <c r="H1567" s="11" t="s">
        <v>5122</v>
      </c>
      <c r="I1567" s="11" t="s">
        <v>5123</v>
      </c>
      <c r="J1567" s="12">
        <v>1</v>
      </c>
      <c r="K1567" s="13">
        <v>1</v>
      </c>
      <c r="L1567" s="14">
        <v>394</v>
      </c>
      <c r="M1567" s="10">
        <v>132</v>
      </c>
      <c r="N1567" s="10">
        <v>43538</v>
      </c>
      <c r="O1567" s="10">
        <v>10351</v>
      </c>
      <c r="P1567" s="10">
        <v>53889</v>
      </c>
    </row>
    <row r="1568" spans="1:16" ht="27" customHeight="1" x14ac:dyDescent="0.2">
      <c r="A1568" s="9" t="s">
        <v>5119</v>
      </c>
      <c r="B1568" s="10" t="s">
        <v>5745</v>
      </c>
      <c r="C1568" s="11" t="s">
        <v>5746</v>
      </c>
      <c r="D1568" s="11" t="s">
        <v>5747</v>
      </c>
      <c r="E1568" s="11" t="s">
        <v>26</v>
      </c>
      <c r="F1568" s="11" t="s">
        <v>5748</v>
      </c>
      <c r="G1568" s="11" t="s">
        <v>28</v>
      </c>
      <c r="H1568" s="11" t="s">
        <v>5748</v>
      </c>
      <c r="I1568" s="11" t="s">
        <v>5749</v>
      </c>
      <c r="J1568" s="12">
        <v>0.41710000000000003</v>
      </c>
      <c r="K1568" s="13">
        <v>1</v>
      </c>
      <c r="L1568" s="14">
        <v>199</v>
      </c>
      <c r="M1568" s="10">
        <v>83</v>
      </c>
      <c r="N1568" s="10">
        <v>21990</v>
      </c>
      <c r="O1568" s="10">
        <v>6509</v>
      </c>
      <c r="P1568" s="10">
        <v>28499</v>
      </c>
    </row>
    <row r="1569" spans="1:16" ht="27" customHeight="1" x14ac:dyDescent="0.2">
      <c r="A1569" s="9" t="s">
        <v>5750</v>
      </c>
      <c r="B1569" s="10" t="s">
        <v>5751</v>
      </c>
      <c r="C1569" s="11" t="s">
        <v>18</v>
      </c>
      <c r="D1569" s="11" t="s">
        <v>19</v>
      </c>
      <c r="E1569" s="11" t="s">
        <v>19</v>
      </c>
      <c r="F1569" s="11" t="s">
        <v>5752</v>
      </c>
      <c r="G1569" s="11" t="s">
        <v>21</v>
      </c>
      <c r="H1569" s="11" t="s">
        <v>5753</v>
      </c>
      <c r="I1569" s="11" t="s">
        <v>5754</v>
      </c>
      <c r="J1569" s="12">
        <v>1</v>
      </c>
      <c r="K1569" s="13">
        <v>5</v>
      </c>
      <c r="L1569" s="14">
        <v>276</v>
      </c>
      <c r="M1569" s="10">
        <v>166</v>
      </c>
      <c r="N1569" s="10">
        <v>30499</v>
      </c>
      <c r="O1569" s="10">
        <v>13018</v>
      </c>
      <c r="P1569" s="10">
        <v>43517</v>
      </c>
    </row>
    <row r="1570" spans="1:16" ht="27" customHeight="1" x14ac:dyDescent="0.2">
      <c r="A1570" s="9" t="s">
        <v>5750</v>
      </c>
      <c r="B1570" s="10" t="s">
        <v>5755</v>
      </c>
      <c r="C1570" s="11" t="s">
        <v>18</v>
      </c>
      <c r="D1570" s="11" t="s">
        <v>19</v>
      </c>
      <c r="E1570" s="11" t="s">
        <v>19</v>
      </c>
      <c r="F1570" s="11" t="s">
        <v>5756</v>
      </c>
      <c r="G1570" s="11" t="s">
        <v>83</v>
      </c>
      <c r="H1570" s="11" t="s">
        <v>5753</v>
      </c>
      <c r="I1570" s="11" t="s">
        <v>5754</v>
      </c>
      <c r="J1570" s="12">
        <v>1</v>
      </c>
      <c r="K1570" s="13">
        <v>114</v>
      </c>
      <c r="L1570" s="14">
        <v>49816</v>
      </c>
      <c r="M1570" s="10">
        <v>26271</v>
      </c>
      <c r="N1570" s="10">
        <v>5504752</v>
      </c>
      <c r="O1570" s="10">
        <v>2060146</v>
      </c>
      <c r="P1570" s="10">
        <v>7564898</v>
      </c>
    </row>
    <row r="1571" spans="1:16" ht="27" customHeight="1" x14ac:dyDescent="0.2">
      <c r="A1571" s="9" t="s">
        <v>5750</v>
      </c>
      <c r="B1571" s="10" t="s">
        <v>5755</v>
      </c>
      <c r="C1571" s="11" t="s">
        <v>5757</v>
      </c>
      <c r="D1571" s="11" t="s">
        <v>5758</v>
      </c>
      <c r="E1571" s="11" t="s">
        <v>26</v>
      </c>
      <c r="F1571" s="11" t="s">
        <v>5759</v>
      </c>
      <c r="G1571" s="11" t="s">
        <v>28</v>
      </c>
      <c r="H1571" s="11" t="s">
        <v>5753</v>
      </c>
      <c r="I1571" s="11" t="s">
        <v>5754</v>
      </c>
      <c r="J1571" s="12">
        <v>1</v>
      </c>
      <c r="K1571" s="13">
        <v>1</v>
      </c>
      <c r="L1571" s="14">
        <v>199</v>
      </c>
      <c r="M1571" s="10">
        <v>176</v>
      </c>
      <c r="N1571" s="10">
        <v>21990</v>
      </c>
      <c r="O1571" s="10">
        <v>13802</v>
      </c>
      <c r="P1571" s="10">
        <v>35792</v>
      </c>
    </row>
    <row r="1572" spans="1:16" ht="27" customHeight="1" x14ac:dyDescent="0.2">
      <c r="A1572" s="9" t="s">
        <v>5750</v>
      </c>
      <c r="B1572" s="10" t="s">
        <v>5755</v>
      </c>
      <c r="C1572" s="11" t="s">
        <v>5760</v>
      </c>
      <c r="D1572" s="11" t="s">
        <v>5761</v>
      </c>
      <c r="E1572" s="11" t="s">
        <v>26</v>
      </c>
      <c r="F1572" s="11" t="s">
        <v>5762</v>
      </c>
      <c r="G1572" s="11" t="s">
        <v>28</v>
      </c>
      <c r="H1572" s="11" t="s">
        <v>5753</v>
      </c>
      <c r="I1572" s="11" t="s">
        <v>5754</v>
      </c>
      <c r="J1572" s="12">
        <v>1</v>
      </c>
      <c r="K1572" s="13">
        <v>1</v>
      </c>
      <c r="L1572" s="14">
        <v>278</v>
      </c>
      <c r="M1572" s="10">
        <v>264</v>
      </c>
      <c r="N1572" s="10">
        <v>30719</v>
      </c>
      <c r="O1572" s="10">
        <v>20703</v>
      </c>
      <c r="P1572" s="10">
        <v>51422</v>
      </c>
    </row>
    <row r="1573" spans="1:16" ht="27" customHeight="1" x14ac:dyDescent="0.2">
      <c r="A1573" s="9" t="s">
        <v>5750</v>
      </c>
      <c r="B1573" s="10" t="s">
        <v>5755</v>
      </c>
      <c r="C1573" s="11" t="s">
        <v>5763</v>
      </c>
      <c r="D1573" s="11" t="s">
        <v>5764</v>
      </c>
      <c r="E1573" s="11" t="s">
        <v>26</v>
      </c>
      <c r="F1573" s="11" t="s">
        <v>5765</v>
      </c>
      <c r="G1573" s="11" t="s">
        <v>28</v>
      </c>
      <c r="H1573" s="11" t="s">
        <v>5753</v>
      </c>
      <c r="I1573" s="11" t="s">
        <v>5754</v>
      </c>
      <c r="J1573" s="12">
        <v>1</v>
      </c>
      <c r="K1573" s="13">
        <v>1</v>
      </c>
      <c r="L1573" s="14">
        <v>135</v>
      </c>
      <c r="M1573" s="10">
        <v>40</v>
      </c>
      <c r="N1573" s="10">
        <v>14918</v>
      </c>
      <c r="O1573" s="10">
        <v>3137</v>
      </c>
      <c r="P1573" s="10">
        <v>18055</v>
      </c>
    </row>
    <row r="1574" spans="1:16" ht="27" customHeight="1" x14ac:dyDescent="0.2">
      <c r="A1574" s="9" t="s">
        <v>5750</v>
      </c>
      <c r="B1574" s="10" t="s">
        <v>5755</v>
      </c>
      <c r="C1574" s="11" t="s">
        <v>5766</v>
      </c>
      <c r="D1574" s="11" t="s">
        <v>5767</v>
      </c>
      <c r="E1574" s="11" t="s">
        <v>26</v>
      </c>
      <c r="F1574" s="11" t="s">
        <v>5768</v>
      </c>
      <c r="G1574" s="11" t="s">
        <v>28</v>
      </c>
      <c r="H1574" s="11" t="s">
        <v>5753</v>
      </c>
      <c r="I1574" s="11" t="s">
        <v>5754</v>
      </c>
      <c r="J1574" s="12">
        <v>1</v>
      </c>
      <c r="K1574" s="13">
        <v>1</v>
      </c>
      <c r="L1574" s="14">
        <v>473</v>
      </c>
      <c r="M1574" s="10">
        <v>324</v>
      </c>
      <c r="N1574" s="10">
        <v>52267</v>
      </c>
      <c r="O1574" s="10">
        <v>25408</v>
      </c>
      <c r="P1574" s="10">
        <v>77675</v>
      </c>
    </row>
    <row r="1575" spans="1:16" ht="27" customHeight="1" x14ac:dyDescent="0.2">
      <c r="A1575" s="9" t="s">
        <v>5750</v>
      </c>
      <c r="B1575" s="10" t="s">
        <v>5755</v>
      </c>
      <c r="C1575" s="11" t="s">
        <v>5769</v>
      </c>
      <c r="D1575" s="11" t="s">
        <v>5770</v>
      </c>
      <c r="E1575" s="11" t="s">
        <v>26</v>
      </c>
      <c r="F1575" s="11" t="s">
        <v>5771</v>
      </c>
      <c r="G1575" s="11" t="s">
        <v>28</v>
      </c>
      <c r="H1575" s="11" t="s">
        <v>5753</v>
      </c>
      <c r="I1575" s="11" t="s">
        <v>5754</v>
      </c>
      <c r="J1575" s="12">
        <v>1</v>
      </c>
      <c r="K1575" s="13">
        <v>1</v>
      </c>
      <c r="L1575" s="14">
        <v>3019</v>
      </c>
      <c r="M1575" s="10">
        <v>766</v>
      </c>
      <c r="N1575" s="10">
        <v>333604</v>
      </c>
      <c r="O1575" s="10">
        <v>60069</v>
      </c>
      <c r="P1575" s="10">
        <v>393673</v>
      </c>
    </row>
    <row r="1576" spans="1:16" ht="27" customHeight="1" x14ac:dyDescent="0.2">
      <c r="A1576" s="9" t="s">
        <v>5750</v>
      </c>
      <c r="B1576" s="10" t="s">
        <v>5755</v>
      </c>
      <c r="C1576" s="11" t="s">
        <v>5772</v>
      </c>
      <c r="D1576" s="11" t="s">
        <v>5773</v>
      </c>
      <c r="E1576" s="11" t="s">
        <v>26</v>
      </c>
      <c r="F1576" s="11" t="s">
        <v>5774</v>
      </c>
      <c r="G1576" s="11" t="s">
        <v>28</v>
      </c>
      <c r="H1576" s="11" t="s">
        <v>5753</v>
      </c>
      <c r="I1576" s="11" t="s">
        <v>5754</v>
      </c>
      <c r="J1576" s="12">
        <v>1</v>
      </c>
      <c r="K1576" s="13">
        <v>1</v>
      </c>
      <c r="L1576" s="14">
        <v>302</v>
      </c>
      <c r="M1576" s="10">
        <v>145</v>
      </c>
      <c r="N1576" s="10">
        <v>33371</v>
      </c>
      <c r="O1576" s="10">
        <v>11371</v>
      </c>
      <c r="P1576" s="10">
        <v>44742</v>
      </c>
    </row>
    <row r="1577" spans="1:16" ht="27" customHeight="1" x14ac:dyDescent="0.2">
      <c r="A1577" s="9" t="s">
        <v>5750</v>
      </c>
      <c r="B1577" s="10" t="s">
        <v>5755</v>
      </c>
      <c r="C1577" s="11" t="s">
        <v>5775</v>
      </c>
      <c r="D1577" s="11" t="s">
        <v>5776</v>
      </c>
      <c r="E1577" s="11" t="s">
        <v>26</v>
      </c>
      <c r="F1577" s="11" t="s">
        <v>5777</v>
      </c>
      <c r="G1577" s="11" t="s">
        <v>28</v>
      </c>
      <c r="H1577" s="11" t="s">
        <v>5777</v>
      </c>
      <c r="I1577" s="11" t="s">
        <v>5778</v>
      </c>
      <c r="J1577" s="12">
        <v>0.68440000000000001</v>
      </c>
      <c r="K1577" s="13">
        <v>1</v>
      </c>
      <c r="L1577" s="14">
        <v>469</v>
      </c>
      <c r="M1577" s="10">
        <v>321</v>
      </c>
      <c r="N1577" s="10">
        <v>51825</v>
      </c>
      <c r="O1577" s="10">
        <v>25172</v>
      </c>
      <c r="P1577" s="10">
        <v>76997</v>
      </c>
    </row>
    <row r="1578" spans="1:16" ht="27" customHeight="1" x14ac:dyDescent="0.2">
      <c r="A1578" s="9" t="s">
        <v>5750</v>
      </c>
      <c r="B1578" s="10" t="s">
        <v>5755</v>
      </c>
      <c r="C1578" s="11" t="s">
        <v>5779</v>
      </c>
      <c r="D1578" s="11" t="s">
        <v>5780</v>
      </c>
      <c r="E1578" s="11" t="s">
        <v>26</v>
      </c>
      <c r="F1578" s="11" t="s">
        <v>5781</v>
      </c>
      <c r="G1578" s="11" t="s">
        <v>28</v>
      </c>
      <c r="H1578" s="11" t="s">
        <v>5753</v>
      </c>
      <c r="I1578" s="11" t="s">
        <v>5754</v>
      </c>
      <c r="J1578" s="12">
        <v>1</v>
      </c>
      <c r="K1578" s="13">
        <v>1</v>
      </c>
      <c r="L1578" s="14">
        <v>316</v>
      </c>
      <c r="M1578" s="10">
        <v>258</v>
      </c>
      <c r="N1578" s="10">
        <v>34919</v>
      </c>
      <c r="O1578" s="10">
        <v>20232</v>
      </c>
      <c r="P1578" s="10">
        <v>55151</v>
      </c>
    </row>
    <row r="1579" spans="1:16" ht="27" customHeight="1" x14ac:dyDescent="0.2">
      <c r="A1579" s="9" t="s">
        <v>5750</v>
      </c>
      <c r="B1579" s="10" t="s">
        <v>5755</v>
      </c>
      <c r="C1579" s="11" t="s">
        <v>5782</v>
      </c>
      <c r="D1579" s="11" t="s">
        <v>5783</v>
      </c>
      <c r="E1579" s="11" t="s">
        <v>26</v>
      </c>
      <c r="F1579" s="11" t="s">
        <v>5784</v>
      </c>
      <c r="G1579" s="11" t="s">
        <v>28</v>
      </c>
      <c r="H1579" s="11" t="s">
        <v>5753</v>
      </c>
      <c r="I1579" s="11" t="s">
        <v>5754</v>
      </c>
      <c r="J1579" s="12">
        <v>1</v>
      </c>
      <c r="K1579" s="13">
        <v>1</v>
      </c>
      <c r="L1579" s="14">
        <v>41</v>
      </c>
      <c r="M1579" s="10">
        <v>36</v>
      </c>
      <c r="N1579" s="10">
        <v>4531</v>
      </c>
      <c r="O1579" s="10">
        <v>2823</v>
      </c>
      <c r="P1579" s="10">
        <v>7354</v>
      </c>
    </row>
    <row r="1580" spans="1:16" ht="27" customHeight="1" x14ac:dyDescent="0.2">
      <c r="A1580" s="9" t="s">
        <v>5750</v>
      </c>
      <c r="B1580" s="10" t="s">
        <v>5755</v>
      </c>
      <c r="C1580" s="11" t="s">
        <v>5785</v>
      </c>
      <c r="D1580" s="11" t="s">
        <v>5786</v>
      </c>
      <c r="E1580" s="11" t="s">
        <v>26</v>
      </c>
      <c r="F1580" s="11" t="s">
        <v>5787</v>
      </c>
      <c r="G1580" s="11" t="s">
        <v>28</v>
      </c>
      <c r="H1580" s="11" t="s">
        <v>5753</v>
      </c>
      <c r="I1580" s="11" t="s">
        <v>5754</v>
      </c>
      <c r="J1580" s="12">
        <v>1</v>
      </c>
      <c r="K1580" s="13">
        <v>1</v>
      </c>
      <c r="L1580" s="14">
        <v>489</v>
      </c>
      <c r="M1580" s="10">
        <v>240</v>
      </c>
      <c r="N1580" s="10">
        <v>54035</v>
      </c>
      <c r="O1580" s="10">
        <v>18821</v>
      </c>
      <c r="P1580" s="10">
        <v>72856</v>
      </c>
    </row>
    <row r="1581" spans="1:16" ht="27" customHeight="1" x14ac:dyDescent="0.2">
      <c r="A1581" s="9" t="s">
        <v>5750</v>
      </c>
      <c r="B1581" s="10" t="s">
        <v>5755</v>
      </c>
      <c r="C1581" s="11" t="s">
        <v>5788</v>
      </c>
      <c r="D1581" s="11" t="s">
        <v>5789</v>
      </c>
      <c r="E1581" s="11" t="s">
        <v>26</v>
      </c>
      <c r="F1581" s="11" t="s">
        <v>5790</v>
      </c>
      <c r="G1581" s="11" t="s">
        <v>28</v>
      </c>
      <c r="H1581" s="11" t="s">
        <v>5790</v>
      </c>
      <c r="I1581" s="11" t="s">
        <v>5791</v>
      </c>
      <c r="J1581" s="12">
        <v>0.35759999999999997</v>
      </c>
      <c r="K1581" s="13">
        <v>1</v>
      </c>
      <c r="L1581" s="14">
        <v>590</v>
      </c>
      <c r="M1581" s="10">
        <v>211</v>
      </c>
      <c r="N1581" s="10">
        <v>65196</v>
      </c>
      <c r="O1581" s="10">
        <v>16546</v>
      </c>
      <c r="P1581" s="10">
        <v>81742</v>
      </c>
    </row>
    <row r="1582" spans="1:16" ht="27" customHeight="1" x14ac:dyDescent="0.2">
      <c r="A1582" s="9" t="s">
        <v>5750</v>
      </c>
      <c r="B1582" s="10" t="s">
        <v>5755</v>
      </c>
      <c r="C1582" s="11" t="s">
        <v>5792</v>
      </c>
      <c r="D1582" s="11" t="s">
        <v>5793</v>
      </c>
      <c r="E1582" s="11" t="s">
        <v>26</v>
      </c>
      <c r="F1582" s="11" t="s">
        <v>5794</v>
      </c>
      <c r="G1582" s="11" t="s">
        <v>28</v>
      </c>
      <c r="H1582" s="11" t="s">
        <v>5794</v>
      </c>
      <c r="I1582" s="11" t="s">
        <v>5795</v>
      </c>
      <c r="J1582" s="12">
        <v>0.1837</v>
      </c>
      <c r="K1582" s="13">
        <v>1</v>
      </c>
      <c r="L1582" s="14">
        <v>441</v>
      </c>
      <c r="M1582" s="10">
        <v>81</v>
      </c>
      <c r="N1582" s="10">
        <v>48731</v>
      </c>
      <c r="O1582" s="10">
        <v>6352</v>
      </c>
      <c r="P1582" s="10">
        <v>55083</v>
      </c>
    </row>
    <row r="1583" spans="1:16" ht="27" customHeight="1" x14ac:dyDescent="0.2">
      <c r="A1583" s="9" t="s">
        <v>5750</v>
      </c>
      <c r="B1583" s="10" t="s">
        <v>5796</v>
      </c>
      <c r="C1583" s="11" t="s">
        <v>5797</v>
      </c>
      <c r="D1583" s="11" t="s">
        <v>5798</v>
      </c>
      <c r="E1583" s="11" t="s">
        <v>26</v>
      </c>
      <c r="F1583" s="11" t="s">
        <v>5799</v>
      </c>
      <c r="G1583" s="11" t="s">
        <v>28</v>
      </c>
      <c r="H1583" s="11" t="s">
        <v>5799</v>
      </c>
      <c r="I1583" s="11" t="s">
        <v>5800</v>
      </c>
      <c r="J1583" s="12">
        <v>0.33710000000000001</v>
      </c>
      <c r="K1583" s="13">
        <v>1</v>
      </c>
      <c r="L1583" s="14">
        <v>439</v>
      </c>
      <c r="M1583" s="10">
        <v>148</v>
      </c>
      <c r="N1583" s="10">
        <v>48510</v>
      </c>
      <c r="O1583" s="10">
        <v>11606</v>
      </c>
      <c r="P1583" s="10">
        <v>60116</v>
      </c>
    </row>
    <row r="1584" spans="1:16" ht="27" customHeight="1" x14ac:dyDescent="0.2">
      <c r="A1584" s="9" t="s">
        <v>5750</v>
      </c>
      <c r="B1584" s="10" t="s">
        <v>5801</v>
      </c>
      <c r="C1584" s="11" t="s">
        <v>5802</v>
      </c>
      <c r="D1584" s="11" t="s">
        <v>5803</v>
      </c>
      <c r="E1584" s="11" t="s">
        <v>26</v>
      </c>
      <c r="F1584" s="11" t="s">
        <v>5804</v>
      </c>
      <c r="G1584" s="11" t="s">
        <v>28</v>
      </c>
      <c r="H1584" s="11" t="s">
        <v>5804</v>
      </c>
      <c r="I1584" s="11" t="s">
        <v>5805</v>
      </c>
      <c r="J1584" s="12">
        <v>0.92549999999999999</v>
      </c>
      <c r="K1584" s="13">
        <v>1</v>
      </c>
      <c r="L1584" s="14">
        <v>161</v>
      </c>
      <c r="M1584" s="10">
        <v>149</v>
      </c>
      <c r="N1584" s="10">
        <v>17791</v>
      </c>
      <c r="O1584" s="10">
        <v>11684</v>
      </c>
      <c r="P1584" s="10">
        <v>29475</v>
      </c>
    </row>
    <row r="1585" spans="1:16" ht="27" customHeight="1" x14ac:dyDescent="0.2">
      <c r="A1585" s="9" t="s">
        <v>5806</v>
      </c>
      <c r="B1585" s="10" t="s">
        <v>5807</v>
      </c>
      <c r="C1585" s="11" t="s">
        <v>18</v>
      </c>
      <c r="D1585" s="11" t="s">
        <v>19</v>
      </c>
      <c r="E1585" s="11" t="s">
        <v>19</v>
      </c>
      <c r="F1585" s="11" t="s">
        <v>5808</v>
      </c>
      <c r="G1585" s="11" t="s">
        <v>21</v>
      </c>
      <c r="H1585" s="11" t="s">
        <v>5809</v>
      </c>
      <c r="I1585" s="11" t="s">
        <v>5810</v>
      </c>
      <c r="J1585" s="12">
        <v>0.96760000000000002</v>
      </c>
      <c r="K1585" s="13">
        <v>4</v>
      </c>
      <c r="L1585" s="14">
        <v>2609</v>
      </c>
      <c r="M1585" s="10">
        <v>1922</v>
      </c>
      <c r="N1585" s="10">
        <v>288300</v>
      </c>
      <c r="O1585" s="10">
        <v>150722</v>
      </c>
      <c r="P1585" s="10">
        <v>439022</v>
      </c>
    </row>
    <row r="1586" spans="1:16" ht="27" customHeight="1" x14ac:dyDescent="0.2">
      <c r="A1586" s="9" t="s">
        <v>5806</v>
      </c>
      <c r="B1586" s="10" t="s">
        <v>5807</v>
      </c>
      <c r="C1586" s="11" t="s">
        <v>5811</v>
      </c>
      <c r="D1586" s="11" t="s">
        <v>5812</v>
      </c>
      <c r="E1586" s="11" t="s">
        <v>26</v>
      </c>
      <c r="F1586" s="11" t="s">
        <v>5813</v>
      </c>
      <c r="G1586" s="11" t="s">
        <v>28</v>
      </c>
      <c r="H1586" s="11" t="s">
        <v>5809</v>
      </c>
      <c r="I1586" s="11" t="s">
        <v>5810</v>
      </c>
      <c r="J1586" s="12">
        <v>0.96760000000000002</v>
      </c>
      <c r="K1586" s="13">
        <v>1</v>
      </c>
      <c r="L1586" s="14">
        <v>846</v>
      </c>
      <c r="M1586" s="10">
        <v>637</v>
      </c>
      <c r="N1586" s="10">
        <v>93484</v>
      </c>
      <c r="O1586" s="10">
        <v>49953</v>
      </c>
      <c r="P1586" s="10">
        <v>143437</v>
      </c>
    </row>
    <row r="1587" spans="1:16" ht="27" customHeight="1" x14ac:dyDescent="0.2">
      <c r="A1587" s="9" t="s">
        <v>5806</v>
      </c>
      <c r="B1587" s="10" t="s">
        <v>5807</v>
      </c>
      <c r="C1587" s="11" t="s">
        <v>5814</v>
      </c>
      <c r="D1587" s="11" t="s">
        <v>5815</v>
      </c>
      <c r="E1587" s="11" t="s">
        <v>26</v>
      </c>
      <c r="F1587" s="11" t="s">
        <v>5816</v>
      </c>
      <c r="G1587" s="11" t="s">
        <v>28</v>
      </c>
      <c r="H1587" s="11" t="s">
        <v>5816</v>
      </c>
      <c r="I1587" s="11" t="s">
        <v>5817</v>
      </c>
      <c r="J1587" s="12">
        <v>0.77359999999999995</v>
      </c>
      <c r="K1587" s="13">
        <v>1</v>
      </c>
      <c r="L1587" s="14">
        <v>596</v>
      </c>
      <c r="M1587" s="10">
        <v>461</v>
      </c>
      <c r="N1587" s="10">
        <v>65859</v>
      </c>
      <c r="O1587" s="10">
        <v>36151</v>
      </c>
      <c r="P1587" s="10">
        <v>102010</v>
      </c>
    </row>
    <row r="1588" spans="1:16" ht="27" customHeight="1" x14ac:dyDescent="0.2">
      <c r="A1588" s="9" t="s">
        <v>5806</v>
      </c>
      <c r="B1588" s="10" t="s">
        <v>5807</v>
      </c>
      <c r="C1588" s="11" t="s">
        <v>5818</v>
      </c>
      <c r="D1588" s="11" t="s">
        <v>5819</v>
      </c>
      <c r="E1588" s="11" t="s">
        <v>26</v>
      </c>
      <c r="F1588" s="11" t="s">
        <v>5820</v>
      </c>
      <c r="G1588" s="11" t="s">
        <v>28</v>
      </c>
      <c r="H1588" s="11" t="s">
        <v>5809</v>
      </c>
      <c r="I1588" s="11" t="s">
        <v>5810</v>
      </c>
      <c r="J1588" s="12">
        <v>0.96760000000000002</v>
      </c>
      <c r="K1588" s="13">
        <v>1</v>
      </c>
      <c r="L1588" s="14">
        <v>1644</v>
      </c>
      <c r="M1588" s="10">
        <v>1063</v>
      </c>
      <c r="N1588" s="10">
        <v>181665</v>
      </c>
      <c r="O1588" s="10">
        <v>83359</v>
      </c>
      <c r="P1588" s="10">
        <v>265024</v>
      </c>
    </row>
    <row r="1589" spans="1:16" ht="27" customHeight="1" x14ac:dyDescent="0.2">
      <c r="A1589" s="9" t="s">
        <v>5806</v>
      </c>
      <c r="B1589" s="10" t="s">
        <v>5821</v>
      </c>
      <c r="C1589" s="11" t="s">
        <v>18</v>
      </c>
      <c r="D1589" s="11" t="s">
        <v>19</v>
      </c>
      <c r="E1589" s="11" t="s">
        <v>19</v>
      </c>
      <c r="F1589" s="11" t="s">
        <v>5822</v>
      </c>
      <c r="G1589" s="11" t="s">
        <v>83</v>
      </c>
      <c r="H1589" s="11" t="s">
        <v>5823</v>
      </c>
      <c r="I1589" s="11" t="s">
        <v>5824</v>
      </c>
      <c r="J1589" s="12">
        <v>0.71719999999999995</v>
      </c>
      <c r="K1589" s="13">
        <v>8</v>
      </c>
      <c r="L1589" s="14">
        <v>2670</v>
      </c>
      <c r="M1589" s="10">
        <v>1197</v>
      </c>
      <c r="N1589" s="10">
        <v>295041</v>
      </c>
      <c r="O1589" s="10">
        <v>93867</v>
      </c>
      <c r="P1589" s="10">
        <v>388908</v>
      </c>
    </row>
    <row r="1590" spans="1:16" ht="27" customHeight="1" x14ac:dyDescent="0.2">
      <c r="A1590" s="9" t="s">
        <v>5806</v>
      </c>
      <c r="B1590" s="10" t="s">
        <v>5821</v>
      </c>
      <c r="C1590" s="11" t="s">
        <v>5825</v>
      </c>
      <c r="D1590" s="11" t="s">
        <v>5826</v>
      </c>
      <c r="E1590" s="11" t="s">
        <v>26</v>
      </c>
      <c r="F1590" s="11" t="s">
        <v>5827</v>
      </c>
      <c r="G1590" s="11" t="s">
        <v>28</v>
      </c>
      <c r="H1590" s="11" t="s">
        <v>5827</v>
      </c>
      <c r="I1590" s="11" t="s">
        <v>5828</v>
      </c>
      <c r="J1590" s="12">
        <v>0.22539999999999999</v>
      </c>
      <c r="K1590" s="13">
        <v>1</v>
      </c>
      <c r="L1590" s="14">
        <v>315</v>
      </c>
      <c r="M1590" s="10">
        <v>71</v>
      </c>
      <c r="N1590" s="10">
        <v>34808</v>
      </c>
      <c r="O1590" s="10">
        <v>5568</v>
      </c>
      <c r="P1590" s="10">
        <v>40376</v>
      </c>
    </row>
    <row r="1591" spans="1:16" ht="27" customHeight="1" x14ac:dyDescent="0.2">
      <c r="A1591" s="9" t="s">
        <v>5806</v>
      </c>
      <c r="B1591" s="10" t="s">
        <v>5829</v>
      </c>
      <c r="C1591" s="11" t="s">
        <v>18</v>
      </c>
      <c r="D1591" s="11" t="s">
        <v>19</v>
      </c>
      <c r="E1591" s="11" t="s">
        <v>19</v>
      </c>
      <c r="F1591" s="11" t="s">
        <v>1482</v>
      </c>
      <c r="G1591" s="11" t="s">
        <v>83</v>
      </c>
      <c r="H1591" s="11" t="s">
        <v>5830</v>
      </c>
      <c r="I1591" s="11" t="s">
        <v>5831</v>
      </c>
      <c r="J1591" s="12">
        <v>0.34189999999999998</v>
      </c>
      <c r="K1591" s="13">
        <v>5</v>
      </c>
      <c r="L1591" s="14">
        <v>2638</v>
      </c>
      <c r="M1591" s="10">
        <v>635</v>
      </c>
      <c r="N1591" s="10">
        <v>291504</v>
      </c>
      <c r="O1591" s="10">
        <v>49797</v>
      </c>
      <c r="P1591" s="10">
        <v>341301</v>
      </c>
    </row>
    <row r="1592" spans="1:16" ht="27" customHeight="1" x14ac:dyDescent="0.2">
      <c r="A1592" s="9" t="s">
        <v>5806</v>
      </c>
      <c r="B1592" s="10" t="s">
        <v>5832</v>
      </c>
      <c r="C1592" s="11" t="s">
        <v>18</v>
      </c>
      <c r="D1592" s="11" t="s">
        <v>19</v>
      </c>
      <c r="E1592" s="11" t="s">
        <v>19</v>
      </c>
      <c r="F1592" s="11" t="s">
        <v>5833</v>
      </c>
      <c r="G1592" s="11" t="s">
        <v>83</v>
      </c>
      <c r="H1592" s="11" t="s">
        <v>5834</v>
      </c>
      <c r="I1592" s="11" t="s">
        <v>5835</v>
      </c>
      <c r="J1592" s="12">
        <v>0.77329999999999999</v>
      </c>
      <c r="K1592" s="13">
        <v>14</v>
      </c>
      <c r="L1592" s="14">
        <v>8613</v>
      </c>
      <c r="M1592" s="10">
        <v>5423</v>
      </c>
      <c r="N1592" s="10">
        <v>951751</v>
      </c>
      <c r="O1592" s="10">
        <v>425267</v>
      </c>
      <c r="P1592" s="10">
        <v>1377018</v>
      </c>
    </row>
    <row r="1593" spans="1:16" ht="27" customHeight="1" x14ac:dyDescent="0.2">
      <c r="A1593" s="9" t="s">
        <v>5806</v>
      </c>
      <c r="B1593" s="10" t="s">
        <v>5832</v>
      </c>
      <c r="C1593" s="11" t="s">
        <v>5836</v>
      </c>
      <c r="D1593" s="11" t="s">
        <v>5837</v>
      </c>
      <c r="E1593" s="11" t="s">
        <v>57</v>
      </c>
      <c r="F1593" s="11" t="s">
        <v>5838</v>
      </c>
      <c r="G1593" s="11" t="s">
        <v>28</v>
      </c>
      <c r="H1593" s="11" t="s">
        <v>5838</v>
      </c>
      <c r="I1593" s="11" t="s">
        <v>5839</v>
      </c>
      <c r="J1593" s="12">
        <v>0.50439999999999996</v>
      </c>
      <c r="K1593" s="13">
        <v>1</v>
      </c>
      <c r="L1593" s="14">
        <v>458</v>
      </c>
      <c r="M1593" s="10">
        <v>231</v>
      </c>
      <c r="N1593" s="10">
        <v>50610</v>
      </c>
      <c r="O1593" s="10">
        <v>18115</v>
      </c>
      <c r="P1593" s="10">
        <v>68725</v>
      </c>
    </row>
    <row r="1594" spans="1:16" ht="27" customHeight="1" x14ac:dyDescent="0.2">
      <c r="A1594" s="9" t="s">
        <v>5806</v>
      </c>
      <c r="B1594" s="10" t="s">
        <v>5840</v>
      </c>
      <c r="C1594" s="11" t="s">
        <v>18</v>
      </c>
      <c r="D1594" s="11" t="s">
        <v>19</v>
      </c>
      <c r="E1594" s="11" t="s">
        <v>19</v>
      </c>
      <c r="F1594" s="11" t="s">
        <v>5841</v>
      </c>
      <c r="G1594" s="11" t="s">
        <v>83</v>
      </c>
      <c r="H1594" s="11" t="s">
        <v>5842</v>
      </c>
      <c r="I1594" s="11" t="s">
        <v>5843</v>
      </c>
      <c r="J1594" s="12">
        <v>0.76829999999999998</v>
      </c>
      <c r="K1594" s="13">
        <v>7</v>
      </c>
      <c r="L1594" s="14">
        <v>2284</v>
      </c>
      <c r="M1594" s="10">
        <v>1530</v>
      </c>
      <c r="N1594" s="10">
        <v>252388</v>
      </c>
      <c r="O1594" s="10">
        <v>119981</v>
      </c>
      <c r="P1594" s="10">
        <v>372369</v>
      </c>
    </row>
    <row r="1595" spans="1:16" ht="27" customHeight="1" x14ac:dyDescent="0.2">
      <c r="A1595" s="9" t="s">
        <v>5806</v>
      </c>
      <c r="B1595" s="10" t="s">
        <v>5844</v>
      </c>
      <c r="C1595" s="11" t="s">
        <v>18</v>
      </c>
      <c r="D1595" s="11" t="s">
        <v>19</v>
      </c>
      <c r="E1595" s="11" t="s">
        <v>19</v>
      </c>
      <c r="F1595" s="11" t="s">
        <v>5845</v>
      </c>
      <c r="G1595" s="11" t="s">
        <v>83</v>
      </c>
      <c r="H1595" s="11" t="s">
        <v>5809</v>
      </c>
      <c r="I1595" s="11" t="s">
        <v>5810</v>
      </c>
      <c r="J1595" s="12">
        <v>0.96760000000000002</v>
      </c>
      <c r="K1595" s="13">
        <v>49</v>
      </c>
      <c r="L1595" s="14">
        <v>27293</v>
      </c>
      <c r="M1595" s="10">
        <v>20221</v>
      </c>
      <c r="N1595" s="10">
        <v>3015920</v>
      </c>
      <c r="O1595" s="10">
        <v>1585712</v>
      </c>
      <c r="P1595" s="10">
        <v>4601632</v>
      </c>
    </row>
    <row r="1596" spans="1:16" ht="27" customHeight="1" x14ac:dyDescent="0.2">
      <c r="A1596" s="9" t="s">
        <v>5806</v>
      </c>
      <c r="B1596" s="10" t="s">
        <v>5844</v>
      </c>
      <c r="C1596" s="11" t="s">
        <v>5846</v>
      </c>
      <c r="D1596" s="11" t="s">
        <v>5847</v>
      </c>
      <c r="E1596" s="11" t="s">
        <v>26</v>
      </c>
      <c r="F1596" s="11" t="s">
        <v>5848</v>
      </c>
      <c r="G1596" s="11" t="s">
        <v>28</v>
      </c>
      <c r="H1596" s="11" t="s">
        <v>5809</v>
      </c>
      <c r="I1596" s="11" t="s">
        <v>5810</v>
      </c>
      <c r="J1596" s="12">
        <v>0.96760000000000002</v>
      </c>
      <c r="K1596" s="13">
        <v>1</v>
      </c>
      <c r="L1596" s="14">
        <v>685</v>
      </c>
      <c r="M1596" s="10">
        <v>338</v>
      </c>
      <c r="N1596" s="10">
        <v>75694</v>
      </c>
      <c r="O1596" s="10">
        <v>26506</v>
      </c>
      <c r="P1596" s="10">
        <v>102200</v>
      </c>
    </row>
    <row r="1597" spans="1:16" ht="27" customHeight="1" x14ac:dyDescent="0.2">
      <c r="A1597" s="9" t="s">
        <v>5806</v>
      </c>
      <c r="B1597" s="10" t="s">
        <v>5844</v>
      </c>
      <c r="C1597" s="11" t="s">
        <v>5849</v>
      </c>
      <c r="D1597" s="11" t="s">
        <v>5850</v>
      </c>
      <c r="E1597" s="11" t="s">
        <v>26</v>
      </c>
      <c r="F1597" s="11" t="s">
        <v>5851</v>
      </c>
      <c r="G1597" s="11" t="s">
        <v>28</v>
      </c>
      <c r="H1597" s="11" t="s">
        <v>5851</v>
      </c>
      <c r="I1597" s="11" t="s">
        <v>5852</v>
      </c>
      <c r="J1597" s="12">
        <v>0.54510000000000003</v>
      </c>
      <c r="K1597" s="13">
        <v>1</v>
      </c>
      <c r="L1597" s="14">
        <v>787</v>
      </c>
      <c r="M1597" s="10">
        <v>429</v>
      </c>
      <c r="N1597" s="10">
        <v>86965</v>
      </c>
      <c r="O1597" s="10">
        <v>33642</v>
      </c>
      <c r="P1597" s="10">
        <v>120607</v>
      </c>
    </row>
    <row r="1598" spans="1:16" ht="27" customHeight="1" x14ac:dyDescent="0.2">
      <c r="A1598" s="9" t="s">
        <v>5806</v>
      </c>
      <c r="B1598" s="10" t="s">
        <v>5844</v>
      </c>
      <c r="C1598" s="11" t="s">
        <v>5853</v>
      </c>
      <c r="D1598" s="11" t="s">
        <v>5854</v>
      </c>
      <c r="E1598" s="11" t="s">
        <v>26</v>
      </c>
      <c r="F1598" s="11" t="s">
        <v>5855</v>
      </c>
      <c r="G1598" s="11" t="s">
        <v>28</v>
      </c>
      <c r="H1598" s="11" t="s">
        <v>5809</v>
      </c>
      <c r="I1598" s="11" t="s">
        <v>5810</v>
      </c>
      <c r="J1598" s="12">
        <v>0.96760000000000002</v>
      </c>
      <c r="K1598" s="13">
        <v>1</v>
      </c>
      <c r="L1598" s="14">
        <v>567</v>
      </c>
      <c r="M1598" s="10">
        <v>326</v>
      </c>
      <c r="N1598" s="10">
        <v>62654</v>
      </c>
      <c r="O1598" s="10">
        <v>25565</v>
      </c>
      <c r="P1598" s="10">
        <v>88219</v>
      </c>
    </row>
    <row r="1599" spans="1:16" ht="27" customHeight="1" x14ac:dyDescent="0.2">
      <c r="A1599" s="9" t="s">
        <v>5806</v>
      </c>
      <c r="B1599" s="10" t="s">
        <v>5844</v>
      </c>
      <c r="C1599" s="11" t="s">
        <v>5856</v>
      </c>
      <c r="D1599" s="11" t="s">
        <v>5857</v>
      </c>
      <c r="E1599" s="11" t="s">
        <v>26</v>
      </c>
      <c r="F1599" s="11" t="s">
        <v>5858</v>
      </c>
      <c r="G1599" s="11" t="s">
        <v>28</v>
      </c>
      <c r="H1599" s="11" t="s">
        <v>5858</v>
      </c>
      <c r="I1599" s="11" t="s">
        <v>5859</v>
      </c>
      <c r="J1599" s="12">
        <v>0.54039999999999999</v>
      </c>
      <c r="K1599" s="13">
        <v>1</v>
      </c>
      <c r="L1599" s="14">
        <v>446</v>
      </c>
      <c r="M1599" s="10">
        <v>241</v>
      </c>
      <c r="N1599" s="10">
        <v>49284</v>
      </c>
      <c r="O1599" s="10">
        <v>18899</v>
      </c>
      <c r="P1599" s="10">
        <v>68183</v>
      </c>
    </row>
    <row r="1600" spans="1:16" ht="27" customHeight="1" x14ac:dyDescent="0.2">
      <c r="A1600" s="9" t="s">
        <v>5806</v>
      </c>
      <c r="B1600" s="10" t="s">
        <v>5844</v>
      </c>
      <c r="C1600" s="11" t="s">
        <v>5860</v>
      </c>
      <c r="D1600" s="11" t="s">
        <v>5861</v>
      </c>
      <c r="E1600" s="11" t="s">
        <v>57</v>
      </c>
      <c r="F1600" s="11" t="s">
        <v>5862</v>
      </c>
      <c r="G1600" s="11" t="s">
        <v>28</v>
      </c>
      <c r="H1600" s="11" t="s">
        <v>5862</v>
      </c>
      <c r="I1600" s="11" t="s">
        <v>5863</v>
      </c>
      <c r="J1600" s="12">
        <v>0.63590000000000002</v>
      </c>
      <c r="K1600" s="13">
        <v>1</v>
      </c>
      <c r="L1600" s="14">
        <v>358</v>
      </c>
      <c r="M1600" s="10">
        <v>228</v>
      </c>
      <c r="N1600" s="10">
        <v>39560</v>
      </c>
      <c r="O1600" s="10">
        <v>17880</v>
      </c>
      <c r="P1600" s="10">
        <v>57440</v>
      </c>
    </row>
    <row r="1601" spans="1:16" ht="27" customHeight="1" x14ac:dyDescent="0.2">
      <c r="A1601" s="9" t="s">
        <v>5806</v>
      </c>
      <c r="B1601" s="10" t="s">
        <v>5844</v>
      </c>
      <c r="C1601" s="11" t="s">
        <v>5864</v>
      </c>
      <c r="D1601" s="11" t="s">
        <v>5865</v>
      </c>
      <c r="E1601" s="11" t="s">
        <v>26</v>
      </c>
      <c r="F1601" s="11" t="s">
        <v>5866</v>
      </c>
      <c r="G1601" s="11" t="s">
        <v>28</v>
      </c>
      <c r="H1601" s="11" t="s">
        <v>5866</v>
      </c>
      <c r="I1601" s="11" t="s">
        <v>5867</v>
      </c>
      <c r="J1601" s="12">
        <v>0.75719999999999998</v>
      </c>
      <c r="K1601" s="13">
        <v>1</v>
      </c>
      <c r="L1601" s="14">
        <v>453</v>
      </c>
      <c r="M1601" s="10">
        <v>343</v>
      </c>
      <c r="N1601" s="10">
        <v>50057</v>
      </c>
      <c r="O1601" s="10">
        <v>26898</v>
      </c>
      <c r="P1601" s="10">
        <v>76955</v>
      </c>
    </row>
    <row r="1602" spans="1:16" ht="27" customHeight="1" x14ac:dyDescent="0.2">
      <c r="A1602" s="9" t="s">
        <v>5806</v>
      </c>
      <c r="B1602" s="10" t="s">
        <v>5868</v>
      </c>
      <c r="C1602" s="11" t="s">
        <v>18</v>
      </c>
      <c r="D1602" s="11" t="s">
        <v>19</v>
      </c>
      <c r="E1602" s="11" t="s">
        <v>19</v>
      </c>
      <c r="F1602" s="11" t="s">
        <v>5869</v>
      </c>
      <c r="G1602" s="11" t="s">
        <v>83</v>
      </c>
      <c r="H1602" s="11" t="s">
        <v>5870</v>
      </c>
      <c r="I1602" s="11" t="s">
        <v>5871</v>
      </c>
      <c r="J1602" s="12">
        <v>0.79139999999999999</v>
      </c>
      <c r="K1602" s="13">
        <v>31</v>
      </c>
      <c r="L1602" s="14">
        <v>24964</v>
      </c>
      <c r="M1602" s="10">
        <v>13632</v>
      </c>
      <c r="N1602" s="10">
        <v>2758563</v>
      </c>
      <c r="O1602" s="10">
        <v>1069009</v>
      </c>
      <c r="P1602" s="10">
        <v>3827572</v>
      </c>
    </row>
    <row r="1603" spans="1:16" ht="27" customHeight="1" x14ac:dyDescent="0.2">
      <c r="A1603" s="9" t="s">
        <v>5806</v>
      </c>
      <c r="B1603" s="10" t="s">
        <v>5872</v>
      </c>
      <c r="C1603" s="11" t="s">
        <v>18</v>
      </c>
      <c r="D1603" s="11" t="s">
        <v>19</v>
      </c>
      <c r="E1603" s="11" t="s">
        <v>19</v>
      </c>
      <c r="F1603" s="11" t="s">
        <v>5873</v>
      </c>
      <c r="G1603" s="11" t="s">
        <v>83</v>
      </c>
      <c r="H1603" s="11" t="s">
        <v>5873</v>
      </c>
      <c r="I1603" s="11" t="s">
        <v>5874</v>
      </c>
      <c r="J1603" s="12">
        <v>0.7571</v>
      </c>
      <c r="K1603" s="13">
        <v>2</v>
      </c>
      <c r="L1603" s="14">
        <v>179</v>
      </c>
      <c r="M1603" s="10">
        <v>136</v>
      </c>
      <c r="N1603" s="10">
        <v>19780</v>
      </c>
      <c r="O1603" s="10">
        <v>10665</v>
      </c>
      <c r="P1603" s="10">
        <v>30445</v>
      </c>
    </row>
    <row r="1604" spans="1:16" ht="27" customHeight="1" x14ac:dyDescent="0.2">
      <c r="A1604" s="9" t="s">
        <v>5806</v>
      </c>
      <c r="B1604" s="10" t="s">
        <v>5875</v>
      </c>
      <c r="C1604" s="11" t="s">
        <v>18</v>
      </c>
      <c r="D1604" s="11" t="s">
        <v>19</v>
      </c>
      <c r="E1604" s="11" t="s">
        <v>19</v>
      </c>
      <c r="F1604" s="11" t="s">
        <v>5876</v>
      </c>
      <c r="G1604" s="11" t="s">
        <v>83</v>
      </c>
      <c r="H1604" s="11" t="s">
        <v>5876</v>
      </c>
      <c r="I1604" s="11" t="s">
        <v>5877</v>
      </c>
      <c r="J1604" s="12">
        <v>0.56520000000000004</v>
      </c>
      <c r="K1604" s="13">
        <v>2</v>
      </c>
      <c r="L1604" s="14">
        <v>23</v>
      </c>
      <c r="M1604" s="10">
        <v>13</v>
      </c>
      <c r="N1604" s="10">
        <v>2542</v>
      </c>
      <c r="O1604" s="10">
        <v>1019</v>
      </c>
      <c r="P1604" s="10">
        <v>3561</v>
      </c>
    </row>
    <row r="1605" spans="1:16" ht="27" customHeight="1" x14ac:dyDescent="0.2">
      <c r="A1605" s="9" t="s">
        <v>5806</v>
      </c>
      <c r="B1605" s="10" t="s">
        <v>5875</v>
      </c>
      <c r="C1605" s="11" t="s">
        <v>5878</v>
      </c>
      <c r="D1605" s="11" t="s">
        <v>5879</v>
      </c>
      <c r="E1605" s="11" t="s">
        <v>57</v>
      </c>
      <c r="F1605" s="11" t="s">
        <v>5880</v>
      </c>
      <c r="G1605" s="11" t="s">
        <v>28</v>
      </c>
      <c r="H1605" s="11" t="s">
        <v>5880</v>
      </c>
      <c r="I1605" s="11" t="s">
        <v>5881</v>
      </c>
      <c r="J1605" s="12">
        <v>0.61370000000000002</v>
      </c>
      <c r="K1605" s="13">
        <v>1</v>
      </c>
      <c r="L1605" s="14">
        <v>233</v>
      </c>
      <c r="M1605" s="10">
        <v>143</v>
      </c>
      <c r="N1605" s="10">
        <v>25747</v>
      </c>
      <c r="O1605" s="10">
        <v>11214</v>
      </c>
      <c r="P1605" s="10">
        <v>36961</v>
      </c>
    </row>
    <row r="1606" spans="1:16" ht="27" customHeight="1" x14ac:dyDescent="0.2">
      <c r="A1606" s="9" t="s">
        <v>5806</v>
      </c>
      <c r="B1606" s="10" t="s">
        <v>5875</v>
      </c>
      <c r="C1606" s="11" t="s">
        <v>5882</v>
      </c>
      <c r="D1606" s="11" t="s">
        <v>5883</v>
      </c>
      <c r="E1606" s="11" t="s">
        <v>26</v>
      </c>
      <c r="F1606" s="11" t="s">
        <v>5884</v>
      </c>
      <c r="G1606" s="11" t="s">
        <v>28</v>
      </c>
      <c r="H1606" s="11" t="s">
        <v>5884</v>
      </c>
      <c r="I1606" s="11" t="s">
        <v>5885</v>
      </c>
      <c r="J1606" s="12">
        <v>0.72330000000000005</v>
      </c>
      <c r="K1606" s="13">
        <v>1</v>
      </c>
      <c r="L1606" s="14">
        <v>1189</v>
      </c>
      <c r="M1606" s="10">
        <v>860</v>
      </c>
      <c r="N1606" s="10">
        <v>131386</v>
      </c>
      <c r="O1606" s="10">
        <v>67440</v>
      </c>
      <c r="P1606" s="10">
        <v>198826</v>
      </c>
    </row>
    <row r="1607" spans="1:16" ht="27" customHeight="1" x14ac:dyDescent="0.2">
      <c r="A1607" s="9" t="s">
        <v>5806</v>
      </c>
      <c r="B1607" s="10" t="s">
        <v>5875</v>
      </c>
      <c r="C1607" s="11" t="s">
        <v>5886</v>
      </c>
      <c r="D1607" s="11" t="s">
        <v>5887</v>
      </c>
      <c r="E1607" s="11" t="s">
        <v>26</v>
      </c>
      <c r="F1607" s="11" t="s">
        <v>5888</v>
      </c>
      <c r="G1607" s="11" t="s">
        <v>28</v>
      </c>
      <c r="H1607" s="11" t="s">
        <v>5888</v>
      </c>
      <c r="I1607" s="11" t="s">
        <v>5889</v>
      </c>
      <c r="J1607" s="12">
        <v>0.63880000000000003</v>
      </c>
      <c r="K1607" s="13">
        <v>1</v>
      </c>
      <c r="L1607" s="14">
        <v>2561</v>
      </c>
      <c r="M1607" s="10">
        <v>1636</v>
      </c>
      <c r="N1607" s="10">
        <v>282995</v>
      </c>
      <c r="O1607" s="10">
        <v>128293</v>
      </c>
      <c r="P1607" s="10">
        <v>411288</v>
      </c>
    </row>
    <row r="1608" spans="1:16" ht="27" customHeight="1" x14ac:dyDescent="0.2">
      <c r="A1608" s="9" t="s">
        <v>5806</v>
      </c>
      <c r="B1608" s="10" t="s">
        <v>5875</v>
      </c>
      <c r="C1608" s="11" t="s">
        <v>5890</v>
      </c>
      <c r="D1608" s="11" t="s">
        <v>5891</v>
      </c>
      <c r="E1608" s="11" t="s">
        <v>57</v>
      </c>
      <c r="F1608" s="11" t="s">
        <v>5892</v>
      </c>
      <c r="G1608" s="11" t="s">
        <v>28</v>
      </c>
      <c r="H1608" s="11" t="s">
        <v>5892</v>
      </c>
      <c r="I1608" s="11" t="s">
        <v>5893</v>
      </c>
      <c r="J1608" s="12">
        <v>0.48959999999999998</v>
      </c>
      <c r="K1608" s="13">
        <v>1</v>
      </c>
      <c r="L1608" s="14">
        <v>241</v>
      </c>
      <c r="M1608" s="10">
        <v>118</v>
      </c>
      <c r="N1608" s="10">
        <v>26631</v>
      </c>
      <c r="O1608" s="10">
        <v>9253</v>
      </c>
      <c r="P1608" s="10">
        <v>35884</v>
      </c>
    </row>
    <row r="1609" spans="1:16" ht="27" customHeight="1" x14ac:dyDescent="0.2">
      <c r="A1609" s="9" t="s">
        <v>5806</v>
      </c>
      <c r="B1609" s="10" t="s">
        <v>5875</v>
      </c>
      <c r="C1609" s="11" t="s">
        <v>5894</v>
      </c>
      <c r="D1609" s="11" t="s">
        <v>5895</v>
      </c>
      <c r="E1609" s="11" t="s">
        <v>26</v>
      </c>
      <c r="F1609" s="11" t="s">
        <v>5896</v>
      </c>
      <c r="G1609" s="11" t="s">
        <v>28</v>
      </c>
      <c r="H1609" s="11" t="s">
        <v>5896</v>
      </c>
      <c r="I1609" s="11" t="s">
        <v>5897</v>
      </c>
      <c r="J1609" s="12">
        <v>0.26100000000000001</v>
      </c>
      <c r="K1609" s="13">
        <v>1</v>
      </c>
      <c r="L1609" s="14">
        <v>613</v>
      </c>
      <c r="M1609" s="10">
        <v>160</v>
      </c>
      <c r="N1609" s="10">
        <v>67738</v>
      </c>
      <c r="O1609" s="10">
        <v>12547</v>
      </c>
      <c r="P1609" s="10">
        <v>80285</v>
      </c>
    </row>
    <row r="1610" spans="1:16" ht="27" customHeight="1" x14ac:dyDescent="0.2">
      <c r="A1610" s="9" t="s">
        <v>5806</v>
      </c>
      <c r="B1610" s="10" t="s">
        <v>5875</v>
      </c>
      <c r="C1610" s="11" t="s">
        <v>5898</v>
      </c>
      <c r="D1610" s="11" t="s">
        <v>5899</v>
      </c>
      <c r="E1610" s="11" t="s">
        <v>26</v>
      </c>
      <c r="F1610" s="11" t="s">
        <v>5900</v>
      </c>
      <c r="G1610" s="11" t="s">
        <v>28</v>
      </c>
      <c r="H1610" s="11" t="s">
        <v>5900</v>
      </c>
      <c r="I1610" s="11" t="s">
        <v>5901</v>
      </c>
      <c r="J1610" s="12">
        <v>0.77569999999999995</v>
      </c>
      <c r="K1610" s="13">
        <v>1</v>
      </c>
      <c r="L1610" s="14">
        <v>214</v>
      </c>
      <c r="M1610" s="10">
        <v>166</v>
      </c>
      <c r="N1610" s="10">
        <v>23647</v>
      </c>
      <c r="O1610" s="10">
        <v>13018</v>
      </c>
      <c r="P1610" s="10">
        <v>36665</v>
      </c>
    </row>
    <row r="1611" spans="1:16" ht="27" customHeight="1" x14ac:dyDescent="0.2">
      <c r="A1611" s="9" t="s">
        <v>5806</v>
      </c>
      <c r="B1611" s="10" t="s">
        <v>5875</v>
      </c>
      <c r="C1611" s="11" t="s">
        <v>5902</v>
      </c>
      <c r="D1611" s="11" t="s">
        <v>5903</v>
      </c>
      <c r="E1611" s="11" t="s">
        <v>26</v>
      </c>
      <c r="F1611" s="11" t="s">
        <v>5904</v>
      </c>
      <c r="G1611" s="11" t="s">
        <v>28</v>
      </c>
      <c r="H1611" s="11" t="s">
        <v>5904</v>
      </c>
      <c r="I1611" s="11" t="s">
        <v>5905</v>
      </c>
      <c r="J1611" s="12">
        <v>0.58509999999999995</v>
      </c>
      <c r="K1611" s="13">
        <v>1</v>
      </c>
      <c r="L1611" s="14">
        <v>188</v>
      </c>
      <c r="M1611" s="10">
        <v>110</v>
      </c>
      <c r="N1611" s="10">
        <v>20774</v>
      </c>
      <c r="O1611" s="10">
        <v>8626</v>
      </c>
      <c r="P1611" s="10">
        <v>29400</v>
      </c>
    </row>
    <row r="1612" spans="1:16" ht="27" customHeight="1" x14ac:dyDescent="0.2">
      <c r="A1612" s="9" t="s">
        <v>5806</v>
      </c>
      <c r="B1612" s="10" t="s">
        <v>5875</v>
      </c>
      <c r="C1612" s="11" t="s">
        <v>5906</v>
      </c>
      <c r="D1612" s="11" t="s">
        <v>5907</v>
      </c>
      <c r="E1612" s="11" t="s">
        <v>57</v>
      </c>
      <c r="F1612" s="11" t="s">
        <v>5908</v>
      </c>
      <c r="G1612" s="11" t="s">
        <v>28</v>
      </c>
      <c r="H1612" s="11" t="s">
        <v>5908</v>
      </c>
      <c r="I1612" s="11" t="s">
        <v>5909</v>
      </c>
      <c r="J1612" s="12">
        <v>0.70730000000000004</v>
      </c>
      <c r="K1612" s="13">
        <v>1</v>
      </c>
      <c r="L1612" s="14">
        <v>123</v>
      </c>
      <c r="M1612" s="10">
        <v>87</v>
      </c>
      <c r="N1612" s="10">
        <v>13592</v>
      </c>
      <c r="O1612" s="10">
        <v>6822</v>
      </c>
      <c r="P1612" s="10">
        <v>20414</v>
      </c>
    </row>
    <row r="1613" spans="1:16" ht="27" customHeight="1" x14ac:dyDescent="0.2">
      <c r="A1613" s="9" t="s">
        <v>5806</v>
      </c>
      <c r="B1613" s="10" t="s">
        <v>5875</v>
      </c>
      <c r="C1613" s="11" t="s">
        <v>5910</v>
      </c>
      <c r="D1613" s="11" t="s">
        <v>5911</v>
      </c>
      <c r="E1613" s="11" t="s">
        <v>57</v>
      </c>
      <c r="F1613" s="11" t="s">
        <v>5912</v>
      </c>
      <c r="G1613" s="11" t="s">
        <v>28</v>
      </c>
      <c r="H1613" s="11" t="s">
        <v>5912</v>
      </c>
      <c r="I1613" s="11" t="s">
        <v>5913</v>
      </c>
      <c r="J1613" s="12">
        <v>0.49569999999999997</v>
      </c>
      <c r="K1613" s="13">
        <v>1</v>
      </c>
      <c r="L1613" s="14">
        <v>232</v>
      </c>
      <c r="M1613" s="10">
        <v>115</v>
      </c>
      <c r="N1613" s="10">
        <v>25636</v>
      </c>
      <c r="O1613" s="10">
        <v>9018</v>
      </c>
      <c r="P1613" s="10">
        <v>34654</v>
      </c>
    </row>
    <row r="1614" spans="1:16" ht="27" customHeight="1" x14ac:dyDescent="0.2">
      <c r="A1614" s="9" t="s">
        <v>5806</v>
      </c>
      <c r="B1614" s="10" t="s">
        <v>5875</v>
      </c>
      <c r="C1614" s="11" t="s">
        <v>5914</v>
      </c>
      <c r="D1614" s="11" t="s">
        <v>5915</v>
      </c>
      <c r="E1614" s="11" t="s">
        <v>57</v>
      </c>
      <c r="F1614" s="11" t="s">
        <v>5916</v>
      </c>
      <c r="G1614" s="11" t="s">
        <v>28</v>
      </c>
      <c r="H1614" s="11" t="s">
        <v>5916</v>
      </c>
      <c r="I1614" s="11" t="s">
        <v>5917</v>
      </c>
      <c r="J1614" s="12">
        <v>0.48749999999999999</v>
      </c>
      <c r="K1614" s="13">
        <v>1</v>
      </c>
      <c r="L1614" s="14">
        <v>798</v>
      </c>
      <c r="M1614" s="10">
        <v>389</v>
      </c>
      <c r="N1614" s="10">
        <v>88180</v>
      </c>
      <c r="O1614" s="10">
        <v>30505</v>
      </c>
      <c r="P1614" s="10">
        <v>118685</v>
      </c>
    </row>
    <row r="1615" spans="1:16" ht="27" customHeight="1" x14ac:dyDescent="0.2">
      <c r="A1615" s="9" t="s">
        <v>5806</v>
      </c>
      <c r="B1615" s="10" t="s">
        <v>5918</v>
      </c>
      <c r="C1615" s="11" t="s">
        <v>18</v>
      </c>
      <c r="D1615" s="11" t="s">
        <v>19</v>
      </c>
      <c r="E1615" s="11" t="s">
        <v>19</v>
      </c>
      <c r="F1615" s="11" t="s">
        <v>5919</v>
      </c>
      <c r="G1615" s="11" t="s">
        <v>83</v>
      </c>
      <c r="H1615" s="11" t="s">
        <v>4096</v>
      </c>
      <c r="I1615" s="11" t="s">
        <v>5920</v>
      </c>
      <c r="J1615" s="12">
        <v>0.42480000000000001</v>
      </c>
      <c r="K1615" s="13">
        <v>2</v>
      </c>
      <c r="L1615" s="14">
        <v>382</v>
      </c>
      <c r="M1615" s="10">
        <v>162</v>
      </c>
      <c r="N1615" s="10">
        <v>42212</v>
      </c>
      <c r="O1615" s="10">
        <v>12704</v>
      </c>
      <c r="P1615" s="10">
        <v>54916</v>
      </c>
    </row>
    <row r="1616" spans="1:16" ht="27" customHeight="1" x14ac:dyDescent="0.2">
      <c r="A1616" s="9" t="s">
        <v>5806</v>
      </c>
      <c r="B1616" s="10" t="s">
        <v>5921</v>
      </c>
      <c r="C1616" s="11" t="s">
        <v>18</v>
      </c>
      <c r="D1616" s="11" t="s">
        <v>19</v>
      </c>
      <c r="E1616" s="11" t="s">
        <v>19</v>
      </c>
      <c r="F1616" s="11" t="s">
        <v>5922</v>
      </c>
      <c r="G1616" s="11" t="s">
        <v>83</v>
      </c>
      <c r="H1616" s="11" t="s">
        <v>5923</v>
      </c>
      <c r="I1616" s="11" t="s">
        <v>5924</v>
      </c>
      <c r="J1616" s="12">
        <v>0.47710000000000002</v>
      </c>
      <c r="K1616" s="13">
        <v>8</v>
      </c>
      <c r="L1616" s="14">
        <v>3322</v>
      </c>
      <c r="M1616" s="10">
        <v>1041</v>
      </c>
      <c r="N1616" s="10">
        <v>367088</v>
      </c>
      <c r="O1616" s="10">
        <v>81634</v>
      </c>
      <c r="P1616" s="10">
        <v>448722</v>
      </c>
    </row>
    <row r="1617" spans="1:16" ht="27" customHeight="1" x14ac:dyDescent="0.2">
      <c r="A1617" s="9" t="s">
        <v>5806</v>
      </c>
      <c r="B1617" s="10" t="s">
        <v>5921</v>
      </c>
      <c r="C1617" s="11" t="s">
        <v>5925</v>
      </c>
      <c r="D1617" s="11" t="s">
        <v>5926</v>
      </c>
      <c r="E1617" s="11" t="s">
        <v>26</v>
      </c>
      <c r="F1617" s="11" t="s">
        <v>5927</v>
      </c>
      <c r="G1617" s="11" t="s">
        <v>28</v>
      </c>
      <c r="H1617" s="11" t="s">
        <v>5927</v>
      </c>
      <c r="I1617" s="11" t="s">
        <v>5928</v>
      </c>
      <c r="J1617" s="12">
        <v>0.48070000000000002</v>
      </c>
      <c r="K1617" s="13">
        <v>1</v>
      </c>
      <c r="L1617" s="14">
        <v>1766</v>
      </c>
      <c r="M1617" s="10">
        <v>849</v>
      </c>
      <c r="N1617" s="10">
        <v>195146</v>
      </c>
      <c r="O1617" s="10">
        <v>66578</v>
      </c>
      <c r="P1617" s="10">
        <v>261724</v>
      </c>
    </row>
    <row r="1618" spans="1:16" ht="27" customHeight="1" x14ac:dyDescent="0.2">
      <c r="A1618" s="9" t="s">
        <v>5806</v>
      </c>
      <c r="B1618" s="10" t="s">
        <v>5929</v>
      </c>
      <c r="C1618" s="11" t="s">
        <v>18</v>
      </c>
      <c r="D1618" s="11" t="s">
        <v>19</v>
      </c>
      <c r="E1618" s="11" t="s">
        <v>19</v>
      </c>
      <c r="F1618" s="11" t="s">
        <v>5930</v>
      </c>
      <c r="G1618" s="11" t="s">
        <v>83</v>
      </c>
      <c r="H1618" s="11" t="s">
        <v>5931</v>
      </c>
      <c r="I1618" s="11" t="s">
        <v>5932</v>
      </c>
      <c r="J1618" s="12">
        <v>0.92359999999999998</v>
      </c>
      <c r="K1618" s="13">
        <v>50</v>
      </c>
      <c r="L1618" s="14">
        <v>34453</v>
      </c>
      <c r="M1618" s="10">
        <v>26482</v>
      </c>
      <c r="N1618" s="10">
        <v>3807113</v>
      </c>
      <c r="O1618" s="10">
        <v>2076689</v>
      </c>
      <c r="P1618" s="10">
        <v>5883802</v>
      </c>
    </row>
    <row r="1619" spans="1:16" ht="27" customHeight="1" x14ac:dyDescent="0.2">
      <c r="A1619" s="9" t="s">
        <v>5806</v>
      </c>
      <c r="B1619" s="10" t="s">
        <v>5929</v>
      </c>
      <c r="C1619" s="11" t="s">
        <v>5933</v>
      </c>
      <c r="D1619" s="11" t="s">
        <v>5934</v>
      </c>
      <c r="E1619" s="11" t="s">
        <v>26</v>
      </c>
      <c r="F1619" s="11" t="s">
        <v>5935</v>
      </c>
      <c r="G1619" s="11" t="s">
        <v>28</v>
      </c>
      <c r="H1619" s="11" t="s">
        <v>5935</v>
      </c>
      <c r="I1619" s="11" t="s">
        <v>5936</v>
      </c>
      <c r="J1619" s="12">
        <v>0.84260000000000002</v>
      </c>
      <c r="K1619" s="13">
        <v>1</v>
      </c>
      <c r="L1619" s="14">
        <v>394</v>
      </c>
      <c r="M1619" s="10">
        <v>332</v>
      </c>
      <c r="N1619" s="10">
        <v>43538</v>
      </c>
      <c r="O1619" s="10">
        <v>26035</v>
      </c>
      <c r="P1619" s="10">
        <v>69573</v>
      </c>
    </row>
    <row r="1620" spans="1:16" ht="27" customHeight="1" x14ac:dyDescent="0.2">
      <c r="A1620" s="9" t="s">
        <v>5806</v>
      </c>
      <c r="B1620" s="10" t="s">
        <v>5929</v>
      </c>
      <c r="C1620" s="11" t="s">
        <v>5937</v>
      </c>
      <c r="D1620" s="11" t="s">
        <v>5938</v>
      </c>
      <c r="E1620" s="11" t="s">
        <v>57</v>
      </c>
      <c r="F1620" s="11" t="s">
        <v>5939</v>
      </c>
      <c r="G1620" s="11" t="s">
        <v>28</v>
      </c>
      <c r="H1620" s="11" t="s">
        <v>5939</v>
      </c>
      <c r="I1620" s="11" t="s">
        <v>5940</v>
      </c>
      <c r="J1620" s="12">
        <v>0.81589999999999996</v>
      </c>
      <c r="K1620" s="13">
        <v>1</v>
      </c>
      <c r="L1620" s="14">
        <v>682</v>
      </c>
      <c r="M1620" s="10">
        <v>556</v>
      </c>
      <c r="N1620" s="10">
        <v>75362</v>
      </c>
      <c r="O1620" s="10">
        <v>43601</v>
      </c>
      <c r="P1620" s="10">
        <v>118963</v>
      </c>
    </row>
    <row r="1621" spans="1:16" ht="27" customHeight="1" x14ac:dyDescent="0.2">
      <c r="A1621" s="9" t="s">
        <v>5806</v>
      </c>
      <c r="B1621" s="10" t="s">
        <v>5929</v>
      </c>
      <c r="C1621" s="11" t="s">
        <v>5941</v>
      </c>
      <c r="D1621" s="11" t="s">
        <v>5942</v>
      </c>
      <c r="E1621" s="11" t="s">
        <v>26</v>
      </c>
      <c r="F1621" s="11" t="s">
        <v>5943</v>
      </c>
      <c r="G1621" s="11" t="s">
        <v>28</v>
      </c>
      <c r="H1621" s="11" t="s">
        <v>5943</v>
      </c>
      <c r="I1621" s="11" t="s">
        <v>5944</v>
      </c>
      <c r="J1621" s="12">
        <v>0.76229999999999998</v>
      </c>
      <c r="K1621" s="13">
        <v>1</v>
      </c>
      <c r="L1621" s="14">
        <v>446</v>
      </c>
      <c r="M1621" s="10">
        <v>340</v>
      </c>
      <c r="N1621" s="10">
        <v>49284</v>
      </c>
      <c r="O1621" s="10">
        <v>26662</v>
      </c>
      <c r="P1621" s="10">
        <v>75946</v>
      </c>
    </row>
    <row r="1622" spans="1:16" ht="27" customHeight="1" x14ac:dyDescent="0.2">
      <c r="A1622" s="9" t="s">
        <v>5806</v>
      </c>
      <c r="B1622" s="10" t="s">
        <v>5929</v>
      </c>
      <c r="C1622" s="11" t="s">
        <v>5945</v>
      </c>
      <c r="D1622" s="11" t="s">
        <v>5946</v>
      </c>
      <c r="E1622" s="11" t="s">
        <v>26</v>
      </c>
      <c r="F1622" s="11" t="s">
        <v>5947</v>
      </c>
      <c r="G1622" s="11" t="s">
        <v>28</v>
      </c>
      <c r="H1622" s="11" t="s">
        <v>5947</v>
      </c>
      <c r="I1622" s="11" t="s">
        <v>5948</v>
      </c>
      <c r="J1622" s="12">
        <v>0.96150000000000002</v>
      </c>
      <c r="K1622" s="13">
        <v>1</v>
      </c>
      <c r="L1622" s="14">
        <v>260</v>
      </c>
      <c r="M1622" s="10">
        <v>250</v>
      </c>
      <c r="N1622" s="10">
        <v>28730</v>
      </c>
      <c r="O1622" s="10">
        <v>19605</v>
      </c>
      <c r="P1622" s="10">
        <v>48335</v>
      </c>
    </row>
    <row r="1623" spans="1:16" ht="27" customHeight="1" x14ac:dyDescent="0.2">
      <c r="A1623" s="9" t="s">
        <v>5806</v>
      </c>
      <c r="B1623" s="10" t="s">
        <v>5929</v>
      </c>
      <c r="C1623" s="11" t="s">
        <v>5949</v>
      </c>
      <c r="D1623" s="11" t="s">
        <v>5950</v>
      </c>
      <c r="E1623" s="11" t="s">
        <v>26</v>
      </c>
      <c r="F1623" s="11" t="s">
        <v>5951</v>
      </c>
      <c r="G1623" s="11" t="s">
        <v>28</v>
      </c>
      <c r="H1623" s="11" t="s">
        <v>5951</v>
      </c>
      <c r="I1623" s="11" t="s">
        <v>5952</v>
      </c>
      <c r="J1623" s="12">
        <v>0.65839999999999999</v>
      </c>
      <c r="K1623" s="13">
        <v>1</v>
      </c>
      <c r="L1623" s="14">
        <v>770</v>
      </c>
      <c r="M1623" s="10">
        <v>507</v>
      </c>
      <c r="N1623" s="10">
        <v>85086</v>
      </c>
      <c r="O1623" s="10">
        <v>39758</v>
      </c>
      <c r="P1623" s="10">
        <v>124844</v>
      </c>
    </row>
    <row r="1624" spans="1:16" ht="27" customHeight="1" x14ac:dyDescent="0.2">
      <c r="A1624" s="9" t="s">
        <v>5806</v>
      </c>
      <c r="B1624" s="10" t="s">
        <v>5929</v>
      </c>
      <c r="C1624" s="11" t="s">
        <v>5953</v>
      </c>
      <c r="D1624" s="11" t="s">
        <v>5954</v>
      </c>
      <c r="E1624" s="11" t="s">
        <v>57</v>
      </c>
      <c r="F1624" s="11" t="s">
        <v>5955</v>
      </c>
      <c r="G1624" s="11" t="s">
        <v>28</v>
      </c>
      <c r="H1624" s="11" t="s">
        <v>5809</v>
      </c>
      <c r="I1624" s="11" t="s">
        <v>5810</v>
      </c>
      <c r="J1624" s="12">
        <v>0.96760000000000002</v>
      </c>
      <c r="K1624" s="13">
        <v>1</v>
      </c>
      <c r="L1624" s="14">
        <v>428</v>
      </c>
      <c r="M1624" s="10">
        <v>255</v>
      </c>
      <c r="N1624" s="10">
        <v>47295</v>
      </c>
      <c r="O1624" s="10">
        <v>19997</v>
      </c>
      <c r="P1624" s="10">
        <v>67292</v>
      </c>
    </row>
    <row r="1625" spans="1:16" ht="27" customHeight="1" x14ac:dyDescent="0.2">
      <c r="A1625" s="9" t="s">
        <v>5806</v>
      </c>
      <c r="B1625" s="10" t="s">
        <v>5929</v>
      </c>
      <c r="C1625" s="11" t="s">
        <v>5956</v>
      </c>
      <c r="D1625" s="11" t="s">
        <v>5957</v>
      </c>
      <c r="E1625" s="11" t="s">
        <v>26</v>
      </c>
      <c r="F1625" s="11" t="s">
        <v>5958</v>
      </c>
      <c r="G1625" s="11" t="s">
        <v>28</v>
      </c>
      <c r="H1625" s="11" t="s">
        <v>5958</v>
      </c>
      <c r="I1625" s="11" t="s">
        <v>5959</v>
      </c>
      <c r="J1625" s="12">
        <v>0.5181</v>
      </c>
      <c r="K1625" s="13">
        <v>1</v>
      </c>
      <c r="L1625" s="14">
        <v>386</v>
      </c>
      <c r="M1625" s="10">
        <v>200</v>
      </c>
      <c r="N1625" s="10">
        <v>42654</v>
      </c>
      <c r="O1625" s="10">
        <v>15684</v>
      </c>
      <c r="P1625" s="10">
        <v>58338</v>
      </c>
    </row>
    <row r="1626" spans="1:16" ht="27" customHeight="1" x14ac:dyDescent="0.2">
      <c r="A1626" s="9" t="s">
        <v>5806</v>
      </c>
      <c r="B1626" s="10" t="s">
        <v>5929</v>
      </c>
      <c r="C1626" s="11" t="s">
        <v>5960</v>
      </c>
      <c r="D1626" s="11" t="s">
        <v>5961</v>
      </c>
      <c r="E1626" s="11" t="s">
        <v>26</v>
      </c>
      <c r="F1626" s="11" t="s">
        <v>5962</v>
      </c>
      <c r="G1626" s="11" t="s">
        <v>28</v>
      </c>
      <c r="H1626" s="11" t="s">
        <v>5962</v>
      </c>
      <c r="I1626" s="11" t="s">
        <v>5963</v>
      </c>
      <c r="J1626" s="12">
        <v>0.32290000000000002</v>
      </c>
      <c r="K1626" s="13">
        <v>1</v>
      </c>
      <c r="L1626" s="14">
        <v>449</v>
      </c>
      <c r="M1626" s="10">
        <v>145</v>
      </c>
      <c r="N1626" s="10">
        <v>49615</v>
      </c>
      <c r="O1626" s="10">
        <v>11371</v>
      </c>
      <c r="P1626" s="10">
        <v>60986</v>
      </c>
    </row>
    <row r="1627" spans="1:16" ht="27" customHeight="1" x14ac:dyDescent="0.2">
      <c r="A1627" s="9" t="s">
        <v>5806</v>
      </c>
      <c r="B1627" s="10" t="s">
        <v>5929</v>
      </c>
      <c r="C1627" s="11" t="s">
        <v>5964</v>
      </c>
      <c r="D1627" s="11" t="s">
        <v>5965</v>
      </c>
      <c r="E1627" s="11" t="s">
        <v>26</v>
      </c>
      <c r="F1627" s="11" t="s">
        <v>5966</v>
      </c>
      <c r="G1627" s="11" t="s">
        <v>28</v>
      </c>
      <c r="H1627" s="11" t="s">
        <v>5966</v>
      </c>
      <c r="I1627" s="11" t="s">
        <v>5967</v>
      </c>
      <c r="J1627" s="12">
        <v>0.76870000000000005</v>
      </c>
      <c r="K1627" s="13">
        <v>1</v>
      </c>
      <c r="L1627" s="14">
        <v>307</v>
      </c>
      <c r="M1627" s="10">
        <v>236</v>
      </c>
      <c r="N1627" s="10">
        <v>33924</v>
      </c>
      <c r="O1627" s="10">
        <v>18507</v>
      </c>
      <c r="P1627" s="10">
        <v>52431</v>
      </c>
    </row>
    <row r="1628" spans="1:16" ht="27" customHeight="1" x14ac:dyDescent="0.2">
      <c r="A1628" s="9" t="s">
        <v>5806</v>
      </c>
      <c r="B1628" s="10" t="s">
        <v>5929</v>
      </c>
      <c r="C1628" s="11" t="s">
        <v>5968</v>
      </c>
      <c r="D1628" s="11" t="s">
        <v>5969</v>
      </c>
      <c r="E1628" s="11" t="s">
        <v>57</v>
      </c>
      <c r="F1628" s="11" t="s">
        <v>5970</v>
      </c>
      <c r="G1628" s="11" t="s">
        <v>28</v>
      </c>
      <c r="H1628" s="11" t="s">
        <v>5809</v>
      </c>
      <c r="I1628" s="11" t="s">
        <v>5810</v>
      </c>
      <c r="J1628" s="12">
        <v>0.96760000000000002</v>
      </c>
      <c r="K1628" s="13">
        <v>1</v>
      </c>
      <c r="L1628" s="14">
        <v>407</v>
      </c>
      <c r="M1628" s="10">
        <v>296</v>
      </c>
      <c r="N1628" s="10">
        <v>44974</v>
      </c>
      <c r="O1628" s="10">
        <v>23212</v>
      </c>
      <c r="P1628" s="10">
        <v>68186</v>
      </c>
    </row>
    <row r="1629" spans="1:16" ht="27" customHeight="1" x14ac:dyDescent="0.2">
      <c r="A1629" s="9" t="s">
        <v>5806</v>
      </c>
      <c r="B1629" s="10" t="s">
        <v>5929</v>
      </c>
      <c r="C1629" s="11" t="s">
        <v>5971</v>
      </c>
      <c r="D1629" s="11" t="s">
        <v>5972</v>
      </c>
      <c r="E1629" s="11" t="s">
        <v>57</v>
      </c>
      <c r="F1629" s="11" t="s">
        <v>5973</v>
      </c>
      <c r="G1629" s="11" t="s">
        <v>28</v>
      </c>
      <c r="H1629" s="11" t="s">
        <v>5809</v>
      </c>
      <c r="I1629" s="11" t="s">
        <v>5810</v>
      </c>
      <c r="J1629" s="12">
        <v>0.96760000000000002</v>
      </c>
      <c r="K1629" s="13">
        <v>1</v>
      </c>
      <c r="L1629" s="14">
        <v>184</v>
      </c>
      <c r="M1629" s="10">
        <v>100</v>
      </c>
      <c r="N1629" s="10">
        <v>20332</v>
      </c>
      <c r="O1629" s="10">
        <v>7842</v>
      </c>
      <c r="P1629" s="10">
        <v>28174</v>
      </c>
    </row>
    <row r="1630" spans="1:16" ht="27" customHeight="1" x14ac:dyDescent="0.2">
      <c r="A1630" s="9" t="s">
        <v>5806</v>
      </c>
      <c r="B1630" s="10" t="s">
        <v>5929</v>
      </c>
      <c r="C1630" s="11" t="s">
        <v>5974</v>
      </c>
      <c r="D1630" s="11" t="s">
        <v>5975</v>
      </c>
      <c r="E1630" s="11" t="s">
        <v>26</v>
      </c>
      <c r="F1630" s="11" t="s">
        <v>5976</v>
      </c>
      <c r="G1630" s="11" t="s">
        <v>28</v>
      </c>
      <c r="H1630" s="11" t="s">
        <v>5809</v>
      </c>
      <c r="I1630" s="11" t="s">
        <v>5810</v>
      </c>
      <c r="J1630" s="12">
        <v>0.96760000000000002</v>
      </c>
      <c r="K1630" s="13">
        <v>1</v>
      </c>
      <c r="L1630" s="14">
        <v>195</v>
      </c>
      <c r="M1630" s="10">
        <v>160</v>
      </c>
      <c r="N1630" s="10">
        <v>21548</v>
      </c>
      <c r="O1630" s="10">
        <v>12547</v>
      </c>
      <c r="P1630" s="10">
        <v>34095</v>
      </c>
    </row>
    <row r="1631" spans="1:16" ht="27" customHeight="1" x14ac:dyDescent="0.2">
      <c r="A1631" s="9" t="s">
        <v>5806</v>
      </c>
      <c r="B1631" s="10" t="s">
        <v>5929</v>
      </c>
      <c r="C1631" s="11" t="s">
        <v>5977</v>
      </c>
      <c r="D1631" s="11" t="s">
        <v>5978</v>
      </c>
      <c r="E1631" s="11" t="s">
        <v>26</v>
      </c>
      <c r="F1631" s="11" t="s">
        <v>5979</v>
      </c>
      <c r="G1631" s="11" t="s">
        <v>28</v>
      </c>
      <c r="H1631" s="11" t="s">
        <v>5979</v>
      </c>
      <c r="I1631" s="11" t="s">
        <v>5980</v>
      </c>
      <c r="J1631" s="12">
        <v>0.90849999999999997</v>
      </c>
      <c r="K1631" s="13">
        <v>1</v>
      </c>
      <c r="L1631" s="14">
        <v>142</v>
      </c>
      <c r="M1631" s="10">
        <v>129</v>
      </c>
      <c r="N1631" s="10">
        <v>15691</v>
      </c>
      <c r="O1631" s="10">
        <v>10116</v>
      </c>
      <c r="P1631" s="10">
        <v>25807</v>
      </c>
    </row>
    <row r="1632" spans="1:16" ht="27" customHeight="1" x14ac:dyDescent="0.2">
      <c r="A1632" s="9" t="s">
        <v>5806</v>
      </c>
      <c r="B1632" s="10" t="s">
        <v>5929</v>
      </c>
      <c r="C1632" s="11" t="s">
        <v>5981</v>
      </c>
      <c r="D1632" s="11" t="s">
        <v>5982</v>
      </c>
      <c r="E1632" s="11" t="s">
        <v>26</v>
      </c>
      <c r="F1632" s="11" t="s">
        <v>5983</v>
      </c>
      <c r="G1632" s="11" t="s">
        <v>28</v>
      </c>
      <c r="H1632" s="11" t="s">
        <v>5983</v>
      </c>
      <c r="I1632" s="11" t="s">
        <v>5984</v>
      </c>
      <c r="J1632" s="12">
        <v>0.62139999999999995</v>
      </c>
      <c r="K1632" s="13">
        <v>1</v>
      </c>
      <c r="L1632" s="14">
        <v>103</v>
      </c>
      <c r="M1632" s="10">
        <v>64</v>
      </c>
      <c r="N1632" s="10">
        <v>11382</v>
      </c>
      <c r="O1632" s="10">
        <v>5019</v>
      </c>
      <c r="P1632" s="10">
        <v>16401</v>
      </c>
    </row>
    <row r="1633" spans="1:16" ht="27" customHeight="1" x14ac:dyDescent="0.2">
      <c r="A1633" s="9" t="s">
        <v>5806</v>
      </c>
      <c r="B1633" s="10" t="s">
        <v>5929</v>
      </c>
      <c r="C1633" s="11" t="s">
        <v>5985</v>
      </c>
      <c r="D1633" s="11" t="s">
        <v>5986</v>
      </c>
      <c r="E1633" s="11" t="s">
        <v>26</v>
      </c>
      <c r="F1633" s="11" t="s">
        <v>5987</v>
      </c>
      <c r="G1633" s="11" t="s">
        <v>28</v>
      </c>
      <c r="H1633" s="11" t="s">
        <v>5987</v>
      </c>
      <c r="I1633" s="11" t="s">
        <v>5988</v>
      </c>
      <c r="J1633" s="12">
        <v>0.68510000000000004</v>
      </c>
      <c r="K1633" s="13">
        <v>1</v>
      </c>
      <c r="L1633" s="14">
        <v>181</v>
      </c>
      <c r="M1633" s="10">
        <v>124</v>
      </c>
      <c r="N1633" s="10">
        <v>20001</v>
      </c>
      <c r="O1633" s="10">
        <v>9724</v>
      </c>
      <c r="P1633" s="10">
        <v>29725</v>
      </c>
    </row>
    <row r="1634" spans="1:16" ht="27" customHeight="1" x14ac:dyDescent="0.2">
      <c r="A1634" s="9" t="s">
        <v>5806</v>
      </c>
      <c r="B1634" s="10" t="s">
        <v>5929</v>
      </c>
      <c r="C1634" s="11" t="s">
        <v>5989</v>
      </c>
      <c r="D1634" s="11" t="s">
        <v>5990</v>
      </c>
      <c r="E1634" s="11" t="s">
        <v>26</v>
      </c>
      <c r="F1634" s="11" t="s">
        <v>5991</v>
      </c>
      <c r="G1634" s="11" t="s">
        <v>28</v>
      </c>
      <c r="H1634" s="11" t="s">
        <v>5991</v>
      </c>
      <c r="I1634" s="11" t="s">
        <v>5992</v>
      </c>
      <c r="J1634" s="12">
        <v>0.89870000000000005</v>
      </c>
      <c r="K1634" s="13">
        <v>1</v>
      </c>
      <c r="L1634" s="14">
        <v>79</v>
      </c>
      <c r="M1634" s="10">
        <v>71</v>
      </c>
      <c r="N1634" s="10">
        <v>8730</v>
      </c>
      <c r="O1634" s="10">
        <v>5568</v>
      </c>
      <c r="P1634" s="10">
        <v>14298</v>
      </c>
    </row>
    <row r="1635" spans="1:16" ht="27" customHeight="1" x14ac:dyDescent="0.2">
      <c r="A1635" s="9" t="s">
        <v>5806</v>
      </c>
      <c r="B1635" s="10" t="s">
        <v>5929</v>
      </c>
      <c r="C1635" s="11" t="s">
        <v>5993</v>
      </c>
      <c r="D1635" s="11" t="s">
        <v>5994</v>
      </c>
      <c r="E1635" s="11" t="s">
        <v>26</v>
      </c>
      <c r="F1635" s="11" t="s">
        <v>5995</v>
      </c>
      <c r="G1635" s="11" t="s">
        <v>28</v>
      </c>
      <c r="H1635" s="11" t="s">
        <v>5995</v>
      </c>
      <c r="I1635" s="11" t="s">
        <v>5996</v>
      </c>
      <c r="J1635" s="12">
        <v>0.90910000000000002</v>
      </c>
      <c r="K1635" s="13">
        <v>1</v>
      </c>
      <c r="L1635" s="14">
        <v>33</v>
      </c>
      <c r="M1635" s="10">
        <v>30</v>
      </c>
      <c r="N1635" s="10">
        <v>3647</v>
      </c>
      <c r="O1635" s="10">
        <v>2353</v>
      </c>
      <c r="P1635" s="10">
        <v>6000</v>
      </c>
    </row>
    <row r="1636" spans="1:16" ht="27" customHeight="1" x14ac:dyDescent="0.2">
      <c r="A1636" s="9" t="s">
        <v>5806</v>
      </c>
      <c r="B1636" s="10" t="s">
        <v>5929</v>
      </c>
      <c r="C1636" s="11" t="s">
        <v>5997</v>
      </c>
      <c r="D1636" s="11" t="s">
        <v>5998</v>
      </c>
      <c r="E1636" s="11" t="s">
        <v>57</v>
      </c>
      <c r="F1636" s="11" t="s">
        <v>5999</v>
      </c>
      <c r="G1636" s="11" t="s">
        <v>28</v>
      </c>
      <c r="H1636" s="11" t="s">
        <v>5999</v>
      </c>
      <c r="I1636" s="11" t="s">
        <v>6000</v>
      </c>
      <c r="J1636" s="12">
        <v>0.77480000000000004</v>
      </c>
      <c r="K1636" s="13">
        <v>1</v>
      </c>
      <c r="L1636" s="14">
        <v>417</v>
      </c>
      <c r="M1636" s="10">
        <v>323</v>
      </c>
      <c r="N1636" s="10">
        <v>46079</v>
      </c>
      <c r="O1636" s="10">
        <v>25329</v>
      </c>
      <c r="P1636" s="10">
        <v>71408</v>
      </c>
    </row>
    <row r="1637" spans="1:16" ht="27" customHeight="1" x14ac:dyDescent="0.2">
      <c r="A1637" s="9" t="s">
        <v>5806</v>
      </c>
      <c r="B1637" s="10" t="s">
        <v>6001</v>
      </c>
      <c r="C1637" s="11" t="s">
        <v>18</v>
      </c>
      <c r="D1637" s="11" t="s">
        <v>19</v>
      </c>
      <c r="E1637" s="11" t="s">
        <v>19</v>
      </c>
      <c r="F1637" s="11" t="s">
        <v>6002</v>
      </c>
      <c r="G1637" s="11" t="s">
        <v>83</v>
      </c>
      <c r="H1637" s="11" t="s">
        <v>1806</v>
      </c>
      <c r="I1637" s="11" t="s">
        <v>6003</v>
      </c>
      <c r="J1637" s="12">
        <v>0.85499999999999998</v>
      </c>
      <c r="K1637" s="13">
        <v>20</v>
      </c>
      <c r="L1637" s="14">
        <v>13749</v>
      </c>
      <c r="M1637" s="10">
        <v>7674</v>
      </c>
      <c r="N1637" s="10">
        <v>1519288</v>
      </c>
      <c r="O1637" s="10">
        <v>601788</v>
      </c>
      <c r="P1637" s="10">
        <v>2121076</v>
      </c>
    </row>
    <row r="1638" spans="1:16" ht="27" customHeight="1" x14ac:dyDescent="0.2">
      <c r="A1638" s="9" t="s">
        <v>5806</v>
      </c>
      <c r="B1638" s="10" t="s">
        <v>6001</v>
      </c>
      <c r="C1638" s="11" t="s">
        <v>6004</v>
      </c>
      <c r="D1638" s="11" t="s">
        <v>6005</v>
      </c>
      <c r="E1638" s="11" t="s">
        <v>26</v>
      </c>
      <c r="F1638" s="11" t="s">
        <v>6006</v>
      </c>
      <c r="G1638" s="11" t="s">
        <v>28</v>
      </c>
      <c r="H1638" s="11" t="s">
        <v>6006</v>
      </c>
      <c r="I1638" s="11" t="s">
        <v>6007</v>
      </c>
      <c r="J1638" s="12">
        <v>0.1915</v>
      </c>
      <c r="K1638" s="13">
        <v>1</v>
      </c>
      <c r="L1638" s="14">
        <v>402</v>
      </c>
      <c r="M1638" s="10">
        <v>77</v>
      </c>
      <c r="N1638" s="10">
        <v>44422</v>
      </c>
      <c r="O1638" s="10">
        <v>6038</v>
      </c>
      <c r="P1638" s="10">
        <v>50460</v>
      </c>
    </row>
    <row r="1639" spans="1:16" ht="27" customHeight="1" x14ac:dyDescent="0.2">
      <c r="A1639" s="9" t="s">
        <v>5806</v>
      </c>
      <c r="B1639" s="10" t="s">
        <v>6001</v>
      </c>
      <c r="C1639" s="11" t="s">
        <v>6008</v>
      </c>
      <c r="D1639" s="11" t="s">
        <v>6009</v>
      </c>
      <c r="E1639" s="11" t="s">
        <v>26</v>
      </c>
      <c r="F1639" s="11" t="s">
        <v>6010</v>
      </c>
      <c r="G1639" s="11" t="s">
        <v>28</v>
      </c>
      <c r="H1639" s="11" t="s">
        <v>5809</v>
      </c>
      <c r="I1639" s="11" t="s">
        <v>5810</v>
      </c>
      <c r="J1639" s="12">
        <v>0.96760000000000002</v>
      </c>
      <c r="K1639" s="13">
        <v>1</v>
      </c>
      <c r="L1639" s="14">
        <v>478</v>
      </c>
      <c r="M1639" s="10">
        <v>160</v>
      </c>
      <c r="N1639" s="10">
        <v>52820</v>
      </c>
      <c r="O1639" s="10">
        <v>12547</v>
      </c>
      <c r="P1639" s="10">
        <v>65367</v>
      </c>
    </row>
    <row r="1640" spans="1:16" ht="27" customHeight="1" x14ac:dyDescent="0.2">
      <c r="A1640" s="9" t="s">
        <v>5806</v>
      </c>
      <c r="B1640" s="10" t="s">
        <v>6001</v>
      </c>
      <c r="C1640" s="11" t="s">
        <v>6011</v>
      </c>
      <c r="D1640" s="11" t="s">
        <v>6012</v>
      </c>
      <c r="E1640" s="11" t="s">
        <v>57</v>
      </c>
      <c r="F1640" s="11" t="s">
        <v>6013</v>
      </c>
      <c r="G1640" s="11" t="s">
        <v>28</v>
      </c>
      <c r="H1640" s="11" t="s">
        <v>6013</v>
      </c>
      <c r="I1640" s="11" t="s">
        <v>6014</v>
      </c>
      <c r="J1640" s="12">
        <v>0.63</v>
      </c>
      <c r="K1640" s="13">
        <v>1</v>
      </c>
      <c r="L1640" s="14">
        <v>300</v>
      </c>
      <c r="M1640" s="10">
        <v>189</v>
      </c>
      <c r="N1640" s="10">
        <v>33150</v>
      </c>
      <c r="O1640" s="10">
        <v>14821</v>
      </c>
      <c r="P1640" s="10">
        <v>47971</v>
      </c>
    </row>
    <row r="1641" spans="1:16" ht="27" customHeight="1" x14ac:dyDescent="0.2">
      <c r="A1641" s="9" t="s">
        <v>5806</v>
      </c>
      <c r="B1641" s="10" t="s">
        <v>6001</v>
      </c>
      <c r="C1641" s="11" t="s">
        <v>6015</v>
      </c>
      <c r="D1641" s="11" t="s">
        <v>6016</v>
      </c>
      <c r="E1641" s="11" t="s">
        <v>26</v>
      </c>
      <c r="F1641" s="11" t="s">
        <v>5224</v>
      </c>
      <c r="G1641" s="11" t="s">
        <v>28</v>
      </c>
      <c r="H1641" s="11" t="s">
        <v>5809</v>
      </c>
      <c r="I1641" s="11" t="s">
        <v>5810</v>
      </c>
      <c r="J1641" s="12">
        <v>0.96760000000000002</v>
      </c>
      <c r="K1641" s="13">
        <v>1</v>
      </c>
      <c r="L1641" s="14">
        <v>365</v>
      </c>
      <c r="M1641" s="10">
        <v>84</v>
      </c>
      <c r="N1641" s="10">
        <v>40333</v>
      </c>
      <c r="O1641" s="10">
        <v>6587</v>
      </c>
      <c r="P1641" s="10">
        <v>46920</v>
      </c>
    </row>
    <row r="1642" spans="1:16" ht="27" customHeight="1" x14ac:dyDescent="0.2">
      <c r="A1642" s="9" t="s">
        <v>5806</v>
      </c>
      <c r="B1642" s="10" t="s">
        <v>6017</v>
      </c>
      <c r="C1642" s="11" t="s">
        <v>18</v>
      </c>
      <c r="D1642" s="11" t="s">
        <v>19</v>
      </c>
      <c r="E1642" s="11" t="s">
        <v>19</v>
      </c>
      <c r="F1642" s="11" t="s">
        <v>6018</v>
      </c>
      <c r="G1642" s="11" t="s">
        <v>83</v>
      </c>
      <c r="H1642" s="11" t="s">
        <v>6019</v>
      </c>
      <c r="I1642" s="11" t="s">
        <v>6020</v>
      </c>
      <c r="J1642" s="12">
        <v>0.31580000000000003</v>
      </c>
      <c r="K1642" s="13">
        <v>10</v>
      </c>
      <c r="L1642" s="14">
        <v>7539</v>
      </c>
      <c r="M1642" s="10">
        <v>922</v>
      </c>
      <c r="N1642" s="10">
        <v>833073</v>
      </c>
      <c r="O1642" s="10">
        <v>72303</v>
      </c>
      <c r="P1642" s="10">
        <v>905376</v>
      </c>
    </row>
    <row r="1643" spans="1:16" ht="27" customHeight="1" x14ac:dyDescent="0.2">
      <c r="A1643" s="9" t="s">
        <v>5806</v>
      </c>
      <c r="B1643" s="10" t="s">
        <v>6021</v>
      </c>
      <c r="C1643" s="11" t="s">
        <v>18</v>
      </c>
      <c r="D1643" s="11" t="s">
        <v>19</v>
      </c>
      <c r="E1643" s="11" t="s">
        <v>19</v>
      </c>
      <c r="F1643" s="11" t="s">
        <v>6022</v>
      </c>
      <c r="G1643" s="11" t="s">
        <v>83</v>
      </c>
      <c r="H1643" s="11" t="s">
        <v>6023</v>
      </c>
      <c r="I1643" s="11" t="s">
        <v>6024</v>
      </c>
      <c r="J1643" s="12">
        <v>0.77390000000000003</v>
      </c>
      <c r="K1643" s="13">
        <v>2</v>
      </c>
      <c r="L1643" s="14">
        <v>204</v>
      </c>
      <c r="M1643" s="10">
        <v>158</v>
      </c>
      <c r="N1643" s="10">
        <v>22542</v>
      </c>
      <c r="O1643" s="10">
        <v>12390</v>
      </c>
      <c r="P1643" s="10">
        <v>34932</v>
      </c>
    </row>
    <row r="1644" spans="1:16" ht="27" customHeight="1" x14ac:dyDescent="0.2">
      <c r="A1644" s="9" t="s">
        <v>5806</v>
      </c>
      <c r="B1644" s="10" t="s">
        <v>6021</v>
      </c>
      <c r="C1644" s="11" t="s">
        <v>6025</v>
      </c>
      <c r="D1644" s="11" t="s">
        <v>6026</v>
      </c>
      <c r="E1644" s="11" t="s">
        <v>26</v>
      </c>
      <c r="F1644" s="11" t="s">
        <v>6027</v>
      </c>
      <c r="G1644" s="11" t="s">
        <v>28</v>
      </c>
      <c r="H1644" s="11" t="s">
        <v>6027</v>
      </c>
      <c r="I1644" s="11" t="s">
        <v>6028</v>
      </c>
      <c r="J1644" s="12">
        <v>0.34039999999999998</v>
      </c>
      <c r="K1644" s="13">
        <v>1</v>
      </c>
      <c r="L1644" s="14">
        <v>993</v>
      </c>
      <c r="M1644" s="10">
        <v>338</v>
      </c>
      <c r="N1644" s="10">
        <v>109728</v>
      </c>
      <c r="O1644" s="10">
        <v>26506</v>
      </c>
      <c r="P1644" s="10">
        <v>136234</v>
      </c>
    </row>
    <row r="1645" spans="1:16" ht="27" customHeight="1" x14ac:dyDescent="0.2">
      <c r="A1645" s="9" t="s">
        <v>5806</v>
      </c>
      <c r="B1645" s="10" t="s">
        <v>6021</v>
      </c>
      <c r="C1645" s="11" t="s">
        <v>6029</v>
      </c>
      <c r="D1645" s="11" t="s">
        <v>6030</v>
      </c>
      <c r="E1645" s="11" t="s">
        <v>26</v>
      </c>
      <c r="F1645" s="11" t="s">
        <v>6031</v>
      </c>
      <c r="G1645" s="11" t="s">
        <v>28</v>
      </c>
      <c r="H1645" s="11" t="s">
        <v>6031</v>
      </c>
      <c r="I1645" s="11" t="s">
        <v>6032</v>
      </c>
      <c r="J1645" s="12">
        <v>0.36299999999999999</v>
      </c>
      <c r="K1645" s="13">
        <v>1</v>
      </c>
      <c r="L1645" s="14">
        <v>765</v>
      </c>
      <c r="M1645" s="10">
        <v>278</v>
      </c>
      <c r="N1645" s="10">
        <v>84534</v>
      </c>
      <c r="O1645" s="10">
        <v>21800</v>
      </c>
      <c r="P1645" s="10">
        <v>106334</v>
      </c>
    </row>
    <row r="1646" spans="1:16" ht="27" customHeight="1" x14ac:dyDescent="0.2">
      <c r="A1646" s="9" t="s">
        <v>5806</v>
      </c>
      <c r="B1646" s="10" t="s">
        <v>6021</v>
      </c>
      <c r="C1646" s="11" t="s">
        <v>6033</v>
      </c>
      <c r="D1646" s="11" t="s">
        <v>6034</v>
      </c>
      <c r="E1646" s="11" t="s">
        <v>26</v>
      </c>
      <c r="F1646" s="11" t="s">
        <v>6035</v>
      </c>
      <c r="G1646" s="11" t="s">
        <v>28</v>
      </c>
      <c r="H1646" s="11" t="s">
        <v>6035</v>
      </c>
      <c r="I1646" s="11" t="s">
        <v>6036</v>
      </c>
      <c r="J1646" s="12">
        <v>0.77610000000000001</v>
      </c>
      <c r="K1646" s="13">
        <v>1</v>
      </c>
      <c r="L1646" s="14">
        <v>67</v>
      </c>
      <c r="M1646" s="10">
        <v>52</v>
      </c>
      <c r="N1646" s="10">
        <v>7404</v>
      </c>
      <c r="O1646" s="10">
        <v>4078</v>
      </c>
      <c r="P1646" s="10">
        <v>11482</v>
      </c>
    </row>
    <row r="1647" spans="1:16" ht="27" customHeight="1" x14ac:dyDescent="0.2">
      <c r="A1647" s="9" t="s">
        <v>5806</v>
      </c>
      <c r="B1647" s="10" t="s">
        <v>6021</v>
      </c>
      <c r="C1647" s="11" t="s">
        <v>6037</v>
      </c>
      <c r="D1647" s="11" t="s">
        <v>6038</v>
      </c>
      <c r="E1647" s="11" t="s">
        <v>26</v>
      </c>
      <c r="F1647" s="11" t="s">
        <v>6039</v>
      </c>
      <c r="G1647" s="11" t="s">
        <v>28</v>
      </c>
      <c r="H1647" s="11" t="s">
        <v>6039</v>
      </c>
      <c r="I1647" s="11" t="s">
        <v>6040</v>
      </c>
      <c r="J1647" s="12">
        <v>0.30790000000000001</v>
      </c>
      <c r="K1647" s="13">
        <v>1</v>
      </c>
      <c r="L1647" s="14">
        <v>458</v>
      </c>
      <c r="M1647" s="10">
        <v>141</v>
      </c>
      <c r="N1647" s="10">
        <v>50610</v>
      </c>
      <c r="O1647" s="10">
        <v>11057</v>
      </c>
      <c r="P1647" s="10">
        <v>61667</v>
      </c>
    </row>
    <row r="1648" spans="1:16" ht="27" customHeight="1" x14ac:dyDescent="0.2">
      <c r="A1648" s="9" t="s">
        <v>5806</v>
      </c>
      <c r="B1648" s="10" t="s">
        <v>6021</v>
      </c>
      <c r="C1648" s="11" t="s">
        <v>6041</v>
      </c>
      <c r="D1648" s="11" t="s">
        <v>6042</v>
      </c>
      <c r="E1648" s="11" t="s">
        <v>26</v>
      </c>
      <c r="F1648" s="11" t="s">
        <v>6043</v>
      </c>
      <c r="G1648" s="11" t="s">
        <v>28</v>
      </c>
      <c r="H1648" s="11" t="s">
        <v>5809</v>
      </c>
      <c r="I1648" s="11" t="s">
        <v>5810</v>
      </c>
      <c r="J1648" s="12">
        <v>0.96760000000000002</v>
      </c>
      <c r="K1648" s="13">
        <v>1</v>
      </c>
      <c r="L1648" s="14">
        <v>108</v>
      </c>
      <c r="M1648" s="10">
        <v>42</v>
      </c>
      <c r="N1648" s="10">
        <v>11934</v>
      </c>
      <c r="O1648" s="10">
        <v>3294</v>
      </c>
      <c r="P1648" s="10">
        <v>15228</v>
      </c>
    </row>
    <row r="1649" spans="1:16" ht="27" customHeight="1" x14ac:dyDescent="0.2">
      <c r="A1649" s="9" t="s">
        <v>6044</v>
      </c>
      <c r="B1649" s="10" t="s">
        <v>6045</v>
      </c>
      <c r="C1649" s="11" t="s">
        <v>18</v>
      </c>
      <c r="D1649" s="11" t="s">
        <v>19</v>
      </c>
      <c r="E1649" s="11" t="s">
        <v>19</v>
      </c>
      <c r="F1649" s="11" t="s">
        <v>6046</v>
      </c>
      <c r="G1649" s="11" t="s">
        <v>21</v>
      </c>
      <c r="H1649" s="11" t="s">
        <v>6047</v>
      </c>
      <c r="I1649" s="11" t="s">
        <v>6048</v>
      </c>
      <c r="J1649" s="12">
        <v>0.9</v>
      </c>
      <c r="K1649" s="13">
        <v>4</v>
      </c>
      <c r="L1649" s="14">
        <v>245</v>
      </c>
      <c r="M1649" s="10">
        <v>226</v>
      </c>
      <c r="N1649" s="10">
        <v>27074</v>
      </c>
      <c r="O1649" s="10">
        <v>17723</v>
      </c>
      <c r="P1649" s="10">
        <v>44797</v>
      </c>
    </row>
    <row r="1650" spans="1:16" ht="27" customHeight="1" x14ac:dyDescent="0.2">
      <c r="A1650" s="9" t="s">
        <v>6044</v>
      </c>
      <c r="B1650" s="10" t="s">
        <v>6045</v>
      </c>
      <c r="C1650" s="11" t="s">
        <v>6049</v>
      </c>
      <c r="D1650" s="11" t="s">
        <v>6050</v>
      </c>
      <c r="E1650" s="11" t="s">
        <v>57</v>
      </c>
      <c r="F1650" s="11" t="s">
        <v>6051</v>
      </c>
      <c r="G1650" s="11" t="s">
        <v>28</v>
      </c>
      <c r="H1650" s="11" t="s">
        <v>6047</v>
      </c>
      <c r="I1650" s="11" t="s">
        <v>6048</v>
      </c>
      <c r="J1650" s="12">
        <v>0.9</v>
      </c>
      <c r="K1650" s="13">
        <v>1</v>
      </c>
      <c r="L1650" s="14">
        <v>212</v>
      </c>
      <c r="M1650" s="10">
        <v>169</v>
      </c>
      <c r="N1650" s="10">
        <v>23426</v>
      </c>
      <c r="O1650" s="10">
        <v>13253</v>
      </c>
      <c r="P1650" s="10">
        <v>36679</v>
      </c>
    </row>
    <row r="1651" spans="1:16" ht="27" customHeight="1" x14ac:dyDescent="0.2">
      <c r="A1651" s="9" t="s">
        <v>6044</v>
      </c>
      <c r="B1651" s="10" t="s">
        <v>6045</v>
      </c>
      <c r="C1651" s="11" t="s">
        <v>6052</v>
      </c>
      <c r="D1651" s="11" t="s">
        <v>6053</v>
      </c>
      <c r="E1651" s="11" t="s">
        <v>26</v>
      </c>
      <c r="F1651" s="11" t="s">
        <v>6054</v>
      </c>
      <c r="G1651" s="11" t="s">
        <v>28</v>
      </c>
      <c r="H1651" s="11" t="s">
        <v>6054</v>
      </c>
      <c r="I1651" s="11" t="s">
        <v>6055</v>
      </c>
      <c r="J1651" s="12">
        <v>0.34200000000000003</v>
      </c>
      <c r="K1651" s="13">
        <v>1</v>
      </c>
      <c r="L1651" s="14">
        <v>462</v>
      </c>
      <c r="M1651" s="10">
        <v>158</v>
      </c>
      <c r="N1651" s="10">
        <v>51052</v>
      </c>
      <c r="O1651" s="10">
        <v>12390</v>
      </c>
      <c r="P1651" s="10">
        <v>63442</v>
      </c>
    </row>
    <row r="1652" spans="1:16" ht="27" customHeight="1" x14ac:dyDescent="0.2">
      <c r="A1652" s="9" t="s">
        <v>6044</v>
      </c>
      <c r="B1652" s="10" t="s">
        <v>6056</v>
      </c>
      <c r="C1652" s="11" t="s">
        <v>18</v>
      </c>
      <c r="D1652" s="11" t="s">
        <v>19</v>
      </c>
      <c r="E1652" s="11" t="s">
        <v>19</v>
      </c>
      <c r="F1652" s="11" t="s">
        <v>6057</v>
      </c>
      <c r="G1652" s="11" t="s">
        <v>83</v>
      </c>
      <c r="H1652" s="11" t="s">
        <v>6047</v>
      </c>
      <c r="I1652" s="11" t="s">
        <v>6048</v>
      </c>
      <c r="J1652" s="12">
        <v>0.9</v>
      </c>
      <c r="K1652" s="13">
        <v>13</v>
      </c>
      <c r="L1652" s="14">
        <v>4333</v>
      </c>
      <c r="M1652" s="10">
        <v>2067</v>
      </c>
      <c r="N1652" s="10">
        <v>478804</v>
      </c>
      <c r="O1652" s="10">
        <v>162092</v>
      </c>
      <c r="P1652" s="10">
        <v>640896</v>
      </c>
    </row>
    <row r="1653" spans="1:16" ht="27" customHeight="1" x14ac:dyDescent="0.2">
      <c r="A1653" s="9" t="s">
        <v>6044</v>
      </c>
      <c r="B1653" s="10" t="s">
        <v>6058</v>
      </c>
      <c r="C1653" s="11" t="s">
        <v>18</v>
      </c>
      <c r="D1653" s="11" t="s">
        <v>19</v>
      </c>
      <c r="E1653" s="11" t="s">
        <v>19</v>
      </c>
      <c r="F1653" s="11" t="s">
        <v>6059</v>
      </c>
      <c r="G1653" s="11" t="s">
        <v>83</v>
      </c>
      <c r="H1653" s="11" t="s">
        <v>6059</v>
      </c>
      <c r="I1653" s="11" t="s">
        <v>6060</v>
      </c>
      <c r="J1653" s="12">
        <v>0.39179999999999998</v>
      </c>
      <c r="K1653" s="13">
        <v>2</v>
      </c>
      <c r="L1653" s="14">
        <v>172</v>
      </c>
      <c r="M1653" s="10">
        <v>67</v>
      </c>
      <c r="N1653" s="10">
        <v>19006</v>
      </c>
      <c r="O1653" s="10">
        <v>5254</v>
      </c>
      <c r="P1653" s="10">
        <v>24260</v>
      </c>
    </row>
    <row r="1654" spans="1:16" ht="27" customHeight="1" x14ac:dyDescent="0.2">
      <c r="A1654" s="9" t="s">
        <v>6044</v>
      </c>
      <c r="B1654" s="10" t="s">
        <v>6061</v>
      </c>
      <c r="C1654" s="11" t="s">
        <v>18</v>
      </c>
      <c r="D1654" s="11" t="s">
        <v>19</v>
      </c>
      <c r="E1654" s="11" t="s">
        <v>19</v>
      </c>
      <c r="F1654" s="11" t="s">
        <v>6062</v>
      </c>
      <c r="G1654" s="11" t="s">
        <v>83</v>
      </c>
      <c r="H1654" s="11" t="s">
        <v>6063</v>
      </c>
      <c r="I1654" s="11" t="s">
        <v>6064</v>
      </c>
      <c r="J1654" s="12">
        <v>0.85240000000000005</v>
      </c>
      <c r="K1654" s="13">
        <v>20</v>
      </c>
      <c r="L1654" s="14">
        <v>9693</v>
      </c>
      <c r="M1654" s="10">
        <v>5738</v>
      </c>
      <c r="N1654" s="10">
        <v>1071092</v>
      </c>
      <c r="O1654" s="10">
        <v>449967</v>
      </c>
      <c r="P1654" s="10">
        <v>1521059</v>
      </c>
    </row>
    <row r="1655" spans="1:16" ht="27" customHeight="1" x14ac:dyDescent="0.2">
      <c r="A1655" s="9" t="s">
        <v>6044</v>
      </c>
      <c r="B1655" s="10" t="s">
        <v>6065</v>
      </c>
      <c r="C1655" s="11" t="s">
        <v>18</v>
      </c>
      <c r="D1655" s="11" t="s">
        <v>19</v>
      </c>
      <c r="E1655" s="11" t="s">
        <v>19</v>
      </c>
      <c r="F1655" s="11" t="s">
        <v>6066</v>
      </c>
      <c r="G1655" s="11" t="s">
        <v>83</v>
      </c>
      <c r="H1655" s="11" t="s">
        <v>6067</v>
      </c>
      <c r="I1655" s="11" t="s">
        <v>6068</v>
      </c>
      <c r="J1655" s="12">
        <v>0.30909999999999999</v>
      </c>
      <c r="K1655" s="13">
        <v>2</v>
      </c>
      <c r="L1655" s="14">
        <v>56</v>
      </c>
      <c r="M1655" s="10">
        <v>17</v>
      </c>
      <c r="N1655" s="10">
        <v>6188</v>
      </c>
      <c r="O1655" s="10">
        <v>1333</v>
      </c>
      <c r="P1655" s="10">
        <v>7521</v>
      </c>
    </row>
    <row r="1656" spans="1:16" ht="27" customHeight="1" x14ac:dyDescent="0.2">
      <c r="A1656" s="9" t="s">
        <v>6044</v>
      </c>
      <c r="B1656" s="10" t="s">
        <v>6069</v>
      </c>
      <c r="C1656" s="11" t="s">
        <v>18</v>
      </c>
      <c r="D1656" s="11" t="s">
        <v>19</v>
      </c>
      <c r="E1656" s="11" t="s">
        <v>19</v>
      </c>
      <c r="F1656" s="11" t="s">
        <v>6070</v>
      </c>
      <c r="G1656" s="11" t="s">
        <v>83</v>
      </c>
      <c r="H1656" s="11" t="s">
        <v>6071</v>
      </c>
      <c r="I1656" s="11" t="s">
        <v>6072</v>
      </c>
      <c r="J1656" s="12">
        <v>0.50690000000000002</v>
      </c>
      <c r="K1656" s="13">
        <v>17</v>
      </c>
      <c r="L1656" s="14">
        <v>7629</v>
      </c>
      <c r="M1656" s="10">
        <v>2599</v>
      </c>
      <c r="N1656" s="10">
        <v>843017</v>
      </c>
      <c r="O1656" s="10">
        <v>203812</v>
      </c>
      <c r="P1656" s="10">
        <v>1046829</v>
      </c>
    </row>
    <row r="1657" spans="1:16" ht="27" customHeight="1" x14ac:dyDescent="0.2">
      <c r="A1657" s="9" t="s">
        <v>6044</v>
      </c>
      <c r="B1657" s="10" t="s">
        <v>6069</v>
      </c>
      <c r="C1657" s="11" t="s">
        <v>6073</v>
      </c>
      <c r="D1657" s="11" t="s">
        <v>6074</v>
      </c>
      <c r="E1657" s="11" t="s">
        <v>26</v>
      </c>
      <c r="F1657" s="11" t="s">
        <v>6075</v>
      </c>
      <c r="G1657" s="11" t="s">
        <v>28</v>
      </c>
      <c r="H1657" s="11" t="s">
        <v>6075</v>
      </c>
      <c r="I1657" s="11" t="s">
        <v>6076</v>
      </c>
      <c r="J1657" s="12">
        <v>0.14810000000000001</v>
      </c>
      <c r="K1657" s="13">
        <v>1</v>
      </c>
      <c r="L1657" s="14">
        <v>162</v>
      </c>
      <c r="M1657" s="10">
        <v>24</v>
      </c>
      <c r="N1657" s="10">
        <v>17901</v>
      </c>
      <c r="O1657" s="10">
        <v>1882</v>
      </c>
      <c r="P1657" s="10">
        <v>19783</v>
      </c>
    </row>
    <row r="1658" spans="1:16" ht="27" customHeight="1" x14ac:dyDescent="0.2">
      <c r="A1658" s="9" t="s">
        <v>6044</v>
      </c>
      <c r="B1658" s="10" t="s">
        <v>6077</v>
      </c>
      <c r="C1658" s="11" t="s">
        <v>18</v>
      </c>
      <c r="D1658" s="11" t="s">
        <v>19</v>
      </c>
      <c r="E1658" s="11" t="s">
        <v>19</v>
      </c>
      <c r="F1658" s="11" t="s">
        <v>6078</v>
      </c>
      <c r="G1658" s="11" t="s">
        <v>83</v>
      </c>
      <c r="H1658" s="11" t="s">
        <v>6079</v>
      </c>
      <c r="I1658" s="11" t="s">
        <v>6080</v>
      </c>
      <c r="J1658" s="12">
        <v>0.76939999999999997</v>
      </c>
      <c r="K1658" s="13">
        <v>3</v>
      </c>
      <c r="L1658" s="14">
        <v>661</v>
      </c>
      <c r="M1658" s="10">
        <v>424</v>
      </c>
      <c r="N1658" s="10">
        <v>73041</v>
      </c>
      <c r="O1658" s="10">
        <v>33250</v>
      </c>
      <c r="P1658" s="10">
        <v>106291</v>
      </c>
    </row>
    <row r="1659" spans="1:16" ht="27" customHeight="1" x14ac:dyDescent="0.2">
      <c r="A1659" s="9" t="s">
        <v>6044</v>
      </c>
      <c r="B1659" s="10" t="s">
        <v>6081</v>
      </c>
      <c r="C1659" s="11" t="s">
        <v>18</v>
      </c>
      <c r="D1659" s="11" t="s">
        <v>19</v>
      </c>
      <c r="E1659" s="11" t="s">
        <v>19</v>
      </c>
      <c r="F1659" s="11" t="s">
        <v>6082</v>
      </c>
      <c r="G1659" s="11" t="s">
        <v>83</v>
      </c>
      <c r="H1659" s="11" t="s">
        <v>6083</v>
      </c>
      <c r="I1659" s="11" t="s">
        <v>6084</v>
      </c>
      <c r="J1659" s="12">
        <v>0.76570000000000005</v>
      </c>
      <c r="K1659" s="13">
        <v>4</v>
      </c>
      <c r="L1659" s="14">
        <v>272</v>
      </c>
      <c r="M1659" s="10">
        <v>191</v>
      </c>
      <c r="N1659" s="10">
        <v>30056</v>
      </c>
      <c r="O1659" s="10">
        <v>14978</v>
      </c>
      <c r="P1659" s="10">
        <v>45034</v>
      </c>
    </row>
    <row r="1660" spans="1:16" ht="27" customHeight="1" x14ac:dyDescent="0.2">
      <c r="A1660" s="9" t="s">
        <v>6044</v>
      </c>
      <c r="B1660" s="10" t="s">
        <v>6085</v>
      </c>
      <c r="C1660" s="11" t="s">
        <v>18</v>
      </c>
      <c r="D1660" s="11" t="s">
        <v>19</v>
      </c>
      <c r="E1660" s="11" t="s">
        <v>19</v>
      </c>
      <c r="F1660" s="11" t="s">
        <v>6086</v>
      </c>
      <c r="G1660" s="11" t="s">
        <v>83</v>
      </c>
      <c r="H1660" s="11" t="s">
        <v>6087</v>
      </c>
      <c r="I1660" s="11" t="s">
        <v>6088</v>
      </c>
      <c r="J1660" s="12">
        <v>0.23499999999999999</v>
      </c>
      <c r="K1660" s="13">
        <v>8</v>
      </c>
      <c r="L1660" s="14">
        <v>2270</v>
      </c>
      <c r="M1660" s="10">
        <v>474</v>
      </c>
      <c r="N1660" s="10">
        <v>250839</v>
      </c>
      <c r="O1660" s="10">
        <v>37171</v>
      </c>
      <c r="P1660" s="10">
        <v>288010</v>
      </c>
    </row>
    <row r="1661" spans="1:16" ht="27" customHeight="1" x14ac:dyDescent="0.2">
      <c r="A1661" s="9" t="s">
        <v>6044</v>
      </c>
      <c r="B1661" s="10" t="s">
        <v>6089</v>
      </c>
      <c r="C1661" s="11" t="s">
        <v>18</v>
      </c>
      <c r="D1661" s="11" t="s">
        <v>19</v>
      </c>
      <c r="E1661" s="11" t="s">
        <v>19</v>
      </c>
      <c r="F1661" s="11" t="s">
        <v>6090</v>
      </c>
      <c r="G1661" s="11" t="s">
        <v>83</v>
      </c>
      <c r="H1661" s="11" t="s">
        <v>6091</v>
      </c>
      <c r="I1661" s="11" t="s">
        <v>6092</v>
      </c>
      <c r="J1661" s="12">
        <v>0.79479999999999995</v>
      </c>
      <c r="K1661" s="13">
        <v>14</v>
      </c>
      <c r="L1661" s="14">
        <v>6393</v>
      </c>
      <c r="M1661" s="10">
        <v>4061</v>
      </c>
      <c r="N1661" s="10">
        <v>706438</v>
      </c>
      <c r="O1661" s="10">
        <v>318458</v>
      </c>
      <c r="P1661" s="10">
        <v>1024896</v>
      </c>
    </row>
    <row r="1662" spans="1:16" ht="27" customHeight="1" x14ac:dyDescent="0.2">
      <c r="A1662" s="9" t="s">
        <v>6044</v>
      </c>
      <c r="B1662" s="10" t="s">
        <v>6093</v>
      </c>
      <c r="C1662" s="11" t="s">
        <v>18</v>
      </c>
      <c r="D1662" s="11" t="s">
        <v>19</v>
      </c>
      <c r="E1662" s="11" t="s">
        <v>19</v>
      </c>
      <c r="F1662" s="11" t="s">
        <v>6094</v>
      </c>
      <c r="G1662" s="11" t="s">
        <v>83</v>
      </c>
      <c r="H1662" s="11" t="s">
        <v>6095</v>
      </c>
      <c r="I1662" s="11" t="s">
        <v>6096</v>
      </c>
      <c r="J1662" s="12">
        <v>0.64249999999999996</v>
      </c>
      <c r="K1662" s="13">
        <v>5</v>
      </c>
      <c r="L1662" s="14">
        <v>494</v>
      </c>
      <c r="M1662" s="10">
        <v>328</v>
      </c>
      <c r="N1662" s="10">
        <v>54589</v>
      </c>
      <c r="O1662" s="10">
        <v>25721</v>
      </c>
      <c r="P1662" s="10">
        <v>80310</v>
      </c>
    </row>
    <row r="1663" spans="1:16" ht="27" customHeight="1" x14ac:dyDescent="0.2">
      <c r="A1663" s="9" t="s">
        <v>6097</v>
      </c>
      <c r="B1663" s="10" t="s">
        <v>6098</v>
      </c>
      <c r="C1663" s="11" t="s">
        <v>18</v>
      </c>
      <c r="D1663" s="11" t="s">
        <v>19</v>
      </c>
      <c r="E1663" s="11" t="s">
        <v>19</v>
      </c>
      <c r="F1663" s="11" t="s">
        <v>6099</v>
      </c>
      <c r="G1663" s="11" t="s">
        <v>21</v>
      </c>
      <c r="H1663" s="11" t="s">
        <v>6100</v>
      </c>
      <c r="I1663" s="11" t="s">
        <v>6101</v>
      </c>
      <c r="J1663" s="12">
        <v>0.91410000000000002</v>
      </c>
      <c r="K1663" s="13">
        <v>6</v>
      </c>
      <c r="L1663" s="14">
        <v>705</v>
      </c>
      <c r="M1663" s="10">
        <v>617</v>
      </c>
      <c r="N1663" s="10">
        <v>77905</v>
      </c>
      <c r="O1663" s="10">
        <v>48384</v>
      </c>
      <c r="P1663" s="10">
        <v>126289</v>
      </c>
    </row>
    <row r="1664" spans="1:16" ht="27" customHeight="1" x14ac:dyDescent="0.2">
      <c r="A1664" s="9" t="s">
        <v>6097</v>
      </c>
      <c r="B1664" s="10" t="s">
        <v>6098</v>
      </c>
      <c r="C1664" s="11" t="s">
        <v>6102</v>
      </c>
      <c r="D1664" s="11" t="s">
        <v>6103</v>
      </c>
      <c r="E1664" s="11" t="s">
        <v>26</v>
      </c>
      <c r="F1664" s="11" t="s">
        <v>6104</v>
      </c>
      <c r="G1664" s="11" t="s">
        <v>28</v>
      </c>
      <c r="H1664" s="11" t="s">
        <v>6100</v>
      </c>
      <c r="I1664" s="11" t="s">
        <v>6101</v>
      </c>
      <c r="J1664" s="12">
        <v>0.91410000000000002</v>
      </c>
      <c r="K1664" s="13">
        <v>1</v>
      </c>
      <c r="L1664" s="14">
        <v>92</v>
      </c>
      <c r="M1664" s="10">
        <v>68</v>
      </c>
      <c r="N1664" s="10">
        <v>10166</v>
      </c>
      <c r="O1664" s="10">
        <v>5332</v>
      </c>
      <c r="P1664" s="10">
        <v>15498</v>
      </c>
    </row>
    <row r="1665" spans="1:16" ht="27" customHeight="1" x14ac:dyDescent="0.2">
      <c r="A1665" s="9" t="s">
        <v>6097</v>
      </c>
      <c r="B1665" s="10" t="s">
        <v>6105</v>
      </c>
      <c r="C1665" s="11" t="s">
        <v>18</v>
      </c>
      <c r="D1665" s="11" t="s">
        <v>19</v>
      </c>
      <c r="E1665" s="11" t="s">
        <v>19</v>
      </c>
      <c r="F1665" s="11" t="s">
        <v>6106</v>
      </c>
      <c r="G1665" s="11" t="s">
        <v>83</v>
      </c>
      <c r="H1665" s="11" t="s">
        <v>6107</v>
      </c>
      <c r="I1665" s="11" t="s">
        <v>6108</v>
      </c>
      <c r="J1665" s="12">
        <v>0.53420000000000001</v>
      </c>
      <c r="K1665" s="13">
        <v>2</v>
      </c>
      <c r="L1665" s="14">
        <v>326</v>
      </c>
      <c r="M1665" s="10">
        <v>174</v>
      </c>
      <c r="N1665" s="10">
        <v>36024</v>
      </c>
      <c r="O1665" s="10">
        <v>13645</v>
      </c>
      <c r="P1665" s="10">
        <v>49669</v>
      </c>
    </row>
    <row r="1666" spans="1:16" ht="27" customHeight="1" x14ac:dyDescent="0.2">
      <c r="A1666" s="9" t="s">
        <v>6097</v>
      </c>
      <c r="B1666" s="10" t="s">
        <v>6109</v>
      </c>
      <c r="C1666" s="11" t="s">
        <v>18</v>
      </c>
      <c r="D1666" s="11" t="s">
        <v>19</v>
      </c>
      <c r="E1666" s="11" t="s">
        <v>19</v>
      </c>
      <c r="F1666" s="11" t="s">
        <v>6110</v>
      </c>
      <c r="G1666" s="11" t="s">
        <v>83</v>
      </c>
      <c r="H1666" s="11" t="s">
        <v>6111</v>
      </c>
      <c r="I1666" s="11" t="s">
        <v>6112</v>
      </c>
      <c r="J1666" s="12">
        <v>0.17430000000000001</v>
      </c>
      <c r="K1666" s="13">
        <v>8</v>
      </c>
      <c r="L1666" s="14">
        <v>3964</v>
      </c>
      <c r="M1666" s="10">
        <v>288</v>
      </c>
      <c r="N1666" s="10">
        <v>438028</v>
      </c>
      <c r="O1666" s="10">
        <v>22584</v>
      </c>
      <c r="P1666" s="10">
        <v>460612</v>
      </c>
    </row>
    <row r="1667" spans="1:16" ht="27" customHeight="1" x14ac:dyDescent="0.2">
      <c r="A1667" s="9" t="s">
        <v>6097</v>
      </c>
      <c r="B1667" s="10" t="s">
        <v>6113</v>
      </c>
      <c r="C1667" s="11" t="s">
        <v>18</v>
      </c>
      <c r="D1667" s="11" t="s">
        <v>19</v>
      </c>
      <c r="E1667" s="11" t="s">
        <v>19</v>
      </c>
      <c r="F1667" s="11" t="s">
        <v>6114</v>
      </c>
      <c r="G1667" s="11" t="s">
        <v>83</v>
      </c>
      <c r="H1667" s="11" t="s">
        <v>6115</v>
      </c>
      <c r="I1667" s="11" t="s">
        <v>6116</v>
      </c>
      <c r="J1667" s="12">
        <v>0.29909999999999998</v>
      </c>
      <c r="K1667" s="13">
        <v>4</v>
      </c>
      <c r="L1667" s="14">
        <v>463</v>
      </c>
      <c r="M1667" s="10">
        <v>91</v>
      </c>
      <c r="N1667" s="10">
        <v>51163</v>
      </c>
      <c r="O1667" s="10">
        <v>7136</v>
      </c>
      <c r="P1667" s="10">
        <v>58299</v>
      </c>
    </row>
    <row r="1668" spans="1:16" ht="27" customHeight="1" x14ac:dyDescent="0.2">
      <c r="A1668" s="9" t="s">
        <v>6097</v>
      </c>
      <c r="B1668" s="10" t="s">
        <v>6117</v>
      </c>
      <c r="C1668" s="11" t="s">
        <v>18</v>
      </c>
      <c r="D1668" s="11" t="s">
        <v>19</v>
      </c>
      <c r="E1668" s="11" t="s">
        <v>19</v>
      </c>
      <c r="F1668" s="11" t="s">
        <v>6118</v>
      </c>
      <c r="G1668" s="11" t="s">
        <v>83</v>
      </c>
      <c r="H1668" s="11" t="s">
        <v>3215</v>
      </c>
      <c r="I1668" s="11" t="s">
        <v>6119</v>
      </c>
      <c r="J1668" s="12">
        <v>0.25719999999999998</v>
      </c>
      <c r="K1668" s="13">
        <v>9</v>
      </c>
      <c r="L1668" s="14">
        <v>3289</v>
      </c>
      <c r="M1668" s="10">
        <v>524</v>
      </c>
      <c r="N1668" s="10">
        <v>363441</v>
      </c>
      <c r="O1668" s="10">
        <v>41091</v>
      </c>
      <c r="P1668" s="10">
        <v>404532</v>
      </c>
    </row>
    <row r="1669" spans="1:16" ht="27" customHeight="1" x14ac:dyDescent="0.2">
      <c r="A1669" s="9" t="s">
        <v>6097</v>
      </c>
      <c r="B1669" s="10" t="s">
        <v>6120</v>
      </c>
      <c r="C1669" s="11" t="s">
        <v>18</v>
      </c>
      <c r="D1669" s="11" t="s">
        <v>19</v>
      </c>
      <c r="E1669" s="11" t="s">
        <v>19</v>
      </c>
      <c r="F1669" s="11" t="s">
        <v>6121</v>
      </c>
      <c r="G1669" s="11" t="s">
        <v>83</v>
      </c>
      <c r="H1669" s="11" t="s">
        <v>6122</v>
      </c>
      <c r="I1669" s="11" t="s">
        <v>6123</v>
      </c>
      <c r="J1669" s="12">
        <v>0.46489999999999998</v>
      </c>
      <c r="K1669" s="13">
        <v>8</v>
      </c>
      <c r="L1669" s="14">
        <v>2760</v>
      </c>
      <c r="M1669" s="10">
        <v>1004</v>
      </c>
      <c r="N1669" s="10">
        <v>304986</v>
      </c>
      <c r="O1669" s="10">
        <v>78732</v>
      </c>
      <c r="P1669" s="10">
        <v>383718</v>
      </c>
    </row>
    <row r="1670" spans="1:16" ht="27" customHeight="1" x14ac:dyDescent="0.2">
      <c r="A1670" s="9" t="s">
        <v>6097</v>
      </c>
      <c r="B1670" s="10" t="s">
        <v>6124</v>
      </c>
      <c r="C1670" s="11" t="s">
        <v>18</v>
      </c>
      <c r="D1670" s="11" t="s">
        <v>19</v>
      </c>
      <c r="E1670" s="11" t="s">
        <v>19</v>
      </c>
      <c r="F1670" s="11" t="s">
        <v>6125</v>
      </c>
      <c r="G1670" s="11" t="s">
        <v>83</v>
      </c>
      <c r="H1670" s="11" t="s">
        <v>6126</v>
      </c>
      <c r="I1670" s="11" t="s">
        <v>6127</v>
      </c>
      <c r="J1670" s="12">
        <v>3.04E-2</v>
      </c>
      <c r="K1670" s="13">
        <v>5</v>
      </c>
      <c r="L1670" s="14">
        <v>1297</v>
      </c>
      <c r="M1670" s="10">
        <v>34</v>
      </c>
      <c r="N1670" s="10">
        <v>143320</v>
      </c>
      <c r="O1670" s="10">
        <v>2666</v>
      </c>
      <c r="P1670" s="10">
        <v>145986</v>
      </c>
    </row>
    <row r="1671" spans="1:16" ht="27" customHeight="1" x14ac:dyDescent="0.2">
      <c r="A1671" s="9" t="s">
        <v>6097</v>
      </c>
      <c r="B1671" s="10" t="s">
        <v>6128</v>
      </c>
      <c r="C1671" s="11" t="s">
        <v>18</v>
      </c>
      <c r="D1671" s="11" t="s">
        <v>19</v>
      </c>
      <c r="E1671" s="11" t="s">
        <v>19</v>
      </c>
      <c r="F1671" s="11" t="s">
        <v>1482</v>
      </c>
      <c r="G1671" s="11" t="s">
        <v>83</v>
      </c>
      <c r="H1671" s="11" t="s">
        <v>6129</v>
      </c>
      <c r="I1671" s="11" t="s">
        <v>6130</v>
      </c>
      <c r="J1671" s="12">
        <v>0.61539999999999995</v>
      </c>
      <c r="K1671" s="13">
        <v>15</v>
      </c>
      <c r="L1671" s="14">
        <v>5123</v>
      </c>
      <c r="M1671" s="10">
        <v>2531</v>
      </c>
      <c r="N1671" s="10">
        <v>566102</v>
      </c>
      <c r="O1671" s="10">
        <v>198479</v>
      </c>
      <c r="P1671" s="10">
        <v>764581</v>
      </c>
    </row>
    <row r="1672" spans="1:16" ht="27" customHeight="1" x14ac:dyDescent="0.2">
      <c r="A1672" s="9" t="s">
        <v>6097</v>
      </c>
      <c r="B1672" s="10" t="s">
        <v>6128</v>
      </c>
      <c r="C1672" s="11" t="s">
        <v>6131</v>
      </c>
      <c r="D1672" s="11" t="s">
        <v>6132</v>
      </c>
      <c r="E1672" s="11" t="s">
        <v>26</v>
      </c>
      <c r="F1672" s="11" t="s">
        <v>6133</v>
      </c>
      <c r="G1672" s="11" t="s">
        <v>28</v>
      </c>
      <c r="H1672" s="11" t="s">
        <v>6133</v>
      </c>
      <c r="I1672" s="11" t="s">
        <v>6134</v>
      </c>
      <c r="J1672" s="12">
        <v>0.50839999999999996</v>
      </c>
      <c r="K1672" s="13">
        <v>1</v>
      </c>
      <c r="L1672" s="14">
        <v>1009</v>
      </c>
      <c r="M1672" s="10">
        <v>513</v>
      </c>
      <c r="N1672" s="10">
        <v>111496</v>
      </c>
      <c r="O1672" s="10">
        <v>40229</v>
      </c>
      <c r="P1672" s="10">
        <v>151725</v>
      </c>
    </row>
    <row r="1673" spans="1:16" ht="27" customHeight="1" x14ac:dyDescent="0.2">
      <c r="A1673" s="9" t="s">
        <v>6097</v>
      </c>
      <c r="B1673" s="10" t="s">
        <v>6135</v>
      </c>
      <c r="C1673" s="11" t="s">
        <v>18</v>
      </c>
      <c r="D1673" s="11" t="s">
        <v>19</v>
      </c>
      <c r="E1673" s="11" t="s">
        <v>19</v>
      </c>
      <c r="F1673" s="11" t="s">
        <v>6136</v>
      </c>
      <c r="G1673" s="11" t="s">
        <v>83</v>
      </c>
      <c r="H1673" s="11" t="s">
        <v>6100</v>
      </c>
      <c r="I1673" s="11" t="s">
        <v>6101</v>
      </c>
      <c r="J1673" s="12">
        <v>0.91410000000000002</v>
      </c>
      <c r="K1673" s="13">
        <v>6</v>
      </c>
      <c r="L1673" s="14">
        <v>3866</v>
      </c>
      <c r="M1673" s="10">
        <v>1131</v>
      </c>
      <c r="N1673" s="10">
        <v>427199</v>
      </c>
      <c r="O1673" s="10">
        <v>88691</v>
      </c>
      <c r="P1673" s="10">
        <v>515890</v>
      </c>
    </row>
    <row r="1674" spans="1:16" ht="27" customHeight="1" x14ac:dyDescent="0.2">
      <c r="A1674" s="9" t="s">
        <v>6097</v>
      </c>
      <c r="B1674" s="10" t="s">
        <v>6135</v>
      </c>
      <c r="C1674" s="11" t="s">
        <v>6137</v>
      </c>
      <c r="D1674" s="11" t="s">
        <v>6138</v>
      </c>
      <c r="E1674" s="11" t="s">
        <v>26</v>
      </c>
      <c r="F1674" s="11" t="s">
        <v>6139</v>
      </c>
      <c r="G1674" s="11" t="s">
        <v>28</v>
      </c>
      <c r="H1674" s="11" t="s">
        <v>6100</v>
      </c>
      <c r="I1674" s="11" t="s">
        <v>6101</v>
      </c>
      <c r="J1674" s="12">
        <v>0.91410000000000002</v>
      </c>
      <c r="K1674" s="13">
        <v>1</v>
      </c>
      <c r="L1674" s="14">
        <v>442</v>
      </c>
      <c r="M1674" s="10">
        <v>115</v>
      </c>
      <c r="N1674" s="10">
        <v>48842</v>
      </c>
      <c r="O1674" s="10">
        <v>9018</v>
      </c>
      <c r="P1674" s="10">
        <v>57860</v>
      </c>
    </row>
    <row r="1675" spans="1:16" ht="27" customHeight="1" x14ac:dyDescent="0.2">
      <c r="A1675" s="9" t="s">
        <v>6097</v>
      </c>
      <c r="B1675" s="10" t="s">
        <v>6140</v>
      </c>
      <c r="C1675" s="11" t="s">
        <v>18</v>
      </c>
      <c r="D1675" s="11" t="s">
        <v>19</v>
      </c>
      <c r="E1675" s="11" t="s">
        <v>19</v>
      </c>
      <c r="F1675" s="11" t="s">
        <v>6141</v>
      </c>
      <c r="G1675" s="11" t="s">
        <v>83</v>
      </c>
      <c r="H1675" s="11" t="s">
        <v>6142</v>
      </c>
      <c r="I1675" s="11" t="s">
        <v>6143</v>
      </c>
      <c r="J1675" s="12">
        <v>0.36549999999999999</v>
      </c>
      <c r="K1675" s="13">
        <v>9</v>
      </c>
      <c r="L1675" s="14">
        <v>2756</v>
      </c>
      <c r="M1675" s="10">
        <v>515</v>
      </c>
      <c r="N1675" s="10">
        <v>304543</v>
      </c>
      <c r="O1675" s="10">
        <v>40386</v>
      </c>
      <c r="P1675" s="10">
        <v>344929</v>
      </c>
    </row>
    <row r="1676" spans="1:16" ht="27" customHeight="1" x14ac:dyDescent="0.2">
      <c r="A1676" s="9" t="s">
        <v>6097</v>
      </c>
      <c r="B1676" s="10" t="s">
        <v>6144</v>
      </c>
      <c r="C1676" s="11" t="s">
        <v>18</v>
      </c>
      <c r="D1676" s="11" t="s">
        <v>19</v>
      </c>
      <c r="E1676" s="11" t="s">
        <v>19</v>
      </c>
      <c r="F1676" s="11" t="s">
        <v>6145</v>
      </c>
      <c r="G1676" s="11" t="s">
        <v>83</v>
      </c>
      <c r="H1676" s="11" t="s">
        <v>6146</v>
      </c>
      <c r="I1676" s="11" t="s">
        <v>6147</v>
      </c>
      <c r="J1676" s="12">
        <v>0.42280000000000001</v>
      </c>
      <c r="K1676" s="13">
        <v>4</v>
      </c>
      <c r="L1676" s="14">
        <v>262</v>
      </c>
      <c r="M1676" s="10">
        <v>96</v>
      </c>
      <c r="N1676" s="10">
        <v>28951</v>
      </c>
      <c r="O1676" s="10">
        <v>7528</v>
      </c>
      <c r="P1676" s="10">
        <v>36479</v>
      </c>
    </row>
    <row r="1677" spans="1:16" ht="27" customHeight="1" x14ac:dyDescent="0.2">
      <c r="A1677" s="9" t="s">
        <v>6097</v>
      </c>
      <c r="B1677" s="10" t="s">
        <v>6148</v>
      </c>
      <c r="C1677" s="11" t="s">
        <v>18</v>
      </c>
      <c r="D1677" s="11" t="s">
        <v>19</v>
      </c>
      <c r="E1677" s="11" t="s">
        <v>19</v>
      </c>
      <c r="F1677" s="11" t="s">
        <v>6149</v>
      </c>
      <c r="G1677" s="11" t="s">
        <v>83</v>
      </c>
      <c r="H1677" s="11" t="s">
        <v>6149</v>
      </c>
      <c r="I1677" s="11" t="s">
        <v>6150</v>
      </c>
      <c r="J1677" s="12">
        <v>6.1699999999999998E-2</v>
      </c>
      <c r="K1677" s="13">
        <v>3</v>
      </c>
      <c r="L1677" s="14">
        <v>1148</v>
      </c>
      <c r="M1677" s="10">
        <v>71</v>
      </c>
      <c r="N1677" s="10">
        <v>126855</v>
      </c>
      <c r="O1677" s="10">
        <v>5568</v>
      </c>
      <c r="P1677" s="10">
        <v>132423</v>
      </c>
    </row>
    <row r="1678" spans="1:16" ht="27" customHeight="1" x14ac:dyDescent="0.2">
      <c r="A1678" s="9" t="s">
        <v>6097</v>
      </c>
      <c r="B1678" s="10" t="s">
        <v>6151</v>
      </c>
      <c r="C1678" s="11" t="s">
        <v>18</v>
      </c>
      <c r="D1678" s="11" t="s">
        <v>19</v>
      </c>
      <c r="E1678" s="11" t="s">
        <v>19</v>
      </c>
      <c r="F1678" s="11" t="s">
        <v>6152</v>
      </c>
      <c r="G1678" s="11" t="s">
        <v>83</v>
      </c>
      <c r="H1678" s="11" t="s">
        <v>6153</v>
      </c>
      <c r="I1678" s="11" t="s">
        <v>6154</v>
      </c>
      <c r="J1678" s="12">
        <v>0.1196</v>
      </c>
      <c r="K1678" s="13">
        <v>5</v>
      </c>
      <c r="L1678" s="14">
        <v>2719</v>
      </c>
      <c r="M1678" s="10">
        <v>262</v>
      </c>
      <c r="N1678" s="10">
        <v>300454</v>
      </c>
      <c r="O1678" s="10">
        <v>20546</v>
      </c>
      <c r="P1678" s="10">
        <v>321000</v>
      </c>
    </row>
    <row r="1679" spans="1:16" ht="27" customHeight="1" x14ac:dyDescent="0.2">
      <c r="A1679" s="9" t="s">
        <v>6097</v>
      </c>
      <c r="B1679" s="10" t="s">
        <v>6155</v>
      </c>
      <c r="C1679" s="11" t="s">
        <v>18</v>
      </c>
      <c r="D1679" s="11" t="s">
        <v>19</v>
      </c>
      <c r="E1679" s="11" t="s">
        <v>19</v>
      </c>
      <c r="F1679" s="11" t="s">
        <v>6156</v>
      </c>
      <c r="G1679" s="11" t="s">
        <v>83</v>
      </c>
      <c r="H1679" s="11" t="s">
        <v>6157</v>
      </c>
      <c r="I1679" s="11" t="s">
        <v>6158</v>
      </c>
      <c r="J1679" s="12">
        <v>0.45729999999999998</v>
      </c>
      <c r="K1679" s="13">
        <v>6</v>
      </c>
      <c r="L1679" s="14">
        <v>2092</v>
      </c>
      <c r="M1679" s="10">
        <v>502</v>
      </c>
      <c r="N1679" s="10">
        <v>231170</v>
      </c>
      <c r="O1679" s="10">
        <v>39366</v>
      </c>
      <c r="P1679" s="10">
        <v>270536</v>
      </c>
    </row>
    <row r="1680" spans="1:16" ht="27" customHeight="1" x14ac:dyDescent="0.2">
      <c r="A1680" s="9" t="s">
        <v>6097</v>
      </c>
      <c r="B1680" s="10" t="s">
        <v>6159</v>
      </c>
      <c r="C1680" s="11" t="s">
        <v>18</v>
      </c>
      <c r="D1680" s="11" t="s">
        <v>19</v>
      </c>
      <c r="E1680" s="11" t="s">
        <v>19</v>
      </c>
      <c r="F1680" s="11" t="s">
        <v>6160</v>
      </c>
      <c r="G1680" s="11" t="s">
        <v>83</v>
      </c>
      <c r="H1680" s="11" t="s">
        <v>6161</v>
      </c>
      <c r="I1680" s="11" t="s">
        <v>6162</v>
      </c>
      <c r="J1680" s="12">
        <v>0.05</v>
      </c>
      <c r="K1680" s="13">
        <v>3</v>
      </c>
      <c r="L1680" s="14">
        <v>514</v>
      </c>
      <c r="M1680" s="10">
        <v>30</v>
      </c>
      <c r="N1680" s="10">
        <v>56798</v>
      </c>
      <c r="O1680" s="10">
        <v>2353</v>
      </c>
      <c r="P1680" s="10">
        <v>59151</v>
      </c>
    </row>
    <row r="1681" spans="1:16" ht="27" customHeight="1" x14ac:dyDescent="0.2">
      <c r="A1681" s="9" t="s">
        <v>6097</v>
      </c>
      <c r="B1681" s="10" t="s">
        <v>6163</v>
      </c>
      <c r="C1681" s="11" t="s">
        <v>18</v>
      </c>
      <c r="D1681" s="11" t="s">
        <v>19</v>
      </c>
      <c r="E1681" s="11" t="s">
        <v>19</v>
      </c>
      <c r="F1681" s="11" t="s">
        <v>6164</v>
      </c>
      <c r="G1681" s="11" t="s">
        <v>83</v>
      </c>
      <c r="H1681" s="11" t="s">
        <v>6165</v>
      </c>
      <c r="I1681" s="11" t="s">
        <v>6166</v>
      </c>
      <c r="J1681" s="12">
        <v>0.86799999999999999</v>
      </c>
      <c r="K1681" s="13">
        <v>5</v>
      </c>
      <c r="L1681" s="14">
        <v>1524</v>
      </c>
      <c r="M1681" s="10">
        <v>1251</v>
      </c>
      <c r="N1681" s="10">
        <v>168405</v>
      </c>
      <c r="O1681" s="10">
        <v>98102</v>
      </c>
      <c r="P1681" s="10">
        <v>266507</v>
      </c>
    </row>
    <row r="1682" spans="1:16" ht="27" customHeight="1" x14ac:dyDescent="0.2">
      <c r="A1682" s="9" t="s">
        <v>6097</v>
      </c>
      <c r="B1682" s="10" t="s">
        <v>6163</v>
      </c>
      <c r="C1682" s="11" t="s">
        <v>6167</v>
      </c>
      <c r="D1682" s="11" t="s">
        <v>6168</v>
      </c>
      <c r="E1682" s="11" t="s">
        <v>26</v>
      </c>
      <c r="F1682" s="11" t="s">
        <v>6169</v>
      </c>
      <c r="G1682" s="11" t="s">
        <v>28</v>
      </c>
      <c r="H1682" s="11" t="s">
        <v>6169</v>
      </c>
      <c r="I1682" s="11" t="s">
        <v>6170</v>
      </c>
      <c r="J1682" s="12">
        <v>0.74250000000000005</v>
      </c>
      <c r="K1682" s="13">
        <v>1</v>
      </c>
      <c r="L1682" s="14">
        <v>532</v>
      </c>
      <c r="M1682" s="10">
        <v>395</v>
      </c>
      <c r="N1682" s="10">
        <v>58787</v>
      </c>
      <c r="O1682" s="10">
        <v>30975</v>
      </c>
      <c r="P1682" s="10">
        <v>89762</v>
      </c>
    </row>
    <row r="1683" spans="1:16" ht="27" customHeight="1" x14ac:dyDescent="0.2">
      <c r="A1683" s="9" t="s">
        <v>6097</v>
      </c>
      <c r="B1683" s="10" t="s">
        <v>6163</v>
      </c>
      <c r="C1683" s="11" t="s">
        <v>6171</v>
      </c>
      <c r="D1683" s="11" t="s">
        <v>6172</v>
      </c>
      <c r="E1683" s="11" t="s">
        <v>26</v>
      </c>
      <c r="F1683" s="11" t="s">
        <v>6173</v>
      </c>
      <c r="G1683" s="11" t="s">
        <v>28</v>
      </c>
      <c r="H1683" s="11" t="s">
        <v>6173</v>
      </c>
      <c r="I1683" s="11" t="s">
        <v>6174</v>
      </c>
      <c r="J1683" s="12">
        <v>0.90790000000000004</v>
      </c>
      <c r="K1683" s="13">
        <v>1</v>
      </c>
      <c r="L1683" s="14">
        <v>619</v>
      </c>
      <c r="M1683" s="10">
        <v>562</v>
      </c>
      <c r="N1683" s="10">
        <v>68401</v>
      </c>
      <c r="O1683" s="10">
        <v>44071</v>
      </c>
      <c r="P1683" s="10">
        <v>112472</v>
      </c>
    </row>
    <row r="1684" spans="1:16" ht="27" customHeight="1" x14ac:dyDescent="0.2">
      <c r="A1684" s="9" t="s">
        <v>6097</v>
      </c>
      <c r="B1684" s="10" t="s">
        <v>6175</v>
      </c>
      <c r="C1684" s="11" t="s">
        <v>18</v>
      </c>
      <c r="D1684" s="11" t="s">
        <v>19</v>
      </c>
      <c r="E1684" s="11" t="s">
        <v>19</v>
      </c>
      <c r="F1684" s="11" t="s">
        <v>6176</v>
      </c>
      <c r="G1684" s="11" t="s">
        <v>83</v>
      </c>
      <c r="H1684" s="11" t="s">
        <v>6177</v>
      </c>
      <c r="I1684" s="11" t="s">
        <v>6178</v>
      </c>
      <c r="J1684" s="12">
        <v>0.88980000000000004</v>
      </c>
      <c r="K1684" s="13">
        <v>13</v>
      </c>
      <c r="L1684" s="14">
        <v>6757</v>
      </c>
      <c r="M1684" s="10">
        <v>3917</v>
      </c>
      <c r="N1684" s="10">
        <v>746660</v>
      </c>
      <c r="O1684" s="10">
        <v>307169</v>
      </c>
      <c r="P1684" s="10">
        <v>1053829</v>
      </c>
    </row>
    <row r="1685" spans="1:16" ht="27" customHeight="1" x14ac:dyDescent="0.2">
      <c r="A1685" s="9" t="s">
        <v>6097</v>
      </c>
      <c r="B1685" s="10" t="s">
        <v>6175</v>
      </c>
      <c r="C1685" s="11" t="s">
        <v>6179</v>
      </c>
      <c r="D1685" s="11" t="s">
        <v>6180</v>
      </c>
      <c r="E1685" s="11" t="s">
        <v>26</v>
      </c>
      <c r="F1685" s="11" t="s">
        <v>6181</v>
      </c>
      <c r="G1685" s="11" t="s">
        <v>28</v>
      </c>
      <c r="H1685" s="11" t="s">
        <v>6181</v>
      </c>
      <c r="I1685" s="11" t="s">
        <v>6182</v>
      </c>
      <c r="J1685" s="12">
        <v>0.62839999999999996</v>
      </c>
      <c r="K1685" s="13">
        <v>1</v>
      </c>
      <c r="L1685" s="14">
        <v>148</v>
      </c>
      <c r="M1685" s="10">
        <v>93</v>
      </c>
      <c r="N1685" s="10">
        <v>16354</v>
      </c>
      <c r="O1685" s="10">
        <v>7293</v>
      </c>
      <c r="P1685" s="10">
        <v>23647</v>
      </c>
    </row>
    <row r="1686" spans="1:16" ht="27" customHeight="1" x14ac:dyDescent="0.2">
      <c r="A1686" s="9" t="s">
        <v>6097</v>
      </c>
      <c r="B1686" s="10" t="s">
        <v>6175</v>
      </c>
      <c r="C1686" s="11" t="s">
        <v>6183</v>
      </c>
      <c r="D1686" s="11" t="s">
        <v>6184</v>
      </c>
      <c r="E1686" s="11" t="s">
        <v>26</v>
      </c>
      <c r="F1686" s="11" t="s">
        <v>6100</v>
      </c>
      <c r="G1686" s="11" t="s">
        <v>28</v>
      </c>
      <c r="H1686" s="11" t="s">
        <v>6100</v>
      </c>
      <c r="I1686" s="11" t="s">
        <v>6101</v>
      </c>
      <c r="J1686" s="12">
        <v>0.91410000000000002</v>
      </c>
      <c r="K1686" s="13">
        <v>1</v>
      </c>
      <c r="L1686" s="14">
        <v>733</v>
      </c>
      <c r="M1686" s="10">
        <v>670</v>
      </c>
      <c r="N1686" s="10">
        <v>80998</v>
      </c>
      <c r="O1686" s="10">
        <v>52541</v>
      </c>
      <c r="P1686" s="10">
        <v>133539</v>
      </c>
    </row>
    <row r="1687" spans="1:16" ht="27" customHeight="1" x14ac:dyDescent="0.2">
      <c r="A1687" s="9" t="s">
        <v>6097</v>
      </c>
      <c r="B1687" s="10" t="s">
        <v>6175</v>
      </c>
      <c r="C1687" s="11" t="s">
        <v>6185</v>
      </c>
      <c r="D1687" s="11" t="s">
        <v>6186</v>
      </c>
      <c r="E1687" s="11" t="s">
        <v>26</v>
      </c>
      <c r="F1687" s="11" t="s">
        <v>6187</v>
      </c>
      <c r="G1687" s="11" t="s">
        <v>28</v>
      </c>
      <c r="H1687" s="11" t="s">
        <v>6187</v>
      </c>
      <c r="I1687" s="11" t="s">
        <v>6188</v>
      </c>
      <c r="J1687" s="12">
        <v>0.83650000000000002</v>
      </c>
      <c r="K1687" s="13">
        <v>1</v>
      </c>
      <c r="L1687" s="14">
        <v>312</v>
      </c>
      <c r="M1687" s="10">
        <v>261</v>
      </c>
      <c r="N1687" s="10">
        <v>34477</v>
      </c>
      <c r="O1687" s="10">
        <v>20467</v>
      </c>
      <c r="P1687" s="10">
        <v>54944</v>
      </c>
    </row>
    <row r="1688" spans="1:16" ht="27" customHeight="1" x14ac:dyDescent="0.2">
      <c r="A1688" s="9" t="s">
        <v>6097</v>
      </c>
      <c r="B1688" s="10" t="s">
        <v>6189</v>
      </c>
      <c r="C1688" s="11" t="s">
        <v>18</v>
      </c>
      <c r="D1688" s="11" t="s">
        <v>19</v>
      </c>
      <c r="E1688" s="11" t="s">
        <v>19</v>
      </c>
      <c r="F1688" s="11" t="s">
        <v>6190</v>
      </c>
      <c r="G1688" s="11" t="s">
        <v>83</v>
      </c>
      <c r="H1688" s="11" t="s">
        <v>6191</v>
      </c>
      <c r="I1688" s="11" t="s">
        <v>6192</v>
      </c>
      <c r="J1688" s="12">
        <v>0.61309999999999998</v>
      </c>
      <c r="K1688" s="13">
        <v>6</v>
      </c>
      <c r="L1688" s="14">
        <v>1840</v>
      </c>
      <c r="M1688" s="10">
        <v>748</v>
      </c>
      <c r="N1688" s="10">
        <v>203323</v>
      </c>
      <c r="O1688" s="10">
        <v>58658</v>
      </c>
      <c r="P1688" s="10">
        <v>261981</v>
      </c>
    </row>
    <row r="1689" spans="1:16" ht="27" customHeight="1" x14ac:dyDescent="0.2">
      <c r="A1689" s="9" t="s">
        <v>6097</v>
      </c>
      <c r="B1689" s="10" t="s">
        <v>6193</v>
      </c>
      <c r="C1689" s="11" t="s">
        <v>18</v>
      </c>
      <c r="D1689" s="11" t="s">
        <v>19</v>
      </c>
      <c r="E1689" s="11" t="s">
        <v>19</v>
      </c>
      <c r="F1689" s="11" t="s">
        <v>6194</v>
      </c>
      <c r="G1689" s="11" t="s">
        <v>83</v>
      </c>
      <c r="H1689" s="11" t="s">
        <v>6195</v>
      </c>
      <c r="I1689" s="11" t="s">
        <v>6196</v>
      </c>
      <c r="J1689" s="12">
        <v>0.1227</v>
      </c>
      <c r="K1689" s="13">
        <v>10</v>
      </c>
      <c r="L1689" s="14">
        <v>2713</v>
      </c>
      <c r="M1689" s="10">
        <v>270</v>
      </c>
      <c r="N1689" s="10">
        <v>299792</v>
      </c>
      <c r="O1689" s="10">
        <v>21173</v>
      </c>
      <c r="P1689" s="10">
        <v>320965</v>
      </c>
    </row>
    <row r="1690" spans="1:16" ht="27" customHeight="1" x14ac:dyDescent="0.2">
      <c r="A1690" s="9" t="s">
        <v>6097</v>
      </c>
      <c r="B1690" s="10" t="s">
        <v>6193</v>
      </c>
      <c r="C1690" s="11" t="s">
        <v>6197</v>
      </c>
      <c r="D1690" s="11" t="s">
        <v>6198</v>
      </c>
      <c r="E1690" s="11" t="s">
        <v>26</v>
      </c>
      <c r="F1690" s="11" t="s">
        <v>6199</v>
      </c>
      <c r="G1690" s="11" t="s">
        <v>28</v>
      </c>
      <c r="H1690" s="11" t="s">
        <v>6199</v>
      </c>
      <c r="I1690" s="11" t="s">
        <v>6200</v>
      </c>
      <c r="J1690" s="12">
        <v>3.09E-2</v>
      </c>
      <c r="K1690" s="13">
        <v>1</v>
      </c>
      <c r="L1690" s="14">
        <v>356</v>
      </c>
      <c r="M1690" s="10">
        <v>11</v>
      </c>
      <c r="N1690" s="10">
        <v>39339</v>
      </c>
      <c r="O1690" s="10">
        <v>863</v>
      </c>
      <c r="P1690" s="10">
        <v>40202</v>
      </c>
    </row>
    <row r="1691" spans="1:16" ht="27" customHeight="1" x14ac:dyDescent="0.2">
      <c r="A1691" s="9" t="s">
        <v>6097</v>
      </c>
      <c r="B1691" s="10" t="s">
        <v>6201</v>
      </c>
      <c r="C1691" s="11" t="s">
        <v>18</v>
      </c>
      <c r="D1691" s="11" t="s">
        <v>19</v>
      </c>
      <c r="E1691" s="11" t="s">
        <v>19</v>
      </c>
      <c r="F1691" s="11" t="s">
        <v>6202</v>
      </c>
      <c r="G1691" s="11" t="s">
        <v>83</v>
      </c>
      <c r="H1691" s="11" t="s">
        <v>6203</v>
      </c>
      <c r="I1691" s="11" t="s">
        <v>6204</v>
      </c>
      <c r="J1691" s="12">
        <v>0.62749999999999995</v>
      </c>
      <c r="K1691" s="13">
        <v>23</v>
      </c>
      <c r="L1691" s="14">
        <v>10300</v>
      </c>
      <c r="M1691" s="10">
        <v>2932</v>
      </c>
      <c r="N1691" s="10">
        <v>1138168</v>
      </c>
      <c r="O1691" s="10">
        <v>229923</v>
      </c>
      <c r="P1691" s="10">
        <v>1368091</v>
      </c>
    </row>
    <row r="1692" spans="1:16" ht="27" customHeight="1" x14ac:dyDescent="0.2">
      <c r="A1692" s="9" t="s">
        <v>6097</v>
      </c>
      <c r="B1692" s="10" t="s">
        <v>6205</v>
      </c>
      <c r="C1692" s="11" t="s">
        <v>18</v>
      </c>
      <c r="D1692" s="11" t="s">
        <v>19</v>
      </c>
      <c r="E1692" s="11" t="s">
        <v>19</v>
      </c>
      <c r="F1692" s="11" t="s">
        <v>6206</v>
      </c>
      <c r="G1692" s="11" t="s">
        <v>83</v>
      </c>
      <c r="H1692" s="11" t="s">
        <v>6100</v>
      </c>
      <c r="I1692" s="11" t="s">
        <v>6101</v>
      </c>
      <c r="J1692" s="12">
        <v>0.91410000000000002</v>
      </c>
      <c r="K1692" s="13">
        <v>8</v>
      </c>
      <c r="L1692" s="14">
        <v>8899</v>
      </c>
      <c r="M1692" s="10">
        <v>1825</v>
      </c>
      <c r="N1692" s="10">
        <v>983353</v>
      </c>
      <c r="O1692" s="10">
        <v>143116</v>
      </c>
      <c r="P1692" s="10">
        <v>1126469</v>
      </c>
    </row>
    <row r="1693" spans="1:16" ht="27" customHeight="1" x14ac:dyDescent="0.2">
      <c r="A1693" s="9" t="s">
        <v>6097</v>
      </c>
      <c r="B1693" s="10" t="s">
        <v>6205</v>
      </c>
      <c r="C1693" s="11" t="s">
        <v>6207</v>
      </c>
      <c r="D1693" s="11" t="s">
        <v>6208</v>
      </c>
      <c r="E1693" s="11" t="s">
        <v>26</v>
      </c>
      <c r="F1693" s="11" t="s">
        <v>6209</v>
      </c>
      <c r="G1693" s="11" t="s">
        <v>28</v>
      </c>
      <c r="H1693" s="11" t="s">
        <v>6100</v>
      </c>
      <c r="I1693" s="11" t="s">
        <v>6101</v>
      </c>
      <c r="J1693" s="12">
        <v>0.91410000000000002</v>
      </c>
      <c r="K1693" s="13">
        <v>1</v>
      </c>
      <c r="L1693" s="14">
        <v>545</v>
      </c>
      <c r="M1693" s="10">
        <v>33</v>
      </c>
      <c r="N1693" s="10">
        <v>60223</v>
      </c>
      <c r="O1693" s="10">
        <v>2588</v>
      </c>
      <c r="P1693" s="10">
        <v>62811</v>
      </c>
    </row>
    <row r="1694" spans="1:16" ht="27" customHeight="1" x14ac:dyDescent="0.2">
      <c r="A1694" s="9" t="s">
        <v>6097</v>
      </c>
      <c r="B1694" s="10" t="s">
        <v>6210</v>
      </c>
      <c r="C1694" s="11" t="s">
        <v>18</v>
      </c>
      <c r="D1694" s="11" t="s">
        <v>19</v>
      </c>
      <c r="E1694" s="11" t="s">
        <v>19</v>
      </c>
      <c r="F1694" s="11" t="s">
        <v>6211</v>
      </c>
      <c r="G1694" s="11" t="s">
        <v>83</v>
      </c>
      <c r="H1694" s="11" t="s">
        <v>6100</v>
      </c>
      <c r="I1694" s="11" t="s">
        <v>6101</v>
      </c>
      <c r="J1694" s="12">
        <v>0.91410000000000002</v>
      </c>
      <c r="K1694" s="13">
        <v>7</v>
      </c>
      <c r="L1694" s="14">
        <v>8565</v>
      </c>
      <c r="M1694" s="10">
        <v>2159</v>
      </c>
      <c r="N1694" s="10">
        <v>946447</v>
      </c>
      <c r="O1694" s="10">
        <v>169306</v>
      </c>
      <c r="P1694" s="10">
        <v>1115753</v>
      </c>
    </row>
    <row r="1695" spans="1:16" ht="27" customHeight="1" x14ac:dyDescent="0.2">
      <c r="A1695" s="9" t="s">
        <v>6097</v>
      </c>
      <c r="B1695" s="10" t="s">
        <v>6210</v>
      </c>
      <c r="C1695" s="11" t="s">
        <v>6212</v>
      </c>
      <c r="D1695" s="11" t="s">
        <v>6213</v>
      </c>
      <c r="E1695" s="11" t="s">
        <v>26</v>
      </c>
      <c r="F1695" s="11" t="s">
        <v>6214</v>
      </c>
      <c r="G1695" s="11" t="s">
        <v>28</v>
      </c>
      <c r="H1695" s="11" t="s">
        <v>6100</v>
      </c>
      <c r="I1695" s="11" t="s">
        <v>6101</v>
      </c>
      <c r="J1695" s="12">
        <v>0.91410000000000002</v>
      </c>
      <c r="K1695" s="13">
        <v>1</v>
      </c>
      <c r="L1695" s="14">
        <v>389</v>
      </c>
      <c r="M1695" s="10">
        <v>234</v>
      </c>
      <c r="N1695" s="10">
        <v>42985</v>
      </c>
      <c r="O1695" s="10">
        <v>18350</v>
      </c>
      <c r="P1695" s="10">
        <v>61335</v>
      </c>
    </row>
    <row r="1696" spans="1:16" ht="27" customHeight="1" x14ac:dyDescent="0.2">
      <c r="A1696" s="9" t="s">
        <v>6097</v>
      </c>
      <c r="B1696" s="10" t="s">
        <v>6210</v>
      </c>
      <c r="C1696" s="11" t="s">
        <v>6215</v>
      </c>
      <c r="D1696" s="11" t="s">
        <v>6216</v>
      </c>
      <c r="E1696" s="11" t="s">
        <v>26</v>
      </c>
      <c r="F1696" s="11" t="s">
        <v>6217</v>
      </c>
      <c r="G1696" s="11" t="s">
        <v>28</v>
      </c>
      <c r="H1696" s="11" t="s">
        <v>6100</v>
      </c>
      <c r="I1696" s="11" t="s">
        <v>6101</v>
      </c>
      <c r="J1696" s="12">
        <v>0.91410000000000002</v>
      </c>
      <c r="K1696" s="13">
        <v>1</v>
      </c>
      <c r="L1696" s="14">
        <v>295</v>
      </c>
      <c r="M1696" s="10">
        <v>214</v>
      </c>
      <c r="N1696" s="10">
        <v>32598</v>
      </c>
      <c r="O1696" s="10">
        <v>16782</v>
      </c>
      <c r="P1696" s="10">
        <v>49380</v>
      </c>
    </row>
    <row r="1697" spans="1:16" ht="27" customHeight="1" x14ac:dyDescent="0.2">
      <c r="A1697" s="9" t="s">
        <v>6097</v>
      </c>
      <c r="B1697" s="10" t="s">
        <v>6210</v>
      </c>
      <c r="C1697" s="11" t="s">
        <v>6218</v>
      </c>
      <c r="D1697" s="11" t="s">
        <v>6219</v>
      </c>
      <c r="E1697" s="11" t="s">
        <v>26</v>
      </c>
      <c r="F1697" s="11" t="s">
        <v>6220</v>
      </c>
      <c r="G1697" s="11" t="s">
        <v>28</v>
      </c>
      <c r="H1697" s="11" t="s">
        <v>6100</v>
      </c>
      <c r="I1697" s="11" t="s">
        <v>6101</v>
      </c>
      <c r="J1697" s="12">
        <v>0.91410000000000002</v>
      </c>
      <c r="K1697" s="13">
        <v>1</v>
      </c>
      <c r="L1697" s="14">
        <v>299</v>
      </c>
      <c r="M1697" s="10">
        <v>205</v>
      </c>
      <c r="N1697" s="10">
        <v>33040</v>
      </c>
      <c r="O1697" s="10">
        <v>16076</v>
      </c>
      <c r="P1697" s="10">
        <v>49116</v>
      </c>
    </row>
    <row r="1698" spans="1:16" ht="27" customHeight="1" x14ac:dyDescent="0.2">
      <c r="A1698" s="9" t="s">
        <v>6097</v>
      </c>
      <c r="B1698" s="10" t="s">
        <v>6210</v>
      </c>
      <c r="C1698" s="11" t="s">
        <v>6221</v>
      </c>
      <c r="D1698" s="11" t="s">
        <v>6222</v>
      </c>
      <c r="E1698" s="11" t="s">
        <v>26</v>
      </c>
      <c r="F1698" s="11" t="s">
        <v>6223</v>
      </c>
      <c r="G1698" s="11" t="s">
        <v>28</v>
      </c>
      <c r="H1698" s="11" t="s">
        <v>6100</v>
      </c>
      <c r="I1698" s="11" t="s">
        <v>6101</v>
      </c>
      <c r="J1698" s="12">
        <v>0.91410000000000002</v>
      </c>
      <c r="K1698" s="13">
        <v>1</v>
      </c>
      <c r="L1698" s="14">
        <v>220</v>
      </c>
      <c r="M1698" s="10">
        <v>193</v>
      </c>
      <c r="N1698" s="10">
        <v>24310</v>
      </c>
      <c r="O1698" s="10">
        <v>15135</v>
      </c>
      <c r="P1698" s="10">
        <v>39445</v>
      </c>
    </row>
    <row r="1699" spans="1:16" ht="27" customHeight="1" x14ac:dyDescent="0.2">
      <c r="A1699" s="9" t="s">
        <v>6097</v>
      </c>
      <c r="B1699" s="10" t="s">
        <v>6224</v>
      </c>
      <c r="C1699" s="11" t="s">
        <v>18</v>
      </c>
      <c r="D1699" s="11" t="s">
        <v>19</v>
      </c>
      <c r="E1699" s="11" t="s">
        <v>19</v>
      </c>
      <c r="F1699" s="11" t="s">
        <v>6225</v>
      </c>
      <c r="G1699" s="11" t="s">
        <v>83</v>
      </c>
      <c r="H1699" s="11" t="s">
        <v>6226</v>
      </c>
      <c r="I1699" s="11" t="s">
        <v>6227</v>
      </c>
      <c r="J1699" s="12">
        <v>0.61270000000000002</v>
      </c>
      <c r="K1699" s="13">
        <v>18</v>
      </c>
      <c r="L1699" s="14">
        <v>8001</v>
      </c>
      <c r="M1699" s="10">
        <v>2917</v>
      </c>
      <c r="N1699" s="10">
        <v>884123</v>
      </c>
      <c r="O1699" s="10">
        <v>228750</v>
      </c>
      <c r="P1699" s="10">
        <v>1112873</v>
      </c>
    </row>
    <row r="1700" spans="1:16" ht="27" customHeight="1" x14ac:dyDescent="0.2">
      <c r="A1700" s="9" t="s">
        <v>6097</v>
      </c>
      <c r="B1700" s="10" t="s">
        <v>6228</v>
      </c>
      <c r="C1700" s="11" t="s">
        <v>18</v>
      </c>
      <c r="D1700" s="11" t="s">
        <v>19</v>
      </c>
      <c r="E1700" s="11" t="s">
        <v>19</v>
      </c>
      <c r="F1700" s="11" t="s">
        <v>6229</v>
      </c>
      <c r="G1700" s="11" t="s">
        <v>83</v>
      </c>
      <c r="H1700" s="11" t="s">
        <v>6229</v>
      </c>
      <c r="I1700" s="11" t="s">
        <v>6230</v>
      </c>
      <c r="J1700" s="12">
        <v>7.8200000000000006E-2</v>
      </c>
      <c r="K1700" s="13">
        <v>2</v>
      </c>
      <c r="L1700" s="14">
        <v>373</v>
      </c>
      <c r="M1700" s="10">
        <v>29</v>
      </c>
      <c r="N1700" s="10">
        <v>41218</v>
      </c>
      <c r="O1700" s="10">
        <v>2274</v>
      </c>
      <c r="P1700" s="10">
        <v>43492</v>
      </c>
    </row>
    <row r="1701" spans="1:16" ht="27" customHeight="1" x14ac:dyDescent="0.2">
      <c r="A1701" s="9" t="s">
        <v>6231</v>
      </c>
      <c r="B1701" s="10" t="s">
        <v>6232</v>
      </c>
      <c r="C1701" s="11" t="s">
        <v>18</v>
      </c>
      <c r="D1701" s="11" t="s">
        <v>19</v>
      </c>
      <c r="E1701" s="11" t="s">
        <v>19</v>
      </c>
      <c r="F1701" s="11" t="s">
        <v>6233</v>
      </c>
      <c r="G1701" s="11" t="s">
        <v>21</v>
      </c>
      <c r="H1701" s="11" t="s">
        <v>430</v>
      </c>
      <c r="I1701" s="11" t="s">
        <v>6234</v>
      </c>
      <c r="J1701" s="12">
        <v>0.93389999999999995</v>
      </c>
      <c r="K1701" s="13">
        <v>4</v>
      </c>
      <c r="L1701" s="14">
        <v>728</v>
      </c>
      <c r="M1701" s="10">
        <v>671</v>
      </c>
      <c r="N1701" s="10">
        <v>80446</v>
      </c>
      <c r="O1701" s="10">
        <v>52619</v>
      </c>
      <c r="P1701" s="10">
        <v>133065</v>
      </c>
    </row>
    <row r="1702" spans="1:16" ht="27" customHeight="1" x14ac:dyDescent="0.2">
      <c r="A1702" s="9" t="s">
        <v>6231</v>
      </c>
      <c r="B1702" s="10" t="s">
        <v>6235</v>
      </c>
      <c r="C1702" s="11" t="s">
        <v>18</v>
      </c>
      <c r="D1702" s="11" t="s">
        <v>19</v>
      </c>
      <c r="E1702" s="11" t="s">
        <v>19</v>
      </c>
      <c r="F1702" s="11" t="s">
        <v>6236</v>
      </c>
      <c r="G1702" s="11" t="s">
        <v>83</v>
      </c>
      <c r="H1702" s="11" t="s">
        <v>6236</v>
      </c>
      <c r="I1702" s="11" t="s">
        <v>6237</v>
      </c>
      <c r="J1702" s="12">
        <v>0.1017</v>
      </c>
      <c r="K1702" s="13">
        <v>2</v>
      </c>
      <c r="L1702" s="14">
        <v>118</v>
      </c>
      <c r="M1702" s="10">
        <v>12</v>
      </c>
      <c r="N1702" s="10">
        <v>13039</v>
      </c>
      <c r="O1702" s="10">
        <v>941</v>
      </c>
      <c r="P1702" s="10">
        <v>13980</v>
      </c>
    </row>
    <row r="1703" spans="1:16" ht="27" customHeight="1" x14ac:dyDescent="0.2">
      <c r="A1703" s="9" t="s">
        <v>6231</v>
      </c>
      <c r="B1703" s="10" t="s">
        <v>6238</v>
      </c>
      <c r="C1703" s="11" t="s">
        <v>18</v>
      </c>
      <c r="D1703" s="11" t="s">
        <v>19</v>
      </c>
      <c r="E1703" s="11" t="s">
        <v>19</v>
      </c>
      <c r="F1703" s="11" t="s">
        <v>6239</v>
      </c>
      <c r="G1703" s="11" t="s">
        <v>83</v>
      </c>
      <c r="H1703" s="11" t="s">
        <v>6240</v>
      </c>
      <c r="I1703" s="11" t="s">
        <v>6241</v>
      </c>
      <c r="J1703" s="12">
        <v>0.48149999999999998</v>
      </c>
      <c r="K1703" s="13">
        <v>2</v>
      </c>
      <c r="L1703" s="14">
        <v>189</v>
      </c>
      <c r="M1703" s="10">
        <v>91</v>
      </c>
      <c r="N1703" s="10">
        <v>20885</v>
      </c>
      <c r="O1703" s="10">
        <v>7136</v>
      </c>
      <c r="P1703" s="10">
        <v>28021</v>
      </c>
    </row>
    <row r="1704" spans="1:16" ht="27" customHeight="1" x14ac:dyDescent="0.2">
      <c r="A1704" s="9" t="s">
        <v>6231</v>
      </c>
      <c r="B1704" s="10" t="s">
        <v>6238</v>
      </c>
      <c r="C1704" s="11" t="s">
        <v>6242</v>
      </c>
      <c r="D1704" s="11" t="s">
        <v>6243</v>
      </c>
      <c r="E1704" s="11" t="s">
        <v>26</v>
      </c>
      <c r="F1704" s="11" t="s">
        <v>6244</v>
      </c>
      <c r="G1704" s="11" t="s">
        <v>28</v>
      </c>
      <c r="H1704" s="11" t="s">
        <v>6244</v>
      </c>
      <c r="I1704" s="11" t="s">
        <v>6245</v>
      </c>
      <c r="J1704" s="12">
        <v>0.38319999999999999</v>
      </c>
      <c r="K1704" s="13">
        <v>1</v>
      </c>
      <c r="L1704" s="14">
        <v>368</v>
      </c>
      <c r="M1704" s="10">
        <v>141</v>
      </c>
      <c r="N1704" s="10">
        <v>40665</v>
      </c>
      <c r="O1704" s="10">
        <v>11057</v>
      </c>
      <c r="P1704" s="10">
        <v>51722</v>
      </c>
    </row>
    <row r="1705" spans="1:16" ht="27" customHeight="1" x14ac:dyDescent="0.2">
      <c r="A1705" s="9" t="s">
        <v>6231</v>
      </c>
      <c r="B1705" s="10" t="s">
        <v>6238</v>
      </c>
      <c r="C1705" s="11" t="s">
        <v>6246</v>
      </c>
      <c r="D1705" s="11" t="s">
        <v>6247</v>
      </c>
      <c r="E1705" s="11" t="s">
        <v>26</v>
      </c>
      <c r="F1705" s="11" t="s">
        <v>6248</v>
      </c>
      <c r="G1705" s="11" t="s">
        <v>28</v>
      </c>
      <c r="H1705" s="11" t="s">
        <v>6248</v>
      </c>
      <c r="I1705" s="11" t="s">
        <v>6249</v>
      </c>
      <c r="J1705" s="12">
        <v>0.23680000000000001</v>
      </c>
      <c r="K1705" s="13">
        <v>1</v>
      </c>
      <c r="L1705" s="14">
        <v>321</v>
      </c>
      <c r="M1705" s="10">
        <v>76</v>
      </c>
      <c r="N1705" s="10">
        <v>35471</v>
      </c>
      <c r="O1705" s="10">
        <v>5960</v>
      </c>
      <c r="P1705" s="10">
        <v>41431</v>
      </c>
    </row>
    <row r="1706" spans="1:16" ht="27" customHeight="1" x14ac:dyDescent="0.2">
      <c r="A1706" s="9" t="s">
        <v>6231</v>
      </c>
      <c r="B1706" s="10" t="s">
        <v>6238</v>
      </c>
      <c r="C1706" s="11" t="s">
        <v>6250</v>
      </c>
      <c r="D1706" s="11" t="s">
        <v>6251</v>
      </c>
      <c r="E1706" s="11" t="s">
        <v>26</v>
      </c>
      <c r="F1706" s="11" t="s">
        <v>6252</v>
      </c>
      <c r="G1706" s="11" t="s">
        <v>28</v>
      </c>
      <c r="H1706" s="11" t="s">
        <v>6252</v>
      </c>
      <c r="I1706" s="11" t="s">
        <v>6253</v>
      </c>
      <c r="J1706" s="12">
        <v>0.2</v>
      </c>
      <c r="K1706" s="13">
        <v>1</v>
      </c>
      <c r="L1706" s="14">
        <v>240</v>
      </c>
      <c r="M1706" s="10">
        <v>48</v>
      </c>
      <c r="N1706" s="10">
        <v>26520</v>
      </c>
      <c r="O1706" s="10">
        <v>3764</v>
      </c>
      <c r="P1706" s="10">
        <v>30284</v>
      </c>
    </row>
    <row r="1707" spans="1:16" ht="27" customHeight="1" x14ac:dyDescent="0.2">
      <c r="A1707" s="9" t="s">
        <v>6231</v>
      </c>
      <c r="B1707" s="10" t="s">
        <v>6238</v>
      </c>
      <c r="C1707" s="11" t="s">
        <v>6254</v>
      </c>
      <c r="D1707" s="11" t="s">
        <v>6255</v>
      </c>
      <c r="E1707" s="11" t="s">
        <v>26</v>
      </c>
      <c r="F1707" s="11" t="s">
        <v>6256</v>
      </c>
      <c r="G1707" s="11" t="s">
        <v>28</v>
      </c>
      <c r="H1707" s="11" t="s">
        <v>6256</v>
      </c>
      <c r="I1707" s="11" t="s">
        <v>6257</v>
      </c>
      <c r="J1707" s="12">
        <v>0.18179999999999999</v>
      </c>
      <c r="K1707" s="13">
        <v>1</v>
      </c>
      <c r="L1707" s="14">
        <v>297</v>
      </c>
      <c r="M1707" s="10">
        <v>54</v>
      </c>
      <c r="N1707" s="10">
        <v>32819</v>
      </c>
      <c r="O1707" s="10">
        <v>4235</v>
      </c>
      <c r="P1707" s="10">
        <v>37054</v>
      </c>
    </row>
    <row r="1708" spans="1:16" ht="27" customHeight="1" x14ac:dyDescent="0.2">
      <c r="A1708" s="9" t="s">
        <v>6231</v>
      </c>
      <c r="B1708" s="10" t="s">
        <v>6258</v>
      </c>
      <c r="C1708" s="11" t="s">
        <v>18</v>
      </c>
      <c r="D1708" s="11" t="s">
        <v>19</v>
      </c>
      <c r="E1708" s="11" t="s">
        <v>19</v>
      </c>
      <c r="F1708" s="11" t="s">
        <v>6259</v>
      </c>
      <c r="G1708" s="11" t="s">
        <v>83</v>
      </c>
      <c r="H1708" s="11" t="s">
        <v>6260</v>
      </c>
      <c r="I1708" s="11" t="s">
        <v>6261</v>
      </c>
      <c r="J1708" s="12">
        <v>0.93030000000000002</v>
      </c>
      <c r="K1708" s="13">
        <v>22</v>
      </c>
      <c r="L1708" s="14">
        <v>16959</v>
      </c>
      <c r="M1708" s="10">
        <v>13845</v>
      </c>
      <c r="N1708" s="10">
        <v>1873997</v>
      </c>
      <c r="O1708" s="10">
        <v>1085714</v>
      </c>
      <c r="P1708" s="10">
        <v>2959711</v>
      </c>
    </row>
    <row r="1709" spans="1:16" ht="27" customHeight="1" x14ac:dyDescent="0.2">
      <c r="A1709" s="9" t="s">
        <v>6231</v>
      </c>
      <c r="B1709" s="10" t="s">
        <v>6262</v>
      </c>
      <c r="C1709" s="11" t="s">
        <v>18</v>
      </c>
      <c r="D1709" s="11" t="s">
        <v>19</v>
      </c>
      <c r="E1709" s="11" t="s">
        <v>19</v>
      </c>
      <c r="F1709" s="11" t="s">
        <v>6263</v>
      </c>
      <c r="G1709" s="11" t="s">
        <v>83</v>
      </c>
      <c r="H1709" s="11" t="s">
        <v>6264</v>
      </c>
      <c r="I1709" s="11" t="s">
        <v>6265</v>
      </c>
      <c r="J1709" s="12">
        <v>0.50570000000000004</v>
      </c>
      <c r="K1709" s="13">
        <v>3</v>
      </c>
      <c r="L1709" s="14">
        <v>519</v>
      </c>
      <c r="M1709" s="10">
        <v>267</v>
      </c>
      <c r="N1709" s="10">
        <v>57351</v>
      </c>
      <c r="O1709" s="10">
        <v>20938</v>
      </c>
      <c r="P1709" s="10">
        <v>78289</v>
      </c>
    </row>
    <row r="1710" spans="1:16" ht="27" customHeight="1" x14ac:dyDescent="0.2">
      <c r="A1710" s="9" t="s">
        <v>6231</v>
      </c>
      <c r="B1710" s="10" t="s">
        <v>6266</v>
      </c>
      <c r="C1710" s="11" t="s">
        <v>18</v>
      </c>
      <c r="D1710" s="11" t="s">
        <v>19</v>
      </c>
      <c r="E1710" s="11" t="s">
        <v>19</v>
      </c>
      <c r="F1710" s="11" t="s">
        <v>6267</v>
      </c>
      <c r="G1710" s="11" t="s">
        <v>83</v>
      </c>
      <c r="H1710" s="11" t="s">
        <v>6268</v>
      </c>
      <c r="I1710" s="11" t="s">
        <v>6269</v>
      </c>
      <c r="J1710" s="12">
        <v>0.76900000000000002</v>
      </c>
      <c r="K1710" s="13">
        <v>7</v>
      </c>
      <c r="L1710" s="14">
        <v>2053</v>
      </c>
      <c r="M1710" s="10">
        <v>1425</v>
      </c>
      <c r="N1710" s="10">
        <v>226861</v>
      </c>
      <c r="O1710" s="10">
        <v>111746</v>
      </c>
      <c r="P1710" s="10">
        <v>338607</v>
      </c>
    </row>
    <row r="1711" spans="1:16" ht="27" customHeight="1" x14ac:dyDescent="0.2">
      <c r="A1711" s="9" t="s">
        <v>6231</v>
      </c>
      <c r="B1711" s="10" t="s">
        <v>6270</v>
      </c>
      <c r="C1711" s="11" t="s">
        <v>18</v>
      </c>
      <c r="D1711" s="11" t="s">
        <v>19</v>
      </c>
      <c r="E1711" s="11" t="s">
        <v>19</v>
      </c>
      <c r="F1711" s="11" t="s">
        <v>6271</v>
      </c>
      <c r="G1711" s="11" t="s">
        <v>83</v>
      </c>
      <c r="H1711" s="11" t="s">
        <v>6271</v>
      </c>
      <c r="I1711" s="11" t="s">
        <v>6272</v>
      </c>
      <c r="J1711" s="12">
        <v>5.1799999999999999E-2</v>
      </c>
      <c r="K1711" s="13">
        <v>2</v>
      </c>
      <c r="L1711" s="14">
        <v>193</v>
      </c>
      <c r="M1711" s="10">
        <v>10</v>
      </c>
      <c r="N1711" s="10">
        <v>21327</v>
      </c>
      <c r="O1711" s="10">
        <v>784</v>
      </c>
      <c r="P1711" s="10">
        <v>22111</v>
      </c>
    </row>
    <row r="1712" spans="1:16" ht="27" customHeight="1" x14ac:dyDescent="0.2">
      <c r="A1712" s="9" t="s">
        <v>6231</v>
      </c>
      <c r="B1712" s="10" t="s">
        <v>6273</v>
      </c>
      <c r="C1712" s="11" t="s">
        <v>18</v>
      </c>
      <c r="D1712" s="11" t="s">
        <v>19</v>
      </c>
      <c r="E1712" s="11" t="s">
        <v>19</v>
      </c>
      <c r="F1712" s="11" t="s">
        <v>6274</v>
      </c>
      <c r="G1712" s="11" t="s">
        <v>83</v>
      </c>
      <c r="H1712" s="11" t="s">
        <v>6275</v>
      </c>
      <c r="I1712" s="11" t="s">
        <v>6276</v>
      </c>
      <c r="J1712" s="12">
        <v>0.53490000000000004</v>
      </c>
      <c r="K1712" s="13">
        <v>3</v>
      </c>
      <c r="L1712" s="14">
        <v>202</v>
      </c>
      <c r="M1712" s="10">
        <v>106</v>
      </c>
      <c r="N1712" s="10">
        <v>22321</v>
      </c>
      <c r="O1712" s="10">
        <v>8313</v>
      </c>
      <c r="P1712" s="10">
        <v>30634</v>
      </c>
    </row>
    <row r="1713" spans="1:16" ht="27" customHeight="1" x14ac:dyDescent="0.2">
      <c r="A1713" s="9" t="s">
        <v>6231</v>
      </c>
      <c r="B1713" s="10" t="s">
        <v>6273</v>
      </c>
      <c r="C1713" s="11" t="s">
        <v>6277</v>
      </c>
      <c r="D1713" s="11" t="s">
        <v>6278</v>
      </c>
      <c r="E1713" s="11" t="s">
        <v>26</v>
      </c>
      <c r="F1713" s="11" t="s">
        <v>6279</v>
      </c>
      <c r="G1713" s="11" t="s">
        <v>28</v>
      </c>
      <c r="H1713" s="11" t="s">
        <v>6279</v>
      </c>
      <c r="I1713" s="11" t="s">
        <v>6280</v>
      </c>
      <c r="J1713" s="12">
        <v>0.21820000000000001</v>
      </c>
      <c r="K1713" s="13">
        <v>1</v>
      </c>
      <c r="L1713" s="14">
        <v>165</v>
      </c>
      <c r="M1713" s="10">
        <v>36</v>
      </c>
      <c r="N1713" s="10">
        <v>18233</v>
      </c>
      <c r="O1713" s="10">
        <v>2823</v>
      </c>
      <c r="P1713" s="10">
        <v>21056</v>
      </c>
    </row>
    <row r="1714" spans="1:16" ht="27" customHeight="1" x14ac:dyDescent="0.2">
      <c r="A1714" s="9" t="s">
        <v>6231</v>
      </c>
      <c r="B1714" s="10" t="s">
        <v>6281</v>
      </c>
      <c r="C1714" s="11" t="s">
        <v>18</v>
      </c>
      <c r="D1714" s="11" t="s">
        <v>19</v>
      </c>
      <c r="E1714" s="11" t="s">
        <v>19</v>
      </c>
      <c r="F1714" s="11" t="s">
        <v>6282</v>
      </c>
      <c r="G1714" s="11" t="s">
        <v>83</v>
      </c>
      <c r="H1714" s="11" t="s">
        <v>6283</v>
      </c>
      <c r="I1714" s="11" t="s">
        <v>6284</v>
      </c>
      <c r="J1714" s="12">
        <v>0.47920000000000001</v>
      </c>
      <c r="K1714" s="13">
        <v>11</v>
      </c>
      <c r="L1714" s="14">
        <v>3553</v>
      </c>
      <c r="M1714" s="10">
        <v>1199</v>
      </c>
      <c r="N1714" s="10">
        <v>392615</v>
      </c>
      <c r="O1714" s="10">
        <v>94026</v>
      </c>
      <c r="P1714" s="10">
        <v>486641</v>
      </c>
    </row>
    <row r="1715" spans="1:16" ht="27" customHeight="1" x14ac:dyDescent="0.2">
      <c r="A1715" s="9" t="s">
        <v>6231</v>
      </c>
      <c r="B1715" s="10" t="s">
        <v>6285</v>
      </c>
      <c r="C1715" s="11" t="s">
        <v>18</v>
      </c>
      <c r="D1715" s="11" t="s">
        <v>19</v>
      </c>
      <c r="E1715" s="11" t="s">
        <v>19</v>
      </c>
      <c r="F1715" s="11" t="s">
        <v>6286</v>
      </c>
      <c r="G1715" s="11" t="s">
        <v>83</v>
      </c>
      <c r="H1715" s="11" t="s">
        <v>6287</v>
      </c>
      <c r="I1715" s="11" t="s">
        <v>6288</v>
      </c>
      <c r="J1715" s="12">
        <v>0.87970000000000004</v>
      </c>
      <c r="K1715" s="13">
        <v>4</v>
      </c>
      <c r="L1715" s="14">
        <v>1294</v>
      </c>
      <c r="M1715" s="10">
        <v>1143</v>
      </c>
      <c r="N1715" s="10">
        <v>142990</v>
      </c>
      <c r="O1715" s="10">
        <v>89633</v>
      </c>
      <c r="P1715" s="10">
        <v>232623</v>
      </c>
    </row>
    <row r="1716" spans="1:16" ht="27" customHeight="1" x14ac:dyDescent="0.2">
      <c r="A1716" s="9" t="s">
        <v>6231</v>
      </c>
      <c r="B1716" s="10" t="s">
        <v>6289</v>
      </c>
      <c r="C1716" s="11" t="s">
        <v>18</v>
      </c>
      <c r="D1716" s="11" t="s">
        <v>19</v>
      </c>
      <c r="E1716" s="11" t="s">
        <v>19</v>
      </c>
      <c r="F1716" s="11" t="s">
        <v>6290</v>
      </c>
      <c r="G1716" s="11" t="s">
        <v>83</v>
      </c>
      <c r="H1716" s="11" t="s">
        <v>6290</v>
      </c>
      <c r="I1716" s="11" t="s">
        <v>6291</v>
      </c>
      <c r="J1716" s="12">
        <v>0.43120000000000003</v>
      </c>
      <c r="K1716" s="13">
        <v>4</v>
      </c>
      <c r="L1716" s="14">
        <v>849</v>
      </c>
      <c r="M1716" s="10">
        <v>265</v>
      </c>
      <c r="N1716" s="10">
        <v>93815</v>
      </c>
      <c r="O1716" s="10">
        <v>20782</v>
      </c>
      <c r="P1716" s="10">
        <v>114597</v>
      </c>
    </row>
    <row r="1717" spans="1:16" ht="27" customHeight="1" x14ac:dyDescent="0.2">
      <c r="A1717" s="9" t="s">
        <v>6231</v>
      </c>
      <c r="B1717" s="10" t="s">
        <v>6292</v>
      </c>
      <c r="C1717" s="11" t="s">
        <v>18</v>
      </c>
      <c r="D1717" s="11" t="s">
        <v>19</v>
      </c>
      <c r="E1717" s="11" t="s">
        <v>19</v>
      </c>
      <c r="F1717" s="11" t="s">
        <v>6293</v>
      </c>
      <c r="G1717" s="11" t="s">
        <v>83</v>
      </c>
      <c r="H1717" s="11" t="s">
        <v>6294</v>
      </c>
      <c r="I1717" s="11" t="s">
        <v>6295</v>
      </c>
      <c r="J1717" s="12">
        <v>0.83860000000000001</v>
      </c>
      <c r="K1717" s="13">
        <v>17</v>
      </c>
      <c r="L1717" s="14">
        <v>9060</v>
      </c>
      <c r="M1717" s="10">
        <v>5661</v>
      </c>
      <c r="N1717" s="10">
        <v>1001146</v>
      </c>
      <c r="O1717" s="10">
        <v>443929</v>
      </c>
      <c r="P1717" s="10">
        <v>1445075</v>
      </c>
    </row>
    <row r="1718" spans="1:16" ht="27" customHeight="1" x14ac:dyDescent="0.2">
      <c r="A1718" s="9" t="s">
        <v>6231</v>
      </c>
      <c r="B1718" s="10" t="s">
        <v>6292</v>
      </c>
      <c r="C1718" s="11" t="s">
        <v>6296</v>
      </c>
      <c r="D1718" s="11" t="s">
        <v>6297</v>
      </c>
      <c r="E1718" s="11" t="s">
        <v>26</v>
      </c>
      <c r="F1718" s="11" t="s">
        <v>6298</v>
      </c>
      <c r="G1718" s="11" t="s">
        <v>28</v>
      </c>
      <c r="H1718" s="11" t="s">
        <v>6298</v>
      </c>
      <c r="I1718" s="11" t="s">
        <v>6299</v>
      </c>
      <c r="J1718" s="12">
        <v>0.49669999999999997</v>
      </c>
      <c r="K1718" s="13">
        <v>1</v>
      </c>
      <c r="L1718" s="14">
        <v>453</v>
      </c>
      <c r="M1718" s="10">
        <v>225</v>
      </c>
      <c r="N1718" s="10">
        <v>50057</v>
      </c>
      <c r="O1718" s="10">
        <v>17644</v>
      </c>
      <c r="P1718" s="10">
        <v>67701</v>
      </c>
    </row>
    <row r="1719" spans="1:16" ht="27" customHeight="1" x14ac:dyDescent="0.2">
      <c r="A1719" s="9" t="s">
        <v>6231</v>
      </c>
      <c r="B1719" s="10" t="s">
        <v>6300</v>
      </c>
      <c r="C1719" s="11" t="s">
        <v>18</v>
      </c>
      <c r="D1719" s="11" t="s">
        <v>19</v>
      </c>
      <c r="E1719" s="11" t="s">
        <v>19</v>
      </c>
      <c r="F1719" s="11" t="s">
        <v>6301</v>
      </c>
      <c r="G1719" s="11" t="s">
        <v>83</v>
      </c>
      <c r="H1719" s="11" t="s">
        <v>6301</v>
      </c>
      <c r="I1719" s="11" t="s">
        <v>6302</v>
      </c>
      <c r="J1719" s="12">
        <v>0.2515</v>
      </c>
      <c r="K1719" s="13">
        <v>2</v>
      </c>
      <c r="L1719" s="14">
        <v>163</v>
      </c>
      <c r="M1719" s="10">
        <v>41</v>
      </c>
      <c r="N1719" s="10">
        <v>18012</v>
      </c>
      <c r="O1719" s="10">
        <v>3215</v>
      </c>
      <c r="P1719" s="10">
        <v>21227</v>
      </c>
    </row>
    <row r="1720" spans="1:16" ht="27" customHeight="1" x14ac:dyDescent="0.2">
      <c r="A1720" s="9" t="s">
        <v>6231</v>
      </c>
      <c r="B1720" s="10" t="s">
        <v>6303</v>
      </c>
      <c r="C1720" s="11" t="s">
        <v>18</v>
      </c>
      <c r="D1720" s="11" t="s">
        <v>19</v>
      </c>
      <c r="E1720" s="11" t="s">
        <v>19</v>
      </c>
      <c r="F1720" s="11" t="s">
        <v>6304</v>
      </c>
      <c r="G1720" s="11" t="s">
        <v>83</v>
      </c>
      <c r="H1720" s="11" t="s">
        <v>6305</v>
      </c>
      <c r="I1720" s="11" t="s">
        <v>6306</v>
      </c>
      <c r="J1720" s="12">
        <v>5.3800000000000001E-2</v>
      </c>
      <c r="K1720" s="13">
        <v>2</v>
      </c>
      <c r="L1720" s="14">
        <v>353</v>
      </c>
      <c r="M1720" s="10">
        <v>19</v>
      </c>
      <c r="N1720" s="10">
        <v>39007</v>
      </c>
      <c r="O1720" s="10">
        <v>1490</v>
      </c>
      <c r="P1720" s="10">
        <v>40497</v>
      </c>
    </row>
    <row r="1721" spans="1:16" ht="27" customHeight="1" x14ac:dyDescent="0.2">
      <c r="A1721" s="9" t="s">
        <v>6231</v>
      </c>
      <c r="B1721" s="10" t="s">
        <v>6307</v>
      </c>
      <c r="C1721" s="11" t="s">
        <v>18</v>
      </c>
      <c r="D1721" s="11" t="s">
        <v>19</v>
      </c>
      <c r="E1721" s="11" t="s">
        <v>19</v>
      </c>
      <c r="F1721" s="11" t="s">
        <v>6308</v>
      </c>
      <c r="G1721" s="11" t="s">
        <v>83</v>
      </c>
      <c r="H1721" s="11" t="s">
        <v>6309</v>
      </c>
      <c r="I1721" s="11" t="s">
        <v>6310</v>
      </c>
      <c r="J1721" s="12">
        <v>0.82840000000000003</v>
      </c>
      <c r="K1721" s="13">
        <v>10</v>
      </c>
      <c r="L1721" s="14">
        <v>3998</v>
      </c>
      <c r="M1721" s="10">
        <v>1802</v>
      </c>
      <c r="N1721" s="10">
        <v>441786</v>
      </c>
      <c r="O1721" s="10">
        <v>141311</v>
      </c>
      <c r="P1721" s="10">
        <v>583097</v>
      </c>
    </row>
    <row r="1722" spans="1:16" ht="27" customHeight="1" x14ac:dyDescent="0.2">
      <c r="A1722" s="9" t="s">
        <v>6231</v>
      </c>
      <c r="B1722" s="10" t="s">
        <v>6307</v>
      </c>
      <c r="C1722" s="11" t="s">
        <v>6311</v>
      </c>
      <c r="D1722" s="11" t="s">
        <v>6312</v>
      </c>
      <c r="E1722" s="11" t="s">
        <v>57</v>
      </c>
      <c r="F1722" s="11" t="s">
        <v>6313</v>
      </c>
      <c r="G1722" s="11" t="s">
        <v>28</v>
      </c>
      <c r="H1722" s="11" t="s">
        <v>6313</v>
      </c>
      <c r="I1722" s="11" t="s">
        <v>6314</v>
      </c>
      <c r="J1722" s="12">
        <v>0.28029999999999999</v>
      </c>
      <c r="K1722" s="13">
        <v>1</v>
      </c>
      <c r="L1722" s="14">
        <v>767</v>
      </c>
      <c r="M1722" s="10">
        <v>215</v>
      </c>
      <c r="N1722" s="10">
        <v>84755</v>
      </c>
      <c r="O1722" s="10">
        <v>16860</v>
      </c>
      <c r="P1722" s="10">
        <v>101615</v>
      </c>
    </row>
    <row r="1723" spans="1:16" ht="27" customHeight="1" x14ac:dyDescent="0.2">
      <c r="A1723" s="9" t="s">
        <v>6231</v>
      </c>
      <c r="B1723" s="10" t="s">
        <v>6315</v>
      </c>
      <c r="C1723" s="11" t="s">
        <v>18</v>
      </c>
      <c r="D1723" s="11" t="s">
        <v>19</v>
      </c>
      <c r="E1723" s="11" t="s">
        <v>19</v>
      </c>
      <c r="F1723" s="11" t="s">
        <v>6316</v>
      </c>
      <c r="G1723" s="11" t="s">
        <v>83</v>
      </c>
      <c r="H1723" s="11" t="s">
        <v>430</v>
      </c>
      <c r="I1723" s="11" t="s">
        <v>6234</v>
      </c>
      <c r="J1723" s="12">
        <v>0.93389999999999995</v>
      </c>
      <c r="K1723" s="13">
        <v>5</v>
      </c>
      <c r="L1723" s="14">
        <v>9251</v>
      </c>
      <c r="M1723" s="10">
        <v>6705</v>
      </c>
      <c r="N1723" s="10">
        <v>1022250</v>
      </c>
      <c r="O1723" s="10">
        <v>525800</v>
      </c>
      <c r="P1723" s="10">
        <v>1548050</v>
      </c>
    </row>
    <row r="1724" spans="1:16" ht="27" customHeight="1" x14ac:dyDescent="0.2">
      <c r="A1724" s="9" t="s">
        <v>6231</v>
      </c>
      <c r="B1724" s="10" t="s">
        <v>6317</v>
      </c>
      <c r="C1724" s="11" t="s">
        <v>18</v>
      </c>
      <c r="D1724" s="11" t="s">
        <v>19</v>
      </c>
      <c r="E1724" s="11" t="s">
        <v>19</v>
      </c>
      <c r="F1724" s="11" t="s">
        <v>6318</v>
      </c>
      <c r="G1724" s="11" t="s">
        <v>83</v>
      </c>
      <c r="H1724" s="11" t="s">
        <v>430</v>
      </c>
      <c r="I1724" s="11" t="s">
        <v>6234</v>
      </c>
      <c r="J1724" s="12">
        <v>0.93389999999999995</v>
      </c>
      <c r="K1724" s="13">
        <v>3</v>
      </c>
      <c r="L1724" s="14">
        <v>853</v>
      </c>
      <c r="M1724" s="10">
        <v>210</v>
      </c>
      <c r="N1724" s="10">
        <v>94258</v>
      </c>
      <c r="O1724" s="10">
        <v>16468</v>
      </c>
      <c r="P1724" s="10">
        <v>110726</v>
      </c>
    </row>
    <row r="1725" spans="1:16" ht="27" customHeight="1" x14ac:dyDescent="0.2">
      <c r="A1725" s="9" t="s">
        <v>6231</v>
      </c>
      <c r="B1725" s="10" t="s">
        <v>6319</v>
      </c>
      <c r="C1725" s="11" t="s">
        <v>18</v>
      </c>
      <c r="D1725" s="11" t="s">
        <v>19</v>
      </c>
      <c r="E1725" s="11" t="s">
        <v>19</v>
      </c>
      <c r="F1725" s="11" t="s">
        <v>6320</v>
      </c>
      <c r="G1725" s="11" t="s">
        <v>83</v>
      </c>
      <c r="H1725" s="11" t="s">
        <v>6320</v>
      </c>
      <c r="I1725" s="11" t="s">
        <v>6321</v>
      </c>
      <c r="J1725" s="12">
        <v>0.38619999999999999</v>
      </c>
      <c r="K1725" s="13">
        <v>2</v>
      </c>
      <c r="L1725" s="14">
        <v>593</v>
      </c>
      <c r="M1725" s="10">
        <v>229</v>
      </c>
      <c r="N1725" s="10">
        <v>65527</v>
      </c>
      <c r="O1725" s="10">
        <v>17958</v>
      </c>
      <c r="P1725" s="10">
        <v>83485</v>
      </c>
    </row>
    <row r="1726" spans="1:16" ht="27" customHeight="1" x14ac:dyDescent="0.2">
      <c r="A1726" s="9" t="s">
        <v>6231</v>
      </c>
      <c r="B1726" s="10" t="s">
        <v>6322</v>
      </c>
      <c r="C1726" s="11" t="s">
        <v>18</v>
      </c>
      <c r="D1726" s="11" t="s">
        <v>19</v>
      </c>
      <c r="E1726" s="11" t="s">
        <v>19</v>
      </c>
      <c r="F1726" s="11" t="s">
        <v>6323</v>
      </c>
      <c r="G1726" s="11" t="s">
        <v>83</v>
      </c>
      <c r="H1726" s="11" t="s">
        <v>6324</v>
      </c>
      <c r="I1726" s="11" t="s">
        <v>6325</v>
      </c>
      <c r="J1726" s="12">
        <v>0.43590000000000001</v>
      </c>
      <c r="K1726" s="13">
        <v>2</v>
      </c>
      <c r="L1726" s="14">
        <v>39</v>
      </c>
      <c r="M1726" s="10">
        <v>17</v>
      </c>
      <c r="N1726" s="10">
        <v>4310</v>
      </c>
      <c r="O1726" s="10">
        <v>1333</v>
      </c>
      <c r="P1726" s="10">
        <v>5643</v>
      </c>
    </row>
    <row r="1727" spans="1:16" ht="27" customHeight="1" x14ac:dyDescent="0.2">
      <c r="A1727" s="9" t="s">
        <v>6231</v>
      </c>
      <c r="B1727" s="10" t="s">
        <v>6326</v>
      </c>
      <c r="C1727" s="11" t="s">
        <v>18</v>
      </c>
      <c r="D1727" s="11" t="s">
        <v>19</v>
      </c>
      <c r="E1727" s="11" t="s">
        <v>19</v>
      </c>
      <c r="F1727" s="11" t="s">
        <v>6327</v>
      </c>
      <c r="G1727" s="11" t="s">
        <v>83</v>
      </c>
      <c r="H1727" s="11" t="s">
        <v>6328</v>
      </c>
      <c r="I1727" s="11" t="s">
        <v>6329</v>
      </c>
      <c r="J1727" s="12">
        <v>0.76029999999999998</v>
      </c>
      <c r="K1727" s="13">
        <v>4</v>
      </c>
      <c r="L1727" s="14">
        <v>182</v>
      </c>
      <c r="M1727" s="10">
        <v>145</v>
      </c>
      <c r="N1727" s="10">
        <v>20112</v>
      </c>
      <c r="O1727" s="10">
        <v>11371</v>
      </c>
      <c r="P1727" s="10">
        <v>31483</v>
      </c>
    </row>
    <row r="1728" spans="1:16" ht="27" customHeight="1" x14ac:dyDescent="0.2">
      <c r="A1728" s="9" t="s">
        <v>6231</v>
      </c>
      <c r="B1728" s="10" t="s">
        <v>6326</v>
      </c>
      <c r="C1728" s="11" t="s">
        <v>6330</v>
      </c>
      <c r="D1728" s="11" t="s">
        <v>6331</v>
      </c>
      <c r="E1728" s="11" t="s">
        <v>26</v>
      </c>
      <c r="F1728" s="11" t="s">
        <v>6332</v>
      </c>
      <c r="G1728" s="11" t="s">
        <v>28</v>
      </c>
      <c r="H1728" s="11" t="s">
        <v>6332</v>
      </c>
      <c r="I1728" s="11" t="s">
        <v>6333</v>
      </c>
      <c r="J1728" s="12">
        <v>0.44919999999999999</v>
      </c>
      <c r="K1728" s="13">
        <v>1</v>
      </c>
      <c r="L1728" s="14">
        <v>118</v>
      </c>
      <c r="M1728" s="10">
        <v>53</v>
      </c>
      <c r="N1728" s="10">
        <v>13039</v>
      </c>
      <c r="O1728" s="10">
        <v>4156</v>
      </c>
      <c r="P1728" s="10">
        <v>17195</v>
      </c>
    </row>
    <row r="1729" spans="1:16" ht="27" customHeight="1" x14ac:dyDescent="0.2">
      <c r="A1729" s="9" t="s">
        <v>6231</v>
      </c>
      <c r="B1729" s="10" t="s">
        <v>6334</v>
      </c>
      <c r="C1729" s="11" t="s">
        <v>18</v>
      </c>
      <c r="D1729" s="11" t="s">
        <v>19</v>
      </c>
      <c r="E1729" s="11" t="s">
        <v>19</v>
      </c>
      <c r="F1729" s="11" t="s">
        <v>6335</v>
      </c>
      <c r="G1729" s="11" t="s">
        <v>83</v>
      </c>
      <c r="H1729" s="11" t="s">
        <v>430</v>
      </c>
      <c r="I1729" s="11" t="s">
        <v>6234</v>
      </c>
      <c r="J1729" s="12">
        <v>0.93389999999999995</v>
      </c>
      <c r="K1729" s="13">
        <v>21</v>
      </c>
      <c r="L1729" s="14">
        <v>12535</v>
      </c>
      <c r="M1729" s="10">
        <v>7608</v>
      </c>
      <c r="N1729" s="10">
        <v>1385139</v>
      </c>
      <c r="O1729" s="10">
        <v>596611</v>
      </c>
      <c r="P1729" s="10">
        <v>1981750</v>
      </c>
    </row>
    <row r="1730" spans="1:16" ht="27" customHeight="1" x14ac:dyDescent="0.2">
      <c r="A1730" s="9" t="s">
        <v>6231</v>
      </c>
      <c r="B1730" s="10" t="s">
        <v>6334</v>
      </c>
      <c r="C1730" s="11" t="s">
        <v>6336</v>
      </c>
      <c r="D1730" s="11" t="s">
        <v>6337</v>
      </c>
      <c r="E1730" s="11" t="s">
        <v>26</v>
      </c>
      <c r="F1730" s="11" t="s">
        <v>6338</v>
      </c>
      <c r="G1730" s="11" t="s">
        <v>28</v>
      </c>
      <c r="H1730" s="11" t="s">
        <v>6338</v>
      </c>
      <c r="I1730" s="11" t="s">
        <v>6339</v>
      </c>
      <c r="J1730" s="12">
        <v>0.43680000000000002</v>
      </c>
      <c r="K1730" s="13">
        <v>1</v>
      </c>
      <c r="L1730" s="14">
        <v>767</v>
      </c>
      <c r="M1730" s="10">
        <v>335</v>
      </c>
      <c r="N1730" s="10">
        <v>84755</v>
      </c>
      <c r="O1730" s="10">
        <v>26270</v>
      </c>
      <c r="P1730" s="10">
        <v>111025</v>
      </c>
    </row>
    <row r="1731" spans="1:16" ht="27" customHeight="1" x14ac:dyDescent="0.2">
      <c r="A1731" s="9" t="s">
        <v>6231</v>
      </c>
      <c r="B1731" s="10" t="s">
        <v>6334</v>
      </c>
      <c r="C1731" s="11" t="s">
        <v>6340</v>
      </c>
      <c r="D1731" s="11" t="s">
        <v>6341</v>
      </c>
      <c r="E1731" s="11" t="s">
        <v>57</v>
      </c>
      <c r="F1731" s="11" t="s">
        <v>6342</v>
      </c>
      <c r="G1731" s="11" t="s">
        <v>28</v>
      </c>
      <c r="H1731" s="11" t="s">
        <v>6342</v>
      </c>
      <c r="I1731" s="11" t="s">
        <v>6343</v>
      </c>
      <c r="J1731" s="12">
        <v>0.24379999999999999</v>
      </c>
      <c r="K1731" s="13">
        <v>1</v>
      </c>
      <c r="L1731" s="14">
        <v>283</v>
      </c>
      <c r="M1731" s="10">
        <v>69</v>
      </c>
      <c r="N1731" s="10">
        <v>31272</v>
      </c>
      <c r="O1731" s="10">
        <v>5411</v>
      </c>
      <c r="P1731" s="10">
        <v>36683</v>
      </c>
    </row>
    <row r="1732" spans="1:16" ht="27" customHeight="1" x14ac:dyDescent="0.2">
      <c r="A1732" s="9" t="s">
        <v>6231</v>
      </c>
      <c r="B1732" s="10" t="s">
        <v>6334</v>
      </c>
      <c r="C1732" s="11" t="s">
        <v>6344</v>
      </c>
      <c r="D1732" s="11" t="s">
        <v>6345</v>
      </c>
      <c r="E1732" s="11" t="s">
        <v>26</v>
      </c>
      <c r="F1732" s="11" t="s">
        <v>6346</v>
      </c>
      <c r="G1732" s="11" t="s">
        <v>28</v>
      </c>
      <c r="H1732" s="11" t="s">
        <v>6346</v>
      </c>
      <c r="I1732" s="11" t="s">
        <v>6347</v>
      </c>
      <c r="J1732" s="12">
        <v>0.72389999999999999</v>
      </c>
      <c r="K1732" s="13">
        <v>1</v>
      </c>
      <c r="L1732" s="14">
        <v>297</v>
      </c>
      <c r="M1732" s="10">
        <v>215</v>
      </c>
      <c r="N1732" s="10">
        <v>32819</v>
      </c>
      <c r="O1732" s="10">
        <v>16860</v>
      </c>
      <c r="P1732" s="10">
        <v>49679</v>
      </c>
    </row>
    <row r="1733" spans="1:16" ht="27" customHeight="1" x14ac:dyDescent="0.2">
      <c r="A1733" s="9" t="s">
        <v>6231</v>
      </c>
      <c r="B1733" s="10" t="s">
        <v>6348</v>
      </c>
      <c r="C1733" s="11" t="s">
        <v>6349</v>
      </c>
      <c r="D1733" s="11" t="s">
        <v>6350</v>
      </c>
      <c r="E1733" s="11" t="s">
        <v>26</v>
      </c>
      <c r="F1733" s="11" t="s">
        <v>6351</v>
      </c>
      <c r="G1733" s="11" t="s">
        <v>28</v>
      </c>
      <c r="H1733" s="11" t="s">
        <v>6351</v>
      </c>
      <c r="I1733" s="11" t="s">
        <v>6352</v>
      </c>
      <c r="J1733" s="12">
        <v>0.61180000000000001</v>
      </c>
      <c r="K1733" s="13">
        <v>1</v>
      </c>
      <c r="L1733" s="14">
        <v>152</v>
      </c>
      <c r="M1733" s="10">
        <v>93</v>
      </c>
      <c r="N1733" s="10">
        <v>16796</v>
      </c>
      <c r="O1733" s="10">
        <v>7293</v>
      </c>
      <c r="P1733" s="10">
        <v>24089</v>
      </c>
    </row>
    <row r="1734" spans="1:16" ht="27" customHeight="1" x14ac:dyDescent="0.2">
      <c r="A1734" s="9" t="s">
        <v>6231</v>
      </c>
      <c r="B1734" s="10" t="s">
        <v>6353</v>
      </c>
      <c r="C1734" s="11" t="s">
        <v>6354</v>
      </c>
      <c r="D1734" s="11" t="s">
        <v>6355</v>
      </c>
      <c r="E1734" s="11" t="s">
        <v>26</v>
      </c>
      <c r="F1734" s="11" t="s">
        <v>6356</v>
      </c>
      <c r="G1734" s="11" t="s">
        <v>28</v>
      </c>
      <c r="H1734" s="11" t="s">
        <v>6356</v>
      </c>
      <c r="I1734" s="11" t="s">
        <v>6357</v>
      </c>
      <c r="J1734" s="12">
        <v>0.75890000000000002</v>
      </c>
      <c r="K1734" s="13">
        <v>1</v>
      </c>
      <c r="L1734" s="14">
        <v>112</v>
      </c>
      <c r="M1734" s="10">
        <v>85</v>
      </c>
      <c r="N1734" s="10">
        <v>12376</v>
      </c>
      <c r="O1734" s="10">
        <v>6666</v>
      </c>
      <c r="P1734" s="10">
        <v>19042</v>
      </c>
    </row>
    <row r="1735" spans="1:16" ht="27" customHeight="1" x14ac:dyDescent="0.2">
      <c r="A1735" s="9" t="s">
        <v>6231</v>
      </c>
      <c r="B1735" s="10" t="s">
        <v>6358</v>
      </c>
      <c r="C1735" s="11" t="s">
        <v>6359</v>
      </c>
      <c r="D1735" s="11" t="s">
        <v>6360</v>
      </c>
      <c r="E1735" s="11" t="s">
        <v>26</v>
      </c>
      <c r="F1735" s="11" t="s">
        <v>6361</v>
      </c>
      <c r="G1735" s="11" t="s">
        <v>28</v>
      </c>
      <c r="H1735" s="11" t="s">
        <v>6361</v>
      </c>
      <c r="I1735" s="11" t="s">
        <v>6362</v>
      </c>
      <c r="J1735" s="12">
        <v>0.3846</v>
      </c>
      <c r="K1735" s="13">
        <v>1</v>
      </c>
      <c r="L1735" s="14">
        <v>39</v>
      </c>
      <c r="M1735" s="10">
        <v>15</v>
      </c>
      <c r="N1735" s="10">
        <v>4310</v>
      </c>
      <c r="O1735" s="10">
        <v>1176</v>
      </c>
      <c r="P1735" s="10">
        <v>5486</v>
      </c>
    </row>
    <row r="1736" spans="1:16" ht="27" customHeight="1" x14ac:dyDescent="0.2">
      <c r="A1736" s="9" t="s">
        <v>6231</v>
      </c>
      <c r="B1736" s="10" t="s">
        <v>6363</v>
      </c>
      <c r="C1736" s="11" t="s">
        <v>6364</v>
      </c>
      <c r="D1736" s="11" t="s">
        <v>6365</v>
      </c>
      <c r="E1736" s="11" t="s">
        <v>26</v>
      </c>
      <c r="F1736" s="11" t="s">
        <v>6366</v>
      </c>
      <c r="G1736" s="11" t="s">
        <v>28</v>
      </c>
      <c r="H1736" s="11" t="s">
        <v>6366</v>
      </c>
      <c r="I1736" s="11" t="s">
        <v>6367</v>
      </c>
      <c r="J1736" s="12">
        <v>0.53749999999999998</v>
      </c>
      <c r="K1736" s="13">
        <v>1</v>
      </c>
      <c r="L1736" s="14">
        <v>80</v>
      </c>
      <c r="M1736" s="10">
        <v>43</v>
      </c>
      <c r="N1736" s="10">
        <v>8840</v>
      </c>
      <c r="O1736" s="10">
        <v>3372</v>
      </c>
      <c r="P1736" s="10">
        <v>12212</v>
      </c>
    </row>
    <row r="1737" spans="1:16" ht="27" customHeight="1" x14ac:dyDescent="0.2">
      <c r="A1737" s="9" t="s">
        <v>6368</v>
      </c>
      <c r="B1737" s="10" t="s">
        <v>6369</v>
      </c>
      <c r="C1737" s="11" t="s">
        <v>18</v>
      </c>
      <c r="D1737" s="11" t="s">
        <v>19</v>
      </c>
      <c r="E1737" s="11" t="s">
        <v>19</v>
      </c>
      <c r="F1737" s="11" t="s">
        <v>6370</v>
      </c>
      <c r="G1737" s="11" t="s">
        <v>21</v>
      </c>
      <c r="H1737" s="11" t="s">
        <v>6371</v>
      </c>
      <c r="I1737" s="11" t="s">
        <v>6372</v>
      </c>
      <c r="J1737" s="12">
        <v>0.91559999999999997</v>
      </c>
      <c r="K1737" s="13">
        <v>4</v>
      </c>
      <c r="L1737" s="14">
        <v>1349</v>
      </c>
      <c r="M1737" s="10">
        <v>799</v>
      </c>
      <c r="N1737" s="10">
        <v>149066</v>
      </c>
      <c r="O1737" s="10">
        <v>62657</v>
      </c>
      <c r="P1737" s="10">
        <v>211723</v>
      </c>
    </row>
    <row r="1738" spans="1:16" ht="27" customHeight="1" x14ac:dyDescent="0.2">
      <c r="A1738" s="9" t="s">
        <v>6368</v>
      </c>
      <c r="B1738" s="10" t="s">
        <v>6369</v>
      </c>
      <c r="C1738" s="11" t="s">
        <v>6373</v>
      </c>
      <c r="D1738" s="11" t="s">
        <v>6374</v>
      </c>
      <c r="E1738" s="11" t="s">
        <v>26</v>
      </c>
      <c r="F1738" s="11" t="s">
        <v>6375</v>
      </c>
      <c r="G1738" s="11" t="s">
        <v>28</v>
      </c>
      <c r="H1738" s="11" t="s">
        <v>6375</v>
      </c>
      <c r="I1738" s="11" t="s">
        <v>6376</v>
      </c>
      <c r="J1738" s="12">
        <v>1.89E-2</v>
      </c>
      <c r="K1738" s="13">
        <v>1</v>
      </c>
      <c r="L1738" s="14">
        <v>1058</v>
      </c>
      <c r="M1738" s="10">
        <v>20</v>
      </c>
      <c r="N1738" s="10">
        <v>116911</v>
      </c>
      <c r="O1738" s="10">
        <v>1568</v>
      </c>
      <c r="P1738" s="10">
        <v>118479</v>
      </c>
    </row>
    <row r="1739" spans="1:16" ht="27" customHeight="1" x14ac:dyDescent="0.2">
      <c r="A1739" s="9" t="s">
        <v>6368</v>
      </c>
      <c r="B1739" s="10" t="s">
        <v>6369</v>
      </c>
      <c r="C1739" s="11" t="s">
        <v>6377</v>
      </c>
      <c r="D1739" s="11" t="s">
        <v>6378</v>
      </c>
      <c r="E1739" s="11" t="s">
        <v>26</v>
      </c>
      <c r="F1739" s="11" t="s">
        <v>5224</v>
      </c>
      <c r="G1739" s="11" t="s">
        <v>28</v>
      </c>
      <c r="H1739" s="11" t="s">
        <v>5224</v>
      </c>
      <c r="I1739" s="11" t="s">
        <v>6379</v>
      </c>
      <c r="J1739" s="12">
        <v>0.1009</v>
      </c>
      <c r="K1739" s="13">
        <v>1</v>
      </c>
      <c r="L1739" s="14">
        <v>535</v>
      </c>
      <c r="M1739" s="10">
        <v>54</v>
      </c>
      <c r="N1739" s="10">
        <v>59118</v>
      </c>
      <c r="O1739" s="10">
        <v>4235</v>
      </c>
      <c r="P1739" s="10">
        <v>63353</v>
      </c>
    </row>
    <row r="1740" spans="1:16" ht="27" customHeight="1" x14ac:dyDescent="0.2">
      <c r="A1740" s="9" t="s">
        <v>6368</v>
      </c>
      <c r="B1740" s="10" t="s">
        <v>6369</v>
      </c>
      <c r="C1740" s="11" t="s">
        <v>6380</v>
      </c>
      <c r="D1740" s="11" t="s">
        <v>6381</v>
      </c>
      <c r="E1740" s="11" t="s">
        <v>26</v>
      </c>
      <c r="F1740" s="11" t="s">
        <v>6382</v>
      </c>
      <c r="G1740" s="11" t="s">
        <v>28</v>
      </c>
      <c r="H1740" s="11" t="s">
        <v>6371</v>
      </c>
      <c r="I1740" s="11" t="s">
        <v>6372</v>
      </c>
      <c r="J1740" s="12">
        <v>0.91559999999999997</v>
      </c>
      <c r="K1740" s="13">
        <v>1</v>
      </c>
      <c r="L1740" s="14">
        <v>713</v>
      </c>
      <c r="M1740" s="10">
        <v>214</v>
      </c>
      <c r="N1740" s="10">
        <v>78788</v>
      </c>
      <c r="O1740" s="10">
        <v>16782</v>
      </c>
      <c r="P1740" s="10">
        <v>95570</v>
      </c>
    </row>
    <row r="1741" spans="1:16" ht="27" customHeight="1" x14ac:dyDescent="0.2">
      <c r="A1741" s="9" t="s">
        <v>6368</v>
      </c>
      <c r="B1741" s="10" t="s">
        <v>6369</v>
      </c>
      <c r="C1741" s="11" t="s">
        <v>6383</v>
      </c>
      <c r="D1741" s="11" t="s">
        <v>6384</v>
      </c>
      <c r="E1741" s="11" t="s">
        <v>26</v>
      </c>
      <c r="F1741" s="11" t="s">
        <v>6385</v>
      </c>
      <c r="G1741" s="11" t="s">
        <v>28</v>
      </c>
      <c r="H1741" s="11" t="s">
        <v>6385</v>
      </c>
      <c r="I1741" s="11" t="s">
        <v>6386</v>
      </c>
      <c r="J1741" s="12">
        <v>0.73429999999999995</v>
      </c>
      <c r="K1741" s="13">
        <v>1</v>
      </c>
      <c r="L1741" s="14">
        <v>493</v>
      </c>
      <c r="M1741" s="10">
        <v>362</v>
      </c>
      <c r="N1741" s="10">
        <v>54477</v>
      </c>
      <c r="O1741" s="10">
        <v>28388</v>
      </c>
      <c r="P1741" s="10">
        <v>82865</v>
      </c>
    </row>
    <row r="1742" spans="1:16" ht="27" customHeight="1" x14ac:dyDescent="0.2">
      <c r="A1742" s="9" t="s">
        <v>6368</v>
      </c>
      <c r="B1742" s="10" t="s">
        <v>6369</v>
      </c>
      <c r="C1742" s="11" t="s">
        <v>6387</v>
      </c>
      <c r="D1742" s="11" t="s">
        <v>6388</v>
      </c>
      <c r="E1742" s="11" t="s">
        <v>26</v>
      </c>
      <c r="F1742" s="11" t="s">
        <v>6389</v>
      </c>
      <c r="G1742" s="11" t="s">
        <v>28</v>
      </c>
      <c r="H1742" s="11" t="s">
        <v>6371</v>
      </c>
      <c r="I1742" s="11" t="s">
        <v>6372</v>
      </c>
      <c r="J1742" s="12">
        <v>0.91559999999999997</v>
      </c>
      <c r="K1742" s="13">
        <v>1</v>
      </c>
      <c r="L1742" s="14">
        <v>191</v>
      </c>
      <c r="M1742" s="10">
        <v>162</v>
      </c>
      <c r="N1742" s="10">
        <v>21106</v>
      </c>
      <c r="O1742" s="10">
        <v>12704</v>
      </c>
      <c r="P1742" s="10">
        <v>33810</v>
      </c>
    </row>
    <row r="1743" spans="1:16" ht="27" customHeight="1" x14ac:dyDescent="0.2">
      <c r="A1743" s="9" t="s">
        <v>6368</v>
      </c>
      <c r="B1743" s="10" t="s">
        <v>6369</v>
      </c>
      <c r="C1743" s="11" t="s">
        <v>6390</v>
      </c>
      <c r="D1743" s="11" t="s">
        <v>6391</v>
      </c>
      <c r="E1743" s="11" t="s">
        <v>26</v>
      </c>
      <c r="F1743" s="11" t="s">
        <v>6392</v>
      </c>
      <c r="G1743" s="11" t="s">
        <v>28</v>
      </c>
      <c r="H1743" s="11" t="s">
        <v>6392</v>
      </c>
      <c r="I1743" s="11" t="s">
        <v>6393</v>
      </c>
      <c r="J1743" s="12">
        <v>0.83020000000000005</v>
      </c>
      <c r="K1743" s="13">
        <v>1</v>
      </c>
      <c r="L1743" s="14">
        <v>324</v>
      </c>
      <c r="M1743" s="10">
        <v>269</v>
      </c>
      <c r="N1743" s="10">
        <v>35803</v>
      </c>
      <c r="O1743" s="10">
        <v>21095</v>
      </c>
      <c r="P1743" s="10">
        <v>56898</v>
      </c>
    </row>
    <row r="1744" spans="1:16" ht="27" customHeight="1" x14ac:dyDescent="0.2">
      <c r="A1744" s="9" t="s">
        <v>6368</v>
      </c>
      <c r="B1744" s="10" t="s">
        <v>6369</v>
      </c>
      <c r="C1744" s="11" t="s">
        <v>6394</v>
      </c>
      <c r="D1744" s="11" t="s">
        <v>6395</v>
      </c>
      <c r="E1744" s="11" t="s">
        <v>26</v>
      </c>
      <c r="F1744" s="11" t="s">
        <v>6396</v>
      </c>
      <c r="G1744" s="11" t="s">
        <v>28</v>
      </c>
      <c r="H1744" s="11" t="s">
        <v>6396</v>
      </c>
      <c r="I1744" s="11" t="s">
        <v>6397</v>
      </c>
      <c r="J1744" s="12">
        <v>0.84279999999999999</v>
      </c>
      <c r="K1744" s="13">
        <v>1</v>
      </c>
      <c r="L1744" s="14">
        <v>369</v>
      </c>
      <c r="M1744" s="10">
        <v>311</v>
      </c>
      <c r="N1744" s="10">
        <v>40775</v>
      </c>
      <c r="O1744" s="10">
        <v>24388</v>
      </c>
      <c r="P1744" s="10">
        <v>65163</v>
      </c>
    </row>
    <row r="1745" spans="1:16" ht="27" customHeight="1" x14ac:dyDescent="0.2">
      <c r="A1745" s="9" t="s">
        <v>6368</v>
      </c>
      <c r="B1745" s="10" t="s">
        <v>6369</v>
      </c>
      <c r="C1745" s="11" t="s">
        <v>6398</v>
      </c>
      <c r="D1745" s="11" t="s">
        <v>6399</v>
      </c>
      <c r="E1745" s="11" t="s">
        <v>26</v>
      </c>
      <c r="F1745" s="11" t="s">
        <v>6400</v>
      </c>
      <c r="G1745" s="11" t="s">
        <v>28</v>
      </c>
      <c r="H1745" s="11" t="s">
        <v>6400</v>
      </c>
      <c r="I1745" s="11" t="s">
        <v>6401</v>
      </c>
      <c r="J1745" s="12">
        <v>0.52690000000000003</v>
      </c>
      <c r="K1745" s="13">
        <v>1</v>
      </c>
      <c r="L1745" s="14">
        <v>520</v>
      </c>
      <c r="M1745" s="10">
        <v>274</v>
      </c>
      <c r="N1745" s="10">
        <v>57461</v>
      </c>
      <c r="O1745" s="10">
        <v>21487</v>
      </c>
      <c r="P1745" s="10">
        <v>78948</v>
      </c>
    </row>
    <row r="1746" spans="1:16" ht="27" customHeight="1" x14ac:dyDescent="0.2">
      <c r="A1746" s="9" t="s">
        <v>6368</v>
      </c>
      <c r="B1746" s="10" t="s">
        <v>6369</v>
      </c>
      <c r="C1746" s="11" t="s">
        <v>6402</v>
      </c>
      <c r="D1746" s="11" t="s">
        <v>6403</v>
      </c>
      <c r="E1746" s="11" t="s">
        <v>26</v>
      </c>
      <c r="F1746" s="11" t="s">
        <v>6404</v>
      </c>
      <c r="G1746" s="11" t="s">
        <v>28</v>
      </c>
      <c r="H1746" s="11" t="s">
        <v>6404</v>
      </c>
      <c r="I1746" s="11" t="s">
        <v>6405</v>
      </c>
      <c r="J1746" s="12">
        <v>0.75239999999999996</v>
      </c>
      <c r="K1746" s="13">
        <v>1</v>
      </c>
      <c r="L1746" s="14">
        <v>529</v>
      </c>
      <c r="M1746" s="10">
        <v>398</v>
      </c>
      <c r="N1746" s="10">
        <v>58455</v>
      </c>
      <c r="O1746" s="10">
        <v>31211</v>
      </c>
      <c r="P1746" s="10">
        <v>89666</v>
      </c>
    </row>
    <row r="1747" spans="1:16" ht="27" customHeight="1" x14ac:dyDescent="0.2">
      <c r="A1747" s="9" t="s">
        <v>6368</v>
      </c>
      <c r="B1747" s="10" t="s">
        <v>6369</v>
      </c>
      <c r="C1747" s="11" t="s">
        <v>6406</v>
      </c>
      <c r="D1747" s="11" t="s">
        <v>6407</v>
      </c>
      <c r="E1747" s="11" t="s">
        <v>26</v>
      </c>
      <c r="F1747" s="11" t="s">
        <v>6408</v>
      </c>
      <c r="G1747" s="11" t="s">
        <v>28</v>
      </c>
      <c r="H1747" s="11" t="s">
        <v>6408</v>
      </c>
      <c r="I1747" s="11" t="s">
        <v>6409</v>
      </c>
      <c r="J1747" s="12">
        <v>0.75970000000000004</v>
      </c>
      <c r="K1747" s="13">
        <v>1</v>
      </c>
      <c r="L1747" s="14">
        <v>437</v>
      </c>
      <c r="M1747" s="10">
        <v>332</v>
      </c>
      <c r="N1747" s="10">
        <v>48289</v>
      </c>
      <c r="O1747" s="10">
        <v>26035</v>
      </c>
      <c r="P1747" s="10">
        <v>74324</v>
      </c>
    </row>
    <row r="1748" spans="1:16" ht="27" customHeight="1" x14ac:dyDescent="0.2">
      <c r="A1748" s="9" t="s">
        <v>6368</v>
      </c>
      <c r="B1748" s="10" t="s">
        <v>6369</v>
      </c>
      <c r="C1748" s="11" t="s">
        <v>6410</v>
      </c>
      <c r="D1748" s="11" t="s">
        <v>6411</v>
      </c>
      <c r="E1748" s="11" t="s">
        <v>26</v>
      </c>
      <c r="F1748" s="11" t="s">
        <v>6412</v>
      </c>
      <c r="G1748" s="11" t="s">
        <v>28</v>
      </c>
      <c r="H1748" s="11" t="s">
        <v>6371</v>
      </c>
      <c r="I1748" s="11" t="s">
        <v>6372</v>
      </c>
      <c r="J1748" s="12">
        <v>0.91559999999999997</v>
      </c>
      <c r="K1748" s="13">
        <v>1</v>
      </c>
      <c r="L1748" s="14">
        <v>314</v>
      </c>
      <c r="M1748" s="10">
        <v>73</v>
      </c>
      <c r="N1748" s="10">
        <v>34698</v>
      </c>
      <c r="O1748" s="10">
        <v>5725</v>
      </c>
      <c r="P1748" s="10">
        <v>40423</v>
      </c>
    </row>
    <row r="1749" spans="1:16" ht="27" customHeight="1" x14ac:dyDescent="0.2">
      <c r="A1749" s="9" t="s">
        <v>6368</v>
      </c>
      <c r="B1749" s="10" t="s">
        <v>6369</v>
      </c>
      <c r="C1749" s="11" t="s">
        <v>6413</v>
      </c>
      <c r="D1749" s="11" t="s">
        <v>6414</v>
      </c>
      <c r="E1749" s="11" t="s">
        <v>26</v>
      </c>
      <c r="F1749" s="11" t="s">
        <v>6415</v>
      </c>
      <c r="G1749" s="11" t="s">
        <v>28</v>
      </c>
      <c r="H1749" s="11" t="s">
        <v>6371</v>
      </c>
      <c r="I1749" s="11" t="s">
        <v>6372</v>
      </c>
      <c r="J1749" s="12">
        <v>0.91559999999999997</v>
      </c>
      <c r="K1749" s="13">
        <v>1</v>
      </c>
      <c r="L1749" s="14">
        <v>308</v>
      </c>
      <c r="M1749" s="10">
        <v>247</v>
      </c>
      <c r="N1749" s="10">
        <v>34035</v>
      </c>
      <c r="O1749" s="10">
        <v>19369</v>
      </c>
      <c r="P1749" s="10">
        <v>53404</v>
      </c>
    </row>
    <row r="1750" spans="1:16" ht="27" customHeight="1" x14ac:dyDescent="0.2">
      <c r="A1750" s="9" t="s">
        <v>6368</v>
      </c>
      <c r="B1750" s="10" t="s">
        <v>6369</v>
      </c>
      <c r="C1750" s="11" t="s">
        <v>6416</v>
      </c>
      <c r="D1750" s="11" t="s">
        <v>6417</v>
      </c>
      <c r="E1750" s="11" t="s">
        <v>26</v>
      </c>
      <c r="F1750" s="11" t="s">
        <v>6418</v>
      </c>
      <c r="G1750" s="11" t="s">
        <v>28</v>
      </c>
      <c r="H1750" s="11" t="s">
        <v>6418</v>
      </c>
      <c r="I1750" s="11" t="s">
        <v>6419</v>
      </c>
      <c r="J1750" s="12">
        <v>0.75</v>
      </c>
      <c r="K1750" s="13">
        <v>1</v>
      </c>
      <c r="L1750" s="14">
        <v>504</v>
      </c>
      <c r="M1750" s="10">
        <v>378</v>
      </c>
      <c r="N1750" s="10">
        <v>55693</v>
      </c>
      <c r="O1750" s="10">
        <v>29642</v>
      </c>
      <c r="P1750" s="10">
        <v>85335</v>
      </c>
    </row>
    <row r="1751" spans="1:16" ht="27" customHeight="1" x14ac:dyDescent="0.2">
      <c r="A1751" s="9" t="s">
        <v>6368</v>
      </c>
      <c r="B1751" s="10" t="s">
        <v>6369</v>
      </c>
      <c r="C1751" s="11" t="s">
        <v>6420</v>
      </c>
      <c r="D1751" s="11" t="s">
        <v>6421</v>
      </c>
      <c r="E1751" s="11" t="s">
        <v>26</v>
      </c>
      <c r="F1751" s="11" t="s">
        <v>6422</v>
      </c>
      <c r="G1751" s="11" t="s">
        <v>28</v>
      </c>
      <c r="H1751" s="11" t="s">
        <v>6422</v>
      </c>
      <c r="I1751" s="11" t="s">
        <v>6423</v>
      </c>
      <c r="J1751" s="12">
        <v>0.76890000000000003</v>
      </c>
      <c r="K1751" s="13">
        <v>1</v>
      </c>
      <c r="L1751" s="14">
        <v>515</v>
      </c>
      <c r="M1751" s="10">
        <v>396</v>
      </c>
      <c r="N1751" s="10">
        <v>56908</v>
      </c>
      <c r="O1751" s="10">
        <v>31054</v>
      </c>
      <c r="P1751" s="10">
        <v>87962</v>
      </c>
    </row>
    <row r="1752" spans="1:16" ht="27" customHeight="1" x14ac:dyDescent="0.2">
      <c r="A1752" s="9" t="s">
        <v>6368</v>
      </c>
      <c r="B1752" s="10" t="s">
        <v>6369</v>
      </c>
      <c r="C1752" s="11" t="s">
        <v>6424</v>
      </c>
      <c r="D1752" s="11" t="s">
        <v>6425</v>
      </c>
      <c r="E1752" s="11" t="s">
        <v>26</v>
      </c>
      <c r="F1752" s="11" t="s">
        <v>6426</v>
      </c>
      <c r="G1752" s="11" t="s">
        <v>28</v>
      </c>
      <c r="H1752" s="11" t="s">
        <v>6426</v>
      </c>
      <c r="I1752" s="11" t="s">
        <v>6427</v>
      </c>
      <c r="J1752" s="12">
        <v>0.13519999999999999</v>
      </c>
      <c r="K1752" s="13">
        <v>1</v>
      </c>
      <c r="L1752" s="14">
        <v>488</v>
      </c>
      <c r="M1752" s="10">
        <v>66</v>
      </c>
      <c r="N1752" s="10">
        <v>53925</v>
      </c>
      <c r="O1752" s="10">
        <v>5176</v>
      </c>
      <c r="P1752" s="10">
        <v>59101</v>
      </c>
    </row>
    <row r="1753" spans="1:16" ht="27" customHeight="1" x14ac:dyDescent="0.2">
      <c r="A1753" s="9" t="s">
        <v>6368</v>
      </c>
      <c r="B1753" s="10" t="s">
        <v>6369</v>
      </c>
      <c r="C1753" s="11" t="s">
        <v>6428</v>
      </c>
      <c r="D1753" s="11" t="s">
        <v>6429</v>
      </c>
      <c r="E1753" s="11" t="s">
        <v>26</v>
      </c>
      <c r="F1753" s="11" t="s">
        <v>6430</v>
      </c>
      <c r="G1753" s="11" t="s">
        <v>28</v>
      </c>
      <c r="H1753" s="11" t="s">
        <v>6430</v>
      </c>
      <c r="I1753" s="11" t="s">
        <v>6431</v>
      </c>
      <c r="J1753" s="12">
        <v>0.9002</v>
      </c>
      <c r="K1753" s="13">
        <v>1</v>
      </c>
      <c r="L1753" s="14">
        <v>451</v>
      </c>
      <c r="M1753" s="10">
        <v>406</v>
      </c>
      <c r="N1753" s="10">
        <v>49836</v>
      </c>
      <c r="O1753" s="10">
        <v>31838</v>
      </c>
      <c r="P1753" s="10">
        <v>81674</v>
      </c>
    </row>
    <row r="1754" spans="1:16" ht="27" customHeight="1" x14ac:dyDescent="0.2">
      <c r="A1754" s="9" t="s">
        <v>6368</v>
      </c>
      <c r="B1754" s="10" t="s">
        <v>6369</v>
      </c>
      <c r="C1754" s="11" t="s">
        <v>6432</v>
      </c>
      <c r="D1754" s="11" t="s">
        <v>6433</v>
      </c>
      <c r="E1754" s="11" t="s">
        <v>26</v>
      </c>
      <c r="F1754" s="11" t="s">
        <v>6434</v>
      </c>
      <c r="G1754" s="11" t="s">
        <v>28</v>
      </c>
      <c r="H1754" s="11" t="s">
        <v>6434</v>
      </c>
      <c r="I1754" s="11" t="s">
        <v>6435</v>
      </c>
      <c r="J1754" s="12">
        <v>0.75360000000000005</v>
      </c>
      <c r="K1754" s="13">
        <v>1</v>
      </c>
      <c r="L1754" s="14">
        <v>560</v>
      </c>
      <c r="M1754" s="10">
        <v>422</v>
      </c>
      <c r="N1754" s="10">
        <v>61881</v>
      </c>
      <c r="O1754" s="10">
        <v>33093</v>
      </c>
      <c r="P1754" s="10">
        <v>94974</v>
      </c>
    </row>
    <row r="1755" spans="1:16" ht="27" customHeight="1" x14ac:dyDescent="0.2">
      <c r="A1755" s="9" t="s">
        <v>6368</v>
      </c>
      <c r="B1755" s="10" t="s">
        <v>6369</v>
      </c>
      <c r="C1755" s="11" t="s">
        <v>6436</v>
      </c>
      <c r="D1755" s="11" t="s">
        <v>6437</v>
      </c>
      <c r="E1755" s="11" t="s">
        <v>26</v>
      </c>
      <c r="F1755" s="11" t="s">
        <v>6438</v>
      </c>
      <c r="G1755" s="11" t="s">
        <v>28</v>
      </c>
      <c r="H1755" s="11" t="s">
        <v>6438</v>
      </c>
      <c r="I1755" s="11" t="s">
        <v>6439</v>
      </c>
      <c r="J1755" s="12">
        <v>0.5121</v>
      </c>
      <c r="K1755" s="13">
        <v>1</v>
      </c>
      <c r="L1755" s="14">
        <v>289</v>
      </c>
      <c r="M1755" s="10">
        <v>148</v>
      </c>
      <c r="N1755" s="10">
        <v>31935</v>
      </c>
      <c r="O1755" s="10">
        <v>11606</v>
      </c>
      <c r="P1755" s="10">
        <v>43541</v>
      </c>
    </row>
    <row r="1756" spans="1:16" ht="27" customHeight="1" x14ac:dyDescent="0.2">
      <c r="A1756" s="9" t="s">
        <v>6368</v>
      </c>
      <c r="B1756" s="10" t="s">
        <v>6369</v>
      </c>
      <c r="C1756" s="11" t="s">
        <v>6440</v>
      </c>
      <c r="D1756" s="11" t="s">
        <v>6441</v>
      </c>
      <c r="E1756" s="11" t="s">
        <v>26</v>
      </c>
      <c r="F1756" s="11" t="s">
        <v>6442</v>
      </c>
      <c r="G1756" s="11" t="s">
        <v>28</v>
      </c>
      <c r="H1756" s="11" t="s">
        <v>6442</v>
      </c>
      <c r="I1756" s="11" t="s">
        <v>6443</v>
      </c>
      <c r="J1756" s="12">
        <v>0.54900000000000004</v>
      </c>
      <c r="K1756" s="13">
        <v>1</v>
      </c>
      <c r="L1756" s="14">
        <v>286</v>
      </c>
      <c r="M1756" s="10">
        <v>157</v>
      </c>
      <c r="N1756" s="10">
        <v>31603</v>
      </c>
      <c r="O1756" s="10">
        <v>12312</v>
      </c>
      <c r="P1756" s="10">
        <v>43915</v>
      </c>
    </row>
    <row r="1757" spans="1:16" ht="27" customHeight="1" x14ac:dyDescent="0.2">
      <c r="A1757" s="9" t="s">
        <v>6368</v>
      </c>
      <c r="B1757" s="10" t="s">
        <v>6369</v>
      </c>
      <c r="C1757" s="11" t="s">
        <v>6444</v>
      </c>
      <c r="D1757" s="11" t="s">
        <v>6445</v>
      </c>
      <c r="E1757" s="11" t="s">
        <v>26</v>
      </c>
      <c r="F1757" s="11" t="s">
        <v>6446</v>
      </c>
      <c r="G1757" s="11" t="s">
        <v>28</v>
      </c>
      <c r="H1757" s="11" t="s">
        <v>6446</v>
      </c>
      <c r="I1757" s="11" t="s">
        <v>6447</v>
      </c>
      <c r="J1757" s="12">
        <v>0.72509999999999997</v>
      </c>
      <c r="K1757" s="13">
        <v>1</v>
      </c>
      <c r="L1757" s="14">
        <v>593</v>
      </c>
      <c r="M1757" s="10">
        <v>430</v>
      </c>
      <c r="N1757" s="10">
        <v>65527</v>
      </c>
      <c r="O1757" s="10">
        <v>33720</v>
      </c>
      <c r="P1757" s="10">
        <v>99247</v>
      </c>
    </row>
    <row r="1758" spans="1:16" ht="27" customHeight="1" x14ac:dyDescent="0.2">
      <c r="A1758" s="9" t="s">
        <v>6368</v>
      </c>
      <c r="B1758" s="10" t="s">
        <v>6369</v>
      </c>
      <c r="C1758" s="11" t="s">
        <v>6448</v>
      </c>
      <c r="D1758" s="11" t="s">
        <v>6449</v>
      </c>
      <c r="E1758" s="11" t="s">
        <v>57</v>
      </c>
      <c r="F1758" s="11" t="s">
        <v>6450</v>
      </c>
      <c r="G1758" s="11" t="s">
        <v>28</v>
      </c>
      <c r="H1758" s="11" t="s">
        <v>6371</v>
      </c>
      <c r="I1758" s="11" t="s">
        <v>6372</v>
      </c>
      <c r="J1758" s="12">
        <v>0.91559999999999997</v>
      </c>
      <c r="K1758" s="13">
        <v>1</v>
      </c>
      <c r="L1758" s="14">
        <v>337</v>
      </c>
      <c r="M1758" s="10">
        <v>287</v>
      </c>
      <c r="N1758" s="10">
        <v>37239</v>
      </c>
      <c r="O1758" s="10">
        <v>22506</v>
      </c>
      <c r="P1758" s="10">
        <v>59745</v>
      </c>
    </row>
    <row r="1759" spans="1:16" ht="27" customHeight="1" x14ac:dyDescent="0.2">
      <c r="A1759" s="9" t="s">
        <v>6368</v>
      </c>
      <c r="B1759" s="10" t="s">
        <v>6451</v>
      </c>
      <c r="C1759" s="11" t="s">
        <v>18</v>
      </c>
      <c r="D1759" s="11" t="s">
        <v>19</v>
      </c>
      <c r="E1759" s="11" t="s">
        <v>19</v>
      </c>
      <c r="F1759" s="11" t="s">
        <v>6452</v>
      </c>
      <c r="G1759" s="11" t="s">
        <v>83</v>
      </c>
      <c r="H1759" s="11" t="s">
        <v>6453</v>
      </c>
      <c r="I1759" s="11" t="s">
        <v>6454</v>
      </c>
      <c r="J1759" s="12">
        <v>0.88859999999999995</v>
      </c>
      <c r="K1759" s="13">
        <v>23</v>
      </c>
      <c r="L1759" s="14">
        <v>7672</v>
      </c>
      <c r="M1759" s="10">
        <v>5790</v>
      </c>
      <c r="N1759" s="10">
        <v>847770</v>
      </c>
      <c r="O1759" s="10">
        <v>454047</v>
      </c>
      <c r="P1759" s="10">
        <v>1301817</v>
      </c>
    </row>
    <row r="1760" spans="1:16" ht="27" customHeight="1" x14ac:dyDescent="0.2">
      <c r="A1760" s="9" t="s">
        <v>6368</v>
      </c>
      <c r="B1760" s="10" t="s">
        <v>6451</v>
      </c>
      <c r="C1760" s="11" t="s">
        <v>6455</v>
      </c>
      <c r="D1760" s="11" t="s">
        <v>6456</v>
      </c>
      <c r="E1760" s="11" t="s">
        <v>26</v>
      </c>
      <c r="F1760" s="11" t="s">
        <v>6457</v>
      </c>
      <c r="G1760" s="11" t="s">
        <v>28</v>
      </c>
      <c r="H1760" s="11" t="s">
        <v>6371</v>
      </c>
      <c r="I1760" s="11" t="s">
        <v>6372</v>
      </c>
      <c r="J1760" s="12">
        <v>0.91559999999999997</v>
      </c>
      <c r="K1760" s="13">
        <v>1</v>
      </c>
      <c r="L1760" s="14">
        <v>415</v>
      </c>
      <c r="M1760" s="10">
        <v>292</v>
      </c>
      <c r="N1760" s="10">
        <v>45858</v>
      </c>
      <c r="O1760" s="10">
        <v>22898</v>
      </c>
      <c r="P1760" s="10">
        <v>68756</v>
      </c>
    </row>
    <row r="1761" spans="1:16" ht="27" customHeight="1" x14ac:dyDescent="0.2">
      <c r="A1761" s="9" t="s">
        <v>6368</v>
      </c>
      <c r="B1761" s="10" t="s">
        <v>6451</v>
      </c>
      <c r="C1761" s="11" t="s">
        <v>6458</v>
      </c>
      <c r="D1761" s="11" t="s">
        <v>6459</v>
      </c>
      <c r="E1761" s="11" t="s">
        <v>26</v>
      </c>
      <c r="F1761" s="11" t="s">
        <v>6460</v>
      </c>
      <c r="G1761" s="11" t="s">
        <v>28</v>
      </c>
      <c r="H1761" s="11" t="s">
        <v>6460</v>
      </c>
      <c r="I1761" s="11" t="s">
        <v>6461</v>
      </c>
      <c r="J1761" s="12">
        <v>0.74570000000000003</v>
      </c>
      <c r="K1761" s="13">
        <v>1</v>
      </c>
      <c r="L1761" s="14">
        <v>468</v>
      </c>
      <c r="M1761" s="10">
        <v>349</v>
      </c>
      <c r="N1761" s="10">
        <v>51715</v>
      </c>
      <c r="O1761" s="10">
        <v>27368</v>
      </c>
      <c r="P1761" s="10">
        <v>79083</v>
      </c>
    </row>
    <row r="1762" spans="1:16" ht="27" customHeight="1" x14ac:dyDescent="0.2">
      <c r="A1762" s="9" t="s">
        <v>6368</v>
      </c>
      <c r="B1762" s="10" t="s">
        <v>6451</v>
      </c>
      <c r="C1762" s="11" t="s">
        <v>6462</v>
      </c>
      <c r="D1762" s="11" t="s">
        <v>6463</v>
      </c>
      <c r="E1762" s="11" t="s">
        <v>26</v>
      </c>
      <c r="F1762" s="11" t="s">
        <v>6464</v>
      </c>
      <c r="G1762" s="11" t="s">
        <v>28</v>
      </c>
      <c r="H1762" s="11" t="s">
        <v>6371</v>
      </c>
      <c r="I1762" s="11" t="s">
        <v>6372</v>
      </c>
      <c r="J1762" s="12">
        <v>0.91559999999999997</v>
      </c>
      <c r="K1762" s="13">
        <v>1</v>
      </c>
      <c r="L1762" s="14">
        <v>395</v>
      </c>
      <c r="M1762" s="10">
        <v>311</v>
      </c>
      <c r="N1762" s="10">
        <v>43648</v>
      </c>
      <c r="O1762" s="10">
        <v>24388</v>
      </c>
      <c r="P1762" s="10">
        <v>68036</v>
      </c>
    </row>
    <row r="1763" spans="1:16" ht="27" customHeight="1" x14ac:dyDescent="0.2">
      <c r="A1763" s="9" t="s">
        <v>6368</v>
      </c>
      <c r="B1763" s="10" t="s">
        <v>6465</v>
      </c>
      <c r="C1763" s="11" t="s">
        <v>18</v>
      </c>
      <c r="D1763" s="11" t="s">
        <v>19</v>
      </c>
      <c r="E1763" s="11" t="s">
        <v>19</v>
      </c>
      <c r="F1763" s="11" t="s">
        <v>6466</v>
      </c>
      <c r="G1763" s="11" t="s">
        <v>83</v>
      </c>
      <c r="H1763" s="11" t="s">
        <v>6467</v>
      </c>
      <c r="I1763" s="11" t="s">
        <v>6468</v>
      </c>
      <c r="J1763" s="12">
        <v>0.42920000000000003</v>
      </c>
      <c r="K1763" s="13">
        <v>15</v>
      </c>
      <c r="L1763" s="14">
        <v>5992</v>
      </c>
      <c r="M1763" s="10">
        <v>1610</v>
      </c>
      <c r="N1763" s="10">
        <v>662128</v>
      </c>
      <c r="O1763" s="10">
        <v>126255</v>
      </c>
      <c r="P1763" s="10">
        <v>788383</v>
      </c>
    </row>
    <row r="1764" spans="1:16" ht="27" customHeight="1" x14ac:dyDescent="0.2">
      <c r="A1764" s="9" t="s">
        <v>6368</v>
      </c>
      <c r="B1764" s="10" t="s">
        <v>6469</v>
      </c>
      <c r="C1764" s="11" t="s">
        <v>18</v>
      </c>
      <c r="D1764" s="11" t="s">
        <v>19</v>
      </c>
      <c r="E1764" s="11" t="s">
        <v>19</v>
      </c>
      <c r="F1764" s="11" t="s">
        <v>6470</v>
      </c>
      <c r="G1764" s="11" t="s">
        <v>83</v>
      </c>
      <c r="H1764" s="11" t="s">
        <v>6471</v>
      </c>
      <c r="I1764" s="11" t="s">
        <v>6472</v>
      </c>
      <c r="J1764" s="12">
        <v>0.14910000000000001</v>
      </c>
      <c r="K1764" s="13">
        <v>3</v>
      </c>
      <c r="L1764" s="14">
        <v>974</v>
      </c>
      <c r="M1764" s="10">
        <v>109</v>
      </c>
      <c r="N1764" s="10">
        <v>107629</v>
      </c>
      <c r="O1764" s="10">
        <v>8548</v>
      </c>
      <c r="P1764" s="10">
        <v>116177</v>
      </c>
    </row>
    <row r="1765" spans="1:16" ht="27" customHeight="1" x14ac:dyDescent="0.2">
      <c r="A1765" s="9" t="s">
        <v>6368</v>
      </c>
      <c r="B1765" s="10" t="s">
        <v>6469</v>
      </c>
      <c r="C1765" s="11" t="s">
        <v>6473</v>
      </c>
      <c r="D1765" s="11" t="s">
        <v>6474</v>
      </c>
      <c r="E1765" s="11" t="s">
        <v>57</v>
      </c>
      <c r="F1765" s="11" t="s">
        <v>6475</v>
      </c>
      <c r="G1765" s="11" t="s">
        <v>28</v>
      </c>
      <c r="H1765" s="11" t="s">
        <v>6475</v>
      </c>
      <c r="I1765" s="11" t="s">
        <v>6476</v>
      </c>
      <c r="J1765" s="12">
        <v>0.24560000000000001</v>
      </c>
      <c r="K1765" s="13">
        <v>1</v>
      </c>
      <c r="L1765" s="14">
        <v>465</v>
      </c>
      <c r="M1765" s="10">
        <v>114</v>
      </c>
      <c r="N1765" s="10">
        <v>51383</v>
      </c>
      <c r="O1765" s="10">
        <v>8940</v>
      </c>
      <c r="P1765" s="10">
        <v>60323</v>
      </c>
    </row>
    <row r="1766" spans="1:16" ht="27" customHeight="1" x14ac:dyDescent="0.2">
      <c r="A1766" s="9" t="s">
        <v>6368</v>
      </c>
      <c r="B1766" s="10" t="s">
        <v>6469</v>
      </c>
      <c r="C1766" s="11" t="s">
        <v>6477</v>
      </c>
      <c r="D1766" s="11" t="s">
        <v>6478</v>
      </c>
      <c r="E1766" s="11" t="s">
        <v>57</v>
      </c>
      <c r="F1766" s="11" t="s">
        <v>6479</v>
      </c>
      <c r="G1766" s="11" t="s">
        <v>28</v>
      </c>
      <c r="H1766" s="11" t="s">
        <v>6479</v>
      </c>
      <c r="I1766" s="11" t="s">
        <v>6480</v>
      </c>
      <c r="J1766" s="12">
        <v>0.1925</v>
      </c>
      <c r="K1766" s="13">
        <v>1</v>
      </c>
      <c r="L1766" s="14">
        <v>349</v>
      </c>
      <c r="M1766" s="10">
        <v>67</v>
      </c>
      <c r="N1766" s="10">
        <v>38565</v>
      </c>
      <c r="O1766" s="10">
        <v>5254</v>
      </c>
      <c r="P1766" s="10">
        <v>43819</v>
      </c>
    </row>
    <row r="1767" spans="1:16" ht="27" customHeight="1" x14ac:dyDescent="0.2">
      <c r="A1767" s="9" t="s">
        <v>6368</v>
      </c>
      <c r="B1767" s="10" t="s">
        <v>6469</v>
      </c>
      <c r="C1767" s="11" t="s">
        <v>6481</v>
      </c>
      <c r="D1767" s="11" t="s">
        <v>6482</v>
      </c>
      <c r="E1767" s="11" t="s">
        <v>57</v>
      </c>
      <c r="F1767" s="11" t="s">
        <v>6483</v>
      </c>
      <c r="G1767" s="11" t="s">
        <v>28</v>
      </c>
      <c r="H1767" s="11" t="s">
        <v>6371</v>
      </c>
      <c r="I1767" s="11" t="s">
        <v>6372</v>
      </c>
      <c r="J1767" s="12">
        <v>0.91559999999999997</v>
      </c>
      <c r="K1767" s="13">
        <v>1</v>
      </c>
      <c r="L1767" s="14">
        <v>870</v>
      </c>
      <c r="M1767" s="10">
        <v>156</v>
      </c>
      <c r="N1767" s="10">
        <v>96136</v>
      </c>
      <c r="O1767" s="10">
        <v>12233</v>
      </c>
      <c r="P1767" s="10">
        <v>108369</v>
      </c>
    </row>
    <row r="1768" spans="1:16" ht="27" customHeight="1" x14ac:dyDescent="0.2">
      <c r="A1768" s="9" t="s">
        <v>6368</v>
      </c>
      <c r="B1768" s="10" t="s">
        <v>6469</v>
      </c>
      <c r="C1768" s="11" t="s">
        <v>6484</v>
      </c>
      <c r="D1768" s="11" t="s">
        <v>6485</v>
      </c>
      <c r="E1768" s="11" t="s">
        <v>57</v>
      </c>
      <c r="F1768" s="11" t="s">
        <v>6486</v>
      </c>
      <c r="G1768" s="11" t="s">
        <v>28</v>
      </c>
      <c r="H1768" s="11" t="s">
        <v>6486</v>
      </c>
      <c r="I1768" s="11" t="s">
        <v>6487</v>
      </c>
      <c r="J1768" s="12">
        <v>0.223</v>
      </c>
      <c r="K1768" s="13">
        <v>1</v>
      </c>
      <c r="L1768" s="14">
        <v>281</v>
      </c>
      <c r="M1768" s="10">
        <v>63</v>
      </c>
      <c r="N1768" s="10">
        <v>31051</v>
      </c>
      <c r="O1768" s="10">
        <v>4940</v>
      </c>
      <c r="P1768" s="10">
        <v>35991</v>
      </c>
    </row>
    <row r="1769" spans="1:16" ht="27" customHeight="1" x14ac:dyDescent="0.2">
      <c r="A1769" s="9" t="s">
        <v>6368</v>
      </c>
      <c r="B1769" s="10" t="s">
        <v>6488</v>
      </c>
      <c r="C1769" s="11" t="s">
        <v>18</v>
      </c>
      <c r="D1769" s="11" t="s">
        <v>19</v>
      </c>
      <c r="E1769" s="11" t="s">
        <v>19</v>
      </c>
      <c r="F1769" s="11" t="s">
        <v>6489</v>
      </c>
      <c r="G1769" s="11" t="s">
        <v>83</v>
      </c>
      <c r="H1769" s="11" t="s">
        <v>6490</v>
      </c>
      <c r="I1769" s="11" t="s">
        <v>6491</v>
      </c>
      <c r="J1769" s="12">
        <v>0.77200000000000002</v>
      </c>
      <c r="K1769" s="13">
        <v>2</v>
      </c>
      <c r="L1769" s="14">
        <v>567</v>
      </c>
      <c r="M1769" s="10">
        <v>437</v>
      </c>
      <c r="N1769" s="10">
        <v>62654</v>
      </c>
      <c r="O1769" s="10">
        <v>34269</v>
      </c>
      <c r="P1769" s="10">
        <v>96923</v>
      </c>
    </row>
    <row r="1770" spans="1:16" ht="27" customHeight="1" x14ac:dyDescent="0.2">
      <c r="A1770" s="9" t="s">
        <v>6368</v>
      </c>
      <c r="B1770" s="10" t="s">
        <v>6488</v>
      </c>
      <c r="C1770" s="11" t="s">
        <v>6492</v>
      </c>
      <c r="D1770" s="11" t="s">
        <v>6493</v>
      </c>
      <c r="E1770" s="11" t="s">
        <v>57</v>
      </c>
      <c r="F1770" s="11" t="s">
        <v>6494</v>
      </c>
      <c r="G1770" s="11" t="s">
        <v>28</v>
      </c>
      <c r="H1770" s="11" t="s">
        <v>6494</v>
      </c>
      <c r="I1770" s="11" t="s">
        <v>6495</v>
      </c>
      <c r="J1770" s="12">
        <v>0.1757</v>
      </c>
      <c r="K1770" s="13">
        <v>1</v>
      </c>
      <c r="L1770" s="14">
        <v>222</v>
      </c>
      <c r="M1770" s="10">
        <v>39</v>
      </c>
      <c r="N1770" s="10">
        <v>24531</v>
      </c>
      <c r="O1770" s="10">
        <v>3058</v>
      </c>
      <c r="P1770" s="10">
        <v>27589</v>
      </c>
    </row>
    <row r="1771" spans="1:16" ht="27" customHeight="1" x14ac:dyDescent="0.2">
      <c r="A1771" s="9" t="s">
        <v>6368</v>
      </c>
      <c r="B1771" s="10" t="s">
        <v>6488</v>
      </c>
      <c r="C1771" s="11" t="s">
        <v>6496</v>
      </c>
      <c r="D1771" s="11" t="s">
        <v>6497</v>
      </c>
      <c r="E1771" s="11" t="s">
        <v>57</v>
      </c>
      <c r="F1771" s="11" t="s">
        <v>6498</v>
      </c>
      <c r="G1771" s="11" t="s">
        <v>28</v>
      </c>
      <c r="H1771" s="11" t="s">
        <v>6498</v>
      </c>
      <c r="I1771" s="11" t="s">
        <v>6499</v>
      </c>
      <c r="J1771" s="12">
        <v>0.2228</v>
      </c>
      <c r="K1771" s="13">
        <v>1</v>
      </c>
      <c r="L1771" s="14">
        <v>781</v>
      </c>
      <c r="M1771" s="10">
        <v>174</v>
      </c>
      <c r="N1771" s="10">
        <v>86302</v>
      </c>
      <c r="O1771" s="10">
        <v>13645</v>
      </c>
      <c r="P1771" s="10">
        <v>99947</v>
      </c>
    </row>
    <row r="1772" spans="1:16" ht="27" customHeight="1" x14ac:dyDescent="0.2">
      <c r="A1772" s="9" t="s">
        <v>6368</v>
      </c>
      <c r="B1772" s="10" t="s">
        <v>6488</v>
      </c>
      <c r="C1772" s="11" t="s">
        <v>6500</v>
      </c>
      <c r="D1772" s="11" t="s">
        <v>6501</v>
      </c>
      <c r="E1772" s="11" t="s">
        <v>57</v>
      </c>
      <c r="F1772" s="11" t="s">
        <v>6502</v>
      </c>
      <c r="G1772" s="11" t="s">
        <v>28</v>
      </c>
      <c r="H1772" s="11" t="s">
        <v>6502</v>
      </c>
      <c r="I1772" s="11" t="s">
        <v>6503</v>
      </c>
      <c r="J1772" s="12">
        <v>0.50800000000000001</v>
      </c>
      <c r="K1772" s="13">
        <v>1</v>
      </c>
      <c r="L1772" s="14">
        <v>376</v>
      </c>
      <c r="M1772" s="10">
        <v>191</v>
      </c>
      <c r="N1772" s="10">
        <v>41549</v>
      </c>
      <c r="O1772" s="10">
        <v>14978</v>
      </c>
      <c r="P1772" s="10">
        <v>56527</v>
      </c>
    </row>
    <row r="1773" spans="1:16" ht="27" customHeight="1" x14ac:dyDescent="0.2">
      <c r="A1773" s="9" t="s">
        <v>6368</v>
      </c>
      <c r="B1773" s="10" t="s">
        <v>6488</v>
      </c>
      <c r="C1773" s="11" t="s">
        <v>6504</v>
      </c>
      <c r="D1773" s="11" t="s">
        <v>6505</v>
      </c>
      <c r="E1773" s="11" t="s">
        <v>57</v>
      </c>
      <c r="F1773" s="11" t="s">
        <v>6506</v>
      </c>
      <c r="G1773" s="11" t="s">
        <v>28</v>
      </c>
      <c r="H1773" s="11" t="s">
        <v>6506</v>
      </c>
      <c r="I1773" s="11" t="s">
        <v>6507</v>
      </c>
      <c r="J1773" s="12">
        <v>0.31159999999999999</v>
      </c>
      <c r="K1773" s="13">
        <v>1</v>
      </c>
      <c r="L1773" s="14">
        <v>431</v>
      </c>
      <c r="M1773" s="10">
        <v>134</v>
      </c>
      <c r="N1773" s="10">
        <v>47626</v>
      </c>
      <c r="O1773" s="10">
        <v>10508</v>
      </c>
      <c r="P1773" s="10">
        <v>58134</v>
      </c>
    </row>
    <row r="1774" spans="1:16" ht="27" customHeight="1" x14ac:dyDescent="0.2">
      <c r="A1774" s="9" t="s">
        <v>6368</v>
      </c>
      <c r="B1774" s="10" t="s">
        <v>6488</v>
      </c>
      <c r="C1774" s="11" t="s">
        <v>6508</v>
      </c>
      <c r="D1774" s="11" t="s">
        <v>6509</v>
      </c>
      <c r="E1774" s="11" t="s">
        <v>57</v>
      </c>
      <c r="F1774" s="11" t="s">
        <v>6510</v>
      </c>
      <c r="G1774" s="11" t="s">
        <v>28</v>
      </c>
      <c r="H1774" s="11" t="s">
        <v>6510</v>
      </c>
      <c r="I1774" s="11" t="s">
        <v>6511</v>
      </c>
      <c r="J1774" s="12">
        <v>0.42480000000000001</v>
      </c>
      <c r="K1774" s="13">
        <v>1</v>
      </c>
      <c r="L1774" s="14">
        <v>452</v>
      </c>
      <c r="M1774" s="10">
        <v>192</v>
      </c>
      <c r="N1774" s="10">
        <v>49947</v>
      </c>
      <c r="O1774" s="10">
        <v>15056</v>
      </c>
      <c r="P1774" s="10">
        <v>65003</v>
      </c>
    </row>
    <row r="1775" spans="1:16" ht="27" customHeight="1" x14ac:dyDescent="0.2">
      <c r="A1775" s="9" t="s">
        <v>6368</v>
      </c>
      <c r="B1775" s="10" t="s">
        <v>6488</v>
      </c>
      <c r="C1775" s="11" t="s">
        <v>6512</v>
      </c>
      <c r="D1775" s="11" t="s">
        <v>6513</v>
      </c>
      <c r="E1775" s="11" t="s">
        <v>57</v>
      </c>
      <c r="F1775" s="11" t="s">
        <v>6514</v>
      </c>
      <c r="G1775" s="11" t="s">
        <v>28</v>
      </c>
      <c r="H1775" s="11" t="s">
        <v>6514</v>
      </c>
      <c r="I1775" s="11" t="s">
        <v>6515</v>
      </c>
      <c r="J1775" s="12">
        <v>0.11550000000000001</v>
      </c>
      <c r="K1775" s="13">
        <v>1</v>
      </c>
      <c r="L1775" s="14">
        <v>563</v>
      </c>
      <c r="M1775" s="10">
        <v>65</v>
      </c>
      <c r="N1775" s="10">
        <v>62212</v>
      </c>
      <c r="O1775" s="10">
        <v>5097</v>
      </c>
      <c r="P1775" s="10">
        <v>67309</v>
      </c>
    </row>
    <row r="1776" spans="1:16" ht="27" customHeight="1" x14ac:dyDescent="0.2">
      <c r="A1776" s="9" t="s">
        <v>6368</v>
      </c>
      <c r="B1776" s="10" t="s">
        <v>6488</v>
      </c>
      <c r="C1776" s="11" t="s">
        <v>6516</v>
      </c>
      <c r="D1776" s="11" t="s">
        <v>6517</v>
      </c>
      <c r="E1776" s="11" t="s">
        <v>57</v>
      </c>
      <c r="F1776" s="11" t="s">
        <v>6518</v>
      </c>
      <c r="G1776" s="11" t="s">
        <v>28</v>
      </c>
      <c r="H1776" s="11" t="s">
        <v>6518</v>
      </c>
      <c r="I1776" s="11" t="s">
        <v>6519</v>
      </c>
      <c r="J1776" s="12">
        <v>0.3891</v>
      </c>
      <c r="K1776" s="13">
        <v>1</v>
      </c>
      <c r="L1776" s="14">
        <v>479</v>
      </c>
      <c r="M1776" s="10">
        <v>186</v>
      </c>
      <c r="N1776" s="10">
        <v>52930</v>
      </c>
      <c r="O1776" s="10">
        <v>14586</v>
      </c>
      <c r="P1776" s="10">
        <v>67516</v>
      </c>
    </row>
    <row r="1777" spans="1:16" ht="27" customHeight="1" x14ac:dyDescent="0.2">
      <c r="A1777" s="9" t="s">
        <v>6368</v>
      </c>
      <c r="B1777" s="10" t="s">
        <v>6488</v>
      </c>
      <c r="C1777" s="11" t="s">
        <v>6520</v>
      </c>
      <c r="D1777" s="11" t="s">
        <v>6521</v>
      </c>
      <c r="E1777" s="11" t="s">
        <v>57</v>
      </c>
      <c r="F1777" s="11" t="s">
        <v>6522</v>
      </c>
      <c r="G1777" s="11" t="s">
        <v>28</v>
      </c>
      <c r="H1777" s="11" t="s">
        <v>6522</v>
      </c>
      <c r="I1777" s="11" t="s">
        <v>6523</v>
      </c>
      <c r="J1777" s="12">
        <v>0.11210000000000001</v>
      </c>
      <c r="K1777" s="13">
        <v>1</v>
      </c>
      <c r="L1777" s="14">
        <v>437</v>
      </c>
      <c r="M1777" s="10">
        <v>49</v>
      </c>
      <c r="N1777" s="10">
        <v>48289</v>
      </c>
      <c r="O1777" s="10">
        <v>3843</v>
      </c>
      <c r="P1777" s="10">
        <v>52132</v>
      </c>
    </row>
    <row r="1778" spans="1:16" ht="27" customHeight="1" x14ac:dyDescent="0.2">
      <c r="A1778" s="9" t="s">
        <v>6368</v>
      </c>
      <c r="B1778" s="10" t="s">
        <v>6488</v>
      </c>
      <c r="C1778" s="11" t="s">
        <v>6524</v>
      </c>
      <c r="D1778" s="11" t="s">
        <v>6525</v>
      </c>
      <c r="E1778" s="11" t="s">
        <v>57</v>
      </c>
      <c r="F1778" s="11" t="s">
        <v>6526</v>
      </c>
      <c r="G1778" s="11" t="s">
        <v>28</v>
      </c>
      <c r="H1778" s="11" t="s">
        <v>6371</v>
      </c>
      <c r="I1778" s="11" t="s">
        <v>6372</v>
      </c>
      <c r="J1778" s="12">
        <v>0.91559999999999997</v>
      </c>
      <c r="K1778" s="13">
        <v>1</v>
      </c>
      <c r="L1778" s="14">
        <v>729</v>
      </c>
      <c r="M1778" s="10">
        <v>335</v>
      </c>
      <c r="N1778" s="10">
        <v>80556</v>
      </c>
      <c r="O1778" s="10">
        <v>26270</v>
      </c>
      <c r="P1778" s="10">
        <v>106826</v>
      </c>
    </row>
    <row r="1779" spans="1:16" ht="27" customHeight="1" x14ac:dyDescent="0.2">
      <c r="A1779" s="9" t="s">
        <v>6368</v>
      </c>
      <c r="B1779" s="10" t="s">
        <v>6488</v>
      </c>
      <c r="C1779" s="11" t="s">
        <v>6527</v>
      </c>
      <c r="D1779" s="11" t="s">
        <v>6528</v>
      </c>
      <c r="E1779" s="11" t="s">
        <v>57</v>
      </c>
      <c r="F1779" s="11" t="s">
        <v>6529</v>
      </c>
      <c r="G1779" s="11" t="s">
        <v>28</v>
      </c>
      <c r="H1779" s="11" t="s">
        <v>6371</v>
      </c>
      <c r="I1779" s="11" t="s">
        <v>6372</v>
      </c>
      <c r="J1779" s="12">
        <v>0.91559999999999997</v>
      </c>
      <c r="K1779" s="13">
        <v>1</v>
      </c>
      <c r="L1779" s="14">
        <v>861</v>
      </c>
      <c r="M1779" s="10">
        <v>156</v>
      </c>
      <c r="N1779" s="10">
        <v>95142</v>
      </c>
      <c r="O1779" s="10">
        <v>12233</v>
      </c>
      <c r="P1779" s="10">
        <v>107375</v>
      </c>
    </row>
    <row r="1780" spans="1:16" ht="27" customHeight="1" x14ac:dyDescent="0.2">
      <c r="A1780" s="9" t="s">
        <v>6368</v>
      </c>
      <c r="B1780" s="10" t="s">
        <v>6488</v>
      </c>
      <c r="C1780" s="11" t="s">
        <v>6530</v>
      </c>
      <c r="D1780" s="11" t="s">
        <v>6531</v>
      </c>
      <c r="E1780" s="11" t="s">
        <v>57</v>
      </c>
      <c r="F1780" s="11" t="s">
        <v>6532</v>
      </c>
      <c r="G1780" s="11" t="s">
        <v>28</v>
      </c>
      <c r="H1780" s="11" t="s">
        <v>6532</v>
      </c>
      <c r="I1780" s="11" t="s">
        <v>6533</v>
      </c>
      <c r="J1780" s="12">
        <v>0.4783</v>
      </c>
      <c r="K1780" s="13">
        <v>1</v>
      </c>
      <c r="L1780" s="14">
        <v>552</v>
      </c>
      <c r="M1780" s="10">
        <v>264</v>
      </c>
      <c r="N1780" s="10">
        <v>60997</v>
      </c>
      <c r="O1780" s="10">
        <v>20703</v>
      </c>
      <c r="P1780" s="10">
        <v>81700</v>
      </c>
    </row>
    <row r="1781" spans="1:16" ht="27" customHeight="1" x14ac:dyDescent="0.2">
      <c r="A1781" s="9" t="s">
        <v>6368</v>
      </c>
      <c r="B1781" s="10" t="s">
        <v>6534</v>
      </c>
      <c r="C1781" s="11" t="s">
        <v>18</v>
      </c>
      <c r="D1781" s="11" t="s">
        <v>19</v>
      </c>
      <c r="E1781" s="11" t="s">
        <v>19</v>
      </c>
      <c r="F1781" s="11" t="s">
        <v>6535</v>
      </c>
      <c r="G1781" s="11" t="s">
        <v>83</v>
      </c>
      <c r="H1781" s="11" t="s">
        <v>6371</v>
      </c>
      <c r="I1781" s="11" t="s">
        <v>6372</v>
      </c>
      <c r="J1781" s="12">
        <v>0.91559999999999997</v>
      </c>
      <c r="K1781" s="13">
        <v>7</v>
      </c>
      <c r="L1781" s="14">
        <v>8609</v>
      </c>
      <c r="M1781" s="10">
        <v>3258</v>
      </c>
      <c r="N1781" s="10">
        <v>951309</v>
      </c>
      <c r="O1781" s="10">
        <v>255490</v>
      </c>
      <c r="P1781" s="10">
        <v>1206799</v>
      </c>
    </row>
    <row r="1782" spans="1:16" ht="27" customHeight="1" x14ac:dyDescent="0.2">
      <c r="A1782" s="9" t="s">
        <v>6368</v>
      </c>
      <c r="B1782" s="10" t="s">
        <v>6536</v>
      </c>
      <c r="C1782" s="11" t="s">
        <v>18</v>
      </c>
      <c r="D1782" s="11" t="s">
        <v>19</v>
      </c>
      <c r="E1782" s="11" t="s">
        <v>19</v>
      </c>
      <c r="F1782" s="11" t="s">
        <v>6537</v>
      </c>
      <c r="G1782" s="11" t="s">
        <v>83</v>
      </c>
      <c r="H1782" s="11" t="s">
        <v>6538</v>
      </c>
      <c r="I1782" s="11" t="s">
        <v>6539</v>
      </c>
      <c r="J1782" s="12">
        <v>0.48930000000000001</v>
      </c>
      <c r="K1782" s="13">
        <v>24</v>
      </c>
      <c r="L1782" s="14">
        <v>13518</v>
      </c>
      <c r="M1782" s="10">
        <v>2183</v>
      </c>
      <c r="N1782" s="10">
        <v>1493761</v>
      </c>
      <c r="O1782" s="10">
        <v>171189</v>
      </c>
      <c r="P1782" s="10">
        <v>1664950</v>
      </c>
    </row>
    <row r="1783" spans="1:16" ht="27" customHeight="1" x14ac:dyDescent="0.2">
      <c r="A1783" s="9" t="s">
        <v>6368</v>
      </c>
      <c r="B1783" s="10" t="s">
        <v>6540</v>
      </c>
      <c r="C1783" s="11" t="s">
        <v>18</v>
      </c>
      <c r="D1783" s="11" t="s">
        <v>19</v>
      </c>
      <c r="E1783" s="11" t="s">
        <v>19</v>
      </c>
      <c r="F1783" s="11" t="s">
        <v>6541</v>
      </c>
      <c r="G1783" s="11" t="s">
        <v>83</v>
      </c>
      <c r="H1783" s="11" t="s">
        <v>6371</v>
      </c>
      <c r="I1783" s="11" t="s">
        <v>6372</v>
      </c>
      <c r="J1783" s="12">
        <v>0.91559999999999997</v>
      </c>
      <c r="K1783" s="13">
        <v>17</v>
      </c>
      <c r="L1783" s="14">
        <v>21140</v>
      </c>
      <c r="M1783" s="10">
        <v>6854</v>
      </c>
      <c r="N1783" s="10">
        <v>2336006</v>
      </c>
      <c r="O1783" s="10">
        <v>537482</v>
      </c>
      <c r="P1783" s="10">
        <v>2873488</v>
      </c>
    </row>
    <row r="1784" spans="1:16" ht="27" customHeight="1" x14ac:dyDescent="0.2">
      <c r="A1784" s="9" t="s">
        <v>6368</v>
      </c>
      <c r="B1784" s="10" t="s">
        <v>6540</v>
      </c>
      <c r="C1784" s="11" t="s">
        <v>6542</v>
      </c>
      <c r="D1784" s="11" t="s">
        <v>6543</v>
      </c>
      <c r="E1784" s="11" t="s">
        <v>26</v>
      </c>
      <c r="F1784" s="11" t="s">
        <v>6544</v>
      </c>
      <c r="G1784" s="11" t="s">
        <v>28</v>
      </c>
      <c r="H1784" s="11" t="s">
        <v>6371</v>
      </c>
      <c r="I1784" s="11" t="s">
        <v>6372</v>
      </c>
      <c r="J1784" s="12">
        <v>0.91559999999999997</v>
      </c>
      <c r="K1784" s="13">
        <v>1</v>
      </c>
      <c r="L1784" s="14">
        <v>528</v>
      </c>
      <c r="M1784" s="10">
        <v>80</v>
      </c>
      <c r="N1784" s="10">
        <v>58345</v>
      </c>
      <c r="O1784" s="10">
        <v>6274</v>
      </c>
      <c r="P1784" s="10">
        <v>64619</v>
      </c>
    </row>
    <row r="1785" spans="1:16" ht="27" customHeight="1" x14ac:dyDescent="0.2">
      <c r="A1785" s="9" t="s">
        <v>6368</v>
      </c>
      <c r="B1785" s="10" t="s">
        <v>6540</v>
      </c>
      <c r="C1785" s="11" t="s">
        <v>6545</v>
      </c>
      <c r="D1785" s="11" t="s">
        <v>6546</v>
      </c>
      <c r="E1785" s="11" t="s">
        <v>26</v>
      </c>
      <c r="F1785" s="11" t="s">
        <v>6547</v>
      </c>
      <c r="G1785" s="11" t="s">
        <v>28</v>
      </c>
      <c r="H1785" s="11" t="s">
        <v>6371</v>
      </c>
      <c r="I1785" s="11" t="s">
        <v>6372</v>
      </c>
      <c r="J1785" s="12">
        <v>0.91559999999999997</v>
      </c>
      <c r="K1785" s="13">
        <v>1</v>
      </c>
      <c r="L1785" s="14">
        <v>516</v>
      </c>
      <c r="M1785" s="10">
        <v>381</v>
      </c>
      <c r="N1785" s="10">
        <v>57019</v>
      </c>
      <c r="O1785" s="10">
        <v>29878</v>
      </c>
      <c r="P1785" s="10">
        <v>86897</v>
      </c>
    </row>
    <row r="1786" spans="1:16" ht="27" customHeight="1" x14ac:dyDescent="0.2">
      <c r="A1786" s="9" t="s">
        <v>6368</v>
      </c>
      <c r="B1786" s="10" t="s">
        <v>6540</v>
      </c>
      <c r="C1786" s="11" t="s">
        <v>6548</v>
      </c>
      <c r="D1786" s="11" t="s">
        <v>6549</v>
      </c>
      <c r="E1786" s="11" t="s">
        <v>26</v>
      </c>
      <c r="F1786" s="11" t="s">
        <v>6550</v>
      </c>
      <c r="G1786" s="11" t="s">
        <v>28</v>
      </c>
      <c r="H1786" s="11" t="s">
        <v>6371</v>
      </c>
      <c r="I1786" s="11" t="s">
        <v>6372</v>
      </c>
      <c r="J1786" s="12">
        <v>0.91559999999999997</v>
      </c>
      <c r="K1786" s="13">
        <v>1</v>
      </c>
      <c r="L1786" s="14">
        <v>370</v>
      </c>
      <c r="M1786" s="10">
        <v>296</v>
      </c>
      <c r="N1786" s="10">
        <v>40886</v>
      </c>
      <c r="O1786" s="10">
        <v>23212</v>
      </c>
      <c r="P1786" s="10">
        <v>64098</v>
      </c>
    </row>
    <row r="1787" spans="1:16" ht="27" customHeight="1" x14ac:dyDescent="0.2">
      <c r="A1787" s="9" t="s">
        <v>6368</v>
      </c>
      <c r="B1787" s="10" t="s">
        <v>6540</v>
      </c>
      <c r="C1787" s="11" t="s">
        <v>6551</v>
      </c>
      <c r="D1787" s="11" t="s">
        <v>6552</v>
      </c>
      <c r="E1787" s="11" t="s">
        <v>26</v>
      </c>
      <c r="F1787" s="11" t="s">
        <v>6553</v>
      </c>
      <c r="G1787" s="11" t="s">
        <v>28</v>
      </c>
      <c r="H1787" s="11" t="s">
        <v>6371</v>
      </c>
      <c r="I1787" s="11" t="s">
        <v>6372</v>
      </c>
      <c r="J1787" s="12">
        <v>0.91559999999999997</v>
      </c>
      <c r="K1787" s="13">
        <v>1</v>
      </c>
      <c r="L1787" s="14">
        <v>270</v>
      </c>
      <c r="M1787" s="10">
        <v>205</v>
      </c>
      <c r="N1787" s="10">
        <v>29835</v>
      </c>
      <c r="O1787" s="10">
        <v>16076</v>
      </c>
      <c r="P1787" s="10">
        <v>45911</v>
      </c>
    </row>
    <row r="1788" spans="1:16" ht="27" customHeight="1" x14ac:dyDescent="0.2">
      <c r="A1788" s="9" t="s">
        <v>6368</v>
      </c>
      <c r="B1788" s="10" t="s">
        <v>6540</v>
      </c>
      <c r="C1788" s="11" t="s">
        <v>6554</v>
      </c>
      <c r="D1788" s="11" t="s">
        <v>6555</v>
      </c>
      <c r="E1788" s="11" t="s">
        <v>26</v>
      </c>
      <c r="F1788" s="11" t="s">
        <v>6556</v>
      </c>
      <c r="G1788" s="11" t="s">
        <v>28</v>
      </c>
      <c r="H1788" s="11" t="s">
        <v>6371</v>
      </c>
      <c r="I1788" s="11" t="s">
        <v>6372</v>
      </c>
      <c r="J1788" s="12">
        <v>0.91559999999999997</v>
      </c>
      <c r="K1788" s="13">
        <v>1</v>
      </c>
      <c r="L1788" s="14">
        <v>264</v>
      </c>
      <c r="M1788" s="10">
        <v>216</v>
      </c>
      <c r="N1788" s="10">
        <v>29172</v>
      </c>
      <c r="O1788" s="10">
        <v>16938</v>
      </c>
      <c r="P1788" s="10">
        <v>46110</v>
      </c>
    </row>
    <row r="1789" spans="1:16" ht="27" customHeight="1" x14ac:dyDescent="0.2">
      <c r="A1789" s="9" t="s">
        <v>6368</v>
      </c>
      <c r="B1789" s="10" t="s">
        <v>6540</v>
      </c>
      <c r="C1789" s="11" t="s">
        <v>6557</v>
      </c>
      <c r="D1789" s="11" t="s">
        <v>6558</v>
      </c>
      <c r="E1789" s="11" t="s">
        <v>26</v>
      </c>
      <c r="F1789" s="11" t="s">
        <v>6559</v>
      </c>
      <c r="G1789" s="11" t="s">
        <v>28</v>
      </c>
      <c r="H1789" s="11" t="s">
        <v>6371</v>
      </c>
      <c r="I1789" s="11" t="s">
        <v>6372</v>
      </c>
      <c r="J1789" s="12">
        <v>0.91559999999999997</v>
      </c>
      <c r="K1789" s="13">
        <v>1</v>
      </c>
      <c r="L1789" s="14">
        <v>455</v>
      </c>
      <c r="M1789" s="10">
        <v>303</v>
      </c>
      <c r="N1789" s="10">
        <v>50278</v>
      </c>
      <c r="O1789" s="10">
        <v>23761</v>
      </c>
      <c r="P1789" s="10">
        <v>74039</v>
      </c>
    </row>
    <row r="1790" spans="1:16" ht="27" customHeight="1" x14ac:dyDescent="0.2">
      <c r="A1790" s="9" t="s">
        <v>6368</v>
      </c>
      <c r="B1790" s="10" t="s">
        <v>6540</v>
      </c>
      <c r="C1790" s="11" t="s">
        <v>6560</v>
      </c>
      <c r="D1790" s="11" t="s">
        <v>6561</v>
      </c>
      <c r="E1790" s="11" t="s">
        <v>26</v>
      </c>
      <c r="F1790" s="11" t="s">
        <v>6562</v>
      </c>
      <c r="G1790" s="11" t="s">
        <v>28</v>
      </c>
      <c r="H1790" s="11" t="s">
        <v>6371</v>
      </c>
      <c r="I1790" s="11" t="s">
        <v>6372</v>
      </c>
      <c r="J1790" s="12">
        <v>0.91559999999999997</v>
      </c>
      <c r="K1790" s="13">
        <v>1</v>
      </c>
      <c r="L1790" s="14">
        <v>408</v>
      </c>
      <c r="M1790" s="10">
        <v>312</v>
      </c>
      <c r="N1790" s="10">
        <v>45085</v>
      </c>
      <c r="O1790" s="10">
        <v>24467</v>
      </c>
      <c r="P1790" s="10">
        <v>69552</v>
      </c>
    </row>
    <row r="1791" spans="1:16" ht="27" customHeight="1" x14ac:dyDescent="0.2">
      <c r="A1791" s="9" t="s">
        <v>6368</v>
      </c>
      <c r="B1791" s="10" t="s">
        <v>6540</v>
      </c>
      <c r="C1791" s="11" t="s">
        <v>6563</v>
      </c>
      <c r="D1791" s="11" t="s">
        <v>6564</v>
      </c>
      <c r="E1791" s="11" t="s">
        <v>26</v>
      </c>
      <c r="F1791" s="11" t="s">
        <v>6565</v>
      </c>
      <c r="G1791" s="11" t="s">
        <v>28</v>
      </c>
      <c r="H1791" s="11" t="s">
        <v>6371</v>
      </c>
      <c r="I1791" s="11" t="s">
        <v>6372</v>
      </c>
      <c r="J1791" s="12">
        <v>0.91559999999999997</v>
      </c>
      <c r="K1791" s="13">
        <v>1</v>
      </c>
      <c r="L1791" s="14">
        <v>174</v>
      </c>
      <c r="M1791" s="10">
        <v>125</v>
      </c>
      <c r="N1791" s="10">
        <v>19227</v>
      </c>
      <c r="O1791" s="10">
        <v>9802</v>
      </c>
      <c r="P1791" s="10">
        <v>29029</v>
      </c>
    </row>
    <row r="1792" spans="1:16" ht="27" customHeight="1" x14ac:dyDescent="0.2">
      <c r="A1792" s="9" t="s">
        <v>6368</v>
      </c>
      <c r="B1792" s="10" t="s">
        <v>6540</v>
      </c>
      <c r="C1792" s="11" t="s">
        <v>6566</v>
      </c>
      <c r="D1792" s="11" t="s">
        <v>6567</v>
      </c>
      <c r="E1792" s="11" t="s">
        <v>26</v>
      </c>
      <c r="F1792" s="11" t="s">
        <v>6371</v>
      </c>
      <c r="G1792" s="11" t="s">
        <v>28</v>
      </c>
      <c r="H1792" s="11" t="s">
        <v>6371</v>
      </c>
      <c r="I1792" s="11" t="s">
        <v>6372</v>
      </c>
      <c r="J1792" s="12">
        <v>0.91559999999999997</v>
      </c>
      <c r="K1792" s="13">
        <v>1</v>
      </c>
      <c r="L1792" s="14">
        <v>391</v>
      </c>
      <c r="M1792" s="10">
        <v>358</v>
      </c>
      <c r="N1792" s="10">
        <v>43206</v>
      </c>
      <c r="O1792" s="10">
        <v>28074</v>
      </c>
      <c r="P1792" s="10">
        <v>71280</v>
      </c>
    </row>
    <row r="1793" spans="1:16" ht="27" customHeight="1" x14ac:dyDescent="0.2">
      <c r="A1793" s="9" t="s">
        <v>6368</v>
      </c>
      <c r="B1793" s="10" t="s">
        <v>6568</v>
      </c>
      <c r="C1793" s="11" t="s">
        <v>18</v>
      </c>
      <c r="D1793" s="11" t="s">
        <v>19</v>
      </c>
      <c r="E1793" s="11" t="s">
        <v>19</v>
      </c>
      <c r="F1793" s="11" t="s">
        <v>1883</v>
      </c>
      <c r="G1793" s="11" t="s">
        <v>83</v>
      </c>
      <c r="H1793" s="11" t="s">
        <v>6569</v>
      </c>
      <c r="I1793" s="11" t="s">
        <v>6570</v>
      </c>
      <c r="J1793" s="12">
        <v>0.75129999999999997</v>
      </c>
      <c r="K1793" s="13">
        <v>17</v>
      </c>
      <c r="L1793" s="14">
        <v>8923</v>
      </c>
      <c r="M1793" s="10">
        <v>2782</v>
      </c>
      <c r="N1793" s="10">
        <v>986006</v>
      </c>
      <c r="O1793" s="10">
        <v>218161</v>
      </c>
      <c r="P1793" s="10">
        <v>1204167</v>
      </c>
    </row>
    <row r="1794" spans="1:16" ht="27" customHeight="1" x14ac:dyDescent="0.2">
      <c r="A1794" s="9" t="s">
        <v>6368</v>
      </c>
      <c r="B1794" s="10" t="s">
        <v>6571</v>
      </c>
      <c r="C1794" s="11" t="s">
        <v>18</v>
      </c>
      <c r="D1794" s="11" t="s">
        <v>19</v>
      </c>
      <c r="E1794" s="11" t="s">
        <v>19</v>
      </c>
      <c r="F1794" s="11" t="s">
        <v>6572</v>
      </c>
      <c r="G1794" s="11" t="s">
        <v>83</v>
      </c>
      <c r="H1794" s="11" t="s">
        <v>6573</v>
      </c>
      <c r="I1794" s="11" t="s">
        <v>6574</v>
      </c>
      <c r="J1794" s="12">
        <v>0.67820000000000003</v>
      </c>
      <c r="K1794" s="13">
        <v>17</v>
      </c>
      <c r="L1794" s="14">
        <v>6047</v>
      </c>
      <c r="M1794" s="10">
        <v>3331</v>
      </c>
      <c r="N1794" s="10">
        <v>668203</v>
      </c>
      <c r="O1794" s="10">
        <v>261211</v>
      </c>
      <c r="P1794" s="10">
        <v>929414</v>
      </c>
    </row>
    <row r="1795" spans="1:16" ht="27" customHeight="1" x14ac:dyDescent="0.2">
      <c r="A1795" s="9" t="s">
        <v>6368</v>
      </c>
      <c r="B1795" s="10" t="s">
        <v>6571</v>
      </c>
      <c r="C1795" s="11" t="s">
        <v>6575</v>
      </c>
      <c r="D1795" s="11" t="s">
        <v>6576</v>
      </c>
      <c r="E1795" s="11" t="s">
        <v>26</v>
      </c>
      <c r="F1795" s="11" t="s">
        <v>6577</v>
      </c>
      <c r="G1795" s="11" t="s">
        <v>28</v>
      </c>
      <c r="H1795" s="11" t="s">
        <v>6577</v>
      </c>
      <c r="I1795" s="11" t="s">
        <v>6578</v>
      </c>
      <c r="J1795" s="12">
        <v>0.38740000000000002</v>
      </c>
      <c r="K1795" s="13">
        <v>1</v>
      </c>
      <c r="L1795" s="14">
        <v>364</v>
      </c>
      <c r="M1795" s="10">
        <v>141</v>
      </c>
      <c r="N1795" s="10">
        <v>40223</v>
      </c>
      <c r="O1795" s="10">
        <v>11057</v>
      </c>
      <c r="P1795" s="10">
        <v>51280</v>
      </c>
    </row>
    <row r="1796" spans="1:16" ht="27" customHeight="1" x14ac:dyDescent="0.2">
      <c r="A1796" s="9" t="s">
        <v>6368</v>
      </c>
      <c r="B1796" s="10" t="s">
        <v>6571</v>
      </c>
      <c r="C1796" s="11" t="s">
        <v>6579</v>
      </c>
      <c r="D1796" s="11" t="s">
        <v>6580</v>
      </c>
      <c r="E1796" s="11" t="s">
        <v>26</v>
      </c>
      <c r="F1796" s="11" t="s">
        <v>6581</v>
      </c>
      <c r="G1796" s="11" t="s">
        <v>28</v>
      </c>
      <c r="H1796" s="11" t="s">
        <v>6581</v>
      </c>
      <c r="I1796" s="11" t="s">
        <v>6582</v>
      </c>
      <c r="J1796" s="12">
        <v>0.67789999999999995</v>
      </c>
      <c r="K1796" s="13">
        <v>1</v>
      </c>
      <c r="L1796" s="14">
        <v>565</v>
      </c>
      <c r="M1796" s="10">
        <v>383</v>
      </c>
      <c r="N1796" s="10">
        <v>62433</v>
      </c>
      <c r="O1796" s="10">
        <v>30034</v>
      </c>
      <c r="P1796" s="10">
        <v>92467</v>
      </c>
    </row>
    <row r="1797" spans="1:16" ht="27" customHeight="1" x14ac:dyDescent="0.2">
      <c r="A1797" s="9" t="s">
        <v>6368</v>
      </c>
      <c r="B1797" s="10" t="s">
        <v>6571</v>
      </c>
      <c r="C1797" s="11" t="s">
        <v>6583</v>
      </c>
      <c r="D1797" s="11" t="s">
        <v>6584</v>
      </c>
      <c r="E1797" s="11" t="s">
        <v>26</v>
      </c>
      <c r="F1797" s="11" t="s">
        <v>6585</v>
      </c>
      <c r="G1797" s="11" t="s">
        <v>28</v>
      </c>
      <c r="H1797" s="11" t="s">
        <v>6585</v>
      </c>
      <c r="I1797" s="11" t="s">
        <v>6586</v>
      </c>
      <c r="J1797" s="12">
        <v>0.56810000000000005</v>
      </c>
      <c r="K1797" s="13">
        <v>1</v>
      </c>
      <c r="L1797" s="14">
        <v>558</v>
      </c>
      <c r="M1797" s="10">
        <v>317</v>
      </c>
      <c r="N1797" s="10">
        <v>61660</v>
      </c>
      <c r="O1797" s="10">
        <v>24859</v>
      </c>
      <c r="P1797" s="10">
        <v>86519</v>
      </c>
    </row>
    <row r="1798" spans="1:16" ht="27" customHeight="1" x14ac:dyDescent="0.2">
      <c r="A1798" s="9" t="s">
        <v>6368</v>
      </c>
      <c r="B1798" s="10" t="s">
        <v>6571</v>
      </c>
      <c r="C1798" s="11" t="s">
        <v>6587</v>
      </c>
      <c r="D1798" s="11" t="s">
        <v>6588</v>
      </c>
      <c r="E1798" s="11" t="s">
        <v>26</v>
      </c>
      <c r="F1798" s="11" t="s">
        <v>6589</v>
      </c>
      <c r="G1798" s="11" t="s">
        <v>28</v>
      </c>
      <c r="H1798" s="11" t="s">
        <v>6371</v>
      </c>
      <c r="I1798" s="11" t="s">
        <v>6372</v>
      </c>
      <c r="J1798" s="12">
        <v>0.91559999999999997</v>
      </c>
      <c r="K1798" s="13">
        <v>1</v>
      </c>
      <c r="L1798" s="14">
        <v>447</v>
      </c>
      <c r="M1798" s="10">
        <v>310</v>
      </c>
      <c r="N1798" s="10">
        <v>49394</v>
      </c>
      <c r="O1798" s="10">
        <v>24310</v>
      </c>
      <c r="P1798" s="10">
        <v>73704</v>
      </c>
    </row>
    <row r="1799" spans="1:16" ht="27" customHeight="1" x14ac:dyDescent="0.2">
      <c r="A1799" s="9" t="s">
        <v>6368</v>
      </c>
      <c r="B1799" s="10" t="s">
        <v>6571</v>
      </c>
      <c r="C1799" s="11" t="s">
        <v>6590</v>
      </c>
      <c r="D1799" s="11" t="s">
        <v>6591</v>
      </c>
      <c r="E1799" s="11" t="s">
        <v>26</v>
      </c>
      <c r="F1799" s="11" t="s">
        <v>6592</v>
      </c>
      <c r="G1799" s="11" t="s">
        <v>28</v>
      </c>
      <c r="H1799" s="11" t="s">
        <v>6371</v>
      </c>
      <c r="I1799" s="11" t="s">
        <v>6372</v>
      </c>
      <c r="J1799" s="12">
        <v>0.91559999999999997</v>
      </c>
      <c r="K1799" s="13">
        <v>1</v>
      </c>
      <c r="L1799" s="14">
        <v>221</v>
      </c>
      <c r="M1799" s="10">
        <v>177</v>
      </c>
      <c r="N1799" s="10">
        <v>24421</v>
      </c>
      <c r="O1799" s="10">
        <v>13880</v>
      </c>
      <c r="P1799" s="10">
        <v>38301</v>
      </c>
    </row>
    <row r="1800" spans="1:16" ht="27" customHeight="1" x14ac:dyDescent="0.2">
      <c r="A1800" s="9" t="s">
        <v>6368</v>
      </c>
      <c r="B1800" s="10" t="s">
        <v>6593</v>
      </c>
      <c r="C1800" s="11" t="s">
        <v>18</v>
      </c>
      <c r="D1800" s="11" t="s">
        <v>19</v>
      </c>
      <c r="E1800" s="11" t="s">
        <v>19</v>
      </c>
      <c r="F1800" s="11" t="s">
        <v>6594</v>
      </c>
      <c r="G1800" s="11" t="s">
        <v>83</v>
      </c>
      <c r="H1800" s="11" t="s">
        <v>6371</v>
      </c>
      <c r="I1800" s="11" t="s">
        <v>6372</v>
      </c>
      <c r="J1800" s="12">
        <v>0.91559999999999997</v>
      </c>
      <c r="K1800" s="13">
        <v>7</v>
      </c>
      <c r="L1800" s="14">
        <v>9978</v>
      </c>
      <c r="M1800" s="10">
        <v>1118</v>
      </c>
      <c r="N1800" s="10">
        <v>1102585</v>
      </c>
      <c r="O1800" s="10">
        <v>87673</v>
      </c>
      <c r="P1800" s="10">
        <v>1190258</v>
      </c>
    </row>
    <row r="1801" spans="1:16" ht="27" customHeight="1" x14ac:dyDescent="0.2">
      <c r="A1801" s="9" t="s">
        <v>6368</v>
      </c>
      <c r="B1801" s="10" t="s">
        <v>6595</v>
      </c>
      <c r="C1801" s="11" t="s">
        <v>18</v>
      </c>
      <c r="D1801" s="11" t="s">
        <v>19</v>
      </c>
      <c r="E1801" s="11" t="s">
        <v>19</v>
      </c>
      <c r="F1801" s="11" t="s">
        <v>6596</v>
      </c>
      <c r="G1801" s="11" t="s">
        <v>83</v>
      </c>
      <c r="H1801" s="11" t="s">
        <v>6597</v>
      </c>
      <c r="I1801" s="11" t="s">
        <v>6598</v>
      </c>
      <c r="J1801" s="12">
        <v>0.82940000000000003</v>
      </c>
      <c r="K1801" s="13">
        <v>16</v>
      </c>
      <c r="L1801" s="14">
        <v>10609</v>
      </c>
      <c r="M1801" s="10">
        <v>5337</v>
      </c>
      <c r="N1801" s="10">
        <v>1172312</v>
      </c>
      <c r="O1801" s="10">
        <v>418522</v>
      </c>
      <c r="P1801" s="10">
        <v>1590834</v>
      </c>
    </row>
    <row r="1802" spans="1:16" ht="27" customHeight="1" x14ac:dyDescent="0.2">
      <c r="A1802" s="9" t="s">
        <v>6368</v>
      </c>
      <c r="B1802" s="10" t="s">
        <v>6595</v>
      </c>
      <c r="C1802" s="11" t="s">
        <v>6599</v>
      </c>
      <c r="D1802" s="11" t="s">
        <v>6600</v>
      </c>
      <c r="E1802" s="11" t="s">
        <v>26</v>
      </c>
      <c r="F1802" s="11" t="s">
        <v>6601</v>
      </c>
      <c r="G1802" s="11" t="s">
        <v>28</v>
      </c>
      <c r="H1802" s="11" t="s">
        <v>6601</v>
      </c>
      <c r="I1802" s="11" t="s">
        <v>6602</v>
      </c>
      <c r="J1802" s="12">
        <v>0.37869999999999998</v>
      </c>
      <c r="K1802" s="13">
        <v>1</v>
      </c>
      <c r="L1802" s="14">
        <v>544</v>
      </c>
      <c r="M1802" s="10">
        <v>206</v>
      </c>
      <c r="N1802" s="10">
        <v>60113</v>
      </c>
      <c r="O1802" s="10">
        <v>16154</v>
      </c>
      <c r="P1802" s="10">
        <v>76267</v>
      </c>
    </row>
    <row r="1803" spans="1:16" ht="27" customHeight="1" x14ac:dyDescent="0.2">
      <c r="A1803" s="9" t="s">
        <v>6368</v>
      </c>
      <c r="B1803" s="10" t="s">
        <v>6603</v>
      </c>
      <c r="C1803" s="11" t="s">
        <v>18</v>
      </c>
      <c r="D1803" s="11" t="s">
        <v>19</v>
      </c>
      <c r="E1803" s="11" t="s">
        <v>19</v>
      </c>
      <c r="F1803" s="11" t="s">
        <v>6604</v>
      </c>
      <c r="G1803" s="11" t="s">
        <v>83</v>
      </c>
      <c r="H1803" s="11" t="s">
        <v>1569</v>
      </c>
      <c r="I1803" s="11" t="s">
        <v>6605</v>
      </c>
      <c r="J1803" s="12">
        <v>0.13700000000000001</v>
      </c>
      <c r="K1803" s="13">
        <v>2</v>
      </c>
      <c r="L1803" s="14">
        <v>74</v>
      </c>
      <c r="M1803" s="10">
        <v>10</v>
      </c>
      <c r="N1803" s="10">
        <v>8177</v>
      </c>
      <c r="O1803" s="10">
        <v>784</v>
      </c>
      <c r="P1803" s="10">
        <v>8961</v>
      </c>
    </row>
    <row r="1804" spans="1:16" ht="27" customHeight="1" x14ac:dyDescent="0.2">
      <c r="A1804" s="9" t="s">
        <v>6368</v>
      </c>
      <c r="B1804" s="10" t="s">
        <v>6606</v>
      </c>
      <c r="C1804" s="11" t="s">
        <v>18</v>
      </c>
      <c r="D1804" s="11" t="s">
        <v>19</v>
      </c>
      <c r="E1804" s="11" t="s">
        <v>19</v>
      </c>
      <c r="F1804" s="11" t="s">
        <v>6607</v>
      </c>
      <c r="G1804" s="11" t="s">
        <v>83</v>
      </c>
      <c r="H1804" s="11" t="s">
        <v>6608</v>
      </c>
      <c r="I1804" s="11" t="s">
        <v>6609</v>
      </c>
      <c r="J1804" s="12">
        <v>0.10150000000000001</v>
      </c>
      <c r="K1804" s="13">
        <v>3</v>
      </c>
      <c r="L1804" s="14">
        <v>434</v>
      </c>
      <c r="M1804" s="10">
        <v>39</v>
      </c>
      <c r="N1804" s="10">
        <v>47958</v>
      </c>
      <c r="O1804" s="10">
        <v>3058</v>
      </c>
      <c r="P1804" s="10">
        <v>51016</v>
      </c>
    </row>
    <row r="1805" spans="1:16" ht="27" customHeight="1" x14ac:dyDescent="0.2">
      <c r="A1805" s="9" t="s">
        <v>6368</v>
      </c>
      <c r="B1805" s="10" t="s">
        <v>6610</v>
      </c>
      <c r="C1805" s="11" t="s">
        <v>18</v>
      </c>
      <c r="D1805" s="11" t="s">
        <v>19</v>
      </c>
      <c r="E1805" s="11" t="s">
        <v>19</v>
      </c>
      <c r="F1805" s="11" t="s">
        <v>6611</v>
      </c>
      <c r="G1805" s="11" t="s">
        <v>83</v>
      </c>
      <c r="H1805" s="11" t="s">
        <v>6612</v>
      </c>
      <c r="I1805" s="11" t="s">
        <v>6613</v>
      </c>
      <c r="J1805" s="12">
        <v>0.1636</v>
      </c>
      <c r="K1805" s="13">
        <v>11</v>
      </c>
      <c r="L1805" s="14">
        <v>3372</v>
      </c>
      <c r="M1805" s="10">
        <v>225</v>
      </c>
      <c r="N1805" s="10">
        <v>372612</v>
      </c>
      <c r="O1805" s="10">
        <v>17644</v>
      </c>
      <c r="P1805" s="10">
        <v>390256</v>
      </c>
    </row>
    <row r="1806" spans="1:16" ht="27" customHeight="1" x14ac:dyDescent="0.2">
      <c r="A1806" s="9" t="s">
        <v>6368</v>
      </c>
      <c r="B1806" s="10" t="s">
        <v>6614</v>
      </c>
      <c r="C1806" s="11" t="s">
        <v>18</v>
      </c>
      <c r="D1806" s="11" t="s">
        <v>19</v>
      </c>
      <c r="E1806" s="11" t="s">
        <v>19</v>
      </c>
      <c r="F1806" s="11" t="s">
        <v>6615</v>
      </c>
      <c r="G1806" s="11" t="s">
        <v>83</v>
      </c>
      <c r="H1806" s="11" t="s">
        <v>6616</v>
      </c>
      <c r="I1806" s="11" t="s">
        <v>6617</v>
      </c>
      <c r="J1806" s="12">
        <v>4.9000000000000002E-2</v>
      </c>
      <c r="K1806" s="13">
        <v>6</v>
      </c>
      <c r="L1806" s="14">
        <v>2627</v>
      </c>
      <c r="M1806" s="10">
        <v>102</v>
      </c>
      <c r="N1806" s="10">
        <v>290288</v>
      </c>
      <c r="O1806" s="10">
        <v>8000</v>
      </c>
      <c r="P1806" s="10">
        <v>298288</v>
      </c>
    </row>
    <row r="1807" spans="1:16" ht="27" customHeight="1" x14ac:dyDescent="0.2">
      <c r="A1807" s="9" t="s">
        <v>6368</v>
      </c>
      <c r="B1807" s="10" t="s">
        <v>6618</v>
      </c>
      <c r="C1807" s="11" t="s">
        <v>18</v>
      </c>
      <c r="D1807" s="11" t="s">
        <v>19</v>
      </c>
      <c r="E1807" s="11" t="s">
        <v>19</v>
      </c>
      <c r="F1807" s="11" t="s">
        <v>6619</v>
      </c>
      <c r="G1807" s="11" t="s">
        <v>83</v>
      </c>
      <c r="H1807" s="11" t="s">
        <v>6371</v>
      </c>
      <c r="I1807" s="11" t="s">
        <v>6372</v>
      </c>
      <c r="J1807" s="12">
        <v>0.91559999999999997</v>
      </c>
      <c r="K1807" s="13">
        <v>3</v>
      </c>
      <c r="L1807" s="14">
        <v>3261</v>
      </c>
      <c r="M1807" s="10">
        <v>357</v>
      </c>
      <c r="N1807" s="10">
        <v>360346</v>
      </c>
      <c r="O1807" s="10">
        <v>27995</v>
      </c>
      <c r="P1807" s="10">
        <v>388341</v>
      </c>
    </row>
    <row r="1808" spans="1:16" ht="27" customHeight="1" x14ac:dyDescent="0.2">
      <c r="A1808" s="9" t="s">
        <v>6368</v>
      </c>
      <c r="B1808" s="10" t="s">
        <v>6620</v>
      </c>
      <c r="C1808" s="11" t="s">
        <v>18</v>
      </c>
      <c r="D1808" s="11" t="s">
        <v>19</v>
      </c>
      <c r="E1808" s="11" t="s">
        <v>19</v>
      </c>
      <c r="F1808" s="11" t="s">
        <v>6621</v>
      </c>
      <c r="G1808" s="11" t="s">
        <v>83</v>
      </c>
      <c r="H1808" s="11" t="s">
        <v>6622</v>
      </c>
      <c r="I1808" s="11" t="s">
        <v>6623</v>
      </c>
      <c r="J1808" s="12">
        <v>0.82940000000000003</v>
      </c>
      <c r="K1808" s="13">
        <v>2</v>
      </c>
      <c r="L1808" s="14">
        <v>457</v>
      </c>
      <c r="M1808" s="10">
        <v>379</v>
      </c>
      <c r="N1808" s="10">
        <v>50500</v>
      </c>
      <c r="O1808" s="10">
        <v>29721</v>
      </c>
      <c r="P1808" s="10">
        <v>80221</v>
      </c>
    </row>
    <row r="1809" spans="1:16" ht="27" customHeight="1" x14ac:dyDescent="0.2">
      <c r="A1809" s="9" t="s">
        <v>6368</v>
      </c>
      <c r="B1809" s="10" t="s">
        <v>6624</v>
      </c>
      <c r="C1809" s="11" t="s">
        <v>18</v>
      </c>
      <c r="D1809" s="11" t="s">
        <v>19</v>
      </c>
      <c r="E1809" s="11" t="s">
        <v>19</v>
      </c>
      <c r="F1809" s="11" t="s">
        <v>6625</v>
      </c>
      <c r="G1809" s="11" t="s">
        <v>83</v>
      </c>
      <c r="H1809" s="11" t="s">
        <v>6626</v>
      </c>
      <c r="I1809" s="11" t="s">
        <v>6627</v>
      </c>
      <c r="J1809" s="12">
        <v>0.84750000000000003</v>
      </c>
      <c r="K1809" s="13">
        <v>8</v>
      </c>
      <c r="L1809" s="14">
        <v>4013</v>
      </c>
      <c r="M1809" s="10">
        <v>1375</v>
      </c>
      <c r="N1809" s="10">
        <v>443444</v>
      </c>
      <c r="O1809" s="10">
        <v>107826</v>
      </c>
      <c r="P1809" s="10">
        <v>551270</v>
      </c>
    </row>
    <row r="1810" spans="1:16" ht="27" customHeight="1" x14ac:dyDescent="0.2">
      <c r="A1810" s="9" t="s">
        <v>6368</v>
      </c>
      <c r="B1810" s="10" t="s">
        <v>6628</v>
      </c>
      <c r="C1810" s="11" t="s">
        <v>18</v>
      </c>
      <c r="D1810" s="11" t="s">
        <v>19</v>
      </c>
      <c r="E1810" s="11" t="s">
        <v>19</v>
      </c>
      <c r="F1810" s="11" t="s">
        <v>6629</v>
      </c>
      <c r="G1810" s="11" t="s">
        <v>83</v>
      </c>
      <c r="H1810" s="11" t="s">
        <v>6630</v>
      </c>
      <c r="I1810" s="11" t="s">
        <v>6631</v>
      </c>
      <c r="J1810" s="12">
        <v>0.68089999999999995</v>
      </c>
      <c r="K1810" s="13">
        <v>14</v>
      </c>
      <c r="L1810" s="14">
        <v>8054</v>
      </c>
      <c r="M1810" s="10">
        <v>3105</v>
      </c>
      <c r="N1810" s="10">
        <v>889982</v>
      </c>
      <c r="O1810" s="10">
        <v>243491</v>
      </c>
      <c r="P1810" s="10">
        <v>1133473</v>
      </c>
    </row>
    <row r="1811" spans="1:16" ht="27" customHeight="1" x14ac:dyDescent="0.2">
      <c r="A1811" s="9" t="s">
        <v>6368</v>
      </c>
      <c r="B1811" s="10" t="s">
        <v>6628</v>
      </c>
      <c r="C1811" s="11" t="s">
        <v>6632</v>
      </c>
      <c r="D1811" s="11" t="s">
        <v>6633</v>
      </c>
      <c r="E1811" s="11" t="s">
        <v>26</v>
      </c>
      <c r="F1811" s="11" t="s">
        <v>6634</v>
      </c>
      <c r="G1811" s="11" t="s">
        <v>28</v>
      </c>
      <c r="H1811" s="11" t="s">
        <v>6634</v>
      </c>
      <c r="I1811" s="11" t="s">
        <v>6635</v>
      </c>
      <c r="J1811" s="12">
        <v>8.1000000000000003E-2</v>
      </c>
      <c r="K1811" s="13">
        <v>1</v>
      </c>
      <c r="L1811" s="14">
        <v>654</v>
      </c>
      <c r="M1811" s="10">
        <v>53</v>
      </c>
      <c r="N1811" s="10">
        <v>72268</v>
      </c>
      <c r="O1811" s="10">
        <v>4156</v>
      </c>
      <c r="P1811" s="10">
        <v>76424</v>
      </c>
    </row>
    <row r="1812" spans="1:16" ht="27" customHeight="1" x14ac:dyDescent="0.2">
      <c r="A1812" s="9" t="s">
        <v>6368</v>
      </c>
      <c r="B1812" s="10" t="s">
        <v>6636</v>
      </c>
      <c r="C1812" s="11" t="s">
        <v>18</v>
      </c>
      <c r="D1812" s="11" t="s">
        <v>19</v>
      </c>
      <c r="E1812" s="11" t="s">
        <v>19</v>
      </c>
      <c r="F1812" s="11" t="s">
        <v>6637</v>
      </c>
      <c r="G1812" s="11" t="s">
        <v>83</v>
      </c>
      <c r="H1812" s="11" t="s">
        <v>6638</v>
      </c>
      <c r="I1812" s="11" t="s">
        <v>6639</v>
      </c>
      <c r="J1812" s="12">
        <v>0.80649999999999999</v>
      </c>
      <c r="K1812" s="13">
        <v>13</v>
      </c>
      <c r="L1812" s="14">
        <v>4680</v>
      </c>
      <c r="M1812" s="10">
        <v>1416</v>
      </c>
      <c r="N1812" s="10">
        <v>517149</v>
      </c>
      <c r="O1812" s="10">
        <v>111042</v>
      </c>
      <c r="P1812" s="10">
        <v>628191</v>
      </c>
    </row>
    <row r="1813" spans="1:16" ht="27" customHeight="1" x14ac:dyDescent="0.2">
      <c r="A1813" s="9" t="s">
        <v>6368</v>
      </c>
      <c r="B1813" s="10" t="s">
        <v>6640</v>
      </c>
      <c r="C1813" s="11" t="s">
        <v>18</v>
      </c>
      <c r="D1813" s="11" t="s">
        <v>19</v>
      </c>
      <c r="E1813" s="11" t="s">
        <v>19</v>
      </c>
      <c r="F1813" s="11" t="s">
        <v>6641</v>
      </c>
      <c r="G1813" s="11" t="s">
        <v>83</v>
      </c>
      <c r="H1813" s="11" t="s">
        <v>6371</v>
      </c>
      <c r="I1813" s="11" t="s">
        <v>6372</v>
      </c>
      <c r="J1813" s="12">
        <v>0.91559999999999997</v>
      </c>
      <c r="K1813" s="13">
        <v>4</v>
      </c>
      <c r="L1813" s="14">
        <v>4430</v>
      </c>
      <c r="M1813" s="10">
        <v>588</v>
      </c>
      <c r="N1813" s="10">
        <v>489523</v>
      </c>
      <c r="O1813" s="10">
        <v>46111</v>
      </c>
      <c r="P1813" s="10">
        <v>535634</v>
      </c>
    </row>
    <row r="1814" spans="1:16" ht="27" customHeight="1" x14ac:dyDescent="0.2">
      <c r="A1814" s="9" t="s">
        <v>6368</v>
      </c>
      <c r="B1814" s="10" t="s">
        <v>6642</v>
      </c>
      <c r="C1814" s="11" t="s">
        <v>18</v>
      </c>
      <c r="D1814" s="11" t="s">
        <v>19</v>
      </c>
      <c r="E1814" s="11" t="s">
        <v>19</v>
      </c>
      <c r="F1814" s="11" t="s">
        <v>6643</v>
      </c>
      <c r="G1814" s="11" t="s">
        <v>83</v>
      </c>
      <c r="H1814" s="11" t="s">
        <v>6644</v>
      </c>
      <c r="I1814" s="11" t="s">
        <v>6645</v>
      </c>
      <c r="J1814" s="12">
        <v>0.76619999999999999</v>
      </c>
      <c r="K1814" s="13">
        <v>5</v>
      </c>
      <c r="L1814" s="14">
        <v>1243</v>
      </c>
      <c r="M1814" s="10">
        <v>892</v>
      </c>
      <c r="N1814" s="10">
        <v>137354</v>
      </c>
      <c r="O1814" s="10">
        <v>69949</v>
      </c>
      <c r="P1814" s="10">
        <v>207303</v>
      </c>
    </row>
    <row r="1815" spans="1:16" ht="27" customHeight="1" x14ac:dyDescent="0.2">
      <c r="A1815" s="9" t="s">
        <v>6368</v>
      </c>
      <c r="B1815" s="10" t="s">
        <v>6642</v>
      </c>
      <c r="C1815" s="11" t="s">
        <v>6646</v>
      </c>
      <c r="D1815" s="11" t="s">
        <v>6647</v>
      </c>
      <c r="E1815" s="11" t="s">
        <v>57</v>
      </c>
      <c r="F1815" s="11" t="s">
        <v>6648</v>
      </c>
      <c r="G1815" s="11" t="s">
        <v>28</v>
      </c>
      <c r="H1815" s="11" t="s">
        <v>6648</v>
      </c>
      <c r="I1815" s="11" t="s">
        <v>6649</v>
      </c>
      <c r="J1815" s="12">
        <v>0.56210000000000004</v>
      </c>
      <c r="K1815" s="13">
        <v>1</v>
      </c>
      <c r="L1815" s="14">
        <v>427</v>
      </c>
      <c r="M1815" s="10">
        <v>240</v>
      </c>
      <c r="N1815" s="10">
        <v>47184</v>
      </c>
      <c r="O1815" s="10">
        <v>18821</v>
      </c>
      <c r="P1815" s="10">
        <v>66005</v>
      </c>
    </row>
    <row r="1816" spans="1:16" ht="27" customHeight="1" x14ac:dyDescent="0.2">
      <c r="A1816" s="9" t="s">
        <v>6368</v>
      </c>
      <c r="B1816" s="10" t="s">
        <v>6650</v>
      </c>
      <c r="C1816" s="11" t="s">
        <v>18</v>
      </c>
      <c r="D1816" s="11" t="s">
        <v>19</v>
      </c>
      <c r="E1816" s="11" t="s">
        <v>19</v>
      </c>
      <c r="F1816" s="11" t="s">
        <v>6651</v>
      </c>
      <c r="G1816" s="11" t="s">
        <v>83</v>
      </c>
      <c r="H1816" s="11" t="s">
        <v>6652</v>
      </c>
      <c r="I1816" s="11" t="s">
        <v>6653</v>
      </c>
      <c r="J1816" s="12">
        <v>0.61199999999999999</v>
      </c>
      <c r="K1816" s="13">
        <v>19</v>
      </c>
      <c r="L1816" s="14">
        <v>8731</v>
      </c>
      <c r="M1816" s="10">
        <v>3148</v>
      </c>
      <c r="N1816" s="10">
        <v>964791</v>
      </c>
      <c r="O1816" s="10">
        <v>246863</v>
      </c>
      <c r="P1816" s="10">
        <v>1211654</v>
      </c>
    </row>
    <row r="1817" spans="1:16" ht="27" customHeight="1" x14ac:dyDescent="0.2">
      <c r="A1817" s="9" t="s">
        <v>6368</v>
      </c>
      <c r="B1817" s="10" t="s">
        <v>6654</v>
      </c>
      <c r="C1817" s="11" t="s">
        <v>18</v>
      </c>
      <c r="D1817" s="11" t="s">
        <v>19</v>
      </c>
      <c r="E1817" s="11" t="s">
        <v>19</v>
      </c>
      <c r="F1817" s="11" t="s">
        <v>6655</v>
      </c>
      <c r="G1817" s="11" t="s">
        <v>83</v>
      </c>
      <c r="H1817" s="11" t="s">
        <v>6655</v>
      </c>
      <c r="I1817" s="11" t="s">
        <v>6656</v>
      </c>
      <c r="J1817" s="12">
        <v>0.43909999999999999</v>
      </c>
      <c r="K1817" s="13">
        <v>2</v>
      </c>
      <c r="L1817" s="14">
        <v>777</v>
      </c>
      <c r="M1817" s="10">
        <v>341</v>
      </c>
      <c r="N1817" s="10">
        <v>85860</v>
      </c>
      <c r="O1817" s="10">
        <v>26741</v>
      </c>
      <c r="P1817" s="10">
        <v>112601</v>
      </c>
    </row>
    <row r="1818" spans="1:16" ht="27" customHeight="1" x14ac:dyDescent="0.2">
      <c r="A1818" s="9" t="s">
        <v>6368</v>
      </c>
      <c r="B1818" s="15" t="s">
        <v>6657</v>
      </c>
      <c r="C1818" s="11" t="s">
        <v>18</v>
      </c>
      <c r="D1818" s="11" t="s">
        <v>19</v>
      </c>
      <c r="E1818" s="11" t="s">
        <v>19</v>
      </c>
      <c r="F1818" s="11" t="s">
        <v>6658</v>
      </c>
      <c r="G1818" s="11" t="s">
        <v>83</v>
      </c>
      <c r="H1818" s="11" t="s">
        <v>6659</v>
      </c>
      <c r="I1818" s="11" t="s">
        <v>6660</v>
      </c>
      <c r="J1818" s="12">
        <v>0.4</v>
      </c>
      <c r="K1818" s="13">
        <v>20</v>
      </c>
      <c r="L1818" s="14">
        <v>10363</v>
      </c>
      <c r="M1818" s="10">
        <v>1201</v>
      </c>
      <c r="N1818" s="10">
        <v>1145128</v>
      </c>
      <c r="O1818" s="10">
        <v>94181</v>
      </c>
      <c r="P1818" s="10">
        <v>1239309</v>
      </c>
    </row>
    <row r="1819" spans="1:16" ht="27" customHeight="1" x14ac:dyDescent="0.2">
      <c r="A1819" s="9" t="s">
        <v>6368</v>
      </c>
      <c r="B1819" s="10" t="s">
        <v>6661</v>
      </c>
      <c r="C1819" s="11" t="s">
        <v>18</v>
      </c>
      <c r="D1819" s="11" t="s">
        <v>19</v>
      </c>
      <c r="E1819" s="11" t="s">
        <v>19</v>
      </c>
      <c r="F1819" s="11" t="s">
        <v>6662</v>
      </c>
      <c r="G1819" s="11" t="s">
        <v>83</v>
      </c>
      <c r="H1819" s="11" t="s">
        <v>948</v>
      </c>
      <c r="I1819" s="11" t="s">
        <v>6663</v>
      </c>
      <c r="J1819" s="12">
        <v>0.83860000000000001</v>
      </c>
      <c r="K1819" s="13">
        <v>43</v>
      </c>
      <c r="L1819" s="14">
        <v>25441</v>
      </c>
      <c r="M1819" s="10">
        <v>10529</v>
      </c>
      <c r="N1819" s="10">
        <v>2811273</v>
      </c>
      <c r="O1819" s="10">
        <v>825676</v>
      </c>
      <c r="P1819" s="10">
        <v>3636949</v>
      </c>
    </row>
    <row r="1820" spans="1:16" ht="27" customHeight="1" x14ac:dyDescent="0.2">
      <c r="A1820" s="9" t="s">
        <v>6368</v>
      </c>
      <c r="B1820" s="10" t="s">
        <v>6661</v>
      </c>
      <c r="C1820" s="11" t="s">
        <v>6664</v>
      </c>
      <c r="D1820" s="11" t="s">
        <v>6665</v>
      </c>
      <c r="E1820" s="11" t="s">
        <v>26</v>
      </c>
      <c r="F1820" s="11" t="s">
        <v>6666</v>
      </c>
      <c r="G1820" s="11" t="s">
        <v>28</v>
      </c>
      <c r="H1820" s="11" t="s">
        <v>6371</v>
      </c>
      <c r="I1820" s="11" t="s">
        <v>6372</v>
      </c>
      <c r="J1820" s="12">
        <v>0.91559999999999997</v>
      </c>
      <c r="K1820" s="13">
        <v>1</v>
      </c>
      <c r="L1820" s="14">
        <v>294</v>
      </c>
      <c r="M1820" s="10">
        <v>233</v>
      </c>
      <c r="N1820" s="10">
        <v>32487</v>
      </c>
      <c r="O1820" s="10">
        <v>18272</v>
      </c>
      <c r="P1820" s="10">
        <v>50759</v>
      </c>
    </row>
    <row r="1821" spans="1:16" ht="27" customHeight="1" x14ac:dyDescent="0.2">
      <c r="A1821" s="9" t="s">
        <v>6368</v>
      </c>
      <c r="B1821" s="10" t="s">
        <v>6661</v>
      </c>
      <c r="C1821" s="11" t="s">
        <v>6667</v>
      </c>
      <c r="D1821" s="11" t="s">
        <v>6668</v>
      </c>
      <c r="E1821" s="11" t="s">
        <v>26</v>
      </c>
      <c r="F1821" s="11" t="s">
        <v>6669</v>
      </c>
      <c r="G1821" s="11" t="s">
        <v>28</v>
      </c>
      <c r="H1821" s="11" t="s">
        <v>6371</v>
      </c>
      <c r="I1821" s="11" t="s">
        <v>6372</v>
      </c>
      <c r="J1821" s="12">
        <v>0.91559999999999997</v>
      </c>
      <c r="K1821" s="13">
        <v>1</v>
      </c>
      <c r="L1821" s="14">
        <v>239</v>
      </c>
      <c r="M1821" s="10">
        <v>193</v>
      </c>
      <c r="N1821" s="10">
        <v>26410</v>
      </c>
      <c r="O1821" s="10">
        <v>15135</v>
      </c>
      <c r="P1821" s="10">
        <v>41545</v>
      </c>
    </row>
    <row r="1822" spans="1:16" ht="27" customHeight="1" x14ac:dyDescent="0.2">
      <c r="A1822" s="9" t="s">
        <v>6368</v>
      </c>
      <c r="B1822" s="10" t="s">
        <v>6661</v>
      </c>
      <c r="C1822" s="11" t="s">
        <v>6670</v>
      </c>
      <c r="D1822" s="11" t="s">
        <v>6671</v>
      </c>
      <c r="E1822" s="11" t="s">
        <v>26</v>
      </c>
      <c r="F1822" s="11" t="s">
        <v>6672</v>
      </c>
      <c r="G1822" s="11" t="s">
        <v>28</v>
      </c>
      <c r="H1822" s="11" t="s">
        <v>6371</v>
      </c>
      <c r="I1822" s="11" t="s">
        <v>6372</v>
      </c>
      <c r="J1822" s="12">
        <v>0.91559999999999997</v>
      </c>
      <c r="K1822" s="13">
        <v>1</v>
      </c>
      <c r="L1822" s="14">
        <v>495</v>
      </c>
      <c r="M1822" s="10">
        <v>380</v>
      </c>
      <c r="N1822" s="10">
        <v>54698</v>
      </c>
      <c r="O1822" s="10">
        <v>29799</v>
      </c>
      <c r="P1822" s="10">
        <v>84497</v>
      </c>
    </row>
    <row r="1823" spans="1:16" ht="27" customHeight="1" x14ac:dyDescent="0.2">
      <c r="A1823" s="9" t="s">
        <v>6368</v>
      </c>
      <c r="B1823" s="10" t="s">
        <v>6673</v>
      </c>
      <c r="C1823" s="11" t="s">
        <v>18</v>
      </c>
      <c r="D1823" s="11" t="s">
        <v>19</v>
      </c>
      <c r="E1823" s="11" t="s">
        <v>19</v>
      </c>
      <c r="F1823" s="11" t="s">
        <v>6674</v>
      </c>
      <c r="G1823" s="11" t="s">
        <v>83</v>
      </c>
      <c r="H1823" s="11" t="s">
        <v>6675</v>
      </c>
      <c r="I1823" s="11" t="s">
        <v>6676</v>
      </c>
      <c r="J1823" s="12">
        <v>0.71209999999999996</v>
      </c>
      <c r="K1823" s="13">
        <v>31</v>
      </c>
      <c r="L1823" s="14">
        <v>14220</v>
      </c>
      <c r="M1823" s="10">
        <v>5832</v>
      </c>
      <c r="N1823" s="10">
        <v>1571339</v>
      </c>
      <c r="O1823" s="10">
        <v>457341</v>
      </c>
      <c r="P1823" s="10">
        <v>2028680</v>
      </c>
    </row>
    <row r="1824" spans="1:16" ht="27" customHeight="1" x14ac:dyDescent="0.2">
      <c r="A1824" s="9" t="s">
        <v>6368</v>
      </c>
      <c r="B1824" s="10" t="s">
        <v>6677</v>
      </c>
      <c r="C1824" s="11" t="s">
        <v>18</v>
      </c>
      <c r="D1824" s="11" t="s">
        <v>19</v>
      </c>
      <c r="E1824" s="11" t="s">
        <v>19</v>
      </c>
      <c r="F1824" s="11" t="s">
        <v>6678</v>
      </c>
      <c r="G1824" s="11" t="s">
        <v>83</v>
      </c>
      <c r="H1824" s="11" t="s">
        <v>954</v>
      </c>
      <c r="I1824" s="11" t="s">
        <v>6679</v>
      </c>
      <c r="J1824" s="12">
        <v>4.9700000000000001E-2</v>
      </c>
      <c r="K1824" s="13">
        <v>6</v>
      </c>
      <c r="L1824" s="14">
        <v>1630</v>
      </c>
      <c r="M1824" s="10">
        <v>53</v>
      </c>
      <c r="N1824" s="10">
        <v>180117</v>
      </c>
      <c r="O1824" s="10">
        <v>4156</v>
      </c>
      <c r="P1824" s="10">
        <v>184273</v>
      </c>
    </row>
    <row r="1825" spans="1:16" ht="27" customHeight="1" x14ac:dyDescent="0.2">
      <c r="A1825" s="9" t="s">
        <v>6368</v>
      </c>
      <c r="B1825" s="10" t="s">
        <v>6680</v>
      </c>
      <c r="C1825" s="11" t="s">
        <v>18</v>
      </c>
      <c r="D1825" s="11" t="s">
        <v>19</v>
      </c>
      <c r="E1825" s="11" t="s">
        <v>19</v>
      </c>
      <c r="F1825" s="11" t="s">
        <v>6681</v>
      </c>
      <c r="G1825" s="11" t="s">
        <v>83</v>
      </c>
      <c r="H1825" s="11" t="s">
        <v>1290</v>
      </c>
      <c r="I1825" s="11" t="s">
        <v>6682</v>
      </c>
      <c r="J1825" s="12">
        <v>0.56420000000000003</v>
      </c>
      <c r="K1825" s="13">
        <v>11</v>
      </c>
      <c r="L1825" s="14">
        <v>5603</v>
      </c>
      <c r="M1825" s="10">
        <v>1715</v>
      </c>
      <c r="N1825" s="10">
        <v>619142</v>
      </c>
      <c r="O1825" s="10">
        <v>134489</v>
      </c>
      <c r="P1825" s="10">
        <v>753631</v>
      </c>
    </row>
    <row r="1826" spans="1:16" ht="27" customHeight="1" x14ac:dyDescent="0.2">
      <c r="A1826" s="9" t="s">
        <v>6368</v>
      </c>
      <c r="B1826" s="10" t="s">
        <v>6683</v>
      </c>
      <c r="C1826" s="11" t="s">
        <v>18</v>
      </c>
      <c r="D1826" s="11" t="s">
        <v>19</v>
      </c>
      <c r="E1826" s="11" t="s">
        <v>19</v>
      </c>
      <c r="F1826" s="11" t="s">
        <v>6684</v>
      </c>
      <c r="G1826" s="11" t="s">
        <v>83</v>
      </c>
      <c r="H1826" s="11" t="s">
        <v>6685</v>
      </c>
      <c r="I1826" s="11" t="s">
        <v>6686</v>
      </c>
      <c r="J1826" s="12">
        <v>0.17599999999999999</v>
      </c>
      <c r="K1826" s="13">
        <v>9</v>
      </c>
      <c r="L1826" s="14">
        <v>5393</v>
      </c>
      <c r="M1826" s="10">
        <v>500</v>
      </c>
      <c r="N1826" s="10">
        <v>595935</v>
      </c>
      <c r="O1826" s="10">
        <v>39211</v>
      </c>
      <c r="P1826" s="10">
        <v>635146</v>
      </c>
    </row>
    <row r="1827" spans="1:16" ht="27" customHeight="1" x14ac:dyDescent="0.2">
      <c r="A1827" s="9" t="s">
        <v>6368</v>
      </c>
      <c r="B1827" s="10" t="s">
        <v>6687</v>
      </c>
      <c r="C1827" s="11" t="s">
        <v>18</v>
      </c>
      <c r="D1827" s="11" t="s">
        <v>19</v>
      </c>
      <c r="E1827" s="11" t="s">
        <v>19</v>
      </c>
      <c r="F1827" s="11" t="s">
        <v>6688</v>
      </c>
      <c r="G1827" s="11" t="s">
        <v>83</v>
      </c>
      <c r="H1827" s="11" t="s">
        <v>6689</v>
      </c>
      <c r="I1827" s="11" t="s">
        <v>6690</v>
      </c>
      <c r="J1827" s="12">
        <v>0.5423</v>
      </c>
      <c r="K1827" s="13">
        <v>16</v>
      </c>
      <c r="L1827" s="14">
        <v>10051</v>
      </c>
      <c r="M1827" s="10">
        <v>2848</v>
      </c>
      <c r="N1827" s="10">
        <v>1110652</v>
      </c>
      <c r="O1827" s="10">
        <v>223339</v>
      </c>
      <c r="P1827" s="10">
        <v>1333991</v>
      </c>
    </row>
    <row r="1828" spans="1:16" ht="27" customHeight="1" x14ac:dyDescent="0.2">
      <c r="A1828" s="9" t="s">
        <v>6368</v>
      </c>
      <c r="B1828" s="10" t="s">
        <v>6691</v>
      </c>
      <c r="C1828" s="11" t="s">
        <v>6692</v>
      </c>
      <c r="D1828" s="11" t="s">
        <v>6693</v>
      </c>
      <c r="E1828" s="11" t="s">
        <v>26</v>
      </c>
      <c r="F1828" s="11" t="s">
        <v>6694</v>
      </c>
      <c r="G1828" s="11" t="s">
        <v>28</v>
      </c>
      <c r="H1828" s="11" t="s">
        <v>6371</v>
      </c>
      <c r="I1828" s="11" t="s">
        <v>6372</v>
      </c>
      <c r="J1828" s="12">
        <v>0.91559999999999997</v>
      </c>
      <c r="K1828" s="13">
        <v>1</v>
      </c>
      <c r="L1828" s="14">
        <v>338</v>
      </c>
      <c r="M1828" s="10">
        <v>250</v>
      </c>
      <c r="N1828" s="10">
        <v>37350</v>
      </c>
      <c r="O1828" s="10">
        <v>19605</v>
      </c>
      <c r="P1828" s="10">
        <v>56955</v>
      </c>
    </row>
    <row r="1829" spans="1:16" ht="27" customHeight="1" x14ac:dyDescent="0.2">
      <c r="A1829" s="9" t="s">
        <v>6695</v>
      </c>
      <c r="B1829" s="10" t="s">
        <v>6696</v>
      </c>
      <c r="C1829" s="11" t="s">
        <v>18</v>
      </c>
      <c r="D1829" s="11" t="s">
        <v>19</v>
      </c>
      <c r="E1829" s="11" t="s">
        <v>19</v>
      </c>
      <c r="F1829" s="11" t="s">
        <v>6697</v>
      </c>
      <c r="G1829" s="11" t="s">
        <v>21</v>
      </c>
      <c r="H1829" s="11" t="s">
        <v>6698</v>
      </c>
      <c r="I1829" s="11" t="s">
        <v>6699</v>
      </c>
      <c r="J1829" s="12">
        <v>0.97509999999999997</v>
      </c>
      <c r="K1829" s="13">
        <v>4</v>
      </c>
      <c r="L1829" s="14">
        <v>917</v>
      </c>
      <c r="M1829" s="10">
        <v>449</v>
      </c>
      <c r="N1829" s="10">
        <v>101331</v>
      </c>
      <c r="O1829" s="10">
        <v>35210</v>
      </c>
      <c r="P1829" s="10">
        <v>136541</v>
      </c>
    </row>
    <row r="1830" spans="1:16" ht="27" customHeight="1" x14ac:dyDescent="0.2">
      <c r="A1830" s="9" t="s">
        <v>6695</v>
      </c>
      <c r="B1830" s="10" t="s">
        <v>6696</v>
      </c>
      <c r="C1830" s="11" t="s">
        <v>6700</v>
      </c>
      <c r="D1830" s="11" t="s">
        <v>6701</v>
      </c>
      <c r="E1830" s="11" t="s">
        <v>57</v>
      </c>
      <c r="F1830" s="11" t="s">
        <v>6702</v>
      </c>
      <c r="G1830" s="11" t="s">
        <v>28</v>
      </c>
      <c r="H1830" s="11" t="s">
        <v>6698</v>
      </c>
      <c r="I1830" s="11" t="s">
        <v>6699</v>
      </c>
      <c r="J1830" s="12">
        <v>0.97509999999999997</v>
      </c>
      <c r="K1830" s="13">
        <v>1</v>
      </c>
      <c r="L1830" s="14">
        <v>163</v>
      </c>
      <c r="M1830" s="10">
        <v>22</v>
      </c>
      <c r="N1830" s="10">
        <v>18012</v>
      </c>
      <c r="O1830" s="10">
        <v>1725</v>
      </c>
      <c r="P1830" s="10">
        <v>19737</v>
      </c>
    </row>
    <row r="1831" spans="1:16" ht="27" customHeight="1" x14ac:dyDescent="0.2">
      <c r="A1831" s="9" t="s">
        <v>6695</v>
      </c>
      <c r="B1831" s="10" t="s">
        <v>6696</v>
      </c>
      <c r="C1831" s="11" t="s">
        <v>6703</v>
      </c>
      <c r="D1831" s="11" t="s">
        <v>6704</v>
      </c>
      <c r="E1831" s="11" t="s">
        <v>26</v>
      </c>
      <c r="F1831" s="11" t="s">
        <v>6705</v>
      </c>
      <c r="G1831" s="11" t="s">
        <v>28</v>
      </c>
      <c r="H1831" s="11" t="s">
        <v>6698</v>
      </c>
      <c r="I1831" s="11" t="s">
        <v>6699</v>
      </c>
      <c r="J1831" s="12">
        <v>0.97509999999999997</v>
      </c>
      <c r="K1831" s="13">
        <v>1</v>
      </c>
      <c r="L1831" s="14">
        <v>533</v>
      </c>
      <c r="M1831" s="10">
        <v>48</v>
      </c>
      <c r="N1831" s="10">
        <v>58897</v>
      </c>
      <c r="O1831" s="10">
        <v>3764</v>
      </c>
      <c r="P1831" s="10">
        <v>62661</v>
      </c>
    </row>
    <row r="1832" spans="1:16" ht="27" customHeight="1" x14ac:dyDescent="0.2">
      <c r="A1832" s="9" t="s">
        <v>6695</v>
      </c>
      <c r="B1832" s="10" t="s">
        <v>6706</v>
      </c>
      <c r="C1832" s="11" t="s">
        <v>18</v>
      </c>
      <c r="D1832" s="11" t="s">
        <v>19</v>
      </c>
      <c r="E1832" s="11" t="s">
        <v>19</v>
      </c>
      <c r="F1832" s="11" t="s">
        <v>6707</v>
      </c>
      <c r="G1832" s="11" t="s">
        <v>83</v>
      </c>
      <c r="H1832" s="11" t="s">
        <v>6708</v>
      </c>
      <c r="I1832" s="11" t="s">
        <v>6709</v>
      </c>
      <c r="J1832" s="12">
        <v>0.13039999999999999</v>
      </c>
      <c r="K1832" s="13">
        <v>2</v>
      </c>
      <c r="L1832" s="14">
        <v>115</v>
      </c>
      <c r="M1832" s="10">
        <v>15</v>
      </c>
      <c r="N1832" s="10">
        <v>12708</v>
      </c>
      <c r="O1832" s="10">
        <v>1176</v>
      </c>
      <c r="P1832" s="10">
        <v>13884</v>
      </c>
    </row>
    <row r="1833" spans="1:16" ht="27" customHeight="1" x14ac:dyDescent="0.2">
      <c r="A1833" s="9" t="s">
        <v>6695</v>
      </c>
      <c r="B1833" s="10" t="s">
        <v>6710</v>
      </c>
      <c r="C1833" s="11" t="s">
        <v>18</v>
      </c>
      <c r="D1833" s="11" t="s">
        <v>19</v>
      </c>
      <c r="E1833" s="11" t="s">
        <v>19</v>
      </c>
      <c r="F1833" s="11" t="s">
        <v>6711</v>
      </c>
      <c r="G1833" s="11" t="s">
        <v>83</v>
      </c>
      <c r="H1833" s="11" t="s">
        <v>6711</v>
      </c>
      <c r="I1833" s="11" t="s">
        <v>6712</v>
      </c>
      <c r="J1833" s="12">
        <v>0.1</v>
      </c>
      <c r="K1833" s="13">
        <v>2</v>
      </c>
      <c r="L1833" s="14">
        <v>120</v>
      </c>
      <c r="M1833" s="10">
        <v>12</v>
      </c>
      <c r="N1833" s="10">
        <v>13260</v>
      </c>
      <c r="O1833" s="10">
        <v>941</v>
      </c>
      <c r="P1833" s="10">
        <v>14201</v>
      </c>
    </row>
    <row r="1834" spans="1:16" ht="27" customHeight="1" x14ac:dyDescent="0.2">
      <c r="A1834" s="9" t="s">
        <v>6695</v>
      </c>
      <c r="B1834" s="10" t="s">
        <v>6713</v>
      </c>
      <c r="C1834" s="11" t="s">
        <v>18</v>
      </c>
      <c r="D1834" s="11" t="s">
        <v>19</v>
      </c>
      <c r="E1834" s="11" t="s">
        <v>19</v>
      </c>
      <c r="F1834" s="11" t="s">
        <v>6714</v>
      </c>
      <c r="G1834" s="11" t="s">
        <v>83</v>
      </c>
      <c r="H1834" s="11" t="s">
        <v>6071</v>
      </c>
      <c r="I1834" s="11" t="s">
        <v>6715</v>
      </c>
      <c r="J1834" s="12">
        <v>0.50290000000000001</v>
      </c>
      <c r="K1834" s="13">
        <v>7</v>
      </c>
      <c r="L1834" s="14">
        <v>1599</v>
      </c>
      <c r="M1834" s="10">
        <v>840</v>
      </c>
      <c r="N1834" s="10">
        <v>176692</v>
      </c>
      <c r="O1834" s="10">
        <v>65871</v>
      </c>
      <c r="P1834" s="10">
        <v>242563</v>
      </c>
    </row>
    <row r="1835" spans="1:16" ht="27" customHeight="1" x14ac:dyDescent="0.2">
      <c r="A1835" s="9" t="s">
        <v>6695</v>
      </c>
      <c r="B1835" s="10" t="s">
        <v>6713</v>
      </c>
      <c r="C1835" s="11" t="s">
        <v>6716</v>
      </c>
      <c r="D1835" s="11" t="s">
        <v>6717</v>
      </c>
      <c r="E1835" s="11" t="s">
        <v>57</v>
      </c>
      <c r="F1835" s="11" t="s">
        <v>6718</v>
      </c>
      <c r="G1835" s="11" t="s">
        <v>28</v>
      </c>
      <c r="H1835" s="11" t="s">
        <v>6718</v>
      </c>
      <c r="I1835" s="11" t="s">
        <v>6719</v>
      </c>
      <c r="J1835" s="12">
        <v>0.28389999999999999</v>
      </c>
      <c r="K1835" s="13">
        <v>1</v>
      </c>
      <c r="L1835" s="14">
        <v>155</v>
      </c>
      <c r="M1835" s="10">
        <v>44</v>
      </c>
      <c r="N1835" s="10">
        <v>17128</v>
      </c>
      <c r="O1835" s="10">
        <v>3450</v>
      </c>
      <c r="P1835" s="10">
        <v>20578</v>
      </c>
    </row>
    <row r="1836" spans="1:16" ht="27" customHeight="1" x14ac:dyDescent="0.2">
      <c r="A1836" s="9" t="s">
        <v>6695</v>
      </c>
      <c r="B1836" s="10" t="s">
        <v>6720</v>
      </c>
      <c r="C1836" s="11" t="s">
        <v>18</v>
      </c>
      <c r="D1836" s="11" t="s">
        <v>19</v>
      </c>
      <c r="E1836" s="11" t="s">
        <v>19</v>
      </c>
      <c r="F1836" s="11" t="s">
        <v>6721</v>
      </c>
      <c r="G1836" s="11" t="s">
        <v>83</v>
      </c>
      <c r="H1836" s="11" t="s">
        <v>6721</v>
      </c>
      <c r="I1836" s="11" t="s">
        <v>6722</v>
      </c>
      <c r="J1836" s="12">
        <v>0.1938</v>
      </c>
      <c r="K1836" s="13">
        <v>2</v>
      </c>
      <c r="L1836" s="14">
        <v>161</v>
      </c>
      <c r="M1836" s="10">
        <v>31</v>
      </c>
      <c r="N1836" s="10">
        <v>17791</v>
      </c>
      <c r="O1836" s="10">
        <v>2431</v>
      </c>
      <c r="P1836" s="10">
        <v>20222</v>
      </c>
    </row>
    <row r="1837" spans="1:16" ht="27" customHeight="1" x14ac:dyDescent="0.2">
      <c r="A1837" s="9" t="s">
        <v>6695</v>
      </c>
      <c r="B1837" s="10" t="s">
        <v>6723</v>
      </c>
      <c r="C1837" s="11" t="s">
        <v>18</v>
      </c>
      <c r="D1837" s="11" t="s">
        <v>19</v>
      </c>
      <c r="E1837" s="11" t="s">
        <v>19</v>
      </c>
      <c r="F1837" s="11" t="s">
        <v>6724</v>
      </c>
      <c r="G1837" s="11" t="s">
        <v>83</v>
      </c>
      <c r="H1837" s="11" t="s">
        <v>6724</v>
      </c>
      <c r="I1837" s="11" t="s">
        <v>6725</v>
      </c>
      <c r="J1837" s="12">
        <v>0.35060000000000002</v>
      </c>
      <c r="K1837" s="13">
        <v>2</v>
      </c>
      <c r="L1837" s="14">
        <v>165</v>
      </c>
      <c r="M1837" s="10">
        <v>58</v>
      </c>
      <c r="N1837" s="10">
        <v>18233</v>
      </c>
      <c r="O1837" s="10">
        <v>4549</v>
      </c>
      <c r="P1837" s="10">
        <v>22782</v>
      </c>
    </row>
    <row r="1838" spans="1:16" ht="27" customHeight="1" x14ac:dyDescent="0.2">
      <c r="A1838" s="9" t="s">
        <v>6695</v>
      </c>
      <c r="B1838" s="10" t="s">
        <v>6726</v>
      </c>
      <c r="C1838" s="11" t="s">
        <v>18</v>
      </c>
      <c r="D1838" s="11" t="s">
        <v>19</v>
      </c>
      <c r="E1838" s="11" t="s">
        <v>19</v>
      </c>
      <c r="F1838" s="11" t="s">
        <v>6727</v>
      </c>
      <c r="G1838" s="11" t="s">
        <v>83</v>
      </c>
      <c r="H1838" s="11" t="s">
        <v>6698</v>
      </c>
      <c r="I1838" s="11" t="s">
        <v>6699</v>
      </c>
      <c r="J1838" s="12">
        <v>0.97509999999999997</v>
      </c>
      <c r="K1838" s="13">
        <v>30</v>
      </c>
      <c r="L1838" s="14">
        <v>16292</v>
      </c>
      <c r="M1838" s="10">
        <v>13410</v>
      </c>
      <c r="N1838" s="10">
        <v>1800295</v>
      </c>
      <c r="O1838" s="10">
        <v>1051598</v>
      </c>
      <c r="P1838" s="10">
        <v>2851893</v>
      </c>
    </row>
    <row r="1839" spans="1:16" ht="27" customHeight="1" x14ac:dyDescent="0.2">
      <c r="A1839" s="9" t="s">
        <v>6695</v>
      </c>
      <c r="B1839" s="10" t="s">
        <v>6726</v>
      </c>
      <c r="C1839" s="11" t="s">
        <v>6728</v>
      </c>
      <c r="D1839" s="11" t="s">
        <v>6729</v>
      </c>
      <c r="E1839" s="11" t="s">
        <v>26</v>
      </c>
      <c r="F1839" s="11" t="s">
        <v>6730</v>
      </c>
      <c r="G1839" s="11" t="s">
        <v>28</v>
      </c>
      <c r="H1839" s="11" t="s">
        <v>6730</v>
      </c>
      <c r="I1839" s="11" t="s">
        <v>6731</v>
      </c>
      <c r="J1839" s="12">
        <v>0.7671</v>
      </c>
      <c r="K1839" s="13">
        <v>1</v>
      </c>
      <c r="L1839" s="14">
        <v>511</v>
      </c>
      <c r="M1839" s="10">
        <v>392</v>
      </c>
      <c r="N1839" s="10">
        <v>56466</v>
      </c>
      <c r="O1839" s="10">
        <v>30740</v>
      </c>
      <c r="P1839" s="10">
        <v>87206</v>
      </c>
    </row>
    <row r="1840" spans="1:16" ht="27" customHeight="1" x14ac:dyDescent="0.2">
      <c r="A1840" s="9" t="s">
        <v>6695</v>
      </c>
      <c r="B1840" s="10" t="s">
        <v>6726</v>
      </c>
      <c r="C1840" s="11" t="s">
        <v>6732</v>
      </c>
      <c r="D1840" s="11" t="s">
        <v>6733</v>
      </c>
      <c r="E1840" s="11" t="s">
        <v>57</v>
      </c>
      <c r="F1840" s="11" t="s">
        <v>6734</v>
      </c>
      <c r="G1840" s="11" t="s">
        <v>28</v>
      </c>
      <c r="H1840" s="11" t="s">
        <v>6734</v>
      </c>
      <c r="I1840" s="11" t="s">
        <v>6735</v>
      </c>
      <c r="J1840" s="12">
        <v>0.59389999999999998</v>
      </c>
      <c r="K1840" s="13">
        <v>1</v>
      </c>
      <c r="L1840" s="14">
        <v>165</v>
      </c>
      <c r="M1840" s="10">
        <v>98</v>
      </c>
      <c r="N1840" s="10">
        <v>18233</v>
      </c>
      <c r="O1840" s="10">
        <v>7685</v>
      </c>
      <c r="P1840" s="10">
        <v>25918</v>
      </c>
    </row>
    <row r="1841" spans="1:16" ht="27" customHeight="1" x14ac:dyDescent="0.2">
      <c r="A1841" s="9" t="s">
        <v>6695</v>
      </c>
      <c r="B1841" s="10" t="s">
        <v>6726</v>
      </c>
      <c r="C1841" s="11" t="s">
        <v>6736</v>
      </c>
      <c r="D1841" s="11" t="s">
        <v>6737</v>
      </c>
      <c r="E1841" s="11" t="s">
        <v>57</v>
      </c>
      <c r="F1841" s="11" t="s">
        <v>6738</v>
      </c>
      <c r="G1841" s="11" t="s">
        <v>28</v>
      </c>
      <c r="H1841" s="11" t="s">
        <v>6698</v>
      </c>
      <c r="I1841" s="11" t="s">
        <v>6699</v>
      </c>
      <c r="J1841" s="12">
        <v>0.97509999999999997</v>
      </c>
      <c r="K1841" s="13">
        <v>1</v>
      </c>
      <c r="L1841" s="14">
        <v>83</v>
      </c>
      <c r="M1841" s="10">
        <v>63</v>
      </c>
      <c r="N1841" s="10">
        <v>9172</v>
      </c>
      <c r="O1841" s="10">
        <v>4940</v>
      </c>
      <c r="P1841" s="10">
        <v>14112</v>
      </c>
    </row>
    <row r="1842" spans="1:16" ht="27" customHeight="1" x14ac:dyDescent="0.2">
      <c r="A1842" s="9" t="s">
        <v>6695</v>
      </c>
      <c r="B1842" s="10" t="s">
        <v>6726</v>
      </c>
      <c r="C1842" s="11" t="s">
        <v>6739</v>
      </c>
      <c r="D1842" s="11" t="s">
        <v>6740</v>
      </c>
      <c r="E1842" s="11" t="s">
        <v>57</v>
      </c>
      <c r="F1842" s="11" t="s">
        <v>6741</v>
      </c>
      <c r="G1842" s="11" t="s">
        <v>28</v>
      </c>
      <c r="H1842" s="11" t="s">
        <v>6741</v>
      </c>
      <c r="I1842" s="11" t="s">
        <v>6742</v>
      </c>
      <c r="J1842" s="12">
        <v>0.61780000000000002</v>
      </c>
      <c r="K1842" s="13">
        <v>1</v>
      </c>
      <c r="L1842" s="14">
        <v>259</v>
      </c>
      <c r="M1842" s="10">
        <v>160</v>
      </c>
      <c r="N1842" s="10">
        <v>28620</v>
      </c>
      <c r="O1842" s="10">
        <v>12547</v>
      </c>
      <c r="P1842" s="10">
        <v>41167</v>
      </c>
    </row>
    <row r="1843" spans="1:16" ht="27" customHeight="1" x14ac:dyDescent="0.2">
      <c r="A1843" s="9" t="s">
        <v>6695</v>
      </c>
      <c r="B1843" s="10" t="s">
        <v>6726</v>
      </c>
      <c r="C1843" s="11" t="s">
        <v>6743</v>
      </c>
      <c r="D1843" s="11" t="s">
        <v>6744</v>
      </c>
      <c r="E1843" s="11" t="s">
        <v>57</v>
      </c>
      <c r="F1843" s="11" t="s">
        <v>6745</v>
      </c>
      <c r="G1843" s="11" t="s">
        <v>28</v>
      </c>
      <c r="H1843" s="11" t="s">
        <v>6745</v>
      </c>
      <c r="I1843" s="11" t="s">
        <v>6746</v>
      </c>
      <c r="J1843" s="12">
        <v>0.79530000000000001</v>
      </c>
      <c r="K1843" s="13">
        <v>1</v>
      </c>
      <c r="L1843" s="14">
        <v>640</v>
      </c>
      <c r="M1843" s="10">
        <v>509</v>
      </c>
      <c r="N1843" s="10">
        <v>70721</v>
      </c>
      <c r="O1843" s="10">
        <v>39915</v>
      </c>
      <c r="P1843" s="10">
        <v>110636</v>
      </c>
    </row>
    <row r="1844" spans="1:16" ht="27" customHeight="1" x14ac:dyDescent="0.2">
      <c r="A1844" s="9" t="s">
        <v>6695</v>
      </c>
      <c r="B1844" s="10" t="s">
        <v>6726</v>
      </c>
      <c r="C1844" s="11" t="s">
        <v>6747</v>
      </c>
      <c r="D1844" s="11" t="s">
        <v>6748</v>
      </c>
      <c r="E1844" s="11" t="s">
        <v>57</v>
      </c>
      <c r="F1844" s="11" t="s">
        <v>6749</v>
      </c>
      <c r="G1844" s="11" t="s">
        <v>28</v>
      </c>
      <c r="H1844" s="11" t="s">
        <v>6749</v>
      </c>
      <c r="I1844" s="11" t="s">
        <v>6750</v>
      </c>
      <c r="J1844" s="12">
        <v>0.5948</v>
      </c>
      <c r="K1844" s="13">
        <v>1</v>
      </c>
      <c r="L1844" s="14">
        <v>385</v>
      </c>
      <c r="M1844" s="10">
        <v>229</v>
      </c>
      <c r="N1844" s="10">
        <v>42543</v>
      </c>
      <c r="O1844" s="10">
        <v>17958</v>
      </c>
      <c r="P1844" s="10">
        <v>60501</v>
      </c>
    </row>
    <row r="1845" spans="1:16" ht="27" customHeight="1" x14ac:dyDescent="0.2">
      <c r="A1845" s="9" t="s">
        <v>6695</v>
      </c>
      <c r="B1845" s="10" t="s">
        <v>6751</v>
      </c>
      <c r="C1845" s="11" t="s">
        <v>18</v>
      </c>
      <c r="D1845" s="11" t="s">
        <v>19</v>
      </c>
      <c r="E1845" s="11" t="s">
        <v>19</v>
      </c>
      <c r="F1845" s="11" t="s">
        <v>6752</v>
      </c>
      <c r="G1845" s="11" t="s">
        <v>83</v>
      </c>
      <c r="H1845" s="11" t="s">
        <v>6753</v>
      </c>
      <c r="I1845" s="11" t="s">
        <v>6754</v>
      </c>
      <c r="J1845" s="12">
        <v>0.3261</v>
      </c>
      <c r="K1845" s="13">
        <v>6</v>
      </c>
      <c r="L1845" s="14">
        <v>2097</v>
      </c>
      <c r="M1845" s="10">
        <v>516</v>
      </c>
      <c r="N1845" s="10">
        <v>231723</v>
      </c>
      <c r="O1845" s="10">
        <v>40464</v>
      </c>
      <c r="P1845" s="10">
        <v>272187</v>
      </c>
    </row>
    <row r="1846" spans="1:16" ht="27" customHeight="1" x14ac:dyDescent="0.2">
      <c r="A1846" s="9" t="s">
        <v>6695</v>
      </c>
      <c r="B1846" s="10" t="s">
        <v>6751</v>
      </c>
      <c r="C1846" s="11" t="s">
        <v>6755</v>
      </c>
      <c r="D1846" s="11" t="s">
        <v>6756</v>
      </c>
      <c r="E1846" s="11" t="s">
        <v>26</v>
      </c>
      <c r="F1846" s="11" t="s">
        <v>6757</v>
      </c>
      <c r="G1846" s="11" t="s">
        <v>28</v>
      </c>
      <c r="H1846" s="11" t="s">
        <v>6757</v>
      </c>
      <c r="I1846" s="11" t="s">
        <v>6758</v>
      </c>
      <c r="J1846" s="12">
        <v>0.24640000000000001</v>
      </c>
      <c r="K1846" s="13">
        <v>1</v>
      </c>
      <c r="L1846" s="14">
        <v>3023</v>
      </c>
      <c r="M1846" s="10">
        <v>745</v>
      </c>
      <c r="N1846" s="10">
        <v>334046</v>
      </c>
      <c r="O1846" s="10">
        <v>58422</v>
      </c>
      <c r="P1846" s="10">
        <v>392468</v>
      </c>
    </row>
    <row r="1847" spans="1:16" ht="27" customHeight="1" x14ac:dyDescent="0.2">
      <c r="A1847" s="9" t="s">
        <v>6695</v>
      </c>
      <c r="B1847" s="10" t="s">
        <v>6751</v>
      </c>
      <c r="C1847" s="11" t="s">
        <v>6759</v>
      </c>
      <c r="D1847" s="11" t="s">
        <v>6760</v>
      </c>
      <c r="E1847" s="11" t="s">
        <v>57</v>
      </c>
      <c r="F1847" s="11" t="s">
        <v>6761</v>
      </c>
      <c r="G1847" s="11" t="s">
        <v>28</v>
      </c>
      <c r="H1847" s="11" t="s">
        <v>6761</v>
      </c>
      <c r="I1847" s="11" t="s">
        <v>6762</v>
      </c>
      <c r="J1847" s="12">
        <v>0.25929999999999997</v>
      </c>
      <c r="K1847" s="13">
        <v>1</v>
      </c>
      <c r="L1847" s="14">
        <v>297</v>
      </c>
      <c r="M1847" s="10">
        <v>77</v>
      </c>
      <c r="N1847" s="10">
        <v>32819</v>
      </c>
      <c r="O1847" s="10">
        <v>6038</v>
      </c>
      <c r="P1847" s="10">
        <v>38857</v>
      </c>
    </row>
    <row r="1848" spans="1:16" ht="27" customHeight="1" x14ac:dyDescent="0.2">
      <c r="A1848" s="9" t="s">
        <v>6695</v>
      </c>
      <c r="B1848" s="10" t="s">
        <v>6763</v>
      </c>
      <c r="C1848" s="11" t="s">
        <v>18</v>
      </c>
      <c r="D1848" s="11" t="s">
        <v>19</v>
      </c>
      <c r="E1848" s="11" t="s">
        <v>19</v>
      </c>
      <c r="F1848" s="11" t="s">
        <v>6764</v>
      </c>
      <c r="G1848" s="11" t="s">
        <v>83</v>
      </c>
      <c r="H1848" s="11" t="s">
        <v>6765</v>
      </c>
      <c r="I1848" s="11" t="s">
        <v>6766</v>
      </c>
      <c r="J1848" s="12">
        <v>0.63549999999999995</v>
      </c>
      <c r="K1848" s="13">
        <v>6</v>
      </c>
      <c r="L1848" s="14">
        <v>1764</v>
      </c>
      <c r="M1848" s="10">
        <v>635</v>
      </c>
      <c r="N1848" s="10">
        <v>194926</v>
      </c>
      <c r="O1848" s="10">
        <v>49797</v>
      </c>
      <c r="P1848" s="10">
        <v>244723</v>
      </c>
    </row>
    <row r="1849" spans="1:16" ht="27" customHeight="1" x14ac:dyDescent="0.2">
      <c r="A1849" s="9" t="s">
        <v>6695</v>
      </c>
      <c r="B1849" s="10" t="s">
        <v>6767</v>
      </c>
      <c r="C1849" s="11" t="s">
        <v>18</v>
      </c>
      <c r="D1849" s="11" t="s">
        <v>19</v>
      </c>
      <c r="E1849" s="11" t="s">
        <v>19</v>
      </c>
      <c r="F1849" s="11" t="s">
        <v>6768</v>
      </c>
      <c r="G1849" s="11" t="s">
        <v>83</v>
      </c>
      <c r="H1849" s="11" t="s">
        <v>6698</v>
      </c>
      <c r="I1849" s="11" t="s">
        <v>6699</v>
      </c>
      <c r="J1849" s="12">
        <v>0.97509999999999997</v>
      </c>
      <c r="K1849" s="13">
        <v>9</v>
      </c>
      <c r="L1849" s="14">
        <v>4267</v>
      </c>
      <c r="M1849" s="10">
        <v>1359</v>
      </c>
      <c r="N1849" s="10">
        <v>471511</v>
      </c>
      <c r="O1849" s="10">
        <v>106571</v>
      </c>
      <c r="P1849" s="10">
        <v>578082</v>
      </c>
    </row>
    <row r="1850" spans="1:16" ht="27" customHeight="1" x14ac:dyDescent="0.2">
      <c r="A1850" s="9" t="s">
        <v>6695</v>
      </c>
      <c r="B1850" s="10" t="s">
        <v>6767</v>
      </c>
      <c r="C1850" s="11" t="s">
        <v>6769</v>
      </c>
      <c r="D1850" s="11" t="s">
        <v>6770</v>
      </c>
      <c r="E1850" s="11" t="s">
        <v>57</v>
      </c>
      <c r="F1850" s="11" t="s">
        <v>5916</v>
      </c>
      <c r="G1850" s="11" t="s">
        <v>28</v>
      </c>
      <c r="H1850" s="11" t="s">
        <v>6698</v>
      </c>
      <c r="I1850" s="11" t="s">
        <v>6699</v>
      </c>
      <c r="J1850" s="12">
        <v>0.97509999999999997</v>
      </c>
      <c r="K1850" s="13">
        <v>1</v>
      </c>
      <c r="L1850" s="14">
        <v>116</v>
      </c>
      <c r="M1850" s="10">
        <v>40</v>
      </c>
      <c r="N1850" s="10">
        <v>12818</v>
      </c>
      <c r="O1850" s="10">
        <v>3137</v>
      </c>
      <c r="P1850" s="10">
        <v>15955</v>
      </c>
    </row>
    <row r="1851" spans="1:16" ht="27" customHeight="1" x14ac:dyDescent="0.2">
      <c r="A1851" s="9" t="s">
        <v>6695</v>
      </c>
      <c r="B1851" s="10" t="s">
        <v>6771</v>
      </c>
      <c r="C1851" s="11" t="s">
        <v>18</v>
      </c>
      <c r="D1851" s="11" t="s">
        <v>19</v>
      </c>
      <c r="E1851" s="11" t="s">
        <v>19</v>
      </c>
      <c r="F1851" s="11" t="s">
        <v>6772</v>
      </c>
      <c r="G1851" s="11" t="s">
        <v>83</v>
      </c>
      <c r="H1851" s="11" t="s">
        <v>6773</v>
      </c>
      <c r="I1851" s="11" t="s">
        <v>6774</v>
      </c>
      <c r="J1851" s="12">
        <v>0.3911</v>
      </c>
      <c r="K1851" s="13">
        <v>6</v>
      </c>
      <c r="L1851" s="14">
        <v>1667</v>
      </c>
      <c r="M1851" s="10">
        <v>513</v>
      </c>
      <c r="N1851" s="10">
        <v>184207</v>
      </c>
      <c r="O1851" s="10">
        <v>40229</v>
      </c>
      <c r="P1851" s="10">
        <v>224436</v>
      </c>
    </row>
    <row r="1852" spans="1:16" ht="27" customHeight="1" x14ac:dyDescent="0.2">
      <c r="A1852" s="9" t="s">
        <v>6695</v>
      </c>
      <c r="B1852" s="10" t="s">
        <v>6775</v>
      </c>
      <c r="C1852" s="11" t="s">
        <v>18</v>
      </c>
      <c r="D1852" s="11" t="s">
        <v>19</v>
      </c>
      <c r="E1852" s="11" t="s">
        <v>19</v>
      </c>
      <c r="F1852" s="11" t="s">
        <v>6776</v>
      </c>
      <c r="G1852" s="11" t="s">
        <v>83</v>
      </c>
      <c r="H1852" s="11" t="s">
        <v>6777</v>
      </c>
      <c r="I1852" s="11" t="s">
        <v>6778</v>
      </c>
      <c r="J1852" s="12">
        <v>0.11849999999999999</v>
      </c>
      <c r="K1852" s="13">
        <v>5</v>
      </c>
      <c r="L1852" s="14">
        <v>2173</v>
      </c>
      <c r="M1852" s="10">
        <v>230</v>
      </c>
      <c r="N1852" s="10">
        <v>240120</v>
      </c>
      <c r="O1852" s="10">
        <v>18035</v>
      </c>
      <c r="P1852" s="10">
        <v>258155</v>
      </c>
    </row>
    <row r="1853" spans="1:16" ht="27" customHeight="1" x14ac:dyDescent="0.2">
      <c r="A1853" s="9" t="s">
        <v>6695</v>
      </c>
      <c r="B1853" s="10" t="s">
        <v>6775</v>
      </c>
      <c r="C1853" s="11" t="s">
        <v>6779</v>
      </c>
      <c r="D1853" s="11" t="s">
        <v>6780</v>
      </c>
      <c r="E1853" s="11" t="s">
        <v>26</v>
      </c>
      <c r="F1853" s="11" t="s">
        <v>6781</v>
      </c>
      <c r="G1853" s="11" t="s">
        <v>28</v>
      </c>
      <c r="H1853" s="11" t="s">
        <v>6781</v>
      </c>
      <c r="I1853" s="11" t="s">
        <v>6782</v>
      </c>
      <c r="J1853" s="12">
        <v>0.36130000000000001</v>
      </c>
      <c r="K1853" s="13">
        <v>1</v>
      </c>
      <c r="L1853" s="14">
        <v>476</v>
      </c>
      <c r="M1853" s="10">
        <v>172</v>
      </c>
      <c r="N1853" s="10">
        <v>52599</v>
      </c>
      <c r="O1853" s="10">
        <v>13488</v>
      </c>
      <c r="P1853" s="10">
        <v>66087</v>
      </c>
    </row>
    <row r="1854" spans="1:16" ht="27" customHeight="1" x14ac:dyDescent="0.2">
      <c r="A1854" s="9" t="s">
        <v>6695</v>
      </c>
      <c r="B1854" s="10" t="s">
        <v>6783</v>
      </c>
      <c r="C1854" s="11" t="s">
        <v>6784</v>
      </c>
      <c r="D1854" s="11" t="s">
        <v>6785</v>
      </c>
      <c r="E1854" s="11" t="s">
        <v>26</v>
      </c>
      <c r="F1854" s="11" t="s">
        <v>6786</v>
      </c>
      <c r="G1854" s="11" t="s">
        <v>28</v>
      </c>
      <c r="H1854" s="11" t="s">
        <v>6786</v>
      </c>
      <c r="I1854" s="11" t="s">
        <v>6787</v>
      </c>
      <c r="J1854" s="12">
        <v>0.66920000000000002</v>
      </c>
      <c r="K1854" s="13">
        <v>1</v>
      </c>
      <c r="L1854" s="14">
        <v>396</v>
      </c>
      <c r="M1854" s="10">
        <v>265</v>
      </c>
      <c r="N1854" s="10">
        <v>43759</v>
      </c>
      <c r="O1854" s="10">
        <v>20781</v>
      </c>
      <c r="P1854" s="10">
        <v>64540</v>
      </c>
    </row>
    <row r="1855" spans="1:16" ht="27" customHeight="1" x14ac:dyDescent="0.2">
      <c r="A1855" s="9" t="s">
        <v>6788</v>
      </c>
      <c r="B1855" s="10" t="s">
        <v>6789</v>
      </c>
      <c r="C1855" s="11" t="s">
        <v>18</v>
      </c>
      <c r="D1855" s="11" t="s">
        <v>19</v>
      </c>
      <c r="E1855" s="11" t="s">
        <v>19</v>
      </c>
      <c r="F1855" s="11" t="s">
        <v>6790</v>
      </c>
      <c r="G1855" s="11" t="s">
        <v>21</v>
      </c>
      <c r="H1855" s="11" t="s">
        <v>6791</v>
      </c>
      <c r="I1855" s="11" t="s">
        <v>6792</v>
      </c>
      <c r="J1855" s="12">
        <v>0.9</v>
      </c>
      <c r="K1855" s="13">
        <v>5</v>
      </c>
      <c r="L1855" s="14">
        <v>426</v>
      </c>
      <c r="M1855" s="10">
        <v>381</v>
      </c>
      <c r="N1855" s="10">
        <v>47074</v>
      </c>
      <c r="O1855" s="10">
        <v>29878</v>
      </c>
      <c r="P1855" s="10">
        <v>76952</v>
      </c>
    </row>
    <row r="1856" spans="1:16" ht="27" customHeight="1" x14ac:dyDescent="0.2">
      <c r="A1856" s="9" t="s">
        <v>6788</v>
      </c>
      <c r="B1856" s="10" t="s">
        <v>6789</v>
      </c>
      <c r="C1856" s="11" t="s">
        <v>6793</v>
      </c>
      <c r="D1856" s="11" t="s">
        <v>6794</v>
      </c>
      <c r="E1856" s="11" t="s">
        <v>26</v>
      </c>
      <c r="F1856" s="11" t="s">
        <v>6795</v>
      </c>
      <c r="G1856" s="11" t="s">
        <v>28</v>
      </c>
      <c r="H1856" s="11" t="s">
        <v>6795</v>
      </c>
      <c r="I1856" s="11" t="s">
        <v>6796</v>
      </c>
      <c r="J1856" s="12">
        <v>0.36820000000000003</v>
      </c>
      <c r="K1856" s="13">
        <v>1</v>
      </c>
      <c r="L1856" s="14">
        <v>239</v>
      </c>
      <c r="M1856" s="10">
        <v>88</v>
      </c>
      <c r="N1856" s="10">
        <v>26410</v>
      </c>
      <c r="O1856" s="10">
        <v>6901</v>
      </c>
      <c r="P1856" s="10">
        <v>33311</v>
      </c>
    </row>
    <row r="1857" spans="1:16" ht="27" customHeight="1" x14ac:dyDescent="0.2">
      <c r="A1857" s="9" t="s">
        <v>6788</v>
      </c>
      <c r="B1857" s="10" t="s">
        <v>6789</v>
      </c>
      <c r="C1857" s="11" t="s">
        <v>6797</v>
      </c>
      <c r="D1857" s="11" t="s">
        <v>6798</v>
      </c>
      <c r="E1857" s="11" t="s">
        <v>26</v>
      </c>
      <c r="F1857" s="11" t="s">
        <v>6799</v>
      </c>
      <c r="G1857" s="11" t="s">
        <v>28</v>
      </c>
      <c r="H1857" s="11" t="s">
        <v>6799</v>
      </c>
      <c r="I1857" s="11" t="s">
        <v>6800</v>
      </c>
      <c r="J1857" s="12">
        <v>0.59240000000000004</v>
      </c>
      <c r="K1857" s="13">
        <v>1</v>
      </c>
      <c r="L1857" s="14">
        <v>184</v>
      </c>
      <c r="M1857" s="10">
        <v>109</v>
      </c>
      <c r="N1857" s="10">
        <v>20332</v>
      </c>
      <c r="O1857" s="10">
        <v>8548</v>
      </c>
      <c r="P1857" s="10">
        <v>28880</v>
      </c>
    </row>
    <row r="1858" spans="1:16" ht="27" customHeight="1" x14ac:dyDescent="0.2">
      <c r="A1858" s="9" t="s">
        <v>6788</v>
      </c>
      <c r="B1858" s="10" t="s">
        <v>6789</v>
      </c>
      <c r="C1858" s="11" t="s">
        <v>6801</v>
      </c>
      <c r="D1858" s="11" t="s">
        <v>6802</v>
      </c>
      <c r="E1858" s="11" t="s">
        <v>26</v>
      </c>
      <c r="F1858" s="11" t="s">
        <v>6803</v>
      </c>
      <c r="G1858" s="11" t="s">
        <v>28</v>
      </c>
      <c r="H1858" s="11" t="s">
        <v>6803</v>
      </c>
      <c r="I1858" s="11" t="s">
        <v>6804</v>
      </c>
      <c r="J1858" s="12">
        <v>0.6</v>
      </c>
      <c r="K1858" s="13">
        <v>1</v>
      </c>
      <c r="L1858" s="14">
        <v>245</v>
      </c>
      <c r="M1858" s="10">
        <v>147</v>
      </c>
      <c r="N1858" s="10">
        <v>27073</v>
      </c>
      <c r="O1858" s="10">
        <v>11528</v>
      </c>
      <c r="P1858" s="10">
        <v>38601</v>
      </c>
    </row>
    <row r="1859" spans="1:16" ht="27" customHeight="1" x14ac:dyDescent="0.2">
      <c r="A1859" s="9" t="s">
        <v>6788</v>
      </c>
      <c r="B1859" s="10" t="s">
        <v>6805</v>
      </c>
      <c r="C1859" s="11" t="s">
        <v>18</v>
      </c>
      <c r="D1859" s="11" t="s">
        <v>19</v>
      </c>
      <c r="E1859" s="11" t="s">
        <v>19</v>
      </c>
      <c r="F1859" s="11" t="s">
        <v>6806</v>
      </c>
      <c r="G1859" s="11" t="s">
        <v>83</v>
      </c>
      <c r="H1859" s="11" t="s">
        <v>6791</v>
      </c>
      <c r="I1859" s="11" t="s">
        <v>6792</v>
      </c>
      <c r="J1859" s="12">
        <v>0.9</v>
      </c>
      <c r="K1859" s="13">
        <v>6</v>
      </c>
      <c r="L1859" s="14">
        <v>1534</v>
      </c>
      <c r="M1859" s="10">
        <v>959</v>
      </c>
      <c r="N1859" s="10">
        <v>169510</v>
      </c>
      <c r="O1859" s="10">
        <v>75204</v>
      </c>
      <c r="P1859" s="10">
        <v>244714</v>
      </c>
    </row>
    <row r="1860" spans="1:16" ht="27" customHeight="1" x14ac:dyDescent="0.2">
      <c r="A1860" s="9" t="s">
        <v>6788</v>
      </c>
      <c r="B1860" s="10" t="s">
        <v>6805</v>
      </c>
      <c r="C1860" s="11" t="s">
        <v>6807</v>
      </c>
      <c r="D1860" s="11" t="s">
        <v>6808</v>
      </c>
      <c r="E1860" s="11" t="s">
        <v>57</v>
      </c>
      <c r="F1860" s="11" t="s">
        <v>6809</v>
      </c>
      <c r="G1860" s="11" t="s">
        <v>28</v>
      </c>
      <c r="H1860" s="11" t="s">
        <v>6791</v>
      </c>
      <c r="I1860" s="11" t="s">
        <v>6792</v>
      </c>
      <c r="J1860" s="12">
        <v>0.9</v>
      </c>
      <c r="K1860" s="13">
        <v>1</v>
      </c>
      <c r="L1860" s="14">
        <v>87</v>
      </c>
      <c r="M1860" s="10">
        <v>59</v>
      </c>
      <c r="N1860" s="10">
        <v>9614</v>
      </c>
      <c r="O1860" s="10">
        <v>4627</v>
      </c>
      <c r="P1860" s="10">
        <v>14241</v>
      </c>
    </row>
    <row r="1861" spans="1:16" ht="27" customHeight="1" x14ac:dyDescent="0.2">
      <c r="A1861" s="9" t="s">
        <v>6788</v>
      </c>
      <c r="B1861" s="10" t="s">
        <v>6810</v>
      </c>
      <c r="C1861" s="11" t="s">
        <v>18</v>
      </c>
      <c r="D1861" s="11" t="s">
        <v>19</v>
      </c>
      <c r="E1861" s="11" t="s">
        <v>19</v>
      </c>
      <c r="F1861" s="11" t="s">
        <v>614</v>
      </c>
      <c r="G1861" s="11" t="s">
        <v>83</v>
      </c>
      <c r="H1861" s="11" t="s">
        <v>614</v>
      </c>
      <c r="I1861" s="11" t="s">
        <v>6811</v>
      </c>
      <c r="J1861" s="12">
        <v>0.64439999999999997</v>
      </c>
      <c r="K1861" s="13">
        <v>2</v>
      </c>
      <c r="L1861" s="14">
        <v>331</v>
      </c>
      <c r="M1861" s="10">
        <v>213</v>
      </c>
      <c r="N1861" s="10">
        <v>36576</v>
      </c>
      <c r="O1861" s="10">
        <v>16703</v>
      </c>
      <c r="P1861" s="10">
        <v>53279</v>
      </c>
    </row>
    <row r="1862" spans="1:16" ht="27" customHeight="1" x14ac:dyDescent="0.2">
      <c r="A1862" s="9" t="s">
        <v>6788</v>
      </c>
      <c r="B1862" s="10" t="s">
        <v>6812</v>
      </c>
      <c r="C1862" s="11" t="s">
        <v>18</v>
      </c>
      <c r="D1862" s="11" t="s">
        <v>19</v>
      </c>
      <c r="E1862" s="11" t="s">
        <v>19</v>
      </c>
      <c r="F1862" s="11" t="s">
        <v>6813</v>
      </c>
      <c r="G1862" s="11" t="s">
        <v>83</v>
      </c>
      <c r="H1862" s="11" t="s">
        <v>6814</v>
      </c>
      <c r="I1862" s="11" t="s">
        <v>6815</v>
      </c>
      <c r="J1862" s="12">
        <v>0.745</v>
      </c>
      <c r="K1862" s="13">
        <v>3</v>
      </c>
      <c r="L1862" s="14">
        <v>226</v>
      </c>
      <c r="M1862" s="10">
        <v>161</v>
      </c>
      <c r="N1862" s="10">
        <v>24974</v>
      </c>
      <c r="O1862" s="10">
        <v>12626</v>
      </c>
      <c r="P1862" s="10">
        <v>37600</v>
      </c>
    </row>
    <row r="1863" spans="1:16" ht="27" customHeight="1" x14ac:dyDescent="0.2">
      <c r="A1863" s="9" t="s">
        <v>6788</v>
      </c>
      <c r="B1863" s="10" t="s">
        <v>6816</v>
      </c>
      <c r="C1863" s="11" t="s">
        <v>18</v>
      </c>
      <c r="D1863" s="11" t="s">
        <v>19</v>
      </c>
      <c r="E1863" s="11" t="s">
        <v>19</v>
      </c>
      <c r="F1863" s="11" t="s">
        <v>6817</v>
      </c>
      <c r="G1863" s="11" t="s">
        <v>83</v>
      </c>
      <c r="H1863" s="11" t="s">
        <v>6818</v>
      </c>
      <c r="I1863" s="11" t="s">
        <v>6819</v>
      </c>
      <c r="J1863" s="12">
        <v>0.85870000000000002</v>
      </c>
      <c r="K1863" s="13">
        <v>5</v>
      </c>
      <c r="L1863" s="14">
        <v>1181</v>
      </c>
      <c r="M1863" s="10">
        <v>927</v>
      </c>
      <c r="N1863" s="10">
        <v>130503</v>
      </c>
      <c r="O1863" s="10">
        <v>72694</v>
      </c>
      <c r="P1863" s="10">
        <v>203197</v>
      </c>
    </row>
    <row r="1864" spans="1:16" ht="27" customHeight="1" x14ac:dyDescent="0.2">
      <c r="A1864" s="9" t="s">
        <v>6788</v>
      </c>
      <c r="B1864" s="10" t="s">
        <v>6816</v>
      </c>
      <c r="C1864" s="11" t="s">
        <v>6820</v>
      </c>
      <c r="D1864" s="11" t="s">
        <v>6821</v>
      </c>
      <c r="E1864" s="11" t="s">
        <v>26</v>
      </c>
      <c r="F1864" s="11" t="s">
        <v>6822</v>
      </c>
      <c r="G1864" s="11" t="s">
        <v>28</v>
      </c>
      <c r="H1864" s="11" t="s">
        <v>6822</v>
      </c>
      <c r="I1864" s="11" t="s">
        <v>6823</v>
      </c>
      <c r="J1864" s="12">
        <v>0.61960000000000004</v>
      </c>
      <c r="K1864" s="13">
        <v>1</v>
      </c>
      <c r="L1864" s="14">
        <v>326</v>
      </c>
      <c r="M1864" s="10">
        <v>202</v>
      </c>
      <c r="N1864" s="10">
        <v>36024</v>
      </c>
      <c r="O1864" s="10">
        <v>15841</v>
      </c>
      <c r="P1864" s="10">
        <v>51865</v>
      </c>
    </row>
    <row r="1865" spans="1:16" ht="27" customHeight="1" x14ac:dyDescent="0.2">
      <c r="A1865" s="9" t="s">
        <v>6788</v>
      </c>
      <c r="B1865" s="10" t="s">
        <v>6824</v>
      </c>
      <c r="C1865" s="11" t="s">
        <v>18</v>
      </c>
      <c r="D1865" s="11" t="s">
        <v>19</v>
      </c>
      <c r="E1865" s="11" t="s">
        <v>19</v>
      </c>
      <c r="F1865" s="11" t="s">
        <v>6825</v>
      </c>
      <c r="G1865" s="11" t="s">
        <v>83</v>
      </c>
      <c r="H1865" s="11" t="s">
        <v>6826</v>
      </c>
      <c r="I1865" s="11" t="s">
        <v>6827</v>
      </c>
      <c r="J1865" s="12">
        <v>0.71430000000000005</v>
      </c>
      <c r="K1865" s="13">
        <v>2</v>
      </c>
      <c r="L1865" s="14">
        <v>42</v>
      </c>
      <c r="M1865" s="10">
        <v>29</v>
      </c>
      <c r="N1865" s="10">
        <v>4642</v>
      </c>
      <c r="O1865" s="10">
        <v>2274</v>
      </c>
      <c r="P1865" s="10">
        <v>6916</v>
      </c>
    </row>
    <row r="1866" spans="1:16" ht="27" customHeight="1" x14ac:dyDescent="0.2">
      <c r="A1866" s="9" t="s">
        <v>6788</v>
      </c>
      <c r="B1866" s="10" t="s">
        <v>6828</v>
      </c>
      <c r="C1866" s="11" t="s">
        <v>18</v>
      </c>
      <c r="D1866" s="11" t="s">
        <v>19</v>
      </c>
      <c r="E1866" s="11" t="s">
        <v>19</v>
      </c>
      <c r="F1866" s="11" t="s">
        <v>1879</v>
      </c>
      <c r="G1866" s="11" t="s">
        <v>83</v>
      </c>
      <c r="H1866" s="11" t="s">
        <v>1879</v>
      </c>
      <c r="I1866" s="11" t="s">
        <v>6829</v>
      </c>
      <c r="J1866" s="12">
        <v>0.42630000000000001</v>
      </c>
      <c r="K1866" s="13">
        <v>4</v>
      </c>
      <c r="L1866" s="14">
        <v>758</v>
      </c>
      <c r="M1866" s="10">
        <v>330</v>
      </c>
      <c r="N1866" s="10">
        <v>83761</v>
      </c>
      <c r="O1866" s="10">
        <v>25878</v>
      </c>
      <c r="P1866" s="10">
        <v>109639</v>
      </c>
    </row>
    <row r="1867" spans="1:16" ht="27" customHeight="1" x14ac:dyDescent="0.2">
      <c r="A1867" s="9" t="s">
        <v>6788</v>
      </c>
      <c r="B1867" s="10" t="s">
        <v>6828</v>
      </c>
      <c r="C1867" s="11" t="s">
        <v>6830</v>
      </c>
      <c r="D1867" s="11" t="s">
        <v>6831</v>
      </c>
      <c r="E1867" s="11" t="s">
        <v>26</v>
      </c>
      <c r="F1867" s="11" t="s">
        <v>6832</v>
      </c>
      <c r="G1867" s="11" t="s">
        <v>28</v>
      </c>
      <c r="H1867" s="11" t="s">
        <v>6832</v>
      </c>
      <c r="I1867" s="11" t="s">
        <v>6833</v>
      </c>
      <c r="J1867" s="12">
        <v>0.30559999999999998</v>
      </c>
      <c r="K1867" s="13">
        <v>1</v>
      </c>
      <c r="L1867" s="14">
        <v>602</v>
      </c>
      <c r="M1867" s="10">
        <v>184</v>
      </c>
      <c r="N1867" s="10">
        <v>66522</v>
      </c>
      <c r="O1867" s="10">
        <v>14429</v>
      </c>
      <c r="P1867" s="10">
        <v>80951</v>
      </c>
    </row>
    <row r="1868" spans="1:16" ht="27" customHeight="1" x14ac:dyDescent="0.2">
      <c r="A1868" s="9" t="s">
        <v>6788</v>
      </c>
      <c r="B1868" s="10" t="s">
        <v>6828</v>
      </c>
      <c r="C1868" s="11" t="s">
        <v>6834</v>
      </c>
      <c r="D1868" s="11" t="s">
        <v>6835</v>
      </c>
      <c r="E1868" s="11" t="s">
        <v>26</v>
      </c>
      <c r="F1868" s="11" t="s">
        <v>6836</v>
      </c>
      <c r="G1868" s="11" t="s">
        <v>28</v>
      </c>
      <c r="H1868" s="11" t="s">
        <v>6836</v>
      </c>
      <c r="I1868" s="11" t="s">
        <v>6837</v>
      </c>
      <c r="J1868" s="12">
        <v>0.47739999999999999</v>
      </c>
      <c r="K1868" s="13">
        <v>1</v>
      </c>
      <c r="L1868" s="14">
        <v>509</v>
      </c>
      <c r="M1868" s="10">
        <v>243</v>
      </c>
      <c r="N1868" s="10">
        <v>56245</v>
      </c>
      <c r="O1868" s="10">
        <v>19056</v>
      </c>
      <c r="P1868" s="10">
        <v>75301</v>
      </c>
    </row>
    <row r="1869" spans="1:16" ht="27" customHeight="1" x14ac:dyDescent="0.2">
      <c r="A1869" s="9" t="s">
        <v>6788</v>
      </c>
      <c r="B1869" s="10" t="s">
        <v>6828</v>
      </c>
      <c r="C1869" s="11" t="s">
        <v>6838</v>
      </c>
      <c r="D1869" s="11" t="s">
        <v>6839</v>
      </c>
      <c r="E1869" s="11" t="s">
        <v>26</v>
      </c>
      <c r="F1869" s="11" t="s">
        <v>6840</v>
      </c>
      <c r="G1869" s="11" t="s">
        <v>28</v>
      </c>
      <c r="H1869" s="11" t="s">
        <v>6840</v>
      </c>
      <c r="I1869" s="11" t="s">
        <v>6841</v>
      </c>
      <c r="J1869" s="12">
        <v>0.59260000000000002</v>
      </c>
      <c r="K1869" s="13">
        <v>1</v>
      </c>
      <c r="L1869" s="14">
        <v>270</v>
      </c>
      <c r="M1869" s="10">
        <v>160</v>
      </c>
      <c r="N1869" s="10">
        <v>29835</v>
      </c>
      <c r="O1869" s="10">
        <v>12547</v>
      </c>
      <c r="P1869" s="10">
        <v>42382</v>
      </c>
    </row>
    <row r="1870" spans="1:16" ht="27" customHeight="1" x14ac:dyDescent="0.2">
      <c r="A1870" s="9" t="s">
        <v>6788</v>
      </c>
      <c r="B1870" s="10" t="s">
        <v>6842</v>
      </c>
      <c r="C1870" s="11" t="s">
        <v>18</v>
      </c>
      <c r="D1870" s="11" t="s">
        <v>19</v>
      </c>
      <c r="E1870" s="11" t="s">
        <v>19</v>
      </c>
      <c r="F1870" s="11" t="s">
        <v>6843</v>
      </c>
      <c r="G1870" s="11" t="s">
        <v>83</v>
      </c>
      <c r="H1870" s="11" t="s">
        <v>6844</v>
      </c>
      <c r="I1870" s="11" t="s">
        <v>6845</v>
      </c>
      <c r="J1870" s="12">
        <v>0.46260000000000001</v>
      </c>
      <c r="K1870" s="13">
        <v>4</v>
      </c>
      <c r="L1870" s="14">
        <v>892</v>
      </c>
      <c r="M1870" s="10">
        <v>420</v>
      </c>
      <c r="N1870" s="10">
        <v>98568</v>
      </c>
      <c r="O1870" s="10">
        <v>32936</v>
      </c>
      <c r="P1870" s="10">
        <v>131504</v>
      </c>
    </row>
    <row r="1871" spans="1:16" ht="27" customHeight="1" x14ac:dyDescent="0.2">
      <c r="A1871" s="9" t="s">
        <v>6788</v>
      </c>
      <c r="B1871" s="10" t="s">
        <v>6842</v>
      </c>
      <c r="C1871" s="11" t="s">
        <v>6846</v>
      </c>
      <c r="D1871" s="11" t="s">
        <v>6847</v>
      </c>
      <c r="E1871" s="11" t="s">
        <v>26</v>
      </c>
      <c r="F1871" s="11" t="s">
        <v>6848</v>
      </c>
      <c r="G1871" s="11" t="s">
        <v>28</v>
      </c>
      <c r="H1871" s="11" t="s">
        <v>6848</v>
      </c>
      <c r="I1871" s="11" t="s">
        <v>6849</v>
      </c>
      <c r="J1871" s="12">
        <v>0.318</v>
      </c>
      <c r="K1871" s="13">
        <v>1</v>
      </c>
      <c r="L1871" s="14">
        <v>261</v>
      </c>
      <c r="M1871" s="10">
        <v>83</v>
      </c>
      <c r="N1871" s="10">
        <v>28841</v>
      </c>
      <c r="O1871" s="10">
        <v>6509</v>
      </c>
      <c r="P1871" s="10">
        <v>35350</v>
      </c>
    </row>
    <row r="1872" spans="1:16" ht="27" customHeight="1" x14ac:dyDescent="0.2">
      <c r="A1872" s="9" t="s">
        <v>6788</v>
      </c>
      <c r="B1872" s="10" t="s">
        <v>6850</v>
      </c>
      <c r="C1872" s="11" t="s">
        <v>18</v>
      </c>
      <c r="D1872" s="11" t="s">
        <v>19</v>
      </c>
      <c r="E1872" s="11" t="s">
        <v>19</v>
      </c>
      <c r="F1872" s="11" t="s">
        <v>6851</v>
      </c>
      <c r="G1872" s="11" t="s">
        <v>83</v>
      </c>
      <c r="H1872" s="11" t="s">
        <v>6791</v>
      </c>
      <c r="I1872" s="11" t="s">
        <v>6792</v>
      </c>
      <c r="J1872" s="12">
        <v>0.9</v>
      </c>
      <c r="K1872" s="13">
        <v>9</v>
      </c>
      <c r="L1872" s="14">
        <v>3523</v>
      </c>
      <c r="M1872" s="10">
        <v>2538</v>
      </c>
      <c r="N1872" s="10">
        <v>389297</v>
      </c>
      <c r="O1872" s="10">
        <v>199028</v>
      </c>
      <c r="P1872" s="10">
        <v>588325</v>
      </c>
    </row>
    <row r="1873" spans="1:16" ht="27" customHeight="1" x14ac:dyDescent="0.2">
      <c r="A1873" s="9" t="s">
        <v>6788</v>
      </c>
      <c r="B1873" s="10" t="s">
        <v>6850</v>
      </c>
      <c r="C1873" s="11" t="s">
        <v>6852</v>
      </c>
      <c r="D1873" s="11" t="s">
        <v>6853</v>
      </c>
      <c r="E1873" s="11" t="s">
        <v>57</v>
      </c>
      <c r="F1873" s="11" t="s">
        <v>6854</v>
      </c>
      <c r="G1873" s="11" t="s">
        <v>28</v>
      </c>
      <c r="H1873" s="11" t="s">
        <v>6854</v>
      </c>
      <c r="I1873" s="11" t="s">
        <v>6855</v>
      </c>
      <c r="J1873" s="12">
        <v>0.64359999999999995</v>
      </c>
      <c r="K1873" s="13">
        <v>1</v>
      </c>
      <c r="L1873" s="14">
        <v>188</v>
      </c>
      <c r="M1873" s="10">
        <v>121</v>
      </c>
      <c r="N1873" s="10">
        <v>20774</v>
      </c>
      <c r="O1873" s="10">
        <v>9489</v>
      </c>
      <c r="P1873" s="10">
        <v>30263</v>
      </c>
    </row>
    <row r="1874" spans="1:16" ht="27" customHeight="1" x14ac:dyDescent="0.2">
      <c r="A1874" s="9" t="s">
        <v>6788</v>
      </c>
      <c r="B1874" s="10" t="s">
        <v>6856</v>
      </c>
      <c r="C1874" s="11" t="s">
        <v>18</v>
      </c>
      <c r="D1874" s="11" t="s">
        <v>19</v>
      </c>
      <c r="E1874" s="11" t="s">
        <v>19</v>
      </c>
      <c r="F1874" s="11" t="s">
        <v>6857</v>
      </c>
      <c r="G1874" s="11" t="s">
        <v>83</v>
      </c>
      <c r="H1874" s="11" t="s">
        <v>6858</v>
      </c>
      <c r="I1874" s="11" t="s">
        <v>6859</v>
      </c>
      <c r="J1874" s="12">
        <v>0.64639999999999997</v>
      </c>
      <c r="K1874" s="13">
        <v>12</v>
      </c>
      <c r="L1874" s="14">
        <v>1192</v>
      </c>
      <c r="M1874" s="10">
        <v>635</v>
      </c>
      <c r="N1874" s="10">
        <v>131718</v>
      </c>
      <c r="O1874" s="10">
        <v>49796</v>
      </c>
      <c r="P1874" s="10">
        <v>181514</v>
      </c>
    </row>
    <row r="1875" spans="1:16" ht="27" customHeight="1" x14ac:dyDescent="0.2">
      <c r="A1875" s="9" t="s">
        <v>6788</v>
      </c>
      <c r="B1875" s="10" t="s">
        <v>6860</v>
      </c>
      <c r="C1875" s="11" t="s">
        <v>18</v>
      </c>
      <c r="D1875" s="11" t="s">
        <v>19</v>
      </c>
      <c r="E1875" s="11" t="s">
        <v>19</v>
      </c>
      <c r="F1875" s="11" t="s">
        <v>6861</v>
      </c>
      <c r="G1875" s="11" t="s">
        <v>83</v>
      </c>
      <c r="H1875" s="11" t="s">
        <v>6861</v>
      </c>
      <c r="I1875" s="11" t="s">
        <v>6862</v>
      </c>
      <c r="J1875" s="12">
        <v>0.72219999999999995</v>
      </c>
      <c r="K1875" s="13">
        <v>2</v>
      </c>
      <c r="L1875" s="14">
        <v>18</v>
      </c>
      <c r="M1875" s="10">
        <v>13</v>
      </c>
      <c r="N1875" s="10">
        <v>1989</v>
      </c>
      <c r="O1875" s="10">
        <v>1019</v>
      </c>
      <c r="P1875" s="10">
        <v>3008</v>
      </c>
    </row>
    <row r="1876" spans="1:16" ht="27" customHeight="1" x14ac:dyDescent="0.2">
      <c r="A1876" s="9" t="s">
        <v>6788</v>
      </c>
      <c r="B1876" s="10" t="s">
        <v>6863</v>
      </c>
      <c r="C1876" s="11" t="s">
        <v>18</v>
      </c>
      <c r="D1876" s="11" t="s">
        <v>19</v>
      </c>
      <c r="E1876" s="11" t="s">
        <v>19</v>
      </c>
      <c r="F1876" s="11" t="s">
        <v>6864</v>
      </c>
      <c r="G1876" s="11" t="s">
        <v>83</v>
      </c>
      <c r="H1876" s="11" t="s">
        <v>6864</v>
      </c>
      <c r="I1876" s="11" t="s">
        <v>6865</v>
      </c>
      <c r="J1876" s="12">
        <v>0.1835</v>
      </c>
      <c r="K1876" s="13">
        <v>2</v>
      </c>
      <c r="L1876" s="14">
        <v>643</v>
      </c>
      <c r="M1876" s="10">
        <v>118</v>
      </c>
      <c r="N1876" s="10">
        <v>71053</v>
      </c>
      <c r="O1876" s="10">
        <v>9253</v>
      </c>
      <c r="P1876" s="10">
        <v>80306</v>
      </c>
    </row>
    <row r="1877" spans="1:16" ht="27" customHeight="1" x14ac:dyDescent="0.2">
      <c r="A1877" s="9" t="s">
        <v>6788</v>
      </c>
      <c r="B1877" s="10" t="s">
        <v>6866</v>
      </c>
      <c r="C1877" s="11" t="s">
        <v>18</v>
      </c>
      <c r="D1877" s="11" t="s">
        <v>19</v>
      </c>
      <c r="E1877" s="11" t="s">
        <v>19</v>
      </c>
      <c r="F1877" s="11" t="s">
        <v>6867</v>
      </c>
      <c r="G1877" s="11" t="s">
        <v>83</v>
      </c>
      <c r="H1877" s="11" t="s">
        <v>6868</v>
      </c>
      <c r="I1877" s="11" t="s">
        <v>6869</v>
      </c>
      <c r="J1877" s="12">
        <v>0.65349999999999997</v>
      </c>
      <c r="K1877" s="13">
        <v>4</v>
      </c>
      <c r="L1877" s="14">
        <v>495</v>
      </c>
      <c r="M1877" s="10">
        <v>318</v>
      </c>
      <c r="N1877" s="10">
        <v>54699</v>
      </c>
      <c r="O1877" s="10">
        <v>24937</v>
      </c>
      <c r="P1877" s="10">
        <v>79636</v>
      </c>
    </row>
    <row r="1878" spans="1:16" ht="27" customHeight="1" x14ac:dyDescent="0.2">
      <c r="A1878" s="9" t="s">
        <v>6788</v>
      </c>
      <c r="B1878" s="10" t="s">
        <v>6870</v>
      </c>
      <c r="C1878" s="11" t="s">
        <v>18</v>
      </c>
      <c r="D1878" s="11" t="s">
        <v>19</v>
      </c>
      <c r="E1878" s="11" t="s">
        <v>19</v>
      </c>
      <c r="F1878" s="11" t="s">
        <v>6871</v>
      </c>
      <c r="G1878" s="11" t="s">
        <v>83</v>
      </c>
      <c r="H1878" s="11" t="s">
        <v>6872</v>
      </c>
      <c r="I1878" s="11" t="s">
        <v>6873</v>
      </c>
      <c r="J1878" s="12">
        <v>0.9</v>
      </c>
      <c r="K1878" s="13">
        <v>2</v>
      </c>
      <c r="L1878" s="14">
        <v>33</v>
      </c>
      <c r="M1878" s="10">
        <v>30</v>
      </c>
      <c r="N1878" s="10">
        <v>3647</v>
      </c>
      <c r="O1878" s="10">
        <v>2352</v>
      </c>
      <c r="P1878" s="10">
        <v>5999</v>
      </c>
    </row>
    <row r="1879" spans="1:16" ht="27" customHeight="1" x14ac:dyDescent="0.2">
      <c r="A1879" s="9" t="s">
        <v>6788</v>
      </c>
      <c r="B1879" s="10" t="s">
        <v>6874</v>
      </c>
      <c r="C1879" s="11" t="s">
        <v>18</v>
      </c>
      <c r="D1879" s="11" t="s">
        <v>19</v>
      </c>
      <c r="E1879" s="11" t="s">
        <v>19</v>
      </c>
      <c r="F1879" s="11" t="s">
        <v>6875</v>
      </c>
      <c r="G1879" s="11" t="s">
        <v>83</v>
      </c>
      <c r="H1879" s="11" t="s">
        <v>6875</v>
      </c>
      <c r="I1879" s="11" t="s">
        <v>6876</v>
      </c>
      <c r="J1879" s="12">
        <v>0.30180000000000001</v>
      </c>
      <c r="K1879" s="13">
        <v>2</v>
      </c>
      <c r="L1879" s="14">
        <v>393</v>
      </c>
      <c r="M1879" s="10">
        <v>118</v>
      </c>
      <c r="N1879" s="10">
        <v>43427</v>
      </c>
      <c r="O1879" s="10">
        <v>9253</v>
      </c>
      <c r="P1879" s="10">
        <v>52680</v>
      </c>
    </row>
    <row r="1880" spans="1:16" ht="27" customHeight="1" x14ac:dyDescent="0.2">
      <c r="A1880" s="9" t="s">
        <v>6788</v>
      </c>
      <c r="B1880" s="10" t="s">
        <v>6877</v>
      </c>
      <c r="C1880" s="11" t="s">
        <v>18</v>
      </c>
      <c r="D1880" s="11" t="s">
        <v>19</v>
      </c>
      <c r="E1880" s="11" t="s">
        <v>19</v>
      </c>
      <c r="F1880" s="11" t="s">
        <v>6878</v>
      </c>
      <c r="G1880" s="11" t="s">
        <v>83</v>
      </c>
      <c r="H1880" s="11" t="s">
        <v>6878</v>
      </c>
      <c r="I1880" s="11" t="s">
        <v>6879</v>
      </c>
      <c r="J1880" s="12">
        <v>0.32369999999999999</v>
      </c>
      <c r="K1880" s="13">
        <v>2</v>
      </c>
      <c r="L1880" s="14">
        <v>241</v>
      </c>
      <c r="M1880" s="10">
        <v>78</v>
      </c>
      <c r="N1880" s="10">
        <v>26631</v>
      </c>
      <c r="O1880" s="10">
        <v>6117</v>
      </c>
      <c r="P1880" s="10">
        <v>32748</v>
      </c>
    </row>
    <row r="1881" spans="1:16" ht="27" customHeight="1" x14ac:dyDescent="0.2">
      <c r="A1881" s="9" t="s">
        <v>6788</v>
      </c>
      <c r="B1881" s="10" t="s">
        <v>6880</v>
      </c>
      <c r="C1881" s="11" t="s">
        <v>18</v>
      </c>
      <c r="D1881" s="11" t="s">
        <v>19</v>
      </c>
      <c r="E1881" s="11" t="s">
        <v>19</v>
      </c>
      <c r="F1881" s="11" t="s">
        <v>6881</v>
      </c>
      <c r="G1881" s="11" t="s">
        <v>83</v>
      </c>
      <c r="H1881" s="11" t="s">
        <v>6881</v>
      </c>
      <c r="I1881" s="11" t="s">
        <v>6882</v>
      </c>
      <c r="J1881" s="12">
        <v>0.16800000000000001</v>
      </c>
      <c r="K1881" s="13">
        <v>2</v>
      </c>
      <c r="L1881" s="14">
        <v>258</v>
      </c>
      <c r="M1881" s="10">
        <v>43</v>
      </c>
      <c r="N1881" s="10">
        <v>28509</v>
      </c>
      <c r="O1881" s="10">
        <v>3372</v>
      </c>
      <c r="P1881" s="10">
        <v>31881</v>
      </c>
    </row>
    <row r="1882" spans="1:16" ht="27" customHeight="1" x14ac:dyDescent="0.2">
      <c r="A1882" s="9" t="s">
        <v>6788</v>
      </c>
      <c r="B1882" s="10" t="s">
        <v>6883</v>
      </c>
      <c r="C1882" s="11" t="s">
        <v>18</v>
      </c>
      <c r="D1882" s="11" t="s">
        <v>19</v>
      </c>
      <c r="E1882" s="11" t="s">
        <v>19</v>
      </c>
      <c r="F1882" s="11" t="s">
        <v>6884</v>
      </c>
      <c r="G1882" s="11" t="s">
        <v>83</v>
      </c>
      <c r="H1882" s="11" t="s">
        <v>6884</v>
      </c>
      <c r="I1882" s="11" t="s">
        <v>6885</v>
      </c>
      <c r="J1882" s="12">
        <v>0.82220000000000004</v>
      </c>
      <c r="K1882" s="13">
        <v>2</v>
      </c>
      <c r="L1882" s="14">
        <v>45</v>
      </c>
      <c r="M1882" s="10">
        <v>37</v>
      </c>
      <c r="N1882" s="10">
        <v>4973</v>
      </c>
      <c r="O1882" s="10">
        <v>2902</v>
      </c>
      <c r="P1882" s="10">
        <v>7875</v>
      </c>
    </row>
    <row r="1883" spans="1:16" ht="27" customHeight="1" x14ac:dyDescent="0.2">
      <c r="A1883" s="9" t="s">
        <v>6788</v>
      </c>
      <c r="B1883" s="10" t="s">
        <v>6886</v>
      </c>
      <c r="C1883" s="11" t="s">
        <v>18</v>
      </c>
      <c r="D1883" s="11" t="s">
        <v>19</v>
      </c>
      <c r="E1883" s="11" t="s">
        <v>19</v>
      </c>
      <c r="F1883" s="11" t="s">
        <v>6887</v>
      </c>
      <c r="G1883" s="11" t="s">
        <v>83</v>
      </c>
      <c r="H1883" s="11" t="s">
        <v>6888</v>
      </c>
      <c r="I1883" s="11" t="s">
        <v>6889</v>
      </c>
      <c r="J1883" s="12">
        <v>0.51100000000000001</v>
      </c>
      <c r="K1883" s="13">
        <v>3</v>
      </c>
      <c r="L1883" s="14">
        <v>680</v>
      </c>
      <c r="M1883" s="10">
        <v>344</v>
      </c>
      <c r="N1883" s="10">
        <v>75142</v>
      </c>
      <c r="O1883" s="10">
        <v>26975</v>
      </c>
      <c r="P1883" s="10">
        <v>102117</v>
      </c>
    </row>
    <row r="1884" spans="1:16" ht="27" customHeight="1" x14ac:dyDescent="0.2">
      <c r="A1884" s="9" t="s">
        <v>6788</v>
      </c>
      <c r="B1884" s="10" t="s">
        <v>6890</v>
      </c>
      <c r="C1884" s="11" t="s">
        <v>18</v>
      </c>
      <c r="D1884" s="11" t="s">
        <v>19</v>
      </c>
      <c r="E1884" s="11" t="s">
        <v>19</v>
      </c>
      <c r="F1884" s="11" t="s">
        <v>6891</v>
      </c>
      <c r="G1884" s="11" t="s">
        <v>83</v>
      </c>
      <c r="H1884" s="11" t="s">
        <v>4053</v>
      </c>
      <c r="I1884" s="11" t="s">
        <v>6892</v>
      </c>
      <c r="J1884" s="12">
        <v>0.87829999999999997</v>
      </c>
      <c r="K1884" s="13">
        <v>9</v>
      </c>
      <c r="L1884" s="14">
        <v>2772</v>
      </c>
      <c r="M1884" s="10">
        <v>1894</v>
      </c>
      <c r="N1884" s="10">
        <v>306310</v>
      </c>
      <c r="O1884" s="10">
        <v>148526</v>
      </c>
      <c r="P1884" s="10">
        <v>454836</v>
      </c>
    </row>
    <row r="1885" spans="1:16" ht="27" customHeight="1" x14ac:dyDescent="0.2">
      <c r="A1885" s="9" t="s">
        <v>6788</v>
      </c>
      <c r="B1885" s="10" t="s">
        <v>6890</v>
      </c>
      <c r="C1885" s="11" t="s">
        <v>6893</v>
      </c>
      <c r="D1885" s="11" t="s">
        <v>6894</v>
      </c>
      <c r="E1885" s="11" t="s">
        <v>57</v>
      </c>
      <c r="F1885" s="11" t="s">
        <v>6895</v>
      </c>
      <c r="G1885" s="11" t="s">
        <v>28</v>
      </c>
      <c r="H1885" s="11" t="s">
        <v>6895</v>
      </c>
      <c r="I1885" s="11" t="s">
        <v>6896</v>
      </c>
      <c r="J1885" s="12">
        <v>0.44</v>
      </c>
      <c r="K1885" s="13">
        <v>1</v>
      </c>
      <c r="L1885" s="14">
        <v>200</v>
      </c>
      <c r="M1885" s="10">
        <v>88</v>
      </c>
      <c r="N1885" s="10">
        <v>22100</v>
      </c>
      <c r="O1885" s="10">
        <v>6901</v>
      </c>
      <c r="P1885" s="10">
        <v>29001</v>
      </c>
    </row>
    <row r="1886" spans="1:16" ht="27" customHeight="1" x14ac:dyDescent="0.2">
      <c r="A1886" s="9" t="s">
        <v>6788</v>
      </c>
      <c r="B1886" s="10" t="s">
        <v>6890</v>
      </c>
      <c r="C1886" s="11" t="s">
        <v>6897</v>
      </c>
      <c r="D1886" s="11" t="s">
        <v>6898</v>
      </c>
      <c r="E1886" s="11" t="s">
        <v>26</v>
      </c>
      <c r="F1886" s="11" t="s">
        <v>6899</v>
      </c>
      <c r="G1886" s="11" t="s">
        <v>28</v>
      </c>
      <c r="H1886" s="11" t="s">
        <v>6899</v>
      </c>
      <c r="I1886" s="11" t="s">
        <v>6900</v>
      </c>
      <c r="J1886" s="12">
        <v>0.69410000000000005</v>
      </c>
      <c r="K1886" s="13">
        <v>1</v>
      </c>
      <c r="L1886" s="14">
        <v>85</v>
      </c>
      <c r="M1886" s="10">
        <v>59</v>
      </c>
      <c r="N1886" s="10">
        <v>9393</v>
      </c>
      <c r="O1886" s="10">
        <v>4627</v>
      </c>
      <c r="P1886" s="10">
        <v>14020</v>
      </c>
    </row>
    <row r="1887" spans="1:16" ht="27" customHeight="1" x14ac:dyDescent="0.2">
      <c r="A1887" s="9" t="s">
        <v>6788</v>
      </c>
      <c r="B1887" s="10" t="s">
        <v>6901</v>
      </c>
      <c r="C1887" s="11" t="s">
        <v>18</v>
      </c>
      <c r="D1887" s="11" t="s">
        <v>19</v>
      </c>
      <c r="E1887" s="11" t="s">
        <v>19</v>
      </c>
      <c r="F1887" s="11" t="s">
        <v>6902</v>
      </c>
      <c r="G1887" s="11" t="s">
        <v>83</v>
      </c>
      <c r="H1887" s="11" t="s">
        <v>6903</v>
      </c>
      <c r="I1887" s="11" t="s">
        <v>6904</v>
      </c>
      <c r="J1887" s="12">
        <v>0.62070000000000003</v>
      </c>
      <c r="K1887" s="13">
        <v>2</v>
      </c>
      <c r="L1887" s="14">
        <v>88</v>
      </c>
      <c r="M1887" s="10">
        <v>55</v>
      </c>
      <c r="N1887" s="10">
        <v>9725</v>
      </c>
      <c r="O1887" s="10">
        <v>4313</v>
      </c>
      <c r="P1887" s="10">
        <v>14038</v>
      </c>
    </row>
    <row r="1888" spans="1:16" ht="27" customHeight="1" x14ac:dyDescent="0.2">
      <c r="A1888" s="9" t="s">
        <v>6788</v>
      </c>
      <c r="B1888" s="10" t="s">
        <v>6905</v>
      </c>
      <c r="C1888" s="11" t="s">
        <v>18</v>
      </c>
      <c r="D1888" s="11" t="s">
        <v>19</v>
      </c>
      <c r="E1888" s="11" t="s">
        <v>19</v>
      </c>
      <c r="F1888" s="11" t="s">
        <v>6906</v>
      </c>
      <c r="G1888" s="11" t="s">
        <v>83</v>
      </c>
      <c r="H1888" s="11" t="s">
        <v>6791</v>
      </c>
      <c r="I1888" s="11" t="s">
        <v>6792</v>
      </c>
      <c r="J1888" s="12">
        <v>0.9</v>
      </c>
      <c r="K1888" s="13">
        <v>6</v>
      </c>
      <c r="L1888" s="14">
        <v>4263</v>
      </c>
      <c r="M1888" s="10">
        <v>2076</v>
      </c>
      <c r="N1888" s="10">
        <v>471068</v>
      </c>
      <c r="O1888" s="10">
        <v>162797</v>
      </c>
      <c r="P1888" s="10">
        <v>633865</v>
      </c>
    </row>
    <row r="1889" spans="1:16" ht="27" customHeight="1" x14ac:dyDescent="0.2">
      <c r="A1889" s="9" t="s">
        <v>6788</v>
      </c>
      <c r="B1889" s="10" t="s">
        <v>6905</v>
      </c>
      <c r="C1889" s="11" t="s">
        <v>6907</v>
      </c>
      <c r="D1889" s="11" t="s">
        <v>6908</v>
      </c>
      <c r="E1889" s="11" t="s">
        <v>26</v>
      </c>
      <c r="F1889" s="11" t="s">
        <v>6909</v>
      </c>
      <c r="G1889" s="11" t="s">
        <v>28</v>
      </c>
      <c r="H1889" s="11" t="s">
        <v>6909</v>
      </c>
      <c r="I1889" s="11" t="s">
        <v>6910</v>
      </c>
      <c r="J1889" s="12">
        <v>0.32379999999999998</v>
      </c>
      <c r="K1889" s="13">
        <v>1</v>
      </c>
      <c r="L1889" s="14">
        <v>1013</v>
      </c>
      <c r="M1889" s="10">
        <v>328</v>
      </c>
      <c r="N1889" s="10">
        <v>111938</v>
      </c>
      <c r="O1889" s="10">
        <v>25721</v>
      </c>
      <c r="P1889" s="10">
        <v>137659</v>
      </c>
    </row>
    <row r="1890" spans="1:16" ht="27" customHeight="1" x14ac:dyDescent="0.2">
      <c r="A1890" s="9" t="s">
        <v>6788</v>
      </c>
      <c r="B1890" s="10" t="s">
        <v>6905</v>
      </c>
      <c r="C1890" s="11" t="s">
        <v>6911</v>
      </c>
      <c r="D1890" s="11" t="s">
        <v>6912</v>
      </c>
      <c r="E1890" s="11" t="s">
        <v>26</v>
      </c>
      <c r="F1890" s="11" t="s">
        <v>6913</v>
      </c>
      <c r="G1890" s="11" t="s">
        <v>28</v>
      </c>
      <c r="H1890" s="11" t="s">
        <v>6791</v>
      </c>
      <c r="I1890" s="11" t="s">
        <v>6792</v>
      </c>
      <c r="J1890" s="12">
        <v>0.9</v>
      </c>
      <c r="K1890" s="13">
        <v>1</v>
      </c>
      <c r="L1890" s="14">
        <v>274</v>
      </c>
      <c r="M1890" s="10">
        <v>136</v>
      </c>
      <c r="N1890" s="10">
        <v>30277</v>
      </c>
      <c r="O1890" s="10">
        <v>10665</v>
      </c>
      <c r="P1890" s="10">
        <v>40942</v>
      </c>
    </row>
    <row r="1891" spans="1:16" ht="27" customHeight="1" x14ac:dyDescent="0.2">
      <c r="A1891" s="9" t="s">
        <v>6788</v>
      </c>
      <c r="B1891" s="10" t="s">
        <v>6914</v>
      </c>
      <c r="C1891" s="11" t="s">
        <v>18</v>
      </c>
      <c r="D1891" s="11" t="s">
        <v>19</v>
      </c>
      <c r="E1891" s="11" t="s">
        <v>19</v>
      </c>
      <c r="F1891" s="11" t="s">
        <v>6915</v>
      </c>
      <c r="G1891" s="11" t="s">
        <v>83</v>
      </c>
      <c r="H1891" s="11" t="s">
        <v>6916</v>
      </c>
      <c r="I1891" s="11" t="s">
        <v>6917</v>
      </c>
      <c r="J1891" s="12">
        <v>0.30159999999999998</v>
      </c>
      <c r="K1891" s="13">
        <v>2</v>
      </c>
      <c r="L1891" s="14">
        <v>63</v>
      </c>
      <c r="M1891" s="10">
        <v>19</v>
      </c>
      <c r="N1891" s="10">
        <v>6962</v>
      </c>
      <c r="O1891" s="10">
        <v>1490</v>
      </c>
      <c r="P1891" s="10">
        <v>8452</v>
      </c>
    </row>
    <row r="1892" spans="1:16" ht="27" customHeight="1" x14ac:dyDescent="0.2">
      <c r="A1892" s="9" t="s">
        <v>6788</v>
      </c>
      <c r="B1892" s="10" t="s">
        <v>6918</v>
      </c>
      <c r="C1892" s="11" t="s">
        <v>18</v>
      </c>
      <c r="D1892" s="11" t="s">
        <v>19</v>
      </c>
      <c r="E1892" s="11" t="s">
        <v>19</v>
      </c>
      <c r="F1892" s="11" t="s">
        <v>6919</v>
      </c>
      <c r="G1892" s="11" t="s">
        <v>83</v>
      </c>
      <c r="H1892" s="11" t="s">
        <v>6920</v>
      </c>
      <c r="I1892" s="11" t="s">
        <v>6921</v>
      </c>
      <c r="J1892" s="12">
        <v>0.8659</v>
      </c>
      <c r="K1892" s="13">
        <v>2</v>
      </c>
      <c r="L1892" s="14">
        <v>83</v>
      </c>
      <c r="M1892" s="10">
        <v>72</v>
      </c>
      <c r="N1892" s="10">
        <v>9172</v>
      </c>
      <c r="O1892" s="10">
        <v>5646</v>
      </c>
      <c r="P1892" s="10">
        <v>14818</v>
      </c>
    </row>
    <row r="1893" spans="1:16" ht="27" customHeight="1" x14ac:dyDescent="0.2">
      <c r="A1893" s="9" t="s">
        <v>6788</v>
      </c>
      <c r="B1893" s="10" t="s">
        <v>6922</v>
      </c>
      <c r="C1893" s="11" t="s">
        <v>18</v>
      </c>
      <c r="D1893" s="11" t="s">
        <v>19</v>
      </c>
      <c r="E1893" s="11" t="s">
        <v>19</v>
      </c>
      <c r="F1893" s="11" t="s">
        <v>6923</v>
      </c>
      <c r="G1893" s="11" t="s">
        <v>83</v>
      </c>
      <c r="H1893" s="11" t="s">
        <v>6924</v>
      </c>
      <c r="I1893" s="11" t="s">
        <v>6925</v>
      </c>
      <c r="J1893" s="12">
        <v>0.8145</v>
      </c>
      <c r="K1893" s="13">
        <v>8</v>
      </c>
      <c r="L1893" s="14">
        <v>2187</v>
      </c>
      <c r="M1893" s="10">
        <v>1576</v>
      </c>
      <c r="N1893" s="10">
        <v>241669</v>
      </c>
      <c r="O1893" s="10">
        <v>123589</v>
      </c>
      <c r="P1893" s="10">
        <v>365258</v>
      </c>
    </row>
    <row r="1894" spans="1:16" ht="27" customHeight="1" x14ac:dyDescent="0.2">
      <c r="A1894" s="9" t="s">
        <v>6788</v>
      </c>
      <c r="B1894" s="10" t="s">
        <v>6922</v>
      </c>
      <c r="C1894" s="11" t="s">
        <v>6926</v>
      </c>
      <c r="D1894" s="11" t="s">
        <v>6927</v>
      </c>
      <c r="E1894" s="11" t="s">
        <v>26</v>
      </c>
      <c r="F1894" s="11" t="s">
        <v>6928</v>
      </c>
      <c r="G1894" s="11" t="s">
        <v>28</v>
      </c>
      <c r="H1894" s="11" t="s">
        <v>6928</v>
      </c>
      <c r="I1894" s="11" t="s">
        <v>6929</v>
      </c>
      <c r="J1894" s="12">
        <v>0.74209999999999998</v>
      </c>
      <c r="K1894" s="13">
        <v>1</v>
      </c>
      <c r="L1894" s="14">
        <v>159</v>
      </c>
      <c r="M1894" s="10">
        <v>118</v>
      </c>
      <c r="N1894" s="10">
        <v>17570</v>
      </c>
      <c r="O1894" s="10">
        <v>9253</v>
      </c>
      <c r="P1894" s="10">
        <v>26823</v>
      </c>
    </row>
    <row r="1895" spans="1:16" ht="27" customHeight="1" x14ac:dyDescent="0.2">
      <c r="A1895" s="9" t="s">
        <v>6930</v>
      </c>
      <c r="B1895" s="10" t="s">
        <v>6931</v>
      </c>
      <c r="C1895" s="11" t="s">
        <v>18</v>
      </c>
      <c r="D1895" s="11" t="s">
        <v>19</v>
      </c>
      <c r="E1895" s="11" t="s">
        <v>19</v>
      </c>
      <c r="F1895" s="11" t="s">
        <v>6932</v>
      </c>
      <c r="G1895" s="11" t="s">
        <v>21</v>
      </c>
      <c r="H1895" s="11" t="s">
        <v>6933</v>
      </c>
      <c r="I1895" s="11" t="s">
        <v>6934</v>
      </c>
      <c r="J1895" s="12">
        <v>0.59089999999999998</v>
      </c>
      <c r="K1895" s="13">
        <v>2</v>
      </c>
      <c r="L1895" s="14">
        <v>0</v>
      </c>
      <c r="M1895" s="10">
        <v>0</v>
      </c>
      <c r="N1895" s="10">
        <v>0</v>
      </c>
      <c r="O1895" s="10">
        <v>0</v>
      </c>
      <c r="P1895" s="10">
        <v>0</v>
      </c>
    </row>
    <row r="1896" spans="1:16" ht="27" customHeight="1" x14ac:dyDescent="0.2">
      <c r="A1896" s="9" t="s">
        <v>6930</v>
      </c>
      <c r="B1896" s="10" t="s">
        <v>6935</v>
      </c>
      <c r="C1896" s="11" t="s">
        <v>18</v>
      </c>
      <c r="D1896" s="11" t="s">
        <v>19</v>
      </c>
      <c r="E1896" s="11" t="s">
        <v>19</v>
      </c>
      <c r="F1896" s="11" t="s">
        <v>6936</v>
      </c>
      <c r="G1896" s="11" t="s">
        <v>83</v>
      </c>
      <c r="H1896" s="11" t="s">
        <v>6933</v>
      </c>
      <c r="I1896" s="11" t="s">
        <v>6934</v>
      </c>
      <c r="J1896" s="12">
        <v>0.59089999999999998</v>
      </c>
      <c r="K1896" s="13">
        <v>6</v>
      </c>
      <c r="L1896" s="14">
        <v>400</v>
      </c>
      <c r="M1896" s="10">
        <v>148</v>
      </c>
      <c r="N1896" s="10">
        <v>44201</v>
      </c>
      <c r="O1896" s="10">
        <v>11606</v>
      </c>
      <c r="P1896" s="10">
        <v>55807</v>
      </c>
    </row>
    <row r="1897" spans="1:16" ht="27" customHeight="1" x14ac:dyDescent="0.2">
      <c r="A1897" s="9" t="s">
        <v>6937</v>
      </c>
      <c r="B1897" s="10" t="s">
        <v>6938</v>
      </c>
      <c r="C1897" s="11" t="s">
        <v>18</v>
      </c>
      <c r="D1897" s="11" t="s">
        <v>19</v>
      </c>
      <c r="E1897" s="11" t="s">
        <v>19</v>
      </c>
      <c r="F1897" s="11" t="s">
        <v>6939</v>
      </c>
      <c r="G1897" s="11" t="s">
        <v>21</v>
      </c>
      <c r="H1897" s="11" t="s">
        <v>6940</v>
      </c>
      <c r="I1897" s="11" t="s">
        <v>6941</v>
      </c>
      <c r="J1897" s="12">
        <v>1</v>
      </c>
      <c r="K1897" s="13">
        <v>2</v>
      </c>
      <c r="L1897" s="14">
        <v>128</v>
      </c>
      <c r="M1897" s="10">
        <v>83</v>
      </c>
      <c r="N1897" s="10">
        <v>14145</v>
      </c>
      <c r="O1897" s="10">
        <v>6509</v>
      </c>
      <c r="P1897" s="10">
        <v>20654</v>
      </c>
    </row>
    <row r="1898" spans="1:16" ht="27" customHeight="1" x14ac:dyDescent="0.2">
      <c r="A1898" s="9" t="s">
        <v>6937</v>
      </c>
      <c r="B1898" s="10" t="s">
        <v>6938</v>
      </c>
      <c r="C1898" s="11" t="s">
        <v>6942</v>
      </c>
      <c r="D1898" s="11" t="s">
        <v>6943</v>
      </c>
      <c r="E1898" s="11" t="s">
        <v>26</v>
      </c>
      <c r="F1898" s="11" t="s">
        <v>6944</v>
      </c>
      <c r="G1898" s="11" t="s">
        <v>28</v>
      </c>
      <c r="H1898" s="11" t="s">
        <v>6944</v>
      </c>
      <c r="I1898" s="11" t="s">
        <v>6945</v>
      </c>
      <c r="J1898" s="12">
        <v>0.73780000000000001</v>
      </c>
      <c r="K1898" s="13">
        <v>1</v>
      </c>
      <c r="L1898" s="14">
        <v>431</v>
      </c>
      <c r="M1898" s="10">
        <v>318</v>
      </c>
      <c r="N1898" s="10">
        <v>47626</v>
      </c>
      <c r="O1898" s="10">
        <v>24937</v>
      </c>
      <c r="P1898" s="10">
        <v>72563</v>
      </c>
    </row>
    <row r="1899" spans="1:16" ht="27" customHeight="1" x14ac:dyDescent="0.2">
      <c r="A1899" s="9" t="s">
        <v>6937</v>
      </c>
      <c r="B1899" s="10" t="s">
        <v>6938</v>
      </c>
      <c r="C1899" s="11" t="s">
        <v>6946</v>
      </c>
      <c r="D1899" s="11" t="s">
        <v>6947</v>
      </c>
      <c r="E1899" s="11" t="s">
        <v>26</v>
      </c>
      <c r="F1899" s="11" t="s">
        <v>6948</v>
      </c>
      <c r="G1899" s="11" t="s">
        <v>28</v>
      </c>
      <c r="H1899" s="11" t="s">
        <v>6948</v>
      </c>
      <c r="I1899" s="11" t="s">
        <v>6949</v>
      </c>
      <c r="J1899" s="12">
        <v>0.86180000000000001</v>
      </c>
      <c r="K1899" s="13">
        <v>1</v>
      </c>
      <c r="L1899" s="14">
        <v>123</v>
      </c>
      <c r="M1899" s="10">
        <v>106</v>
      </c>
      <c r="N1899" s="10">
        <v>13592</v>
      </c>
      <c r="O1899" s="10">
        <v>8312</v>
      </c>
      <c r="P1899" s="10">
        <v>21904</v>
      </c>
    </row>
    <row r="1900" spans="1:16" ht="27" customHeight="1" x14ac:dyDescent="0.2">
      <c r="A1900" s="9" t="s">
        <v>6937</v>
      </c>
      <c r="B1900" s="10" t="s">
        <v>6950</v>
      </c>
      <c r="C1900" s="11" t="s">
        <v>18</v>
      </c>
      <c r="D1900" s="11" t="s">
        <v>19</v>
      </c>
      <c r="E1900" s="11" t="s">
        <v>19</v>
      </c>
      <c r="F1900" s="11" t="s">
        <v>6951</v>
      </c>
      <c r="G1900" s="11" t="s">
        <v>83</v>
      </c>
      <c r="H1900" s="11" t="s">
        <v>6952</v>
      </c>
      <c r="I1900" s="11" t="s">
        <v>6953</v>
      </c>
      <c r="J1900" s="12">
        <v>0.61439999999999995</v>
      </c>
      <c r="K1900" s="13">
        <v>2</v>
      </c>
      <c r="L1900" s="14">
        <v>153</v>
      </c>
      <c r="M1900" s="10">
        <v>94</v>
      </c>
      <c r="N1900" s="10">
        <v>16907</v>
      </c>
      <c r="O1900" s="10">
        <v>7371</v>
      </c>
      <c r="P1900" s="10">
        <v>24278</v>
      </c>
    </row>
    <row r="1901" spans="1:16" ht="27" customHeight="1" x14ac:dyDescent="0.2">
      <c r="A1901" s="9" t="s">
        <v>6937</v>
      </c>
      <c r="B1901" s="10" t="s">
        <v>6954</v>
      </c>
      <c r="C1901" s="11" t="s">
        <v>18</v>
      </c>
      <c r="D1901" s="11" t="s">
        <v>19</v>
      </c>
      <c r="E1901" s="11" t="s">
        <v>19</v>
      </c>
      <c r="F1901" s="11" t="s">
        <v>6955</v>
      </c>
      <c r="G1901" s="11" t="s">
        <v>83</v>
      </c>
      <c r="H1901" s="11" t="s">
        <v>6955</v>
      </c>
      <c r="I1901" s="11" t="s">
        <v>6956</v>
      </c>
      <c r="J1901" s="12">
        <v>0.6875</v>
      </c>
      <c r="K1901" s="13">
        <v>2</v>
      </c>
      <c r="L1901" s="14">
        <v>16</v>
      </c>
      <c r="M1901" s="10">
        <v>11</v>
      </c>
      <c r="N1901" s="10">
        <v>1768</v>
      </c>
      <c r="O1901" s="10">
        <v>863</v>
      </c>
      <c r="P1901" s="10">
        <v>2631</v>
      </c>
    </row>
    <row r="1902" spans="1:16" ht="27" customHeight="1" x14ac:dyDescent="0.2">
      <c r="A1902" s="9" t="s">
        <v>6937</v>
      </c>
      <c r="B1902" s="10" t="s">
        <v>6957</v>
      </c>
      <c r="C1902" s="11" t="s">
        <v>18</v>
      </c>
      <c r="D1902" s="11" t="s">
        <v>19</v>
      </c>
      <c r="E1902" s="11" t="s">
        <v>19</v>
      </c>
      <c r="F1902" s="11" t="s">
        <v>6958</v>
      </c>
      <c r="G1902" s="11" t="s">
        <v>83</v>
      </c>
      <c r="H1902" s="11" t="s">
        <v>6959</v>
      </c>
      <c r="I1902" s="11" t="s">
        <v>6960</v>
      </c>
      <c r="J1902" s="12">
        <v>0.42170000000000002</v>
      </c>
      <c r="K1902" s="13">
        <v>2</v>
      </c>
      <c r="L1902" s="14">
        <v>166</v>
      </c>
      <c r="M1902" s="10">
        <v>70</v>
      </c>
      <c r="N1902" s="10">
        <v>18343</v>
      </c>
      <c r="O1902" s="10">
        <v>5489</v>
      </c>
      <c r="P1902" s="10">
        <v>23832</v>
      </c>
    </row>
    <row r="1903" spans="1:16" ht="27" customHeight="1" x14ac:dyDescent="0.2">
      <c r="A1903" s="9" t="s">
        <v>6937</v>
      </c>
      <c r="B1903" s="10" t="s">
        <v>6961</v>
      </c>
      <c r="C1903" s="11" t="s">
        <v>18</v>
      </c>
      <c r="D1903" s="11" t="s">
        <v>19</v>
      </c>
      <c r="E1903" s="11" t="s">
        <v>19</v>
      </c>
      <c r="F1903" s="11" t="s">
        <v>6962</v>
      </c>
      <c r="G1903" s="11" t="s">
        <v>83</v>
      </c>
      <c r="H1903" s="11" t="s">
        <v>6962</v>
      </c>
      <c r="I1903" s="11" t="s">
        <v>6963</v>
      </c>
      <c r="J1903" s="12">
        <v>0.71930000000000005</v>
      </c>
      <c r="K1903" s="13">
        <v>2</v>
      </c>
      <c r="L1903" s="14">
        <v>57</v>
      </c>
      <c r="M1903" s="10">
        <v>41</v>
      </c>
      <c r="N1903" s="10">
        <v>6299</v>
      </c>
      <c r="O1903" s="10">
        <v>3215</v>
      </c>
      <c r="P1903" s="10">
        <v>9514</v>
      </c>
    </row>
    <row r="1904" spans="1:16" ht="27" customHeight="1" x14ac:dyDescent="0.2">
      <c r="A1904" s="9" t="s">
        <v>6937</v>
      </c>
      <c r="B1904" s="10" t="s">
        <v>6964</v>
      </c>
      <c r="C1904" s="11" t="s">
        <v>18</v>
      </c>
      <c r="D1904" s="11" t="s">
        <v>19</v>
      </c>
      <c r="E1904" s="11" t="s">
        <v>19</v>
      </c>
      <c r="F1904" s="11" t="s">
        <v>6965</v>
      </c>
      <c r="G1904" s="11" t="s">
        <v>83</v>
      </c>
      <c r="H1904" s="11" t="s">
        <v>6965</v>
      </c>
      <c r="I1904" s="11" t="s">
        <v>6966</v>
      </c>
      <c r="J1904" s="12">
        <v>0.89249999999999996</v>
      </c>
      <c r="K1904" s="13">
        <v>2</v>
      </c>
      <c r="L1904" s="14">
        <v>93</v>
      </c>
      <c r="M1904" s="10">
        <v>83</v>
      </c>
      <c r="N1904" s="10">
        <v>10277</v>
      </c>
      <c r="O1904" s="10">
        <v>6509</v>
      </c>
      <c r="P1904" s="10">
        <v>16786</v>
      </c>
    </row>
    <row r="1905" spans="1:16" ht="27" customHeight="1" x14ac:dyDescent="0.2">
      <c r="A1905" s="9" t="s">
        <v>6937</v>
      </c>
      <c r="B1905" s="10" t="s">
        <v>6967</v>
      </c>
      <c r="C1905" s="11" t="s">
        <v>18</v>
      </c>
      <c r="D1905" s="11" t="s">
        <v>19</v>
      </c>
      <c r="E1905" s="11" t="s">
        <v>19</v>
      </c>
      <c r="F1905" s="11" t="s">
        <v>6968</v>
      </c>
      <c r="G1905" s="11" t="s">
        <v>83</v>
      </c>
      <c r="H1905" s="11" t="s">
        <v>6940</v>
      </c>
      <c r="I1905" s="11" t="s">
        <v>6941</v>
      </c>
      <c r="J1905" s="12">
        <v>1</v>
      </c>
      <c r="K1905" s="13">
        <v>3</v>
      </c>
      <c r="L1905" s="14">
        <v>66</v>
      </c>
      <c r="M1905" s="10">
        <v>49</v>
      </c>
      <c r="N1905" s="10">
        <v>7293</v>
      </c>
      <c r="O1905" s="10">
        <v>3843</v>
      </c>
      <c r="P1905" s="10">
        <v>11136</v>
      </c>
    </row>
    <row r="1906" spans="1:16" ht="27" customHeight="1" x14ac:dyDescent="0.2">
      <c r="A1906" s="9" t="s">
        <v>6937</v>
      </c>
      <c r="B1906" s="10" t="s">
        <v>6969</v>
      </c>
      <c r="C1906" s="11" t="s">
        <v>18</v>
      </c>
      <c r="D1906" s="11" t="s">
        <v>19</v>
      </c>
      <c r="E1906" s="11" t="s">
        <v>19</v>
      </c>
      <c r="F1906" s="11" t="s">
        <v>6970</v>
      </c>
      <c r="G1906" s="11" t="s">
        <v>83</v>
      </c>
      <c r="H1906" s="11" t="s">
        <v>6971</v>
      </c>
      <c r="I1906" s="11" t="s">
        <v>6972</v>
      </c>
      <c r="J1906" s="12">
        <v>0.51429999999999998</v>
      </c>
      <c r="K1906" s="13">
        <v>2</v>
      </c>
      <c r="L1906" s="14">
        <v>35</v>
      </c>
      <c r="M1906" s="10">
        <v>18</v>
      </c>
      <c r="N1906" s="10">
        <v>3868</v>
      </c>
      <c r="O1906" s="10">
        <v>1412</v>
      </c>
      <c r="P1906" s="10">
        <v>5280</v>
      </c>
    </row>
    <row r="1907" spans="1:16" ht="27" customHeight="1" x14ac:dyDescent="0.2">
      <c r="A1907" s="9" t="s">
        <v>6937</v>
      </c>
      <c r="B1907" s="10" t="s">
        <v>6973</v>
      </c>
      <c r="C1907" s="11" t="s">
        <v>18</v>
      </c>
      <c r="D1907" s="11" t="s">
        <v>19</v>
      </c>
      <c r="E1907" s="11" t="s">
        <v>19</v>
      </c>
      <c r="F1907" s="11" t="s">
        <v>6974</v>
      </c>
      <c r="G1907" s="11" t="s">
        <v>83</v>
      </c>
      <c r="H1907" s="11" t="s">
        <v>6974</v>
      </c>
      <c r="I1907" s="11" t="s">
        <v>6975</v>
      </c>
      <c r="J1907" s="12">
        <v>0.47920000000000001</v>
      </c>
      <c r="K1907" s="13">
        <v>2</v>
      </c>
      <c r="L1907" s="14">
        <v>193</v>
      </c>
      <c r="M1907" s="10">
        <v>92</v>
      </c>
      <c r="N1907" s="10">
        <v>21327</v>
      </c>
      <c r="O1907" s="10">
        <v>7215</v>
      </c>
      <c r="P1907" s="10">
        <v>28542</v>
      </c>
    </row>
    <row r="1908" spans="1:16" ht="27" customHeight="1" x14ac:dyDescent="0.2">
      <c r="A1908" s="9" t="s">
        <v>6937</v>
      </c>
      <c r="B1908" s="10" t="s">
        <v>6976</v>
      </c>
      <c r="C1908" s="11" t="s">
        <v>18</v>
      </c>
      <c r="D1908" s="11" t="s">
        <v>19</v>
      </c>
      <c r="E1908" s="11" t="s">
        <v>19</v>
      </c>
      <c r="F1908" s="11" t="s">
        <v>6977</v>
      </c>
      <c r="G1908" s="11" t="s">
        <v>83</v>
      </c>
      <c r="H1908" s="11" t="s">
        <v>6977</v>
      </c>
      <c r="I1908" s="11" t="s">
        <v>6978</v>
      </c>
      <c r="J1908" s="12">
        <v>0.68220000000000003</v>
      </c>
      <c r="K1908" s="13">
        <v>2</v>
      </c>
      <c r="L1908" s="14">
        <v>108</v>
      </c>
      <c r="M1908" s="10">
        <v>73</v>
      </c>
      <c r="N1908" s="10">
        <v>11935</v>
      </c>
      <c r="O1908" s="10">
        <v>5725</v>
      </c>
      <c r="P1908" s="10">
        <v>17660</v>
      </c>
    </row>
    <row r="1909" spans="1:16" ht="27" customHeight="1" x14ac:dyDescent="0.2">
      <c r="A1909" s="9" t="s">
        <v>6937</v>
      </c>
      <c r="B1909" s="10" t="s">
        <v>6979</v>
      </c>
      <c r="C1909" s="11" t="s">
        <v>18</v>
      </c>
      <c r="D1909" s="11" t="s">
        <v>19</v>
      </c>
      <c r="E1909" s="11" t="s">
        <v>19</v>
      </c>
      <c r="F1909" s="11" t="s">
        <v>6980</v>
      </c>
      <c r="G1909" s="11" t="s">
        <v>83</v>
      </c>
      <c r="H1909" s="11" t="s">
        <v>6980</v>
      </c>
      <c r="I1909" s="11" t="s">
        <v>6981</v>
      </c>
      <c r="J1909" s="12">
        <v>0.97140000000000004</v>
      </c>
      <c r="K1909" s="13">
        <v>2</v>
      </c>
      <c r="L1909" s="14">
        <v>35</v>
      </c>
      <c r="M1909" s="10">
        <v>34</v>
      </c>
      <c r="N1909" s="10">
        <v>3868</v>
      </c>
      <c r="O1909" s="10">
        <v>2666</v>
      </c>
      <c r="P1909" s="10">
        <v>6534</v>
      </c>
    </row>
    <row r="1910" spans="1:16" ht="27" customHeight="1" x14ac:dyDescent="0.2">
      <c r="A1910" s="9" t="s">
        <v>6937</v>
      </c>
      <c r="B1910" s="10" t="s">
        <v>6982</v>
      </c>
      <c r="C1910" s="11" t="s">
        <v>18</v>
      </c>
      <c r="D1910" s="11" t="s">
        <v>19</v>
      </c>
      <c r="E1910" s="11" t="s">
        <v>19</v>
      </c>
      <c r="F1910" s="11" t="s">
        <v>6875</v>
      </c>
      <c r="G1910" s="11" t="s">
        <v>83</v>
      </c>
      <c r="H1910" s="11" t="s">
        <v>6875</v>
      </c>
      <c r="I1910" s="11" t="s">
        <v>6983</v>
      </c>
      <c r="J1910" s="12">
        <v>0.84619999999999995</v>
      </c>
      <c r="K1910" s="13">
        <v>3</v>
      </c>
      <c r="L1910" s="14">
        <v>13</v>
      </c>
      <c r="M1910" s="10">
        <v>11</v>
      </c>
      <c r="N1910" s="10">
        <v>1437</v>
      </c>
      <c r="O1910" s="10">
        <v>863</v>
      </c>
      <c r="P1910" s="10">
        <v>2300</v>
      </c>
    </row>
    <row r="1911" spans="1:16" ht="27" customHeight="1" x14ac:dyDescent="0.2">
      <c r="A1911" s="9" t="s">
        <v>6937</v>
      </c>
      <c r="B1911" s="10" t="s">
        <v>6984</v>
      </c>
      <c r="C1911" s="11" t="s">
        <v>18</v>
      </c>
      <c r="D1911" s="11" t="s">
        <v>19</v>
      </c>
      <c r="E1911" s="11" t="s">
        <v>19</v>
      </c>
      <c r="F1911" s="11" t="s">
        <v>6985</v>
      </c>
      <c r="G1911" s="11" t="s">
        <v>83</v>
      </c>
      <c r="H1911" s="11" t="s">
        <v>6940</v>
      </c>
      <c r="I1911" s="11" t="s">
        <v>6941</v>
      </c>
      <c r="J1911" s="12">
        <v>1</v>
      </c>
      <c r="K1911" s="13">
        <v>2</v>
      </c>
      <c r="L1911" s="14">
        <v>6</v>
      </c>
      <c r="M1911" s="10">
        <v>6</v>
      </c>
      <c r="N1911" s="10">
        <v>664</v>
      </c>
      <c r="O1911" s="10">
        <v>470</v>
      </c>
      <c r="P1911" s="10">
        <v>1134</v>
      </c>
    </row>
    <row r="1912" spans="1:16" ht="27" customHeight="1" x14ac:dyDescent="0.2">
      <c r="A1912" s="9" t="s">
        <v>6937</v>
      </c>
      <c r="B1912" s="10" t="s">
        <v>6986</v>
      </c>
      <c r="C1912" s="11" t="s">
        <v>18</v>
      </c>
      <c r="D1912" s="11" t="s">
        <v>19</v>
      </c>
      <c r="E1912" s="11" t="s">
        <v>19</v>
      </c>
      <c r="F1912" s="11" t="s">
        <v>6987</v>
      </c>
      <c r="G1912" s="11" t="s">
        <v>83</v>
      </c>
      <c r="H1912" s="11" t="s">
        <v>6987</v>
      </c>
      <c r="I1912" s="11" t="s">
        <v>6988</v>
      </c>
      <c r="J1912" s="12">
        <v>0.33329999999999999</v>
      </c>
      <c r="K1912" s="13">
        <v>2</v>
      </c>
      <c r="L1912" s="14">
        <v>12</v>
      </c>
      <c r="M1912" s="10">
        <v>4</v>
      </c>
      <c r="N1912" s="10">
        <v>1326</v>
      </c>
      <c r="O1912" s="10">
        <v>314</v>
      </c>
      <c r="P1912" s="10">
        <v>1640</v>
      </c>
    </row>
    <row r="1913" spans="1:16" ht="27" customHeight="1" x14ac:dyDescent="0.2">
      <c r="A1913" s="9" t="s">
        <v>6937</v>
      </c>
      <c r="B1913" s="10" t="s">
        <v>6989</v>
      </c>
      <c r="C1913" s="11" t="s">
        <v>18</v>
      </c>
      <c r="D1913" s="11" t="s">
        <v>19</v>
      </c>
      <c r="E1913" s="11" t="s">
        <v>19</v>
      </c>
      <c r="F1913" s="11" t="s">
        <v>6990</v>
      </c>
      <c r="G1913" s="11" t="s">
        <v>83</v>
      </c>
      <c r="H1913" s="11" t="s">
        <v>6991</v>
      </c>
      <c r="I1913" s="11" t="s">
        <v>6992</v>
      </c>
      <c r="J1913" s="12">
        <v>0.79169999999999996</v>
      </c>
      <c r="K1913" s="13">
        <v>2</v>
      </c>
      <c r="L1913" s="14">
        <v>48</v>
      </c>
      <c r="M1913" s="10">
        <v>38</v>
      </c>
      <c r="N1913" s="10">
        <v>5304</v>
      </c>
      <c r="O1913" s="10">
        <v>2980</v>
      </c>
      <c r="P1913" s="10">
        <v>8284</v>
      </c>
    </row>
    <row r="1914" spans="1:16" ht="27" customHeight="1" x14ac:dyDescent="0.2">
      <c r="A1914" s="9" t="s">
        <v>6937</v>
      </c>
      <c r="B1914" s="10" t="s">
        <v>6993</v>
      </c>
      <c r="C1914" s="11" t="s">
        <v>18</v>
      </c>
      <c r="D1914" s="11" t="s">
        <v>19</v>
      </c>
      <c r="E1914" s="11" t="s">
        <v>19</v>
      </c>
      <c r="F1914" s="11" t="s">
        <v>6994</v>
      </c>
      <c r="G1914" s="11" t="s">
        <v>83</v>
      </c>
      <c r="H1914" s="11" t="s">
        <v>6994</v>
      </c>
      <c r="I1914" s="11" t="s">
        <v>6995</v>
      </c>
      <c r="J1914" s="12">
        <v>0.65090000000000003</v>
      </c>
      <c r="K1914" s="13">
        <v>2</v>
      </c>
      <c r="L1914" s="14">
        <v>185</v>
      </c>
      <c r="M1914" s="10">
        <v>120</v>
      </c>
      <c r="N1914" s="10">
        <v>20443</v>
      </c>
      <c r="O1914" s="10">
        <v>9410</v>
      </c>
      <c r="P1914" s="10">
        <v>29853</v>
      </c>
    </row>
    <row r="1915" spans="1:16" ht="27" customHeight="1" x14ac:dyDescent="0.2">
      <c r="A1915" s="9" t="s">
        <v>6937</v>
      </c>
      <c r="B1915" s="10" t="s">
        <v>6996</v>
      </c>
      <c r="C1915" s="11" t="s">
        <v>18</v>
      </c>
      <c r="D1915" s="11" t="s">
        <v>19</v>
      </c>
      <c r="E1915" s="11" t="s">
        <v>19</v>
      </c>
      <c r="F1915" s="11" t="s">
        <v>6997</v>
      </c>
      <c r="G1915" s="11" t="s">
        <v>83</v>
      </c>
      <c r="H1915" s="11" t="s">
        <v>6998</v>
      </c>
      <c r="I1915" s="11" t="s">
        <v>6999</v>
      </c>
      <c r="J1915" s="12">
        <v>0.51029999999999998</v>
      </c>
      <c r="K1915" s="13">
        <v>3</v>
      </c>
      <c r="L1915" s="14">
        <v>465</v>
      </c>
      <c r="M1915" s="10">
        <v>218</v>
      </c>
      <c r="N1915" s="10">
        <v>51383</v>
      </c>
      <c r="O1915" s="10">
        <v>17095</v>
      </c>
      <c r="P1915" s="10">
        <v>68478</v>
      </c>
    </row>
    <row r="1916" spans="1:16" ht="27" customHeight="1" x14ac:dyDescent="0.2">
      <c r="A1916" s="9" t="s">
        <v>6937</v>
      </c>
      <c r="B1916" s="10" t="s">
        <v>7000</v>
      </c>
      <c r="C1916" s="11" t="s">
        <v>18</v>
      </c>
      <c r="D1916" s="11" t="s">
        <v>19</v>
      </c>
      <c r="E1916" s="11" t="s">
        <v>19</v>
      </c>
      <c r="F1916" s="11" t="s">
        <v>7001</v>
      </c>
      <c r="G1916" s="11" t="s">
        <v>83</v>
      </c>
      <c r="H1916" s="11" t="s">
        <v>7001</v>
      </c>
      <c r="I1916" s="11" t="s">
        <v>7002</v>
      </c>
      <c r="J1916" s="12">
        <v>0.52629999999999999</v>
      </c>
      <c r="K1916" s="13">
        <v>2</v>
      </c>
      <c r="L1916" s="14">
        <v>19</v>
      </c>
      <c r="M1916" s="10">
        <v>10</v>
      </c>
      <c r="N1916" s="10">
        <v>2100</v>
      </c>
      <c r="O1916" s="10">
        <v>784</v>
      </c>
      <c r="P1916" s="10">
        <v>2884</v>
      </c>
    </row>
    <row r="1917" spans="1:16" ht="27" customHeight="1" x14ac:dyDescent="0.2">
      <c r="A1917" s="9" t="s">
        <v>6937</v>
      </c>
      <c r="B1917" s="10" t="s">
        <v>7003</v>
      </c>
      <c r="C1917" s="11" t="s">
        <v>18</v>
      </c>
      <c r="D1917" s="11" t="s">
        <v>19</v>
      </c>
      <c r="E1917" s="11" t="s">
        <v>19</v>
      </c>
      <c r="F1917" s="11" t="s">
        <v>7004</v>
      </c>
      <c r="G1917" s="11" t="s">
        <v>83</v>
      </c>
      <c r="H1917" s="11" t="s">
        <v>6940</v>
      </c>
      <c r="I1917" s="11" t="s">
        <v>6941</v>
      </c>
      <c r="J1917" s="12">
        <v>1</v>
      </c>
      <c r="K1917" s="13">
        <v>5</v>
      </c>
      <c r="L1917" s="14">
        <v>531</v>
      </c>
      <c r="M1917" s="10">
        <v>221</v>
      </c>
      <c r="N1917" s="10">
        <v>58676</v>
      </c>
      <c r="O1917" s="10">
        <v>17331</v>
      </c>
      <c r="P1917" s="10">
        <v>76007</v>
      </c>
    </row>
    <row r="1918" spans="1:16" ht="27" customHeight="1" x14ac:dyDescent="0.2">
      <c r="A1918" s="9" t="s">
        <v>6937</v>
      </c>
      <c r="B1918" s="10" t="s">
        <v>7005</v>
      </c>
      <c r="C1918" s="11" t="s">
        <v>18</v>
      </c>
      <c r="D1918" s="11" t="s">
        <v>19</v>
      </c>
      <c r="E1918" s="11" t="s">
        <v>19</v>
      </c>
      <c r="F1918" s="11" t="s">
        <v>7006</v>
      </c>
      <c r="G1918" s="11" t="s">
        <v>83</v>
      </c>
      <c r="H1918" s="11" t="s">
        <v>7007</v>
      </c>
      <c r="I1918" s="11" t="s">
        <v>7008</v>
      </c>
      <c r="J1918" s="12">
        <v>0.7802</v>
      </c>
      <c r="K1918" s="13">
        <v>2</v>
      </c>
      <c r="L1918" s="14">
        <v>323</v>
      </c>
      <c r="M1918" s="10">
        <v>252</v>
      </c>
      <c r="N1918" s="10">
        <v>35692</v>
      </c>
      <c r="O1918" s="10">
        <v>19762</v>
      </c>
      <c r="P1918" s="10">
        <v>55454</v>
      </c>
    </row>
    <row r="1919" spans="1:16" ht="27" customHeight="1" x14ac:dyDescent="0.2">
      <c r="A1919" s="9" t="s">
        <v>6937</v>
      </c>
      <c r="B1919" s="10" t="s">
        <v>7009</v>
      </c>
      <c r="C1919" s="11" t="s">
        <v>18</v>
      </c>
      <c r="D1919" s="11" t="s">
        <v>19</v>
      </c>
      <c r="E1919" s="11" t="s">
        <v>19</v>
      </c>
      <c r="F1919" s="11" t="s">
        <v>7010</v>
      </c>
      <c r="G1919" s="11" t="s">
        <v>83</v>
      </c>
      <c r="H1919" s="11" t="s">
        <v>7010</v>
      </c>
      <c r="I1919" s="11" t="s">
        <v>7011</v>
      </c>
      <c r="J1919" s="12">
        <v>0.84089999999999998</v>
      </c>
      <c r="K1919" s="13">
        <v>2</v>
      </c>
      <c r="L1919" s="14">
        <v>44</v>
      </c>
      <c r="M1919" s="10">
        <v>37</v>
      </c>
      <c r="N1919" s="10">
        <v>4862</v>
      </c>
      <c r="O1919" s="10">
        <v>2902</v>
      </c>
      <c r="P1919" s="10">
        <v>7764</v>
      </c>
    </row>
    <row r="1920" spans="1:16" ht="27" customHeight="1" x14ac:dyDescent="0.2">
      <c r="A1920" s="9" t="s">
        <v>6937</v>
      </c>
      <c r="B1920" s="10" t="s">
        <v>7012</v>
      </c>
      <c r="C1920" s="11" t="s">
        <v>18</v>
      </c>
      <c r="D1920" s="11" t="s">
        <v>19</v>
      </c>
      <c r="E1920" s="11" t="s">
        <v>19</v>
      </c>
      <c r="F1920" s="11" t="s">
        <v>7013</v>
      </c>
      <c r="G1920" s="11" t="s">
        <v>83</v>
      </c>
      <c r="H1920" s="11" t="s">
        <v>1883</v>
      </c>
      <c r="I1920" s="11" t="s">
        <v>7014</v>
      </c>
      <c r="J1920" s="12">
        <v>0.70920000000000005</v>
      </c>
      <c r="K1920" s="13">
        <v>5</v>
      </c>
      <c r="L1920" s="14">
        <v>889</v>
      </c>
      <c r="M1920" s="10">
        <v>626</v>
      </c>
      <c r="N1920" s="10">
        <v>98236</v>
      </c>
      <c r="O1920" s="10">
        <v>49090</v>
      </c>
      <c r="P1920" s="10">
        <v>147326</v>
      </c>
    </row>
    <row r="1921" spans="1:16" ht="27" customHeight="1" x14ac:dyDescent="0.2">
      <c r="A1921" s="9" t="s">
        <v>6937</v>
      </c>
      <c r="B1921" s="10" t="s">
        <v>7015</v>
      </c>
      <c r="C1921" s="11" t="s">
        <v>18</v>
      </c>
      <c r="D1921" s="11" t="s">
        <v>19</v>
      </c>
      <c r="E1921" s="11" t="s">
        <v>19</v>
      </c>
      <c r="F1921" s="11" t="s">
        <v>7016</v>
      </c>
      <c r="G1921" s="11" t="s">
        <v>83</v>
      </c>
      <c r="H1921" s="11" t="s">
        <v>6940</v>
      </c>
      <c r="I1921" s="11" t="s">
        <v>6941</v>
      </c>
      <c r="J1921" s="12">
        <v>1</v>
      </c>
      <c r="K1921" s="13">
        <v>4</v>
      </c>
      <c r="L1921" s="14">
        <v>733</v>
      </c>
      <c r="M1921" s="10">
        <v>402</v>
      </c>
      <c r="N1921" s="10">
        <v>80999</v>
      </c>
      <c r="O1921" s="10">
        <v>31524</v>
      </c>
      <c r="P1921" s="10">
        <v>112523</v>
      </c>
    </row>
    <row r="1922" spans="1:16" ht="27" customHeight="1" x14ac:dyDescent="0.2">
      <c r="A1922" s="9" t="s">
        <v>6937</v>
      </c>
      <c r="B1922" s="10" t="s">
        <v>7017</v>
      </c>
      <c r="C1922" s="11" t="s">
        <v>18</v>
      </c>
      <c r="D1922" s="11" t="s">
        <v>19</v>
      </c>
      <c r="E1922" s="11" t="s">
        <v>19</v>
      </c>
      <c r="F1922" s="11" t="s">
        <v>7018</v>
      </c>
      <c r="G1922" s="11" t="s">
        <v>83</v>
      </c>
      <c r="H1922" s="11" t="s">
        <v>7019</v>
      </c>
      <c r="I1922" s="11" t="s">
        <v>7020</v>
      </c>
      <c r="J1922" s="12">
        <v>0.86070000000000002</v>
      </c>
      <c r="K1922" s="13">
        <v>5</v>
      </c>
      <c r="L1922" s="14">
        <v>309</v>
      </c>
      <c r="M1922" s="10">
        <v>253</v>
      </c>
      <c r="N1922" s="10">
        <v>34145</v>
      </c>
      <c r="O1922" s="10">
        <v>19840</v>
      </c>
      <c r="P1922" s="10">
        <v>53985</v>
      </c>
    </row>
    <row r="1923" spans="1:16" ht="27" customHeight="1" x14ac:dyDescent="0.2">
      <c r="A1923" s="9" t="s">
        <v>6937</v>
      </c>
      <c r="B1923" s="10" t="s">
        <v>7021</v>
      </c>
      <c r="C1923" s="11" t="s">
        <v>18</v>
      </c>
      <c r="D1923" s="11" t="s">
        <v>19</v>
      </c>
      <c r="E1923" s="11" t="s">
        <v>19</v>
      </c>
      <c r="F1923" s="11" t="s">
        <v>7022</v>
      </c>
      <c r="G1923" s="11" t="s">
        <v>83</v>
      </c>
      <c r="H1923" s="11" t="s">
        <v>7023</v>
      </c>
      <c r="I1923" s="11" t="s">
        <v>7024</v>
      </c>
      <c r="J1923" s="12">
        <v>0.64100000000000001</v>
      </c>
      <c r="K1923" s="13">
        <v>7</v>
      </c>
      <c r="L1923" s="14">
        <v>622</v>
      </c>
      <c r="M1923" s="10">
        <v>363</v>
      </c>
      <c r="N1923" s="10">
        <v>68732</v>
      </c>
      <c r="O1923" s="10">
        <v>28465</v>
      </c>
      <c r="P1923" s="10">
        <v>97197</v>
      </c>
    </row>
    <row r="1924" spans="1:16" ht="27" customHeight="1" x14ac:dyDescent="0.2">
      <c r="A1924" s="9" t="s">
        <v>7025</v>
      </c>
      <c r="B1924" s="10" t="s">
        <v>7026</v>
      </c>
      <c r="C1924" s="11" t="s">
        <v>18</v>
      </c>
      <c r="D1924" s="11" t="s">
        <v>19</v>
      </c>
      <c r="E1924" s="11" t="s">
        <v>19</v>
      </c>
      <c r="F1924" s="11" t="s">
        <v>7027</v>
      </c>
      <c r="G1924" s="11" t="s">
        <v>21</v>
      </c>
      <c r="H1924" s="11" t="s">
        <v>1518</v>
      </c>
      <c r="I1924" s="11" t="s">
        <v>7028</v>
      </c>
      <c r="J1924" s="12">
        <v>0.97219999999999995</v>
      </c>
      <c r="K1924" s="13">
        <v>4</v>
      </c>
      <c r="L1924" s="14">
        <v>392</v>
      </c>
      <c r="M1924" s="10">
        <v>168</v>
      </c>
      <c r="N1924" s="10">
        <v>43318</v>
      </c>
      <c r="O1924" s="10">
        <v>13174</v>
      </c>
      <c r="P1924" s="10">
        <v>56492</v>
      </c>
    </row>
    <row r="1925" spans="1:16" ht="27" customHeight="1" x14ac:dyDescent="0.2">
      <c r="A1925" s="9" t="s">
        <v>7025</v>
      </c>
      <c r="B1925" s="10" t="s">
        <v>7026</v>
      </c>
      <c r="C1925" s="11" t="s">
        <v>7029</v>
      </c>
      <c r="D1925" s="11" t="s">
        <v>7030</v>
      </c>
      <c r="E1925" s="11" t="s">
        <v>26</v>
      </c>
      <c r="F1925" s="11" t="s">
        <v>7031</v>
      </c>
      <c r="G1925" s="11" t="s">
        <v>28</v>
      </c>
      <c r="H1925" s="11" t="s">
        <v>7031</v>
      </c>
      <c r="I1925" s="11" t="s">
        <v>7032</v>
      </c>
      <c r="J1925" s="12">
        <v>0.61850000000000005</v>
      </c>
      <c r="K1925" s="13">
        <v>1</v>
      </c>
      <c r="L1925" s="14">
        <v>671</v>
      </c>
      <c r="M1925" s="10">
        <v>415</v>
      </c>
      <c r="N1925" s="10">
        <v>74147</v>
      </c>
      <c r="O1925" s="10">
        <v>32544</v>
      </c>
      <c r="P1925" s="10">
        <v>106691</v>
      </c>
    </row>
    <row r="1926" spans="1:16" ht="27" customHeight="1" x14ac:dyDescent="0.2">
      <c r="A1926" s="9" t="s">
        <v>7025</v>
      </c>
      <c r="B1926" s="10" t="s">
        <v>7033</v>
      </c>
      <c r="C1926" s="11" t="s">
        <v>18</v>
      </c>
      <c r="D1926" s="11" t="s">
        <v>19</v>
      </c>
      <c r="E1926" s="11" t="s">
        <v>19</v>
      </c>
      <c r="F1926" s="11" t="s">
        <v>7034</v>
      </c>
      <c r="G1926" s="11" t="s">
        <v>83</v>
      </c>
      <c r="H1926" s="11" t="s">
        <v>7035</v>
      </c>
      <c r="I1926" s="11" t="s">
        <v>7036</v>
      </c>
      <c r="J1926" s="12">
        <v>0.40089999999999998</v>
      </c>
      <c r="K1926" s="13">
        <v>9</v>
      </c>
      <c r="L1926" s="14">
        <v>4426</v>
      </c>
      <c r="M1926" s="10">
        <v>1101</v>
      </c>
      <c r="N1926" s="10">
        <v>489081</v>
      </c>
      <c r="O1926" s="10">
        <v>86339</v>
      </c>
      <c r="P1926" s="10">
        <v>575420</v>
      </c>
    </row>
    <row r="1927" spans="1:16" ht="27" customHeight="1" x14ac:dyDescent="0.2">
      <c r="A1927" s="9" t="s">
        <v>7025</v>
      </c>
      <c r="B1927" s="10" t="s">
        <v>7037</v>
      </c>
      <c r="C1927" s="11" t="s">
        <v>18</v>
      </c>
      <c r="D1927" s="11" t="s">
        <v>19</v>
      </c>
      <c r="E1927" s="11" t="s">
        <v>19</v>
      </c>
      <c r="F1927" s="11" t="s">
        <v>7038</v>
      </c>
      <c r="G1927" s="11" t="s">
        <v>83</v>
      </c>
      <c r="H1927" s="11" t="s">
        <v>7039</v>
      </c>
      <c r="I1927" s="11" t="s">
        <v>7040</v>
      </c>
      <c r="J1927" s="12">
        <v>0.61439999999999995</v>
      </c>
      <c r="K1927" s="13">
        <v>8</v>
      </c>
      <c r="L1927" s="14">
        <v>3031</v>
      </c>
      <c r="M1927" s="10">
        <v>1459</v>
      </c>
      <c r="N1927" s="10">
        <v>334931</v>
      </c>
      <c r="O1927" s="10">
        <v>114413</v>
      </c>
      <c r="P1927" s="10">
        <v>449344</v>
      </c>
    </row>
    <row r="1928" spans="1:16" ht="27" customHeight="1" x14ac:dyDescent="0.2">
      <c r="A1928" s="9" t="s">
        <v>7025</v>
      </c>
      <c r="B1928" s="10" t="s">
        <v>7037</v>
      </c>
      <c r="C1928" s="11" t="s">
        <v>7041</v>
      </c>
      <c r="D1928" s="11" t="s">
        <v>7042</v>
      </c>
      <c r="E1928" s="11" t="s">
        <v>26</v>
      </c>
      <c r="F1928" s="11" t="s">
        <v>7043</v>
      </c>
      <c r="G1928" s="11" t="s">
        <v>28</v>
      </c>
      <c r="H1928" s="11" t="s">
        <v>7043</v>
      </c>
      <c r="I1928" s="11" t="s">
        <v>7044</v>
      </c>
      <c r="J1928" s="12">
        <v>0.2349</v>
      </c>
      <c r="K1928" s="13">
        <v>1</v>
      </c>
      <c r="L1928" s="14">
        <v>447</v>
      </c>
      <c r="M1928" s="10">
        <v>105</v>
      </c>
      <c r="N1928" s="10">
        <v>49394</v>
      </c>
      <c r="O1928" s="10">
        <v>8234</v>
      </c>
      <c r="P1928" s="10">
        <v>57628</v>
      </c>
    </row>
    <row r="1929" spans="1:16" ht="27" customHeight="1" x14ac:dyDescent="0.2">
      <c r="A1929" s="9" t="s">
        <v>7025</v>
      </c>
      <c r="B1929" s="10" t="s">
        <v>7045</v>
      </c>
      <c r="C1929" s="11" t="s">
        <v>18</v>
      </c>
      <c r="D1929" s="11" t="s">
        <v>19</v>
      </c>
      <c r="E1929" s="11" t="s">
        <v>19</v>
      </c>
      <c r="F1929" s="11" t="s">
        <v>7046</v>
      </c>
      <c r="G1929" s="11" t="s">
        <v>83</v>
      </c>
      <c r="H1929" s="11" t="s">
        <v>7047</v>
      </c>
      <c r="I1929" s="11" t="s">
        <v>7048</v>
      </c>
      <c r="J1929" s="12">
        <v>0.8579</v>
      </c>
      <c r="K1929" s="13">
        <v>32</v>
      </c>
      <c r="L1929" s="14">
        <v>21006</v>
      </c>
      <c r="M1929" s="10">
        <v>10412</v>
      </c>
      <c r="N1929" s="10">
        <v>2321198</v>
      </c>
      <c r="O1929" s="10">
        <v>816498</v>
      </c>
      <c r="P1929" s="10">
        <v>3137696</v>
      </c>
    </row>
    <row r="1930" spans="1:16" ht="27" customHeight="1" x14ac:dyDescent="0.2">
      <c r="A1930" s="9" t="s">
        <v>7025</v>
      </c>
      <c r="B1930" s="10" t="s">
        <v>7049</v>
      </c>
      <c r="C1930" s="11" t="s">
        <v>18</v>
      </c>
      <c r="D1930" s="11" t="s">
        <v>19</v>
      </c>
      <c r="E1930" s="11" t="s">
        <v>19</v>
      </c>
      <c r="F1930" s="11" t="s">
        <v>7050</v>
      </c>
      <c r="G1930" s="11" t="s">
        <v>83</v>
      </c>
      <c r="H1930" s="11" t="s">
        <v>7051</v>
      </c>
      <c r="I1930" s="11" t="s">
        <v>7052</v>
      </c>
      <c r="J1930" s="12">
        <v>0.55210000000000004</v>
      </c>
      <c r="K1930" s="13">
        <v>11</v>
      </c>
      <c r="L1930" s="14">
        <v>5368</v>
      </c>
      <c r="M1930" s="10">
        <v>2294</v>
      </c>
      <c r="N1930" s="10">
        <v>593173</v>
      </c>
      <c r="O1930" s="10">
        <v>179892</v>
      </c>
      <c r="P1930" s="10">
        <v>773065</v>
      </c>
    </row>
    <row r="1931" spans="1:16" ht="27" customHeight="1" x14ac:dyDescent="0.2">
      <c r="A1931" s="9" t="s">
        <v>7025</v>
      </c>
      <c r="B1931" s="10" t="s">
        <v>7053</v>
      </c>
      <c r="C1931" s="11" t="s">
        <v>18</v>
      </c>
      <c r="D1931" s="11" t="s">
        <v>19</v>
      </c>
      <c r="E1931" s="11" t="s">
        <v>19</v>
      </c>
      <c r="F1931" s="11" t="s">
        <v>7054</v>
      </c>
      <c r="G1931" s="11" t="s">
        <v>83</v>
      </c>
      <c r="H1931" s="11" t="s">
        <v>7055</v>
      </c>
      <c r="I1931" s="11" t="s">
        <v>7056</v>
      </c>
      <c r="J1931" s="12">
        <v>0.5998</v>
      </c>
      <c r="K1931" s="13">
        <v>16</v>
      </c>
      <c r="L1931" s="14">
        <v>11374</v>
      </c>
      <c r="M1931" s="10">
        <v>4933</v>
      </c>
      <c r="N1931" s="10">
        <v>1256847</v>
      </c>
      <c r="O1931" s="10">
        <v>386843</v>
      </c>
      <c r="P1931" s="10">
        <v>1643690</v>
      </c>
    </row>
    <row r="1932" spans="1:16" ht="27" customHeight="1" x14ac:dyDescent="0.2">
      <c r="A1932" s="9" t="s">
        <v>7025</v>
      </c>
      <c r="B1932" s="10" t="s">
        <v>7053</v>
      </c>
      <c r="C1932" s="11" t="s">
        <v>7057</v>
      </c>
      <c r="D1932" s="11" t="s">
        <v>7058</v>
      </c>
      <c r="E1932" s="11" t="s">
        <v>26</v>
      </c>
      <c r="F1932" s="11" t="s">
        <v>7059</v>
      </c>
      <c r="G1932" s="11" t="s">
        <v>28</v>
      </c>
      <c r="H1932" s="11" t="s">
        <v>7059</v>
      </c>
      <c r="I1932" s="11" t="s">
        <v>7060</v>
      </c>
      <c r="J1932" s="12">
        <v>0.12559999999999999</v>
      </c>
      <c r="K1932" s="13">
        <v>1</v>
      </c>
      <c r="L1932" s="14">
        <v>645</v>
      </c>
      <c r="M1932" s="10">
        <v>81</v>
      </c>
      <c r="N1932" s="10">
        <v>71274</v>
      </c>
      <c r="O1932" s="10">
        <v>6352</v>
      </c>
      <c r="P1932" s="10">
        <v>77626</v>
      </c>
    </row>
    <row r="1933" spans="1:16" ht="27" customHeight="1" x14ac:dyDescent="0.2">
      <c r="A1933" s="9" t="s">
        <v>7025</v>
      </c>
      <c r="B1933" s="10" t="s">
        <v>7053</v>
      </c>
      <c r="C1933" s="11" t="s">
        <v>7061</v>
      </c>
      <c r="D1933" s="11" t="s">
        <v>7062</v>
      </c>
      <c r="E1933" s="11" t="s">
        <v>57</v>
      </c>
      <c r="F1933" s="11" t="s">
        <v>7063</v>
      </c>
      <c r="G1933" s="11" t="s">
        <v>28</v>
      </c>
      <c r="H1933" s="11" t="s">
        <v>1518</v>
      </c>
      <c r="I1933" s="11" t="s">
        <v>7028</v>
      </c>
      <c r="J1933" s="12">
        <v>0.97219999999999995</v>
      </c>
      <c r="K1933" s="13">
        <v>1</v>
      </c>
      <c r="L1933" s="14">
        <v>358</v>
      </c>
      <c r="M1933" s="10">
        <v>205</v>
      </c>
      <c r="N1933" s="10">
        <v>39560</v>
      </c>
      <c r="O1933" s="10">
        <v>16076</v>
      </c>
      <c r="P1933" s="10">
        <v>55636</v>
      </c>
    </row>
    <row r="1934" spans="1:16" ht="27" customHeight="1" x14ac:dyDescent="0.2">
      <c r="A1934" s="9" t="s">
        <v>7025</v>
      </c>
      <c r="B1934" s="10" t="s">
        <v>7053</v>
      </c>
      <c r="C1934" s="11" t="s">
        <v>7064</v>
      </c>
      <c r="D1934" s="11" t="s">
        <v>7065</v>
      </c>
      <c r="E1934" s="11" t="s">
        <v>57</v>
      </c>
      <c r="F1934" s="11" t="s">
        <v>7066</v>
      </c>
      <c r="G1934" s="11" t="s">
        <v>28</v>
      </c>
      <c r="H1934" s="11" t="s">
        <v>1518</v>
      </c>
      <c r="I1934" s="11" t="s">
        <v>7028</v>
      </c>
      <c r="J1934" s="12">
        <v>0.97219999999999995</v>
      </c>
      <c r="K1934" s="13">
        <v>1</v>
      </c>
      <c r="L1934" s="14">
        <v>455</v>
      </c>
      <c r="M1934" s="10">
        <v>134</v>
      </c>
      <c r="N1934" s="10">
        <v>50278</v>
      </c>
      <c r="O1934" s="10">
        <v>10508</v>
      </c>
      <c r="P1934" s="10">
        <v>60786</v>
      </c>
    </row>
    <row r="1935" spans="1:16" ht="27" customHeight="1" x14ac:dyDescent="0.2">
      <c r="A1935" s="9" t="s">
        <v>7025</v>
      </c>
      <c r="B1935" s="10" t="s">
        <v>7053</v>
      </c>
      <c r="C1935" s="11" t="s">
        <v>7067</v>
      </c>
      <c r="D1935" s="11" t="s">
        <v>7068</v>
      </c>
      <c r="E1935" s="11" t="s">
        <v>57</v>
      </c>
      <c r="F1935" s="11" t="s">
        <v>7069</v>
      </c>
      <c r="G1935" s="11" t="s">
        <v>28</v>
      </c>
      <c r="H1935" s="11" t="s">
        <v>7069</v>
      </c>
      <c r="I1935" s="11" t="s">
        <v>7070</v>
      </c>
      <c r="J1935" s="12">
        <v>0.51910000000000001</v>
      </c>
      <c r="K1935" s="13">
        <v>1</v>
      </c>
      <c r="L1935" s="14">
        <v>614</v>
      </c>
      <c r="M1935" s="10">
        <v>319</v>
      </c>
      <c r="N1935" s="10">
        <v>67848</v>
      </c>
      <c r="O1935" s="10">
        <v>25016</v>
      </c>
      <c r="P1935" s="10">
        <v>92864</v>
      </c>
    </row>
    <row r="1936" spans="1:16" ht="27" customHeight="1" x14ac:dyDescent="0.2">
      <c r="A1936" s="9" t="s">
        <v>7025</v>
      </c>
      <c r="B1936" s="10" t="s">
        <v>7071</v>
      </c>
      <c r="C1936" s="11" t="s">
        <v>18</v>
      </c>
      <c r="D1936" s="11" t="s">
        <v>19</v>
      </c>
      <c r="E1936" s="11" t="s">
        <v>19</v>
      </c>
      <c r="F1936" s="11" t="s">
        <v>7072</v>
      </c>
      <c r="G1936" s="11" t="s">
        <v>83</v>
      </c>
      <c r="H1936" s="11" t="s">
        <v>1518</v>
      </c>
      <c r="I1936" s="11" t="s">
        <v>7028</v>
      </c>
      <c r="J1936" s="12">
        <v>0.97219999999999995</v>
      </c>
      <c r="K1936" s="13">
        <v>20</v>
      </c>
      <c r="L1936" s="14">
        <v>9962</v>
      </c>
      <c r="M1936" s="10">
        <v>7767</v>
      </c>
      <c r="N1936" s="10">
        <v>1100818</v>
      </c>
      <c r="O1936" s="10">
        <v>609082</v>
      </c>
      <c r="P1936" s="10">
        <v>1709900</v>
      </c>
    </row>
    <row r="1937" spans="1:16" ht="27" customHeight="1" x14ac:dyDescent="0.2">
      <c r="A1937" s="9" t="s">
        <v>7025</v>
      </c>
      <c r="B1937" s="10" t="s">
        <v>7071</v>
      </c>
      <c r="C1937" s="11" t="s">
        <v>7073</v>
      </c>
      <c r="D1937" s="11" t="s">
        <v>7074</v>
      </c>
      <c r="E1937" s="11" t="s">
        <v>57</v>
      </c>
      <c r="F1937" s="11" t="s">
        <v>7075</v>
      </c>
      <c r="G1937" s="11" t="s">
        <v>28</v>
      </c>
      <c r="H1937" s="11" t="s">
        <v>7075</v>
      </c>
      <c r="I1937" s="11" t="s">
        <v>7076</v>
      </c>
      <c r="J1937" s="12">
        <v>0.72950000000000004</v>
      </c>
      <c r="K1937" s="13">
        <v>1</v>
      </c>
      <c r="L1937" s="14">
        <v>414</v>
      </c>
      <c r="M1937" s="10">
        <v>302</v>
      </c>
      <c r="N1937" s="10">
        <v>45748</v>
      </c>
      <c r="O1937" s="10">
        <v>23683</v>
      </c>
      <c r="P1937" s="10">
        <v>69431</v>
      </c>
    </row>
    <row r="1938" spans="1:16" ht="27" customHeight="1" x14ac:dyDescent="0.2">
      <c r="A1938" s="9" t="s">
        <v>7025</v>
      </c>
      <c r="B1938" s="10" t="s">
        <v>7071</v>
      </c>
      <c r="C1938" s="11" t="s">
        <v>7077</v>
      </c>
      <c r="D1938" s="11" t="s">
        <v>7078</v>
      </c>
      <c r="E1938" s="11" t="s">
        <v>26</v>
      </c>
      <c r="F1938" s="11" t="s">
        <v>7079</v>
      </c>
      <c r="G1938" s="11" t="s">
        <v>28</v>
      </c>
      <c r="H1938" s="11" t="s">
        <v>7079</v>
      </c>
      <c r="I1938" s="11" t="s">
        <v>7080</v>
      </c>
      <c r="J1938" s="12">
        <v>0.69210000000000005</v>
      </c>
      <c r="K1938" s="13">
        <v>1</v>
      </c>
      <c r="L1938" s="14">
        <v>919</v>
      </c>
      <c r="M1938" s="10">
        <v>636</v>
      </c>
      <c r="N1938" s="10">
        <v>101551</v>
      </c>
      <c r="O1938" s="10">
        <v>49874</v>
      </c>
      <c r="P1938" s="10">
        <v>151425</v>
      </c>
    </row>
    <row r="1939" spans="1:16" ht="27" customHeight="1" x14ac:dyDescent="0.2">
      <c r="A1939" s="9" t="s">
        <v>7025</v>
      </c>
      <c r="B1939" s="10" t="s">
        <v>7071</v>
      </c>
      <c r="C1939" s="11" t="s">
        <v>7081</v>
      </c>
      <c r="D1939" s="11" t="s">
        <v>7082</v>
      </c>
      <c r="E1939" s="11" t="s">
        <v>26</v>
      </c>
      <c r="F1939" s="11" t="s">
        <v>7083</v>
      </c>
      <c r="G1939" s="11" t="s">
        <v>28</v>
      </c>
      <c r="H1939" s="11" t="s">
        <v>1518</v>
      </c>
      <c r="I1939" s="11" t="s">
        <v>7028</v>
      </c>
      <c r="J1939" s="12">
        <v>0.97219999999999995</v>
      </c>
      <c r="K1939" s="13">
        <v>1</v>
      </c>
      <c r="L1939" s="14">
        <v>102</v>
      </c>
      <c r="M1939" s="10">
        <v>58</v>
      </c>
      <c r="N1939" s="10">
        <v>11271</v>
      </c>
      <c r="O1939" s="10">
        <v>4548</v>
      </c>
      <c r="P1939" s="10">
        <v>15819</v>
      </c>
    </row>
    <row r="1940" spans="1:16" ht="27" customHeight="1" x14ac:dyDescent="0.2">
      <c r="A1940" s="9" t="s">
        <v>7025</v>
      </c>
      <c r="B1940" s="10" t="s">
        <v>7071</v>
      </c>
      <c r="C1940" s="11" t="s">
        <v>7084</v>
      </c>
      <c r="D1940" s="11" t="s">
        <v>7085</v>
      </c>
      <c r="E1940" s="11" t="s">
        <v>26</v>
      </c>
      <c r="F1940" s="11" t="s">
        <v>7086</v>
      </c>
      <c r="G1940" s="11" t="s">
        <v>28</v>
      </c>
      <c r="H1940" s="11" t="s">
        <v>1518</v>
      </c>
      <c r="I1940" s="11" t="s">
        <v>7028</v>
      </c>
      <c r="J1940" s="12">
        <v>0.97219999999999995</v>
      </c>
      <c r="K1940" s="13">
        <v>1</v>
      </c>
      <c r="L1940" s="14">
        <v>153</v>
      </c>
      <c r="M1940" s="10">
        <v>91</v>
      </c>
      <c r="N1940" s="10">
        <v>16907</v>
      </c>
      <c r="O1940" s="10">
        <v>7136</v>
      </c>
      <c r="P1940" s="10">
        <v>24043</v>
      </c>
    </row>
    <row r="1941" spans="1:16" ht="27" customHeight="1" x14ac:dyDescent="0.2">
      <c r="A1941" s="9" t="s">
        <v>7025</v>
      </c>
      <c r="B1941" s="10" t="s">
        <v>7071</v>
      </c>
      <c r="C1941" s="11" t="s">
        <v>7087</v>
      </c>
      <c r="D1941" s="11" t="s">
        <v>7088</v>
      </c>
      <c r="E1941" s="11" t="s">
        <v>26</v>
      </c>
      <c r="F1941" s="11" t="s">
        <v>7089</v>
      </c>
      <c r="G1941" s="11" t="s">
        <v>28</v>
      </c>
      <c r="H1941" s="11" t="s">
        <v>1518</v>
      </c>
      <c r="I1941" s="11" t="s">
        <v>7028</v>
      </c>
      <c r="J1941" s="12">
        <v>0.97219999999999995</v>
      </c>
      <c r="K1941" s="13">
        <v>1</v>
      </c>
      <c r="L1941" s="14">
        <v>433</v>
      </c>
      <c r="M1941" s="10">
        <v>216</v>
      </c>
      <c r="N1941" s="10">
        <v>47847</v>
      </c>
      <c r="O1941" s="10">
        <v>16938</v>
      </c>
      <c r="P1941" s="10">
        <v>64785</v>
      </c>
    </row>
    <row r="1942" spans="1:16" ht="27" customHeight="1" x14ac:dyDescent="0.2">
      <c r="A1942" s="9" t="s">
        <v>7025</v>
      </c>
      <c r="B1942" s="10" t="s">
        <v>7071</v>
      </c>
      <c r="C1942" s="11" t="s">
        <v>7090</v>
      </c>
      <c r="D1942" s="11" t="s">
        <v>7091</v>
      </c>
      <c r="E1942" s="11" t="s">
        <v>26</v>
      </c>
      <c r="F1942" s="11" t="s">
        <v>7092</v>
      </c>
      <c r="G1942" s="11" t="s">
        <v>28</v>
      </c>
      <c r="H1942" s="11" t="s">
        <v>1518</v>
      </c>
      <c r="I1942" s="11" t="s">
        <v>7028</v>
      </c>
      <c r="J1942" s="12">
        <v>0.97219999999999995</v>
      </c>
      <c r="K1942" s="13">
        <v>1</v>
      </c>
      <c r="L1942" s="14">
        <v>278</v>
      </c>
      <c r="M1942" s="10">
        <v>147</v>
      </c>
      <c r="N1942" s="10">
        <v>30719</v>
      </c>
      <c r="O1942" s="10">
        <v>11528</v>
      </c>
      <c r="P1942" s="10">
        <v>42247</v>
      </c>
    </row>
    <row r="1943" spans="1:16" ht="27" customHeight="1" x14ac:dyDescent="0.2">
      <c r="A1943" s="9" t="s">
        <v>7093</v>
      </c>
      <c r="B1943" s="10" t="s">
        <v>7094</v>
      </c>
      <c r="C1943" s="11" t="s">
        <v>18</v>
      </c>
      <c r="D1943" s="11" t="s">
        <v>19</v>
      </c>
      <c r="E1943" s="11" t="s">
        <v>19</v>
      </c>
      <c r="F1943" s="11" t="s">
        <v>7095</v>
      </c>
      <c r="G1943" s="11" t="s">
        <v>21</v>
      </c>
      <c r="H1943" s="11" t="s">
        <v>7096</v>
      </c>
      <c r="I1943" s="11" t="s">
        <v>7097</v>
      </c>
      <c r="J1943" s="12">
        <v>1</v>
      </c>
      <c r="K1943" s="13">
        <v>4</v>
      </c>
      <c r="L1943" s="14">
        <v>312</v>
      </c>
      <c r="M1943" s="10">
        <v>159</v>
      </c>
      <c r="N1943" s="10">
        <v>34476</v>
      </c>
      <c r="O1943" s="10">
        <v>12469</v>
      </c>
      <c r="P1943" s="10">
        <v>46945</v>
      </c>
    </row>
    <row r="1944" spans="1:16" ht="27" customHeight="1" x14ac:dyDescent="0.2">
      <c r="A1944" s="9" t="s">
        <v>7093</v>
      </c>
      <c r="B1944" s="10" t="s">
        <v>7098</v>
      </c>
      <c r="C1944" s="11" t="s">
        <v>18</v>
      </c>
      <c r="D1944" s="11" t="s">
        <v>19</v>
      </c>
      <c r="E1944" s="11" t="s">
        <v>19</v>
      </c>
      <c r="F1944" s="11" t="s">
        <v>7099</v>
      </c>
      <c r="G1944" s="11" t="s">
        <v>83</v>
      </c>
      <c r="H1944" s="11" t="s">
        <v>7100</v>
      </c>
      <c r="I1944" s="11" t="s">
        <v>7101</v>
      </c>
      <c r="J1944" s="12">
        <v>0.22320000000000001</v>
      </c>
      <c r="K1944" s="13">
        <v>2</v>
      </c>
      <c r="L1944" s="14">
        <v>112</v>
      </c>
      <c r="M1944" s="10">
        <v>25</v>
      </c>
      <c r="N1944" s="10">
        <v>12376</v>
      </c>
      <c r="O1944" s="10">
        <v>1960</v>
      </c>
      <c r="P1944" s="10">
        <v>14336</v>
      </c>
    </row>
    <row r="1945" spans="1:16" ht="27" customHeight="1" x14ac:dyDescent="0.2">
      <c r="A1945" s="9" t="s">
        <v>7093</v>
      </c>
      <c r="B1945" s="10" t="s">
        <v>7102</v>
      </c>
      <c r="C1945" s="11" t="s">
        <v>18</v>
      </c>
      <c r="D1945" s="11" t="s">
        <v>19</v>
      </c>
      <c r="E1945" s="11" t="s">
        <v>19</v>
      </c>
      <c r="F1945" s="11" t="s">
        <v>7103</v>
      </c>
      <c r="G1945" s="11" t="s">
        <v>83</v>
      </c>
      <c r="H1945" s="11" t="s">
        <v>7096</v>
      </c>
      <c r="I1945" s="11" t="s">
        <v>7097</v>
      </c>
      <c r="J1945" s="12">
        <v>1</v>
      </c>
      <c r="K1945" s="13">
        <v>4</v>
      </c>
      <c r="L1945" s="14">
        <v>1604</v>
      </c>
      <c r="M1945" s="10">
        <v>694</v>
      </c>
      <c r="N1945" s="10">
        <v>177245</v>
      </c>
      <c r="O1945" s="10">
        <v>54423</v>
      </c>
      <c r="P1945" s="10">
        <v>231668</v>
      </c>
    </row>
    <row r="1946" spans="1:16" ht="27" customHeight="1" x14ac:dyDescent="0.2">
      <c r="A1946" s="9" t="s">
        <v>7093</v>
      </c>
      <c r="B1946" s="10" t="s">
        <v>7104</v>
      </c>
      <c r="C1946" s="11" t="s">
        <v>18</v>
      </c>
      <c r="D1946" s="11" t="s">
        <v>19</v>
      </c>
      <c r="E1946" s="11" t="s">
        <v>19</v>
      </c>
      <c r="F1946" s="11" t="s">
        <v>7105</v>
      </c>
      <c r="G1946" s="11" t="s">
        <v>83</v>
      </c>
      <c r="H1946" s="11" t="s">
        <v>7106</v>
      </c>
      <c r="I1946" s="11" t="s">
        <v>7107</v>
      </c>
      <c r="J1946" s="12">
        <v>0.83930000000000005</v>
      </c>
      <c r="K1946" s="13">
        <v>5</v>
      </c>
      <c r="L1946" s="14">
        <v>1677</v>
      </c>
      <c r="M1946" s="10">
        <v>1335</v>
      </c>
      <c r="N1946" s="10">
        <v>185312</v>
      </c>
      <c r="O1946" s="10">
        <v>104689</v>
      </c>
      <c r="P1946" s="10">
        <v>290001</v>
      </c>
    </row>
    <row r="1947" spans="1:16" ht="27" customHeight="1" x14ac:dyDescent="0.2">
      <c r="A1947" s="9" t="s">
        <v>7093</v>
      </c>
      <c r="B1947" s="10" t="s">
        <v>7108</v>
      </c>
      <c r="C1947" s="11" t="s">
        <v>18</v>
      </c>
      <c r="D1947" s="11" t="s">
        <v>19</v>
      </c>
      <c r="E1947" s="11" t="s">
        <v>19</v>
      </c>
      <c r="F1947" s="11" t="s">
        <v>7109</v>
      </c>
      <c r="G1947" s="11" t="s">
        <v>83</v>
      </c>
      <c r="H1947" s="11" t="s">
        <v>7110</v>
      </c>
      <c r="I1947" s="11" t="s">
        <v>7111</v>
      </c>
      <c r="J1947" s="12">
        <v>0.22309999999999999</v>
      </c>
      <c r="K1947" s="13">
        <v>3</v>
      </c>
      <c r="L1947" s="14">
        <v>951</v>
      </c>
      <c r="M1947" s="10">
        <v>206</v>
      </c>
      <c r="N1947" s="10">
        <v>105087</v>
      </c>
      <c r="O1947" s="10">
        <v>16155</v>
      </c>
      <c r="P1947" s="10">
        <v>121242</v>
      </c>
    </row>
    <row r="1948" spans="1:16" ht="27" customHeight="1" x14ac:dyDescent="0.2">
      <c r="A1948" s="9" t="s">
        <v>7093</v>
      </c>
      <c r="B1948" s="10" t="s">
        <v>7112</v>
      </c>
      <c r="C1948" s="11" t="s">
        <v>18</v>
      </c>
      <c r="D1948" s="11" t="s">
        <v>19</v>
      </c>
      <c r="E1948" s="11" t="s">
        <v>19</v>
      </c>
      <c r="F1948" s="11" t="s">
        <v>7113</v>
      </c>
      <c r="G1948" s="11" t="s">
        <v>83</v>
      </c>
      <c r="H1948" s="11" t="s">
        <v>7113</v>
      </c>
      <c r="I1948" s="11" t="s">
        <v>7114</v>
      </c>
      <c r="J1948" s="12">
        <v>0.90480000000000005</v>
      </c>
      <c r="K1948" s="13">
        <v>2</v>
      </c>
      <c r="L1948" s="14">
        <v>21</v>
      </c>
      <c r="M1948" s="10">
        <v>19</v>
      </c>
      <c r="N1948" s="10">
        <v>2321</v>
      </c>
      <c r="O1948" s="10">
        <v>1490</v>
      </c>
      <c r="P1948" s="10">
        <v>3811</v>
      </c>
    </row>
    <row r="1949" spans="1:16" ht="27" customHeight="1" x14ac:dyDescent="0.2">
      <c r="A1949" s="9" t="s">
        <v>7093</v>
      </c>
      <c r="B1949" s="10" t="s">
        <v>7112</v>
      </c>
      <c r="C1949" s="11" t="s">
        <v>7115</v>
      </c>
      <c r="D1949" s="11" t="s">
        <v>7116</v>
      </c>
      <c r="E1949" s="11" t="s">
        <v>57</v>
      </c>
      <c r="F1949" s="11" t="s">
        <v>7117</v>
      </c>
      <c r="G1949" s="11" t="s">
        <v>28</v>
      </c>
      <c r="H1949" s="11" t="s">
        <v>7117</v>
      </c>
      <c r="I1949" s="11" t="s">
        <v>7118</v>
      </c>
      <c r="J1949" s="12">
        <v>0.66669999999999996</v>
      </c>
      <c r="K1949" s="13">
        <v>1</v>
      </c>
      <c r="L1949" s="14">
        <v>186</v>
      </c>
      <c r="M1949" s="10">
        <v>124</v>
      </c>
      <c r="N1949" s="10">
        <v>20553</v>
      </c>
      <c r="O1949" s="10">
        <v>9724</v>
      </c>
      <c r="P1949" s="10">
        <v>30277</v>
      </c>
    </row>
    <row r="1950" spans="1:16" ht="27" customHeight="1" x14ac:dyDescent="0.2">
      <c r="A1950" s="9" t="s">
        <v>7093</v>
      </c>
      <c r="B1950" s="10" t="s">
        <v>7119</v>
      </c>
      <c r="C1950" s="11" t="s">
        <v>18</v>
      </c>
      <c r="D1950" s="11" t="s">
        <v>19</v>
      </c>
      <c r="E1950" s="11" t="s">
        <v>19</v>
      </c>
      <c r="F1950" s="11" t="s">
        <v>7120</v>
      </c>
      <c r="G1950" s="11" t="s">
        <v>83</v>
      </c>
      <c r="H1950" s="11" t="s">
        <v>1482</v>
      </c>
      <c r="I1950" s="11" t="s">
        <v>7121</v>
      </c>
      <c r="J1950" s="12">
        <v>0.622</v>
      </c>
      <c r="K1950" s="13">
        <v>7</v>
      </c>
      <c r="L1950" s="14">
        <v>1323</v>
      </c>
      <c r="M1950" s="10">
        <v>714</v>
      </c>
      <c r="N1950" s="10">
        <v>146194</v>
      </c>
      <c r="O1950" s="10">
        <v>55991</v>
      </c>
      <c r="P1950" s="10">
        <v>202185</v>
      </c>
    </row>
    <row r="1951" spans="1:16" ht="27" customHeight="1" x14ac:dyDescent="0.2">
      <c r="A1951" s="9" t="s">
        <v>7093</v>
      </c>
      <c r="B1951" s="10" t="s">
        <v>7122</v>
      </c>
      <c r="C1951" s="11" t="s">
        <v>18</v>
      </c>
      <c r="D1951" s="11" t="s">
        <v>19</v>
      </c>
      <c r="E1951" s="11" t="s">
        <v>19</v>
      </c>
      <c r="F1951" s="11" t="s">
        <v>7123</v>
      </c>
      <c r="G1951" s="11" t="s">
        <v>83</v>
      </c>
      <c r="H1951" s="11" t="s">
        <v>7123</v>
      </c>
      <c r="I1951" s="11" t="s">
        <v>7124</v>
      </c>
      <c r="J1951" s="12">
        <v>0.1111</v>
      </c>
      <c r="K1951" s="13">
        <v>2</v>
      </c>
      <c r="L1951" s="14">
        <v>9</v>
      </c>
      <c r="M1951" s="10">
        <v>1</v>
      </c>
      <c r="N1951" s="10">
        <v>995</v>
      </c>
      <c r="O1951" s="10">
        <v>78</v>
      </c>
      <c r="P1951" s="10">
        <v>1073</v>
      </c>
    </row>
    <row r="1952" spans="1:16" ht="27" customHeight="1" x14ac:dyDescent="0.2">
      <c r="A1952" s="9" t="s">
        <v>7093</v>
      </c>
      <c r="B1952" s="10" t="s">
        <v>7122</v>
      </c>
      <c r="C1952" s="11" t="s">
        <v>7125</v>
      </c>
      <c r="D1952" s="11" t="s">
        <v>7126</v>
      </c>
      <c r="E1952" s="11" t="s">
        <v>57</v>
      </c>
      <c r="F1952" s="11" t="s">
        <v>7127</v>
      </c>
      <c r="G1952" s="11" t="s">
        <v>28</v>
      </c>
      <c r="H1952" s="11" t="s">
        <v>7127</v>
      </c>
      <c r="I1952" s="11" t="s">
        <v>7128</v>
      </c>
      <c r="J1952" s="12">
        <v>0.19570000000000001</v>
      </c>
      <c r="K1952" s="13">
        <v>1</v>
      </c>
      <c r="L1952" s="14">
        <v>138</v>
      </c>
      <c r="M1952" s="10">
        <v>27</v>
      </c>
      <c r="N1952" s="10">
        <v>15249</v>
      </c>
      <c r="O1952" s="10">
        <v>2117</v>
      </c>
      <c r="P1952" s="10">
        <v>17366</v>
      </c>
    </row>
    <row r="1953" spans="1:16" ht="27" customHeight="1" x14ac:dyDescent="0.2">
      <c r="A1953" s="9" t="s">
        <v>7093</v>
      </c>
      <c r="B1953" s="10" t="s">
        <v>7129</v>
      </c>
      <c r="C1953" s="11" t="s">
        <v>18</v>
      </c>
      <c r="D1953" s="11" t="s">
        <v>19</v>
      </c>
      <c r="E1953" s="11" t="s">
        <v>19</v>
      </c>
      <c r="F1953" s="11" t="s">
        <v>7130</v>
      </c>
      <c r="G1953" s="11" t="s">
        <v>83</v>
      </c>
      <c r="H1953" s="11" t="s">
        <v>7131</v>
      </c>
      <c r="I1953" s="11" t="s">
        <v>7132</v>
      </c>
      <c r="J1953" s="12">
        <v>0.29630000000000001</v>
      </c>
      <c r="K1953" s="13">
        <v>2</v>
      </c>
      <c r="L1953" s="14">
        <v>54</v>
      </c>
      <c r="M1953" s="10">
        <v>16</v>
      </c>
      <c r="N1953" s="10">
        <v>5967</v>
      </c>
      <c r="O1953" s="10">
        <v>1255</v>
      </c>
      <c r="P1953" s="10">
        <v>7222</v>
      </c>
    </row>
    <row r="1954" spans="1:16" ht="27" customHeight="1" x14ac:dyDescent="0.2">
      <c r="A1954" s="9" t="s">
        <v>7093</v>
      </c>
      <c r="B1954" s="10" t="s">
        <v>7129</v>
      </c>
      <c r="C1954" s="11" t="s">
        <v>7133</v>
      </c>
      <c r="D1954" s="11" t="s">
        <v>7134</v>
      </c>
      <c r="E1954" s="11" t="s">
        <v>57</v>
      </c>
      <c r="F1954" s="11" t="s">
        <v>7135</v>
      </c>
      <c r="G1954" s="11" t="s">
        <v>28</v>
      </c>
      <c r="H1954" s="11" t="s">
        <v>7135</v>
      </c>
      <c r="I1954" s="11" t="s">
        <v>7136</v>
      </c>
      <c r="J1954" s="12">
        <v>0.4</v>
      </c>
      <c r="K1954" s="13">
        <v>1</v>
      </c>
      <c r="L1954" s="14">
        <v>170</v>
      </c>
      <c r="M1954" s="10">
        <v>68</v>
      </c>
      <c r="N1954" s="10">
        <v>18785</v>
      </c>
      <c r="O1954" s="10">
        <v>5332</v>
      </c>
      <c r="P1954" s="10">
        <v>24117</v>
      </c>
    </row>
    <row r="1955" spans="1:16" ht="27" customHeight="1" x14ac:dyDescent="0.2">
      <c r="A1955" s="9" t="s">
        <v>7093</v>
      </c>
      <c r="B1955" s="10" t="s">
        <v>7137</v>
      </c>
      <c r="C1955" s="11" t="s">
        <v>18</v>
      </c>
      <c r="D1955" s="11" t="s">
        <v>19</v>
      </c>
      <c r="E1955" s="11" t="s">
        <v>19</v>
      </c>
      <c r="F1955" s="11" t="s">
        <v>7138</v>
      </c>
      <c r="G1955" s="11" t="s">
        <v>83</v>
      </c>
      <c r="H1955" s="11" t="s">
        <v>7138</v>
      </c>
      <c r="I1955" s="11" t="s">
        <v>7139</v>
      </c>
      <c r="J1955" s="12">
        <v>0.64290000000000003</v>
      </c>
      <c r="K1955" s="13">
        <v>2</v>
      </c>
      <c r="L1955" s="14">
        <v>14</v>
      </c>
      <c r="M1955" s="10">
        <v>9</v>
      </c>
      <c r="N1955" s="10">
        <v>1547</v>
      </c>
      <c r="O1955" s="10">
        <v>706</v>
      </c>
      <c r="P1955" s="10">
        <v>2253</v>
      </c>
    </row>
    <row r="1956" spans="1:16" ht="27" customHeight="1" x14ac:dyDescent="0.2">
      <c r="A1956" s="9" t="s">
        <v>7093</v>
      </c>
      <c r="B1956" s="10" t="s">
        <v>7140</v>
      </c>
      <c r="C1956" s="11" t="s">
        <v>18</v>
      </c>
      <c r="D1956" s="11" t="s">
        <v>19</v>
      </c>
      <c r="E1956" s="11" t="s">
        <v>19</v>
      </c>
      <c r="F1956" s="11" t="s">
        <v>7141</v>
      </c>
      <c r="G1956" s="11" t="s">
        <v>83</v>
      </c>
      <c r="H1956" s="11" t="s">
        <v>7142</v>
      </c>
      <c r="I1956" s="11" t="s">
        <v>7143</v>
      </c>
      <c r="J1956" s="12">
        <v>0.60419999999999996</v>
      </c>
      <c r="K1956" s="13">
        <v>4</v>
      </c>
      <c r="L1956" s="14">
        <v>211</v>
      </c>
      <c r="M1956" s="10">
        <v>119</v>
      </c>
      <c r="N1956" s="10">
        <v>23316</v>
      </c>
      <c r="O1956" s="10">
        <v>9331</v>
      </c>
      <c r="P1956" s="10">
        <v>32647</v>
      </c>
    </row>
    <row r="1957" spans="1:16" ht="27" customHeight="1" x14ac:dyDescent="0.2">
      <c r="A1957" s="9" t="s">
        <v>7093</v>
      </c>
      <c r="B1957" s="10" t="s">
        <v>7144</v>
      </c>
      <c r="C1957" s="11" t="s">
        <v>18</v>
      </c>
      <c r="D1957" s="11" t="s">
        <v>19</v>
      </c>
      <c r="E1957" s="11" t="s">
        <v>19</v>
      </c>
      <c r="F1957" s="11" t="s">
        <v>7145</v>
      </c>
      <c r="G1957" s="11" t="s">
        <v>83</v>
      </c>
      <c r="H1957" s="11" t="s">
        <v>7146</v>
      </c>
      <c r="I1957" s="11" t="s">
        <v>7147</v>
      </c>
      <c r="J1957" s="12">
        <v>0.26829999999999998</v>
      </c>
      <c r="K1957" s="13">
        <v>3</v>
      </c>
      <c r="L1957" s="14">
        <v>41</v>
      </c>
      <c r="M1957" s="10">
        <v>11</v>
      </c>
      <c r="N1957" s="10">
        <v>4531</v>
      </c>
      <c r="O1957" s="10">
        <v>863</v>
      </c>
      <c r="P1957" s="10">
        <v>5394</v>
      </c>
    </row>
    <row r="1958" spans="1:16" ht="27" customHeight="1" x14ac:dyDescent="0.2">
      <c r="A1958" s="9" t="s">
        <v>7093</v>
      </c>
      <c r="B1958" s="10" t="s">
        <v>7144</v>
      </c>
      <c r="C1958" s="11" t="s">
        <v>7148</v>
      </c>
      <c r="D1958" s="11" t="s">
        <v>7149</v>
      </c>
      <c r="E1958" s="11" t="s">
        <v>57</v>
      </c>
      <c r="F1958" s="11" t="s">
        <v>7150</v>
      </c>
      <c r="G1958" s="11" t="s">
        <v>28</v>
      </c>
      <c r="H1958" s="11" t="s">
        <v>7150</v>
      </c>
      <c r="I1958" s="11" t="s">
        <v>7151</v>
      </c>
      <c r="J1958" s="12">
        <v>0.31469999999999998</v>
      </c>
      <c r="K1958" s="13">
        <v>1</v>
      </c>
      <c r="L1958" s="14">
        <v>448</v>
      </c>
      <c r="M1958" s="10">
        <v>141</v>
      </c>
      <c r="N1958" s="10">
        <v>49505</v>
      </c>
      <c r="O1958" s="10">
        <v>11057</v>
      </c>
      <c r="P1958" s="10">
        <v>60562</v>
      </c>
    </row>
    <row r="1959" spans="1:16" ht="27" customHeight="1" x14ac:dyDescent="0.2">
      <c r="A1959" s="9" t="s">
        <v>7093</v>
      </c>
      <c r="B1959" s="10" t="s">
        <v>7144</v>
      </c>
      <c r="C1959" s="11" t="s">
        <v>7152</v>
      </c>
      <c r="D1959" s="11" t="s">
        <v>7153</v>
      </c>
      <c r="E1959" s="11" t="s">
        <v>57</v>
      </c>
      <c r="F1959" s="11" t="s">
        <v>7154</v>
      </c>
      <c r="G1959" s="11" t="s">
        <v>28</v>
      </c>
      <c r="H1959" s="11" t="s">
        <v>7096</v>
      </c>
      <c r="I1959" s="11" t="s">
        <v>7097</v>
      </c>
      <c r="J1959" s="12">
        <v>1</v>
      </c>
      <c r="K1959" s="13">
        <v>1</v>
      </c>
      <c r="L1959" s="14">
        <v>278</v>
      </c>
      <c r="M1959" s="10">
        <v>111</v>
      </c>
      <c r="N1959" s="10">
        <v>30719</v>
      </c>
      <c r="O1959" s="10">
        <v>8705</v>
      </c>
      <c r="P1959" s="10">
        <v>39424</v>
      </c>
    </row>
    <row r="1960" spans="1:16" ht="27" customHeight="1" x14ac:dyDescent="0.2">
      <c r="A1960" s="9" t="s">
        <v>7093</v>
      </c>
      <c r="B1960" s="10" t="s">
        <v>7155</v>
      </c>
      <c r="C1960" s="11" t="s">
        <v>18</v>
      </c>
      <c r="D1960" s="11" t="s">
        <v>19</v>
      </c>
      <c r="E1960" s="11" t="s">
        <v>19</v>
      </c>
      <c r="F1960" s="11" t="s">
        <v>7156</v>
      </c>
      <c r="G1960" s="11" t="s">
        <v>83</v>
      </c>
      <c r="H1960" s="11" t="s">
        <v>7157</v>
      </c>
      <c r="I1960" s="11" t="s">
        <v>7158</v>
      </c>
      <c r="J1960" s="12">
        <v>0.44440000000000002</v>
      </c>
      <c r="K1960" s="13">
        <v>2</v>
      </c>
      <c r="L1960" s="14">
        <v>18</v>
      </c>
      <c r="M1960" s="10">
        <v>8</v>
      </c>
      <c r="N1960" s="10">
        <v>1989</v>
      </c>
      <c r="O1960" s="10">
        <v>627</v>
      </c>
      <c r="P1960" s="10">
        <v>2616</v>
      </c>
    </row>
    <row r="1961" spans="1:16" ht="27" customHeight="1" x14ac:dyDescent="0.2">
      <c r="A1961" s="9" t="s">
        <v>7093</v>
      </c>
      <c r="B1961" s="10" t="s">
        <v>7155</v>
      </c>
      <c r="C1961" s="11" t="s">
        <v>7159</v>
      </c>
      <c r="D1961" s="11" t="s">
        <v>7160</v>
      </c>
      <c r="E1961" s="11" t="s">
        <v>26</v>
      </c>
      <c r="F1961" s="11" t="s">
        <v>7161</v>
      </c>
      <c r="G1961" s="11" t="s">
        <v>28</v>
      </c>
      <c r="H1961" s="11" t="s">
        <v>7161</v>
      </c>
      <c r="I1961" s="11" t="s">
        <v>7162</v>
      </c>
      <c r="J1961" s="12">
        <v>0.58589999999999998</v>
      </c>
      <c r="K1961" s="13">
        <v>1</v>
      </c>
      <c r="L1961" s="14">
        <v>128</v>
      </c>
      <c r="M1961" s="10">
        <v>75</v>
      </c>
      <c r="N1961" s="10">
        <v>14144</v>
      </c>
      <c r="O1961" s="10">
        <v>5881</v>
      </c>
      <c r="P1961" s="10">
        <v>20025</v>
      </c>
    </row>
    <row r="1962" spans="1:16" ht="27" customHeight="1" x14ac:dyDescent="0.2">
      <c r="A1962" s="9" t="s">
        <v>7093</v>
      </c>
      <c r="B1962" s="10" t="s">
        <v>7155</v>
      </c>
      <c r="C1962" s="11" t="s">
        <v>7163</v>
      </c>
      <c r="D1962" s="11" t="s">
        <v>7164</v>
      </c>
      <c r="E1962" s="11" t="s">
        <v>57</v>
      </c>
      <c r="F1962" s="11" t="s">
        <v>7165</v>
      </c>
      <c r="G1962" s="11" t="s">
        <v>28</v>
      </c>
      <c r="H1962" s="11" t="s">
        <v>7165</v>
      </c>
      <c r="I1962" s="11" t="s">
        <v>7166</v>
      </c>
      <c r="J1962" s="12">
        <v>0.62439999999999996</v>
      </c>
      <c r="K1962" s="13">
        <v>1</v>
      </c>
      <c r="L1962" s="14">
        <v>213</v>
      </c>
      <c r="M1962" s="10">
        <v>133</v>
      </c>
      <c r="N1962" s="10">
        <v>23537</v>
      </c>
      <c r="O1962" s="10">
        <v>10430</v>
      </c>
      <c r="P1962" s="10">
        <v>33967</v>
      </c>
    </row>
    <row r="1963" spans="1:16" ht="27" customHeight="1" x14ac:dyDescent="0.2">
      <c r="A1963" s="9" t="s">
        <v>7093</v>
      </c>
      <c r="B1963" s="10" t="s">
        <v>7167</v>
      </c>
      <c r="C1963" s="11" t="s">
        <v>18</v>
      </c>
      <c r="D1963" s="11" t="s">
        <v>19</v>
      </c>
      <c r="E1963" s="11" t="s">
        <v>19</v>
      </c>
      <c r="F1963" s="11" t="s">
        <v>7168</v>
      </c>
      <c r="G1963" s="11" t="s">
        <v>83</v>
      </c>
      <c r="H1963" s="11" t="s">
        <v>7169</v>
      </c>
      <c r="I1963" s="11" t="s">
        <v>7170</v>
      </c>
      <c r="J1963" s="12">
        <v>0.15690000000000001</v>
      </c>
      <c r="K1963" s="13">
        <v>2</v>
      </c>
      <c r="L1963" s="14">
        <v>51</v>
      </c>
      <c r="M1963" s="10">
        <v>8</v>
      </c>
      <c r="N1963" s="10">
        <v>5636</v>
      </c>
      <c r="O1963" s="10">
        <v>627</v>
      </c>
      <c r="P1963" s="10">
        <v>6263</v>
      </c>
    </row>
    <row r="1964" spans="1:16" ht="27" customHeight="1" x14ac:dyDescent="0.2">
      <c r="A1964" s="9" t="s">
        <v>7093</v>
      </c>
      <c r="B1964" s="10" t="s">
        <v>7167</v>
      </c>
      <c r="C1964" s="11" t="s">
        <v>7171</v>
      </c>
      <c r="D1964" s="11" t="s">
        <v>7172</v>
      </c>
      <c r="E1964" s="11" t="s">
        <v>57</v>
      </c>
      <c r="F1964" s="11" t="s">
        <v>7173</v>
      </c>
      <c r="G1964" s="11" t="s">
        <v>28</v>
      </c>
      <c r="H1964" s="11" t="s">
        <v>7173</v>
      </c>
      <c r="I1964" s="11" t="s">
        <v>7174</v>
      </c>
      <c r="J1964" s="12">
        <v>0.27079999999999999</v>
      </c>
      <c r="K1964" s="13">
        <v>1</v>
      </c>
      <c r="L1964" s="14">
        <v>144</v>
      </c>
      <c r="M1964" s="10">
        <v>39</v>
      </c>
      <c r="N1964" s="10">
        <v>15912</v>
      </c>
      <c r="O1964" s="10">
        <v>3058</v>
      </c>
      <c r="P1964" s="10">
        <v>18970</v>
      </c>
    </row>
    <row r="1965" spans="1:16" ht="27" customHeight="1" x14ac:dyDescent="0.2">
      <c r="A1965" s="9" t="s">
        <v>7093</v>
      </c>
      <c r="B1965" s="10" t="s">
        <v>7167</v>
      </c>
      <c r="C1965" s="11" t="s">
        <v>7175</v>
      </c>
      <c r="D1965" s="11" t="s">
        <v>7176</v>
      </c>
      <c r="E1965" s="11" t="s">
        <v>26</v>
      </c>
      <c r="F1965" s="11" t="s">
        <v>7177</v>
      </c>
      <c r="G1965" s="11" t="s">
        <v>28</v>
      </c>
      <c r="H1965" s="11" t="s">
        <v>7177</v>
      </c>
      <c r="I1965" s="11" t="s">
        <v>7178</v>
      </c>
      <c r="J1965" s="12">
        <v>0.46279999999999999</v>
      </c>
      <c r="K1965" s="13">
        <v>1</v>
      </c>
      <c r="L1965" s="14">
        <v>309</v>
      </c>
      <c r="M1965" s="10">
        <v>143</v>
      </c>
      <c r="N1965" s="10">
        <v>34145</v>
      </c>
      <c r="O1965" s="10">
        <v>11214</v>
      </c>
      <c r="P1965" s="10">
        <v>45359</v>
      </c>
    </row>
    <row r="1966" spans="1:16" ht="27" customHeight="1" x14ac:dyDescent="0.2">
      <c r="A1966" s="9" t="s">
        <v>7093</v>
      </c>
      <c r="B1966" s="10" t="s">
        <v>7179</v>
      </c>
      <c r="C1966" s="11" t="s">
        <v>18</v>
      </c>
      <c r="D1966" s="11" t="s">
        <v>19</v>
      </c>
      <c r="E1966" s="11" t="s">
        <v>19</v>
      </c>
      <c r="F1966" s="11" t="s">
        <v>7180</v>
      </c>
      <c r="G1966" s="11" t="s">
        <v>83</v>
      </c>
      <c r="H1966" s="11" t="s">
        <v>7180</v>
      </c>
      <c r="I1966" s="11" t="s">
        <v>7181</v>
      </c>
      <c r="J1966" s="12">
        <v>0.78569999999999995</v>
      </c>
      <c r="K1966" s="13">
        <v>2</v>
      </c>
      <c r="L1966" s="14">
        <v>57</v>
      </c>
      <c r="M1966" s="10">
        <v>45</v>
      </c>
      <c r="N1966" s="10">
        <v>6299</v>
      </c>
      <c r="O1966" s="10">
        <v>3529</v>
      </c>
      <c r="P1966" s="10">
        <v>9828</v>
      </c>
    </row>
    <row r="1967" spans="1:16" ht="27" customHeight="1" x14ac:dyDescent="0.2">
      <c r="A1967" s="9" t="s">
        <v>7093</v>
      </c>
      <c r="B1967" s="10" t="s">
        <v>7182</v>
      </c>
      <c r="C1967" s="11" t="s">
        <v>18</v>
      </c>
      <c r="D1967" s="11" t="s">
        <v>19</v>
      </c>
      <c r="E1967" s="11" t="s">
        <v>19</v>
      </c>
      <c r="F1967" s="11" t="s">
        <v>7183</v>
      </c>
      <c r="G1967" s="11" t="s">
        <v>83</v>
      </c>
      <c r="H1967" s="11" t="s">
        <v>7184</v>
      </c>
      <c r="I1967" s="11" t="s">
        <v>7185</v>
      </c>
      <c r="J1967" s="12">
        <v>0.2389</v>
      </c>
      <c r="K1967" s="13">
        <v>2</v>
      </c>
      <c r="L1967" s="14">
        <v>113</v>
      </c>
      <c r="M1967" s="10">
        <v>27</v>
      </c>
      <c r="N1967" s="10">
        <v>12487</v>
      </c>
      <c r="O1967" s="10">
        <v>2117</v>
      </c>
      <c r="P1967" s="10">
        <v>14604</v>
      </c>
    </row>
    <row r="1968" spans="1:16" ht="27" customHeight="1" x14ac:dyDescent="0.2">
      <c r="A1968" s="9" t="s">
        <v>7093</v>
      </c>
      <c r="B1968" s="10" t="s">
        <v>7186</v>
      </c>
      <c r="C1968" s="11" t="s">
        <v>18</v>
      </c>
      <c r="D1968" s="11" t="s">
        <v>19</v>
      </c>
      <c r="E1968" s="11" t="s">
        <v>19</v>
      </c>
      <c r="F1968" s="11" t="s">
        <v>7187</v>
      </c>
      <c r="G1968" s="11" t="s">
        <v>83</v>
      </c>
      <c r="H1968" s="11" t="s">
        <v>7188</v>
      </c>
      <c r="I1968" s="11" t="s">
        <v>7189</v>
      </c>
      <c r="J1968" s="12">
        <v>0.1429</v>
      </c>
      <c r="K1968" s="13">
        <v>2</v>
      </c>
      <c r="L1968" s="14">
        <v>56</v>
      </c>
      <c r="M1968" s="10">
        <v>8</v>
      </c>
      <c r="N1968" s="10">
        <v>6188</v>
      </c>
      <c r="O1968" s="10">
        <v>627</v>
      </c>
      <c r="P1968" s="10">
        <v>6815</v>
      </c>
    </row>
    <row r="1969" spans="1:16" ht="27" customHeight="1" x14ac:dyDescent="0.2">
      <c r="A1969" s="9" t="s">
        <v>7093</v>
      </c>
      <c r="B1969" s="10" t="s">
        <v>7186</v>
      </c>
      <c r="C1969" s="11" t="s">
        <v>7190</v>
      </c>
      <c r="D1969" s="11" t="s">
        <v>7191</v>
      </c>
      <c r="E1969" s="11" t="s">
        <v>26</v>
      </c>
      <c r="F1969" s="11" t="s">
        <v>7192</v>
      </c>
      <c r="G1969" s="11" t="s">
        <v>28</v>
      </c>
      <c r="H1969" s="11" t="s">
        <v>7192</v>
      </c>
      <c r="I1969" s="11" t="s">
        <v>7193</v>
      </c>
      <c r="J1969" s="12">
        <v>0.61180000000000001</v>
      </c>
      <c r="K1969" s="13">
        <v>1</v>
      </c>
      <c r="L1969" s="14">
        <v>814</v>
      </c>
      <c r="M1969" s="10">
        <v>498</v>
      </c>
      <c r="N1969" s="10">
        <v>89948</v>
      </c>
      <c r="O1969" s="10">
        <v>39053</v>
      </c>
      <c r="P1969" s="10">
        <v>129001</v>
      </c>
    </row>
    <row r="1970" spans="1:16" ht="27" customHeight="1" x14ac:dyDescent="0.2">
      <c r="A1970" s="9" t="s">
        <v>7093</v>
      </c>
      <c r="B1970" s="10" t="s">
        <v>7186</v>
      </c>
      <c r="C1970" s="11" t="s">
        <v>7194</v>
      </c>
      <c r="D1970" s="11" t="s">
        <v>7195</v>
      </c>
      <c r="E1970" s="11" t="s">
        <v>26</v>
      </c>
      <c r="F1970" s="11" t="s">
        <v>7196</v>
      </c>
      <c r="G1970" s="11" t="s">
        <v>28</v>
      </c>
      <c r="H1970" s="11" t="s">
        <v>7196</v>
      </c>
      <c r="I1970" s="11" t="s">
        <v>7197</v>
      </c>
      <c r="J1970" s="12">
        <v>0.33329999999999999</v>
      </c>
      <c r="K1970" s="13">
        <v>1</v>
      </c>
      <c r="L1970" s="14">
        <v>528</v>
      </c>
      <c r="M1970" s="10">
        <v>176</v>
      </c>
      <c r="N1970" s="10">
        <v>58345</v>
      </c>
      <c r="O1970" s="10">
        <v>13802</v>
      </c>
      <c r="P1970" s="10">
        <v>72147</v>
      </c>
    </row>
    <row r="1971" spans="1:16" ht="27" customHeight="1" x14ac:dyDescent="0.2">
      <c r="A1971" s="9" t="s">
        <v>7093</v>
      </c>
      <c r="B1971" s="10" t="s">
        <v>7186</v>
      </c>
      <c r="C1971" s="11" t="s">
        <v>7198</v>
      </c>
      <c r="D1971" s="11" t="s">
        <v>7199</v>
      </c>
      <c r="E1971" s="11" t="s">
        <v>57</v>
      </c>
      <c r="F1971" s="11" t="s">
        <v>7200</v>
      </c>
      <c r="G1971" s="11" t="s">
        <v>28</v>
      </c>
      <c r="H1971" s="11" t="s">
        <v>7200</v>
      </c>
      <c r="I1971" s="11" t="s">
        <v>7201</v>
      </c>
      <c r="J1971" s="12">
        <v>0</v>
      </c>
      <c r="K1971" s="13">
        <v>1</v>
      </c>
      <c r="L1971" s="14">
        <v>0</v>
      </c>
      <c r="M1971" s="10">
        <v>0</v>
      </c>
      <c r="N1971" s="10">
        <v>0</v>
      </c>
      <c r="O1971" s="10">
        <v>0</v>
      </c>
      <c r="P1971" s="10">
        <v>0</v>
      </c>
    </row>
    <row r="1972" spans="1:16" ht="27" customHeight="1" x14ac:dyDescent="0.2">
      <c r="A1972" s="9" t="s">
        <v>7093</v>
      </c>
      <c r="B1972" s="10" t="s">
        <v>7186</v>
      </c>
      <c r="C1972" s="11" t="s">
        <v>7202</v>
      </c>
      <c r="D1972" s="11" t="s">
        <v>7203</v>
      </c>
      <c r="E1972" s="11" t="s">
        <v>57</v>
      </c>
      <c r="F1972" s="11" t="s">
        <v>7187</v>
      </c>
      <c r="G1972" s="11" t="s">
        <v>28</v>
      </c>
      <c r="H1972" s="11" t="s">
        <v>7187</v>
      </c>
      <c r="I1972" s="11" t="s">
        <v>7204</v>
      </c>
      <c r="J1972" s="12">
        <v>0.2112</v>
      </c>
      <c r="K1972" s="13">
        <v>1</v>
      </c>
      <c r="L1972" s="14">
        <v>162</v>
      </c>
      <c r="M1972" s="10">
        <v>34</v>
      </c>
      <c r="N1972" s="10">
        <v>17901</v>
      </c>
      <c r="O1972" s="10">
        <v>2666</v>
      </c>
      <c r="P1972" s="10">
        <v>20567</v>
      </c>
    </row>
    <row r="1973" spans="1:16" ht="27" customHeight="1" x14ac:dyDescent="0.2">
      <c r="A1973" s="9" t="s">
        <v>7093</v>
      </c>
      <c r="B1973" s="10" t="s">
        <v>7205</v>
      </c>
      <c r="C1973" s="11" t="s">
        <v>18</v>
      </c>
      <c r="D1973" s="11" t="s">
        <v>19</v>
      </c>
      <c r="E1973" s="11" t="s">
        <v>19</v>
      </c>
      <c r="F1973" s="11" t="s">
        <v>7206</v>
      </c>
      <c r="G1973" s="11" t="s">
        <v>83</v>
      </c>
      <c r="H1973" s="11" t="s">
        <v>7207</v>
      </c>
      <c r="I1973" s="11" t="s">
        <v>7208</v>
      </c>
      <c r="J1973" s="12">
        <v>0.46850000000000003</v>
      </c>
      <c r="K1973" s="13">
        <v>2</v>
      </c>
      <c r="L1973" s="14">
        <v>397</v>
      </c>
      <c r="M1973" s="10">
        <v>186</v>
      </c>
      <c r="N1973" s="10">
        <v>43869</v>
      </c>
      <c r="O1973" s="10">
        <v>14586</v>
      </c>
      <c r="P1973" s="10">
        <v>58455</v>
      </c>
    </row>
    <row r="1974" spans="1:16" ht="27" customHeight="1" x14ac:dyDescent="0.2">
      <c r="A1974" s="9" t="s">
        <v>7093</v>
      </c>
      <c r="B1974" s="10" t="s">
        <v>7205</v>
      </c>
      <c r="C1974" s="11" t="s">
        <v>7209</v>
      </c>
      <c r="D1974" s="11" t="s">
        <v>7210</v>
      </c>
      <c r="E1974" s="11" t="s">
        <v>57</v>
      </c>
      <c r="F1974" s="11" t="s">
        <v>7211</v>
      </c>
      <c r="G1974" s="11" t="s">
        <v>28</v>
      </c>
      <c r="H1974" s="11" t="s">
        <v>7211</v>
      </c>
      <c r="I1974" s="11" t="s">
        <v>7212</v>
      </c>
      <c r="J1974" s="12">
        <v>0.35339999999999999</v>
      </c>
      <c r="K1974" s="13">
        <v>1</v>
      </c>
      <c r="L1974" s="14">
        <v>116</v>
      </c>
      <c r="M1974" s="10">
        <v>41</v>
      </c>
      <c r="N1974" s="10">
        <v>12818</v>
      </c>
      <c r="O1974" s="10">
        <v>3215</v>
      </c>
      <c r="P1974" s="10">
        <v>16033</v>
      </c>
    </row>
    <row r="1975" spans="1:16" ht="27" customHeight="1" x14ac:dyDescent="0.2">
      <c r="A1975" s="9" t="s">
        <v>7093</v>
      </c>
      <c r="B1975" s="10" t="s">
        <v>7205</v>
      </c>
      <c r="C1975" s="11" t="s">
        <v>7213</v>
      </c>
      <c r="D1975" s="11" t="s">
        <v>7214</v>
      </c>
      <c r="E1975" s="11" t="s">
        <v>57</v>
      </c>
      <c r="F1975" s="11" t="s">
        <v>7215</v>
      </c>
      <c r="G1975" s="11" t="s">
        <v>28</v>
      </c>
      <c r="H1975" s="11" t="s">
        <v>7215</v>
      </c>
      <c r="I1975" s="11" t="s">
        <v>7216</v>
      </c>
      <c r="J1975" s="12">
        <v>0.43240000000000001</v>
      </c>
      <c r="K1975" s="13">
        <v>1</v>
      </c>
      <c r="L1975" s="14">
        <v>407</v>
      </c>
      <c r="M1975" s="10">
        <v>176</v>
      </c>
      <c r="N1975" s="10">
        <v>44974</v>
      </c>
      <c r="O1975" s="10">
        <v>13802</v>
      </c>
      <c r="P1975" s="10">
        <v>58776</v>
      </c>
    </row>
    <row r="1976" spans="1:16" ht="27" customHeight="1" x14ac:dyDescent="0.2">
      <c r="A1976" s="9" t="s">
        <v>7093</v>
      </c>
      <c r="B1976" s="10" t="s">
        <v>7205</v>
      </c>
      <c r="C1976" s="11" t="s">
        <v>7217</v>
      </c>
      <c r="D1976" s="11" t="s">
        <v>7218</v>
      </c>
      <c r="E1976" s="11" t="s">
        <v>57</v>
      </c>
      <c r="F1976" s="11" t="s">
        <v>7219</v>
      </c>
      <c r="G1976" s="11" t="s">
        <v>28</v>
      </c>
      <c r="H1976" s="11" t="s">
        <v>7219</v>
      </c>
      <c r="I1976" s="11" t="s">
        <v>7220</v>
      </c>
      <c r="J1976" s="12">
        <v>0.3281</v>
      </c>
      <c r="K1976" s="13">
        <v>1</v>
      </c>
      <c r="L1976" s="14">
        <v>384</v>
      </c>
      <c r="M1976" s="10">
        <v>126</v>
      </c>
      <c r="N1976" s="10">
        <v>42433</v>
      </c>
      <c r="O1976" s="10">
        <v>9881</v>
      </c>
      <c r="P1976" s="10">
        <v>52314</v>
      </c>
    </row>
    <row r="1977" spans="1:16" ht="27" customHeight="1" x14ac:dyDescent="0.2">
      <c r="A1977" s="9" t="s">
        <v>7093</v>
      </c>
      <c r="B1977" s="10" t="s">
        <v>7221</v>
      </c>
      <c r="C1977" s="11" t="s">
        <v>18</v>
      </c>
      <c r="D1977" s="11" t="s">
        <v>19</v>
      </c>
      <c r="E1977" s="11" t="s">
        <v>19</v>
      </c>
      <c r="F1977" s="11" t="s">
        <v>7222</v>
      </c>
      <c r="G1977" s="11" t="s">
        <v>83</v>
      </c>
      <c r="H1977" s="11" t="s">
        <v>7223</v>
      </c>
      <c r="I1977" s="11" t="s">
        <v>7224</v>
      </c>
      <c r="J1977" s="12">
        <v>0.69489999999999996</v>
      </c>
      <c r="K1977" s="13">
        <v>2</v>
      </c>
      <c r="L1977" s="14">
        <v>59</v>
      </c>
      <c r="M1977" s="10">
        <v>41</v>
      </c>
      <c r="N1977" s="10">
        <v>6520</v>
      </c>
      <c r="O1977" s="10">
        <v>3215</v>
      </c>
      <c r="P1977" s="10">
        <v>9735</v>
      </c>
    </row>
    <row r="1978" spans="1:16" ht="27" customHeight="1" x14ac:dyDescent="0.2">
      <c r="A1978" s="9" t="s">
        <v>7093</v>
      </c>
      <c r="B1978" s="10" t="s">
        <v>7225</v>
      </c>
      <c r="C1978" s="11" t="s">
        <v>18</v>
      </c>
      <c r="D1978" s="11" t="s">
        <v>19</v>
      </c>
      <c r="E1978" s="11" t="s">
        <v>19</v>
      </c>
      <c r="F1978" s="11" t="s">
        <v>7226</v>
      </c>
      <c r="G1978" s="11" t="s">
        <v>83</v>
      </c>
      <c r="H1978" s="11" t="s">
        <v>7226</v>
      </c>
      <c r="I1978" s="11" t="s">
        <v>7227</v>
      </c>
      <c r="J1978" s="12">
        <v>0.57140000000000002</v>
      </c>
      <c r="K1978" s="13">
        <v>2</v>
      </c>
      <c r="L1978" s="14">
        <v>21</v>
      </c>
      <c r="M1978" s="10">
        <v>12</v>
      </c>
      <c r="N1978" s="10">
        <v>2321</v>
      </c>
      <c r="O1978" s="10">
        <v>941</v>
      </c>
      <c r="P1978" s="10">
        <v>3262</v>
      </c>
    </row>
    <row r="1979" spans="1:16" ht="27" customHeight="1" x14ac:dyDescent="0.2">
      <c r="A1979" s="9" t="s">
        <v>7093</v>
      </c>
      <c r="B1979" s="10" t="s">
        <v>7228</v>
      </c>
      <c r="C1979" s="11" t="s">
        <v>18</v>
      </c>
      <c r="D1979" s="11" t="s">
        <v>19</v>
      </c>
      <c r="E1979" s="11" t="s">
        <v>19</v>
      </c>
      <c r="F1979" s="11" t="s">
        <v>7229</v>
      </c>
      <c r="G1979" s="11" t="s">
        <v>83</v>
      </c>
      <c r="H1979" s="11" t="s">
        <v>6651</v>
      </c>
      <c r="I1979" s="11" t="s">
        <v>7230</v>
      </c>
      <c r="J1979" s="12">
        <v>0.17949999999999999</v>
      </c>
      <c r="K1979" s="13">
        <v>2</v>
      </c>
      <c r="L1979" s="14">
        <v>78</v>
      </c>
      <c r="M1979" s="10">
        <v>14</v>
      </c>
      <c r="N1979" s="10">
        <v>8619</v>
      </c>
      <c r="O1979" s="10">
        <v>1098</v>
      </c>
      <c r="P1979" s="10">
        <v>9717</v>
      </c>
    </row>
    <row r="1980" spans="1:16" ht="27" customHeight="1" x14ac:dyDescent="0.2">
      <c r="A1980" s="9" t="s">
        <v>7093</v>
      </c>
      <c r="B1980" s="10" t="s">
        <v>7228</v>
      </c>
      <c r="C1980" s="11" t="s">
        <v>7231</v>
      </c>
      <c r="D1980" s="11" t="s">
        <v>7232</v>
      </c>
      <c r="E1980" s="11" t="s">
        <v>26</v>
      </c>
      <c r="F1980" s="11" t="s">
        <v>7233</v>
      </c>
      <c r="G1980" s="11" t="s">
        <v>28</v>
      </c>
      <c r="H1980" s="11" t="s">
        <v>7233</v>
      </c>
      <c r="I1980" s="11" t="s">
        <v>7234</v>
      </c>
      <c r="J1980" s="12">
        <v>0.54820000000000002</v>
      </c>
      <c r="K1980" s="13">
        <v>1</v>
      </c>
      <c r="L1980" s="14">
        <v>394</v>
      </c>
      <c r="M1980" s="10">
        <v>216</v>
      </c>
      <c r="N1980" s="10">
        <v>43538</v>
      </c>
      <c r="O1980" s="10">
        <v>16938</v>
      </c>
      <c r="P1980" s="10">
        <v>60476</v>
      </c>
    </row>
    <row r="1981" spans="1:16" ht="27" customHeight="1" x14ac:dyDescent="0.2">
      <c r="A1981" s="9" t="s">
        <v>7093</v>
      </c>
      <c r="B1981" s="10" t="s">
        <v>7228</v>
      </c>
      <c r="C1981" s="11" t="s">
        <v>7235</v>
      </c>
      <c r="D1981" s="11" t="s">
        <v>7236</v>
      </c>
      <c r="E1981" s="11" t="s">
        <v>57</v>
      </c>
      <c r="F1981" s="11" t="s">
        <v>7237</v>
      </c>
      <c r="G1981" s="11" t="s">
        <v>28</v>
      </c>
      <c r="H1981" s="11" t="s">
        <v>7237</v>
      </c>
      <c r="I1981" s="11" t="s">
        <v>7238</v>
      </c>
      <c r="J1981" s="12">
        <v>0.25879999999999997</v>
      </c>
      <c r="K1981" s="13">
        <v>1</v>
      </c>
      <c r="L1981" s="14">
        <v>742</v>
      </c>
      <c r="M1981" s="10">
        <v>192</v>
      </c>
      <c r="N1981" s="10">
        <v>81992</v>
      </c>
      <c r="O1981" s="10">
        <v>15056</v>
      </c>
      <c r="P1981" s="10">
        <v>97048</v>
      </c>
    </row>
    <row r="1982" spans="1:16" ht="27" customHeight="1" x14ac:dyDescent="0.2">
      <c r="A1982" s="9" t="s">
        <v>7093</v>
      </c>
      <c r="B1982" s="10" t="s">
        <v>7239</v>
      </c>
      <c r="C1982" s="11" t="s">
        <v>18</v>
      </c>
      <c r="D1982" s="11" t="s">
        <v>19</v>
      </c>
      <c r="E1982" s="11" t="s">
        <v>19</v>
      </c>
      <c r="F1982" s="11" t="s">
        <v>7240</v>
      </c>
      <c r="G1982" s="11" t="s">
        <v>83</v>
      </c>
      <c r="H1982" s="11" t="s">
        <v>7241</v>
      </c>
      <c r="I1982" s="11" t="s">
        <v>7242</v>
      </c>
      <c r="J1982" s="12">
        <v>0.36919999999999997</v>
      </c>
      <c r="K1982" s="13">
        <v>2</v>
      </c>
      <c r="L1982" s="14">
        <v>349</v>
      </c>
      <c r="M1982" s="10">
        <v>129</v>
      </c>
      <c r="N1982" s="10">
        <v>38565</v>
      </c>
      <c r="O1982" s="10">
        <v>10116</v>
      </c>
      <c r="P1982" s="10">
        <v>48681</v>
      </c>
    </row>
    <row r="1983" spans="1:16" ht="27" customHeight="1" x14ac:dyDescent="0.2">
      <c r="A1983" s="9" t="s">
        <v>7093</v>
      </c>
      <c r="B1983" s="10" t="s">
        <v>7239</v>
      </c>
      <c r="C1983" s="11" t="s">
        <v>7243</v>
      </c>
      <c r="D1983" s="11" t="s">
        <v>7244</v>
      </c>
      <c r="E1983" s="11" t="s">
        <v>26</v>
      </c>
      <c r="F1983" s="11" t="s">
        <v>7245</v>
      </c>
      <c r="G1983" s="11" t="s">
        <v>28</v>
      </c>
      <c r="H1983" s="11" t="s">
        <v>7245</v>
      </c>
      <c r="I1983" s="11" t="s">
        <v>7246</v>
      </c>
      <c r="J1983" s="12">
        <v>0.1971</v>
      </c>
      <c r="K1983" s="13">
        <v>1</v>
      </c>
      <c r="L1983" s="14">
        <v>137</v>
      </c>
      <c r="M1983" s="10">
        <v>27</v>
      </c>
      <c r="N1983" s="10">
        <v>15139</v>
      </c>
      <c r="O1983" s="10">
        <v>2117</v>
      </c>
      <c r="P1983" s="10">
        <v>17256</v>
      </c>
    </row>
    <row r="1984" spans="1:16" ht="27" customHeight="1" x14ac:dyDescent="0.2">
      <c r="A1984" s="9" t="s">
        <v>7093</v>
      </c>
      <c r="B1984" s="10" t="s">
        <v>7239</v>
      </c>
      <c r="C1984" s="11" t="s">
        <v>7247</v>
      </c>
      <c r="D1984" s="11" t="s">
        <v>7248</v>
      </c>
      <c r="E1984" s="11" t="s">
        <v>57</v>
      </c>
      <c r="F1984" s="11" t="s">
        <v>7249</v>
      </c>
      <c r="G1984" s="11" t="s">
        <v>28</v>
      </c>
      <c r="H1984" s="11" t="s">
        <v>7249</v>
      </c>
      <c r="I1984" s="11" t="s">
        <v>7250</v>
      </c>
      <c r="J1984" s="12">
        <v>0.36609999999999998</v>
      </c>
      <c r="K1984" s="13">
        <v>1</v>
      </c>
      <c r="L1984" s="14">
        <v>489</v>
      </c>
      <c r="M1984" s="10">
        <v>179</v>
      </c>
      <c r="N1984" s="10">
        <v>54035</v>
      </c>
      <c r="O1984" s="10">
        <v>14037</v>
      </c>
      <c r="P1984" s="10">
        <v>68072</v>
      </c>
    </row>
    <row r="1985" spans="1:16" ht="27" customHeight="1" x14ac:dyDescent="0.2">
      <c r="A1985" s="9" t="s">
        <v>7093</v>
      </c>
      <c r="B1985" s="10" t="s">
        <v>7239</v>
      </c>
      <c r="C1985" s="11" t="s">
        <v>7251</v>
      </c>
      <c r="D1985" s="11" t="s">
        <v>7252</v>
      </c>
      <c r="E1985" s="11" t="s">
        <v>57</v>
      </c>
      <c r="F1985" s="11" t="s">
        <v>7253</v>
      </c>
      <c r="G1985" s="11" t="s">
        <v>28</v>
      </c>
      <c r="H1985" s="11" t="s">
        <v>7253</v>
      </c>
      <c r="I1985" s="11" t="s">
        <v>7254</v>
      </c>
      <c r="J1985" s="12">
        <v>0.25</v>
      </c>
      <c r="K1985" s="13">
        <v>1</v>
      </c>
      <c r="L1985" s="14">
        <v>288</v>
      </c>
      <c r="M1985" s="10">
        <v>72</v>
      </c>
      <c r="N1985" s="10">
        <v>31824</v>
      </c>
      <c r="O1985" s="10">
        <v>5646</v>
      </c>
      <c r="P1985" s="10">
        <v>37470</v>
      </c>
    </row>
    <row r="1986" spans="1:16" ht="27" customHeight="1" x14ac:dyDescent="0.2">
      <c r="A1986" s="9" t="s">
        <v>7093</v>
      </c>
      <c r="B1986" s="10" t="s">
        <v>7239</v>
      </c>
      <c r="C1986" s="11" t="s">
        <v>7255</v>
      </c>
      <c r="D1986" s="11" t="s">
        <v>7256</v>
      </c>
      <c r="E1986" s="11" t="s">
        <v>57</v>
      </c>
      <c r="F1986" s="11" t="s">
        <v>7257</v>
      </c>
      <c r="G1986" s="11" t="s">
        <v>28</v>
      </c>
      <c r="H1986" s="11" t="s">
        <v>7257</v>
      </c>
      <c r="I1986" s="11" t="s">
        <v>7258</v>
      </c>
      <c r="J1986" s="12">
        <v>0.70989999999999998</v>
      </c>
      <c r="K1986" s="13">
        <v>1</v>
      </c>
      <c r="L1986" s="14">
        <v>293</v>
      </c>
      <c r="M1986" s="10">
        <v>208</v>
      </c>
      <c r="N1986" s="10">
        <v>32377</v>
      </c>
      <c r="O1986" s="10">
        <v>16311</v>
      </c>
      <c r="P1986" s="10">
        <v>48688</v>
      </c>
    </row>
    <row r="1987" spans="1:16" ht="27" customHeight="1" x14ac:dyDescent="0.2">
      <c r="A1987" s="9" t="s">
        <v>7093</v>
      </c>
      <c r="B1987" s="10" t="s">
        <v>7239</v>
      </c>
      <c r="C1987" s="11" t="s">
        <v>7259</v>
      </c>
      <c r="D1987" s="11" t="s">
        <v>7260</v>
      </c>
      <c r="E1987" s="11" t="s">
        <v>57</v>
      </c>
      <c r="F1987" s="11" t="s">
        <v>7261</v>
      </c>
      <c r="G1987" s="11" t="s">
        <v>28</v>
      </c>
      <c r="H1987" s="11" t="s">
        <v>7261</v>
      </c>
      <c r="I1987" s="11" t="s">
        <v>7262</v>
      </c>
      <c r="J1987" s="12">
        <v>0.13039999999999999</v>
      </c>
      <c r="K1987" s="13">
        <v>1</v>
      </c>
      <c r="L1987" s="14">
        <v>437</v>
      </c>
      <c r="M1987" s="10">
        <v>57</v>
      </c>
      <c r="N1987" s="10">
        <v>48289</v>
      </c>
      <c r="O1987" s="10">
        <v>4470</v>
      </c>
      <c r="P1987" s="10">
        <v>52759</v>
      </c>
    </row>
    <row r="1988" spans="1:16" ht="27" customHeight="1" x14ac:dyDescent="0.2">
      <c r="A1988" s="9" t="s">
        <v>7093</v>
      </c>
      <c r="B1988" s="10" t="s">
        <v>7263</v>
      </c>
      <c r="C1988" s="11" t="s">
        <v>18</v>
      </c>
      <c r="D1988" s="11" t="s">
        <v>19</v>
      </c>
      <c r="E1988" s="11" t="s">
        <v>19</v>
      </c>
      <c r="F1988" s="11" t="s">
        <v>7264</v>
      </c>
      <c r="G1988" s="11" t="s">
        <v>83</v>
      </c>
      <c r="H1988" s="11" t="s">
        <v>7265</v>
      </c>
      <c r="I1988" s="11" t="s">
        <v>7266</v>
      </c>
      <c r="J1988" s="12">
        <v>0.84079999999999999</v>
      </c>
      <c r="K1988" s="13">
        <v>8</v>
      </c>
      <c r="L1988" s="14">
        <v>1759</v>
      </c>
      <c r="M1988" s="10">
        <v>804</v>
      </c>
      <c r="N1988" s="10">
        <v>194372</v>
      </c>
      <c r="O1988" s="10">
        <v>63050</v>
      </c>
      <c r="P1988" s="10">
        <v>257422</v>
      </c>
    </row>
    <row r="1989" spans="1:16" ht="27" customHeight="1" x14ac:dyDescent="0.2">
      <c r="A1989" s="9" t="s">
        <v>7093</v>
      </c>
      <c r="B1989" s="10" t="s">
        <v>7263</v>
      </c>
      <c r="C1989" s="11" t="s">
        <v>7267</v>
      </c>
      <c r="D1989" s="11" t="s">
        <v>7268</v>
      </c>
      <c r="E1989" s="11" t="s">
        <v>57</v>
      </c>
      <c r="F1989" s="11" t="s">
        <v>7269</v>
      </c>
      <c r="G1989" s="11" t="s">
        <v>28</v>
      </c>
      <c r="H1989" s="11" t="s">
        <v>7269</v>
      </c>
      <c r="I1989" s="11" t="s">
        <v>7270</v>
      </c>
      <c r="J1989" s="12">
        <v>0.35139999999999999</v>
      </c>
      <c r="K1989" s="13">
        <v>1</v>
      </c>
      <c r="L1989" s="14">
        <v>481</v>
      </c>
      <c r="M1989" s="10">
        <v>169</v>
      </c>
      <c r="N1989" s="10">
        <v>53151</v>
      </c>
      <c r="O1989" s="10">
        <v>13253</v>
      </c>
      <c r="P1989" s="10">
        <v>66404</v>
      </c>
    </row>
    <row r="1990" spans="1:16" ht="27" customHeight="1" x14ac:dyDescent="0.2">
      <c r="A1990" s="9" t="s">
        <v>7093</v>
      </c>
      <c r="B1990" s="10" t="s">
        <v>7263</v>
      </c>
      <c r="C1990" s="11" t="s">
        <v>7271</v>
      </c>
      <c r="D1990" s="11" t="s">
        <v>7272</v>
      </c>
      <c r="E1990" s="11" t="s">
        <v>26</v>
      </c>
      <c r="F1990" s="11" t="s">
        <v>7273</v>
      </c>
      <c r="G1990" s="11" t="s">
        <v>28</v>
      </c>
      <c r="H1990" s="11" t="s">
        <v>7273</v>
      </c>
      <c r="I1990" s="11" t="s">
        <v>7274</v>
      </c>
      <c r="J1990" s="12">
        <v>0.15870000000000001</v>
      </c>
      <c r="K1990" s="13">
        <v>1</v>
      </c>
      <c r="L1990" s="14">
        <v>252</v>
      </c>
      <c r="M1990" s="10">
        <v>40</v>
      </c>
      <c r="N1990" s="10">
        <v>27846</v>
      </c>
      <c r="O1990" s="10">
        <v>3137</v>
      </c>
      <c r="P1990" s="10">
        <v>30983</v>
      </c>
    </row>
    <row r="1991" spans="1:16" ht="27" customHeight="1" x14ac:dyDescent="0.2">
      <c r="A1991" s="9" t="s">
        <v>7093</v>
      </c>
      <c r="B1991" s="10" t="s">
        <v>7275</v>
      </c>
      <c r="C1991" s="11" t="s">
        <v>18</v>
      </c>
      <c r="D1991" s="11" t="s">
        <v>19</v>
      </c>
      <c r="E1991" s="11" t="s">
        <v>19</v>
      </c>
      <c r="F1991" s="11" t="s">
        <v>7276</v>
      </c>
      <c r="G1991" s="11" t="s">
        <v>83</v>
      </c>
      <c r="H1991" s="11" t="s">
        <v>7096</v>
      </c>
      <c r="I1991" s="11" t="s">
        <v>7097</v>
      </c>
      <c r="J1991" s="12">
        <v>1</v>
      </c>
      <c r="K1991" s="13">
        <v>9</v>
      </c>
      <c r="L1991" s="14">
        <v>4325</v>
      </c>
      <c r="M1991" s="10">
        <v>1892</v>
      </c>
      <c r="N1991" s="10">
        <v>477921</v>
      </c>
      <c r="O1991" s="10">
        <v>148369</v>
      </c>
      <c r="P1991" s="10">
        <v>626290</v>
      </c>
    </row>
    <row r="1992" spans="1:16" ht="27" customHeight="1" x14ac:dyDescent="0.2">
      <c r="A1992" s="9" t="s">
        <v>7093</v>
      </c>
      <c r="B1992" s="10" t="s">
        <v>7275</v>
      </c>
      <c r="C1992" s="11" t="s">
        <v>7277</v>
      </c>
      <c r="D1992" s="11" t="s">
        <v>7278</v>
      </c>
      <c r="E1992" s="11" t="s">
        <v>57</v>
      </c>
      <c r="F1992" s="11" t="s">
        <v>7279</v>
      </c>
      <c r="G1992" s="11" t="s">
        <v>28</v>
      </c>
      <c r="H1992" s="11" t="s">
        <v>7096</v>
      </c>
      <c r="I1992" s="11" t="s">
        <v>7097</v>
      </c>
      <c r="J1992" s="12">
        <v>1</v>
      </c>
      <c r="K1992" s="13">
        <v>1</v>
      </c>
      <c r="L1992" s="14">
        <v>123</v>
      </c>
      <c r="M1992" s="10">
        <v>15</v>
      </c>
      <c r="N1992" s="10">
        <v>13592</v>
      </c>
      <c r="O1992" s="10">
        <v>1176</v>
      </c>
      <c r="P1992" s="10">
        <v>14768</v>
      </c>
    </row>
    <row r="1993" spans="1:16" ht="27" customHeight="1" x14ac:dyDescent="0.2">
      <c r="A1993" s="9" t="s">
        <v>7093</v>
      </c>
      <c r="B1993" s="10" t="s">
        <v>7275</v>
      </c>
      <c r="C1993" s="11" t="s">
        <v>7280</v>
      </c>
      <c r="D1993" s="11" t="s">
        <v>7281</v>
      </c>
      <c r="E1993" s="11" t="s">
        <v>57</v>
      </c>
      <c r="F1993" s="11" t="s">
        <v>7282</v>
      </c>
      <c r="G1993" s="11" t="s">
        <v>28</v>
      </c>
      <c r="H1993" s="11" t="s">
        <v>7282</v>
      </c>
      <c r="I1993" s="11" t="s">
        <v>7283</v>
      </c>
      <c r="J1993" s="12">
        <v>0.26550000000000001</v>
      </c>
      <c r="K1993" s="13">
        <v>1</v>
      </c>
      <c r="L1993" s="14">
        <v>452</v>
      </c>
      <c r="M1993" s="10">
        <v>120</v>
      </c>
      <c r="N1993" s="10">
        <v>49947</v>
      </c>
      <c r="O1993" s="10">
        <v>9410</v>
      </c>
      <c r="P1993" s="10">
        <v>59357</v>
      </c>
    </row>
    <row r="1994" spans="1:16" ht="27" customHeight="1" x14ac:dyDescent="0.2">
      <c r="A1994" s="9" t="s">
        <v>7093</v>
      </c>
      <c r="B1994" s="10" t="s">
        <v>7284</v>
      </c>
      <c r="C1994" s="11" t="s">
        <v>18</v>
      </c>
      <c r="D1994" s="11" t="s">
        <v>19</v>
      </c>
      <c r="E1994" s="11" t="s">
        <v>19</v>
      </c>
      <c r="F1994" s="11" t="s">
        <v>7285</v>
      </c>
      <c r="G1994" s="11" t="s">
        <v>83</v>
      </c>
      <c r="H1994" s="11" t="s">
        <v>508</v>
      </c>
      <c r="I1994" s="11" t="s">
        <v>7286</v>
      </c>
      <c r="J1994" s="12">
        <v>0.59640000000000004</v>
      </c>
      <c r="K1994" s="13">
        <v>2</v>
      </c>
      <c r="L1994" s="14">
        <v>275</v>
      </c>
      <c r="M1994" s="10">
        <v>164</v>
      </c>
      <c r="N1994" s="10">
        <v>30388</v>
      </c>
      <c r="O1994" s="10">
        <v>12861</v>
      </c>
      <c r="P1994" s="10">
        <v>43249</v>
      </c>
    </row>
    <row r="1995" spans="1:16" ht="27" customHeight="1" x14ac:dyDescent="0.2">
      <c r="A1995" s="9" t="s">
        <v>7093</v>
      </c>
      <c r="B1995" s="10" t="s">
        <v>7284</v>
      </c>
      <c r="C1995" s="11" t="s">
        <v>7287</v>
      </c>
      <c r="D1995" s="11" t="s">
        <v>7288</v>
      </c>
      <c r="E1995" s="11" t="s">
        <v>26</v>
      </c>
      <c r="F1995" s="11" t="s">
        <v>7289</v>
      </c>
      <c r="G1995" s="11" t="s">
        <v>28</v>
      </c>
      <c r="H1995" s="11" t="s">
        <v>7289</v>
      </c>
      <c r="I1995" s="11" t="s">
        <v>7290</v>
      </c>
      <c r="J1995" s="12">
        <v>0.4919</v>
      </c>
      <c r="K1995" s="13">
        <v>1</v>
      </c>
      <c r="L1995" s="14">
        <v>124</v>
      </c>
      <c r="M1995" s="10">
        <v>61</v>
      </c>
      <c r="N1995" s="10">
        <v>13702</v>
      </c>
      <c r="O1995" s="10">
        <v>4784</v>
      </c>
      <c r="P1995" s="10">
        <v>18486</v>
      </c>
    </row>
    <row r="1996" spans="1:16" ht="27" customHeight="1" x14ac:dyDescent="0.2">
      <c r="A1996" s="9" t="s">
        <v>7093</v>
      </c>
      <c r="B1996" s="10" t="s">
        <v>7284</v>
      </c>
      <c r="C1996" s="11" t="s">
        <v>7291</v>
      </c>
      <c r="D1996" s="11" t="s">
        <v>7292</v>
      </c>
      <c r="E1996" s="11" t="s">
        <v>26</v>
      </c>
      <c r="F1996" s="11" t="s">
        <v>7293</v>
      </c>
      <c r="G1996" s="11" t="s">
        <v>28</v>
      </c>
      <c r="H1996" s="11" t="s">
        <v>7293</v>
      </c>
      <c r="I1996" s="11" t="s">
        <v>7294</v>
      </c>
      <c r="J1996" s="12">
        <v>0.4516</v>
      </c>
      <c r="K1996" s="13">
        <v>1</v>
      </c>
      <c r="L1996" s="14">
        <v>310</v>
      </c>
      <c r="M1996" s="10">
        <v>140</v>
      </c>
      <c r="N1996" s="10">
        <v>34256</v>
      </c>
      <c r="O1996" s="10">
        <v>10979</v>
      </c>
      <c r="P1996" s="10">
        <v>45235</v>
      </c>
    </row>
    <row r="1997" spans="1:16" ht="27" customHeight="1" x14ac:dyDescent="0.2">
      <c r="A1997" s="9" t="s">
        <v>7093</v>
      </c>
      <c r="B1997" s="10" t="s">
        <v>7284</v>
      </c>
      <c r="C1997" s="11" t="s">
        <v>7295</v>
      </c>
      <c r="D1997" s="11" t="s">
        <v>7296</v>
      </c>
      <c r="E1997" s="11" t="s">
        <v>26</v>
      </c>
      <c r="F1997" s="11" t="s">
        <v>7297</v>
      </c>
      <c r="G1997" s="11" t="s">
        <v>28</v>
      </c>
      <c r="H1997" s="11" t="s">
        <v>7297</v>
      </c>
      <c r="I1997" s="11" t="s">
        <v>7298</v>
      </c>
      <c r="J1997" s="12">
        <v>0.63700000000000001</v>
      </c>
      <c r="K1997" s="13">
        <v>1</v>
      </c>
      <c r="L1997" s="14">
        <v>303</v>
      </c>
      <c r="M1997" s="10">
        <v>193</v>
      </c>
      <c r="N1997" s="10">
        <v>33482</v>
      </c>
      <c r="O1997" s="10">
        <v>15135</v>
      </c>
      <c r="P1997" s="10">
        <v>48617</v>
      </c>
    </row>
    <row r="1998" spans="1:16" ht="27" customHeight="1" x14ac:dyDescent="0.2">
      <c r="A1998" s="9" t="s">
        <v>7093</v>
      </c>
      <c r="B1998" s="10" t="s">
        <v>7284</v>
      </c>
      <c r="C1998" s="11" t="s">
        <v>7299</v>
      </c>
      <c r="D1998" s="11" t="s">
        <v>7300</v>
      </c>
      <c r="E1998" s="11" t="s">
        <v>26</v>
      </c>
      <c r="F1998" s="11" t="s">
        <v>7301</v>
      </c>
      <c r="G1998" s="11" t="s">
        <v>28</v>
      </c>
      <c r="H1998" s="11" t="s">
        <v>7096</v>
      </c>
      <c r="I1998" s="11" t="s">
        <v>7097</v>
      </c>
      <c r="J1998" s="12">
        <v>1</v>
      </c>
      <c r="K1998" s="13">
        <v>1</v>
      </c>
      <c r="L1998" s="14">
        <v>216</v>
      </c>
      <c r="M1998" s="10">
        <v>96</v>
      </c>
      <c r="N1998" s="10">
        <v>23868</v>
      </c>
      <c r="O1998" s="10">
        <v>7528</v>
      </c>
      <c r="P1998" s="10">
        <v>31396</v>
      </c>
    </row>
    <row r="1999" spans="1:16" ht="27" customHeight="1" x14ac:dyDescent="0.2">
      <c r="A1999" s="9" t="s">
        <v>7093</v>
      </c>
      <c r="B1999" s="10" t="s">
        <v>7302</v>
      </c>
      <c r="C1999" s="11" t="s">
        <v>18</v>
      </c>
      <c r="D1999" s="11" t="s">
        <v>19</v>
      </c>
      <c r="E1999" s="11" t="s">
        <v>19</v>
      </c>
      <c r="F1999" s="11" t="s">
        <v>7096</v>
      </c>
      <c r="G1999" s="11" t="s">
        <v>83</v>
      </c>
      <c r="H1999" s="11" t="s">
        <v>7096</v>
      </c>
      <c r="I1999" s="11" t="s">
        <v>7097</v>
      </c>
      <c r="J1999" s="12">
        <v>1</v>
      </c>
      <c r="K1999" s="13">
        <v>2</v>
      </c>
      <c r="L1999" s="14">
        <v>8</v>
      </c>
      <c r="M1999" s="10">
        <v>8</v>
      </c>
      <c r="N1999" s="10">
        <v>884</v>
      </c>
      <c r="O1999" s="10">
        <v>627</v>
      </c>
      <c r="P1999" s="10">
        <v>1511</v>
      </c>
    </row>
    <row r="2000" spans="1:16" ht="27" customHeight="1" x14ac:dyDescent="0.2">
      <c r="A2000" s="9" t="s">
        <v>7093</v>
      </c>
      <c r="B2000" s="10" t="s">
        <v>7303</v>
      </c>
      <c r="C2000" s="11" t="s">
        <v>18</v>
      </c>
      <c r="D2000" s="11" t="s">
        <v>19</v>
      </c>
      <c r="E2000" s="11" t="s">
        <v>19</v>
      </c>
      <c r="F2000" s="11" t="s">
        <v>7304</v>
      </c>
      <c r="G2000" s="11" t="s">
        <v>83</v>
      </c>
      <c r="H2000" s="11" t="s">
        <v>7305</v>
      </c>
      <c r="I2000" s="11" t="s">
        <v>7306</v>
      </c>
      <c r="J2000" s="12">
        <v>0.41289999999999999</v>
      </c>
      <c r="K2000" s="13">
        <v>5</v>
      </c>
      <c r="L2000" s="14">
        <v>1280</v>
      </c>
      <c r="M2000" s="10">
        <v>338</v>
      </c>
      <c r="N2000" s="10">
        <v>141443</v>
      </c>
      <c r="O2000" s="10">
        <v>26506</v>
      </c>
      <c r="P2000" s="10">
        <v>167949</v>
      </c>
    </row>
    <row r="2001" spans="1:16" ht="27" customHeight="1" x14ac:dyDescent="0.2">
      <c r="A2001" s="9" t="s">
        <v>7093</v>
      </c>
      <c r="B2001" s="10" t="s">
        <v>7303</v>
      </c>
      <c r="C2001" s="11" t="s">
        <v>7307</v>
      </c>
      <c r="D2001" s="11" t="s">
        <v>7308</v>
      </c>
      <c r="E2001" s="11" t="s">
        <v>57</v>
      </c>
      <c r="F2001" s="11" t="s">
        <v>7309</v>
      </c>
      <c r="G2001" s="11" t="s">
        <v>28</v>
      </c>
      <c r="H2001" s="11" t="s">
        <v>7309</v>
      </c>
      <c r="I2001" s="11" t="s">
        <v>7310</v>
      </c>
      <c r="J2001" s="12">
        <v>0.28349999999999997</v>
      </c>
      <c r="K2001" s="13">
        <v>1</v>
      </c>
      <c r="L2001" s="14">
        <v>328</v>
      </c>
      <c r="M2001" s="10">
        <v>93</v>
      </c>
      <c r="N2001" s="10">
        <v>36245</v>
      </c>
      <c r="O2001" s="10">
        <v>7293</v>
      </c>
      <c r="P2001" s="10">
        <v>43538</v>
      </c>
    </row>
    <row r="2002" spans="1:16" ht="27" customHeight="1" x14ac:dyDescent="0.2">
      <c r="A2002" s="9" t="s">
        <v>7093</v>
      </c>
      <c r="B2002" s="10" t="s">
        <v>7303</v>
      </c>
      <c r="C2002" s="11" t="s">
        <v>7311</v>
      </c>
      <c r="D2002" s="11" t="s">
        <v>7312</v>
      </c>
      <c r="E2002" s="11" t="s">
        <v>57</v>
      </c>
      <c r="F2002" s="11" t="s">
        <v>7313</v>
      </c>
      <c r="G2002" s="11" t="s">
        <v>28</v>
      </c>
      <c r="H2002" s="11" t="s">
        <v>7313</v>
      </c>
      <c r="I2002" s="11" t="s">
        <v>7314</v>
      </c>
      <c r="J2002" s="12">
        <v>0.43930000000000002</v>
      </c>
      <c r="K2002" s="13">
        <v>1</v>
      </c>
      <c r="L2002" s="14">
        <v>412</v>
      </c>
      <c r="M2002" s="10">
        <v>181</v>
      </c>
      <c r="N2002" s="10">
        <v>45527</v>
      </c>
      <c r="O2002" s="10">
        <v>14194</v>
      </c>
      <c r="P2002" s="10">
        <v>59721</v>
      </c>
    </row>
    <row r="2003" spans="1:16" ht="27" customHeight="1" x14ac:dyDescent="0.2">
      <c r="A2003" s="9" t="s">
        <v>7093</v>
      </c>
      <c r="B2003" s="10" t="s">
        <v>7303</v>
      </c>
      <c r="C2003" s="11" t="s">
        <v>7315</v>
      </c>
      <c r="D2003" s="11" t="s">
        <v>7316</v>
      </c>
      <c r="E2003" s="11" t="s">
        <v>57</v>
      </c>
      <c r="F2003" s="11" t="s">
        <v>7317</v>
      </c>
      <c r="G2003" s="11" t="s">
        <v>28</v>
      </c>
      <c r="H2003" s="11" t="s">
        <v>7317</v>
      </c>
      <c r="I2003" s="11" t="s">
        <v>7318</v>
      </c>
      <c r="J2003" s="12">
        <v>0.4914</v>
      </c>
      <c r="K2003" s="13">
        <v>1</v>
      </c>
      <c r="L2003" s="14">
        <v>348</v>
      </c>
      <c r="M2003" s="10">
        <v>171</v>
      </c>
      <c r="N2003" s="10">
        <v>38455</v>
      </c>
      <c r="O2003" s="10">
        <v>13410</v>
      </c>
      <c r="P2003" s="10">
        <v>51865</v>
      </c>
    </row>
    <row r="2004" spans="1:16" ht="27" customHeight="1" x14ac:dyDescent="0.2">
      <c r="A2004" s="9" t="s">
        <v>7093</v>
      </c>
      <c r="B2004" s="10" t="s">
        <v>7303</v>
      </c>
      <c r="C2004" s="11" t="s">
        <v>7319</v>
      </c>
      <c r="D2004" s="11" t="s">
        <v>7320</v>
      </c>
      <c r="E2004" s="11" t="s">
        <v>57</v>
      </c>
      <c r="F2004" s="11" t="s">
        <v>7321</v>
      </c>
      <c r="G2004" s="11" t="s">
        <v>28</v>
      </c>
      <c r="H2004" s="11" t="s">
        <v>7321</v>
      </c>
      <c r="I2004" s="11" t="s">
        <v>7322</v>
      </c>
      <c r="J2004" s="12">
        <v>0.48349999999999999</v>
      </c>
      <c r="K2004" s="13">
        <v>1</v>
      </c>
      <c r="L2004" s="14">
        <v>393</v>
      </c>
      <c r="M2004" s="10">
        <v>190</v>
      </c>
      <c r="N2004" s="10">
        <v>43427</v>
      </c>
      <c r="O2004" s="10">
        <v>14900</v>
      </c>
      <c r="P2004" s="10">
        <v>58327</v>
      </c>
    </row>
    <row r="2005" spans="1:16" ht="27" customHeight="1" x14ac:dyDescent="0.2">
      <c r="A2005" s="9" t="s">
        <v>7093</v>
      </c>
      <c r="B2005" s="10" t="s">
        <v>7303</v>
      </c>
      <c r="C2005" s="11" t="s">
        <v>7323</v>
      </c>
      <c r="D2005" s="11" t="s">
        <v>7324</v>
      </c>
      <c r="E2005" s="11" t="s">
        <v>57</v>
      </c>
      <c r="F2005" s="11" t="s">
        <v>7325</v>
      </c>
      <c r="G2005" s="11" t="s">
        <v>28</v>
      </c>
      <c r="H2005" s="11" t="s">
        <v>7325</v>
      </c>
      <c r="I2005" s="11" t="s">
        <v>7326</v>
      </c>
      <c r="J2005" s="12">
        <v>0.4027</v>
      </c>
      <c r="K2005" s="13">
        <v>1</v>
      </c>
      <c r="L2005" s="14">
        <v>365</v>
      </c>
      <c r="M2005" s="10">
        <v>147</v>
      </c>
      <c r="N2005" s="10">
        <v>40333</v>
      </c>
      <c r="O2005" s="10">
        <v>11528</v>
      </c>
      <c r="P2005" s="10">
        <v>51861</v>
      </c>
    </row>
    <row r="2006" spans="1:16" ht="27" customHeight="1" x14ac:dyDescent="0.2">
      <c r="A2006" s="9" t="s">
        <v>7093</v>
      </c>
      <c r="B2006" s="10" t="s">
        <v>7327</v>
      </c>
      <c r="C2006" s="11" t="s">
        <v>18</v>
      </c>
      <c r="D2006" s="11" t="s">
        <v>19</v>
      </c>
      <c r="E2006" s="11" t="s">
        <v>19</v>
      </c>
      <c r="F2006" s="11" t="s">
        <v>7328</v>
      </c>
      <c r="G2006" s="11" t="s">
        <v>83</v>
      </c>
      <c r="H2006" s="11" t="s">
        <v>7329</v>
      </c>
      <c r="I2006" s="11" t="s">
        <v>7330</v>
      </c>
      <c r="J2006" s="12">
        <v>0.86080000000000001</v>
      </c>
      <c r="K2006" s="13">
        <v>4</v>
      </c>
      <c r="L2006" s="14">
        <v>1554</v>
      </c>
      <c r="M2006" s="10">
        <v>1252</v>
      </c>
      <c r="N2006" s="10">
        <v>171719</v>
      </c>
      <c r="O2006" s="10">
        <v>98181</v>
      </c>
      <c r="P2006" s="10">
        <v>269900</v>
      </c>
    </row>
    <row r="2007" spans="1:16" ht="27" customHeight="1" x14ac:dyDescent="0.2">
      <c r="A2007" s="9" t="s">
        <v>7093</v>
      </c>
      <c r="B2007" s="10" t="s">
        <v>7327</v>
      </c>
      <c r="C2007" s="11" t="s">
        <v>7331</v>
      </c>
      <c r="D2007" s="11" t="s">
        <v>7332</v>
      </c>
      <c r="E2007" s="11" t="s">
        <v>26</v>
      </c>
      <c r="F2007" s="11" t="s">
        <v>7333</v>
      </c>
      <c r="G2007" s="11" t="s">
        <v>28</v>
      </c>
      <c r="H2007" s="11" t="s">
        <v>7333</v>
      </c>
      <c r="I2007" s="11" t="s">
        <v>7334</v>
      </c>
      <c r="J2007" s="12">
        <v>0.70220000000000005</v>
      </c>
      <c r="K2007" s="13">
        <v>1</v>
      </c>
      <c r="L2007" s="14">
        <v>1293</v>
      </c>
      <c r="M2007" s="10">
        <v>908</v>
      </c>
      <c r="N2007" s="10">
        <v>142879</v>
      </c>
      <c r="O2007" s="10">
        <v>71204</v>
      </c>
      <c r="P2007" s="10">
        <v>214083</v>
      </c>
    </row>
    <row r="2008" spans="1:16" ht="27" customHeight="1" x14ac:dyDescent="0.2">
      <c r="A2008" s="9" t="s">
        <v>7093</v>
      </c>
      <c r="B2008" s="10" t="s">
        <v>7335</v>
      </c>
      <c r="C2008" s="11" t="s">
        <v>18</v>
      </c>
      <c r="D2008" s="11" t="s">
        <v>19</v>
      </c>
      <c r="E2008" s="11" t="s">
        <v>19</v>
      </c>
      <c r="F2008" s="11" t="s">
        <v>7336</v>
      </c>
      <c r="G2008" s="11" t="s">
        <v>83</v>
      </c>
      <c r="H2008" s="11" t="s">
        <v>7337</v>
      </c>
      <c r="I2008" s="11" t="s">
        <v>7338</v>
      </c>
      <c r="J2008" s="12">
        <v>0.7591</v>
      </c>
      <c r="K2008" s="13">
        <v>11</v>
      </c>
      <c r="L2008" s="14">
        <v>3216</v>
      </c>
      <c r="M2008" s="10">
        <v>1864</v>
      </c>
      <c r="N2008" s="10">
        <v>355375</v>
      </c>
      <c r="O2008" s="10">
        <v>146172</v>
      </c>
      <c r="P2008" s="10">
        <v>501547</v>
      </c>
    </row>
    <row r="2009" spans="1:16" ht="27" customHeight="1" x14ac:dyDescent="0.2">
      <c r="A2009" s="9" t="s">
        <v>7093</v>
      </c>
      <c r="B2009" s="10" t="s">
        <v>7335</v>
      </c>
      <c r="C2009" s="11" t="s">
        <v>7339</v>
      </c>
      <c r="D2009" s="11" t="s">
        <v>7340</v>
      </c>
      <c r="E2009" s="11" t="s">
        <v>57</v>
      </c>
      <c r="F2009" s="11" t="s">
        <v>7341</v>
      </c>
      <c r="G2009" s="11" t="s">
        <v>28</v>
      </c>
      <c r="H2009" s="11" t="s">
        <v>7341</v>
      </c>
      <c r="I2009" s="11" t="s">
        <v>7342</v>
      </c>
      <c r="J2009" s="12">
        <v>0.3453</v>
      </c>
      <c r="K2009" s="13">
        <v>1</v>
      </c>
      <c r="L2009" s="14">
        <v>391</v>
      </c>
      <c r="M2009" s="10">
        <v>135</v>
      </c>
      <c r="N2009" s="10">
        <v>43206</v>
      </c>
      <c r="O2009" s="10">
        <v>10587</v>
      </c>
      <c r="P2009" s="10">
        <v>53793</v>
      </c>
    </row>
    <row r="2010" spans="1:16" ht="27" customHeight="1" x14ac:dyDescent="0.2">
      <c r="A2010" s="9" t="s">
        <v>7093</v>
      </c>
      <c r="B2010" s="10" t="s">
        <v>7335</v>
      </c>
      <c r="C2010" s="11" t="s">
        <v>7343</v>
      </c>
      <c r="D2010" s="11" t="s">
        <v>7344</v>
      </c>
      <c r="E2010" s="11" t="s">
        <v>57</v>
      </c>
      <c r="F2010" s="11" t="s">
        <v>7345</v>
      </c>
      <c r="G2010" s="11" t="s">
        <v>28</v>
      </c>
      <c r="H2010" s="11" t="s">
        <v>7345</v>
      </c>
      <c r="I2010" s="11" t="s">
        <v>7346</v>
      </c>
      <c r="J2010" s="12">
        <v>0.18809999999999999</v>
      </c>
      <c r="K2010" s="13">
        <v>1</v>
      </c>
      <c r="L2010" s="14">
        <v>436</v>
      </c>
      <c r="M2010" s="10">
        <v>82</v>
      </c>
      <c r="N2010" s="10">
        <v>48179</v>
      </c>
      <c r="O2010" s="10">
        <v>6430</v>
      </c>
      <c r="P2010" s="10">
        <v>54609</v>
      </c>
    </row>
    <row r="2011" spans="1:16" ht="27" customHeight="1" x14ac:dyDescent="0.2">
      <c r="A2011" s="9" t="s">
        <v>7093</v>
      </c>
      <c r="B2011" s="10" t="s">
        <v>7335</v>
      </c>
      <c r="C2011" s="11" t="s">
        <v>7347</v>
      </c>
      <c r="D2011" s="11" t="s">
        <v>7348</v>
      </c>
      <c r="E2011" s="11" t="s">
        <v>57</v>
      </c>
      <c r="F2011" s="11" t="s">
        <v>7349</v>
      </c>
      <c r="G2011" s="11" t="s">
        <v>28</v>
      </c>
      <c r="H2011" s="11" t="s">
        <v>7349</v>
      </c>
      <c r="I2011" s="11" t="s">
        <v>7350</v>
      </c>
      <c r="J2011" s="12">
        <v>0.54039999999999999</v>
      </c>
      <c r="K2011" s="13">
        <v>1</v>
      </c>
      <c r="L2011" s="14">
        <v>853</v>
      </c>
      <c r="M2011" s="10">
        <v>461</v>
      </c>
      <c r="N2011" s="10">
        <v>94258</v>
      </c>
      <c r="O2011" s="10">
        <v>36151</v>
      </c>
      <c r="P2011" s="10">
        <v>130409</v>
      </c>
    </row>
    <row r="2012" spans="1:16" ht="27" customHeight="1" x14ac:dyDescent="0.2">
      <c r="A2012" s="9" t="s">
        <v>7093</v>
      </c>
      <c r="B2012" s="10" t="s">
        <v>7335</v>
      </c>
      <c r="C2012" s="11" t="s">
        <v>7351</v>
      </c>
      <c r="D2012" s="11" t="s">
        <v>7352</v>
      </c>
      <c r="E2012" s="11" t="s">
        <v>26</v>
      </c>
      <c r="F2012" s="11" t="s">
        <v>7353</v>
      </c>
      <c r="G2012" s="11" t="s">
        <v>28</v>
      </c>
      <c r="H2012" s="11" t="s">
        <v>7353</v>
      </c>
      <c r="I2012" s="11" t="s">
        <v>7354</v>
      </c>
      <c r="J2012" s="12">
        <v>0.68520000000000003</v>
      </c>
      <c r="K2012" s="13">
        <v>1</v>
      </c>
      <c r="L2012" s="14">
        <v>108</v>
      </c>
      <c r="M2012" s="10">
        <v>74</v>
      </c>
      <c r="N2012" s="10">
        <v>11934</v>
      </c>
      <c r="O2012" s="10">
        <v>5803</v>
      </c>
      <c r="P2012" s="10">
        <v>17737</v>
      </c>
    </row>
    <row r="2013" spans="1:16" ht="27" customHeight="1" x14ac:dyDescent="0.2">
      <c r="A2013" s="9" t="s">
        <v>7093</v>
      </c>
      <c r="B2013" s="10" t="s">
        <v>7355</v>
      </c>
      <c r="C2013" s="11" t="s">
        <v>18</v>
      </c>
      <c r="D2013" s="11" t="s">
        <v>19</v>
      </c>
      <c r="E2013" s="11" t="s">
        <v>19</v>
      </c>
      <c r="F2013" s="11" t="s">
        <v>7356</v>
      </c>
      <c r="G2013" s="11" t="s">
        <v>83</v>
      </c>
      <c r="H2013" s="11" t="s">
        <v>7357</v>
      </c>
      <c r="I2013" s="11" t="s">
        <v>7358</v>
      </c>
      <c r="J2013" s="12">
        <v>0.28000000000000003</v>
      </c>
      <c r="K2013" s="13">
        <v>12</v>
      </c>
      <c r="L2013" s="14">
        <v>9921</v>
      </c>
      <c r="M2013" s="10">
        <v>4106</v>
      </c>
      <c r="N2013" s="10">
        <v>1096288</v>
      </c>
      <c r="O2013" s="10">
        <v>321989</v>
      </c>
      <c r="P2013" s="10">
        <v>1418277</v>
      </c>
    </row>
    <row r="2014" spans="1:16" ht="27" customHeight="1" x14ac:dyDescent="0.2">
      <c r="A2014" s="9" t="s">
        <v>7093</v>
      </c>
      <c r="B2014" s="10" t="s">
        <v>7355</v>
      </c>
      <c r="C2014" s="11" t="s">
        <v>7359</v>
      </c>
      <c r="D2014" s="11" t="s">
        <v>7360</v>
      </c>
      <c r="E2014" s="11" t="s">
        <v>57</v>
      </c>
      <c r="F2014" s="11" t="s">
        <v>7361</v>
      </c>
      <c r="G2014" s="11" t="s">
        <v>28</v>
      </c>
      <c r="H2014" s="11" t="s">
        <v>7096</v>
      </c>
      <c r="I2014" s="11" t="s">
        <v>7097</v>
      </c>
      <c r="J2014" s="12">
        <v>1</v>
      </c>
      <c r="K2014" s="13">
        <v>1</v>
      </c>
      <c r="L2014" s="14">
        <v>128</v>
      </c>
      <c r="M2014" s="10">
        <v>13</v>
      </c>
      <c r="N2014" s="10">
        <v>14144</v>
      </c>
      <c r="O2014" s="10">
        <v>1019</v>
      </c>
      <c r="P2014" s="10">
        <v>15163</v>
      </c>
    </row>
    <row r="2015" spans="1:16" ht="27" customHeight="1" x14ac:dyDescent="0.2">
      <c r="A2015" s="9" t="s">
        <v>7093</v>
      </c>
      <c r="B2015" s="10" t="s">
        <v>7362</v>
      </c>
      <c r="C2015" s="11" t="s">
        <v>18</v>
      </c>
      <c r="D2015" s="11" t="s">
        <v>19</v>
      </c>
      <c r="E2015" s="11" t="s">
        <v>19</v>
      </c>
      <c r="F2015" s="11" t="s">
        <v>7363</v>
      </c>
      <c r="G2015" s="11" t="s">
        <v>83</v>
      </c>
      <c r="H2015" s="11" t="s">
        <v>7364</v>
      </c>
      <c r="I2015" s="11" t="s">
        <v>7365</v>
      </c>
      <c r="J2015" s="12">
        <v>0.56710000000000005</v>
      </c>
      <c r="K2015" s="13">
        <v>3</v>
      </c>
      <c r="L2015" s="14">
        <v>424</v>
      </c>
      <c r="M2015" s="10">
        <v>235</v>
      </c>
      <c r="N2015" s="10">
        <v>46853</v>
      </c>
      <c r="O2015" s="10">
        <v>18429</v>
      </c>
      <c r="P2015" s="10">
        <v>65282</v>
      </c>
    </row>
    <row r="2016" spans="1:16" ht="27" customHeight="1" x14ac:dyDescent="0.2">
      <c r="A2016" s="9" t="s">
        <v>7093</v>
      </c>
      <c r="B2016" s="10" t="s">
        <v>7362</v>
      </c>
      <c r="C2016" s="11" t="s">
        <v>7366</v>
      </c>
      <c r="D2016" s="11" t="s">
        <v>7367</v>
      </c>
      <c r="E2016" s="11" t="s">
        <v>26</v>
      </c>
      <c r="F2016" s="11" t="s">
        <v>7368</v>
      </c>
      <c r="G2016" s="11" t="s">
        <v>28</v>
      </c>
      <c r="H2016" s="11" t="s">
        <v>7368</v>
      </c>
      <c r="I2016" s="11" t="s">
        <v>7369</v>
      </c>
      <c r="J2016" s="12">
        <v>0.30480000000000002</v>
      </c>
      <c r="K2016" s="13">
        <v>1</v>
      </c>
      <c r="L2016" s="14">
        <v>269</v>
      </c>
      <c r="M2016" s="10">
        <v>82</v>
      </c>
      <c r="N2016" s="10">
        <v>29725</v>
      </c>
      <c r="O2016" s="10">
        <v>6430</v>
      </c>
      <c r="P2016" s="10">
        <v>36155</v>
      </c>
    </row>
    <row r="2017" spans="1:16" ht="27" customHeight="1" x14ac:dyDescent="0.2">
      <c r="A2017" s="9" t="s">
        <v>7093</v>
      </c>
      <c r="B2017" s="10" t="s">
        <v>7370</v>
      </c>
      <c r="C2017" s="11" t="s">
        <v>18</v>
      </c>
      <c r="D2017" s="11" t="s">
        <v>19</v>
      </c>
      <c r="E2017" s="11" t="s">
        <v>19</v>
      </c>
      <c r="F2017" s="11" t="s">
        <v>7371</v>
      </c>
      <c r="G2017" s="11" t="s">
        <v>83</v>
      </c>
      <c r="H2017" s="11" t="s">
        <v>7372</v>
      </c>
      <c r="I2017" s="11" t="s">
        <v>7373</v>
      </c>
      <c r="J2017" s="12">
        <v>0.5857</v>
      </c>
      <c r="K2017" s="13">
        <v>9</v>
      </c>
      <c r="L2017" s="14">
        <v>3134</v>
      </c>
      <c r="M2017" s="10">
        <v>1411</v>
      </c>
      <c r="N2017" s="10">
        <v>346312</v>
      </c>
      <c r="O2017" s="10">
        <v>110649</v>
      </c>
      <c r="P2017" s="10">
        <v>456961</v>
      </c>
    </row>
    <row r="2018" spans="1:16" ht="27" customHeight="1" x14ac:dyDescent="0.2">
      <c r="A2018" s="9" t="s">
        <v>7093</v>
      </c>
      <c r="B2018" s="10" t="s">
        <v>7370</v>
      </c>
      <c r="C2018" s="11" t="s">
        <v>7374</v>
      </c>
      <c r="D2018" s="11" t="s">
        <v>7375</v>
      </c>
      <c r="E2018" s="11" t="s">
        <v>26</v>
      </c>
      <c r="F2018" s="11" t="s">
        <v>7376</v>
      </c>
      <c r="G2018" s="11" t="s">
        <v>28</v>
      </c>
      <c r="H2018" s="11" t="s">
        <v>7376</v>
      </c>
      <c r="I2018" s="11" t="s">
        <v>7377</v>
      </c>
      <c r="J2018" s="12">
        <v>0.40450000000000003</v>
      </c>
      <c r="K2018" s="13">
        <v>1</v>
      </c>
      <c r="L2018" s="14">
        <v>220</v>
      </c>
      <c r="M2018" s="10">
        <v>89</v>
      </c>
      <c r="N2018" s="10">
        <v>24310</v>
      </c>
      <c r="O2018" s="10">
        <v>6979</v>
      </c>
      <c r="P2018" s="10">
        <v>31289</v>
      </c>
    </row>
    <row r="2019" spans="1:16" ht="27" customHeight="1" x14ac:dyDescent="0.2">
      <c r="A2019" s="9" t="s">
        <v>7093</v>
      </c>
      <c r="B2019" s="10" t="s">
        <v>7370</v>
      </c>
      <c r="C2019" s="11" t="s">
        <v>7378</v>
      </c>
      <c r="D2019" s="11" t="s">
        <v>7379</v>
      </c>
      <c r="E2019" s="11" t="s">
        <v>26</v>
      </c>
      <c r="F2019" s="11" t="s">
        <v>7380</v>
      </c>
      <c r="G2019" s="11" t="s">
        <v>28</v>
      </c>
      <c r="H2019" s="11" t="s">
        <v>7380</v>
      </c>
      <c r="I2019" s="11" t="s">
        <v>7381</v>
      </c>
      <c r="J2019" s="12">
        <v>0.34599999999999997</v>
      </c>
      <c r="K2019" s="13">
        <v>1</v>
      </c>
      <c r="L2019" s="14">
        <v>211</v>
      </c>
      <c r="M2019" s="10">
        <v>73</v>
      </c>
      <c r="N2019" s="10">
        <v>23316</v>
      </c>
      <c r="O2019" s="10">
        <v>5725</v>
      </c>
      <c r="P2019" s="10">
        <v>29041</v>
      </c>
    </row>
    <row r="2020" spans="1:16" ht="27" customHeight="1" x14ac:dyDescent="0.2">
      <c r="A2020" s="9" t="s">
        <v>7093</v>
      </c>
      <c r="B2020" s="10" t="s">
        <v>7382</v>
      </c>
      <c r="C2020" s="11" t="s">
        <v>18</v>
      </c>
      <c r="D2020" s="11" t="s">
        <v>19</v>
      </c>
      <c r="E2020" s="11" t="s">
        <v>19</v>
      </c>
      <c r="F2020" s="11" t="s">
        <v>7383</v>
      </c>
      <c r="G2020" s="11" t="s">
        <v>83</v>
      </c>
      <c r="H2020" s="11" t="s">
        <v>7384</v>
      </c>
      <c r="I2020" s="11" t="s">
        <v>7385</v>
      </c>
      <c r="J2020" s="12">
        <v>0.223</v>
      </c>
      <c r="K2020" s="13">
        <v>2</v>
      </c>
      <c r="L2020" s="14">
        <v>296</v>
      </c>
      <c r="M2020" s="10">
        <v>66</v>
      </c>
      <c r="N2020" s="10">
        <v>32708</v>
      </c>
      <c r="O2020" s="10">
        <v>5176</v>
      </c>
      <c r="P2020" s="10">
        <v>37884</v>
      </c>
    </row>
    <row r="2021" spans="1:16" ht="27" customHeight="1" x14ac:dyDescent="0.2">
      <c r="A2021" s="9" t="s">
        <v>7093</v>
      </c>
      <c r="B2021" s="10" t="s">
        <v>7382</v>
      </c>
      <c r="C2021" s="11" t="s">
        <v>7386</v>
      </c>
      <c r="D2021" s="11" t="s">
        <v>7387</v>
      </c>
      <c r="E2021" s="11" t="s">
        <v>57</v>
      </c>
      <c r="F2021" s="11" t="s">
        <v>7388</v>
      </c>
      <c r="G2021" s="11" t="s">
        <v>28</v>
      </c>
      <c r="H2021" s="11" t="s">
        <v>7388</v>
      </c>
      <c r="I2021" s="11" t="s">
        <v>7389</v>
      </c>
      <c r="J2021" s="12">
        <v>0.20369999999999999</v>
      </c>
      <c r="K2021" s="13">
        <v>1</v>
      </c>
      <c r="L2021" s="14">
        <v>216</v>
      </c>
      <c r="M2021" s="10">
        <v>44</v>
      </c>
      <c r="N2021" s="10">
        <v>23868</v>
      </c>
      <c r="O2021" s="10">
        <v>3450</v>
      </c>
      <c r="P2021" s="10">
        <v>27318</v>
      </c>
    </row>
    <row r="2022" spans="1:16" ht="27" customHeight="1" x14ac:dyDescent="0.2">
      <c r="A2022" s="9" t="s">
        <v>7093</v>
      </c>
      <c r="B2022" s="10" t="s">
        <v>7382</v>
      </c>
      <c r="C2022" s="11" t="s">
        <v>7390</v>
      </c>
      <c r="D2022" s="11" t="s">
        <v>7391</v>
      </c>
      <c r="E2022" s="11" t="s">
        <v>57</v>
      </c>
      <c r="F2022" s="11" t="s">
        <v>7392</v>
      </c>
      <c r="G2022" s="11" t="s">
        <v>28</v>
      </c>
      <c r="H2022" s="11" t="s">
        <v>7392</v>
      </c>
      <c r="I2022" s="11" t="s">
        <v>7393</v>
      </c>
      <c r="J2022" s="12">
        <v>0.34160000000000001</v>
      </c>
      <c r="K2022" s="13">
        <v>1</v>
      </c>
      <c r="L2022" s="14">
        <v>243</v>
      </c>
      <c r="M2022" s="10">
        <v>83</v>
      </c>
      <c r="N2022" s="10">
        <v>26852</v>
      </c>
      <c r="O2022" s="10">
        <v>6509</v>
      </c>
      <c r="P2022" s="10">
        <v>33361</v>
      </c>
    </row>
    <row r="2023" spans="1:16" ht="27" customHeight="1" x14ac:dyDescent="0.2">
      <c r="A2023" s="9" t="s">
        <v>7093</v>
      </c>
      <c r="B2023" s="10" t="s">
        <v>7382</v>
      </c>
      <c r="C2023" s="11" t="s">
        <v>7394</v>
      </c>
      <c r="D2023" s="11" t="s">
        <v>7395</v>
      </c>
      <c r="E2023" s="11" t="s">
        <v>57</v>
      </c>
      <c r="F2023" s="11" t="s">
        <v>7396</v>
      </c>
      <c r="G2023" s="11" t="s">
        <v>28</v>
      </c>
      <c r="H2023" s="11" t="s">
        <v>7096</v>
      </c>
      <c r="I2023" s="11" t="s">
        <v>7097</v>
      </c>
      <c r="J2023" s="12">
        <v>1</v>
      </c>
      <c r="K2023" s="13">
        <v>1</v>
      </c>
      <c r="L2023" s="14">
        <v>204</v>
      </c>
      <c r="M2023" s="10">
        <v>55</v>
      </c>
      <c r="N2023" s="10">
        <v>22542</v>
      </c>
      <c r="O2023" s="10">
        <v>4313</v>
      </c>
      <c r="P2023" s="10">
        <v>26855</v>
      </c>
    </row>
    <row r="2024" spans="1:16" ht="27" customHeight="1" x14ac:dyDescent="0.2">
      <c r="A2024" s="9" t="s">
        <v>7093</v>
      </c>
      <c r="B2024" s="10" t="s">
        <v>7397</v>
      </c>
      <c r="C2024" s="11" t="s">
        <v>18</v>
      </c>
      <c r="D2024" s="11" t="s">
        <v>19</v>
      </c>
      <c r="E2024" s="11" t="s">
        <v>19</v>
      </c>
      <c r="F2024" s="11" t="s">
        <v>7398</v>
      </c>
      <c r="G2024" s="11" t="s">
        <v>83</v>
      </c>
      <c r="H2024" s="11" t="s">
        <v>7399</v>
      </c>
      <c r="I2024" s="11" t="s">
        <v>7400</v>
      </c>
      <c r="J2024" s="12">
        <v>0.46210000000000001</v>
      </c>
      <c r="K2024" s="13">
        <v>2</v>
      </c>
      <c r="L2024" s="14">
        <v>132</v>
      </c>
      <c r="M2024" s="10">
        <v>61</v>
      </c>
      <c r="N2024" s="10">
        <v>14586</v>
      </c>
      <c r="O2024" s="10">
        <v>4784</v>
      </c>
      <c r="P2024" s="10">
        <v>19370</v>
      </c>
    </row>
    <row r="2025" spans="1:16" ht="27" customHeight="1" x14ac:dyDescent="0.2">
      <c r="A2025" s="9" t="s">
        <v>7093</v>
      </c>
      <c r="B2025" s="10" t="s">
        <v>7401</v>
      </c>
      <c r="C2025" s="11" t="s">
        <v>18</v>
      </c>
      <c r="D2025" s="11" t="s">
        <v>19</v>
      </c>
      <c r="E2025" s="11" t="s">
        <v>19</v>
      </c>
      <c r="F2025" s="11" t="s">
        <v>7402</v>
      </c>
      <c r="G2025" s="11" t="s">
        <v>83</v>
      </c>
      <c r="H2025" s="11" t="s">
        <v>7403</v>
      </c>
      <c r="I2025" s="11" t="s">
        <v>7404</v>
      </c>
      <c r="J2025" s="12">
        <v>0.18640000000000001</v>
      </c>
      <c r="K2025" s="13">
        <v>3</v>
      </c>
      <c r="L2025" s="14">
        <v>774</v>
      </c>
      <c r="M2025" s="10">
        <v>120</v>
      </c>
      <c r="N2025" s="10">
        <v>85528</v>
      </c>
      <c r="O2025" s="10">
        <v>9410</v>
      </c>
      <c r="P2025" s="10">
        <v>94938</v>
      </c>
    </row>
    <row r="2026" spans="1:16" ht="27" customHeight="1" x14ac:dyDescent="0.2">
      <c r="A2026" s="9" t="s">
        <v>7093</v>
      </c>
      <c r="B2026" s="10" t="s">
        <v>7405</v>
      </c>
      <c r="C2026" s="11" t="s">
        <v>18</v>
      </c>
      <c r="D2026" s="11" t="s">
        <v>19</v>
      </c>
      <c r="E2026" s="11" t="s">
        <v>19</v>
      </c>
      <c r="F2026" s="11" t="s">
        <v>7406</v>
      </c>
      <c r="G2026" s="11" t="s">
        <v>83</v>
      </c>
      <c r="H2026" s="11" t="s">
        <v>7407</v>
      </c>
      <c r="I2026" s="11" t="s">
        <v>7408</v>
      </c>
      <c r="J2026" s="12">
        <v>0.2482</v>
      </c>
      <c r="K2026" s="13">
        <v>2</v>
      </c>
      <c r="L2026" s="14">
        <v>137</v>
      </c>
      <c r="M2026" s="10">
        <v>34</v>
      </c>
      <c r="N2026" s="10">
        <v>15139</v>
      </c>
      <c r="O2026" s="10">
        <v>2666</v>
      </c>
      <c r="P2026" s="10">
        <v>17805</v>
      </c>
    </row>
    <row r="2027" spans="1:16" ht="27" customHeight="1" x14ac:dyDescent="0.2">
      <c r="A2027" s="9" t="s">
        <v>7093</v>
      </c>
      <c r="B2027" s="10" t="s">
        <v>7409</v>
      </c>
      <c r="C2027" s="11" t="s">
        <v>18</v>
      </c>
      <c r="D2027" s="11" t="s">
        <v>19</v>
      </c>
      <c r="E2027" s="11" t="s">
        <v>19</v>
      </c>
      <c r="F2027" s="11" t="s">
        <v>7410</v>
      </c>
      <c r="G2027" s="11" t="s">
        <v>83</v>
      </c>
      <c r="H2027" s="11" t="s">
        <v>899</v>
      </c>
      <c r="I2027" s="11" t="s">
        <v>7411</v>
      </c>
      <c r="J2027" s="12">
        <v>0.2064</v>
      </c>
      <c r="K2027" s="13">
        <v>2</v>
      </c>
      <c r="L2027" s="14">
        <v>219</v>
      </c>
      <c r="M2027" s="10">
        <v>45</v>
      </c>
      <c r="N2027" s="10">
        <v>24200</v>
      </c>
      <c r="O2027" s="10">
        <v>3529</v>
      </c>
      <c r="P2027" s="10">
        <v>27729</v>
      </c>
    </row>
    <row r="2028" spans="1:16" ht="27" customHeight="1" x14ac:dyDescent="0.2">
      <c r="A2028" s="9" t="s">
        <v>7093</v>
      </c>
      <c r="B2028" s="10" t="s">
        <v>7412</v>
      </c>
      <c r="C2028" s="11" t="s">
        <v>18</v>
      </c>
      <c r="D2028" s="11" t="s">
        <v>19</v>
      </c>
      <c r="E2028" s="11" t="s">
        <v>19</v>
      </c>
      <c r="F2028" s="11" t="s">
        <v>7413</v>
      </c>
      <c r="G2028" s="11" t="s">
        <v>83</v>
      </c>
      <c r="H2028" s="11" t="s">
        <v>7414</v>
      </c>
      <c r="I2028" s="11" t="s">
        <v>7415</v>
      </c>
      <c r="J2028" s="12">
        <v>0.77629999999999999</v>
      </c>
      <c r="K2028" s="13">
        <v>3</v>
      </c>
      <c r="L2028" s="14">
        <v>826</v>
      </c>
      <c r="M2028" s="10">
        <v>565</v>
      </c>
      <c r="N2028" s="10">
        <v>91274</v>
      </c>
      <c r="O2028" s="10">
        <v>44307</v>
      </c>
      <c r="P2028" s="10">
        <v>135581</v>
      </c>
    </row>
    <row r="2029" spans="1:16" ht="27" customHeight="1" x14ac:dyDescent="0.2">
      <c r="A2029" s="9" t="s">
        <v>7093</v>
      </c>
      <c r="B2029" s="10" t="s">
        <v>7412</v>
      </c>
      <c r="C2029" s="11" t="s">
        <v>7416</v>
      </c>
      <c r="D2029" s="11" t="s">
        <v>7417</v>
      </c>
      <c r="E2029" s="11" t="s">
        <v>57</v>
      </c>
      <c r="F2029" s="11" t="s">
        <v>7418</v>
      </c>
      <c r="G2029" s="11" t="s">
        <v>28</v>
      </c>
      <c r="H2029" s="11" t="s">
        <v>7418</v>
      </c>
      <c r="I2029" s="11" t="s">
        <v>7419</v>
      </c>
      <c r="J2029" s="12">
        <v>0.68269999999999997</v>
      </c>
      <c r="K2029" s="13">
        <v>1</v>
      </c>
      <c r="L2029" s="14">
        <v>457</v>
      </c>
      <c r="M2029" s="10">
        <v>312</v>
      </c>
      <c r="N2029" s="10">
        <v>50499</v>
      </c>
      <c r="O2029" s="10">
        <v>24467</v>
      </c>
      <c r="P2029" s="10">
        <v>74966</v>
      </c>
    </row>
    <row r="2030" spans="1:16" ht="27" customHeight="1" x14ac:dyDescent="0.2">
      <c r="A2030" s="9" t="s">
        <v>7093</v>
      </c>
      <c r="B2030" s="10" t="s">
        <v>7420</v>
      </c>
      <c r="C2030" s="11" t="s">
        <v>18</v>
      </c>
      <c r="D2030" s="11" t="s">
        <v>19</v>
      </c>
      <c r="E2030" s="11" t="s">
        <v>19</v>
      </c>
      <c r="F2030" s="11" t="s">
        <v>7421</v>
      </c>
      <c r="G2030" s="11" t="s">
        <v>83</v>
      </c>
      <c r="H2030" s="11" t="s">
        <v>7422</v>
      </c>
      <c r="I2030" s="11" t="s">
        <v>7423</v>
      </c>
      <c r="J2030" s="12">
        <v>0.79630000000000001</v>
      </c>
      <c r="K2030" s="13">
        <v>14</v>
      </c>
      <c r="L2030" s="14">
        <v>6040</v>
      </c>
      <c r="M2030" s="10">
        <v>2512</v>
      </c>
      <c r="N2030" s="10">
        <v>667431</v>
      </c>
      <c r="O2030" s="10">
        <v>196987</v>
      </c>
      <c r="P2030" s="10">
        <v>864418</v>
      </c>
    </row>
    <row r="2031" spans="1:16" ht="27" customHeight="1" x14ac:dyDescent="0.2">
      <c r="A2031" s="9" t="s">
        <v>7093</v>
      </c>
      <c r="B2031" s="10" t="s">
        <v>7420</v>
      </c>
      <c r="C2031" s="11" t="s">
        <v>7424</v>
      </c>
      <c r="D2031" s="11" t="s">
        <v>7425</v>
      </c>
      <c r="E2031" s="11" t="s">
        <v>26</v>
      </c>
      <c r="F2031" s="11" t="s">
        <v>7426</v>
      </c>
      <c r="G2031" s="11" t="s">
        <v>28</v>
      </c>
      <c r="H2031" s="11" t="s">
        <v>7096</v>
      </c>
      <c r="I2031" s="11" t="s">
        <v>7097</v>
      </c>
      <c r="J2031" s="12">
        <v>1</v>
      </c>
      <c r="K2031" s="13">
        <v>1</v>
      </c>
      <c r="L2031" s="14">
        <v>439</v>
      </c>
      <c r="M2031" s="10">
        <v>140</v>
      </c>
      <c r="N2031" s="10">
        <v>48510</v>
      </c>
      <c r="O2031" s="10">
        <v>10979</v>
      </c>
      <c r="P2031" s="10">
        <v>59489</v>
      </c>
    </row>
    <row r="2032" spans="1:16" ht="27" customHeight="1" x14ac:dyDescent="0.2">
      <c r="A2032" s="9" t="s">
        <v>7093</v>
      </c>
      <c r="B2032" s="10" t="s">
        <v>7427</v>
      </c>
      <c r="C2032" s="11" t="s">
        <v>18</v>
      </c>
      <c r="D2032" s="11" t="s">
        <v>19</v>
      </c>
      <c r="E2032" s="11" t="s">
        <v>19</v>
      </c>
      <c r="F2032" s="11" t="s">
        <v>7428</v>
      </c>
      <c r="G2032" s="11" t="s">
        <v>83</v>
      </c>
      <c r="H2032" s="11" t="s">
        <v>7429</v>
      </c>
      <c r="I2032" s="11" t="s">
        <v>7430</v>
      </c>
      <c r="J2032" s="12">
        <v>0.54969999999999997</v>
      </c>
      <c r="K2032" s="13">
        <v>8</v>
      </c>
      <c r="L2032" s="14">
        <v>3482</v>
      </c>
      <c r="M2032" s="10">
        <v>1700</v>
      </c>
      <c r="N2032" s="10">
        <v>384767</v>
      </c>
      <c r="O2032" s="10">
        <v>133313</v>
      </c>
      <c r="P2032" s="10">
        <v>518080</v>
      </c>
    </row>
    <row r="2033" spans="1:16" ht="27" customHeight="1" x14ac:dyDescent="0.2">
      <c r="A2033" s="9" t="s">
        <v>7093</v>
      </c>
      <c r="B2033" s="10" t="s">
        <v>7427</v>
      </c>
      <c r="C2033" s="11" t="s">
        <v>7431</v>
      </c>
      <c r="D2033" s="11" t="s">
        <v>7432</v>
      </c>
      <c r="E2033" s="11" t="s">
        <v>26</v>
      </c>
      <c r="F2033" s="11" t="s">
        <v>7433</v>
      </c>
      <c r="G2033" s="11" t="s">
        <v>28</v>
      </c>
      <c r="H2033" s="11" t="s">
        <v>7433</v>
      </c>
      <c r="I2033" s="11" t="s">
        <v>7434</v>
      </c>
      <c r="J2033" s="12">
        <v>0.47310000000000002</v>
      </c>
      <c r="K2033" s="13">
        <v>1</v>
      </c>
      <c r="L2033" s="14">
        <v>93</v>
      </c>
      <c r="M2033" s="10">
        <v>44</v>
      </c>
      <c r="N2033" s="10">
        <v>10277</v>
      </c>
      <c r="O2033" s="10">
        <v>3450</v>
      </c>
      <c r="P2033" s="10">
        <v>13727</v>
      </c>
    </row>
    <row r="2034" spans="1:16" ht="27" customHeight="1" x14ac:dyDescent="0.2">
      <c r="A2034" s="9" t="s">
        <v>7093</v>
      </c>
      <c r="B2034" s="10" t="s">
        <v>7427</v>
      </c>
      <c r="C2034" s="11" t="s">
        <v>7435</v>
      </c>
      <c r="D2034" s="11" t="s">
        <v>7436</v>
      </c>
      <c r="E2034" s="11" t="s">
        <v>57</v>
      </c>
      <c r="F2034" s="11" t="s">
        <v>7437</v>
      </c>
      <c r="G2034" s="11" t="s">
        <v>28</v>
      </c>
      <c r="H2034" s="11" t="s">
        <v>7437</v>
      </c>
      <c r="I2034" s="11" t="s">
        <v>7438</v>
      </c>
      <c r="J2034" s="12">
        <v>0.58220000000000005</v>
      </c>
      <c r="K2034" s="13">
        <v>1</v>
      </c>
      <c r="L2034" s="14">
        <v>1168</v>
      </c>
      <c r="M2034" s="10">
        <v>680</v>
      </c>
      <c r="N2034" s="10">
        <v>129066</v>
      </c>
      <c r="O2034" s="10">
        <v>53325</v>
      </c>
      <c r="P2034" s="10">
        <v>182391</v>
      </c>
    </row>
    <row r="2035" spans="1:16" ht="27" customHeight="1" x14ac:dyDescent="0.2">
      <c r="A2035" s="9" t="s">
        <v>7093</v>
      </c>
      <c r="B2035" s="10" t="s">
        <v>7439</v>
      </c>
      <c r="C2035" s="11" t="s">
        <v>18</v>
      </c>
      <c r="D2035" s="11" t="s">
        <v>19</v>
      </c>
      <c r="E2035" s="11" t="s">
        <v>19</v>
      </c>
      <c r="F2035" s="11" t="s">
        <v>7440</v>
      </c>
      <c r="G2035" s="11" t="s">
        <v>83</v>
      </c>
      <c r="H2035" s="11" t="s">
        <v>7441</v>
      </c>
      <c r="I2035" s="11" t="s">
        <v>7442</v>
      </c>
      <c r="J2035" s="12">
        <v>0.67249999999999999</v>
      </c>
      <c r="K2035" s="13">
        <v>5</v>
      </c>
      <c r="L2035" s="14">
        <v>1278</v>
      </c>
      <c r="M2035" s="10">
        <v>729</v>
      </c>
      <c r="N2035" s="10">
        <v>141221</v>
      </c>
      <c r="O2035" s="10">
        <v>57168</v>
      </c>
      <c r="P2035" s="10">
        <v>198389</v>
      </c>
    </row>
    <row r="2036" spans="1:16" ht="27" customHeight="1" x14ac:dyDescent="0.2">
      <c r="A2036" s="9" t="s">
        <v>7443</v>
      </c>
      <c r="B2036" s="10" t="s">
        <v>7444</v>
      </c>
      <c r="C2036" s="11" t="s">
        <v>18</v>
      </c>
      <c r="D2036" s="11" t="s">
        <v>19</v>
      </c>
      <c r="E2036" s="11" t="s">
        <v>19</v>
      </c>
      <c r="F2036" s="11" t="s">
        <v>7445</v>
      </c>
      <c r="G2036" s="11" t="s">
        <v>21</v>
      </c>
      <c r="H2036" s="11" t="s">
        <v>7446</v>
      </c>
      <c r="I2036" s="11" t="s">
        <v>7447</v>
      </c>
      <c r="J2036" s="12">
        <v>0.95469999999999999</v>
      </c>
      <c r="K2036" s="13">
        <v>5</v>
      </c>
      <c r="L2036" s="14">
        <v>1266</v>
      </c>
      <c r="M2036" s="10">
        <v>1046</v>
      </c>
      <c r="N2036" s="10">
        <v>139895</v>
      </c>
      <c r="O2036" s="10">
        <v>82027</v>
      </c>
      <c r="P2036" s="10">
        <v>221922</v>
      </c>
    </row>
    <row r="2037" spans="1:16" ht="27" customHeight="1" x14ac:dyDescent="0.2">
      <c r="A2037" s="9" t="s">
        <v>7443</v>
      </c>
      <c r="B2037" s="10" t="s">
        <v>7444</v>
      </c>
      <c r="C2037" s="11" t="s">
        <v>7448</v>
      </c>
      <c r="D2037" s="11" t="s">
        <v>7449</v>
      </c>
      <c r="E2037" s="11" t="s">
        <v>26</v>
      </c>
      <c r="F2037" s="11" t="s">
        <v>7450</v>
      </c>
      <c r="G2037" s="11" t="s">
        <v>28</v>
      </c>
      <c r="H2037" s="11" t="s">
        <v>7450</v>
      </c>
      <c r="I2037" s="11" t="s">
        <v>7451</v>
      </c>
      <c r="J2037" s="12">
        <v>0.38840000000000002</v>
      </c>
      <c r="K2037" s="13">
        <v>1</v>
      </c>
      <c r="L2037" s="14">
        <v>847</v>
      </c>
      <c r="M2037" s="10">
        <v>329</v>
      </c>
      <c r="N2037" s="10">
        <v>93595</v>
      </c>
      <c r="O2037" s="10">
        <v>25800</v>
      </c>
      <c r="P2037" s="10">
        <v>119395</v>
      </c>
    </row>
    <row r="2038" spans="1:16" ht="27" customHeight="1" x14ac:dyDescent="0.2">
      <c r="A2038" s="9" t="s">
        <v>7443</v>
      </c>
      <c r="B2038" s="10" t="s">
        <v>7444</v>
      </c>
      <c r="C2038" s="11" t="s">
        <v>7452</v>
      </c>
      <c r="D2038" s="11" t="s">
        <v>7453</v>
      </c>
      <c r="E2038" s="11" t="s">
        <v>26</v>
      </c>
      <c r="F2038" s="11" t="s">
        <v>7454</v>
      </c>
      <c r="G2038" s="11" t="s">
        <v>28</v>
      </c>
      <c r="H2038" s="11" t="s">
        <v>7446</v>
      </c>
      <c r="I2038" s="11" t="s">
        <v>7447</v>
      </c>
      <c r="J2038" s="12">
        <v>0.95469999999999999</v>
      </c>
      <c r="K2038" s="13">
        <v>1</v>
      </c>
      <c r="L2038" s="14">
        <v>552</v>
      </c>
      <c r="M2038" s="10">
        <v>305</v>
      </c>
      <c r="N2038" s="10">
        <v>60997</v>
      </c>
      <c r="O2038" s="10">
        <v>23918</v>
      </c>
      <c r="P2038" s="10">
        <v>84915</v>
      </c>
    </row>
    <row r="2039" spans="1:16" ht="27" customHeight="1" x14ac:dyDescent="0.2">
      <c r="A2039" s="9" t="s">
        <v>7443</v>
      </c>
      <c r="B2039" s="10" t="s">
        <v>7455</v>
      </c>
      <c r="C2039" s="11" t="s">
        <v>18</v>
      </c>
      <c r="D2039" s="11" t="s">
        <v>19</v>
      </c>
      <c r="E2039" s="11" t="s">
        <v>19</v>
      </c>
      <c r="F2039" s="11" t="s">
        <v>7456</v>
      </c>
      <c r="G2039" s="11" t="s">
        <v>83</v>
      </c>
      <c r="H2039" s="11" t="s">
        <v>7457</v>
      </c>
      <c r="I2039" s="11" t="s">
        <v>7458</v>
      </c>
      <c r="J2039" s="12">
        <v>0.91679999999999995</v>
      </c>
      <c r="K2039" s="13">
        <v>23</v>
      </c>
      <c r="L2039" s="14">
        <v>13744</v>
      </c>
      <c r="M2039" s="10">
        <v>11384</v>
      </c>
      <c r="N2039" s="10">
        <v>1518734</v>
      </c>
      <c r="O2039" s="10">
        <v>892723</v>
      </c>
      <c r="P2039" s="10">
        <v>2411457</v>
      </c>
    </row>
    <row r="2040" spans="1:16" ht="27" customHeight="1" x14ac:dyDescent="0.2">
      <c r="A2040" s="9" t="s">
        <v>7443</v>
      </c>
      <c r="B2040" s="10" t="s">
        <v>7455</v>
      </c>
      <c r="C2040" s="11" t="s">
        <v>7459</v>
      </c>
      <c r="D2040" s="11" t="s">
        <v>7460</v>
      </c>
      <c r="E2040" s="11" t="s">
        <v>57</v>
      </c>
      <c r="F2040" s="11" t="s">
        <v>7461</v>
      </c>
      <c r="G2040" s="11" t="s">
        <v>28</v>
      </c>
      <c r="H2040" s="11" t="s">
        <v>7461</v>
      </c>
      <c r="I2040" s="11" t="s">
        <v>7462</v>
      </c>
      <c r="J2040" s="12">
        <v>0.51339999999999997</v>
      </c>
      <c r="K2040" s="13">
        <v>1</v>
      </c>
      <c r="L2040" s="14">
        <v>411</v>
      </c>
      <c r="M2040" s="10">
        <v>211</v>
      </c>
      <c r="N2040" s="10">
        <v>45416</v>
      </c>
      <c r="O2040" s="10">
        <v>16546</v>
      </c>
      <c r="P2040" s="10">
        <v>61962</v>
      </c>
    </row>
    <row r="2041" spans="1:16" ht="27" customHeight="1" x14ac:dyDescent="0.2">
      <c r="A2041" s="9" t="s">
        <v>7443</v>
      </c>
      <c r="B2041" s="10" t="s">
        <v>7455</v>
      </c>
      <c r="C2041" s="11" t="s">
        <v>7463</v>
      </c>
      <c r="D2041" s="11" t="s">
        <v>7464</v>
      </c>
      <c r="E2041" s="11" t="s">
        <v>57</v>
      </c>
      <c r="F2041" s="11" t="s">
        <v>7465</v>
      </c>
      <c r="G2041" s="11" t="s">
        <v>28</v>
      </c>
      <c r="H2041" s="11" t="s">
        <v>7446</v>
      </c>
      <c r="I2041" s="11" t="s">
        <v>7447</v>
      </c>
      <c r="J2041" s="12">
        <v>0.95469999999999999</v>
      </c>
      <c r="K2041" s="13">
        <v>1</v>
      </c>
      <c r="L2041" s="14">
        <v>98</v>
      </c>
      <c r="M2041" s="10">
        <v>48</v>
      </c>
      <c r="N2041" s="10">
        <v>10829</v>
      </c>
      <c r="O2041" s="10">
        <v>3764</v>
      </c>
      <c r="P2041" s="10">
        <v>14593</v>
      </c>
    </row>
    <row r="2042" spans="1:16" ht="27" customHeight="1" x14ac:dyDescent="0.2">
      <c r="A2042" s="9" t="s">
        <v>7443</v>
      </c>
      <c r="B2042" s="10" t="s">
        <v>7455</v>
      </c>
      <c r="C2042" s="11" t="s">
        <v>7466</v>
      </c>
      <c r="D2042" s="11" t="s">
        <v>7467</v>
      </c>
      <c r="E2042" s="11" t="s">
        <v>26</v>
      </c>
      <c r="F2042" s="11" t="s">
        <v>7468</v>
      </c>
      <c r="G2042" s="11" t="s">
        <v>28</v>
      </c>
      <c r="H2042" s="11" t="s">
        <v>7468</v>
      </c>
      <c r="I2042" s="11" t="s">
        <v>7469</v>
      </c>
      <c r="J2042" s="12">
        <v>0.75880000000000003</v>
      </c>
      <c r="K2042" s="13">
        <v>1</v>
      </c>
      <c r="L2042" s="14">
        <v>369</v>
      </c>
      <c r="M2042" s="10">
        <v>280</v>
      </c>
      <c r="N2042" s="10">
        <v>40775</v>
      </c>
      <c r="O2042" s="10">
        <v>21957</v>
      </c>
      <c r="P2042" s="10">
        <v>62732</v>
      </c>
    </row>
    <row r="2043" spans="1:16" ht="27" customHeight="1" x14ac:dyDescent="0.2">
      <c r="A2043" s="9" t="s">
        <v>7443</v>
      </c>
      <c r="B2043" s="10" t="s">
        <v>7470</v>
      </c>
      <c r="C2043" s="11" t="s">
        <v>18</v>
      </c>
      <c r="D2043" s="11" t="s">
        <v>19</v>
      </c>
      <c r="E2043" s="11" t="s">
        <v>19</v>
      </c>
      <c r="F2043" s="11" t="s">
        <v>7471</v>
      </c>
      <c r="G2043" s="11" t="s">
        <v>83</v>
      </c>
      <c r="H2043" s="11" t="s">
        <v>7472</v>
      </c>
      <c r="I2043" s="11" t="s">
        <v>7473</v>
      </c>
      <c r="J2043" s="12">
        <v>0.73560000000000003</v>
      </c>
      <c r="K2043" s="13">
        <v>3</v>
      </c>
      <c r="L2043" s="14">
        <v>607</v>
      </c>
      <c r="M2043" s="10">
        <v>427</v>
      </c>
      <c r="N2043" s="10">
        <v>67075</v>
      </c>
      <c r="O2043" s="10">
        <v>33485</v>
      </c>
      <c r="P2043" s="10">
        <v>100560</v>
      </c>
    </row>
    <row r="2044" spans="1:16" ht="27" customHeight="1" x14ac:dyDescent="0.2">
      <c r="A2044" s="9" t="s">
        <v>7443</v>
      </c>
      <c r="B2044" s="10" t="s">
        <v>7474</v>
      </c>
      <c r="C2044" s="11" t="s">
        <v>18</v>
      </c>
      <c r="D2044" s="11" t="s">
        <v>19</v>
      </c>
      <c r="E2044" s="11" t="s">
        <v>19</v>
      </c>
      <c r="F2044" s="11" t="s">
        <v>7475</v>
      </c>
      <c r="G2044" s="11" t="s">
        <v>83</v>
      </c>
      <c r="H2044" s="11" t="s">
        <v>7446</v>
      </c>
      <c r="I2044" s="11" t="s">
        <v>7447</v>
      </c>
      <c r="J2044" s="12">
        <v>0.95469999999999999</v>
      </c>
      <c r="K2044" s="13">
        <v>4</v>
      </c>
      <c r="L2044" s="14">
        <v>566</v>
      </c>
      <c r="M2044" s="10">
        <v>315</v>
      </c>
      <c r="N2044" s="10">
        <v>62544</v>
      </c>
      <c r="O2044" s="10">
        <v>24702</v>
      </c>
      <c r="P2044" s="10">
        <v>87246</v>
      </c>
    </row>
    <row r="2045" spans="1:16" ht="27" customHeight="1" x14ac:dyDescent="0.2">
      <c r="A2045" s="9" t="s">
        <v>7443</v>
      </c>
      <c r="B2045" s="10" t="s">
        <v>7474</v>
      </c>
      <c r="C2045" s="11" t="s">
        <v>7476</v>
      </c>
      <c r="D2045" s="11" t="s">
        <v>7477</v>
      </c>
      <c r="E2045" s="11" t="s">
        <v>57</v>
      </c>
      <c r="F2045" s="11" t="s">
        <v>7478</v>
      </c>
      <c r="G2045" s="11" t="s">
        <v>28</v>
      </c>
      <c r="H2045" s="11" t="s">
        <v>7478</v>
      </c>
      <c r="I2045" s="11" t="s">
        <v>7479</v>
      </c>
      <c r="J2045" s="12">
        <v>0.5151</v>
      </c>
      <c r="K2045" s="13">
        <v>1</v>
      </c>
      <c r="L2045" s="14">
        <v>600</v>
      </c>
      <c r="M2045" s="10">
        <v>309</v>
      </c>
      <c r="N2045" s="10">
        <v>66301</v>
      </c>
      <c r="O2045" s="10">
        <v>24231</v>
      </c>
      <c r="P2045" s="10">
        <v>90532</v>
      </c>
    </row>
    <row r="2046" spans="1:16" ht="27" customHeight="1" x14ac:dyDescent="0.2">
      <c r="A2046" s="9" t="s">
        <v>7443</v>
      </c>
      <c r="B2046" s="10" t="s">
        <v>7474</v>
      </c>
      <c r="C2046" s="11" t="s">
        <v>7480</v>
      </c>
      <c r="D2046" s="11" t="s">
        <v>7481</v>
      </c>
      <c r="E2046" s="11" t="s">
        <v>57</v>
      </c>
      <c r="F2046" s="11" t="s">
        <v>7482</v>
      </c>
      <c r="G2046" s="11" t="s">
        <v>28</v>
      </c>
      <c r="H2046" s="11" t="s">
        <v>7482</v>
      </c>
      <c r="I2046" s="11" t="s">
        <v>7483</v>
      </c>
      <c r="J2046" s="12">
        <v>0.53290000000000004</v>
      </c>
      <c r="K2046" s="13">
        <v>1</v>
      </c>
      <c r="L2046" s="14">
        <v>167</v>
      </c>
      <c r="M2046" s="10">
        <v>89</v>
      </c>
      <c r="N2046" s="10">
        <v>18454</v>
      </c>
      <c r="O2046" s="10">
        <v>6979</v>
      </c>
      <c r="P2046" s="10">
        <v>25433</v>
      </c>
    </row>
    <row r="2047" spans="1:16" ht="27" customHeight="1" x14ac:dyDescent="0.2">
      <c r="A2047" s="9" t="s">
        <v>7443</v>
      </c>
      <c r="B2047" s="10" t="s">
        <v>7484</v>
      </c>
      <c r="C2047" s="11" t="s">
        <v>18</v>
      </c>
      <c r="D2047" s="11" t="s">
        <v>19</v>
      </c>
      <c r="E2047" s="11" t="s">
        <v>19</v>
      </c>
      <c r="F2047" s="11" t="s">
        <v>7485</v>
      </c>
      <c r="G2047" s="11" t="s">
        <v>83</v>
      </c>
      <c r="H2047" s="11" t="s">
        <v>7486</v>
      </c>
      <c r="I2047" s="11" t="s">
        <v>7487</v>
      </c>
      <c r="J2047" s="12">
        <v>0.88160000000000005</v>
      </c>
      <c r="K2047" s="13">
        <v>7</v>
      </c>
      <c r="L2047" s="14">
        <v>2895</v>
      </c>
      <c r="M2047" s="10">
        <v>2293</v>
      </c>
      <c r="N2047" s="10">
        <v>319903</v>
      </c>
      <c r="O2047" s="10">
        <v>179815</v>
      </c>
      <c r="P2047" s="10">
        <v>499718</v>
      </c>
    </row>
    <row r="2048" spans="1:16" ht="27" customHeight="1" x14ac:dyDescent="0.2">
      <c r="A2048" s="9" t="s">
        <v>7443</v>
      </c>
      <c r="B2048" s="10" t="s">
        <v>7488</v>
      </c>
      <c r="C2048" s="11" t="s">
        <v>18</v>
      </c>
      <c r="D2048" s="11" t="s">
        <v>19</v>
      </c>
      <c r="E2048" s="11" t="s">
        <v>19</v>
      </c>
      <c r="F2048" s="11" t="s">
        <v>7489</v>
      </c>
      <c r="G2048" s="11" t="s">
        <v>83</v>
      </c>
      <c r="H2048" s="11" t="s">
        <v>7489</v>
      </c>
      <c r="I2048" s="11" t="s">
        <v>7490</v>
      </c>
      <c r="J2048" s="12">
        <v>0.26090000000000002</v>
      </c>
      <c r="K2048" s="13">
        <v>2</v>
      </c>
      <c r="L2048" s="14">
        <v>23</v>
      </c>
      <c r="M2048" s="10">
        <v>6</v>
      </c>
      <c r="N2048" s="10">
        <v>2542</v>
      </c>
      <c r="O2048" s="10">
        <v>471</v>
      </c>
      <c r="P2048" s="10">
        <v>3013</v>
      </c>
    </row>
    <row r="2049" spans="1:16" ht="27" customHeight="1" x14ac:dyDescent="0.2">
      <c r="A2049" s="9" t="s">
        <v>7443</v>
      </c>
      <c r="B2049" s="10" t="s">
        <v>7488</v>
      </c>
      <c r="C2049" s="11" t="s">
        <v>7491</v>
      </c>
      <c r="D2049" s="11" t="s">
        <v>7492</v>
      </c>
      <c r="E2049" s="11" t="s">
        <v>57</v>
      </c>
      <c r="F2049" s="11" t="s">
        <v>7493</v>
      </c>
      <c r="G2049" s="11" t="s">
        <v>28</v>
      </c>
      <c r="H2049" s="11" t="s">
        <v>7493</v>
      </c>
      <c r="I2049" s="11" t="s">
        <v>7494</v>
      </c>
      <c r="J2049" s="12">
        <v>0.15129999999999999</v>
      </c>
      <c r="K2049" s="13">
        <v>1</v>
      </c>
      <c r="L2049" s="14">
        <v>119</v>
      </c>
      <c r="M2049" s="10">
        <v>18</v>
      </c>
      <c r="N2049" s="10">
        <v>13150</v>
      </c>
      <c r="O2049" s="10">
        <v>1412</v>
      </c>
      <c r="P2049" s="10">
        <v>14562</v>
      </c>
    </row>
    <row r="2050" spans="1:16" ht="27" customHeight="1" x14ac:dyDescent="0.2">
      <c r="A2050" s="9" t="s">
        <v>7443</v>
      </c>
      <c r="B2050" s="10" t="s">
        <v>7495</v>
      </c>
      <c r="C2050" s="11" t="s">
        <v>18</v>
      </c>
      <c r="D2050" s="11" t="s">
        <v>19</v>
      </c>
      <c r="E2050" s="11" t="s">
        <v>19</v>
      </c>
      <c r="F2050" s="11" t="s">
        <v>7496</v>
      </c>
      <c r="G2050" s="11" t="s">
        <v>83</v>
      </c>
      <c r="H2050" s="11" t="s">
        <v>7497</v>
      </c>
      <c r="I2050" s="11" t="s">
        <v>7498</v>
      </c>
      <c r="J2050" s="12">
        <v>0.45050000000000001</v>
      </c>
      <c r="K2050" s="13">
        <v>2</v>
      </c>
      <c r="L2050" s="14">
        <v>737</v>
      </c>
      <c r="M2050" s="10">
        <v>332</v>
      </c>
      <c r="N2050" s="10">
        <v>81440</v>
      </c>
      <c r="O2050" s="10">
        <v>26035</v>
      </c>
      <c r="P2050" s="10">
        <v>107475</v>
      </c>
    </row>
    <row r="2051" spans="1:16" ht="27" customHeight="1" x14ac:dyDescent="0.2">
      <c r="A2051" s="9" t="s">
        <v>7443</v>
      </c>
      <c r="B2051" s="10" t="s">
        <v>7495</v>
      </c>
      <c r="C2051" s="11" t="s">
        <v>7499</v>
      </c>
      <c r="D2051" s="11" t="s">
        <v>7500</v>
      </c>
      <c r="E2051" s="11" t="s">
        <v>57</v>
      </c>
      <c r="F2051" s="11" t="s">
        <v>7501</v>
      </c>
      <c r="G2051" s="11" t="s">
        <v>28</v>
      </c>
      <c r="H2051" s="11" t="s">
        <v>7501</v>
      </c>
      <c r="I2051" s="11" t="s">
        <v>7502</v>
      </c>
      <c r="J2051" s="12">
        <v>0.41970000000000002</v>
      </c>
      <c r="K2051" s="13">
        <v>1</v>
      </c>
      <c r="L2051" s="14">
        <v>436</v>
      </c>
      <c r="M2051" s="10">
        <v>183</v>
      </c>
      <c r="N2051" s="10">
        <v>48179</v>
      </c>
      <c r="O2051" s="10">
        <v>14351</v>
      </c>
      <c r="P2051" s="10">
        <v>62530</v>
      </c>
    </row>
    <row r="2052" spans="1:16" ht="27" customHeight="1" x14ac:dyDescent="0.2">
      <c r="A2052" s="9" t="s">
        <v>7443</v>
      </c>
      <c r="B2052" s="10" t="s">
        <v>7503</v>
      </c>
      <c r="C2052" s="11" t="s">
        <v>18</v>
      </c>
      <c r="D2052" s="11" t="s">
        <v>19</v>
      </c>
      <c r="E2052" s="11" t="s">
        <v>19</v>
      </c>
      <c r="F2052" s="11" t="s">
        <v>7504</v>
      </c>
      <c r="G2052" s="11" t="s">
        <v>83</v>
      </c>
      <c r="H2052" s="11" t="s">
        <v>7505</v>
      </c>
      <c r="I2052" s="11" t="s">
        <v>7506</v>
      </c>
      <c r="J2052" s="12">
        <v>0.37369999999999998</v>
      </c>
      <c r="K2052" s="13">
        <v>4</v>
      </c>
      <c r="L2052" s="14">
        <v>986</v>
      </c>
      <c r="M2052" s="10">
        <v>341</v>
      </c>
      <c r="N2052" s="10">
        <v>108955</v>
      </c>
      <c r="O2052" s="10">
        <v>26741</v>
      </c>
      <c r="P2052" s="10">
        <v>135696</v>
      </c>
    </row>
    <row r="2053" spans="1:16" ht="27" customHeight="1" x14ac:dyDescent="0.2">
      <c r="A2053" s="9" t="s">
        <v>7443</v>
      </c>
      <c r="B2053" s="10" t="s">
        <v>7507</v>
      </c>
      <c r="C2053" s="11" t="s">
        <v>18</v>
      </c>
      <c r="D2053" s="11" t="s">
        <v>19</v>
      </c>
      <c r="E2053" s="11" t="s">
        <v>19</v>
      </c>
      <c r="F2053" s="11" t="s">
        <v>7508</v>
      </c>
      <c r="G2053" s="11" t="s">
        <v>83</v>
      </c>
      <c r="H2053" s="11" t="s">
        <v>7509</v>
      </c>
      <c r="I2053" s="11" t="s">
        <v>7510</v>
      </c>
      <c r="J2053" s="12">
        <v>0.84989999999999999</v>
      </c>
      <c r="K2053" s="13">
        <v>3</v>
      </c>
      <c r="L2053" s="14">
        <v>741</v>
      </c>
      <c r="M2053" s="10">
        <v>639</v>
      </c>
      <c r="N2053" s="10">
        <v>81882</v>
      </c>
      <c r="O2053" s="10">
        <v>50109</v>
      </c>
      <c r="P2053" s="10">
        <v>131991</v>
      </c>
    </row>
    <row r="2054" spans="1:16" ht="27" customHeight="1" x14ac:dyDescent="0.2">
      <c r="A2054" s="9" t="s">
        <v>7443</v>
      </c>
      <c r="B2054" s="10" t="s">
        <v>7507</v>
      </c>
      <c r="C2054" s="11" t="s">
        <v>7511</v>
      </c>
      <c r="D2054" s="11" t="s">
        <v>7512</v>
      </c>
      <c r="E2054" s="11" t="s">
        <v>57</v>
      </c>
      <c r="F2054" s="11" t="s">
        <v>7513</v>
      </c>
      <c r="G2054" s="11" t="s">
        <v>28</v>
      </c>
      <c r="H2054" s="11" t="s">
        <v>7513</v>
      </c>
      <c r="I2054" s="11" t="s">
        <v>7514</v>
      </c>
      <c r="J2054" s="12">
        <v>0.38800000000000001</v>
      </c>
      <c r="K2054" s="13">
        <v>1</v>
      </c>
      <c r="L2054" s="14">
        <v>317</v>
      </c>
      <c r="M2054" s="10">
        <v>123</v>
      </c>
      <c r="N2054" s="10">
        <v>35029</v>
      </c>
      <c r="O2054" s="10">
        <v>9646</v>
      </c>
      <c r="P2054" s="10">
        <v>44675</v>
      </c>
    </row>
    <row r="2055" spans="1:16" ht="27" customHeight="1" x14ac:dyDescent="0.2">
      <c r="A2055" s="9" t="s">
        <v>7443</v>
      </c>
      <c r="B2055" s="10" t="s">
        <v>7515</v>
      </c>
      <c r="C2055" s="11" t="s">
        <v>18</v>
      </c>
      <c r="D2055" s="11" t="s">
        <v>19</v>
      </c>
      <c r="E2055" s="11" t="s">
        <v>19</v>
      </c>
      <c r="F2055" s="11" t="s">
        <v>7516</v>
      </c>
      <c r="G2055" s="11" t="s">
        <v>83</v>
      </c>
      <c r="H2055" s="11" t="s">
        <v>7516</v>
      </c>
      <c r="I2055" s="11" t="s">
        <v>7517</v>
      </c>
      <c r="J2055" s="12">
        <v>0.18640000000000001</v>
      </c>
      <c r="K2055" s="13">
        <v>2</v>
      </c>
      <c r="L2055" s="14">
        <v>118</v>
      </c>
      <c r="M2055" s="10">
        <v>22</v>
      </c>
      <c r="N2055" s="10">
        <v>13039</v>
      </c>
      <c r="O2055" s="10">
        <v>1725</v>
      </c>
      <c r="P2055" s="10">
        <v>14764</v>
      </c>
    </row>
    <row r="2056" spans="1:16" ht="27" customHeight="1" x14ac:dyDescent="0.2">
      <c r="A2056" s="9" t="s">
        <v>7443</v>
      </c>
      <c r="B2056" s="10" t="s">
        <v>7518</v>
      </c>
      <c r="C2056" s="11" t="s">
        <v>18</v>
      </c>
      <c r="D2056" s="11" t="s">
        <v>19</v>
      </c>
      <c r="E2056" s="11" t="s">
        <v>19</v>
      </c>
      <c r="F2056" s="11" t="s">
        <v>7519</v>
      </c>
      <c r="G2056" s="11" t="s">
        <v>83</v>
      </c>
      <c r="H2056" s="11" t="s">
        <v>7446</v>
      </c>
      <c r="I2056" s="11" t="s">
        <v>7447</v>
      </c>
      <c r="J2056" s="12">
        <v>0.95469999999999999</v>
      </c>
      <c r="K2056" s="13">
        <v>27</v>
      </c>
      <c r="L2056" s="14">
        <v>14784</v>
      </c>
      <c r="M2056" s="10">
        <v>12434</v>
      </c>
      <c r="N2056" s="10">
        <v>1633659</v>
      </c>
      <c r="O2056" s="10">
        <v>975062</v>
      </c>
      <c r="P2056" s="10">
        <v>2608721</v>
      </c>
    </row>
    <row r="2057" spans="1:16" ht="27" customHeight="1" x14ac:dyDescent="0.2">
      <c r="A2057" s="9" t="s">
        <v>7443</v>
      </c>
      <c r="B2057" s="10" t="s">
        <v>7518</v>
      </c>
      <c r="C2057" s="11" t="s">
        <v>7520</v>
      </c>
      <c r="D2057" s="11" t="s">
        <v>7521</v>
      </c>
      <c r="E2057" s="11" t="s">
        <v>26</v>
      </c>
      <c r="F2057" s="11" t="s">
        <v>7522</v>
      </c>
      <c r="G2057" s="11" t="s">
        <v>28</v>
      </c>
      <c r="H2057" s="11" t="s">
        <v>7522</v>
      </c>
      <c r="I2057" s="11" t="s">
        <v>7523</v>
      </c>
      <c r="J2057" s="12">
        <v>0.77329999999999999</v>
      </c>
      <c r="K2057" s="13">
        <v>1</v>
      </c>
      <c r="L2057" s="14">
        <v>419</v>
      </c>
      <c r="M2057" s="10">
        <v>324</v>
      </c>
      <c r="N2057" s="10">
        <v>46300</v>
      </c>
      <c r="O2057" s="10">
        <v>25408</v>
      </c>
      <c r="P2057" s="10">
        <v>71708</v>
      </c>
    </row>
    <row r="2058" spans="1:16" ht="27" customHeight="1" x14ac:dyDescent="0.2">
      <c r="A2058" s="9" t="s">
        <v>7443</v>
      </c>
      <c r="B2058" s="10" t="s">
        <v>7518</v>
      </c>
      <c r="C2058" s="11" t="s">
        <v>7524</v>
      </c>
      <c r="D2058" s="11" t="s">
        <v>7525</v>
      </c>
      <c r="E2058" s="11" t="s">
        <v>26</v>
      </c>
      <c r="F2058" s="11" t="s">
        <v>7526</v>
      </c>
      <c r="G2058" s="11" t="s">
        <v>28</v>
      </c>
      <c r="H2058" s="11" t="s">
        <v>7526</v>
      </c>
      <c r="I2058" s="11" t="s">
        <v>7527</v>
      </c>
      <c r="J2058" s="12">
        <v>0.51280000000000003</v>
      </c>
      <c r="K2058" s="13">
        <v>1</v>
      </c>
      <c r="L2058" s="14">
        <v>624</v>
      </c>
      <c r="M2058" s="10">
        <v>320</v>
      </c>
      <c r="N2058" s="10">
        <v>68953</v>
      </c>
      <c r="O2058" s="10">
        <v>25094</v>
      </c>
      <c r="P2058" s="10">
        <v>94047</v>
      </c>
    </row>
    <row r="2059" spans="1:16" ht="27" customHeight="1" x14ac:dyDescent="0.2">
      <c r="A2059" s="9" t="s">
        <v>7443</v>
      </c>
      <c r="B2059" s="10" t="s">
        <v>7528</v>
      </c>
      <c r="C2059" s="11" t="s">
        <v>18</v>
      </c>
      <c r="D2059" s="11" t="s">
        <v>19</v>
      </c>
      <c r="E2059" s="11" t="s">
        <v>19</v>
      </c>
      <c r="F2059" s="11" t="s">
        <v>7529</v>
      </c>
      <c r="G2059" s="11" t="s">
        <v>83</v>
      </c>
      <c r="H2059" s="11" t="s">
        <v>7446</v>
      </c>
      <c r="I2059" s="11" t="s">
        <v>7447</v>
      </c>
      <c r="J2059" s="12">
        <v>0.95469999999999999</v>
      </c>
      <c r="K2059" s="13">
        <v>9</v>
      </c>
      <c r="L2059" s="14">
        <v>15547</v>
      </c>
      <c r="M2059" s="10">
        <v>10272</v>
      </c>
      <c r="N2059" s="10">
        <v>1717969</v>
      </c>
      <c r="O2059" s="10">
        <v>805520</v>
      </c>
      <c r="P2059" s="10">
        <v>2523489</v>
      </c>
    </row>
    <row r="2060" spans="1:16" ht="27" customHeight="1" x14ac:dyDescent="0.2">
      <c r="A2060" s="9" t="s">
        <v>7443</v>
      </c>
      <c r="B2060" s="10" t="s">
        <v>7528</v>
      </c>
      <c r="C2060" s="11" t="s">
        <v>7530</v>
      </c>
      <c r="D2060" s="11" t="s">
        <v>7531</v>
      </c>
      <c r="E2060" s="11" t="s">
        <v>26</v>
      </c>
      <c r="F2060" s="11" t="s">
        <v>7532</v>
      </c>
      <c r="G2060" s="11" t="s">
        <v>28</v>
      </c>
      <c r="H2060" s="11" t="s">
        <v>7532</v>
      </c>
      <c r="I2060" s="11" t="s">
        <v>7533</v>
      </c>
      <c r="J2060" s="12">
        <v>0.72650000000000003</v>
      </c>
      <c r="K2060" s="13">
        <v>1</v>
      </c>
      <c r="L2060" s="14">
        <v>596</v>
      </c>
      <c r="M2060" s="10">
        <v>433</v>
      </c>
      <c r="N2060" s="10">
        <v>65859</v>
      </c>
      <c r="O2060" s="10">
        <v>33955</v>
      </c>
      <c r="P2060" s="10">
        <v>99814</v>
      </c>
    </row>
    <row r="2061" spans="1:16" ht="27" customHeight="1" x14ac:dyDescent="0.2">
      <c r="A2061" s="9" t="s">
        <v>7443</v>
      </c>
      <c r="B2061" s="10" t="s">
        <v>7534</v>
      </c>
      <c r="C2061" s="11" t="s">
        <v>18</v>
      </c>
      <c r="D2061" s="11" t="s">
        <v>19</v>
      </c>
      <c r="E2061" s="11" t="s">
        <v>19</v>
      </c>
      <c r="F2061" s="11" t="s">
        <v>7535</v>
      </c>
      <c r="G2061" s="11" t="s">
        <v>83</v>
      </c>
      <c r="H2061" s="11" t="s">
        <v>7535</v>
      </c>
      <c r="I2061" s="11" t="s">
        <v>7536</v>
      </c>
      <c r="J2061" s="12">
        <v>0.66200000000000003</v>
      </c>
      <c r="K2061" s="13">
        <v>2</v>
      </c>
      <c r="L2061" s="14">
        <v>71</v>
      </c>
      <c r="M2061" s="10">
        <v>47</v>
      </c>
      <c r="N2061" s="10">
        <v>7846</v>
      </c>
      <c r="O2061" s="10">
        <v>3686</v>
      </c>
      <c r="P2061" s="10">
        <v>11532</v>
      </c>
    </row>
    <row r="2062" spans="1:16" ht="27" customHeight="1" x14ac:dyDescent="0.2">
      <c r="A2062" s="9" t="s">
        <v>7443</v>
      </c>
      <c r="B2062" s="10" t="s">
        <v>7534</v>
      </c>
      <c r="C2062" s="11" t="s">
        <v>7537</v>
      </c>
      <c r="D2062" s="11" t="s">
        <v>7538</v>
      </c>
      <c r="E2062" s="11" t="s">
        <v>57</v>
      </c>
      <c r="F2062" s="11" t="s">
        <v>7539</v>
      </c>
      <c r="G2062" s="11" t="s">
        <v>28</v>
      </c>
      <c r="H2062" s="11" t="s">
        <v>7539</v>
      </c>
      <c r="I2062" s="11" t="s">
        <v>7540</v>
      </c>
      <c r="J2062" s="12">
        <v>0.65569999999999995</v>
      </c>
      <c r="K2062" s="13">
        <v>1</v>
      </c>
      <c r="L2062" s="14">
        <v>122</v>
      </c>
      <c r="M2062" s="10">
        <v>80</v>
      </c>
      <c r="N2062" s="10">
        <v>13481</v>
      </c>
      <c r="O2062" s="10">
        <v>6274</v>
      </c>
      <c r="P2062" s="10">
        <v>19755</v>
      </c>
    </row>
    <row r="2063" spans="1:16" ht="27" customHeight="1" x14ac:dyDescent="0.2">
      <c r="A2063" s="9" t="s">
        <v>7443</v>
      </c>
      <c r="B2063" s="10" t="s">
        <v>7541</v>
      </c>
      <c r="C2063" s="11" t="s">
        <v>18</v>
      </c>
      <c r="D2063" s="11" t="s">
        <v>19</v>
      </c>
      <c r="E2063" s="11" t="s">
        <v>19</v>
      </c>
      <c r="F2063" s="11" t="s">
        <v>7542</v>
      </c>
      <c r="G2063" s="11" t="s">
        <v>83</v>
      </c>
      <c r="H2063" s="11" t="s">
        <v>7543</v>
      </c>
      <c r="I2063" s="11" t="s">
        <v>7544</v>
      </c>
      <c r="J2063" s="12">
        <v>0.94740000000000002</v>
      </c>
      <c r="K2063" s="13">
        <v>12</v>
      </c>
      <c r="L2063" s="14">
        <v>6353</v>
      </c>
      <c r="M2063" s="10">
        <v>4733</v>
      </c>
      <c r="N2063" s="10">
        <v>702018</v>
      </c>
      <c r="O2063" s="10">
        <v>371158</v>
      </c>
      <c r="P2063" s="10">
        <v>1073176</v>
      </c>
    </row>
    <row r="2064" spans="1:16" ht="27" customHeight="1" x14ac:dyDescent="0.2">
      <c r="A2064" s="9" t="s">
        <v>7443</v>
      </c>
      <c r="B2064" s="10" t="s">
        <v>7545</v>
      </c>
      <c r="C2064" s="11" t="s">
        <v>18</v>
      </c>
      <c r="D2064" s="11" t="s">
        <v>19</v>
      </c>
      <c r="E2064" s="11" t="s">
        <v>19</v>
      </c>
      <c r="F2064" s="11" t="s">
        <v>7546</v>
      </c>
      <c r="G2064" s="11" t="s">
        <v>83</v>
      </c>
      <c r="H2064" s="11" t="s">
        <v>7546</v>
      </c>
      <c r="I2064" s="11" t="s">
        <v>7547</v>
      </c>
      <c r="J2064" s="12">
        <v>0.62960000000000005</v>
      </c>
      <c r="K2064" s="13">
        <v>2</v>
      </c>
      <c r="L2064" s="14">
        <v>27</v>
      </c>
      <c r="M2064" s="10">
        <v>17</v>
      </c>
      <c r="N2064" s="10">
        <v>2984</v>
      </c>
      <c r="O2064" s="10">
        <v>1333</v>
      </c>
      <c r="P2064" s="10">
        <v>4317</v>
      </c>
    </row>
    <row r="2065" spans="1:16" ht="27" customHeight="1" x14ac:dyDescent="0.2">
      <c r="A2065" s="9" t="s">
        <v>7443</v>
      </c>
      <c r="B2065" s="10" t="s">
        <v>7545</v>
      </c>
      <c r="C2065" s="11" t="s">
        <v>7548</v>
      </c>
      <c r="D2065" s="11" t="s">
        <v>7549</v>
      </c>
      <c r="E2065" s="11" t="s">
        <v>57</v>
      </c>
      <c r="F2065" s="11" t="s">
        <v>7550</v>
      </c>
      <c r="G2065" s="11" t="s">
        <v>28</v>
      </c>
      <c r="H2065" s="11" t="s">
        <v>7550</v>
      </c>
      <c r="I2065" s="11" t="s">
        <v>7551</v>
      </c>
      <c r="J2065" s="12">
        <v>0.53800000000000003</v>
      </c>
      <c r="K2065" s="13">
        <v>1</v>
      </c>
      <c r="L2065" s="14">
        <v>171</v>
      </c>
      <c r="M2065" s="10">
        <v>92</v>
      </c>
      <c r="N2065" s="10">
        <v>18896</v>
      </c>
      <c r="O2065" s="10">
        <v>7215</v>
      </c>
      <c r="P2065" s="10">
        <v>26111</v>
      </c>
    </row>
    <row r="2066" spans="1:16" ht="27" customHeight="1" x14ac:dyDescent="0.2">
      <c r="A2066" s="9" t="s">
        <v>7443</v>
      </c>
      <c r="B2066" s="10" t="s">
        <v>7552</v>
      </c>
      <c r="C2066" s="11" t="s">
        <v>18</v>
      </c>
      <c r="D2066" s="11" t="s">
        <v>19</v>
      </c>
      <c r="E2066" s="11" t="s">
        <v>19</v>
      </c>
      <c r="F2066" s="11" t="s">
        <v>7553</v>
      </c>
      <c r="G2066" s="11" t="s">
        <v>83</v>
      </c>
      <c r="H2066" s="11" t="s">
        <v>7554</v>
      </c>
      <c r="I2066" s="11" t="s">
        <v>7555</v>
      </c>
      <c r="J2066" s="12">
        <v>0.84</v>
      </c>
      <c r="K2066" s="13">
        <v>6</v>
      </c>
      <c r="L2066" s="14">
        <v>2259</v>
      </c>
      <c r="M2066" s="10">
        <v>1648</v>
      </c>
      <c r="N2066" s="10">
        <v>249623</v>
      </c>
      <c r="O2066" s="10">
        <v>129234</v>
      </c>
      <c r="P2066" s="10">
        <v>378857</v>
      </c>
    </row>
    <row r="2067" spans="1:16" ht="27" customHeight="1" x14ac:dyDescent="0.2">
      <c r="A2067" s="9" t="s">
        <v>7443</v>
      </c>
      <c r="B2067" s="10" t="s">
        <v>7552</v>
      </c>
      <c r="C2067" s="11" t="s">
        <v>7556</v>
      </c>
      <c r="D2067" s="11" t="s">
        <v>7557</v>
      </c>
      <c r="E2067" s="11" t="s">
        <v>26</v>
      </c>
      <c r="F2067" s="11" t="s">
        <v>7558</v>
      </c>
      <c r="G2067" s="11" t="s">
        <v>28</v>
      </c>
      <c r="H2067" s="11" t="s">
        <v>7558</v>
      </c>
      <c r="I2067" s="11" t="s">
        <v>7559</v>
      </c>
      <c r="J2067" s="12">
        <v>0.29530000000000001</v>
      </c>
      <c r="K2067" s="13">
        <v>1</v>
      </c>
      <c r="L2067" s="14">
        <v>823</v>
      </c>
      <c r="M2067" s="10">
        <v>243</v>
      </c>
      <c r="N2067" s="10">
        <v>90943</v>
      </c>
      <c r="O2067" s="10">
        <v>19056</v>
      </c>
      <c r="P2067" s="10">
        <v>109999</v>
      </c>
    </row>
    <row r="2068" spans="1:16" ht="27" customHeight="1" x14ac:dyDescent="0.2">
      <c r="A2068" s="9" t="s">
        <v>7443</v>
      </c>
      <c r="B2068" s="10" t="s">
        <v>7560</v>
      </c>
      <c r="C2068" s="11" t="s">
        <v>18</v>
      </c>
      <c r="D2068" s="11" t="s">
        <v>19</v>
      </c>
      <c r="E2068" s="11" t="s">
        <v>19</v>
      </c>
      <c r="F2068" s="11" t="s">
        <v>7561</v>
      </c>
      <c r="G2068" s="11" t="s">
        <v>83</v>
      </c>
      <c r="H2068" s="11" t="s">
        <v>7561</v>
      </c>
      <c r="I2068" s="11" t="s">
        <v>7562</v>
      </c>
      <c r="J2068" s="12">
        <v>0.56669999999999998</v>
      </c>
      <c r="K2068" s="13">
        <v>2</v>
      </c>
      <c r="L2068" s="14">
        <v>30</v>
      </c>
      <c r="M2068" s="10">
        <v>17</v>
      </c>
      <c r="N2068" s="10">
        <v>3315</v>
      </c>
      <c r="O2068" s="10">
        <v>1333</v>
      </c>
      <c r="P2068" s="10">
        <v>4648</v>
      </c>
    </row>
    <row r="2069" spans="1:16" ht="27" customHeight="1" x14ac:dyDescent="0.2">
      <c r="A2069" s="9" t="s">
        <v>7443</v>
      </c>
      <c r="B2069" s="10" t="s">
        <v>7560</v>
      </c>
      <c r="C2069" s="11" t="s">
        <v>7563</v>
      </c>
      <c r="D2069" s="11" t="s">
        <v>7564</v>
      </c>
      <c r="E2069" s="11" t="s">
        <v>57</v>
      </c>
      <c r="F2069" s="11" t="s">
        <v>7565</v>
      </c>
      <c r="G2069" s="11" t="s">
        <v>28</v>
      </c>
      <c r="H2069" s="11" t="s">
        <v>7565</v>
      </c>
      <c r="I2069" s="11" t="s">
        <v>7566</v>
      </c>
      <c r="J2069" s="12">
        <v>0.72860000000000003</v>
      </c>
      <c r="K2069" s="13">
        <v>1</v>
      </c>
      <c r="L2069" s="14">
        <v>140</v>
      </c>
      <c r="M2069" s="10">
        <v>102</v>
      </c>
      <c r="N2069" s="10">
        <v>15470</v>
      </c>
      <c r="O2069" s="10">
        <v>7999</v>
      </c>
      <c r="P2069" s="10">
        <v>23469</v>
      </c>
    </row>
    <row r="2070" spans="1:16" ht="27" customHeight="1" x14ac:dyDescent="0.2">
      <c r="A2070" s="9" t="s">
        <v>7443</v>
      </c>
      <c r="B2070" s="10" t="s">
        <v>7567</v>
      </c>
      <c r="C2070" s="11" t="s">
        <v>18</v>
      </c>
      <c r="D2070" s="11" t="s">
        <v>19</v>
      </c>
      <c r="E2070" s="11" t="s">
        <v>19</v>
      </c>
      <c r="F2070" s="11" t="s">
        <v>7568</v>
      </c>
      <c r="G2070" s="11" t="s">
        <v>83</v>
      </c>
      <c r="H2070" s="11" t="s">
        <v>7569</v>
      </c>
      <c r="I2070" s="11" t="s">
        <v>7570</v>
      </c>
      <c r="J2070" s="12">
        <v>0.89700000000000002</v>
      </c>
      <c r="K2070" s="13">
        <v>7</v>
      </c>
      <c r="L2070" s="14">
        <v>3389</v>
      </c>
      <c r="M2070" s="10">
        <v>2566</v>
      </c>
      <c r="N2070" s="10">
        <v>374491</v>
      </c>
      <c r="O2070" s="10">
        <v>201224</v>
      </c>
      <c r="P2070" s="10">
        <v>575715</v>
      </c>
    </row>
    <row r="2071" spans="1:16" ht="27" customHeight="1" x14ac:dyDescent="0.2">
      <c r="A2071" s="9" t="s">
        <v>7443</v>
      </c>
      <c r="B2071" s="10" t="s">
        <v>7571</v>
      </c>
      <c r="C2071" s="11" t="s">
        <v>18</v>
      </c>
      <c r="D2071" s="11" t="s">
        <v>19</v>
      </c>
      <c r="E2071" s="11" t="s">
        <v>19</v>
      </c>
      <c r="F2071" s="11" t="s">
        <v>7572</v>
      </c>
      <c r="G2071" s="11" t="s">
        <v>83</v>
      </c>
      <c r="H2071" s="11" t="s">
        <v>7573</v>
      </c>
      <c r="I2071" s="11" t="s">
        <v>7574</v>
      </c>
      <c r="J2071" s="12">
        <v>0.82779999999999998</v>
      </c>
      <c r="K2071" s="13">
        <v>14</v>
      </c>
      <c r="L2071" s="14">
        <v>8083</v>
      </c>
      <c r="M2071" s="10">
        <v>4805</v>
      </c>
      <c r="N2071" s="10">
        <v>893186</v>
      </c>
      <c r="O2071" s="10">
        <v>376802</v>
      </c>
      <c r="P2071" s="10">
        <v>1269988</v>
      </c>
    </row>
    <row r="2072" spans="1:16" ht="27" customHeight="1" x14ac:dyDescent="0.2">
      <c r="A2072" s="9" t="s">
        <v>7443</v>
      </c>
      <c r="B2072" s="10" t="s">
        <v>7575</v>
      </c>
      <c r="C2072" s="11" t="s">
        <v>18</v>
      </c>
      <c r="D2072" s="11" t="s">
        <v>19</v>
      </c>
      <c r="E2072" s="11" t="s">
        <v>19</v>
      </c>
      <c r="F2072" s="11" t="s">
        <v>7576</v>
      </c>
      <c r="G2072" s="11" t="s">
        <v>83</v>
      </c>
      <c r="H2072" s="11" t="s">
        <v>7577</v>
      </c>
      <c r="I2072" s="11" t="s">
        <v>7578</v>
      </c>
      <c r="J2072" s="12">
        <v>0.31359999999999999</v>
      </c>
      <c r="K2072" s="13">
        <v>2</v>
      </c>
      <c r="L2072" s="14">
        <v>169</v>
      </c>
      <c r="M2072" s="10">
        <v>53</v>
      </c>
      <c r="N2072" s="10">
        <v>18675</v>
      </c>
      <c r="O2072" s="10">
        <v>4156</v>
      </c>
      <c r="P2072" s="10">
        <v>22831</v>
      </c>
    </row>
    <row r="2073" spans="1:16" ht="27" customHeight="1" x14ac:dyDescent="0.2">
      <c r="A2073" s="9" t="s">
        <v>7443</v>
      </c>
      <c r="B2073" s="10" t="s">
        <v>7579</v>
      </c>
      <c r="C2073" s="11" t="s">
        <v>18</v>
      </c>
      <c r="D2073" s="11" t="s">
        <v>19</v>
      </c>
      <c r="E2073" s="11" t="s">
        <v>19</v>
      </c>
      <c r="F2073" s="11" t="s">
        <v>7580</v>
      </c>
      <c r="G2073" s="11" t="s">
        <v>83</v>
      </c>
      <c r="H2073" s="11" t="s">
        <v>7581</v>
      </c>
      <c r="I2073" s="11" t="s">
        <v>7582</v>
      </c>
      <c r="J2073" s="12">
        <v>0.62929999999999997</v>
      </c>
      <c r="K2073" s="13">
        <v>10</v>
      </c>
      <c r="L2073" s="14">
        <v>3191</v>
      </c>
      <c r="M2073" s="10">
        <v>1837</v>
      </c>
      <c r="N2073" s="10">
        <v>352610</v>
      </c>
      <c r="O2073" s="10">
        <v>144056</v>
      </c>
      <c r="P2073" s="10">
        <v>496666</v>
      </c>
    </row>
    <row r="2074" spans="1:16" ht="27" customHeight="1" x14ac:dyDescent="0.2">
      <c r="A2074" s="9" t="s">
        <v>7443</v>
      </c>
      <c r="B2074" s="10" t="s">
        <v>7583</v>
      </c>
      <c r="C2074" s="11" t="s">
        <v>18</v>
      </c>
      <c r="D2074" s="11" t="s">
        <v>19</v>
      </c>
      <c r="E2074" s="11" t="s">
        <v>19</v>
      </c>
      <c r="F2074" s="11" t="s">
        <v>7584</v>
      </c>
      <c r="G2074" s="11" t="s">
        <v>83</v>
      </c>
      <c r="H2074" s="11" t="s">
        <v>7585</v>
      </c>
      <c r="I2074" s="11" t="s">
        <v>7586</v>
      </c>
      <c r="J2074" s="12">
        <v>0.50370000000000004</v>
      </c>
      <c r="K2074" s="13">
        <v>7</v>
      </c>
      <c r="L2074" s="14">
        <v>2214</v>
      </c>
      <c r="M2074" s="10">
        <v>1084</v>
      </c>
      <c r="N2074" s="10">
        <v>244651</v>
      </c>
      <c r="O2074" s="10">
        <v>85006</v>
      </c>
      <c r="P2074" s="10">
        <v>329657</v>
      </c>
    </row>
    <row r="2075" spans="1:16" ht="27" customHeight="1" x14ac:dyDescent="0.2">
      <c r="A2075" s="9" t="s">
        <v>7443</v>
      </c>
      <c r="B2075" s="10" t="s">
        <v>7587</v>
      </c>
      <c r="C2075" s="11" t="s">
        <v>18</v>
      </c>
      <c r="D2075" s="11" t="s">
        <v>19</v>
      </c>
      <c r="E2075" s="11" t="s">
        <v>19</v>
      </c>
      <c r="F2075" s="11" t="s">
        <v>7588</v>
      </c>
      <c r="G2075" s="11" t="s">
        <v>83</v>
      </c>
      <c r="H2075" s="11" t="s">
        <v>7589</v>
      </c>
      <c r="I2075" s="11" t="s">
        <v>7590</v>
      </c>
      <c r="J2075" s="12">
        <v>0.62260000000000004</v>
      </c>
      <c r="K2075" s="13">
        <v>6</v>
      </c>
      <c r="L2075" s="14">
        <v>2410</v>
      </c>
      <c r="M2075" s="10">
        <v>1419</v>
      </c>
      <c r="N2075" s="10">
        <v>266309</v>
      </c>
      <c r="O2075" s="10">
        <v>111276</v>
      </c>
      <c r="P2075" s="10">
        <v>377585</v>
      </c>
    </row>
    <row r="2076" spans="1:16" ht="27" customHeight="1" x14ac:dyDescent="0.2">
      <c r="A2076" s="9" t="s">
        <v>7443</v>
      </c>
      <c r="B2076" s="10" t="s">
        <v>7587</v>
      </c>
      <c r="C2076" s="11" t="s">
        <v>7591</v>
      </c>
      <c r="D2076" s="11" t="s">
        <v>7592</v>
      </c>
      <c r="E2076" s="11" t="s">
        <v>57</v>
      </c>
      <c r="F2076" s="11" t="s">
        <v>7593</v>
      </c>
      <c r="G2076" s="11" t="s">
        <v>28</v>
      </c>
      <c r="H2076" s="11" t="s">
        <v>7593</v>
      </c>
      <c r="I2076" s="11" t="s">
        <v>7594</v>
      </c>
      <c r="J2076" s="12">
        <v>0.37259999999999999</v>
      </c>
      <c r="K2076" s="13">
        <v>1</v>
      </c>
      <c r="L2076" s="14">
        <v>569</v>
      </c>
      <c r="M2076" s="10">
        <v>212</v>
      </c>
      <c r="N2076" s="10">
        <v>62875</v>
      </c>
      <c r="O2076" s="10">
        <v>16625</v>
      </c>
      <c r="P2076" s="10">
        <v>79500</v>
      </c>
    </row>
    <row r="2077" spans="1:16" ht="27" customHeight="1" x14ac:dyDescent="0.2">
      <c r="A2077" s="9" t="s">
        <v>7443</v>
      </c>
      <c r="B2077" s="10" t="s">
        <v>7595</v>
      </c>
      <c r="C2077" s="11" t="s">
        <v>18</v>
      </c>
      <c r="D2077" s="11" t="s">
        <v>19</v>
      </c>
      <c r="E2077" s="11" t="s">
        <v>19</v>
      </c>
      <c r="F2077" s="11" t="s">
        <v>7596</v>
      </c>
      <c r="G2077" s="11" t="s">
        <v>83</v>
      </c>
      <c r="H2077" s="11" t="s">
        <v>4089</v>
      </c>
      <c r="I2077" s="11" t="s">
        <v>7597</v>
      </c>
      <c r="J2077" s="12">
        <v>0.52359999999999995</v>
      </c>
      <c r="K2077" s="13">
        <v>9</v>
      </c>
      <c r="L2077" s="14">
        <v>5190</v>
      </c>
      <c r="M2077" s="10">
        <v>2147</v>
      </c>
      <c r="N2077" s="10">
        <v>573504</v>
      </c>
      <c r="O2077" s="10">
        <v>168366</v>
      </c>
      <c r="P2077" s="10">
        <v>741870</v>
      </c>
    </row>
    <row r="2078" spans="1:16" ht="27" customHeight="1" x14ac:dyDescent="0.2">
      <c r="A2078" s="9" t="s">
        <v>7443</v>
      </c>
      <c r="B2078" s="10" t="s">
        <v>7595</v>
      </c>
      <c r="C2078" s="11" t="s">
        <v>7598</v>
      </c>
      <c r="D2078" s="11" t="s">
        <v>7599</v>
      </c>
      <c r="E2078" s="11" t="s">
        <v>57</v>
      </c>
      <c r="F2078" s="11" t="s">
        <v>7600</v>
      </c>
      <c r="G2078" s="11" t="s">
        <v>28</v>
      </c>
      <c r="H2078" s="11" t="s">
        <v>7446</v>
      </c>
      <c r="I2078" s="11" t="s">
        <v>7447</v>
      </c>
      <c r="J2078" s="12">
        <v>0.95469999999999999</v>
      </c>
      <c r="K2078" s="13">
        <v>1</v>
      </c>
      <c r="L2078" s="14">
        <v>53</v>
      </c>
      <c r="M2078" s="10">
        <v>19</v>
      </c>
      <c r="N2078" s="10">
        <v>5857</v>
      </c>
      <c r="O2078" s="10">
        <v>1490</v>
      </c>
      <c r="P2078" s="10">
        <v>7347</v>
      </c>
    </row>
    <row r="2079" spans="1:16" ht="27" customHeight="1" x14ac:dyDescent="0.2">
      <c r="A2079" s="9" t="s">
        <v>7443</v>
      </c>
      <c r="B2079" s="10" t="s">
        <v>7601</v>
      </c>
      <c r="C2079" s="11" t="s">
        <v>18</v>
      </c>
      <c r="D2079" s="11" t="s">
        <v>19</v>
      </c>
      <c r="E2079" s="11" t="s">
        <v>19</v>
      </c>
      <c r="F2079" s="11" t="s">
        <v>7602</v>
      </c>
      <c r="G2079" s="11" t="s">
        <v>83</v>
      </c>
      <c r="H2079" s="11" t="s">
        <v>7603</v>
      </c>
      <c r="I2079" s="11" t="s">
        <v>7604</v>
      </c>
      <c r="J2079" s="12">
        <v>0.91710000000000003</v>
      </c>
      <c r="K2079" s="13">
        <v>6</v>
      </c>
      <c r="L2079" s="14">
        <v>1837</v>
      </c>
      <c r="M2079" s="10">
        <v>1608</v>
      </c>
      <c r="N2079" s="10">
        <v>202992</v>
      </c>
      <c r="O2079" s="10">
        <v>126097</v>
      </c>
      <c r="P2079" s="10">
        <v>329089</v>
      </c>
    </row>
    <row r="2080" spans="1:16" ht="27" customHeight="1" x14ac:dyDescent="0.2">
      <c r="A2080" s="9" t="s">
        <v>7443</v>
      </c>
      <c r="B2080" s="10" t="s">
        <v>7601</v>
      </c>
      <c r="C2080" s="11" t="s">
        <v>7605</v>
      </c>
      <c r="D2080" s="11" t="s">
        <v>7606</v>
      </c>
      <c r="E2080" s="11" t="s">
        <v>26</v>
      </c>
      <c r="F2080" s="11" t="s">
        <v>7607</v>
      </c>
      <c r="G2080" s="11" t="s">
        <v>28</v>
      </c>
      <c r="H2080" s="11" t="s">
        <v>7607</v>
      </c>
      <c r="I2080" s="11" t="s">
        <v>7608</v>
      </c>
      <c r="J2080" s="12">
        <v>0.52890000000000004</v>
      </c>
      <c r="K2080" s="13">
        <v>1</v>
      </c>
      <c r="L2080" s="14">
        <v>762</v>
      </c>
      <c r="M2080" s="10">
        <v>403</v>
      </c>
      <c r="N2080" s="10">
        <v>84202</v>
      </c>
      <c r="O2080" s="10">
        <v>31603</v>
      </c>
      <c r="P2080" s="10">
        <v>115805</v>
      </c>
    </row>
    <row r="2081" spans="1:16" ht="27" customHeight="1" x14ac:dyDescent="0.2">
      <c r="A2081" s="9" t="s">
        <v>7443</v>
      </c>
      <c r="B2081" s="10" t="s">
        <v>7609</v>
      </c>
      <c r="C2081" s="11" t="s">
        <v>18</v>
      </c>
      <c r="D2081" s="11" t="s">
        <v>19</v>
      </c>
      <c r="E2081" s="11" t="s">
        <v>19</v>
      </c>
      <c r="F2081" s="11" t="s">
        <v>7610</v>
      </c>
      <c r="G2081" s="11" t="s">
        <v>83</v>
      </c>
      <c r="H2081" s="11" t="s">
        <v>7611</v>
      </c>
      <c r="I2081" s="11" t="s">
        <v>7612</v>
      </c>
      <c r="J2081" s="12">
        <v>0.81399999999999995</v>
      </c>
      <c r="K2081" s="13">
        <v>15</v>
      </c>
      <c r="L2081" s="14">
        <v>13626</v>
      </c>
      <c r="M2081" s="10">
        <v>8063</v>
      </c>
      <c r="N2081" s="10">
        <v>1505696</v>
      </c>
      <c r="O2081" s="10">
        <v>632292</v>
      </c>
      <c r="P2081" s="10">
        <v>2137988</v>
      </c>
    </row>
    <row r="2082" spans="1:16" ht="27" customHeight="1" x14ac:dyDescent="0.2">
      <c r="A2082" s="9" t="s">
        <v>7443</v>
      </c>
      <c r="B2082" s="10" t="s">
        <v>7609</v>
      </c>
      <c r="C2082" s="11" t="s">
        <v>7613</v>
      </c>
      <c r="D2082" s="11" t="s">
        <v>7614</v>
      </c>
      <c r="E2082" s="11" t="s">
        <v>26</v>
      </c>
      <c r="F2082" s="11" t="s">
        <v>7615</v>
      </c>
      <c r="G2082" s="11" t="s">
        <v>28</v>
      </c>
      <c r="H2082" s="11" t="s">
        <v>7615</v>
      </c>
      <c r="I2082" s="11" t="s">
        <v>7616</v>
      </c>
      <c r="J2082" s="12">
        <v>0.68320000000000003</v>
      </c>
      <c r="K2082" s="13">
        <v>1</v>
      </c>
      <c r="L2082" s="14">
        <v>161</v>
      </c>
      <c r="M2082" s="10">
        <v>110</v>
      </c>
      <c r="N2082" s="10">
        <v>17791</v>
      </c>
      <c r="O2082" s="10">
        <v>8626</v>
      </c>
      <c r="P2082" s="10">
        <v>26417</v>
      </c>
    </row>
    <row r="2083" spans="1:16" ht="27" customHeight="1" x14ac:dyDescent="0.2">
      <c r="A2083" s="9" t="s">
        <v>7443</v>
      </c>
      <c r="B2083" s="10" t="s">
        <v>7609</v>
      </c>
      <c r="C2083" s="11" t="s">
        <v>7617</v>
      </c>
      <c r="D2083" s="11" t="s">
        <v>7618</v>
      </c>
      <c r="E2083" s="11" t="s">
        <v>26</v>
      </c>
      <c r="F2083" s="11" t="s">
        <v>7619</v>
      </c>
      <c r="G2083" s="11" t="s">
        <v>28</v>
      </c>
      <c r="H2083" s="11" t="s">
        <v>7446</v>
      </c>
      <c r="I2083" s="11" t="s">
        <v>7447</v>
      </c>
      <c r="J2083" s="12">
        <v>0.95469999999999999</v>
      </c>
      <c r="K2083" s="13">
        <v>1</v>
      </c>
      <c r="L2083" s="14">
        <v>126</v>
      </c>
      <c r="M2083" s="10">
        <v>103</v>
      </c>
      <c r="N2083" s="10">
        <v>13923</v>
      </c>
      <c r="O2083" s="10">
        <v>8077</v>
      </c>
      <c r="P2083" s="10">
        <v>22000</v>
      </c>
    </row>
    <row r="2084" spans="1:16" ht="27" customHeight="1" x14ac:dyDescent="0.2">
      <c r="A2084" s="9" t="s">
        <v>7620</v>
      </c>
      <c r="B2084" s="10" t="s">
        <v>7621</v>
      </c>
      <c r="C2084" s="11" t="s">
        <v>18</v>
      </c>
      <c r="D2084" s="11" t="s">
        <v>19</v>
      </c>
      <c r="E2084" s="11" t="s">
        <v>19</v>
      </c>
      <c r="F2084" s="11" t="s">
        <v>7622</v>
      </c>
      <c r="G2084" s="11" t="s">
        <v>21</v>
      </c>
      <c r="H2084" s="11" t="s">
        <v>7623</v>
      </c>
      <c r="I2084" s="11" t="s">
        <v>7624</v>
      </c>
      <c r="J2084" s="12">
        <v>0.9647</v>
      </c>
      <c r="K2084" s="13">
        <v>3</v>
      </c>
      <c r="L2084" s="14">
        <v>385</v>
      </c>
      <c r="M2084" s="10">
        <v>333</v>
      </c>
      <c r="N2084" s="10">
        <v>42544</v>
      </c>
      <c r="O2084" s="10">
        <v>26114</v>
      </c>
      <c r="P2084" s="10">
        <v>68658</v>
      </c>
    </row>
    <row r="2085" spans="1:16" ht="27" customHeight="1" x14ac:dyDescent="0.2">
      <c r="A2085" s="9" t="s">
        <v>7620</v>
      </c>
      <c r="B2085" s="10" t="s">
        <v>7621</v>
      </c>
      <c r="C2085" s="11" t="s">
        <v>7625</v>
      </c>
      <c r="D2085" s="11" t="s">
        <v>7626</v>
      </c>
      <c r="E2085" s="11" t="s">
        <v>26</v>
      </c>
      <c r="F2085" s="11" t="s">
        <v>7627</v>
      </c>
      <c r="G2085" s="11" t="s">
        <v>28</v>
      </c>
      <c r="H2085" s="11" t="s">
        <v>7627</v>
      </c>
      <c r="I2085" s="11" t="s">
        <v>7628</v>
      </c>
      <c r="J2085" s="12">
        <v>0.72929999999999995</v>
      </c>
      <c r="K2085" s="13">
        <v>1</v>
      </c>
      <c r="L2085" s="14">
        <v>133</v>
      </c>
      <c r="M2085" s="10">
        <v>97</v>
      </c>
      <c r="N2085" s="10">
        <v>14697</v>
      </c>
      <c r="O2085" s="10">
        <v>7607</v>
      </c>
      <c r="P2085" s="10">
        <v>22304</v>
      </c>
    </row>
    <row r="2086" spans="1:16" ht="27" customHeight="1" x14ac:dyDescent="0.2">
      <c r="A2086" s="9" t="s">
        <v>7620</v>
      </c>
      <c r="B2086" s="10" t="s">
        <v>7621</v>
      </c>
      <c r="C2086" s="11" t="s">
        <v>7629</v>
      </c>
      <c r="D2086" s="11" t="s">
        <v>7630</v>
      </c>
      <c r="E2086" s="11" t="s">
        <v>57</v>
      </c>
      <c r="F2086" s="11" t="s">
        <v>7631</v>
      </c>
      <c r="G2086" s="11" t="s">
        <v>28</v>
      </c>
      <c r="H2086" s="11" t="s">
        <v>7623</v>
      </c>
      <c r="I2086" s="11" t="s">
        <v>7624</v>
      </c>
      <c r="J2086" s="12">
        <v>0.9647</v>
      </c>
      <c r="K2086" s="13">
        <v>1</v>
      </c>
      <c r="L2086" s="14">
        <v>22</v>
      </c>
      <c r="M2086" s="10">
        <v>18</v>
      </c>
      <c r="N2086" s="10">
        <v>2431</v>
      </c>
      <c r="O2086" s="10">
        <v>1412</v>
      </c>
      <c r="P2086" s="10">
        <v>3843</v>
      </c>
    </row>
    <row r="2087" spans="1:16" ht="27" customHeight="1" x14ac:dyDescent="0.2">
      <c r="A2087" s="9" t="s">
        <v>7620</v>
      </c>
      <c r="B2087" s="10" t="s">
        <v>7632</v>
      </c>
      <c r="C2087" s="11" t="s">
        <v>18</v>
      </c>
      <c r="D2087" s="11" t="s">
        <v>19</v>
      </c>
      <c r="E2087" s="11" t="s">
        <v>19</v>
      </c>
      <c r="F2087" s="11" t="s">
        <v>7633</v>
      </c>
      <c r="G2087" s="11" t="s">
        <v>83</v>
      </c>
      <c r="H2087" s="11" t="s">
        <v>7633</v>
      </c>
      <c r="I2087" s="11" t="s">
        <v>7634</v>
      </c>
      <c r="J2087" s="12">
        <v>0.53910000000000002</v>
      </c>
      <c r="K2087" s="13">
        <v>2</v>
      </c>
      <c r="L2087" s="14">
        <v>460</v>
      </c>
      <c r="M2087" s="10">
        <v>248</v>
      </c>
      <c r="N2087" s="10">
        <v>50831</v>
      </c>
      <c r="O2087" s="10">
        <v>19448</v>
      </c>
      <c r="P2087" s="10">
        <v>70279</v>
      </c>
    </row>
    <row r="2088" spans="1:16" ht="27" customHeight="1" x14ac:dyDescent="0.2">
      <c r="A2088" s="9" t="s">
        <v>7620</v>
      </c>
      <c r="B2088" s="10" t="s">
        <v>7635</v>
      </c>
      <c r="C2088" s="11" t="s">
        <v>18</v>
      </c>
      <c r="D2088" s="11" t="s">
        <v>19</v>
      </c>
      <c r="E2088" s="11" t="s">
        <v>19</v>
      </c>
      <c r="F2088" s="11" t="s">
        <v>7636</v>
      </c>
      <c r="G2088" s="11" t="s">
        <v>83</v>
      </c>
      <c r="H2088" s="11" t="s">
        <v>7636</v>
      </c>
      <c r="I2088" s="11" t="s">
        <v>7637</v>
      </c>
      <c r="J2088" s="12">
        <v>0.4098</v>
      </c>
      <c r="K2088" s="13">
        <v>2</v>
      </c>
      <c r="L2088" s="14">
        <v>122</v>
      </c>
      <c r="M2088" s="10">
        <v>50</v>
      </c>
      <c r="N2088" s="10">
        <v>13481</v>
      </c>
      <c r="O2088" s="10">
        <v>3921</v>
      </c>
      <c r="P2088" s="10">
        <v>17402</v>
      </c>
    </row>
    <row r="2089" spans="1:16" ht="27" customHeight="1" x14ac:dyDescent="0.2">
      <c r="A2089" s="9" t="s">
        <v>7620</v>
      </c>
      <c r="B2089" s="10" t="s">
        <v>7638</v>
      </c>
      <c r="C2089" s="11" t="s">
        <v>18</v>
      </c>
      <c r="D2089" s="11" t="s">
        <v>19</v>
      </c>
      <c r="E2089" s="11" t="s">
        <v>19</v>
      </c>
      <c r="F2089" s="11" t="s">
        <v>7639</v>
      </c>
      <c r="G2089" s="11" t="s">
        <v>83</v>
      </c>
      <c r="H2089" s="11" t="s">
        <v>7623</v>
      </c>
      <c r="I2089" s="11" t="s">
        <v>7624</v>
      </c>
      <c r="J2089" s="12">
        <v>0.9647</v>
      </c>
      <c r="K2089" s="13">
        <v>2</v>
      </c>
      <c r="L2089" s="14">
        <v>310</v>
      </c>
      <c r="M2089" s="10">
        <v>86</v>
      </c>
      <c r="N2089" s="10">
        <v>34256</v>
      </c>
      <c r="O2089" s="10">
        <v>6744</v>
      </c>
      <c r="P2089" s="10">
        <v>41000</v>
      </c>
    </row>
    <row r="2090" spans="1:16" ht="27" customHeight="1" x14ac:dyDescent="0.2">
      <c r="A2090" s="9" t="s">
        <v>7620</v>
      </c>
      <c r="B2090" s="10" t="s">
        <v>7638</v>
      </c>
      <c r="C2090" s="11" t="s">
        <v>7640</v>
      </c>
      <c r="D2090" s="11" t="s">
        <v>7641</v>
      </c>
      <c r="E2090" s="11" t="s">
        <v>57</v>
      </c>
      <c r="F2090" s="11" t="s">
        <v>7642</v>
      </c>
      <c r="G2090" s="11" t="s">
        <v>28</v>
      </c>
      <c r="H2090" s="11" t="s">
        <v>7623</v>
      </c>
      <c r="I2090" s="11" t="s">
        <v>7624</v>
      </c>
      <c r="J2090" s="12">
        <v>0.9647</v>
      </c>
      <c r="K2090" s="13">
        <v>1</v>
      </c>
      <c r="L2090" s="14">
        <v>0</v>
      </c>
      <c r="M2090" s="10">
        <v>0</v>
      </c>
      <c r="N2090" s="10">
        <v>0</v>
      </c>
      <c r="O2090" s="10">
        <v>0</v>
      </c>
      <c r="P2090" s="10">
        <v>0</v>
      </c>
    </row>
    <row r="2091" spans="1:16" ht="27" customHeight="1" x14ac:dyDescent="0.2">
      <c r="A2091" s="9" t="s">
        <v>7620</v>
      </c>
      <c r="B2091" s="10" t="s">
        <v>7643</v>
      </c>
      <c r="C2091" s="11" t="s">
        <v>18</v>
      </c>
      <c r="D2091" s="11" t="s">
        <v>19</v>
      </c>
      <c r="E2091" s="11" t="s">
        <v>19</v>
      </c>
      <c r="F2091" s="11" t="s">
        <v>7644</v>
      </c>
      <c r="G2091" s="11" t="s">
        <v>83</v>
      </c>
      <c r="H2091" s="11" t="s">
        <v>7644</v>
      </c>
      <c r="I2091" s="11" t="s">
        <v>7645</v>
      </c>
      <c r="J2091" s="12">
        <v>0.3</v>
      </c>
      <c r="K2091" s="13">
        <v>2</v>
      </c>
      <c r="L2091" s="14">
        <v>490</v>
      </c>
      <c r="M2091" s="10">
        <v>147</v>
      </c>
      <c r="N2091" s="10">
        <v>54146</v>
      </c>
      <c r="O2091" s="10">
        <v>11528</v>
      </c>
      <c r="P2091" s="10">
        <v>65674</v>
      </c>
    </row>
    <row r="2092" spans="1:16" ht="27" customHeight="1" x14ac:dyDescent="0.2">
      <c r="A2092" s="9" t="s">
        <v>7620</v>
      </c>
      <c r="B2092" s="10" t="s">
        <v>7646</v>
      </c>
      <c r="C2092" s="11" t="s">
        <v>18</v>
      </c>
      <c r="D2092" s="11" t="s">
        <v>19</v>
      </c>
      <c r="E2092" s="11" t="s">
        <v>19</v>
      </c>
      <c r="F2092" s="11" t="s">
        <v>7647</v>
      </c>
      <c r="G2092" s="11" t="s">
        <v>83</v>
      </c>
      <c r="H2092" s="11" t="s">
        <v>7648</v>
      </c>
      <c r="I2092" s="11" t="s">
        <v>7649</v>
      </c>
      <c r="J2092" s="12">
        <v>0.75890000000000002</v>
      </c>
      <c r="K2092" s="13">
        <v>7</v>
      </c>
      <c r="L2092" s="14">
        <v>1970</v>
      </c>
      <c r="M2092" s="10">
        <v>1415</v>
      </c>
      <c r="N2092" s="10">
        <v>217688</v>
      </c>
      <c r="O2092" s="10">
        <v>110962</v>
      </c>
      <c r="P2092" s="10">
        <v>328650</v>
      </c>
    </row>
    <row r="2093" spans="1:16" ht="27" customHeight="1" x14ac:dyDescent="0.2">
      <c r="A2093" s="9" t="s">
        <v>7620</v>
      </c>
      <c r="B2093" s="10" t="s">
        <v>7650</v>
      </c>
      <c r="C2093" s="11" t="s">
        <v>18</v>
      </c>
      <c r="D2093" s="11" t="s">
        <v>19</v>
      </c>
      <c r="E2093" s="11" t="s">
        <v>19</v>
      </c>
      <c r="F2093" s="11" t="s">
        <v>7651</v>
      </c>
      <c r="G2093" s="11" t="s">
        <v>83</v>
      </c>
      <c r="H2093" s="11" t="s">
        <v>7651</v>
      </c>
      <c r="I2093" s="11" t="s">
        <v>7652</v>
      </c>
      <c r="J2093" s="12">
        <v>0.34200000000000003</v>
      </c>
      <c r="K2093" s="13">
        <v>2</v>
      </c>
      <c r="L2093" s="14">
        <v>205</v>
      </c>
      <c r="M2093" s="10">
        <v>70</v>
      </c>
      <c r="N2093" s="10">
        <v>22653</v>
      </c>
      <c r="O2093" s="10">
        <v>5490</v>
      </c>
      <c r="P2093" s="10">
        <v>28143</v>
      </c>
    </row>
    <row r="2094" spans="1:16" ht="27" customHeight="1" x14ac:dyDescent="0.2">
      <c r="A2094" s="9" t="s">
        <v>7620</v>
      </c>
      <c r="B2094" s="10" t="s">
        <v>7650</v>
      </c>
      <c r="C2094" s="11" t="s">
        <v>7653</v>
      </c>
      <c r="D2094" s="11" t="s">
        <v>7654</v>
      </c>
      <c r="E2094" s="11" t="s">
        <v>26</v>
      </c>
      <c r="F2094" s="11" t="s">
        <v>7655</v>
      </c>
      <c r="G2094" s="11" t="s">
        <v>28</v>
      </c>
      <c r="H2094" s="11" t="s">
        <v>7655</v>
      </c>
      <c r="I2094" s="11" t="s">
        <v>7656</v>
      </c>
      <c r="J2094" s="12">
        <v>0.37780000000000002</v>
      </c>
      <c r="K2094" s="13">
        <v>1</v>
      </c>
      <c r="L2094" s="14">
        <v>2295</v>
      </c>
      <c r="M2094" s="10">
        <v>867</v>
      </c>
      <c r="N2094" s="10">
        <v>253601</v>
      </c>
      <c r="O2094" s="10">
        <v>67989</v>
      </c>
      <c r="P2094" s="10">
        <v>321590</v>
      </c>
    </row>
    <row r="2095" spans="1:16" ht="27" customHeight="1" x14ac:dyDescent="0.2">
      <c r="A2095" s="9" t="s">
        <v>7620</v>
      </c>
      <c r="B2095" s="10" t="s">
        <v>7657</v>
      </c>
      <c r="C2095" s="11" t="s">
        <v>18</v>
      </c>
      <c r="D2095" s="11" t="s">
        <v>19</v>
      </c>
      <c r="E2095" s="11" t="s">
        <v>19</v>
      </c>
      <c r="F2095" s="11" t="s">
        <v>7658</v>
      </c>
      <c r="G2095" s="11" t="s">
        <v>83</v>
      </c>
      <c r="H2095" s="11" t="s">
        <v>7658</v>
      </c>
      <c r="I2095" s="11" t="s">
        <v>7659</v>
      </c>
      <c r="J2095" s="12">
        <v>0.65710000000000002</v>
      </c>
      <c r="K2095" s="13">
        <v>2</v>
      </c>
      <c r="L2095" s="14">
        <v>70</v>
      </c>
      <c r="M2095" s="10">
        <v>46</v>
      </c>
      <c r="N2095" s="10">
        <v>7735</v>
      </c>
      <c r="O2095" s="10">
        <v>3607</v>
      </c>
      <c r="P2095" s="10">
        <v>11342</v>
      </c>
    </row>
    <row r="2096" spans="1:16" ht="27" customHeight="1" x14ac:dyDescent="0.2">
      <c r="A2096" s="9" t="s">
        <v>7620</v>
      </c>
      <c r="B2096" s="10" t="s">
        <v>7657</v>
      </c>
      <c r="C2096" s="11" t="s">
        <v>7660</v>
      </c>
      <c r="D2096" s="11" t="s">
        <v>7661</v>
      </c>
      <c r="E2096" s="11" t="s">
        <v>26</v>
      </c>
      <c r="F2096" s="11" t="s">
        <v>7662</v>
      </c>
      <c r="G2096" s="11" t="s">
        <v>28</v>
      </c>
      <c r="H2096" s="11" t="s">
        <v>7662</v>
      </c>
      <c r="I2096" s="11" t="s">
        <v>7663</v>
      </c>
      <c r="J2096" s="12">
        <v>0.6714</v>
      </c>
      <c r="K2096" s="13">
        <v>1</v>
      </c>
      <c r="L2096" s="14">
        <v>1394</v>
      </c>
      <c r="M2096" s="10">
        <v>936</v>
      </c>
      <c r="N2096" s="10">
        <v>154039</v>
      </c>
      <c r="O2096" s="10">
        <v>73400</v>
      </c>
      <c r="P2096" s="10">
        <v>227439</v>
      </c>
    </row>
    <row r="2097" spans="1:16" ht="27" customHeight="1" x14ac:dyDescent="0.2">
      <c r="A2097" s="9" t="s">
        <v>7620</v>
      </c>
      <c r="B2097" s="10" t="s">
        <v>7664</v>
      </c>
      <c r="C2097" s="11" t="s">
        <v>18</v>
      </c>
      <c r="D2097" s="11" t="s">
        <v>19</v>
      </c>
      <c r="E2097" s="11" t="s">
        <v>19</v>
      </c>
      <c r="F2097" s="11" t="s">
        <v>7665</v>
      </c>
      <c r="G2097" s="11" t="s">
        <v>83</v>
      </c>
      <c r="H2097" s="11" t="s">
        <v>7665</v>
      </c>
      <c r="I2097" s="11" t="s">
        <v>7666</v>
      </c>
      <c r="J2097" s="12">
        <v>0.41849999999999998</v>
      </c>
      <c r="K2097" s="13">
        <v>2</v>
      </c>
      <c r="L2097" s="14">
        <v>184</v>
      </c>
      <c r="M2097" s="10">
        <v>77</v>
      </c>
      <c r="N2097" s="10">
        <v>20332</v>
      </c>
      <c r="O2097" s="10">
        <v>6038</v>
      </c>
      <c r="P2097" s="10">
        <v>26370</v>
      </c>
    </row>
    <row r="2098" spans="1:16" ht="27" customHeight="1" x14ac:dyDescent="0.2">
      <c r="A2098" s="9" t="s">
        <v>7620</v>
      </c>
      <c r="B2098" s="10" t="s">
        <v>7664</v>
      </c>
      <c r="C2098" s="11" t="s">
        <v>7667</v>
      </c>
      <c r="D2098" s="11" t="s">
        <v>7668</v>
      </c>
      <c r="E2098" s="11" t="s">
        <v>26</v>
      </c>
      <c r="F2098" s="11" t="s">
        <v>7669</v>
      </c>
      <c r="G2098" s="11" t="s">
        <v>28</v>
      </c>
      <c r="H2098" s="11" t="s">
        <v>7669</v>
      </c>
      <c r="I2098" s="11" t="s">
        <v>7670</v>
      </c>
      <c r="J2098" s="12">
        <v>0.37359999999999999</v>
      </c>
      <c r="K2098" s="13">
        <v>1</v>
      </c>
      <c r="L2098" s="14">
        <v>613</v>
      </c>
      <c r="M2098" s="10">
        <v>229</v>
      </c>
      <c r="N2098" s="10">
        <v>67738</v>
      </c>
      <c r="O2098" s="10">
        <v>17958</v>
      </c>
      <c r="P2098" s="10">
        <v>85696</v>
      </c>
    </row>
    <row r="2099" spans="1:16" ht="27" customHeight="1" x14ac:dyDescent="0.2">
      <c r="A2099" s="9" t="s">
        <v>7620</v>
      </c>
      <c r="B2099" s="10" t="s">
        <v>7671</v>
      </c>
      <c r="C2099" s="11" t="s">
        <v>18</v>
      </c>
      <c r="D2099" s="11" t="s">
        <v>19</v>
      </c>
      <c r="E2099" s="11" t="s">
        <v>19</v>
      </c>
      <c r="F2099" s="11" t="s">
        <v>7672</v>
      </c>
      <c r="G2099" s="11" t="s">
        <v>83</v>
      </c>
      <c r="H2099" s="11" t="s">
        <v>7673</v>
      </c>
      <c r="I2099" s="11" t="s">
        <v>7674</v>
      </c>
      <c r="J2099" s="12">
        <v>0.29659999999999997</v>
      </c>
      <c r="K2099" s="13">
        <v>2</v>
      </c>
      <c r="L2099" s="14">
        <v>145</v>
      </c>
      <c r="M2099" s="10">
        <v>43</v>
      </c>
      <c r="N2099" s="10">
        <v>16023</v>
      </c>
      <c r="O2099" s="10">
        <v>3372</v>
      </c>
      <c r="P2099" s="10">
        <v>19395</v>
      </c>
    </row>
    <row r="2100" spans="1:16" ht="27" customHeight="1" x14ac:dyDescent="0.2">
      <c r="A2100" s="9" t="s">
        <v>7620</v>
      </c>
      <c r="B2100" s="10" t="s">
        <v>7675</v>
      </c>
      <c r="C2100" s="11" t="s">
        <v>18</v>
      </c>
      <c r="D2100" s="11" t="s">
        <v>19</v>
      </c>
      <c r="E2100" s="11" t="s">
        <v>19</v>
      </c>
      <c r="F2100" s="11" t="s">
        <v>7676</v>
      </c>
      <c r="G2100" s="11" t="s">
        <v>83</v>
      </c>
      <c r="H2100" s="11" t="s">
        <v>7623</v>
      </c>
      <c r="I2100" s="11" t="s">
        <v>7624</v>
      </c>
      <c r="J2100" s="12">
        <v>0.9647</v>
      </c>
      <c r="K2100" s="13">
        <v>3</v>
      </c>
      <c r="L2100" s="14">
        <v>802</v>
      </c>
      <c r="M2100" s="10">
        <v>206</v>
      </c>
      <c r="N2100" s="10">
        <v>88622</v>
      </c>
      <c r="O2100" s="10">
        <v>16154</v>
      </c>
      <c r="P2100" s="10">
        <v>104776</v>
      </c>
    </row>
    <row r="2101" spans="1:16" ht="27" customHeight="1" x14ac:dyDescent="0.2">
      <c r="A2101" s="9" t="s">
        <v>7620</v>
      </c>
      <c r="B2101" s="10" t="s">
        <v>7677</v>
      </c>
      <c r="C2101" s="11" t="s">
        <v>18</v>
      </c>
      <c r="D2101" s="11" t="s">
        <v>19</v>
      </c>
      <c r="E2101" s="11" t="s">
        <v>19</v>
      </c>
      <c r="F2101" s="11" t="s">
        <v>7678</v>
      </c>
      <c r="G2101" s="11" t="s">
        <v>83</v>
      </c>
      <c r="H2101" s="11" t="s">
        <v>7679</v>
      </c>
      <c r="I2101" s="11" t="s">
        <v>7680</v>
      </c>
      <c r="J2101" s="12">
        <v>0.82079999999999997</v>
      </c>
      <c r="K2101" s="13">
        <v>2</v>
      </c>
      <c r="L2101" s="14">
        <v>106</v>
      </c>
      <c r="M2101" s="10">
        <v>87</v>
      </c>
      <c r="N2101" s="10">
        <v>11713</v>
      </c>
      <c r="O2101" s="10">
        <v>6822</v>
      </c>
      <c r="P2101" s="10">
        <v>18535</v>
      </c>
    </row>
    <row r="2102" spans="1:16" ht="27" customHeight="1" x14ac:dyDescent="0.2">
      <c r="A2102" s="9" t="s">
        <v>7620</v>
      </c>
      <c r="B2102" s="10" t="s">
        <v>7677</v>
      </c>
      <c r="C2102" s="11" t="s">
        <v>7681</v>
      </c>
      <c r="D2102" s="11" t="s">
        <v>7682</v>
      </c>
      <c r="E2102" s="11" t="s">
        <v>26</v>
      </c>
      <c r="F2102" s="11" t="s">
        <v>7683</v>
      </c>
      <c r="G2102" s="11" t="s">
        <v>28</v>
      </c>
      <c r="H2102" s="11" t="s">
        <v>7683</v>
      </c>
      <c r="I2102" s="11" t="s">
        <v>7684</v>
      </c>
      <c r="J2102" s="12">
        <v>0.41270000000000001</v>
      </c>
      <c r="K2102" s="13">
        <v>1</v>
      </c>
      <c r="L2102" s="14">
        <v>2365</v>
      </c>
      <c r="M2102" s="10">
        <v>976</v>
      </c>
      <c r="N2102" s="10">
        <v>261336</v>
      </c>
      <c r="O2102" s="10">
        <v>76537</v>
      </c>
      <c r="P2102" s="10">
        <v>337873</v>
      </c>
    </row>
    <row r="2103" spans="1:16" ht="27" customHeight="1" x14ac:dyDescent="0.2">
      <c r="A2103" s="9" t="s">
        <v>7620</v>
      </c>
      <c r="B2103" s="10" t="s">
        <v>7685</v>
      </c>
      <c r="C2103" s="11" t="s">
        <v>18</v>
      </c>
      <c r="D2103" s="11" t="s">
        <v>19</v>
      </c>
      <c r="E2103" s="11" t="s">
        <v>19</v>
      </c>
      <c r="F2103" s="11" t="s">
        <v>7686</v>
      </c>
      <c r="G2103" s="11" t="s">
        <v>83</v>
      </c>
      <c r="H2103" s="11" t="s">
        <v>7623</v>
      </c>
      <c r="I2103" s="11" t="s">
        <v>7624</v>
      </c>
      <c r="J2103" s="12">
        <v>0.9647</v>
      </c>
      <c r="K2103" s="13">
        <v>18</v>
      </c>
      <c r="L2103" s="14">
        <v>12290</v>
      </c>
      <c r="M2103" s="10">
        <v>9132</v>
      </c>
      <c r="N2103" s="10">
        <v>1358063</v>
      </c>
      <c r="O2103" s="10">
        <v>716120</v>
      </c>
      <c r="P2103" s="10">
        <v>2074183</v>
      </c>
    </row>
    <row r="2104" spans="1:16" ht="27" customHeight="1" x14ac:dyDescent="0.2">
      <c r="A2104" s="9" t="s">
        <v>7620</v>
      </c>
      <c r="B2104" s="10" t="s">
        <v>7685</v>
      </c>
      <c r="C2104" s="11" t="s">
        <v>7687</v>
      </c>
      <c r="D2104" s="11" t="s">
        <v>7688</v>
      </c>
      <c r="E2104" s="11" t="s">
        <v>26</v>
      </c>
      <c r="F2104" s="11" t="s">
        <v>7689</v>
      </c>
      <c r="G2104" s="11" t="s">
        <v>28</v>
      </c>
      <c r="H2104" s="11" t="s">
        <v>7689</v>
      </c>
      <c r="I2104" s="11" t="s">
        <v>7690</v>
      </c>
      <c r="J2104" s="12">
        <v>0.36249999999999999</v>
      </c>
      <c r="K2104" s="13">
        <v>1</v>
      </c>
      <c r="L2104" s="14">
        <v>480</v>
      </c>
      <c r="M2104" s="10">
        <v>174</v>
      </c>
      <c r="N2104" s="10">
        <v>53041</v>
      </c>
      <c r="O2104" s="10">
        <v>13645</v>
      </c>
      <c r="P2104" s="10">
        <v>66686</v>
      </c>
    </row>
    <row r="2105" spans="1:16" ht="27" customHeight="1" x14ac:dyDescent="0.2">
      <c r="A2105" s="9" t="s">
        <v>7620</v>
      </c>
      <c r="B2105" s="10" t="s">
        <v>7685</v>
      </c>
      <c r="C2105" s="11" t="s">
        <v>7691</v>
      </c>
      <c r="D2105" s="11" t="s">
        <v>7692</v>
      </c>
      <c r="E2105" s="11" t="s">
        <v>26</v>
      </c>
      <c r="F2105" s="11" t="s">
        <v>7693</v>
      </c>
      <c r="G2105" s="11" t="s">
        <v>28</v>
      </c>
      <c r="H2105" s="11" t="s">
        <v>7693</v>
      </c>
      <c r="I2105" s="11" t="s">
        <v>7694</v>
      </c>
      <c r="J2105" s="12">
        <v>0.81340000000000001</v>
      </c>
      <c r="K2105" s="13">
        <v>1</v>
      </c>
      <c r="L2105" s="14">
        <v>268</v>
      </c>
      <c r="M2105" s="10">
        <v>218</v>
      </c>
      <c r="N2105" s="10">
        <v>29614</v>
      </c>
      <c r="O2105" s="10">
        <v>17095</v>
      </c>
      <c r="P2105" s="10">
        <v>46709</v>
      </c>
    </row>
    <row r="2106" spans="1:16" ht="27" customHeight="1" x14ac:dyDescent="0.2">
      <c r="A2106" s="9" t="s">
        <v>7695</v>
      </c>
      <c r="B2106" s="10" t="s">
        <v>7696</v>
      </c>
      <c r="C2106" s="11" t="s">
        <v>18</v>
      </c>
      <c r="D2106" s="11" t="s">
        <v>19</v>
      </c>
      <c r="E2106" s="11" t="s">
        <v>19</v>
      </c>
      <c r="F2106" s="11" t="s">
        <v>7697</v>
      </c>
      <c r="G2106" s="11" t="s">
        <v>21</v>
      </c>
      <c r="H2106" s="11" t="s">
        <v>7698</v>
      </c>
      <c r="I2106" s="11" t="s">
        <v>7699</v>
      </c>
      <c r="J2106" s="12">
        <v>0.9889</v>
      </c>
      <c r="K2106" s="13">
        <v>3</v>
      </c>
      <c r="L2106" s="14">
        <v>277</v>
      </c>
      <c r="M2106" s="10">
        <v>252</v>
      </c>
      <c r="N2106" s="10">
        <v>30609</v>
      </c>
      <c r="O2106" s="10">
        <v>19762</v>
      </c>
      <c r="P2106" s="10">
        <v>50371</v>
      </c>
    </row>
    <row r="2107" spans="1:16" ht="27" customHeight="1" x14ac:dyDescent="0.2">
      <c r="A2107" s="9" t="s">
        <v>7695</v>
      </c>
      <c r="B2107" s="10" t="s">
        <v>7696</v>
      </c>
      <c r="C2107" s="11" t="s">
        <v>7700</v>
      </c>
      <c r="D2107" s="11" t="s">
        <v>7701</v>
      </c>
      <c r="E2107" s="11" t="s">
        <v>57</v>
      </c>
      <c r="F2107" s="11" t="s">
        <v>7702</v>
      </c>
      <c r="G2107" s="11" t="s">
        <v>28</v>
      </c>
      <c r="H2107" s="11" t="s">
        <v>7702</v>
      </c>
      <c r="I2107" s="11" t="s">
        <v>7703</v>
      </c>
      <c r="J2107" s="12">
        <v>0.77459999999999996</v>
      </c>
      <c r="K2107" s="13">
        <v>1</v>
      </c>
      <c r="L2107" s="14">
        <v>71</v>
      </c>
      <c r="M2107" s="10">
        <v>55</v>
      </c>
      <c r="N2107" s="10">
        <v>7846</v>
      </c>
      <c r="O2107" s="10">
        <v>4313</v>
      </c>
      <c r="P2107" s="10">
        <v>12159</v>
      </c>
    </row>
    <row r="2108" spans="1:16" ht="27" customHeight="1" x14ac:dyDescent="0.2">
      <c r="A2108" s="9" t="s">
        <v>7695</v>
      </c>
      <c r="B2108" s="10" t="s">
        <v>7696</v>
      </c>
      <c r="C2108" s="11" t="s">
        <v>7704</v>
      </c>
      <c r="D2108" s="11" t="s">
        <v>7705</v>
      </c>
      <c r="E2108" s="11" t="s">
        <v>26</v>
      </c>
      <c r="F2108" s="11" t="s">
        <v>7706</v>
      </c>
      <c r="G2108" s="11" t="s">
        <v>28</v>
      </c>
      <c r="H2108" s="11" t="s">
        <v>7698</v>
      </c>
      <c r="I2108" s="11" t="s">
        <v>7699</v>
      </c>
      <c r="J2108" s="12">
        <v>0.9889</v>
      </c>
      <c r="K2108" s="13">
        <v>1</v>
      </c>
      <c r="L2108" s="14">
        <v>116</v>
      </c>
      <c r="M2108" s="10">
        <v>88</v>
      </c>
      <c r="N2108" s="10">
        <v>12818</v>
      </c>
      <c r="O2108" s="10">
        <v>6901</v>
      </c>
      <c r="P2108" s="10">
        <v>19719</v>
      </c>
    </row>
    <row r="2109" spans="1:16" ht="27" customHeight="1" x14ac:dyDescent="0.2">
      <c r="A2109" s="9" t="s">
        <v>7695</v>
      </c>
      <c r="B2109" s="10" t="s">
        <v>7707</v>
      </c>
      <c r="C2109" s="11" t="s">
        <v>18</v>
      </c>
      <c r="D2109" s="11" t="s">
        <v>19</v>
      </c>
      <c r="E2109" s="11" t="s">
        <v>19</v>
      </c>
      <c r="F2109" s="11" t="s">
        <v>1963</v>
      </c>
      <c r="G2109" s="11" t="s">
        <v>83</v>
      </c>
      <c r="H2109" s="11" t="s">
        <v>7708</v>
      </c>
      <c r="I2109" s="11" t="s">
        <v>7709</v>
      </c>
      <c r="J2109" s="12">
        <v>0.94740000000000002</v>
      </c>
      <c r="K2109" s="13">
        <v>4</v>
      </c>
      <c r="L2109" s="14">
        <v>721</v>
      </c>
      <c r="M2109" s="10">
        <v>422</v>
      </c>
      <c r="N2109" s="10">
        <v>79673</v>
      </c>
      <c r="O2109" s="10">
        <v>33093</v>
      </c>
      <c r="P2109" s="10">
        <v>112766</v>
      </c>
    </row>
    <row r="2110" spans="1:16" ht="27" customHeight="1" x14ac:dyDescent="0.2">
      <c r="A2110" s="9" t="s">
        <v>7695</v>
      </c>
      <c r="B2110" s="10" t="s">
        <v>7707</v>
      </c>
      <c r="C2110" s="11" t="s">
        <v>7710</v>
      </c>
      <c r="D2110" s="11" t="s">
        <v>7711</v>
      </c>
      <c r="E2110" s="11" t="s">
        <v>57</v>
      </c>
      <c r="F2110" s="11" t="s">
        <v>7712</v>
      </c>
      <c r="G2110" s="11" t="s">
        <v>28</v>
      </c>
      <c r="H2110" s="11" t="s">
        <v>7698</v>
      </c>
      <c r="I2110" s="11" t="s">
        <v>7699</v>
      </c>
      <c r="J2110" s="12">
        <v>0.9889</v>
      </c>
      <c r="K2110" s="13">
        <v>1</v>
      </c>
      <c r="L2110" s="14">
        <v>94</v>
      </c>
      <c r="M2110" s="10">
        <v>71</v>
      </c>
      <c r="N2110" s="10">
        <v>10387</v>
      </c>
      <c r="O2110" s="10">
        <v>5568</v>
      </c>
      <c r="P2110" s="10">
        <v>15955</v>
      </c>
    </row>
    <row r="2111" spans="1:16" ht="27" customHeight="1" x14ac:dyDescent="0.2">
      <c r="A2111" s="9" t="s">
        <v>7695</v>
      </c>
      <c r="B2111" s="10" t="s">
        <v>7713</v>
      </c>
      <c r="C2111" s="11" t="s">
        <v>18</v>
      </c>
      <c r="D2111" s="11" t="s">
        <v>19</v>
      </c>
      <c r="E2111" s="11" t="s">
        <v>19</v>
      </c>
      <c r="F2111" s="11" t="s">
        <v>7714</v>
      </c>
      <c r="G2111" s="11" t="s">
        <v>83</v>
      </c>
      <c r="H2111" s="11" t="s">
        <v>7698</v>
      </c>
      <c r="I2111" s="11" t="s">
        <v>7699</v>
      </c>
      <c r="J2111" s="12">
        <v>0.9889</v>
      </c>
      <c r="K2111" s="13">
        <v>7</v>
      </c>
      <c r="L2111" s="14">
        <v>2011</v>
      </c>
      <c r="M2111" s="10">
        <v>1783</v>
      </c>
      <c r="N2111" s="10">
        <v>222220</v>
      </c>
      <c r="O2111" s="10">
        <v>139821</v>
      </c>
      <c r="P2111" s="10">
        <v>362041</v>
      </c>
    </row>
    <row r="2112" spans="1:16" ht="27" customHeight="1" x14ac:dyDescent="0.2">
      <c r="A2112" s="9" t="s">
        <v>7695</v>
      </c>
      <c r="B2112" s="10" t="s">
        <v>7715</v>
      </c>
      <c r="C2112" s="11" t="s">
        <v>18</v>
      </c>
      <c r="D2112" s="11" t="s">
        <v>19</v>
      </c>
      <c r="E2112" s="11" t="s">
        <v>19</v>
      </c>
      <c r="F2112" s="11" t="s">
        <v>7716</v>
      </c>
      <c r="G2112" s="11" t="s">
        <v>83</v>
      </c>
      <c r="H2112" s="11" t="s">
        <v>7698</v>
      </c>
      <c r="I2112" s="11" t="s">
        <v>7699</v>
      </c>
      <c r="J2112" s="12">
        <v>0.9889</v>
      </c>
      <c r="K2112" s="13">
        <v>4</v>
      </c>
      <c r="L2112" s="14">
        <v>1138</v>
      </c>
      <c r="M2112" s="10">
        <v>840</v>
      </c>
      <c r="N2112" s="10">
        <v>125751</v>
      </c>
      <c r="O2112" s="10">
        <v>65872</v>
      </c>
      <c r="P2112" s="10">
        <v>191623</v>
      </c>
    </row>
    <row r="2113" spans="1:16" ht="27" customHeight="1" x14ac:dyDescent="0.2">
      <c r="A2113" s="9" t="s">
        <v>7695</v>
      </c>
      <c r="B2113" s="10" t="s">
        <v>7717</v>
      </c>
      <c r="C2113" s="11" t="s">
        <v>18</v>
      </c>
      <c r="D2113" s="11" t="s">
        <v>19</v>
      </c>
      <c r="E2113" s="11" t="s">
        <v>19</v>
      </c>
      <c r="F2113" s="11" t="s">
        <v>7718</v>
      </c>
      <c r="G2113" s="11" t="s">
        <v>83</v>
      </c>
      <c r="H2113" s="11" t="s">
        <v>1883</v>
      </c>
      <c r="I2113" s="11" t="s">
        <v>7719</v>
      </c>
      <c r="J2113" s="12">
        <v>0.59240000000000004</v>
      </c>
      <c r="K2113" s="13">
        <v>6</v>
      </c>
      <c r="L2113" s="14">
        <v>1084</v>
      </c>
      <c r="M2113" s="10">
        <v>626</v>
      </c>
      <c r="N2113" s="10">
        <v>119784</v>
      </c>
      <c r="O2113" s="10">
        <v>49090</v>
      </c>
      <c r="P2113" s="10">
        <v>168874</v>
      </c>
    </row>
    <row r="2114" spans="1:16" ht="27" customHeight="1" x14ac:dyDescent="0.2">
      <c r="A2114" s="9" t="s">
        <v>7695</v>
      </c>
      <c r="B2114" s="10" t="s">
        <v>7717</v>
      </c>
      <c r="C2114" s="11" t="s">
        <v>7720</v>
      </c>
      <c r="D2114" s="11" t="s">
        <v>7721</v>
      </c>
      <c r="E2114" s="11" t="s">
        <v>57</v>
      </c>
      <c r="F2114" s="11" t="s">
        <v>7722</v>
      </c>
      <c r="G2114" s="11" t="s">
        <v>28</v>
      </c>
      <c r="H2114" s="11" t="s">
        <v>7722</v>
      </c>
      <c r="I2114" s="11" t="s">
        <v>7723</v>
      </c>
      <c r="J2114" s="12">
        <v>0.54790000000000005</v>
      </c>
      <c r="K2114" s="13">
        <v>1</v>
      </c>
      <c r="L2114" s="14">
        <v>146</v>
      </c>
      <c r="M2114" s="10">
        <v>80</v>
      </c>
      <c r="N2114" s="10">
        <v>16133</v>
      </c>
      <c r="O2114" s="10">
        <v>6274</v>
      </c>
      <c r="P2114" s="10">
        <v>22407</v>
      </c>
    </row>
    <row r="2115" spans="1:16" ht="27" customHeight="1" x14ac:dyDescent="0.2">
      <c r="A2115" s="9" t="s">
        <v>7695</v>
      </c>
      <c r="B2115" s="10" t="s">
        <v>7724</v>
      </c>
      <c r="C2115" s="11" t="s">
        <v>18</v>
      </c>
      <c r="D2115" s="11" t="s">
        <v>19</v>
      </c>
      <c r="E2115" s="11" t="s">
        <v>19</v>
      </c>
      <c r="F2115" s="11" t="s">
        <v>7725</v>
      </c>
      <c r="G2115" s="11" t="s">
        <v>83</v>
      </c>
      <c r="H2115" s="11" t="s">
        <v>7726</v>
      </c>
      <c r="I2115" s="11" t="s">
        <v>7727</v>
      </c>
      <c r="J2115" s="12">
        <v>0.6</v>
      </c>
      <c r="K2115" s="13">
        <v>2</v>
      </c>
      <c r="L2115" s="14">
        <v>45</v>
      </c>
      <c r="M2115" s="10">
        <v>27</v>
      </c>
      <c r="N2115" s="10">
        <v>4973</v>
      </c>
      <c r="O2115" s="10">
        <v>2117</v>
      </c>
      <c r="P2115" s="10">
        <v>7090</v>
      </c>
    </row>
    <row r="2116" spans="1:16" ht="27" customHeight="1" x14ac:dyDescent="0.2">
      <c r="A2116" s="9" t="s">
        <v>7695</v>
      </c>
      <c r="B2116" s="10" t="s">
        <v>7728</v>
      </c>
      <c r="C2116" s="11" t="s">
        <v>18</v>
      </c>
      <c r="D2116" s="11" t="s">
        <v>19</v>
      </c>
      <c r="E2116" s="11" t="s">
        <v>19</v>
      </c>
      <c r="F2116" s="11" t="s">
        <v>7729</v>
      </c>
      <c r="G2116" s="11" t="s">
        <v>83</v>
      </c>
      <c r="H2116" s="11" t="s">
        <v>7730</v>
      </c>
      <c r="I2116" s="11" t="s">
        <v>7731</v>
      </c>
      <c r="J2116" s="12">
        <v>0.8246</v>
      </c>
      <c r="K2116" s="13">
        <v>2</v>
      </c>
      <c r="L2116" s="14">
        <v>405</v>
      </c>
      <c r="M2116" s="10">
        <v>334</v>
      </c>
      <c r="N2116" s="10">
        <v>44753</v>
      </c>
      <c r="O2116" s="10">
        <v>26192</v>
      </c>
      <c r="P2116" s="10">
        <v>70945</v>
      </c>
    </row>
    <row r="2117" spans="1:16" ht="27" customHeight="1" x14ac:dyDescent="0.2">
      <c r="A2117" s="9" t="s">
        <v>7695</v>
      </c>
      <c r="B2117" s="10" t="s">
        <v>7732</v>
      </c>
      <c r="C2117" s="11" t="s">
        <v>18</v>
      </c>
      <c r="D2117" s="11" t="s">
        <v>19</v>
      </c>
      <c r="E2117" s="11" t="s">
        <v>19</v>
      </c>
      <c r="F2117" s="11" t="s">
        <v>7733</v>
      </c>
      <c r="G2117" s="11" t="s">
        <v>83</v>
      </c>
      <c r="H2117" s="11" t="s">
        <v>7733</v>
      </c>
      <c r="I2117" s="11" t="s">
        <v>7734</v>
      </c>
      <c r="J2117" s="12">
        <v>0.45100000000000001</v>
      </c>
      <c r="K2117" s="13">
        <v>2</v>
      </c>
      <c r="L2117" s="14">
        <v>102</v>
      </c>
      <c r="M2117" s="10">
        <v>46</v>
      </c>
      <c r="N2117" s="10">
        <v>11271</v>
      </c>
      <c r="O2117" s="10">
        <v>3607</v>
      </c>
      <c r="P2117" s="10">
        <v>14878</v>
      </c>
    </row>
    <row r="2118" spans="1:16" ht="27" customHeight="1" x14ac:dyDescent="0.2">
      <c r="A2118" s="9" t="s">
        <v>7695</v>
      </c>
      <c r="B2118" s="10" t="s">
        <v>7735</v>
      </c>
      <c r="C2118" s="11" t="s">
        <v>18</v>
      </c>
      <c r="D2118" s="11" t="s">
        <v>19</v>
      </c>
      <c r="E2118" s="11" t="s">
        <v>19</v>
      </c>
      <c r="F2118" s="11" t="s">
        <v>7736</v>
      </c>
      <c r="G2118" s="11" t="s">
        <v>83</v>
      </c>
      <c r="H2118" s="11" t="s">
        <v>7737</v>
      </c>
      <c r="I2118" s="11" t="s">
        <v>7738</v>
      </c>
      <c r="J2118" s="12">
        <v>0.48039999999999999</v>
      </c>
      <c r="K2118" s="13">
        <v>2</v>
      </c>
      <c r="L2118" s="14">
        <v>360</v>
      </c>
      <c r="M2118" s="10">
        <v>173</v>
      </c>
      <c r="N2118" s="10">
        <v>39781</v>
      </c>
      <c r="O2118" s="10">
        <v>13566</v>
      </c>
      <c r="P2118" s="10">
        <v>53347</v>
      </c>
    </row>
    <row r="2119" spans="1:16" ht="27" customHeight="1" x14ac:dyDescent="0.2">
      <c r="A2119" s="9" t="s">
        <v>7695</v>
      </c>
      <c r="B2119" s="10" t="s">
        <v>7739</v>
      </c>
      <c r="C2119" s="11" t="s">
        <v>18</v>
      </c>
      <c r="D2119" s="11" t="s">
        <v>19</v>
      </c>
      <c r="E2119" s="11" t="s">
        <v>19</v>
      </c>
      <c r="F2119" s="11" t="s">
        <v>7740</v>
      </c>
      <c r="G2119" s="11" t="s">
        <v>83</v>
      </c>
      <c r="H2119" s="11" t="s">
        <v>7741</v>
      </c>
      <c r="I2119" s="11" t="s">
        <v>7742</v>
      </c>
      <c r="J2119" s="12">
        <v>0.81779999999999997</v>
      </c>
      <c r="K2119" s="13">
        <v>4</v>
      </c>
      <c r="L2119" s="14">
        <v>531</v>
      </c>
      <c r="M2119" s="10">
        <v>386</v>
      </c>
      <c r="N2119" s="10">
        <v>58677</v>
      </c>
      <c r="O2119" s="10">
        <v>30270</v>
      </c>
      <c r="P2119" s="10">
        <v>88947</v>
      </c>
    </row>
    <row r="2120" spans="1:16" ht="27" customHeight="1" x14ac:dyDescent="0.2">
      <c r="A2120" s="9" t="s">
        <v>7695</v>
      </c>
      <c r="B2120" s="10" t="s">
        <v>7743</v>
      </c>
      <c r="C2120" s="11" t="s">
        <v>18</v>
      </c>
      <c r="D2120" s="11" t="s">
        <v>19</v>
      </c>
      <c r="E2120" s="11" t="s">
        <v>19</v>
      </c>
      <c r="F2120" s="11" t="s">
        <v>7744</v>
      </c>
      <c r="G2120" s="11" t="s">
        <v>83</v>
      </c>
      <c r="H2120" s="11" t="s">
        <v>7745</v>
      </c>
      <c r="I2120" s="11" t="s">
        <v>7746</v>
      </c>
      <c r="J2120" s="12">
        <v>0.87470000000000003</v>
      </c>
      <c r="K2120" s="13">
        <v>6</v>
      </c>
      <c r="L2120" s="14">
        <v>1866</v>
      </c>
      <c r="M2120" s="10">
        <v>1535</v>
      </c>
      <c r="N2120" s="10">
        <v>206195</v>
      </c>
      <c r="O2120" s="10">
        <v>120373</v>
      </c>
      <c r="P2120" s="10">
        <v>326568</v>
      </c>
    </row>
    <row r="2121" spans="1:16" ht="27" customHeight="1" x14ac:dyDescent="0.2">
      <c r="A2121" s="9" t="s">
        <v>7695</v>
      </c>
      <c r="B2121" s="10" t="s">
        <v>7747</v>
      </c>
      <c r="C2121" s="11" t="s">
        <v>18</v>
      </c>
      <c r="D2121" s="11" t="s">
        <v>19</v>
      </c>
      <c r="E2121" s="11" t="s">
        <v>19</v>
      </c>
      <c r="F2121" s="11" t="s">
        <v>7748</v>
      </c>
      <c r="G2121" s="11" t="s">
        <v>83</v>
      </c>
      <c r="H2121" s="11" t="s">
        <v>7698</v>
      </c>
      <c r="I2121" s="11" t="s">
        <v>7699</v>
      </c>
      <c r="J2121" s="12">
        <v>0.9889</v>
      </c>
      <c r="K2121" s="13">
        <v>3</v>
      </c>
      <c r="L2121" s="14">
        <v>1747</v>
      </c>
      <c r="M2121" s="10">
        <v>1143</v>
      </c>
      <c r="N2121" s="10">
        <v>193047</v>
      </c>
      <c r="O2121" s="10">
        <v>89633</v>
      </c>
      <c r="P2121" s="10">
        <v>282680</v>
      </c>
    </row>
    <row r="2122" spans="1:16" ht="27" customHeight="1" x14ac:dyDescent="0.2">
      <c r="A2122" s="9" t="s">
        <v>7695</v>
      </c>
      <c r="B2122" s="10" t="s">
        <v>7749</v>
      </c>
      <c r="C2122" s="11" t="s">
        <v>18</v>
      </c>
      <c r="D2122" s="11" t="s">
        <v>19</v>
      </c>
      <c r="E2122" s="11" t="s">
        <v>19</v>
      </c>
      <c r="F2122" s="11" t="s">
        <v>7750</v>
      </c>
      <c r="G2122" s="11" t="s">
        <v>83</v>
      </c>
      <c r="H2122" s="11" t="s">
        <v>7750</v>
      </c>
      <c r="I2122" s="11" t="s">
        <v>7751</v>
      </c>
      <c r="J2122" s="12">
        <v>0.58009999999999995</v>
      </c>
      <c r="K2122" s="13">
        <v>2</v>
      </c>
      <c r="L2122" s="14">
        <v>182</v>
      </c>
      <c r="M2122" s="10">
        <v>106</v>
      </c>
      <c r="N2122" s="10">
        <v>20112</v>
      </c>
      <c r="O2122" s="10">
        <v>8312</v>
      </c>
      <c r="P2122" s="10">
        <v>28424</v>
      </c>
    </row>
    <row r="2123" spans="1:16" ht="27" customHeight="1" x14ac:dyDescent="0.2">
      <c r="A2123" s="9" t="s">
        <v>7695</v>
      </c>
      <c r="B2123" s="10" t="s">
        <v>7752</v>
      </c>
      <c r="C2123" s="11" t="s">
        <v>18</v>
      </c>
      <c r="D2123" s="11" t="s">
        <v>19</v>
      </c>
      <c r="E2123" s="11" t="s">
        <v>19</v>
      </c>
      <c r="F2123" s="11" t="s">
        <v>7753</v>
      </c>
      <c r="G2123" s="11" t="s">
        <v>83</v>
      </c>
      <c r="H2123" s="11" t="s">
        <v>7753</v>
      </c>
      <c r="I2123" s="11" t="s">
        <v>7754</v>
      </c>
      <c r="J2123" s="12">
        <v>0.42020000000000002</v>
      </c>
      <c r="K2123" s="13">
        <v>2</v>
      </c>
      <c r="L2123" s="14">
        <v>238</v>
      </c>
      <c r="M2123" s="10">
        <v>100</v>
      </c>
      <c r="N2123" s="10">
        <v>26299</v>
      </c>
      <c r="O2123" s="10">
        <v>7842</v>
      </c>
      <c r="P2123" s="10">
        <v>34141</v>
      </c>
    </row>
    <row r="2124" spans="1:16" ht="27" customHeight="1" x14ac:dyDescent="0.2">
      <c r="A2124" s="9" t="s">
        <v>7755</v>
      </c>
      <c r="B2124" s="10" t="s">
        <v>7756</v>
      </c>
      <c r="C2124" s="11" t="s">
        <v>18</v>
      </c>
      <c r="D2124" s="11" t="s">
        <v>19</v>
      </c>
      <c r="E2124" s="11" t="s">
        <v>19</v>
      </c>
      <c r="F2124" s="11" t="s">
        <v>7757</v>
      </c>
      <c r="G2124" s="11" t="s">
        <v>21</v>
      </c>
      <c r="H2124" s="11" t="s">
        <v>7758</v>
      </c>
      <c r="I2124" s="11" t="s">
        <v>7759</v>
      </c>
      <c r="J2124" s="12">
        <v>0.84619999999999995</v>
      </c>
      <c r="K2124" s="13">
        <v>2</v>
      </c>
      <c r="L2124" s="14">
        <v>37</v>
      </c>
      <c r="M2124" s="10">
        <v>30</v>
      </c>
      <c r="N2124" s="10">
        <v>4089</v>
      </c>
      <c r="O2124" s="10">
        <v>2353</v>
      </c>
      <c r="P2124" s="10">
        <v>6442</v>
      </c>
    </row>
    <row r="2125" spans="1:16" ht="27" customHeight="1" x14ac:dyDescent="0.2">
      <c r="A2125" s="9" t="s">
        <v>7755</v>
      </c>
      <c r="B2125" s="10" t="s">
        <v>7756</v>
      </c>
      <c r="C2125" s="11" t="s">
        <v>7760</v>
      </c>
      <c r="D2125" s="11" t="s">
        <v>7761</v>
      </c>
      <c r="E2125" s="11" t="s">
        <v>26</v>
      </c>
      <c r="F2125" s="11" t="s">
        <v>7762</v>
      </c>
      <c r="G2125" s="11" t="s">
        <v>28</v>
      </c>
      <c r="H2125" s="11" t="s">
        <v>7758</v>
      </c>
      <c r="I2125" s="11" t="s">
        <v>7759</v>
      </c>
      <c r="J2125" s="12">
        <v>0.84619999999999995</v>
      </c>
      <c r="K2125" s="13">
        <v>1</v>
      </c>
      <c r="L2125" s="14">
        <v>98</v>
      </c>
      <c r="M2125" s="10">
        <v>85</v>
      </c>
      <c r="N2125" s="10">
        <v>10829</v>
      </c>
      <c r="O2125" s="10">
        <v>6666</v>
      </c>
      <c r="P2125" s="10">
        <v>17495</v>
      </c>
    </row>
    <row r="2126" spans="1:16" ht="27" customHeight="1" x14ac:dyDescent="0.2">
      <c r="A2126" s="9" t="s">
        <v>7755</v>
      </c>
      <c r="B2126" s="10" t="s">
        <v>7763</v>
      </c>
      <c r="C2126" s="11" t="s">
        <v>18</v>
      </c>
      <c r="D2126" s="11" t="s">
        <v>19</v>
      </c>
      <c r="E2126" s="11" t="s">
        <v>19</v>
      </c>
      <c r="F2126" s="11" t="s">
        <v>7764</v>
      </c>
      <c r="G2126" s="11" t="s">
        <v>83</v>
      </c>
      <c r="H2126" s="11" t="s">
        <v>7764</v>
      </c>
      <c r="I2126" s="11" t="s">
        <v>7765</v>
      </c>
      <c r="J2126" s="12">
        <v>0.57140000000000002</v>
      </c>
      <c r="K2126" s="13">
        <v>2</v>
      </c>
      <c r="L2126" s="14">
        <v>91</v>
      </c>
      <c r="M2126" s="10">
        <v>52</v>
      </c>
      <c r="N2126" s="10">
        <v>10056</v>
      </c>
      <c r="O2126" s="10">
        <v>4078</v>
      </c>
      <c r="P2126" s="10">
        <v>14134</v>
      </c>
    </row>
    <row r="2127" spans="1:16" ht="27" customHeight="1" x14ac:dyDescent="0.2">
      <c r="A2127" s="9" t="s">
        <v>7755</v>
      </c>
      <c r="B2127" s="10" t="s">
        <v>7766</v>
      </c>
      <c r="C2127" s="11" t="s">
        <v>18</v>
      </c>
      <c r="D2127" s="11" t="s">
        <v>19</v>
      </c>
      <c r="E2127" s="11" t="s">
        <v>19</v>
      </c>
      <c r="F2127" s="11" t="s">
        <v>7767</v>
      </c>
      <c r="G2127" s="11" t="s">
        <v>83</v>
      </c>
      <c r="H2127" s="11" t="s">
        <v>7767</v>
      </c>
      <c r="I2127" s="11" t="s">
        <v>7768</v>
      </c>
      <c r="J2127" s="12">
        <v>0.77780000000000005</v>
      </c>
      <c r="K2127" s="13">
        <v>2</v>
      </c>
      <c r="L2127" s="14">
        <v>9</v>
      </c>
      <c r="M2127" s="10">
        <v>7</v>
      </c>
      <c r="N2127" s="10">
        <v>995</v>
      </c>
      <c r="O2127" s="10">
        <v>549</v>
      </c>
      <c r="P2127" s="10">
        <v>1544</v>
      </c>
    </row>
    <row r="2128" spans="1:16" ht="27" customHeight="1" x14ac:dyDescent="0.2">
      <c r="A2128" s="9" t="s">
        <v>7755</v>
      </c>
      <c r="B2128" s="10" t="s">
        <v>7769</v>
      </c>
      <c r="C2128" s="11" t="s">
        <v>18</v>
      </c>
      <c r="D2128" s="11" t="s">
        <v>19</v>
      </c>
      <c r="E2128" s="11" t="s">
        <v>19</v>
      </c>
      <c r="F2128" s="11" t="s">
        <v>7770</v>
      </c>
      <c r="G2128" s="11" t="s">
        <v>83</v>
      </c>
      <c r="H2128" s="11" t="s">
        <v>7770</v>
      </c>
      <c r="I2128" s="11" t="s">
        <v>7771</v>
      </c>
      <c r="J2128" s="12">
        <v>0.48770000000000002</v>
      </c>
      <c r="K2128" s="13">
        <v>2</v>
      </c>
      <c r="L2128" s="14">
        <v>162</v>
      </c>
      <c r="M2128" s="10">
        <v>79</v>
      </c>
      <c r="N2128" s="10">
        <v>17901</v>
      </c>
      <c r="O2128" s="10">
        <v>6195</v>
      </c>
      <c r="P2128" s="10">
        <v>24096</v>
      </c>
    </row>
    <row r="2129" spans="1:16" ht="27" customHeight="1" x14ac:dyDescent="0.2">
      <c r="A2129" s="9" t="s">
        <v>7755</v>
      </c>
      <c r="B2129" s="10" t="s">
        <v>7772</v>
      </c>
      <c r="C2129" s="11" t="s">
        <v>18</v>
      </c>
      <c r="D2129" s="11" t="s">
        <v>19</v>
      </c>
      <c r="E2129" s="11" t="s">
        <v>19</v>
      </c>
      <c r="F2129" s="11" t="s">
        <v>7773</v>
      </c>
      <c r="G2129" s="11" t="s">
        <v>83</v>
      </c>
      <c r="H2129" s="11" t="s">
        <v>7773</v>
      </c>
      <c r="I2129" s="11" t="s">
        <v>7774</v>
      </c>
      <c r="J2129" s="12">
        <v>0.58730000000000004</v>
      </c>
      <c r="K2129" s="13">
        <v>2</v>
      </c>
      <c r="L2129" s="14">
        <v>63</v>
      </c>
      <c r="M2129" s="10">
        <v>37</v>
      </c>
      <c r="N2129" s="10">
        <v>6962</v>
      </c>
      <c r="O2129" s="10">
        <v>2902</v>
      </c>
      <c r="P2129" s="10">
        <v>9864</v>
      </c>
    </row>
    <row r="2130" spans="1:16" ht="27" customHeight="1" x14ac:dyDescent="0.2">
      <c r="A2130" s="9" t="s">
        <v>7755</v>
      </c>
      <c r="B2130" s="10" t="s">
        <v>7775</v>
      </c>
      <c r="C2130" s="11" t="s">
        <v>18</v>
      </c>
      <c r="D2130" s="11" t="s">
        <v>19</v>
      </c>
      <c r="E2130" s="11" t="s">
        <v>19</v>
      </c>
      <c r="F2130" s="11" t="s">
        <v>7776</v>
      </c>
      <c r="G2130" s="11" t="s">
        <v>83</v>
      </c>
      <c r="H2130" s="11" t="s">
        <v>7776</v>
      </c>
      <c r="I2130" s="11" t="s">
        <v>7777</v>
      </c>
      <c r="J2130" s="12">
        <v>0.66669999999999996</v>
      </c>
      <c r="K2130" s="13">
        <v>2</v>
      </c>
      <c r="L2130" s="14">
        <v>75</v>
      </c>
      <c r="M2130" s="10">
        <v>50</v>
      </c>
      <c r="N2130" s="10">
        <v>8288</v>
      </c>
      <c r="O2130" s="10">
        <v>3921</v>
      </c>
      <c r="P2130" s="10">
        <v>12209</v>
      </c>
    </row>
    <row r="2131" spans="1:16" ht="27" customHeight="1" x14ac:dyDescent="0.2">
      <c r="A2131" s="9" t="s">
        <v>7755</v>
      </c>
      <c r="B2131" s="10" t="s">
        <v>7778</v>
      </c>
      <c r="C2131" s="11" t="s">
        <v>18</v>
      </c>
      <c r="D2131" s="11" t="s">
        <v>19</v>
      </c>
      <c r="E2131" s="11" t="s">
        <v>19</v>
      </c>
      <c r="F2131" s="11" t="s">
        <v>7758</v>
      </c>
      <c r="G2131" s="11" t="s">
        <v>83</v>
      </c>
      <c r="H2131" s="11" t="s">
        <v>7758</v>
      </c>
      <c r="I2131" s="11" t="s">
        <v>7759</v>
      </c>
      <c r="J2131" s="12">
        <v>0.84619999999999995</v>
      </c>
      <c r="K2131" s="13">
        <v>2</v>
      </c>
      <c r="L2131" s="14">
        <v>13</v>
      </c>
      <c r="M2131" s="10">
        <v>11</v>
      </c>
      <c r="N2131" s="10">
        <v>1437</v>
      </c>
      <c r="O2131" s="10">
        <v>863</v>
      </c>
      <c r="P2131" s="10">
        <v>2300</v>
      </c>
    </row>
    <row r="2132" spans="1:16" ht="27" customHeight="1" x14ac:dyDescent="0.2">
      <c r="A2132" s="9" t="s">
        <v>7755</v>
      </c>
      <c r="B2132" s="10" t="s">
        <v>7779</v>
      </c>
      <c r="C2132" s="11" t="s">
        <v>18</v>
      </c>
      <c r="D2132" s="11" t="s">
        <v>19</v>
      </c>
      <c r="E2132" s="11" t="s">
        <v>19</v>
      </c>
      <c r="F2132" s="11" t="s">
        <v>7780</v>
      </c>
      <c r="G2132" s="11" t="s">
        <v>83</v>
      </c>
      <c r="H2132" s="11" t="s">
        <v>7781</v>
      </c>
      <c r="I2132" s="11" t="s">
        <v>7782</v>
      </c>
      <c r="J2132" s="12">
        <v>0.60780000000000001</v>
      </c>
      <c r="K2132" s="13">
        <v>5</v>
      </c>
      <c r="L2132" s="14">
        <v>84</v>
      </c>
      <c r="M2132" s="10">
        <v>47</v>
      </c>
      <c r="N2132" s="10">
        <v>9283</v>
      </c>
      <c r="O2132" s="10">
        <v>3686</v>
      </c>
      <c r="P2132" s="10">
        <v>12969</v>
      </c>
    </row>
    <row r="2133" spans="1:16" ht="27" customHeight="1" x14ac:dyDescent="0.2">
      <c r="A2133" s="9" t="s">
        <v>7755</v>
      </c>
      <c r="B2133" s="10" t="s">
        <v>7783</v>
      </c>
      <c r="C2133" s="11" t="s">
        <v>18</v>
      </c>
      <c r="D2133" s="11" t="s">
        <v>19</v>
      </c>
      <c r="E2133" s="11" t="s">
        <v>19</v>
      </c>
      <c r="F2133" s="11" t="s">
        <v>7784</v>
      </c>
      <c r="G2133" s="11" t="s">
        <v>83</v>
      </c>
      <c r="H2133" s="11" t="s">
        <v>7785</v>
      </c>
      <c r="I2133" s="11" t="s">
        <v>7786</v>
      </c>
      <c r="J2133" s="12">
        <v>0.80669999999999997</v>
      </c>
      <c r="K2133" s="13">
        <v>4</v>
      </c>
      <c r="L2133" s="14">
        <v>329</v>
      </c>
      <c r="M2133" s="10">
        <v>272</v>
      </c>
      <c r="N2133" s="10">
        <v>36355</v>
      </c>
      <c r="O2133" s="10">
        <v>21329</v>
      </c>
      <c r="P2133" s="10">
        <v>57684</v>
      </c>
    </row>
    <row r="2134" spans="1:16" ht="27" customHeight="1" x14ac:dyDescent="0.2">
      <c r="A2134" s="9" t="s">
        <v>7755</v>
      </c>
      <c r="B2134" s="10" t="s">
        <v>7787</v>
      </c>
      <c r="C2134" s="11" t="s">
        <v>18</v>
      </c>
      <c r="D2134" s="11" t="s">
        <v>19</v>
      </c>
      <c r="E2134" s="11" t="s">
        <v>19</v>
      </c>
      <c r="F2134" s="11" t="s">
        <v>7788</v>
      </c>
      <c r="G2134" s="11" t="s">
        <v>83</v>
      </c>
      <c r="H2134" s="11" t="s">
        <v>7789</v>
      </c>
      <c r="I2134" s="11" t="s">
        <v>7790</v>
      </c>
      <c r="J2134" s="12">
        <v>0.69369999999999998</v>
      </c>
      <c r="K2134" s="13">
        <v>6</v>
      </c>
      <c r="L2134" s="14">
        <v>672</v>
      </c>
      <c r="M2134" s="10">
        <v>441</v>
      </c>
      <c r="N2134" s="10">
        <v>74258</v>
      </c>
      <c r="O2134" s="10">
        <v>34583</v>
      </c>
      <c r="P2134" s="10">
        <v>108841</v>
      </c>
    </row>
    <row r="2135" spans="1:16" ht="27" customHeight="1" x14ac:dyDescent="0.2">
      <c r="A2135" s="9" t="s">
        <v>7791</v>
      </c>
      <c r="B2135" s="10" t="s">
        <v>7792</v>
      </c>
      <c r="C2135" s="11" t="s">
        <v>18</v>
      </c>
      <c r="D2135" s="11" t="s">
        <v>19</v>
      </c>
      <c r="E2135" s="11" t="s">
        <v>19</v>
      </c>
      <c r="F2135" s="11" t="s">
        <v>7793</v>
      </c>
      <c r="G2135" s="11" t="s">
        <v>21</v>
      </c>
      <c r="H2135" s="11" t="s">
        <v>7794</v>
      </c>
      <c r="I2135" s="11" t="s">
        <v>7795</v>
      </c>
      <c r="J2135" s="12">
        <v>1</v>
      </c>
      <c r="K2135" s="13">
        <v>4</v>
      </c>
      <c r="L2135" s="14">
        <v>1628</v>
      </c>
      <c r="M2135" s="10">
        <v>1345</v>
      </c>
      <c r="N2135" s="10">
        <v>179897</v>
      </c>
      <c r="O2135" s="10">
        <v>105474</v>
      </c>
      <c r="P2135" s="10">
        <v>285371</v>
      </c>
    </row>
    <row r="2136" spans="1:16" ht="27" customHeight="1" x14ac:dyDescent="0.2">
      <c r="A2136" s="9" t="s">
        <v>7791</v>
      </c>
      <c r="B2136" s="10" t="s">
        <v>7792</v>
      </c>
      <c r="C2136" s="11" t="s">
        <v>7796</v>
      </c>
      <c r="D2136" s="11" t="s">
        <v>7797</v>
      </c>
      <c r="E2136" s="11" t="s">
        <v>57</v>
      </c>
      <c r="F2136" s="11" t="s">
        <v>7798</v>
      </c>
      <c r="G2136" s="11" t="s">
        <v>28</v>
      </c>
      <c r="H2136" s="11" t="s">
        <v>7794</v>
      </c>
      <c r="I2136" s="11" t="s">
        <v>7795</v>
      </c>
      <c r="J2136" s="12">
        <v>1</v>
      </c>
      <c r="K2136" s="13">
        <v>1</v>
      </c>
      <c r="L2136" s="14">
        <v>240</v>
      </c>
      <c r="M2136" s="10">
        <v>67</v>
      </c>
      <c r="N2136" s="10">
        <v>26520</v>
      </c>
      <c r="O2136" s="10">
        <v>5254</v>
      </c>
      <c r="P2136" s="10">
        <v>31774</v>
      </c>
    </row>
    <row r="2137" spans="1:16" ht="27" customHeight="1" x14ac:dyDescent="0.2">
      <c r="A2137" s="9" t="s">
        <v>7791</v>
      </c>
      <c r="B2137" s="10" t="s">
        <v>7792</v>
      </c>
      <c r="C2137" s="11" t="s">
        <v>7799</v>
      </c>
      <c r="D2137" s="11" t="s">
        <v>7800</v>
      </c>
      <c r="E2137" s="11" t="s">
        <v>26</v>
      </c>
      <c r="F2137" s="11" t="s">
        <v>7801</v>
      </c>
      <c r="G2137" s="11" t="s">
        <v>28</v>
      </c>
      <c r="H2137" s="11" t="s">
        <v>7801</v>
      </c>
      <c r="I2137" s="11" t="s">
        <v>7802</v>
      </c>
      <c r="J2137" s="12">
        <v>0.30659999999999998</v>
      </c>
      <c r="K2137" s="13">
        <v>1</v>
      </c>
      <c r="L2137" s="14">
        <v>662</v>
      </c>
      <c r="M2137" s="10">
        <v>203</v>
      </c>
      <c r="N2137" s="10">
        <v>73152</v>
      </c>
      <c r="O2137" s="10">
        <v>15919</v>
      </c>
      <c r="P2137" s="10">
        <v>89071</v>
      </c>
    </row>
    <row r="2138" spans="1:16" ht="27" customHeight="1" x14ac:dyDescent="0.2">
      <c r="A2138" s="9" t="s">
        <v>7791</v>
      </c>
      <c r="B2138" s="10" t="s">
        <v>7792</v>
      </c>
      <c r="C2138" s="11" t="s">
        <v>7803</v>
      </c>
      <c r="D2138" s="11" t="s">
        <v>7804</v>
      </c>
      <c r="E2138" s="11" t="s">
        <v>26</v>
      </c>
      <c r="F2138" s="11" t="s">
        <v>7805</v>
      </c>
      <c r="G2138" s="11" t="s">
        <v>28</v>
      </c>
      <c r="H2138" s="11" t="s">
        <v>7805</v>
      </c>
      <c r="I2138" s="11" t="s">
        <v>7806</v>
      </c>
      <c r="J2138" s="12">
        <v>0.37240000000000001</v>
      </c>
      <c r="K2138" s="13">
        <v>1</v>
      </c>
      <c r="L2138" s="14">
        <v>392</v>
      </c>
      <c r="M2138" s="10">
        <v>146</v>
      </c>
      <c r="N2138" s="10">
        <v>43317</v>
      </c>
      <c r="O2138" s="10">
        <v>11449</v>
      </c>
      <c r="P2138" s="10">
        <v>54766</v>
      </c>
    </row>
    <row r="2139" spans="1:16" ht="27" customHeight="1" x14ac:dyDescent="0.2">
      <c r="A2139" s="9" t="s">
        <v>7791</v>
      </c>
      <c r="B2139" s="10" t="s">
        <v>7792</v>
      </c>
      <c r="C2139" s="11" t="s">
        <v>7807</v>
      </c>
      <c r="D2139" s="11" t="s">
        <v>7808</v>
      </c>
      <c r="E2139" s="11" t="s">
        <v>26</v>
      </c>
      <c r="F2139" s="11" t="s">
        <v>7809</v>
      </c>
      <c r="G2139" s="11" t="s">
        <v>28</v>
      </c>
      <c r="H2139" s="11" t="s">
        <v>7809</v>
      </c>
      <c r="I2139" s="11" t="s">
        <v>7810</v>
      </c>
      <c r="J2139" s="12">
        <v>0.45029999999999998</v>
      </c>
      <c r="K2139" s="13">
        <v>1</v>
      </c>
      <c r="L2139" s="14">
        <v>342</v>
      </c>
      <c r="M2139" s="10">
        <v>154</v>
      </c>
      <c r="N2139" s="10">
        <v>37792</v>
      </c>
      <c r="O2139" s="10">
        <v>12077</v>
      </c>
      <c r="P2139" s="10">
        <v>49869</v>
      </c>
    </row>
    <row r="2140" spans="1:16" ht="27" customHeight="1" x14ac:dyDescent="0.2">
      <c r="A2140" s="9" t="s">
        <v>7791</v>
      </c>
      <c r="B2140" s="10" t="s">
        <v>7792</v>
      </c>
      <c r="C2140" s="11" t="s">
        <v>7811</v>
      </c>
      <c r="D2140" s="11" t="s">
        <v>7812</v>
      </c>
      <c r="E2140" s="11" t="s">
        <v>57</v>
      </c>
      <c r="F2140" s="11" t="s">
        <v>7813</v>
      </c>
      <c r="G2140" s="11" t="s">
        <v>28</v>
      </c>
      <c r="H2140" s="11" t="s">
        <v>7794</v>
      </c>
      <c r="I2140" s="11" t="s">
        <v>7795</v>
      </c>
      <c r="J2140" s="12">
        <v>1</v>
      </c>
      <c r="K2140" s="13">
        <v>1</v>
      </c>
      <c r="L2140" s="14">
        <v>254</v>
      </c>
      <c r="M2140" s="10">
        <v>191</v>
      </c>
      <c r="N2140" s="10">
        <v>28067</v>
      </c>
      <c r="O2140" s="10">
        <v>14978</v>
      </c>
      <c r="P2140" s="10">
        <v>43045</v>
      </c>
    </row>
    <row r="2141" spans="1:16" ht="27" customHeight="1" x14ac:dyDescent="0.2">
      <c r="A2141" s="9" t="s">
        <v>7791</v>
      </c>
      <c r="B2141" s="10" t="s">
        <v>7792</v>
      </c>
      <c r="C2141" s="11" t="s">
        <v>7814</v>
      </c>
      <c r="D2141" s="11" t="s">
        <v>7815</v>
      </c>
      <c r="E2141" s="11" t="s">
        <v>26</v>
      </c>
      <c r="F2141" s="11" t="s">
        <v>7816</v>
      </c>
      <c r="G2141" s="11" t="s">
        <v>28</v>
      </c>
      <c r="H2141" s="11" t="s">
        <v>7816</v>
      </c>
      <c r="I2141" s="11" t="s">
        <v>7817</v>
      </c>
      <c r="J2141" s="12">
        <v>0.441</v>
      </c>
      <c r="K2141" s="13">
        <v>1</v>
      </c>
      <c r="L2141" s="14">
        <v>390</v>
      </c>
      <c r="M2141" s="10">
        <v>172</v>
      </c>
      <c r="N2141" s="10">
        <v>43096</v>
      </c>
      <c r="O2141" s="10">
        <v>13488</v>
      </c>
      <c r="P2141" s="10">
        <v>56584</v>
      </c>
    </row>
    <row r="2142" spans="1:16" ht="27" customHeight="1" x14ac:dyDescent="0.2">
      <c r="A2142" s="9" t="s">
        <v>7791</v>
      </c>
      <c r="B2142" s="10" t="s">
        <v>7818</v>
      </c>
      <c r="C2142" s="11" t="s">
        <v>18</v>
      </c>
      <c r="D2142" s="11" t="s">
        <v>19</v>
      </c>
      <c r="E2142" s="11" t="s">
        <v>19</v>
      </c>
      <c r="F2142" s="11" t="s">
        <v>7794</v>
      </c>
      <c r="G2142" s="11" t="s">
        <v>83</v>
      </c>
      <c r="H2142" s="11" t="s">
        <v>7794</v>
      </c>
      <c r="I2142" s="11" t="s">
        <v>7795</v>
      </c>
      <c r="J2142" s="12">
        <v>1</v>
      </c>
      <c r="K2142" s="13">
        <v>2</v>
      </c>
      <c r="L2142" s="14">
        <v>91</v>
      </c>
      <c r="M2142" s="10">
        <v>91</v>
      </c>
      <c r="N2142" s="10">
        <v>10056</v>
      </c>
      <c r="O2142" s="10">
        <v>7136</v>
      </c>
      <c r="P2142" s="10">
        <v>17192</v>
      </c>
    </row>
    <row r="2143" spans="1:16" ht="27" customHeight="1" x14ac:dyDescent="0.2">
      <c r="A2143" s="9" t="s">
        <v>7791</v>
      </c>
      <c r="B2143" s="10" t="s">
        <v>7819</v>
      </c>
      <c r="C2143" s="11" t="s">
        <v>18</v>
      </c>
      <c r="D2143" s="11" t="s">
        <v>19</v>
      </c>
      <c r="E2143" s="11" t="s">
        <v>19</v>
      </c>
      <c r="F2143" s="11" t="s">
        <v>7820</v>
      </c>
      <c r="G2143" s="11" t="s">
        <v>83</v>
      </c>
      <c r="H2143" s="11" t="s">
        <v>7821</v>
      </c>
      <c r="I2143" s="11" t="s">
        <v>7822</v>
      </c>
      <c r="J2143" s="12">
        <v>0.84130000000000005</v>
      </c>
      <c r="K2143" s="13">
        <v>3</v>
      </c>
      <c r="L2143" s="14">
        <v>395</v>
      </c>
      <c r="M2143" s="10">
        <v>332</v>
      </c>
      <c r="N2143" s="10">
        <v>43649</v>
      </c>
      <c r="O2143" s="10">
        <v>26035</v>
      </c>
      <c r="P2143" s="10">
        <v>69684</v>
      </c>
    </row>
    <row r="2144" spans="1:16" ht="27" customHeight="1" x14ac:dyDescent="0.2">
      <c r="A2144" s="9" t="s">
        <v>7791</v>
      </c>
      <c r="B2144" s="10" t="s">
        <v>7819</v>
      </c>
      <c r="C2144" s="11" t="s">
        <v>7823</v>
      </c>
      <c r="D2144" s="11" t="s">
        <v>7824</v>
      </c>
      <c r="E2144" s="11" t="s">
        <v>26</v>
      </c>
      <c r="F2144" s="11" t="s">
        <v>7825</v>
      </c>
      <c r="G2144" s="11" t="s">
        <v>28</v>
      </c>
      <c r="H2144" s="11" t="s">
        <v>7825</v>
      </c>
      <c r="I2144" s="11" t="s">
        <v>7826</v>
      </c>
      <c r="J2144" s="12">
        <v>0.65090000000000003</v>
      </c>
      <c r="K2144" s="13">
        <v>1</v>
      </c>
      <c r="L2144" s="14">
        <v>696</v>
      </c>
      <c r="M2144" s="10">
        <v>453</v>
      </c>
      <c r="N2144" s="10">
        <v>76909</v>
      </c>
      <c r="O2144" s="10">
        <v>35524</v>
      </c>
      <c r="P2144" s="10">
        <v>112433</v>
      </c>
    </row>
    <row r="2145" spans="1:16" ht="27" customHeight="1" x14ac:dyDescent="0.2">
      <c r="A2145" s="9" t="s">
        <v>7791</v>
      </c>
      <c r="B2145" s="10" t="s">
        <v>7827</v>
      </c>
      <c r="C2145" s="11" t="s">
        <v>18</v>
      </c>
      <c r="D2145" s="11" t="s">
        <v>19</v>
      </c>
      <c r="E2145" s="11" t="s">
        <v>19</v>
      </c>
      <c r="F2145" s="11" t="s">
        <v>7828</v>
      </c>
      <c r="G2145" s="11" t="s">
        <v>83</v>
      </c>
      <c r="H2145" s="11" t="s">
        <v>7828</v>
      </c>
      <c r="I2145" s="11" t="s">
        <v>7829</v>
      </c>
      <c r="J2145" s="12">
        <v>0.91310000000000002</v>
      </c>
      <c r="K2145" s="13">
        <v>2</v>
      </c>
      <c r="L2145" s="14">
        <v>514</v>
      </c>
      <c r="M2145" s="10">
        <v>470</v>
      </c>
      <c r="N2145" s="10">
        <v>56798</v>
      </c>
      <c r="O2145" s="10">
        <v>36857</v>
      </c>
      <c r="P2145" s="10">
        <v>93655</v>
      </c>
    </row>
    <row r="2146" spans="1:16" ht="27" customHeight="1" x14ac:dyDescent="0.2">
      <c r="A2146" s="9" t="s">
        <v>7791</v>
      </c>
      <c r="B2146" s="10" t="s">
        <v>7827</v>
      </c>
      <c r="C2146" s="11" t="s">
        <v>7830</v>
      </c>
      <c r="D2146" s="11" t="s">
        <v>7831</v>
      </c>
      <c r="E2146" s="11" t="s">
        <v>26</v>
      </c>
      <c r="F2146" s="11" t="s">
        <v>7832</v>
      </c>
      <c r="G2146" s="11" t="s">
        <v>28</v>
      </c>
      <c r="H2146" s="11" t="s">
        <v>7832</v>
      </c>
      <c r="I2146" s="11" t="s">
        <v>7833</v>
      </c>
      <c r="J2146" s="12">
        <v>0.45329999999999998</v>
      </c>
      <c r="K2146" s="13">
        <v>1</v>
      </c>
      <c r="L2146" s="14">
        <v>1125</v>
      </c>
      <c r="M2146" s="10">
        <v>510</v>
      </c>
      <c r="N2146" s="10">
        <v>124314</v>
      </c>
      <c r="O2146" s="10">
        <v>39994</v>
      </c>
      <c r="P2146" s="10">
        <v>164308</v>
      </c>
    </row>
    <row r="2147" spans="1:16" ht="27" customHeight="1" x14ac:dyDescent="0.2">
      <c r="A2147" s="9" t="s">
        <v>7791</v>
      </c>
      <c r="B2147" s="10" t="s">
        <v>7834</v>
      </c>
      <c r="C2147" s="11" t="s">
        <v>18</v>
      </c>
      <c r="D2147" s="11" t="s">
        <v>19</v>
      </c>
      <c r="E2147" s="11" t="s">
        <v>19</v>
      </c>
      <c r="F2147" s="11" t="s">
        <v>7835</v>
      </c>
      <c r="G2147" s="11" t="s">
        <v>83</v>
      </c>
      <c r="H2147" s="11" t="s">
        <v>7835</v>
      </c>
      <c r="I2147" s="11" t="s">
        <v>7836</v>
      </c>
      <c r="J2147" s="12">
        <v>0.73099999999999998</v>
      </c>
      <c r="K2147" s="13">
        <v>2</v>
      </c>
      <c r="L2147" s="14">
        <v>197</v>
      </c>
      <c r="M2147" s="10">
        <v>144</v>
      </c>
      <c r="N2147" s="10">
        <v>21769</v>
      </c>
      <c r="O2147" s="10">
        <v>11292</v>
      </c>
      <c r="P2147" s="10">
        <v>33061</v>
      </c>
    </row>
    <row r="2148" spans="1:16" ht="27" customHeight="1" x14ac:dyDescent="0.2">
      <c r="A2148" s="9" t="s">
        <v>7791</v>
      </c>
      <c r="B2148" s="10" t="s">
        <v>7837</v>
      </c>
      <c r="C2148" s="11" t="s">
        <v>18</v>
      </c>
      <c r="D2148" s="11" t="s">
        <v>19</v>
      </c>
      <c r="E2148" s="11" t="s">
        <v>19</v>
      </c>
      <c r="F2148" s="11" t="s">
        <v>7838</v>
      </c>
      <c r="G2148" s="11" t="s">
        <v>83</v>
      </c>
      <c r="H2148" s="11" t="s">
        <v>7839</v>
      </c>
      <c r="I2148" s="11" t="s">
        <v>7840</v>
      </c>
      <c r="J2148" s="12">
        <v>0.86280000000000001</v>
      </c>
      <c r="K2148" s="13">
        <v>7</v>
      </c>
      <c r="L2148" s="14">
        <v>2488</v>
      </c>
      <c r="M2148" s="10">
        <v>1964</v>
      </c>
      <c r="N2148" s="10">
        <v>274928</v>
      </c>
      <c r="O2148" s="10">
        <v>154015</v>
      </c>
      <c r="P2148" s="10">
        <v>428943</v>
      </c>
    </row>
    <row r="2149" spans="1:16" ht="27" customHeight="1" x14ac:dyDescent="0.2">
      <c r="A2149" s="9" t="s">
        <v>7791</v>
      </c>
      <c r="B2149" s="10" t="s">
        <v>7837</v>
      </c>
      <c r="C2149" s="11" t="s">
        <v>7841</v>
      </c>
      <c r="D2149" s="11" t="s">
        <v>7842</v>
      </c>
      <c r="E2149" s="11" t="s">
        <v>57</v>
      </c>
      <c r="F2149" s="11" t="s">
        <v>7843</v>
      </c>
      <c r="G2149" s="11" t="s">
        <v>28</v>
      </c>
      <c r="H2149" s="11" t="s">
        <v>7843</v>
      </c>
      <c r="I2149" s="11" t="s">
        <v>7844</v>
      </c>
      <c r="J2149" s="12">
        <v>0.58789999999999998</v>
      </c>
      <c r="K2149" s="13">
        <v>1</v>
      </c>
      <c r="L2149" s="14">
        <v>2378</v>
      </c>
      <c r="M2149" s="10">
        <v>1398</v>
      </c>
      <c r="N2149" s="10">
        <v>262773</v>
      </c>
      <c r="O2149" s="10">
        <v>109630</v>
      </c>
      <c r="P2149" s="10">
        <v>372403</v>
      </c>
    </row>
    <row r="2150" spans="1:16" ht="27" customHeight="1" x14ac:dyDescent="0.2">
      <c r="A2150" s="9" t="s">
        <v>7791</v>
      </c>
      <c r="B2150" s="10" t="s">
        <v>7845</v>
      </c>
      <c r="C2150" s="11" t="s">
        <v>18</v>
      </c>
      <c r="D2150" s="11" t="s">
        <v>19</v>
      </c>
      <c r="E2150" s="11" t="s">
        <v>19</v>
      </c>
      <c r="F2150" s="11" t="s">
        <v>7846</v>
      </c>
      <c r="G2150" s="11" t="s">
        <v>83</v>
      </c>
      <c r="H2150" s="11" t="s">
        <v>7846</v>
      </c>
      <c r="I2150" s="11" t="s">
        <v>7847</v>
      </c>
      <c r="J2150" s="12">
        <v>0.5081</v>
      </c>
      <c r="K2150" s="13">
        <v>2</v>
      </c>
      <c r="L2150" s="14">
        <v>185</v>
      </c>
      <c r="M2150" s="10">
        <v>94</v>
      </c>
      <c r="N2150" s="10">
        <v>20443</v>
      </c>
      <c r="O2150" s="10">
        <v>7371</v>
      </c>
      <c r="P2150" s="10">
        <v>27814</v>
      </c>
    </row>
    <row r="2151" spans="1:16" ht="27" customHeight="1" x14ac:dyDescent="0.2">
      <c r="A2151" s="9" t="s">
        <v>7791</v>
      </c>
      <c r="B2151" s="10" t="s">
        <v>7848</v>
      </c>
      <c r="C2151" s="11" t="s">
        <v>18</v>
      </c>
      <c r="D2151" s="11" t="s">
        <v>19</v>
      </c>
      <c r="E2151" s="11" t="s">
        <v>19</v>
      </c>
      <c r="F2151" s="11" t="s">
        <v>7849</v>
      </c>
      <c r="G2151" s="11" t="s">
        <v>83</v>
      </c>
      <c r="H2151" s="11" t="s">
        <v>7850</v>
      </c>
      <c r="I2151" s="11" t="s">
        <v>7851</v>
      </c>
      <c r="J2151" s="12">
        <v>0.96879999999999999</v>
      </c>
      <c r="K2151" s="13">
        <v>9</v>
      </c>
      <c r="L2151" s="14">
        <v>4073</v>
      </c>
      <c r="M2151" s="10">
        <v>3885</v>
      </c>
      <c r="N2151" s="10">
        <v>450075</v>
      </c>
      <c r="O2151" s="10">
        <v>304658</v>
      </c>
      <c r="P2151" s="10">
        <v>754733</v>
      </c>
    </row>
    <row r="2152" spans="1:16" ht="27" customHeight="1" x14ac:dyDescent="0.2">
      <c r="A2152" s="9" t="s">
        <v>7791</v>
      </c>
      <c r="B2152" s="10" t="s">
        <v>7852</v>
      </c>
      <c r="C2152" s="11" t="s">
        <v>18</v>
      </c>
      <c r="D2152" s="11" t="s">
        <v>19</v>
      </c>
      <c r="E2152" s="11" t="s">
        <v>19</v>
      </c>
      <c r="F2152" s="11" t="s">
        <v>7853</v>
      </c>
      <c r="G2152" s="11" t="s">
        <v>83</v>
      </c>
      <c r="H2152" s="11" t="s">
        <v>7853</v>
      </c>
      <c r="I2152" s="11" t="s">
        <v>7854</v>
      </c>
      <c r="J2152" s="12">
        <v>0.60870000000000002</v>
      </c>
      <c r="K2152" s="13">
        <v>2</v>
      </c>
      <c r="L2152" s="14">
        <v>138</v>
      </c>
      <c r="M2152" s="10">
        <v>84</v>
      </c>
      <c r="N2152" s="10">
        <v>15249</v>
      </c>
      <c r="O2152" s="10">
        <v>6587</v>
      </c>
      <c r="P2152" s="10">
        <v>21836</v>
      </c>
    </row>
    <row r="2153" spans="1:16" ht="27" customHeight="1" x14ac:dyDescent="0.2">
      <c r="A2153" s="9" t="s">
        <v>7791</v>
      </c>
      <c r="B2153" s="10" t="s">
        <v>7855</v>
      </c>
      <c r="C2153" s="11" t="s">
        <v>18</v>
      </c>
      <c r="D2153" s="11" t="s">
        <v>19</v>
      </c>
      <c r="E2153" s="11" t="s">
        <v>19</v>
      </c>
      <c r="F2153" s="11" t="s">
        <v>7856</v>
      </c>
      <c r="G2153" s="11" t="s">
        <v>83</v>
      </c>
      <c r="H2153" s="11" t="s">
        <v>7857</v>
      </c>
      <c r="I2153" s="11" t="s">
        <v>7858</v>
      </c>
      <c r="J2153" s="12">
        <v>0.90859999999999996</v>
      </c>
      <c r="K2153" s="13">
        <v>4</v>
      </c>
      <c r="L2153" s="14">
        <v>1473</v>
      </c>
      <c r="M2153" s="10">
        <v>1361</v>
      </c>
      <c r="N2153" s="10">
        <v>162769</v>
      </c>
      <c r="O2153" s="10">
        <v>106727</v>
      </c>
      <c r="P2153" s="10">
        <v>269496</v>
      </c>
    </row>
    <row r="2154" spans="1:16" ht="27" customHeight="1" x14ac:dyDescent="0.2">
      <c r="A2154" s="16" t="s">
        <v>7791</v>
      </c>
      <c r="B2154" s="10" t="s">
        <v>7859</v>
      </c>
      <c r="C2154" s="11" t="s">
        <v>18</v>
      </c>
      <c r="D2154" s="11" t="s">
        <v>19</v>
      </c>
      <c r="E2154" s="11" t="s">
        <v>19</v>
      </c>
      <c r="F2154" s="17" t="s">
        <v>6290</v>
      </c>
      <c r="G2154" s="17" t="s">
        <v>83</v>
      </c>
      <c r="H2154" s="11" t="s">
        <v>6290</v>
      </c>
      <c r="I2154" s="11" t="s">
        <v>7860</v>
      </c>
      <c r="J2154" s="12">
        <v>0.66810000000000003</v>
      </c>
      <c r="K2154" s="13">
        <v>2</v>
      </c>
      <c r="L2154" s="14">
        <v>229</v>
      </c>
      <c r="M2154" s="10">
        <v>153</v>
      </c>
      <c r="N2154" s="10">
        <v>25305</v>
      </c>
      <c r="O2154" s="10">
        <v>11998</v>
      </c>
      <c r="P2154" s="10">
        <v>37303</v>
      </c>
    </row>
    <row r="2155" spans="1:16" ht="27" customHeight="1" x14ac:dyDescent="0.2">
      <c r="A2155" s="9" t="s">
        <v>7791</v>
      </c>
      <c r="B2155" s="10" t="s">
        <v>7861</v>
      </c>
      <c r="C2155" s="11" t="s">
        <v>18</v>
      </c>
      <c r="D2155" s="11" t="s">
        <v>19</v>
      </c>
      <c r="E2155" s="11" t="s">
        <v>19</v>
      </c>
      <c r="F2155" s="11" t="s">
        <v>7862</v>
      </c>
      <c r="G2155" s="11" t="s">
        <v>83</v>
      </c>
      <c r="H2155" s="11" t="s">
        <v>7862</v>
      </c>
      <c r="I2155" s="11" t="s">
        <v>7863</v>
      </c>
      <c r="J2155" s="12">
        <v>0.92310000000000003</v>
      </c>
      <c r="K2155" s="13">
        <v>2</v>
      </c>
      <c r="L2155" s="14">
        <v>13</v>
      </c>
      <c r="M2155" s="10">
        <v>12</v>
      </c>
      <c r="N2155" s="10">
        <v>1437</v>
      </c>
      <c r="O2155" s="10">
        <v>941</v>
      </c>
      <c r="P2155" s="10">
        <v>2378</v>
      </c>
    </row>
    <row r="2156" spans="1:16" ht="27" customHeight="1" x14ac:dyDescent="0.2">
      <c r="A2156" s="9" t="s">
        <v>7791</v>
      </c>
      <c r="B2156" s="10" t="s">
        <v>7864</v>
      </c>
      <c r="C2156" s="11" t="s">
        <v>18</v>
      </c>
      <c r="D2156" s="11" t="s">
        <v>19</v>
      </c>
      <c r="E2156" s="11" t="s">
        <v>19</v>
      </c>
      <c r="F2156" s="11" t="s">
        <v>7865</v>
      </c>
      <c r="G2156" s="11" t="s">
        <v>83</v>
      </c>
      <c r="H2156" s="11" t="s">
        <v>7866</v>
      </c>
      <c r="I2156" s="11" t="s">
        <v>7867</v>
      </c>
      <c r="J2156" s="12">
        <v>0.88149999999999995</v>
      </c>
      <c r="K2156" s="13">
        <v>2</v>
      </c>
      <c r="L2156" s="14">
        <v>407</v>
      </c>
      <c r="M2156" s="10">
        <v>359</v>
      </c>
      <c r="N2156" s="10">
        <v>44974</v>
      </c>
      <c r="O2156" s="10">
        <v>28152</v>
      </c>
      <c r="P2156" s="10">
        <v>73126</v>
      </c>
    </row>
    <row r="2157" spans="1:16" ht="27" customHeight="1" x14ac:dyDescent="0.2">
      <c r="A2157" s="9" t="s">
        <v>7791</v>
      </c>
      <c r="B2157" s="10" t="s">
        <v>7868</v>
      </c>
      <c r="C2157" s="11" t="s">
        <v>18</v>
      </c>
      <c r="D2157" s="11" t="s">
        <v>19</v>
      </c>
      <c r="E2157" s="11" t="s">
        <v>19</v>
      </c>
      <c r="F2157" s="11" t="s">
        <v>7187</v>
      </c>
      <c r="G2157" s="11" t="s">
        <v>83</v>
      </c>
      <c r="H2157" s="11" t="s">
        <v>7187</v>
      </c>
      <c r="I2157" s="11" t="s">
        <v>7869</v>
      </c>
      <c r="J2157" s="12">
        <v>0.40849999999999997</v>
      </c>
      <c r="K2157" s="13">
        <v>2</v>
      </c>
      <c r="L2157" s="14">
        <v>781</v>
      </c>
      <c r="M2157" s="10">
        <v>319</v>
      </c>
      <c r="N2157" s="10">
        <v>86302</v>
      </c>
      <c r="O2157" s="10">
        <v>25016</v>
      </c>
      <c r="P2157" s="10">
        <v>111318</v>
      </c>
    </row>
    <row r="2158" spans="1:16" ht="27" customHeight="1" x14ac:dyDescent="0.2">
      <c r="A2158" s="9" t="s">
        <v>7791</v>
      </c>
      <c r="B2158" s="10" t="s">
        <v>7870</v>
      </c>
      <c r="C2158" s="11" t="s">
        <v>18</v>
      </c>
      <c r="D2158" s="11" t="s">
        <v>19</v>
      </c>
      <c r="E2158" s="11" t="s">
        <v>19</v>
      </c>
      <c r="F2158" s="11" t="s">
        <v>7871</v>
      </c>
      <c r="G2158" s="11" t="s">
        <v>83</v>
      </c>
      <c r="H2158" s="11" t="s">
        <v>1482</v>
      </c>
      <c r="I2158" s="11" t="s">
        <v>7872</v>
      </c>
      <c r="J2158" s="12">
        <v>0.90359999999999996</v>
      </c>
      <c r="K2158" s="13">
        <v>11</v>
      </c>
      <c r="L2158" s="14">
        <v>4363</v>
      </c>
      <c r="M2158" s="10">
        <v>3783</v>
      </c>
      <c r="N2158" s="10">
        <v>482120</v>
      </c>
      <c r="O2158" s="10">
        <v>296658</v>
      </c>
      <c r="P2158" s="10">
        <v>778778</v>
      </c>
    </row>
    <row r="2159" spans="1:16" ht="27" customHeight="1" x14ac:dyDescent="0.2">
      <c r="A2159" s="9" t="s">
        <v>7791</v>
      </c>
      <c r="B2159" s="10" t="s">
        <v>7870</v>
      </c>
      <c r="C2159" s="11" t="s">
        <v>7873</v>
      </c>
      <c r="D2159" s="11" t="s">
        <v>7874</v>
      </c>
      <c r="E2159" s="11" t="s">
        <v>57</v>
      </c>
      <c r="F2159" s="11" t="s">
        <v>7875</v>
      </c>
      <c r="G2159" s="11" t="s">
        <v>28</v>
      </c>
      <c r="H2159" s="11" t="s">
        <v>7875</v>
      </c>
      <c r="I2159" s="11" t="s">
        <v>7876</v>
      </c>
      <c r="J2159" s="12">
        <v>0.875</v>
      </c>
      <c r="K2159" s="13">
        <v>1</v>
      </c>
      <c r="L2159" s="14">
        <v>32</v>
      </c>
      <c r="M2159" s="10">
        <v>28</v>
      </c>
      <c r="N2159" s="10">
        <v>3536</v>
      </c>
      <c r="O2159" s="10">
        <v>2196</v>
      </c>
      <c r="P2159" s="10">
        <v>5732</v>
      </c>
    </row>
    <row r="2160" spans="1:16" ht="27" customHeight="1" x14ac:dyDescent="0.2">
      <c r="A2160" s="9" t="s">
        <v>7791</v>
      </c>
      <c r="B2160" s="10" t="s">
        <v>7877</v>
      </c>
      <c r="C2160" s="11" t="s">
        <v>18</v>
      </c>
      <c r="D2160" s="11" t="s">
        <v>19</v>
      </c>
      <c r="E2160" s="11" t="s">
        <v>19</v>
      </c>
      <c r="F2160" s="11" t="s">
        <v>7878</v>
      </c>
      <c r="G2160" s="11" t="s">
        <v>83</v>
      </c>
      <c r="H2160" s="11" t="s">
        <v>7879</v>
      </c>
      <c r="I2160" s="11" t="s">
        <v>7880</v>
      </c>
      <c r="J2160" s="12">
        <v>0.84379999999999999</v>
      </c>
      <c r="K2160" s="13">
        <v>2</v>
      </c>
      <c r="L2160" s="14">
        <v>430</v>
      </c>
      <c r="M2160" s="10">
        <v>363</v>
      </c>
      <c r="N2160" s="10">
        <v>47516</v>
      </c>
      <c r="O2160" s="10">
        <v>28466</v>
      </c>
      <c r="P2160" s="10">
        <v>75982</v>
      </c>
    </row>
    <row r="2161" spans="1:16" ht="27" customHeight="1" x14ac:dyDescent="0.2">
      <c r="A2161" s="9" t="s">
        <v>7791</v>
      </c>
      <c r="B2161" s="10" t="s">
        <v>7881</v>
      </c>
      <c r="C2161" s="11" t="s">
        <v>18</v>
      </c>
      <c r="D2161" s="11" t="s">
        <v>19</v>
      </c>
      <c r="E2161" s="11" t="s">
        <v>19</v>
      </c>
      <c r="F2161" s="11" t="s">
        <v>7882</v>
      </c>
      <c r="G2161" s="11" t="s">
        <v>83</v>
      </c>
      <c r="H2161" s="11" t="s">
        <v>6264</v>
      </c>
      <c r="I2161" s="11" t="s">
        <v>7883</v>
      </c>
      <c r="J2161" s="12">
        <v>0.70050000000000001</v>
      </c>
      <c r="K2161" s="13">
        <v>2</v>
      </c>
      <c r="L2161" s="14">
        <v>571</v>
      </c>
      <c r="M2161" s="10">
        <v>400</v>
      </c>
      <c r="N2161" s="10">
        <v>63096</v>
      </c>
      <c r="O2161" s="10">
        <v>31368</v>
      </c>
      <c r="P2161" s="10">
        <v>94464</v>
      </c>
    </row>
    <row r="2162" spans="1:16" ht="27" customHeight="1" x14ac:dyDescent="0.2">
      <c r="A2162" s="9" t="s">
        <v>7791</v>
      </c>
      <c r="B2162" s="10" t="s">
        <v>7884</v>
      </c>
      <c r="C2162" s="11" t="s">
        <v>18</v>
      </c>
      <c r="D2162" s="11" t="s">
        <v>19</v>
      </c>
      <c r="E2162" s="11" t="s">
        <v>19</v>
      </c>
      <c r="F2162" s="11" t="s">
        <v>7885</v>
      </c>
      <c r="G2162" s="11" t="s">
        <v>83</v>
      </c>
      <c r="H2162" s="11" t="s">
        <v>7885</v>
      </c>
      <c r="I2162" s="11" t="s">
        <v>7886</v>
      </c>
      <c r="J2162" s="12">
        <v>0.58460000000000001</v>
      </c>
      <c r="K2162" s="13">
        <v>2</v>
      </c>
      <c r="L2162" s="14">
        <v>132</v>
      </c>
      <c r="M2162" s="10">
        <v>77</v>
      </c>
      <c r="N2162" s="10">
        <v>14586</v>
      </c>
      <c r="O2162" s="10">
        <v>6038</v>
      </c>
      <c r="P2162" s="10">
        <v>20624</v>
      </c>
    </row>
    <row r="2163" spans="1:16" ht="27" customHeight="1" x14ac:dyDescent="0.2">
      <c r="A2163" s="9" t="s">
        <v>7791</v>
      </c>
      <c r="B2163" s="10" t="s">
        <v>7887</v>
      </c>
      <c r="C2163" s="11" t="s">
        <v>18</v>
      </c>
      <c r="D2163" s="11" t="s">
        <v>19</v>
      </c>
      <c r="E2163" s="11" t="s">
        <v>19</v>
      </c>
      <c r="F2163" s="11" t="s">
        <v>7888</v>
      </c>
      <c r="G2163" s="11" t="s">
        <v>83</v>
      </c>
      <c r="H2163" s="11" t="s">
        <v>7889</v>
      </c>
      <c r="I2163" s="11" t="s">
        <v>7890</v>
      </c>
      <c r="J2163" s="12">
        <v>0.53910000000000002</v>
      </c>
      <c r="K2163" s="13">
        <v>2</v>
      </c>
      <c r="L2163" s="14">
        <v>524</v>
      </c>
      <c r="M2163" s="10">
        <v>282</v>
      </c>
      <c r="N2163" s="10">
        <v>57903</v>
      </c>
      <c r="O2163" s="10">
        <v>22114</v>
      </c>
      <c r="P2163" s="10">
        <v>80017</v>
      </c>
    </row>
    <row r="2164" spans="1:16" ht="27" customHeight="1" x14ac:dyDescent="0.2">
      <c r="A2164" s="9" t="s">
        <v>7791</v>
      </c>
      <c r="B2164" s="10" t="s">
        <v>7891</v>
      </c>
      <c r="C2164" s="11" t="s">
        <v>18</v>
      </c>
      <c r="D2164" s="11" t="s">
        <v>19</v>
      </c>
      <c r="E2164" s="11" t="s">
        <v>19</v>
      </c>
      <c r="F2164" s="11" t="s">
        <v>7892</v>
      </c>
      <c r="G2164" s="11" t="s">
        <v>83</v>
      </c>
      <c r="H2164" s="11" t="s">
        <v>7893</v>
      </c>
      <c r="I2164" s="11" t="s">
        <v>7894</v>
      </c>
      <c r="J2164" s="12">
        <v>0.9617</v>
      </c>
      <c r="K2164" s="13">
        <v>3</v>
      </c>
      <c r="L2164" s="14">
        <v>880</v>
      </c>
      <c r="M2164" s="10">
        <v>850</v>
      </c>
      <c r="N2164" s="10">
        <v>97242</v>
      </c>
      <c r="O2164" s="10">
        <v>66656</v>
      </c>
      <c r="P2164" s="10">
        <v>163898</v>
      </c>
    </row>
    <row r="2165" spans="1:16" ht="27" customHeight="1" x14ac:dyDescent="0.2">
      <c r="A2165" s="9" t="s">
        <v>7791</v>
      </c>
      <c r="B2165" s="10" t="s">
        <v>7895</v>
      </c>
      <c r="C2165" s="11" t="s">
        <v>18</v>
      </c>
      <c r="D2165" s="11" t="s">
        <v>19</v>
      </c>
      <c r="E2165" s="11" t="s">
        <v>19</v>
      </c>
      <c r="F2165" s="11" t="s">
        <v>7896</v>
      </c>
      <c r="G2165" s="11" t="s">
        <v>83</v>
      </c>
      <c r="H2165" s="11" t="s">
        <v>7896</v>
      </c>
      <c r="I2165" s="11" t="s">
        <v>7897</v>
      </c>
      <c r="J2165" s="12">
        <v>0.87170000000000003</v>
      </c>
      <c r="K2165" s="13">
        <v>3</v>
      </c>
      <c r="L2165" s="14">
        <v>415</v>
      </c>
      <c r="M2165" s="10">
        <v>362</v>
      </c>
      <c r="N2165" s="10">
        <v>45858</v>
      </c>
      <c r="O2165" s="10">
        <v>28388</v>
      </c>
      <c r="P2165" s="10">
        <v>74246</v>
      </c>
    </row>
    <row r="2166" spans="1:16" ht="27" customHeight="1" x14ac:dyDescent="0.2">
      <c r="A2166" s="9" t="s">
        <v>7791</v>
      </c>
      <c r="B2166" s="10" t="s">
        <v>7898</v>
      </c>
      <c r="C2166" s="11" t="s">
        <v>18</v>
      </c>
      <c r="D2166" s="11" t="s">
        <v>19</v>
      </c>
      <c r="E2166" s="11" t="s">
        <v>19</v>
      </c>
      <c r="F2166" s="11" t="s">
        <v>7899</v>
      </c>
      <c r="G2166" s="11" t="s">
        <v>83</v>
      </c>
      <c r="H2166" s="11" t="s">
        <v>7899</v>
      </c>
      <c r="I2166" s="11" t="s">
        <v>7900</v>
      </c>
      <c r="J2166" s="12">
        <v>0.93500000000000005</v>
      </c>
      <c r="K2166" s="13">
        <v>2</v>
      </c>
      <c r="L2166" s="14">
        <v>552</v>
      </c>
      <c r="M2166" s="10">
        <v>516</v>
      </c>
      <c r="N2166" s="10">
        <v>60997</v>
      </c>
      <c r="O2166" s="10">
        <v>40465</v>
      </c>
      <c r="P2166" s="10">
        <v>101462</v>
      </c>
    </row>
    <row r="2167" spans="1:16" ht="27" customHeight="1" x14ac:dyDescent="0.2">
      <c r="A2167" s="9" t="s">
        <v>7791</v>
      </c>
      <c r="B2167" s="10" t="s">
        <v>7901</v>
      </c>
      <c r="C2167" s="11" t="s">
        <v>18</v>
      </c>
      <c r="D2167" s="11" t="s">
        <v>19</v>
      </c>
      <c r="E2167" s="11" t="s">
        <v>19</v>
      </c>
      <c r="F2167" s="11" t="s">
        <v>7902</v>
      </c>
      <c r="G2167" s="11" t="s">
        <v>83</v>
      </c>
      <c r="H2167" s="11" t="s">
        <v>7902</v>
      </c>
      <c r="I2167" s="11" t="s">
        <v>7903</v>
      </c>
      <c r="J2167" s="12">
        <v>0.62580000000000002</v>
      </c>
      <c r="K2167" s="13">
        <v>2</v>
      </c>
      <c r="L2167" s="14">
        <v>311</v>
      </c>
      <c r="M2167" s="10">
        <v>195</v>
      </c>
      <c r="N2167" s="10">
        <v>34367</v>
      </c>
      <c r="O2167" s="10">
        <v>15291</v>
      </c>
      <c r="P2167" s="10">
        <v>49658</v>
      </c>
    </row>
    <row r="2168" spans="1:16" ht="27" customHeight="1" x14ac:dyDescent="0.2">
      <c r="A2168" s="9" t="s">
        <v>7791</v>
      </c>
      <c r="B2168" s="10" t="s">
        <v>7904</v>
      </c>
      <c r="C2168" s="11" t="s">
        <v>18</v>
      </c>
      <c r="D2168" s="11" t="s">
        <v>19</v>
      </c>
      <c r="E2168" s="11" t="s">
        <v>19</v>
      </c>
      <c r="F2168" s="11" t="s">
        <v>7905</v>
      </c>
      <c r="G2168" s="11" t="s">
        <v>83</v>
      </c>
      <c r="H2168" s="11" t="s">
        <v>7905</v>
      </c>
      <c r="I2168" s="11" t="s">
        <v>7906</v>
      </c>
      <c r="J2168" s="12">
        <v>0.88060000000000005</v>
      </c>
      <c r="K2168" s="13">
        <v>2</v>
      </c>
      <c r="L2168" s="14">
        <v>67</v>
      </c>
      <c r="M2168" s="10">
        <v>59</v>
      </c>
      <c r="N2168" s="10">
        <v>7404</v>
      </c>
      <c r="O2168" s="10">
        <v>4627</v>
      </c>
      <c r="P2168" s="10">
        <v>12031</v>
      </c>
    </row>
    <row r="2169" spans="1:16" ht="27" customHeight="1" x14ac:dyDescent="0.2">
      <c r="A2169" s="9" t="s">
        <v>7791</v>
      </c>
      <c r="B2169" s="10" t="s">
        <v>7907</v>
      </c>
      <c r="C2169" s="11" t="s">
        <v>18</v>
      </c>
      <c r="D2169" s="11" t="s">
        <v>19</v>
      </c>
      <c r="E2169" s="11" t="s">
        <v>19</v>
      </c>
      <c r="F2169" s="11" t="s">
        <v>7908</v>
      </c>
      <c r="G2169" s="11" t="s">
        <v>83</v>
      </c>
      <c r="H2169" s="11" t="s">
        <v>7794</v>
      </c>
      <c r="I2169" s="11" t="s">
        <v>7795</v>
      </c>
      <c r="J2169" s="12">
        <v>1</v>
      </c>
      <c r="K2169" s="13">
        <v>2</v>
      </c>
      <c r="L2169" s="14">
        <v>41</v>
      </c>
      <c r="M2169" s="10">
        <v>15</v>
      </c>
      <c r="N2169" s="10">
        <v>4531</v>
      </c>
      <c r="O2169" s="10">
        <v>1176</v>
      </c>
      <c r="P2169" s="10">
        <v>5707</v>
      </c>
    </row>
    <row r="2170" spans="1:16" ht="27" customHeight="1" x14ac:dyDescent="0.2">
      <c r="A2170" s="9" t="s">
        <v>7791</v>
      </c>
      <c r="B2170" s="10" t="s">
        <v>7907</v>
      </c>
      <c r="C2170" s="11" t="s">
        <v>7909</v>
      </c>
      <c r="D2170" s="11" t="s">
        <v>7910</v>
      </c>
      <c r="E2170" s="11" t="s">
        <v>57</v>
      </c>
      <c r="F2170" s="11" t="s">
        <v>7911</v>
      </c>
      <c r="G2170" s="11" t="s">
        <v>28</v>
      </c>
      <c r="H2170" s="11" t="s">
        <v>7911</v>
      </c>
      <c r="I2170" s="11" t="s">
        <v>7912</v>
      </c>
      <c r="J2170" s="12">
        <v>0.43559999999999999</v>
      </c>
      <c r="K2170" s="13">
        <v>1</v>
      </c>
      <c r="L2170" s="14">
        <v>327</v>
      </c>
      <c r="M2170" s="10">
        <v>142</v>
      </c>
      <c r="N2170" s="10">
        <v>36134</v>
      </c>
      <c r="O2170" s="10">
        <v>11135</v>
      </c>
      <c r="P2170" s="10">
        <v>47269</v>
      </c>
    </row>
    <row r="2171" spans="1:16" ht="27" customHeight="1" x14ac:dyDescent="0.2">
      <c r="A2171" s="9" t="s">
        <v>7791</v>
      </c>
      <c r="B2171" s="10" t="s">
        <v>7913</v>
      </c>
      <c r="C2171" s="11" t="s">
        <v>18</v>
      </c>
      <c r="D2171" s="11" t="s">
        <v>19</v>
      </c>
      <c r="E2171" s="11" t="s">
        <v>19</v>
      </c>
      <c r="F2171" s="11" t="s">
        <v>7914</v>
      </c>
      <c r="G2171" s="11" t="s">
        <v>83</v>
      </c>
      <c r="H2171" s="11" t="s">
        <v>7915</v>
      </c>
      <c r="I2171" s="11" t="s">
        <v>7916</v>
      </c>
      <c r="J2171" s="12">
        <v>0.59570000000000001</v>
      </c>
      <c r="K2171" s="13">
        <v>2</v>
      </c>
      <c r="L2171" s="14">
        <v>329</v>
      </c>
      <c r="M2171" s="10">
        <v>196</v>
      </c>
      <c r="N2171" s="10">
        <v>36355</v>
      </c>
      <c r="O2171" s="10">
        <v>15370</v>
      </c>
      <c r="P2171" s="10">
        <v>51725</v>
      </c>
    </row>
    <row r="2172" spans="1:16" ht="27" customHeight="1" x14ac:dyDescent="0.2">
      <c r="A2172" s="9" t="s">
        <v>7791</v>
      </c>
      <c r="B2172" s="10" t="s">
        <v>7917</v>
      </c>
      <c r="C2172" s="11" t="s">
        <v>18</v>
      </c>
      <c r="D2172" s="11" t="s">
        <v>19</v>
      </c>
      <c r="E2172" s="11" t="s">
        <v>19</v>
      </c>
      <c r="F2172" s="11" t="s">
        <v>7918</v>
      </c>
      <c r="G2172" s="11" t="s">
        <v>83</v>
      </c>
      <c r="H2172" s="11" t="s">
        <v>7918</v>
      </c>
      <c r="I2172" s="11" t="s">
        <v>7919</v>
      </c>
      <c r="J2172" s="12">
        <v>0.98280000000000001</v>
      </c>
      <c r="K2172" s="13">
        <v>2</v>
      </c>
      <c r="L2172" s="14">
        <v>116</v>
      </c>
      <c r="M2172" s="10">
        <v>114</v>
      </c>
      <c r="N2172" s="10">
        <v>12818</v>
      </c>
      <c r="O2172" s="10">
        <v>8940</v>
      </c>
      <c r="P2172" s="10">
        <v>21758</v>
      </c>
    </row>
    <row r="2173" spans="1:16" ht="27" customHeight="1" x14ac:dyDescent="0.2">
      <c r="A2173" s="9" t="s">
        <v>7791</v>
      </c>
      <c r="B2173" s="10" t="s">
        <v>7917</v>
      </c>
      <c r="C2173" s="11" t="s">
        <v>7920</v>
      </c>
      <c r="D2173" s="11" t="s">
        <v>7921</v>
      </c>
      <c r="E2173" s="11" t="s">
        <v>26</v>
      </c>
      <c r="F2173" s="11" t="s">
        <v>7922</v>
      </c>
      <c r="G2173" s="11" t="s">
        <v>28</v>
      </c>
      <c r="H2173" s="11" t="s">
        <v>7922</v>
      </c>
      <c r="I2173" s="11" t="s">
        <v>7923</v>
      </c>
      <c r="J2173" s="12">
        <v>0.87629999999999997</v>
      </c>
      <c r="K2173" s="13">
        <v>1</v>
      </c>
      <c r="L2173" s="14">
        <v>663</v>
      </c>
      <c r="M2173" s="10">
        <v>581</v>
      </c>
      <c r="N2173" s="10">
        <v>73263</v>
      </c>
      <c r="O2173" s="10">
        <v>45561</v>
      </c>
      <c r="P2173" s="10">
        <v>118824</v>
      </c>
    </row>
    <row r="2174" spans="1:16" ht="27" customHeight="1" x14ac:dyDescent="0.2">
      <c r="A2174" s="9" t="s">
        <v>7791</v>
      </c>
      <c r="B2174" s="10" t="s">
        <v>7924</v>
      </c>
      <c r="C2174" s="11" t="s">
        <v>18</v>
      </c>
      <c r="D2174" s="11" t="s">
        <v>19</v>
      </c>
      <c r="E2174" s="11" t="s">
        <v>19</v>
      </c>
      <c r="F2174" s="11" t="s">
        <v>7925</v>
      </c>
      <c r="G2174" s="11" t="s">
        <v>83</v>
      </c>
      <c r="H2174" s="11" t="s">
        <v>7926</v>
      </c>
      <c r="I2174" s="11" t="s">
        <v>7927</v>
      </c>
      <c r="J2174" s="12">
        <v>0.95020000000000004</v>
      </c>
      <c r="K2174" s="13">
        <v>3</v>
      </c>
      <c r="L2174" s="14">
        <v>739</v>
      </c>
      <c r="M2174" s="10">
        <v>702</v>
      </c>
      <c r="N2174" s="10">
        <v>81661</v>
      </c>
      <c r="O2174" s="10">
        <v>55050</v>
      </c>
      <c r="P2174" s="10">
        <v>136711</v>
      </c>
    </row>
    <row r="2175" spans="1:16" ht="27" customHeight="1" x14ac:dyDescent="0.2">
      <c r="A2175" s="9" t="s">
        <v>7791</v>
      </c>
      <c r="B2175" s="10" t="s">
        <v>7928</v>
      </c>
      <c r="C2175" s="11" t="s">
        <v>18</v>
      </c>
      <c r="D2175" s="11" t="s">
        <v>19</v>
      </c>
      <c r="E2175" s="11" t="s">
        <v>19</v>
      </c>
      <c r="F2175" s="11" t="s">
        <v>7929</v>
      </c>
      <c r="G2175" s="11" t="s">
        <v>83</v>
      </c>
      <c r="H2175" s="11" t="s">
        <v>7930</v>
      </c>
      <c r="I2175" s="11" t="s">
        <v>7931</v>
      </c>
      <c r="J2175" s="12">
        <v>0.35070000000000001</v>
      </c>
      <c r="K2175" s="13">
        <v>2</v>
      </c>
      <c r="L2175" s="14">
        <v>831</v>
      </c>
      <c r="M2175" s="10">
        <v>291</v>
      </c>
      <c r="N2175" s="10">
        <v>91827</v>
      </c>
      <c r="O2175" s="10">
        <v>22820</v>
      </c>
      <c r="P2175" s="10">
        <v>114647</v>
      </c>
    </row>
    <row r="2176" spans="1:16" ht="27" customHeight="1" x14ac:dyDescent="0.2">
      <c r="A2176" s="9" t="s">
        <v>7791</v>
      </c>
      <c r="B2176" s="10" t="s">
        <v>7932</v>
      </c>
      <c r="C2176" s="11" t="s">
        <v>18</v>
      </c>
      <c r="D2176" s="11" t="s">
        <v>19</v>
      </c>
      <c r="E2176" s="11" t="s">
        <v>19</v>
      </c>
      <c r="F2176" s="11" t="s">
        <v>7933</v>
      </c>
      <c r="G2176" s="11" t="s">
        <v>83</v>
      </c>
      <c r="H2176" s="11" t="s">
        <v>7934</v>
      </c>
      <c r="I2176" s="11" t="s">
        <v>7935</v>
      </c>
      <c r="J2176" s="12">
        <v>0.82189999999999996</v>
      </c>
      <c r="K2176" s="13">
        <v>2</v>
      </c>
      <c r="L2176" s="14">
        <v>345</v>
      </c>
      <c r="M2176" s="10">
        <v>284</v>
      </c>
      <c r="N2176" s="10">
        <v>38123</v>
      </c>
      <c r="O2176" s="10">
        <v>22271</v>
      </c>
      <c r="P2176" s="10">
        <v>60394</v>
      </c>
    </row>
    <row r="2177" spans="1:16" ht="27" customHeight="1" x14ac:dyDescent="0.2">
      <c r="A2177" s="9" t="s">
        <v>7791</v>
      </c>
      <c r="B2177" s="10" t="s">
        <v>7936</v>
      </c>
      <c r="C2177" s="11" t="s">
        <v>18</v>
      </c>
      <c r="D2177" s="11" t="s">
        <v>19</v>
      </c>
      <c r="E2177" s="11" t="s">
        <v>19</v>
      </c>
      <c r="F2177" s="11" t="s">
        <v>7937</v>
      </c>
      <c r="G2177" s="11" t="s">
        <v>83</v>
      </c>
      <c r="H2177" s="11" t="s">
        <v>7938</v>
      </c>
      <c r="I2177" s="11" t="s">
        <v>7939</v>
      </c>
      <c r="J2177" s="12">
        <v>0.94299999999999995</v>
      </c>
      <c r="K2177" s="13">
        <v>3</v>
      </c>
      <c r="L2177" s="14">
        <v>741</v>
      </c>
      <c r="M2177" s="10">
        <v>697</v>
      </c>
      <c r="N2177" s="10">
        <v>81882</v>
      </c>
      <c r="O2177" s="10">
        <v>54658</v>
      </c>
      <c r="P2177" s="10">
        <v>136540</v>
      </c>
    </row>
    <row r="2178" spans="1:16" ht="27" customHeight="1" x14ac:dyDescent="0.2">
      <c r="A2178" s="9" t="s">
        <v>7791</v>
      </c>
      <c r="B2178" s="10" t="s">
        <v>7940</v>
      </c>
      <c r="C2178" s="11" t="s">
        <v>18</v>
      </c>
      <c r="D2178" s="11" t="s">
        <v>19</v>
      </c>
      <c r="E2178" s="11" t="s">
        <v>19</v>
      </c>
      <c r="F2178" s="11" t="s">
        <v>7941</v>
      </c>
      <c r="G2178" s="11" t="s">
        <v>83</v>
      </c>
      <c r="H2178" s="11" t="s">
        <v>7942</v>
      </c>
      <c r="I2178" s="11" t="s">
        <v>7943</v>
      </c>
      <c r="J2178" s="12">
        <v>0.44209999999999999</v>
      </c>
      <c r="K2178" s="13">
        <v>2</v>
      </c>
      <c r="L2178" s="14">
        <v>95</v>
      </c>
      <c r="M2178" s="10">
        <v>42</v>
      </c>
      <c r="N2178" s="10">
        <v>10498</v>
      </c>
      <c r="O2178" s="10">
        <v>3294</v>
      </c>
      <c r="P2178" s="10">
        <v>13792</v>
      </c>
    </row>
    <row r="2179" spans="1:16" ht="27" customHeight="1" x14ac:dyDescent="0.2">
      <c r="A2179" s="9" t="s">
        <v>7791</v>
      </c>
      <c r="B2179" s="10" t="s">
        <v>7944</v>
      </c>
      <c r="C2179" s="11" t="s">
        <v>18</v>
      </c>
      <c r="D2179" s="11" t="s">
        <v>19</v>
      </c>
      <c r="E2179" s="11" t="s">
        <v>19</v>
      </c>
      <c r="F2179" s="11" t="s">
        <v>7945</v>
      </c>
      <c r="G2179" s="11" t="s">
        <v>83</v>
      </c>
      <c r="H2179" s="11" t="s">
        <v>7945</v>
      </c>
      <c r="I2179" s="11" t="s">
        <v>7946</v>
      </c>
      <c r="J2179" s="12">
        <v>0.88629999999999998</v>
      </c>
      <c r="K2179" s="13">
        <v>2</v>
      </c>
      <c r="L2179" s="14">
        <v>524</v>
      </c>
      <c r="M2179" s="10">
        <v>464</v>
      </c>
      <c r="N2179" s="10">
        <v>57903</v>
      </c>
      <c r="O2179" s="10">
        <v>36386</v>
      </c>
      <c r="P2179" s="10">
        <v>94289</v>
      </c>
    </row>
    <row r="2180" spans="1:16" ht="27" customHeight="1" x14ac:dyDescent="0.2">
      <c r="A2180" s="9" t="s">
        <v>7791</v>
      </c>
      <c r="B2180" s="10" t="s">
        <v>7947</v>
      </c>
      <c r="C2180" s="11" t="s">
        <v>18</v>
      </c>
      <c r="D2180" s="11" t="s">
        <v>19</v>
      </c>
      <c r="E2180" s="11" t="s">
        <v>19</v>
      </c>
      <c r="F2180" s="11" t="s">
        <v>7948</v>
      </c>
      <c r="G2180" s="11" t="s">
        <v>83</v>
      </c>
      <c r="H2180" s="11" t="s">
        <v>7949</v>
      </c>
      <c r="I2180" s="11" t="s">
        <v>7950</v>
      </c>
      <c r="J2180" s="12">
        <v>0.89290000000000003</v>
      </c>
      <c r="K2180" s="13">
        <v>2</v>
      </c>
      <c r="L2180" s="14">
        <v>224</v>
      </c>
      <c r="M2180" s="10">
        <v>200</v>
      </c>
      <c r="N2180" s="10">
        <v>24752</v>
      </c>
      <c r="O2180" s="10">
        <v>15684</v>
      </c>
      <c r="P2180" s="10">
        <v>40436</v>
      </c>
    </row>
    <row r="2181" spans="1:16" ht="27" customHeight="1" x14ac:dyDescent="0.2">
      <c r="A2181" s="9" t="s">
        <v>7791</v>
      </c>
      <c r="B2181" s="10" t="s">
        <v>7951</v>
      </c>
      <c r="C2181" s="11" t="s">
        <v>18</v>
      </c>
      <c r="D2181" s="11" t="s">
        <v>19</v>
      </c>
      <c r="E2181" s="11" t="s">
        <v>19</v>
      </c>
      <c r="F2181" s="11" t="s">
        <v>7952</v>
      </c>
      <c r="G2181" s="11" t="s">
        <v>83</v>
      </c>
      <c r="H2181" s="11" t="s">
        <v>1518</v>
      </c>
      <c r="I2181" s="11" t="s">
        <v>7953</v>
      </c>
      <c r="J2181" s="12">
        <v>0.93440000000000001</v>
      </c>
      <c r="K2181" s="13">
        <v>19</v>
      </c>
      <c r="L2181" s="14">
        <v>9538</v>
      </c>
      <c r="M2181" s="10">
        <v>7596</v>
      </c>
      <c r="N2181" s="10">
        <v>1053965</v>
      </c>
      <c r="O2181" s="10">
        <v>595669</v>
      </c>
      <c r="P2181" s="10">
        <v>1649634</v>
      </c>
    </row>
    <row r="2182" spans="1:16" ht="27" customHeight="1" x14ac:dyDescent="0.2">
      <c r="A2182" s="9" t="s">
        <v>7791</v>
      </c>
      <c r="B2182" s="10" t="s">
        <v>7954</v>
      </c>
      <c r="C2182" s="11" t="s">
        <v>18</v>
      </c>
      <c r="D2182" s="11" t="s">
        <v>19</v>
      </c>
      <c r="E2182" s="11" t="s">
        <v>19</v>
      </c>
      <c r="F2182" s="11" t="s">
        <v>7955</v>
      </c>
      <c r="G2182" s="11" t="s">
        <v>83</v>
      </c>
      <c r="H2182" s="11" t="s">
        <v>7794</v>
      </c>
      <c r="I2182" s="11" t="s">
        <v>7795</v>
      </c>
      <c r="J2182" s="12">
        <v>1</v>
      </c>
      <c r="K2182" s="13">
        <v>6</v>
      </c>
      <c r="L2182" s="14">
        <v>5376</v>
      </c>
      <c r="M2182" s="10">
        <v>4099</v>
      </c>
      <c r="N2182" s="10">
        <v>594057</v>
      </c>
      <c r="O2182" s="10">
        <v>321440</v>
      </c>
      <c r="P2182" s="10">
        <v>915497</v>
      </c>
    </row>
    <row r="2183" spans="1:16" ht="27" customHeight="1" x14ac:dyDescent="0.2">
      <c r="A2183" s="9" t="s">
        <v>7791</v>
      </c>
      <c r="B2183" s="10" t="s">
        <v>7954</v>
      </c>
      <c r="C2183" s="11" t="s">
        <v>7956</v>
      </c>
      <c r="D2183" s="11" t="s">
        <v>7957</v>
      </c>
      <c r="E2183" s="11" t="s">
        <v>57</v>
      </c>
      <c r="F2183" s="11" t="s">
        <v>7958</v>
      </c>
      <c r="G2183" s="11" t="s">
        <v>28</v>
      </c>
      <c r="H2183" s="11" t="s">
        <v>7794</v>
      </c>
      <c r="I2183" s="11" t="s">
        <v>7795</v>
      </c>
      <c r="J2183" s="12">
        <v>1</v>
      </c>
      <c r="K2183" s="13">
        <v>1</v>
      </c>
      <c r="L2183" s="14">
        <v>197</v>
      </c>
      <c r="M2183" s="10">
        <v>170</v>
      </c>
      <c r="N2183" s="10">
        <v>21769</v>
      </c>
      <c r="O2183" s="10">
        <v>13331</v>
      </c>
      <c r="P2183" s="10">
        <v>35100</v>
      </c>
    </row>
    <row r="2184" spans="1:16" ht="27" customHeight="1" x14ac:dyDescent="0.2">
      <c r="A2184" s="9" t="s">
        <v>7791</v>
      </c>
      <c r="B2184" s="10" t="s">
        <v>7954</v>
      </c>
      <c r="C2184" s="11" t="s">
        <v>7959</v>
      </c>
      <c r="D2184" s="11" t="s">
        <v>7960</v>
      </c>
      <c r="E2184" s="11" t="s">
        <v>57</v>
      </c>
      <c r="F2184" s="11" t="s">
        <v>7961</v>
      </c>
      <c r="G2184" s="11" t="s">
        <v>28</v>
      </c>
      <c r="H2184" s="11" t="s">
        <v>7794</v>
      </c>
      <c r="I2184" s="11" t="s">
        <v>7795</v>
      </c>
      <c r="J2184" s="12">
        <v>1</v>
      </c>
      <c r="K2184" s="13">
        <v>1</v>
      </c>
      <c r="L2184" s="14">
        <v>172</v>
      </c>
      <c r="M2184" s="10">
        <v>165</v>
      </c>
      <c r="N2184" s="10">
        <v>19006</v>
      </c>
      <c r="O2184" s="10">
        <v>12939</v>
      </c>
      <c r="P2184" s="10">
        <v>31945</v>
      </c>
    </row>
    <row r="2185" spans="1:16" ht="27" customHeight="1" x14ac:dyDescent="0.2">
      <c r="A2185" s="9" t="s">
        <v>7791</v>
      </c>
      <c r="B2185" s="10" t="s">
        <v>7962</v>
      </c>
      <c r="C2185" s="11" t="s">
        <v>18</v>
      </c>
      <c r="D2185" s="11" t="s">
        <v>19</v>
      </c>
      <c r="E2185" s="11" t="s">
        <v>19</v>
      </c>
      <c r="F2185" s="11" t="s">
        <v>7963</v>
      </c>
      <c r="G2185" s="11" t="s">
        <v>83</v>
      </c>
      <c r="H2185" s="11" t="s">
        <v>7964</v>
      </c>
      <c r="I2185" s="11" t="s">
        <v>7965</v>
      </c>
      <c r="J2185" s="12">
        <v>0.92810000000000004</v>
      </c>
      <c r="K2185" s="13">
        <v>38</v>
      </c>
      <c r="L2185" s="14">
        <v>28367</v>
      </c>
      <c r="M2185" s="10">
        <v>19051</v>
      </c>
      <c r="N2185" s="10">
        <v>3134601</v>
      </c>
      <c r="O2185" s="10">
        <v>1493959</v>
      </c>
      <c r="P2185" s="10">
        <v>4628560</v>
      </c>
    </row>
    <row r="2186" spans="1:16" ht="27" customHeight="1" x14ac:dyDescent="0.2">
      <c r="A2186" s="9" t="s">
        <v>7791</v>
      </c>
      <c r="B2186" s="10" t="s">
        <v>7962</v>
      </c>
      <c r="C2186" s="11" t="s">
        <v>7966</v>
      </c>
      <c r="D2186" s="11" t="s">
        <v>7967</v>
      </c>
      <c r="E2186" s="11" t="s">
        <v>57</v>
      </c>
      <c r="F2186" s="11" t="s">
        <v>7968</v>
      </c>
      <c r="G2186" s="11" t="s">
        <v>28</v>
      </c>
      <c r="H2186" s="11" t="s">
        <v>7794</v>
      </c>
      <c r="I2186" s="11" t="s">
        <v>7795</v>
      </c>
      <c r="J2186" s="12">
        <v>1</v>
      </c>
      <c r="K2186" s="13">
        <v>1</v>
      </c>
      <c r="L2186" s="14">
        <v>597</v>
      </c>
      <c r="M2186" s="10">
        <v>421</v>
      </c>
      <c r="N2186" s="10">
        <v>65969</v>
      </c>
      <c r="O2186" s="10">
        <v>33014</v>
      </c>
      <c r="P2186" s="10">
        <v>98983</v>
      </c>
    </row>
    <row r="2187" spans="1:16" ht="27" customHeight="1" x14ac:dyDescent="0.2">
      <c r="A2187" s="9" t="s">
        <v>7791</v>
      </c>
      <c r="B2187" s="10" t="s">
        <v>7962</v>
      </c>
      <c r="C2187" s="11" t="s">
        <v>7969</v>
      </c>
      <c r="D2187" s="11" t="s">
        <v>7970</v>
      </c>
      <c r="E2187" s="11" t="s">
        <v>57</v>
      </c>
      <c r="F2187" s="11" t="s">
        <v>7971</v>
      </c>
      <c r="G2187" s="11" t="s">
        <v>28</v>
      </c>
      <c r="H2187" s="11" t="s">
        <v>7794</v>
      </c>
      <c r="I2187" s="11" t="s">
        <v>7795</v>
      </c>
      <c r="J2187" s="12">
        <v>1</v>
      </c>
      <c r="K2187" s="13">
        <v>1</v>
      </c>
      <c r="L2187" s="14">
        <v>235</v>
      </c>
      <c r="M2187" s="10">
        <v>131</v>
      </c>
      <c r="N2187" s="10">
        <v>25968</v>
      </c>
      <c r="O2187" s="10">
        <v>10273</v>
      </c>
      <c r="P2187" s="10">
        <v>36241</v>
      </c>
    </row>
    <row r="2188" spans="1:16" ht="27" customHeight="1" x14ac:dyDescent="0.2">
      <c r="A2188" s="9" t="s">
        <v>7791</v>
      </c>
      <c r="B2188" s="10" t="s">
        <v>7962</v>
      </c>
      <c r="C2188" s="11" t="s">
        <v>7972</v>
      </c>
      <c r="D2188" s="11" t="s">
        <v>7973</v>
      </c>
      <c r="E2188" s="11" t="s">
        <v>57</v>
      </c>
      <c r="F2188" s="11" t="s">
        <v>7974</v>
      </c>
      <c r="G2188" s="11" t="s">
        <v>28</v>
      </c>
      <c r="H2188" s="11" t="s">
        <v>7974</v>
      </c>
      <c r="I2188" s="11" t="s">
        <v>7975</v>
      </c>
      <c r="J2188" s="12">
        <v>0.81120000000000003</v>
      </c>
      <c r="K2188" s="13">
        <v>1</v>
      </c>
      <c r="L2188" s="14">
        <v>430</v>
      </c>
      <c r="M2188" s="10">
        <v>349</v>
      </c>
      <c r="N2188" s="10">
        <v>47516</v>
      </c>
      <c r="O2188" s="10">
        <v>27368</v>
      </c>
      <c r="P2188" s="10">
        <v>74884</v>
      </c>
    </row>
    <row r="2189" spans="1:16" ht="27" customHeight="1" x14ac:dyDescent="0.2">
      <c r="A2189" s="9" t="s">
        <v>7791</v>
      </c>
      <c r="B2189" s="10" t="s">
        <v>7962</v>
      </c>
      <c r="C2189" s="11" t="s">
        <v>7976</v>
      </c>
      <c r="D2189" s="11" t="s">
        <v>7977</v>
      </c>
      <c r="E2189" s="11" t="s">
        <v>57</v>
      </c>
      <c r="F2189" s="11" t="s">
        <v>7978</v>
      </c>
      <c r="G2189" s="11" t="s">
        <v>28</v>
      </c>
      <c r="H2189" s="11" t="s">
        <v>7978</v>
      </c>
      <c r="I2189" s="11" t="s">
        <v>7979</v>
      </c>
      <c r="J2189" s="12">
        <v>0.745</v>
      </c>
      <c r="K2189" s="13">
        <v>1</v>
      </c>
      <c r="L2189" s="14">
        <v>149</v>
      </c>
      <c r="M2189" s="10">
        <v>111</v>
      </c>
      <c r="N2189" s="10">
        <v>16465</v>
      </c>
      <c r="O2189" s="10">
        <v>8705</v>
      </c>
      <c r="P2189" s="10">
        <v>25170</v>
      </c>
    </row>
    <row r="2190" spans="1:16" ht="27" customHeight="1" x14ac:dyDescent="0.2">
      <c r="A2190" s="9" t="s">
        <v>7791</v>
      </c>
      <c r="B2190" s="10" t="s">
        <v>7980</v>
      </c>
      <c r="C2190" s="11" t="s">
        <v>18</v>
      </c>
      <c r="D2190" s="11" t="s">
        <v>19</v>
      </c>
      <c r="E2190" s="11" t="s">
        <v>19</v>
      </c>
      <c r="F2190" s="11" t="s">
        <v>7981</v>
      </c>
      <c r="G2190" s="11" t="s">
        <v>83</v>
      </c>
      <c r="H2190" s="11" t="s">
        <v>7981</v>
      </c>
      <c r="I2190" s="11" t="s">
        <v>7982</v>
      </c>
      <c r="J2190" s="12">
        <v>0.77569999999999995</v>
      </c>
      <c r="K2190" s="13">
        <v>2</v>
      </c>
      <c r="L2190" s="14">
        <v>217</v>
      </c>
      <c r="M2190" s="10">
        <v>168</v>
      </c>
      <c r="N2190" s="10">
        <v>23979</v>
      </c>
      <c r="O2190" s="10">
        <v>13174</v>
      </c>
      <c r="P2190" s="10">
        <v>37153</v>
      </c>
    </row>
    <row r="2191" spans="1:16" ht="27" customHeight="1" x14ac:dyDescent="0.2">
      <c r="A2191" s="9" t="s">
        <v>7791</v>
      </c>
      <c r="B2191" s="10" t="s">
        <v>7983</v>
      </c>
      <c r="C2191" s="11" t="s">
        <v>18</v>
      </c>
      <c r="D2191" s="11" t="s">
        <v>19</v>
      </c>
      <c r="E2191" s="11" t="s">
        <v>19</v>
      </c>
      <c r="F2191" s="11" t="s">
        <v>7984</v>
      </c>
      <c r="G2191" s="11" t="s">
        <v>83</v>
      </c>
      <c r="H2191" s="11" t="s">
        <v>7985</v>
      </c>
      <c r="I2191" s="11" t="s">
        <v>7986</v>
      </c>
      <c r="J2191" s="12">
        <v>0.83540000000000003</v>
      </c>
      <c r="K2191" s="13">
        <v>2</v>
      </c>
      <c r="L2191" s="14">
        <v>413</v>
      </c>
      <c r="M2191" s="10">
        <v>345</v>
      </c>
      <c r="N2191" s="10">
        <v>45637</v>
      </c>
      <c r="O2191" s="10">
        <v>27055</v>
      </c>
      <c r="P2191" s="10">
        <v>72692</v>
      </c>
    </row>
    <row r="2192" spans="1:16" ht="27" customHeight="1" x14ac:dyDescent="0.2">
      <c r="A2192" s="9" t="s">
        <v>7791</v>
      </c>
      <c r="B2192" s="10" t="s">
        <v>7987</v>
      </c>
      <c r="C2192" s="11" t="s">
        <v>18</v>
      </c>
      <c r="D2192" s="11" t="s">
        <v>19</v>
      </c>
      <c r="E2192" s="11" t="s">
        <v>19</v>
      </c>
      <c r="F2192" s="11" t="s">
        <v>7988</v>
      </c>
      <c r="G2192" s="11" t="s">
        <v>83</v>
      </c>
      <c r="H2192" s="11" t="s">
        <v>7989</v>
      </c>
      <c r="I2192" s="11" t="s">
        <v>7990</v>
      </c>
      <c r="J2192" s="12">
        <v>0.91149999999999998</v>
      </c>
      <c r="K2192" s="13">
        <v>7</v>
      </c>
      <c r="L2192" s="14">
        <v>2463</v>
      </c>
      <c r="M2192" s="10">
        <v>2092</v>
      </c>
      <c r="N2192" s="10">
        <v>272166</v>
      </c>
      <c r="O2192" s="10">
        <v>164053</v>
      </c>
      <c r="P2192" s="10">
        <v>436219</v>
      </c>
    </row>
    <row r="2193" spans="1:16" ht="27" customHeight="1" x14ac:dyDescent="0.2">
      <c r="A2193" s="9" t="s">
        <v>7791</v>
      </c>
      <c r="B2193" s="10" t="s">
        <v>7991</v>
      </c>
      <c r="C2193" s="11" t="s">
        <v>18</v>
      </c>
      <c r="D2193" s="11" t="s">
        <v>19</v>
      </c>
      <c r="E2193" s="11" t="s">
        <v>19</v>
      </c>
      <c r="F2193" s="11" t="s">
        <v>7992</v>
      </c>
      <c r="G2193" s="11" t="s">
        <v>83</v>
      </c>
      <c r="H2193" s="11" t="s">
        <v>7993</v>
      </c>
      <c r="I2193" s="11" t="s">
        <v>7994</v>
      </c>
      <c r="J2193" s="12">
        <v>0.95120000000000005</v>
      </c>
      <c r="K2193" s="13">
        <v>20</v>
      </c>
      <c r="L2193" s="14">
        <v>13649</v>
      </c>
      <c r="M2193" s="10">
        <v>11655</v>
      </c>
      <c r="N2193" s="10">
        <v>1508236</v>
      </c>
      <c r="O2193" s="10">
        <v>913973</v>
      </c>
      <c r="P2193" s="10">
        <v>2422209</v>
      </c>
    </row>
    <row r="2194" spans="1:16" ht="27" customHeight="1" x14ac:dyDescent="0.2">
      <c r="A2194" s="9" t="s">
        <v>7791</v>
      </c>
      <c r="B2194" s="10" t="s">
        <v>7991</v>
      </c>
      <c r="C2194" s="11" t="s">
        <v>7995</v>
      </c>
      <c r="D2194" s="11" t="s">
        <v>7996</v>
      </c>
      <c r="E2194" s="11" t="s">
        <v>57</v>
      </c>
      <c r="F2194" s="11" t="s">
        <v>7997</v>
      </c>
      <c r="G2194" s="11" t="s">
        <v>28</v>
      </c>
      <c r="H2194" s="11" t="s">
        <v>7997</v>
      </c>
      <c r="I2194" s="11" t="s">
        <v>7998</v>
      </c>
      <c r="J2194" s="12">
        <v>0.86460000000000004</v>
      </c>
      <c r="K2194" s="13">
        <v>1</v>
      </c>
      <c r="L2194" s="14">
        <v>384</v>
      </c>
      <c r="M2194" s="10">
        <v>332</v>
      </c>
      <c r="N2194" s="10">
        <v>42433</v>
      </c>
      <c r="O2194" s="10">
        <v>26035</v>
      </c>
      <c r="P2194" s="10">
        <v>68468</v>
      </c>
    </row>
    <row r="2195" spans="1:16" ht="27" customHeight="1" x14ac:dyDescent="0.2">
      <c r="A2195" s="9" t="s">
        <v>7791</v>
      </c>
      <c r="B2195" s="10" t="s">
        <v>7991</v>
      </c>
      <c r="C2195" s="11" t="s">
        <v>7999</v>
      </c>
      <c r="D2195" s="11" t="s">
        <v>8000</v>
      </c>
      <c r="E2195" s="11" t="s">
        <v>57</v>
      </c>
      <c r="F2195" s="11" t="s">
        <v>8001</v>
      </c>
      <c r="G2195" s="11" t="s">
        <v>28</v>
      </c>
      <c r="H2195" s="11" t="s">
        <v>7794</v>
      </c>
      <c r="I2195" s="11" t="s">
        <v>7795</v>
      </c>
      <c r="J2195" s="12">
        <v>1</v>
      </c>
      <c r="K2195" s="13">
        <v>1</v>
      </c>
      <c r="L2195" s="14">
        <v>510</v>
      </c>
      <c r="M2195" s="10">
        <v>343</v>
      </c>
      <c r="N2195" s="10">
        <v>56356</v>
      </c>
      <c r="O2195" s="10">
        <v>26898</v>
      </c>
      <c r="P2195" s="10">
        <v>83254</v>
      </c>
    </row>
    <row r="2196" spans="1:16" ht="27" customHeight="1" x14ac:dyDescent="0.2">
      <c r="A2196" s="9" t="s">
        <v>7791</v>
      </c>
      <c r="B2196" s="10" t="s">
        <v>7991</v>
      </c>
      <c r="C2196" s="11" t="s">
        <v>8002</v>
      </c>
      <c r="D2196" s="11" t="s">
        <v>8003</v>
      </c>
      <c r="E2196" s="11" t="s">
        <v>57</v>
      </c>
      <c r="F2196" s="11" t="s">
        <v>8004</v>
      </c>
      <c r="G2196" s="11" t="s">
        <v>28</v>
      </c>
      <c r="H2196" s="11" t="s">
        <v>7794</v>
      </c>
      <c r="I2196" s="11" t="s">
        <v>7795</v>
      </c>
      <c r="J2196" s="12">
        <v>1</v>
      </c>
      <c r="K2196" s="13">
        <v>1</v>
      </c>
      <c r="L2196" s="14">
        <v>288</v>
      </c>
      <c r="M2196" s="10">
        <v>245</v>
      </c>
      <c r="N2196" s="10">
        <v>31824</v>
      </c>
      <c r="O2196" s="10">
        <v>19213</v>
      </c>
      <c r="P2196" s="10">
        <v>51037</v>
      </c>
    </row>
    <row r="2197" spans="1:16" ht="27" customHeight="1" x14ac:dyDescent="0.2">
      <c r="A2197" s="9" t="s">
        <v>7791</v>
      </c>
      <c r="B2197" s="10" t="s">
        <v>8005</v>
      </c>
      <c r="C2197" s="11" t="s">
        <v>18</v>
      </c>
      <c r="D2197" s="11" t="s">
        <v>19</v>
      </c>
      <c r="E2197" s="11" t="s">
        <v>19</v>
      </c>
      <c r="F2197" s="11" t="s">
        <v>8006</v>
      </c>
      <c r="G2197" s="11" t="s">
        <v>83</v>
      </c>
      <c r="H2197" s="11" t="s">
        <v>8007</v>
      </c>
      <c r="I2197" s="11" t="s">
        <v>8008</v>
      </c>
      <c r="J2197" s="12">
        <v>0.81979999999999997</v>
      </c>
      <c r="K2197" s="13">
        <v>11</v>
      </c>
      <c r="L2197" s="14">
        <v>6494</v>
      </c>
      <c r="M2197" s="10">
        <v>5128</v>
      </c>
      <c r="N2197" s="10">
        <v>717598</v>
      </c>
      <c r="O2197" s="10">
        <v>402132</v>
      </c>
      <c r="P2197" s="10">
        <v>1119730</v>
      </c>
    </row>
    <row r="2198" spans="1:16" ht="27" customHeight="1" x14ac:dyDescent="0.2">
      <c r="A2198" s="9" t="s">
        <v>7791</v>
      </c>
      <c r="B2198" s="10" t="s">
        <v>8009</v>
      </c>
      <c r="C2198" s="11" t="s">
        <v>18</v>
      </c>
      <c r="D2198" s="11" t="s">
        <v>19</v>
      </c>
      <c r="E2198" s="11" t="s">
        <v>19</v>
      </c>
      <c r="F2198" s="11" t="s">
        <v>8010</v>
      </c>
      <c r="G2198" s="11" t="s">
        <v>83</v>
      </c>
      <c r="H2198" s="11" t="s">
        <v>6826</v>
      </c>
      <c r="I2198" s="11" t="s">
        <v>8011</v>
      </c>
      <c r="J2198" s="12">
        <v>0.9224</v>
      </c>
      <c r="K2198" s="13">
        <v>7</v>
      </c>
      <c r="L2198" s="14">
        <v>2195</v>
      </c>
      <c r="M2198" s="10">
        <v>1967</v>
      </c>
      <c r="N2198" s="10">
        <v>242551</v>
      </c>
      <c r="O2198" s="10">
        <v>154250</v>
      </c>
      <c r="P2198" s="10">
        <v>396801</v>
      </c>
    </row>
    <row r="2199" spans="1:16" ht="27" customHeight="1" x14ac:dyDescent="0.2">
      <c r="A2199" s="9" t="s">
        <v>7791</v>
      </c>
      <c r="B2199" s="10" t="s">
        <v>8012</v>
      </c>
      <c r="C2199" s="11" t="s">
        <v>18</v>
      </c>
      <c r="D2199" s="11" t="s">
        <v>19</v>
      </c>
      <c r="E2199" s="11" t="s">
        <v>19</v>
      </c>
      <c r="F2199" s="11" t="s">
        <v>8013</v>
      </c>
      <c r="G2199" s="11" t="s">
        <v>83</v>
      </c>
      <c r="H2199" s="11" t="s">
        <v>1518</v>
      </c>
      <c r="I2199" s="11" t="s">
        <v>8014</v>
      </c>
      <c r="J2199" s="12">
        <v>0.75819999999999999</v>
      </c>
      <c r="K2199" s="13">
        <v>8</v>
      </c>
      <c r="L2199" s="14">
        <v>2761</v>
      </c>
      <c r="M2199" s="10">
        <v>1880</v>
      </c>
      <c r="N2199" s="10">
        <v>305095</v>
      </c>
      <c r="O2199" s="10">
        <v>147427</v>
      </c>
      <c r="P2199" s="10">
        <v>452522</v>
      </c>
    </row>
    <row r="2200" spans="1:16" ht="27" customHeight="1" x14ac:dyDescent="0.2">
      <c r="A2200" s="9" t="s">
        <v>8015</v>
      </c>
      <c r="B2200" s="10" t="s">
        <v>8016</v>
      </c>
      <c r="C2200" s="11" t="s">
        <v>18</v>
      </c>
      <c r="D2200" s="11" t="s">
        <v>19</v>
      </c>
      <c r="E2200" s="11" t="s">
        <v>19</v>
      </c>
      <c r="F2200" s="11" t="s">
        <v>8017</v>
      </c>
      <c r="G2200" s="11" t="s">
        <v>21</v>
      </c>
      <c r="H2200" s="11" t="s">
        <v>8018</v>
      </c>
      <c r="I2200" s="11" t="s">
        <v>8019</v>
      </c>
      <c r="J2200" s="12">
        <v>0.75429999999999997</v>
      </c>
      <c r="K2200" s="13">
        <v>5</v>
      </c>
      <c r="L2200" s="14">
        <v>91</v>
      </c>
      <c r="M2200" s="10">
        <v>61</v>
      </c>
      <c r="N2200" s="10">
        <v>10057</v>
      </c>
      <c r="O2200" s="10">
        <v>4782</v>
      </c>
      <c r="P2200" s="10">
        <v>14839</v>
      </c>
    </row>
    <row r="2201" spans="1:16" ht="27" customHeight="1" x14ac:dyDescent="0.2">
      <c r="A2201" s="9" t="s">
        <v>8015</v>
      </c>
      <c r="B2201" s="10" t="s">
        <v>8020</v>
      </c>
      <c r="C2201" s="11" t="s">
        <v>18</v>
      </c>
      <c r="D2201" s="11" t="s">
        <v>19</v>
      </c>
      <c r="E2201" s="11" t="s">
        <v>19</v>
      </c>
      <c r="F2201" s="11" t="s">
        <v>8021</v>
      </c>
      <c r="G2201" s="11" t="s">
        <v>83</v>
      </c>
      <c r="H2201" s="11" t="s">
        <v>8021</v>
      </c>
      <c r="I2201" s="11" t="s">
        <v>8022</v>
      </c>
      <c r="J2201" s="12">
        <v>0.47399999999999998</v>
      </c>
      <c r="K2201" s="13">
        <v>3</v>
      </c>
      <c r="L2201" s="14">
        <v>185</v>
      </c>
      <c r="M2201" s="10">
        <v>88</v>
      </c>
      <c r="N2201" s="10">
        <v>20443</v>
      </c>
      <c r="O2201" s="10">
        <v>6901</v>
      </c>
      <c r="P2201" s="10">
        <v>27344</v>
      </c>
    </row>
    <row r="2202" spans="1:16" ht="27" customHeight="1" x14ac:dyDescent="0.2">
      <c r="A2202" s="9" t="s">
        <v>8015</v>
      </c>
      <c r="B2202" s="10" t="s">
        <v>8023</v>
      </c>
      <c r="C2202" s="11" t="s">
        <v>18</v>
      </c>
      <c r="D2202" s="11" t="s">
        <v>19</v>
      </c>
      <c r="E2202" s="11" t="s">
        <v>19</v>
      </c>
      <c r="F2202" s="11" t="s">
        <v>8024</v>
      </c>
      <c r="G2202" s="11" t="s">
        <v>83</v>
      </c>
      <c r="H2202" s="11" t="s">
        <v>1879</v>
      </c>
      <c r="I2202" s="11" t="s">
        <v>8025</v>
      </c>
      <c r="J2202" s="12">
        <v>0.55149999999999999</v>
      </c>
      <c r="K2202" s="13">
        <v>2</v>
      </c>
      <c r="L2202" s="14">
        <v>443</v>
      </c>
      <c r="M2202" s="10">
        <v>245</v>
      </c>
      <c r="N2202" s="10">
        <v>48953</v>
      </c>
      <c r="O2202" s="10">
        <v>19213</v>
      </c>
      <c r="P2202" s="10">
        <v>68166</v>
      </c>
    </row>
    <row r="2203" spans="1:16" ht="27" customHeight="1" x14ac:dyDescent="0.2">
      <c r="A2203" s="9" t="s">
        <v>8015</v>
      </c>
      <c r="B2203" s="10" t="s">
        <v>8026</v>
      </c>
      <c r="C2203" s="11" t="s">
        <v>18</v>
      </c>
      <c r="D2203" s="11" t="s">
        <v>19</v>
      </c>
      <c r="E2203" s="11" t="s">
        <v>19</v>
      </c>
      <c r="F2203" s="11" t="s">
        <v>8027</v>
      </c>
      <c r="G2203" s="11" t="s">
        <v>83</v>
      </c>
      <c r="H2203" s="11" t="s">
        <v>8027</v>
      </c>
      <c r="I2203" s="11" t="s">
        <v>8028</v>
      </c>
      <c r="J2203" s="12">
        <v>0.53639999999999999</v>
      </c>
      <c r="K2203" s="13">
        <v>2</v>
      </c>
      <c r="L2203" s="14">
        <v>440</v>
      </c>
      <c r="M2203" s="10">
        <v>236</v>
      </c>
      <c r="N2203" s="10">
        <v>48621</v>
      </c>
      <c r="O2203" s="10">
        <v>18507</v>
      </c>
      <c r="P2203" s="10">
        <v>67128</v>
      </c>
    </row>
    <row r="2204" spans="1:16" ht="27" customHeight="1" x14ac:dyDescent="0.2">
      <c r="A2204" s="9" t="s">
        <v>8015</v>
      </c>
      <c r="B2204" s="10" t="s">
        <v>8029</v>
      </c>
      <c r="C2204" s="11" t="s">
        <v>18</v>
      </c>
      <c r="D2204" s="11" t="s">
        <v>19</v>
      </c>
      <c r="E2204" s="11" t="s">
        <v>19</v>
      </c>
      <c r="F2204" s="11" t="s">
        <v>8018</v>
      </c>
      <c r="G2204" s="11" t="s">
        <v>83</v>
      </c>
      <c r="H2204" s="11" t="s">
        <v>8018</v>
      </c>
      <c r="I2204" s="11" t="s">
        <v>8019</v>
      </c>
      <c r="J2204" s="12">
        <v>0.75429999999999997</v>
      </c>
      <c r="K2204" s="13">
        <v>3</v>
      </c>
      <c r="L2204" s="14">
        <v>380</v>
      </c>
      <c r="M2204" s="10">
        <v>278</v>
      </c>
      <c r="N2204" s="10">
        <v>41991</v>
      </c>
      <c r="O2204" s="10">
        <v>21801</v>
      </c>
      <c r="P2204" s="10">
        <v>63792</v>
      </c>
    </row>
    <row r="2205" spans="1:16" ht="27" customHeight="1" x14ac:dyDescent="0.2">
      <c r="A2205" s="9" t="s">
        <v>8015</v>
      </c>
      <c r="B2205" s="10" t="s">
        <v>8030</v>
      </c>
      <c r="C2205" s="11" t="s">
        <v>18</v>
      </c>
      <c r="D2205" s="11" t="s">
        <v>19</v>
      </c>
      <c r="E2205" s="11" t="s">
        <v>19</v>
      </c>
      <c r="F2205" s="11" t="s">
        <v>8031</v>
      </c>
      <c r="G2205" s="11" t="s">
        <v>83</v>
      </c>
      <c r="H2205" s="11" t="s">
        <v>8031</v>
      </c>
      <c r="I2205" s="11" t="s">
        <v>8032</v>
      </c>
      <c r="J2205" s="12">
        <v>0.43369999999999997</v>
      </c>
      <c r="K2205" s="13">
        <v>3</v>
      </c>
      <c r="L2205" s="14">
        <v>724</v>
      </c>
      <c r="M2205" s="10">
        <v>314</v>
      </c>
      <c r="N2205" s="10">
        <v>80003</v>
      </c>
      <c r="O2205" s="10">
        <v>24624</v>
      </c>
      <c r="P2205" s="10">
        <v>104627</v>
      </c>
    </row>
    <row r="2206" spans="1:16" ht="27" customHeight="1" x14ac:dyDescent="0.2">
      <c r="A2206" s="9" t="s">
        <v>8015</v>
      </c>
      <c r="B2206" s="10" t="s">
        <v>8033</v>
      </c>
      <c r="C2206" s="11" t="s">
        <v>18</v>
      </c>
      <c r="D2206" s="11" t="s">
        <v>19</v>
      </c>
      <c r="E2206" s="11" t="s">
        <v>19</v>
      </c>
      <c r="F2206" s="11" t="s">
        <v>8034</v>
      </c>
      <c r="G2206" s="11" t="s">
        <v>83</v>
      </c>
      <c r="H2206" s="11" t="s">
        <v>8018</v>
      </c>
      <c r="I2206" s="11" t="s">
        <v>8019</v>
      </c>
      <c r="J2206" s="12">
        <v>0.75429999999999997</v>
      </c>
      <c r="K2206" s="13">
        <v>4</v>
      </c>
      <c r="L2206" s="14">
        <v>1087</v>
      </c>
      <c r="M2206" s="10">
        <v>424</v>
      </c>
      <c r="N2206" s="10">
        <v>120115</v>
      </c>
      <c r="O2206" s="10">
        <v>33250</v>
      </c>
      <c r="P2206" s="10">
        <v>153365</v>
      </c>
    </row>
    <row r="2207" spans="1:16" ht="27" customHeight="1" x14ac:dyDescent="0.2">
      <c r="A2207" s="9" t="s">
        <v>8015</v>
      </c>
      <c r="B2207" s="10" t="s">
        <v>8035</v>
      </c>
      <c r="C2207" s="11" t="s">
        <v>18</v>
      </c>
      <c r="D2207" s="11" t="s">
        <v>19</v>
      </c>
      <c r="E2207" s="11" t="s">
        <v>19</v>
      </c>
      <c r="F2207" s="11" t="s">
        <v>8036</v>
      </c>
      <c r="G2207" s="11" t="s">
        <v>83</v>
      </c>
      <c r="H2207" s="11" t="s">
        <v>8036</v>
      </c>
      <c r="I2207" s="11" t="s">
        <v>8037</v>
      </c>
      <c r="J2207" s="12">
        <v>0.44009999999999999</v>
      </c>
      <c r="K2207" s="13">
        <v>3</v>
      </c>
      <c r="L2207" s="14">
        <v>484</v>
      </c>
      <c r="M2207" s="10">
        <v>213</v>
      </c>
      <c r="N2207" s="10">
        <v>53483</v>
      </c>
      <c r="O2207" s="10">
        <v>16703</v>
      </c>
      <c r="P2207" s="10">
        <v>70186</v>
      </c>
    </row>
    <row r="2208" spans="1:16" ht="27" customHeight="1" x14ac:dyDescent="0.2">
      <c r="A2208" s="9" t="s">
        <v>8015</v>
      </c>
      <c r="B2208" s="10" t="s">
        <v>8038</v>
      </c>
      <c r="C2208" s="11" t="s">
        <v>18</v>
      </c>
      <c r="D2208" s="11" t="s">
        <v>19</v>
      </c>
      <c r="E2208" s="11" t="s">
        <v>19</v>
      </c>
      <c r="F2208" s="11" t="s">
        <v>8039</v>
      </c>
      <c r="G2208" s="11" t="s">
        <v>83</v>
      </c>
      <c r="H2208" s="11" t="s">
        <v>8039</v>
      </c>
      <c r="I2208" s="11" t="s">
        <v>8040</v>
      </c>
      <c r="J2208" s="12">
        <v>0.55769999999999997</v>
      </c>
      <c r="K2208" s="13">
        <v>2</v>
      </c>
      <c r="L2208" s="14">
        <v>416</v>
      </c>
      <c r="M2208" s="10">
        <v>232</v>
      </c>
      <c r="N2208" s="10">
        <v>45969</v>
      </c>
      <c r="O2208" s="10">
        <v>18193</v>
      </c>
      <c r="P2208" s="10">
        <v>64162</v>
      </c>
    </row>
    <row r="2209" spans="1:16" ht="27" customHeight="1" x14ac:dyDescent="0.2">
      <c r="A2209" s="9" t="s">
        <v>8015</v>
      </c>
      <c r="B2209" s="10" t="s">
        <v>8041</v>
      </c>
      <c r="C2209" s="11" t="s">
        <v>18</v>
      </c>
      <c r="D2209" s="11" t="s">
        <v>19</v>
      </c>
      <c r="E2209" s="11" t="s">
        <v>19</v>
      </c>
      <c r="F2209" s="11" t="s">
        <v>8042</v>
      </c>
      <c r="G2209" s="11" t="s">
        <v>83</v>
      </c>
      <c r="H2209" s="11" t="s">
        <v>8018</v>
      </c>
      <c r="I2209" s="11" t="s">
        <v>8019</v>
      </c>
      <c r="J2209" s="12">
        <v>0.75429999999999997</v>
      </c>
      <c r="K2209" s="13">
        <v>6</v>
      </c>
      <c r="L2209" s="14">
        <v>473</v>
      </c>
      <c r="M2209" s="10">
        <v>231</v>
      </c>
      <c r="N2209" s="10">
        <v>52268</v>
      </c>
      <c r="O2209" s="10">
        <v>18115</v>
      </c>
      <c r="P2209" s="10">
        <v>70383</v>
      </c>
    </row>
    <row r="2210" spans="1:16" ht="27" customHeight="1" x14ac:dyDescent="0.2">
      <c r="A2210" s="9" t="s">
        <v>8015</v>
      </c>
      <c r="B2210" s="10" t="s">
        <v>8041</v>
      </c>
      <c r="C2210" s="11" t="s">
        <v>8043</v>
      </c>
      <c r="D2210" s="11" t="s">
        <v>8044</v>
      </c>
      <c r="E2210" s="11" t="s">
        <v>26</v>
      </c>
      <c r="F2210" s="11" t="s">
        <v>8045</v>
      </c>
      <c r="G2210" s="11" t="s">
        <v>28</v>
      </c>
      <c r="H2210" s="11" t="s">
        <v>8045</v>
      </c>
      <c r="I2210" s="11" t="s">
        <v>8046</v>
      </c>
      <c r="J2210" s="12">
        <v>0.42309999999999998</v>
      </c>
      <c r="K2210" s="13">
        <v>1</v>
      </c>
      <c r="L2210" s="14">
        <v>416</v>
      </c>
      <c r="M2210" s="10">
        <v>176</v>
      </c>
      <c r="N2210" s="10">
        <v>45969</v>
      </c>
      <c r="O2210" s="10">
        <v>13802</v>
      </c>
      <c r="P2210" s="10">
        <v>59771</v>
      </c>
    </row>
    <row r="2211" spans="1:16" ht="27" customHeight="1" x14ac:dyDescent="0.2">
      <c r="A2211" s="9" t="s">
        <v>8015</v>
      </c>
      <c r="B2211" s="10" t="s">
        <v>8041</v>
      </c>
      <c r="C2211" s="11" t="s">
        <v>8047</v>
      </c>
      <c r="D2211" s="11" t="s">
        <v>8048</v>
      </c>
      <c r="E2211" s="11" t="s">
        <v>57</v>
      </c>
      <c r="F2211" s="11" t="s">
        <v>8049</v>
      </c>
      <c r="G2211" s="11" t="s">
        <v>28</v>
      </c>
      <c r="H2211" s="11" t="s">
        <v>8018</v>
      </c>
      <c r="I2211" s="11" t="s">
        <v>8019</v>
      </c>
      <c r="J2211" s="12">
        <v>0.75429999999999997</v>
      </c>
      <c r="K2211" s="13">
        <v>1</v>
      </c>
      <c r="L2211" s="14">
        <v>194</v>
      </c>
      <c r="M2211" s="10">
        <v>74</v>
      </c>
      <c r="N2211" s="10">
        <v>21437</v>
      </c>
      <c r="O2211" s="10">
        <v>5803</v>
      </c>
      <c r="P2211" s="10">
        <v>27240</v>
      </c>
    </row>
    <row r="2212" spans="1:16" ht="27" customHeight="1" x14ac:dyDescent="0.2">
      <c r="A2212" s="9" t="s">
        <v>8015</v>
      </c>
      <c r="B2212" s="10" t="s">
        <v>8050</v>
      </c>
      <c r="C2212" s="11" t="s">
        <v>18</v>
      </c>
      <c r="D2212" s="11" t="s">
        <v>19</v>
      </c>
      <c r="E2212" s="11" t="s">
        <v>19</v>
      </c>
      <c r="F2212" s="11" t="s">
        <v>8051</v>
      </c>
      <c r="G2212" s="11" t="s">
        <v>83</v>
      </c>
      <c r="H2212" s="11" t="s">
        <v>8051</v>
      </c>
      <c r="I2212" s="11" t="s">
        <v>8052</v>
      </c>
      <c r="J2212" s="12">
        <v>0.55910000000000004</v>
      </c>
      <c r="K2212" s="13">
        <v>3</v>
      </c>
      <c r="L2212" s="14">
        <v>255</v>
      </c>
      <c r="M2212" s="10">
        <v>143</v>
      </c>
      <c r="N2212" s="10">
        <v>28178</v>
      </c>
      <c r="O2212" s="10">
        <v>11214</v>
      </c>
      <c r="P2212" s="10">
        <v>39392</v>
      </c>
    </row>
    <row r="2213" spans="1:16" ht="27" customHeight="1" x14ac:dyDescent="0.2">
      <c r="A2213" s="9" t="s">
        <v>8015</v>
      </c>
      <c r="B2213" s="10" t="s">
        <v>8053</v>
      </c>
      <c r="C2213" s="11" t="s">
        <v>18</v>
      </c>
      <c r="D2213" s="11" t="s">
        <v>19</v>
      </c>
      <c r="E2213" s="11" t="s">
        <v>19</v>
      </c>
      <c r="F2213" s="11" t="s">
        <v>8054</v>
      </c>
      <c r="G2213" s="11" t="s">
        <v>83</v>
      </c>
      <c r="H2213" s="11" t="s">
        <v>8055</v>
      </c>
      <c r="I2213" s="11" t="s">
        <v>8056</v>
      </c>
      <c r="J2213" s="12">
        <v>0.58099999999999996</v>
      </c>
      <c r="K2213" s="13">
        <v>4</v>
      </c>
      <c r="L2213" s="14">
        <v>276</v>
      </c>
      <c r="M2213" s="10">
        <v>136</v>
      </c>
      <c r="N2213" s="10">
        <v>30499</v>
      </c>
      <c r="O2213" s="10">
        <v>10665</v>
      </c>
      <c r="P2213" s="10">
        <v>41164</v>
      </c>
    </row>
    <row r="2214" spans="1:16" ht="27" customHeight="1" x14ac:dyDescent="0.2">
      <c r="A2214" s="9" t="s">
        <v>8057</v>
      </c>
      <c r="B2214" s="10" t="s">
        <v>8058</v>
      </c>
      <c r="C2214" s="11" t="s">
        <v>18</v>
      </c>
      <c r="D2214" s="11" t="s">
        <v>19</v>
      </c>
      <c r="E2214" s="11" t="s">
        <v>19</v>
      </c>
      <c r="F2214" s="11" t="s">
        <v>8059</v>
      </c>
      <c r="G2214" s="11" t="s">
        <v>21</v>
      </c>
      <c r="H2214" s="11" t="s">
        <v>8060</v>
      </c>
      <c r="I2214" s="11" t="s">
        <v>8061</v>
      </c>
      <c r="J2214" s="12">
        <v>0.96970000000000001</v>
      </c>
      <c r="K2214" s="13">
        <v>6</v>
      </c>
      <c r="L2214" s="14">
        <v>658</v>
      </c>
      <c r="M2214" s="10">
        <v>322</v>
      </c>
      <c r="N2214" s="10">
        <v>72711</v>
      </c>
      <c r="O2214" s="10">
        <v>25251</v>
      </c>
      <c r="P2214" s="10">
        <v>97962</v>
      </c>
    </row>
    <row r="2215" spans="1:16" ht="27" customHeight="1" x14ac:dyDescent="0.2">
      <c r="A2215" s="9" t="s">
        <v>8057</v>
      </c>
      <c r="B2215" s="10" t="s">
        <v>8058</v>
      </c>
      <c r="C2215" s="11" t="s">
        <v>8062</v>
      </c>
      <c r="D2215" s="11" t="s">
        <v>8063</v>
      </c>
      <c r="E2215" s="11" t="s">
        <v>26</v>
      </c>
      <c r="F2215" s="11" t="s">
        <v>8064</v>
      </c>
      <c r="G2215" s="11" t="s">
        <v>28</v>
      </c>
      <c r="H2215" s="11" t="s">
        <v>8060</v>
      </c>
      <c r="I2215" s="11" t="s">
        <v>8061</v>
      </c>
      <c r="J2215" s="12">
        <v>0.96970000000000001</v>
      </c>
      <c r="K2215" s="13">
        <v>1</v>
      </c>
      <c r="L2215" s="14">
        <v>1311</v>
      </c>
      <c r="M2215" s="10">
        <v>1051</v>
      </c>
      <c r="N2215" s="10">
        <v>144868</v>
      </c>
      <c r="O2215" s="10">
        <v>82418</v>
      </c>
      <c r="P2215" s="10">
        <v>227286</v>
      </c>
    </row>
    <row r="2216" spans="1:16" ht="27" customHeight="1" x14ac:dyDescent="0.2">
      <c r="A2216" s="9" t="s">
        <v>8057</v>
      </c>
      <c r="B2216" s="10" t="s">
        <v>8058</v>
      </c>
      <c r="C2216" s="11" t="s">
        <v>8065</v>
      </c>
      <c r="D2216" s="11" t="s">
        <v>8066</v>
      </c>
      <c r="E2216" s="11" t="s">
        <v>26</v>
      </c>
      <c r="F2216" s="11" t="s">
        <v>8067</v>
      </c>
      <c r="G2216" s="11" t="s">
        <v>28</v>
      </c>
      <c r="H2216" s="11" t="s">
        <v>8067</v>
      </c>
      <c r="I2216" s="11" t="s">
        <v>8068</v>
      </c>
      <c r="J2216" s="12">
        <v>0.35270000000000001</v>
      </c>
      <c r="K2216" s="13">
        <v>1</v>
      </c>
      <c r="L2216" s="14">
        <v>431</v>
      </c>
      <c r="M2216" s="10">
        <v>152</v>
      </c>
      <c r="N2216" s="10">
        <v>47626</v>
      </c>
      <c r="O2216" s="10">
        <v>11920</v>
      </c>
      <c r="P2216" s="10">
        <v>59546</v>
      </c>
    </row>
    <row r="2217" spans="1:16" ht="27" customHeight="1" x14ac:dyDescent="0.2">
      <c r="A2217" s="9" t="s">
        <v>8057</v>
      </c>
      <c r="B2217" s="10" t="s">
        <v>8058</v>
      </c>
      <c r="C2217" s="11" t="s">
        <v>8069</v>
      </c>
      <c r="D2217" s="11" t="s">
        <v>8070</v>
      </c>
      <c r="E2217" s="11" t="s">
        <v>26</v>
      </c>
      <c r="F2217" s="11" t="s">
        <v>8071</v>
      </c>
      <c r="G2217" s="11" t="s">
        <v>28</v>
      </c>
      <c r="H2217" s="11" t="s">
        <v>8071</v>
      </c>
      <c r="I2217" s="11" t="s">
        <v>8072</v>
      </c>
      <c r="J2217" s="12">
        <v>0.18229999999999999</v>
      </c>
      <c r="K2217" s="13">
        <v>1</v>
      </c>
      <c r="L2217" s="14">
        <v>351</v>
      </c>
      <c r="M2217" s="10">
        <v>64</v>
      </c>
      <c r="N2217" s="10">
        <v>38786</v>
      </c>
      <c r="O2217" s="10">
        <v>5019</v>
      </c>
      <c r="P2217" s="10">
        <v>43805</v>
      </c>
    </row>
    <row r="2218" spans="1:16" ht="27" customHeight="1" x14ac:dyDescent="0.2">
      <c r="A2218" s="9" t="s">
        <v>8057</v>
      </c>
      <c r="B2218" s="10" t="s">
        <v>8058</v>
      </c>
      <c r="C2218" s="11" t="s">
        <v>8073</v>
      </c>
      <c r="D2218" s="11" t="s">
        <v>8074</v>
      </c>
      <c r="E2218" s="11" t="s">
        <v>26</v>
      </c>
      <c r="F2218" s="11" t="s">
        <v>8075</v>
      </c>
      <c r="G2218" s="11" t="s">
        <v>28</v>
      </c>
      <c r="H2218" s="11" t="s">
        <v>8075</v>
      </c>
      <c r="I2218" s="11" t="s">
        <v>8076</v>
      </c>
      <c r="J2218" s="12">
        <v>0.24479999999999999</v>
      </c>
      <c r="K2218" s="13">
        <v>1</v>
      </c>
      <c r="L2218" s="14">
        <v>339</v>
      </c>
      <c r="M2218" s="10">
        <v>83</v>
      </c>
      <c r="N2218" s="10">
        <v>37460</v>
      </c>
      <c r="O2218" s="10">
        <v>6509</v>
      </c>
      <c r="P2218" s="10">
        <v>43969</v>
      </c>
    </row>
    <row r="2219" spans="1:16" ht="27" customHeight="1" x14ac:dyDescent="0.2">
      <c r="A2219" s="9" t="s">
        <v>8057</v>
      </c>
      <c r="B2219" s="10" t="s">
        <v>8058</v>
      </c>
      <c r="C2219" s="11" t="s">
        <v>8077</v>
      </c>
      <c r="D2219" s="11" t="s">
        <v>8078</v>
      </c>
      <c r="E2219" s="11" t="s">
        <v>26</v>
      </c>
      <c r="F2219" s="11" t="s">
        <v>8079</v>
      </c>
      <c r="G2219" s="11" t="s">
        <v>28</v>
      </c>
      <c r="H2219" s="11" t="s">
        <v>8079</v>
      </c>
      <c r="I2219" s="11" t="s">
        <v>8080</v>
      </c>
      <c r="J2219" s="12">
        <v>5.3699999999999998E-2</v>
      </c>
      <c r="K2219" s="13">
        <v>1</v>
      </c>
      <c r="L2219" s="14">
        <v>410</v>
      </c>
      <c r="M2219" s="10">
        <v>22</v>
      </c>
      <c r="N2219" s="10">
        <v>45306</v>
      </c>
      <c r="O2219" s="10">
        <v>1725</v>
      </c>
      <c r="P2219" s="10">
        <v>47031</v>
      </c>
    </row>
    <row r="2220" spans="1:16" ht="27" customHeight="1" x14ac:dyDescent="0.2">
      <c r="A2220" s="9" t="s">
        <v>8057</v>
      </c>
      <c r="B2220" s="10" t="s">
        <v>8081</v>
      </c>
      <c r="C2220" s="11" t="s">
        <v>18</v>
      </c>
      <c r="D2220" s="11" t="s">
        <v>19</v>
      </c>
      <c r="E2220" s="11" t="s">
        <v>19</v>
      </c>
      <c r="F2220" s="11" t="s">
        <v>8082</v>
      </c>
      <c r="G2220" s="11" t="s">
        <v>83</v>
      </c>
      <c r="H2220" s="11" t="s">
        <v>8083</v>
      </c>
      <c r="I2220" s="11" t="s">
        <v>8084</v>
      </c>
      <c r="J2220" s="12">
        <v>0.67479999999999996</v>
      </c>
      <c r="K2220" s="13">
        <v>3</v>
      </c>
      <c r="L2220" s="14">
        <v>474</v>
      </c>
      <c r="M2220" s="10">
        <v>316</v>
      </c>
      <c r="N2220" s="10">
        <v>52378</v>
      </c>
      <c r="O2220" s="10">
        <v>24780</v>
      </c>
      <c r="P2220" s="10">
        <v>77158</v>
      </c>
    </row>
    <row r="2221" spans="1:16" ht="27" customHeight="1" x14ac:dyDescent="0.2">
      <c r="A2221" s="9" t="s">
        <v>8057</v>
      </c>
      <c r="B2221" s="10" t="s">
        <v>8085</v>
      </c>
      <c r="C2221" s="11" t="s">
        <v>18</v>
      </c>
      <c r="D2221" s="11" t="s">
        <v>19</v>
      </c>
      <c r="E2221" s="11" t="s">
        <v>19</v>
      </c>
      <c r="F2221" s="11" t="s">
        <v>8086</v>
      </c>
      <c r="G2221" s="11" t="s">
        <v>83</v>
      </c>
      <c r="H2221" s="11" t="s">
        <v>8087</v>
      </c>
      <c r="I2221" s="11" t="s">
        <v>8088</v>
      </c>
      <c r="J2221" s="12">
        <v>0.84619999999999995</v>
      </c>
      <c r="K2221" s="13">
        <v>10</v>
      </c>
      <c r="L2221" s="14">
        <v>3974</v>
      </c>
      <c r="M2221" s="10">
        <v>3104</v>
      </c>
      <c r="N2221" s="10">
        <v>439133</v>
      </c>
      <c r="O2221" s="10">
        <v>243412</v>
      </c>
      <c r="P2221" s="10">
        <v>682545</v>
      </c>
    </row>
    <row r="2222" spans="1:16" ht="27" customHeight="1" x14ac:dyDescent="0.2">
      <c r="A2222" s="9" t="s">
        <v>8057</v>
      </c>
      <c r="B2222" s="10" t="s">
        <v>8089</v>
      </c>
      <c r="C2222" s="11" t="s">
        <v>18</v>
      </c>
      <c r="D2222" s="11" t="s">
        <v>19</v>
      </c>
      <c r="E2222" s="11" t="s">
        <v>19</v>
      </c>
      <c r="F2222" s="11" t="s">
        <v>8090</v>
      </c>
      <c r="G2222" s="11" t="s">
        <v>83</v>
      </c>
      <c r="H2222" s="11" t="s">
        <v>8060</v>
      </c>
      <c r="I2222" s="11" t="s">
        <v>8061</v>
      </c>
      <c r="J2222" s="12">
        <v>0.96970000000000001</v>
      </c>
      <c r="K2222" s="13">
        <v>12</v>
      </c>
      <c r="L2222" s="14">
        <v>7254</v>
      </c>
      <c r="M2222" s="10">
        <v>6012</v>
      </c>
      <c r="N2222" s="10">
        <v>801578</v>
      </c>
      <c r="O2222" s="10">
        <v>471457</v>
      </c>
      <c r="P2222" s="10">
        <v>1273035</v>
      </c>
    </row>
    <row r="2223" spans="1:16" ht="27" customHeight="1" x14ac:dyDescent="0.2">
      <c r="A2223" s="9" t="s">
        <v>8057</v>
      </c>
      <c r="B2223" s="10" t="s">
        <v>8091</v>
      </c>
      <c r="C2223" s="11" t="s">
        <v>18</v>
      </c>
      <c r="D2223" s="11" t="s">
        <v>19</v>
      </c>
      <c r="E2223" s="11" t="s">
        <v>19</v>
      </c>
      <c r="F2223" s="11" t="s">
        <v>8092</v>
      </c>
      <c r="G2223" s="11" t="s">
        <v>83</v>
      </c>
      <c r="H2223" s="11" t="s">
        <v>8093</v>
      </c>
      <c r="I2223" s="11" t="s">
        <v>8094</v>
      </c>
      <c r="J2223" s="12">
        <v>0.3599</v>
      </c>
      <c r="K2223" s="13">
        <v>2</v>
      </c>
      <c r="L2223" s="14">
        <v>567</v>
      </c>
      <c r="M2223" s="10">
        <v>204</v>
      </c>
      <c r="N2223" s="10">
        <v>62654</v>
      </c>
      <c r="O2223" s="10">
        <v>15997</v>
      </c>
      <c r="P2223" s="10">
        <v>78651</v>
      </c>
    </row>
    <row r="2224" spans="1:16" ht="27" customHeight="1" x14ac:dyDescent="0.2">
      <c r="A2224" s="9" t="s">
        <v>8057</v>
      </c>
      <c r="B2224" s="10" t="s">
        <v>8091</v>
      </c>
      <c r="C2224" s="11" t="s">
        <v>8095</v>
      </c>
      <c r="D2224" s="11" t="s">
        <v>8096</v>
      </c>
      <c r="E2224" s="11" t="s">
        <v>26</v>
      </c>
      <c r="F2224" s="11" t="s">
        <v>8097</v>
      </c>
      <c r="G2224" s="11" t="s">
        <v>28</v>
      </c>
      <c r="H2224" s="11" t="s">
        <v>8097</v>
      </c>
      <c r="I2224" s="11" t="s">
        <v>8098</v>
      </c>
      <c r="J2224" s="12">
        <v>0.30980000000000002</v>
      </c>
      <c r="K2224" s="13">
        <v>1</v>
      </c>
      <c r="L2224" s="14">
        <v>439</v>
      </c>
      <c r="M2224" s="10">
        <v>136</v>
      </c>
      <c r="N2224" s="10">
        <v>48510</v>
      </c>
      <c r="O2224" s="10">
        <v>10665</v>
      </c>
      <c r="P2224" s="10">
        <v>59175</v>
      </c>
    </row>
    <row r="2225" spans="1:16" ht="27" customHeight="1" x14ac:dyDescent="0.2">
      <c r="A2225" s="9" t="s">
        <v>8057</v>
      </c>
      <c r="B2225" s="10" t="s">
        <v>8099</v>
      </c>
      <c r="C2225" s="11" t="s">
        <v>18</v>
      </c>
      <c r="D2225" s="11" t="s">
        <v>19</v>
      </c>
      <c r="E2225" s="11" t="s">
        <v>19</v>
      </c>
      <c r="F2225" s="11" t="s">
        <v>8100</v>
      </c>
      <c r="G2225" s="11" t="s">
        <v>83</v>
      </c>
      <c r="H2225" s="11" t="s">
        <v>8100</v>
      </c>
      <c r="I2225" s="11" t="s">
        <v>8101</v>
      </c>
      <c r="J2225" s="12">
        <v>0.46960000000000002</v>
      </c>
      <c r="K2225" s="13">
        <v>2</v>
      </c>
      <c r="L2225" s="14">
        <v>182</v>
      </c>
      <c r="M2225" s="10">
        <v>85</v>
      </c>
      <c r="N2225" s="10">
        <v>20111</v>
      </c>
      <c r="O2225" s="10">
        <v>6666</v>
      </c>
      <c r="P2225" s="10">
        <v>26777</v>
      </c>
    </row>
    <row r="2226" spans="1:16" ht="27" customHeight="1" x14ac:dyDescent="0.2">
      <c r="A2226" s="9" t="s">
        <v>8057</v>
      </c>
      <c r="B2226" s="10" t="s">
        <v>8102</v>
      </c>
      <c r="C2226" s="11" t="s">
        <v>18</v>
      </c>
      <c r="D2226" s="11" t="s">
        <v>19</v>
      </c>
      <c r="E2226" s="11" t="s">
        <v>19</v>
      </c>
      <c r="F2226" s="11" t="s">
        <v>4095</v>
      </c>
      <c r="G2226" s="11" t="s">
        <v>83</v>
      </c>
      <c r="H2226" s="11" t="s">
        <v>8103</v>
      </c>
      <c r="I2226" s="11" t="s">
        <v>8104</v>
      </c>
      <c r="J2226" s="12">
        <v>0.79620000000000002</v>
      </c>
      <c r="K2226" s="13">
        <v>6</v>
      </c>
      <c r="L2226" s="14">
        <v>2274</v>
      </c>
      <c r="M2226" s="10">
        <v>1612</v>
      </c>
      <c r="N2226" s="10">
        <v>251281</v>
      </c>
      <c r="O2226" s="10">
        <v>126411</v>
      </c>
      <c r="P2226" s="10">
        <v>377692</v>
      </c>
    </row>
    <row r="2227" spans="1:16" ht="27" customHeight="1" x14ac:dyDescent="0.2">
      <c r="A2227" s="9" t="s">
        <v>8057</v>
      </c>
      <c r="B2227" s="10" t="s">
        <v>8105</v>
      </c>
      <c r="C2227" s="11" t="s">
        <v>18</v>
      </c>
      <c r="D2227" s="11" t="s">
        <v>19</v>
      </c>
      <c r="E2227" s="11" t="s">
        <v>19</v>
      </c>
      <c r="F2227" s="11" t="s">
        <v>8106</v>
      </c>
      <c r="G2227" s="11" t="s">
        <v>83</v>
      </c>
      <c r="H2227" s="11" t="s">
        <v>8107</v>
      </c>
      <c r="I2227" s="11" t="s">
        <v>8108</v>
      </c>
      <c r="J2227" s="12">
        <v>0.48549999999999999</v>
      </c>
      <c r="K2227" s="13">
        <v>9</v>
      </c>
      <c r="L2227" s="14">
        <v>2088</v>
      </c>
      <c r="M2227" s="10">
        <v>868</v>
      </c>
      <c r="N2227" s="10">
        <v>230729</v>
      </c>
      <c r="O2227" s="10">
        <v>68066</v>
      </c>
      <c r="P2227" s="10">
        <v>298795</v>
      </c>
    </row>
    <row r="2228" spans="1:16" ht="27" customHeight="1" x14ac:dyDescent="0.2">
      <c r="A2228" s="9" t="s">
        <v>8057</v>
      </c>
      <c r="B2228" s="10" t="s">
        <v>8105</v>
      </c>
      <c r="C2228" s="11" t="s">
        <v>8109</v>
      </c>
      <c r="D2228" s="11" t="s">
        <v>8110</v>
      </c>
      <c r="E2228" s="11" t="s">
        <v>26</v>
      </c>
      <c r="F2228" s="11" t="s">
        <v>8111</v>
      </c>
      <c r="G2228" s="11" t="s">
        <v>28</v>
      </c>
      <c r="H2228" s="11" t="s">
        <v>8111</v>
      </c>
      <c r="I2228" s="11" t="s">
        <v>8112</v>
      </c>
      <c r="J2228" s="12">
        <v>0.3</v>
      </c>
      <c r="K2228" s="13">
        <v>1</v>
      </c>
      <c r="L2228" s="14">
        <v>50</v>
      </c>
      <c r="M2228" s="10">
        <v>15</v>
      </c>
      <c r="N2228" s="10">
        <v>5525</v>
      </c>
      <c r="O2228" s="10">
        <v>1176</v>
      </c>
      <c r="P2228" s="10">
        <v>6701</v>
      </c>
    </row>
    <row r="2229" spans="1:16" ht="27" customHeight="1" x14ac:dyDescent="0.2">
      <c r="A2229" s="9" t="s">
        <v>8057</v>
      </c>
      <c r="B2229" s="10" t="s">
        <v>8113</v>
      </c>
      <c r="C2229" s="11" t="s">
        <v>18</v>
      </c>
      <c r="D2229" s="11" t="s">
        <v>19</v>
      </c>
      <c r="E2229" s="11" t="s">
        <v>19</v>
      </c>
      <c r="F2229" s="11" t="s">
        <v>8114</v>
      </c>
      <c r="G2229" s="11" t="s">
        <v>83</v>
      </c>
      <c r="H2229" s="11" t="s">
        <v>8115</v>
      </c>
      <c r="I2229" s="11" t="s">
        <v>8116</v>
      </c>
      <c r="J2229" s="12">
        <v>0.96740000000000004</v>
      </c>
      <c r="K2229" s="13">
        <v>22</v>
      </c>
      <c r="L2229" s="14">
        <v>14319</v>
      </c>
      <c r="M2229" s="10">
        <v>12722</v>
      </c>
      <c r="N2229" s="10">
        <v>1582274</v>
      </c>
      <c r="O2229" s="10">
        <v>997649</v>
      </c>
      <c r="P2229" s="10">
        <v>2579923</v>
      </c>
    </row>
    <row r="2230" spans="1:16" ht="27" customHeight="1" x14ac:dyDescent="0.2">
      <c r="A2230" s="9" t="s">
        <v>8057</v>
      </c>
      <c r="B2230" s="10" t="s">
        <v>8117</v>
      </c>
      <c r="C2230" s="11" t="s">
        <v>18</v>
      </c>
      <c r="D2230" s="11" t="s">
        <v>19</v>
      </c>
      <c r="E2230" s="11" t="s">
        <v>19</v>
      </c>
      <c r="F2230" s="11" t="s">
        <v>8118</v>
      </c>
      <c r="G2230" s="11" t="s">
        <v>83</v>
      </c>
      <c r="H2230" s="11" t="s">
        <v>8060</v>
      </c>
      <c r="I2230" s="11" t="s">
        <v>8061</v>
      </c>
      <c r="J2230" s="12">
        <v>0.96970000000000001</v>
      </c>
      <c r="K2230" s="13">
        <v>13</v>
      </c>
      <c r="L2230" s="14">
        <v>16910</v>
      </c>
      <c r="M2230" s="10">
        <v>11063</v>
      </c>
      <c r="N2230" s="10">
        <v>1868583</v>
      </c>
      <c r="O2230" s="10">
        <v>867549</v>
      </c>
      <c r="P2230" s="10">
        <v>2736132</v>
      </c>
    </row>
    <row r="2231" spans="1:16" ht="27" customHeight="1" x14ac:dyDescent="0.2">
      <c r="A2231" s="9" t="s">
        <v>8057</v>
      </c>
      <c r="B2231" s="10" t="s">
        <v>8117</v>
      </c>
      <c r="C2231" s="11" t="s">
        <v>8119</v>
      </c>
      <c r="D2231" s="11" t="s">
        <v>8120</v>
      </c>
      <c r="E2231" s="11" t="s">
        <v>26</v>
      </c>
      <c r="F2231" s="11" t="s">
        <v>8121</v>
      </c>
      <c r="G2231" s="11" t="s">
        <v>28</v>
      </c>
      <c r="H2231" s="11" t="s">
        <v>8121</v>
      </c>
      <c r="I2231" s="11" t="s">
        <v>8122</v>
      </c>
      <c r="J2231" s="12">
        <v>0.21440000000000001</v>
      </c>
      <c r="K2231" s="13">
        <v>1</v>
      </c>
      <c r="L2231" s="14">
        <v>583</v>
      </c>
      <c r="M2231" s="10">
        <v>125</v>
      </c>
      <c r="N2231" s="10">
        <v>64422</v>
      </c>
      <c r="O2231" s="10">
        <v>9802</v>
      </c>
      <c r="P2231" s="10">
        <v>74224</v>
      </c>
    </row>
    <row r="2232" spans="1:16" ht="27" customHeight="1" x14ac:dyDescent="0.2">
      <c r="A2232" s="9" t="s">
        <v>8057</v>
      </c>
      <c r="B2232" s="10" t="s">
        <v>8117</v>
      </c>
      <c r="C2232" s="11" t="s">
        <v>8123</v>
      </c>
      <c r="D2232" s="11" t="s">
        <v>8124</v>
      </c>
      <c r="E2232" s="11" t="s">
        <v>26</v>
      </c>
      <c r="F2232" s="11" t="s">
        <v>8125</v>
      </c>
      <c r="G2232" s="11" t="s">
        <v>28</v>
      </c>
      <c r="H2232" s="11" t="s">
        <v>8060</v>
      </c>
      <c r="I2232" s="11" t="s">
        <v>8061</v>
      </c>
      <c r="J2232" s="12">
        <v>0.96970000000000001</v>
      </c>
      <c r="K2232" s="13">
        <v>1</v>
      </c>
      <c r="L2232" s="14">
        <v>249</v>
      </c>
      <c r="M2232" s="10">
        <v>105</v>
      </c>
      <c r="N2232" s="10">
        <v>27515</v>
      </c>
      <c r="O2232" s="10">
        <v>8234</v>
      </c>
      <c r="P2232" s="10">
        <v>35749</v>
      </c>
    </row>
    <row r="2233" spans="1:16" ht="27" customHeight="1" x14ac:dyDescent="0.2">
      <c r="A2233" s="9" t="s">
        <v>8057</v>
      </c>
      <c r="B2233" s="10" t="s">
        <v>8126</v>
      </c>
      <c r="C2233" s="11" t="s">
        <v>18</v>
      </c>
      <c r="D2233" s="11" t="s">
        <v>19</v>
      </c>
      <c r="E2233" s="11" t="s">
        <v>19</v>
      </c>
      <c r="F2233" s="11" t="s">
        <v>8127</v>
      </c>
      <c r="G2233" s="11" t="s">
        <v>83</v>
      </c>
      <c r="H2233" s="11" t="s">
        <v>8128</v>
      </c>
      <c r="I2233" s="11" t="s">
        <v>8129</v>
      </c>
      <c r="J2233" s="12">
        <v>0.57089999999999996</v>
      </c>
      <c r="K2233" s="13">
        <v>13</v>
      </c>
      <c r="L2233" s="14">
        <v>5939</v>
      </c>
      <c r="M2233" s="10">
        <v>1938</v>
      </c>
      <c r="N2233" s="10">
        <v>656269</v>
      </c>
      <c r="O2233" s="10">
        <v>151976</v>
      </c>
      <c r="P2233" s="10">
        <v>808245</v>
      </c>
    </row>
    <row r="2234" spans="1:16" ht="27" customHeight="1" x14ac:dyDescent="0.2">
      <c r="A2234" s="9" t="s">
        <v>8057</v>
      </c>
      <c r="B2234" s="10" t="s">
        <v>8126</v>
      </c>
      <c r="C2234" s="11" t="s">
        <v>8130</v>
      </c>
      <c r="D2234" s="11" t="s">
        <v>8131</v>
      </c>
      <c r="E2234" s="11" t="s">
        <v>26</v>
      </c>
      <c r="F2234" s="11" t="s">
        <v>8132</v>
      </c>
      <c r="G2234" s="11" t="s">
        <v>28</v>
      </c>
      <c r="H2234" s="11" t="s">
        <v>8132</v>
      </c>
      <c r="I2234" s="11" t="s">
        <v>8133</v>
      </c>
      <c r="J2234" s="12">
        <v>0.76329999999999998</v>
      </c>
      <c r="K2234" s="13">
        <v>1</v>
      </c>
      <c r="L2234" s="14">
        <v>300</v>
      </c>
      <c r="M2234" s="10">
        <v>229</v>
      </c>
      <c r="N2234" s="10">
        <v>33150</v>
      </c>
      <c r="O2234" s="10">
        <v>17958</v>
      </c>
      <c r="P2234" s="10">
        <v>51108</v>
      </c>
    </row>
    <row r="2235" spans="1:16" ht="27" customHeight="1" x14ac:dyDescent="0.2">
      <c r="A2235" s="9" t="s">
        <v>8057</v>
      </c>
      <c r="B2235" s="10" t="s">
        <v>8126</v>
      </c>
      <c r="C2235" s="11" t="s">
        <v>8134</v>
      </c>
      <c r="D2235" s="11" t="s">
        <v>8135</v>
      </c>
      <c r="E2235" s="11" t="s">
        <v>26</v>
      </c>
      <c r="F2235" s="11" t="s">
        <v>8136</v>
      </c>
      <c r="G2235" s="11" t="s">
        <v>28</v>
      </c>
      <c r="H2235" s="11" t="s">
        <v>8136</v>
      </c>
      <c r="I2235" s="11" t="s">
        <v>8137</v>
      </c>
      <c r="J2235" s="12">
        <v>0.42280000000000001</v>
      </c>
      <c r="K2235" s="13">
        <v>1</v>
      </c>
      <c r="L2235" s="14">
        <v>695</v>
      </c>
      <c r="M2235" s="10">
        <v>294</v>
      </c>
      <c r="N2235" s="10">
        <v>76799</v>
      </c>
      <c r="O2235" s="10">
        <v>23055</v>
      </c>
      <c r="P2235" s="10">
        <v>99854</v>
      </c>
    </row>
    <row r="2236" spans="1:16" ht="27" customHeight="1" x14ac:dyDescent="0.2">
      <c r="A2236" s="9" t="s">
        <v>8057</v>
      </c>
      <c r="B2236" s="10" t="s">
        <v>8138</v>
      </c>
      <c r="C2236" s="11" t="s">
        <v>18</v>
      </c>
      <c r="D2236" s="11" t="s">
        <v>19</v>
      </c>
      <c r="E2236" s="11" t="s">
        <v>19</v>
      </c>
      <c r="F2236" s="11" t="s">
        <v>8139</v>
      </c>
      <c r="G2236" s="11" t="s">
        <v>83</v>
      </c>
      <c r="H2236" s="11" t="s">
        <v>8140</v>
      </c>
      <c r="I2236" s="11" t="s">
        <v>8141</v>
      </c>
      <c r="J2236" s="12">
        <v>0.81610000000000005</v>
      </c>
      <c r="K2236" s="13">
        <v>10</v>
      </c>
      <c r="L2236" s="14">
        <v>5258</v>
      </c>
      <c r="M2236" s="10">
        <v>3161</v>
      </c>
      <c r="N2236" s="10">
        <v>581017</v>
      </c>
      <c r="O2236" s="10">
        <v>247882</v>
      </c>
      <c r="P2236" s="10">
        <v>828899</v>
      </c>
    </row>
    <row r="2237" spans="1:16" ht="27" customHeight="1" x14ac:dyDescent="0.2">
      <c r="A2237" s="9" t="s">
        <v>8057</v>
      </c>
      <c r="B2237" s="10" t="s">
        <v>8142</v>
      </c>
      <c r="C2237" s="11" t="s">
        <v>18</v>
      </c>
      <c r="D2237" s="11" t="s">
        <v>19</v>
      </c>
      <c r="E2237" s="11" t="s">
        <v>19</v>
      </c>
      <c r="F2237" s="11" t="s">
        <v>8143</v>
      </c>
      <c r="G2237" s="11" t="s">
        <v>83</v>
      </c>
      <c r="H2237" s="11" t="s">
        <v>8143</v>
      </c>
      <c r="I2237" s="11" t="s">
        <v>8144</v>
      </c>
      <c r="J2237" s="12">
        <v>0.1111</v>
      </c>
      <c r="K2237" s="13">
        <v>2</v>
      </c>
      <c r="L2237" s="14">
        <v>56</v>
      </c>
      <c r="M2237" s="10">
        <v>6</v>
      </c>
      <c r="N2237" s="10">
        <v>6188</v>
      </c>
      <c r="O2237" s="10">
        <v>471</v>
      </c>
      <c r="P2237" s="10">
        <v>6659</v>
      </c>
    </row>
    <row r="2238" spans="1:16" ht="27" customHeight="1" x14ac:dyDescent="0.2">
      <c r="A2238" s="9" t="s">
        <v>8057</v>
      </c>
      <c r="B2238" s="10" t="s">
        <v>8145</v>
      </c>
      <c r="C2238" s="11" t="s">
        <v>18</v>
      </c>
      <c r="D2238" s="11" t="s">
        <v>19</v>
      </c>
      <c r="E2238" s="11" t="s">
        <v>19</v>
      </c>
      <c r="F2238" s="11" t="s">
        <v>8146</v>
      </c>
      <c r="G2238" s="11" t="s">
        <v>83</v>
      </c>
      <c r="H2238" s="11" t="s">
        <v>8147</v>
      </c>
      <c r="I2238" s="11" t="s">
        <v>8148</v>
      </c>
      <c r="J2238" s="12">
        <v>0.83979999999999999</v>
      </c>
      <c r="K2238" s="13">
        <v>28</v>
      </c>
      <c r="L2238" s="14">
        <v>15944</v>
      </c>
      <c r="M2238" s="10">
        <v>6752</v>
      </c>
      <c r="N2238" s="10">
        <v>1761839</v>
      </c>
      <c r="O2238" s="10">
        <v>529483</v>
      </c>
      <c r="P2238" s="10">
        <v>2291322</v>
      </c>
    </row>
    <row r="2239" spans="1:16" ht="27" customHeight="1" x14ac:dyDescent="0.2">
      <c r="A2239" s="9" t="s">
        <v>8057</v>
      </c>
      <c r="B2239" s="10" t="s">
        <v>8149</v>
      </c>
      <c r="C2239" s="11" t="s">
        <v>18</v>
      </c>
      <c r="D2239" s="11" t="s">
        <v>19</v>
      </c>
      <c r="E2239" s="11" t="s">
        <v>19</v>
      </c>
      <c r="F2239" s="11" t="s">
        <v>8150</v>
      </c>
      <c r="G2239" s="11" t="s">
        <v>83</v>
      </c>
      <c r="H2239" s="11" t="s">
        <v>8151</v>
      </c>
      <c r="I2239" s="11" t="s">
        <v>8152</v>
      </c>
      <c r="J2239" s="12">
        <v>0.75829999999999997</v>
      </c>
      <c r="K2239" s="13">
        <v>2</v>
      </c>
      <c r="L2239" s="14">
        <v>241</v>
      </c>
      <c r="M2239" s="10">
        <v>183</v>
      </c>
      <c r="N2239" s="10">
        <v>26631</v>
      </c>
      <c r="O2239" s="10">
        <v>14351</v>
      </c>
      <c r="P2239" s="10">
        <v>40982</v>
      </c>
    </row>
    <row r="2240" spans="1:16" ht="27" customHeight="1" x14ac:dyDescent="0.2">
      <c r="A2240" s="9" t="s">
        <v>8057</v>
      </c>
      <c r="B2240" s="10" t="s">
        <v>8153</v>
      </c>
      <c r="C2240" s="11" t="s">
        <v>18</v>
      </c>
      <c r="D2240" s="11" t="s">
        <v>19</v>
      </c>
      <c r="E2240" s="11" t="s">
        <v>19</v>
      </c>
      <c r="F2240" s="11" t="s">
        <v>8154</v>
      </c>
      <c r="G2240" s="11" t="s">
        <v>83</v>
      </c>
      <c r="H2240" s="11" t="s">
        <v>8155</v>
      </c>
      <c r="I2240" s="11" t="s">
        <v>8156</v>
      </c>
      <c r="J2240" s="12">
        <v>0.93379999999999996</v>
      </c>
      <c r="K2240" s="13">
        <v>28</v>
      </c>
      <c r="L2240" s="14">
        <v>15325</v>
      </c>
      <c r="M2240" s="10">
        <v>8321</v>
      </c>
      <c r="N2240" s="10">
        <v>1693439</v>
      </c>
      <c r="O2240" s="10">
        <v>652521</v>
      </c>
      <c r="P2240" s="10">
        <v>2345960</v>
      </c>
    </row>
    <row r="2241" spans="1:16" ht="27" customHeight="1" x14ac:dyDescent="0.2">
      <c r="A2241" s="9" t="s">
        <v>8057</v>
      </c>
      <c r="B2241" s="10" t="s">
        <v>8157</v>
      </c>
      <c r="C2241" s="11" t="s">
        <v>18</v>
      </c>
      <c r="D2241" s="11" t="s">
        <v>19</v>
      </c>
      <c r="E2241" s="11" t="s">
        <v>19</v>
      </c>
      <c r="F2241" s="11" t="s">
        <v>8158</v>
      </c>
      <c r="G2241" s="11" t="s">
        <v>83</v>
      </c>
      <c r="H2241" s="11" t="s">
        <v>8159</v>
      </c>
      <c r="I2241" s="11" t="s">
        <v>8160</v>
      </c>
      <c r="J2241" s="12">
        <v>0.67510000000000003</v>
      </c>
      <c r="K2241" s="13">
        <v>28</v>
      </c>
      <c r="L2241" s="14">
        <v>16520</v>
      </c>
      <c r="M2241" s="10">
        <v>3909</v>
      </c>
      <c r="N2241" s="10">
        <v>1825485</v>
      </c>
      <c r="O2241" s="10">
        <v>306540</v>
      </c>
      <c r="P2241" s="10">
        <v>2132025</v>
      </c>
    </row>
    <row r="2242" spans="1:16" ht="27" customHeight="1" x14ac:dyDescent="0.2">
      <c r="A2242" s="9" t="s">
        <v>8057</v>
      </c>
      <c r="B2242" s="10" t="s">
        <v>8161</v>
      </c>
      <c r="C2242" s="11" t="s">
        <v>18</v>
      </c>
      <c r="D2242" s="11" t="s">
        <v>19</v>
      </c>
      <c r="E2242" s="11" t="s">
        <v>19</v>
      </c>
      <c r="F2242" s="11" t="s">
        <v>8162</v>
      </c>
      <c r="G2242" s="11" t="s">
        <v>83</v>
      </c>
      <c r="H2242" s="11" t="s">
        <v>8163</v>
      </c>
      <c r="I2242" s="11" t="s">
        <v>8164</v>
      </c>
      <c r="J2242" s="12">
        <v>0.1555</v>
      </c>
      <c r="K2242" s="13">
        <v>9</v>
      </c>
      <c r="L2242" s="14">
        <v>4244</v>
      </c>
      <c r="M2242" s="10">
        <v>612</v>
      </c>
      <c r="N2242" s="10">
        <v>468970</v>
      </c>
      <c r="O2242" s="10">
        <v>47992</v>
      </c>
      <c r="P2242" s="10">
        <v>516962</v>
      </c>
    </row>
    <row r="2243" spans="1:16" ht="27" customHeight="1" x14ac:dyDescent="0.2">
      <c r="A2243" s="9" t="s">
        <v>8057</v>
      </c>
      <c r="B2243" s="10" t="s">
        <v>8165</v>
      </c>
      <c r="C2243" s="11" t="s">
        <v>18</v>
      </c>
      <c r="D2243" s="11" t="s">
        <v>19</v>
      </c>
      <c r="E2243" s="11" t="s">
        <v>19</v>
      </c>
      <c r="F2243" s="11" t="s">
        <v>8166</v>
      </c>
      <c r="G2243" s="11" t="s">
        <v>83</v>
      </c>
      <c r="H2243" s="11" t="s">
        <v>8167</v>
      </c>
      <c r="I2243" s="11" t="s">
        <v>8168</v>
      </c>
      <c r="J2243" s="12">
        <v>0.41049999999999998</v>
      </c>
      <c r="K2243" s="13">
        <v>11</v>
      </c>
      <c r="L2243" s="14">
        <v>5954</v>
      </c>
      <c r="M2243" s="10">
        <v>1856</v>
      </c>
      <c r="N2243" s="10">
        <v>657927</v>
      </c>
      <c r="O2243" s="10">
        <v>145545</v>
      </c>
      <c r="P2243" s="10">
        <v>803472</v>
      </c>
    </row>
    <row r="2244" spans="1:16" ht="27" customHeight="1" x14ac:dyDescent="0.2">
      <c r="A2244" s="9" t="s">
        <v>8057</v>
      </c>
      <c r="B2244" s="10" t="s">
        <v>8165</v>
      </c>
      <c r="C2244" s="11" t="s">
        <v>8169</v>
      </c>
      <c r="D2244" s="11" t="s">
        <v>8170</v>
      </c>
      <c r="E2244" s="11" t="s">
        <v>26</v>
      </c>
      <c r="F2244" s="11" t="s">
        <v>8171</v>
      </c>
      <c r="G2244" s="11" t="s">
        <v>28</v>
      </c>
      <c r="H2244" s="11" t="s">
        <v>8060</v>
      </c>
      <c r="I2244" s="11" t="s">
        <v>8061</v>
      </c>
      <c r="J2244" s="12">
        <v>0.96970000000000001</v>
      </c>
      <c r="K2244" s="13">
        <v>1</v>
      </c>
      <c r="L2244" s="14">
        <v>71</v>
      </c>
      <c r="M2244" s="10">
        <v>18</v>
      </c>
      <c r="N2244" s="10">
        <v>7846</v>
      </c>
      <c r="O2244" s="10">
        <v>1412</v>
      </c>
      <c r="P2244" s="10">
        <v>9258</v>
      </c>
    </row>
    <row r="2245" spans="1:16" ht="27" customHeight="1" x14ac:dyDescent="0.2">
      <c r="A2245" s="9" t="s">
        <v>8057</v>
      </c>
      <c r="B2245" s="10" t="s">
        <v>8172</v>
      </c>
      <c r="C2245" s="11" t="s">
        <v>18</v>
      </c>
      <c r="D2245" s="11" t="s">
        <v>19</v>
      </c>
      <c r="E2245" s="11" t="s">
        <v>19</v>
      </c>
      <c r="F2245" s="11" t="s">
        <v>8173</v>
      </c>
      <c r="G2245" s="11" t="s">
        <v>83</v>
      </c>
      <c r="H2245" s="11" t="s">
        <v>8174</v>
      </c>
      <c r="I2245" s="11" t="s">
        <v>8175</v>
      </c>
      <c r="J2245" s="12">
        <v>0.91969999999999996</v>
      </c>
      <c r="K2245" s="13">
        <v>11</v>
      </c>
      <c r="L2245" s="14">
        <v>4901</v>
      </c>
      <c r="M2245" s="10">
        <v>3595</v>
      </c>
      <c r="N2245" s="10">
        <v>541568</v>
      </c>
      <c r="O2245" s="10">
        <v>281916</v>
      </c>
      <c r="P2245" s="10">
        <v>823484</v>
      </c>
    </row>
    <row r="2246" spans="1:16" ht="27" customHeight="1" x14ac:dyDescent="0.2">
      <c r="A2246" s="9" t="s">
        <v>8176</v>
      </c>
      <c r="B2246" s="10" t="s">
        <v>8177</v>
      </c>
      <c r="C2246" s="11" t="s">
        <v>18</v>
      </c>
      <c r="D2246" s="11" t="s">
        <v>19</v>
      </c>
      <c r="E2246" s="11" t="s">
        <v>19</v>
      </c>
      <c r="F2246" s="11" t="s">
        <v>8178</v>
      </c>
      <c r="G2246" s="11" t="s">
        <v>21</v>
      </c>
      <c r="H2246" s="11" t="s">
        <v>8179</v>
      </c>
      <c r="I2246" s="11" t="s">
        <v>8180</v>
      </c>
      <c r="J2246" s="12">
        <v>0.94889999999999997</v>
      </c>
      <c r="K2246" s="13">
        <v>4</v>
      </c>
      <c r="L2246" s="14">
        <v>437</v>
      </c>
      <c r="M2246" s="10">
        <v>305</v>
      </c>
      <c r="N2246" s="10">
        <v>48290</v>
      </c>
      <c r="O2246" s="10">
        <v>23918</v>
      </c>
      <c r="P2246" s="10">
        <v>72208</v>
      </c>
    </row>
    <row r="2247" spans="1:16" ht="27" customHeight="1" x14ac:dyDescent="0.2">
      <c r="A2247" s="9" t="s">
        <v>8176</v>
      </c>
      <c r="B2247" s="10" t="s">
        <v>8177</v>
      </c>
      <c r="C2247" s="11" t="s">
        <v>8181</v>
      </c>
      <c r="D2247" s="11" t="s">
        <v>8182</v>
      </c>
      <c r="E2247" s="11" t="s">
        <v>26</v>
      </c>
      <c r="F2247" s="11" t="s">
        <v>8183</v>
      </c>
      <c r="G2247" s="11" t="s">
        <v>28</v>
      </c>
      <c r="H2247" s="11" t="s">
        <v>8183</v>
      </c>
      <c r="I2247" s="11" t="s">
        <v>8184</v>
      </c>
      <c r="J2247" s="12">
        <v>0.66039999999999999</v>
      </c>
      <c r="K2247" s="13">
        <v>1</v>
      </c>
      <c r="L2247" s="14">
        <v>374</v>
      </c>
      <c r="M2247" s="10">
        <v>247</v>
      </c>
      <c r="N2247" s="10">
        <v>41328</v>
      </c>
      <c r="O2247" s="10">
        <v>19369</v>
      </c>
      <c r="P2247" s="10">
        <v>60697</v>
      </c>
    </row>
    <row r="2248" spans="1:16" ht="27" customHeight="1" x14ac:dyDescent="0.2">
      <c r="A2248" s="9" t="s">
        <v>8176</v>
      </c>
      <c r="B2248" s="10" t="s">
        <v>8185</v>
      </c>
      <c r="C2248" s="11" t="s">
        <v>18</v>
      </c>
      <c r="D2248" s="11" t="s">
        <v>19</v>
      </c>
      <c r="E2248" s="11" t="s">
        <v>19</v>
      </c>
      <c r="F2248" s="11" t="s">
        <v>8186</v>
      </c>
      <c r="G2248" s="11" t="s">
        <v>83</v>
      </c>
      <c r="H2248" s="11" t="s">
        <v>8187</v>
      </c>
      <c r="I2248" s="11" t="s">
        <v>8188</v>
      </c>
      <c r="J2248" s="12">
        <v>0.3357</v>
      </c>
      <c r="K2248" s="13">
        <v>17</v>
      </c>
      <c r="L2248" s="14">
        <v>7896</v>
      </c>
      <c r="M2248" s="10">
        <v>1573</v>
      </c>
      <c r="N2248" s="10">
        <v>872521</v>
      </c>
      <c r="O2248" s="10">
        <v>123354</v>
      </c>
      <c r="P2248" s="10">
        <v>995875</v>
      </c>
    </row>
    <row r="2249" spans="1:16" ht="27" customHeight="1" x14ac:dyDescent="0.2">
      <c r="A2249" s="9" t="s">
        <v>8176</v>
      </c>
      <c r="B2249" s="10" t="s">
        <v>8185</v>
      </c>
      <c r="C2249" s="11" t="s">
        <v>8189</v>
      </c>
      <c r="D2249" s="11" t="s">
        <v>8190</v>
      </c>
      <c r="E2249" s="11" t="s">
        <v>57</v>
      </c>
      <c r="F2249" s="11" t="s">
        <v>8191</v>
      </c>
      <c r="G2249" s="11" t="s">
        <v>28</v>
      </c>
      <c r="H2249" s="11" t="s">
        <v>8179</v>
      </c>
      <c r="I2249" s="11" t="s">
        <v>8180</v>
      </c>
      <c r="J2249" s="12">
        <v>0.94889999999999997</v>
      </c>
      <c r="K2249" s="13">
        <v>1</v>
      </c>
      <c r="L2249" s="14">
        <v>611</v>
      </c>
      <c r="M2249" s="10">
        <v>97</v>
      </c>
      <c r="N2249" s="10">
        <v>67517</v>
      </c>
      <c r="O2249" s="10">
        <v>7607</v>
      </c>
      <c r="P2249" s="10">
        <v>75124</v>
      </c>
    </row>
    <row r="2250" spans="1:16" ht="27" customHeight="1" x14ac:dyDescent="0.2">
      <c r="A2250" s="9" t="s">
        <v>8176</v>
      </c>
      <c r="B2250" s="10" t="s">
        <v>8192</v>
      </c>
      <c r="C2250" s="11" t="s">
        <v>18</v>
      </c>
      <c r="D2250" s="11" t="s">
        <v>19</v>
      </c>
      <c r="E2250" s="11" t="s">
        <v>19</v>
      </c>
      <c r="F2250" s="11" t="s">
        <v>8193</v>
      </c>
      <c r="G2250" s="11" t="s">
        <v>83</v>
      </c>
      <c r="H2250" s="11" t="s">
        <v>8194</v>
      </c>
      <c r="I2250" s="11" t="s">
        <v>8195</v>
      </c>
      <c r="J2250" s="12">
        <v>0.78539999999999999</v>
      </c>
      <c r="K2250" s="13">
        <v>5</v>
      </c>
      <c r="L2250" s="14">
        <v>978</v>
      </c>
      <c r="M2250" s="10">
        <v>752</v>
      </c>
      <c r="N2250" s="10">
        <v>108071</v>
      </c>
      <c r="O2250" s="10">
        <v>58970</v>
      </c>
      <c r="P2250" s="10">
        <v>167041</v>
      </c>
    </row>
    <row r="2251" spans="1:16" ht="27" customHeight="1" x14ac:dyDescent="0.2">
      <c r="A2251" s="9" t="s">
        <v>8176</v>
      </c>
      <c r="B2251" s="10" t="s">
        <v>8196</v>
      </c>
      <c r="C2251" s="11" t="s">
        <v>18</v>
      </c>
      <c r="D2251" s="11" t="s">
        <v>19</v>
      </c>
      <c r="E2251" s="11" t="s">
        <v>19</v>
      </c>
      <c r="F2251" s="11" t="s">
        <v>965</v>
      </c>
      <c r="G2251" s="11" t="s">
        <v>83</v>
      </c>
      <c r="H2251" s="11" t="s">
        <v>8179</v>
      </c>
      <c r="I2251" s="11" t="s">
        <v>8180</v>
      </c>
      <c r="J2251" s="12">
        <v>0.94889999999999997</v>
      </c>
      <c r="K2251" s="13">
        <v>14</v>
      </c>
      <c r="L2251" s="14">
        <v>7468</v>
      </c>
      <c r="M2251" s="10">
        <v>5042</v>
      </c>
      <c r="N2251" s="10">
        <v>825227</v>
      </c>
      <c r="O2251" s="10">
        <v>395389</v>
      </c>
      <c r="P2251" s="10">
        <v>1220616</v>
      </c>
    </row>
    <row r="2252" spans="1:16" ht="27" customHeight="1" x14ac:dyDescent="0.2">
      <c r="A2252" s="9" t="s">
        <v>8176</v>
      </c>
      <c r="B2252" s="10" t="s">
        <v>8196</v>
      </c>
      <c r="C2252" s="11" t="s">
        <v>8197</v>
      </c>
      <c r="D2252" s="11" t="s">
        <v>8198</v>
      </c>
      <c r="E2252" s="11" t="s">
        <v>26</v>
      </c>
      <c r="F2252" s="11" t="s">
        <v>8199</v>
      </c>
      <c r="G2252" s="11" t="s">
        <v>28</v>
      </c>
      <c r="H2252" s="11" t="s">
        <v>8199</v>
      </c>
      <c r="I2252" s="11" t="s">
        <v>8200</v>
      </c>
      <c r="J2252" s="12">
        <v>0.85289999999999999</v>
      </c>
      <c r="K2252" s="13">
        <v>1</v>
      </c>
      <c r="L2252" s="14">
        <v>306</v>
      </c>
      <c r="M2252" s="10">
        <v>261</v>
      </c>
      <c r="N2252" s="10">
        <v>33814</v>
      </c>
      <c r="O2252" s="10">
        <v>20467</v>
      </c>
      <c r="P2252" s="10">
        <v>54281</v>
      </c>
    </row>
    <row r="2253" spans="1:16" ht="27" customHeight="1" x14ac:dyDescent="0.2">
      <c r="A2253" s="9" t="s">
        <v>8176</v>
      </c>
      <c r="B2253" s="10" t="s">
        <v>8196</v>
      </c>
      <c r="C2253" s="11" t="s">
        <v>8201</v>
      </c>
      <c r="D2253" s="11" t="s">
        <v>8202</v>
      </c>
      <c r="E2253" s="11" t="s">
        <v>26</v>
      </c>
      <c r="F2253" s="11" t="s">
        <v>8203</v>
      </c>
      <c r="G2253" s="11" t="s">
        <v>28</v>
      </c>
      <c r="H2253" s="11" t="s">
        <v>8203</v>
      </c>
      <c r="I2253" s="11" t="s">
        <v>8204</v>
      </c>
      <c r="J2253" s="12">
        <v>0.50139999999999996</v>
      </c>
      <c r="K2253" s="13">
        <v>1</v>
      </c>
      <c r="L2253" s="14">
        <v>369</v>
      </c>
      <c r="M2253" s="10">
        <v>185</v>
      </c>
      <c r="N2253" s="10">
        <v>40775</v>
      </c>
      <c r="O2253" s="10">
        <v>14508</v>
      </c>
      <c r="P2253" s="10">
        <v>55283</v>
      </c>
    </row>
    <row r="2254" spans="1:16" ht="27" customHeight="1" x14ac:dyDescent="0.2">
      <c r="A2254" s="9" t="s">
        <v>8176</v>
      </c>
      <c r="B2254" s="10" t="s">
        <v>8196</v>
      </c>
      <c r="C2254" s="11" t="s">
        <v>8205</v>
      </c>
      <c r="D2254" s="11" t="s">
        <v>8206</v>
      </c>
      <c r="E2254" s="11" t="s">
        <v>57</v>
      </c>
      <c r="F2254" s="11" t="s">
        <v>8207</v>
      </c>
      <c r="G2254" s="11" t="s">
        <v>28</v>
      </c>
      <c r="H2254" s="11" t="s">
        <v>8179</v>
      </c>
      <c r="I2254" s="11" t="s">
        <v>8180</v>
      </c>
      <c r="J2254" s="12">
        <v>0.94889999999999997</v>
      </c>
      <c r="K2254" s="13">
        <v>1</v>
      </c>
      <c r="L2254" s="14">
        <v>151</v>
      </c>
      <c r="M2254" s="10">
        <v>122</v>
      </c>
      <c r="N2254" s="10">
        <v>16686</v>
      </c>
      <c r="O2254" s="10">
        <v>9567</v>
      </c>
      <c r="P2254" s="10">
        <v>26253</v>
      </c>
    </row>
    <row r="2255" spans="1:16" ht="27" customHeight="1" x14ac:dyDescent="0.2">
      <c r="A2255" s="9" t="s">
        <v>8176</v>
      </c>
      <c r="B2255" s="10" t="s">
        <v>8208</v>
      </c>
      <c r="C2255" s="11" t="s">
        <v>18</v>
      </c>
      <c r="D2255" s="11" t="s">
        <v>19</v>
      </c>
      <c r="E2255" s="11" t="s">
        <v>19</v>
      </c>
      <c r="F2255" s="11" t="s">
        <v>8209</v>
      </c>
      <c r="G2255" s="11" t="s">
        <v>83</v>
      </c>
      <c r="H2255" s="11" t="s">
        <v>8210</v>
      </c>
      <c r="I2255" s="11" t="s">
        <v>8211</v>
      </c>
      <c r="J2255" s="12">
        <v>0.62429999999999997</v>
      </c>
      <c r="K2255" s="13">
        <v>6</v>
      </c>
      <c r="L2255" s="14">
        <v>1596</v>
      </c>
      <c r="M2255" s="10">
        <v>989</v>
      </c>
      <c r="N2255" s="10">
        <v>176362</v>
      </c>
      <c r="O2255" s="10">
        <v>77556</v>
      </c>
      <c r="P2255" s="10">
        <v>253918</v>
      </c>
    </row>
    <row r="2256" spans="1:16" ht="27" customHeight="1" x14ac:dyDescent="0.2">
      <c r="A2256" s="9" t="s">
        <v>8176</v>
      </c>
      <c r="B2256" s="10" t="s">
        <v>8208</v>
      </c>
      <c r="C2256" s="11" t="s">
        <v>8212</v>
      </c>
      <c r="D2256" s="11" t="s">
        <v>8213</v>
      </c>
      <c r="E2256" s="11" t="s">
        <v>26</v>
      </c>
      <c r="F2256" s="11" t="s">
        <v>8214</v>
      </c>
      <c r="G2256" s="11" t="s">
        <v>28</v>
      </c>
      <c r="H2256" s="11" t="s">
        <v>8214</v>
      </c>
      <c r="I2256" s="11" t="s">
        <v>8215</v>
      </c>
      <c r="J2256" s="12">
        <v>0.39200000000000002</v>
      </c>
      <c r="K2256" s="13">
        <v>1</v>
      </c>
      <c r="L2256" s="14">
        <v>671</v>
      </c>
      <c r="M2256" s="10">
        <v>263</v>
      </c>
      <c r="N2256" s="10">
        <v>74147</v>
      </c>
      <c r="O2256" s="10">
        <v>20624</v>
      </c>
      <c r="P2256" s="10">
        <v>94771</v>
      </c>
    </row>
    <row r="2257" spans="1:16" ht="27" customHeight="1" x14ac:dyDescent="0.2">
      <c r="A2257" s="9" t="s">
        <v>8176</v>
      </c>
      <c r="B2257" s="10" t="s">
        <v>8216</v>
      </c>
      <c r="C2257" s="11" t="s">
        <v>18</v>
      </c>
      <c r="D2257" s="11" t="s">
        <v>19</v>
      </c>
      <c r="E2257" s="11" t="s">
        <v>19</v>
      </c>
      <c r="F2257" s="11" t="s">
        <v>8217</v>
      </c>
      <c r="G2257" s="11" t="s">
        <v>83</v>
      </c>
      <c r="H2257" s="11" t="s">
        <v>8218</v>
      </c>
      <c r="I2257" s="11" t="s">
        <v>8219</v>
      </c>
      <c r="J2257" s="12">
        <v>0.871</v>
      </c>
      <c r="K2257" s="13">
        <v>17</v>
      </c>
      <c r="L2257" s="14">
        <v>9610</v>
      </c>
      <c r="M2257" s="10">
        <v>7166</v>
      </c>
      <c r="N2257" s="10">
        <v>1061921</v>
      </c>
      <c r="O2257" s="10">
        <v>561950</v>
      </c>
      <c r="P2257" s="10">
        <v>1623871</v>
      </c>
    </row>
    <row r="2258" spans="1:16" ht="27" customHeight="1" x14ac:dyDescent="0.2">
      <c r="A2258" s="9" t="s">
        <v>8176</v>
      </c>
      <c r="B2258" s="10" t="s">
        <v>8216</v>
      </c>
      <c r="C2258" s="11" t="s">
        <v>8220</v>
      </c>
      <c r="D2258" s="11" t="s">
        <v>8221</v>
      </c>
      <c r="E2258" s="11" t="s">
        <v>57</v>
      </c>
      <c r="F2258" s="11" t="s">
        <v>8222</v>
      </c>
      <c r="G2258" s="11" t="s">
        <v>28</v>
      </c>
      <c r="H2258" s="11" t="s">
        <v>8222</v>
      </c>
      <c r="I2258" s="11" t="s">
        <v>8223</v>
      </c>
      <c r="J2258" s="12">
        <v>0.62260000000000004</v>
      </c>
      <c r="K2258" s="13">
        <v>1</v>
      </c>
      <c r="L2258" s="14">
        <v>212</v>
      </c>
      <c r="M2258" s="10">
        <v>132</v>
      </c>
      <c r="N2258" s="10">
        <v>23426</v>
      </c>
      <c r="O2258" s="10">
        <v>10351</v>
      </c>
      <c r="P2258" s="10">
        <v>33777</v>
      </c>
    </row>
    <row r="2259" spans="1:16" ht="27" customHeight="1" x14ac:dyDescent="0.2">
      <c r="A2259" s="9" t="s">
        <v>8224</v>
      </c>
      <c r="B2259" s="10" t="s">
        <v>8225</v>
      </c>
      <c r="C2259" s="11" t="s">
        <v>18</v>
      </c>
      <c r="D2259" s="11" t="s">
        <v>19</v>
      </c>
      <c r="E2259" s="11" t="s">
        <v>19</v>
      </c>
      <c r="F2259" s="11" t="s">
        <v>8226</v>
      </c>
      <c r="G2259" s="11" t="s">
        <v>21</v>
      </c>
      <c r="H2259" s="11" t="s">
        <v>8227</v>
      </c>
      <c r="I2259" s="11" t="s">
        <v>8228</v>
      </c>
      <c r="J2259" s="12">
        <v>0.93869999999999998</v>
      </c>
      <c r="K2259" s="13">
        <v>4</v>
      </c>
      <c r="L2259" s="14">
        <v>339</v>
      </c>
      <c r="M2259" s="10">
        <v>258</v>
      </c>
      <c r="N2259" s="10">
        <v>37460</v>
      </c>
      <c r="O2259" s="10">
        <v>20232</v>
      </c>
      <c r="P2259" s="10">
        <v>57692</v>
      </c>
    </row>
    <row r="2260" spans="1:16" ht="27" customHeight="1" x14ac:dyDescent="0.2">
      <c r="A2260" s="9" t="s">
        <v>8224</v>
      </c>
      <c r="B2260" s="10" t="s">
        <v>8225</v>
      </c>
      <c r="C2260" s="11" t="s">
        <v>8229</v>
      </c>
      <c r="D2260" s="11" t="s">
        <v>8230</v>
      </c>
      <c r="E2260" s="11" t="s">
        <v>26</v>
      </c>
      <c r="F2260" s="11" t="s">
        <v>8227</v>
      </c>
      <c r="G2260" s="11" t="s">
        <v>28</v>
      </c>
      <c r="H2260" s="11" t="s">
        <v>8227</v>
      </c>
      <c r="I2260" s="11" t="s">
        <v>8228</v>
      </c>
      <c r="J2260" s="12">
        <v>0.93869999999999998</v>
      </c>
      <c r="K2260" s="13">
        <v>1</v>
      </c>
      <c r="L2260" s="14">
        <v>163</v>
      </c>
      <c r="M2260" s="10">
        <v>153</v>
      </c>
      <c r="N2260" s="10">
        <v>18012</v>
      </c>
      <c r="O2260" s="10">
        <v>11998</v>
      </c>
      <c r="P2260" s="10">
        <v>30010</v>
      </c>
    </row>
    <row r="2261" spans="1:16" ht="27" customHeight="1" x14ac:dyDescent="0.2">
      <c r="A2261" s="9" t="s">
        <v>8224</v>
      </c>
      <c r="B2261" s="10" t="s">
        <v>8225</v>
      </c>
      <c r="C2261" s="11" t="s">
        <v>8231</v>
      </c>
      <c r="D2261" s="11" t="s">
        <v>8232</v>
      </c>
      <c r="E2261" s="11" t="s">
        <v>57</v>
      </c>
      <c r="F2261" s="11" t="s">
        <v>8233</v>
      </c>
      <c r="G2261" s="11" t="s">
        <v>28</v>
      </c>
      <c r="H2261" s="11" t="s">
        <v>8233</v>
      </c>
      <c r="I2261" s="11" t="s">
        <v>8234</v>
      </c>
      <c r="J2261" s="12">
        <v>0.8821</v>
      </c>
      <c r="K2261" s="13">
        <v>1</v>
      </c>
      <c r="L2261" s="14">
        <v>212</v>
      </c>
      <c r="M2261" s="10">
        <v>187</v>
      </c>
      <c r="N2261" s="10">
        <v>23426</v>
      </c>
      <c r="O2261" s="10">
        <v>14664</v>
      </c>
      <c r="P2261" s="10">
        <v>38090</v>
      </c>
    </row>
    <row r="2262" spans="1:16" ht="27" customHeight="1" x14ac:dyDescent="0.2">
      <c r="A2262" s="9" t="s">
        <v>8224</v>
      </c>
      <c r="B2262" s="10" t="s">
        <v>8235</v>
      </c>
      <c r="C2262" s="11" t="s">
        <v>18</v>
      </c>
      <c r="D2262" s="11" t="s">
        <v>19</v>
      </c>
      <c r="E2262" s="11" t="s">
        <v>19</v>
      </c>
      <c r="F2262" s="11" t="s">
        <v>8236</v>
      </c>
      <c r="G2262" s="11" t="s">
        <v>83</v>
      </c>
      <c r="H2262" s="11" t="s">
        <v>8236</v>
      </c>
      <c r="I2262" s="11" t="s">
        <v>8237</v>
      </c>
      <c r="J2262" s="12">
        <v>0.77780000000000005</v>
      </c>
      <c r="K2262" s="13">
        <v>2</v>
      </c>
      <c r="L2262" s="14">
        <v>54</v>
      </c>
      <c r="M2262" s="10">
        <v>42</v>
      </c>
      <c r="N2262" s="10">
        <v>5967</v>
      </c>
      <c r="O2262" s="10">
        <v>3294</v>
      </c>
      <c r="P2262" s="10">
        <v>9261</v>
      </c>
    </row>
    <row r="2263" spans="1:16" ht="27" customHeight="1" x14ac:dyDescent="0.2">
      <c r="A2263" s="9" t="s">
        <v>8224</v>
      </c>
      <c r="B2263" s="10" t="s">
        <v>8235</v>
      </c>
      <c r="C2263" s="11" t="s">
        <v>8238</v>
      </c>
      <c r="D2263" s="11" t="s">
        <v>8239</v>
      </c>
      <c r="E2263" s="11" t="s">
        <v>26</v>
      </c>
      <c r="F2263" s="11" t="s">
        <v>8240</v>
      </c>
      <c r="G2263" s="11" t="s">
        <v>28</v>
      </c>
      <c r="H2263" s="11" t="s">
        <v>8240</v>
      </c>
      <c r="I2263" s="11" t="s">
        <v>8241</v>
      </c>
      <c r="J2263" s="12">
        <v>0.50109999999999999</v>
      </c>
      <c r="K2263" s="13">
        <v>1</v>
      </c>
      <c r="L2263" s="14">
        <v>463</v>
      </c>
      <c r="M2263" s="10">
        <v>232</v>
      </c>
      <c r="N2263" s="10">
        <v>51162</v>
      </c>
      <c r="O2263" s="10">
        <v>18193</v>
      </c>
      <c r="P2263" s="10">
        <v>69355</v>
      </c>
    </row>
    <row r="2264" spans="1:16" ht="27" customHeight="1" x14ac:dyDescent="0.2">
      <c r="A2264" s="9" t="s">
        <v>8224</v>
      </c>
      <c r="B2264" s="10" t="s">
        <v>8242</v>
      </c>
      <c r="C2264" s="11" t="s">
        <v>18</v>
      </c>
      <c r="D2264" s="11" t="s">
        <v>19</v>
      </c>
      <c r="E2264" s="11" t="s">
        <v>19</v>
      </c>
      <c r="F2264" s="11" t="s">
        <v>8243</v>
      </c>
      <c r="G2264" s="11" t="s">
        <v>83</v>
      </c>
      <c r="H2264" s="11" t="s">
        <v>8244</v>
      </c>
      <c r="I2264" s="11" t="s">
        <v>8245</v>
      </c>
      <c r="J2264" s="12">
        <v>0.89639999999999997</v>
      </c>
      <c r="K2264" s="13">
        <v>23</v>
      </c>
      <c r="L2264" s="14">
        <v>10124</v>
      </c>
      <c r="M2264" s="10">
        <v>7444</v>
      </c>
      <c r="N2264" s="10">
        <v>1118718</v>
      </c>
      <c r="O2264" s="10">
        <v>583750</v>
      </c>
      <c r="P2264" s="10">
        <v>1702468</v>
      </c>
    </row>
    <row r="2265" spans="1:16" ht="27" customHeight="1" x14ac:dyDescent="0.2">
      <c r="A2265" s="9" t="s">
        <v>8224</v>
      </c>
      <c r="B2265" s="10" t="s">
        <v>8242</v>
      </c>
      <c r="C2265" s="11" t="s">
        <v>8246</v>
      </c>
      <c r="D2265" s="11" t="s">
        <v>8247</v>
      </c>
      <c r="E2265" s="11" t="s">
        <v>26</v>
      </c>
      <c r="F2265" s="11" t="s">
        <v>8248</v>
      </c>
      <c r="G2265" s="11" t="s">
        <v>28</v>
      </c>
      <c r="H2265" s="11" t="s">
        <v>8248</v>
      </c>
      <c r="I2265" s="11" t="s">
        <v>8249</v>
      </c>
      <c r="J2265" s="12">
        <v>0.46800000000000003</v>
      </c>
      <c r="K2265" s="13">
        <v>1</v>
      </c>
      <c r="L2265" s="14">
        <v>203</v>
      </c>
      <c r="M2265" s="10">
        <v>95</v>
      </c>
      <c r="N2265" s="10">
        <v>22432</v>
      </c>
      <c r="O2265" s="10">
        <v>7450</v>
      </c>
      <c r="P2265" s="10">
        <v>29882</v>
      </c>
    </row>
    <row r="2266" spans="1:16" ht="27" customHeight="1" x14ac:dyDescent="0.2">
      <c r="A2266" s="9" t="s">
        <v>8224</v>
      </c>
      <c r="B2266" s="10" t="s">
        <v>8242</v>
      </c>
      <c r="C2266" s="11" t="s">
        <v>8250</v>
      </c>
      <c r="D2266" s="11" t="s">
        <v>8251</v>
      </c>
      <c r="E2266" s="11" t="s">
        <v>57</v>
      </c>
      <c r="F2266" s="11" t="s">
        <v>8252</v>
      </c>
      <c r="G2266" s="11" t="s">
        <v>28</v>
      </c>
      <c r="H2266" s="11" t="s">
        <v>8227</v>
      </c>
      <c r="I2266" s="11" t="s">
        <v>8228</v>
      </c>
      <c r="J2266" s="12">
        <v>0.93869999999999998</v>
      </c>
      <c r="K2266" s="13">
        <v>1</v>
      </c>
      <c r="L2266" s="14">
        <v>362</v>
      </c>
      <c r="M2266" s="10">
        <v>194</v>
      </c>
      <c r="N2266" s="10">
        <v>40002</v>
      </c>
      <c r="O2266" s="10">
        <v>15213</v>
      </c>
      <c r="P2266" s="10">
        <v>55215</v>
      </c>
    </row>
    <row r="2267" spans="1:16" ht="27" customHeight="1" x14ac:dyDescent="0.2">
      <c r="A2267" s="9" t="s">
        <v>8224</v>
      </c>
      <c r="B2267" s="10" t="s">
        <v>8253</v>
      </c>
      <c r="C2267" s="11" t="s">
        <v>18</v>
      </c>
      <c r="D2267" s="11" t="s">
        <v>19</v>
      </c>
      <c r="E2267" s="11" t="s">
        <v>19</v>
      </c>
      <c r="F2267" s="11" t="s">
        <v>8254</v>
      </c>
      <c r="G2267" s="11" t="s">
        <v>83</v>
      </c>
      <c r="H2267" s="11" t="s">
        <v>8255</v>
      </c>
      <c r="I2267" s="11" t="s">
        <v>8256</v>
      </c>
      <c r="J2267" s="12">
        <v>0.37180000000000002</v>
      </c>
      <c r="K2267" s="13">
        <v>4</v>
      </c>
      <c r="L2267" s="14">
        <v>1511</v>
      </c>
      <c r="M2267" s="10">
        <v>561</v>
      </c>
      <c r="N2267" s="10">
        <v>166967</v>
      </c>
      <c r="O2267" s="10">
        <v>43994</v>
      </c>
      <c r="P2267" s="10">
        <v>210961</v>
      </c>
    </row>
    <row r="2268" spans="1:16" ht="27" customHeight="1" x14ac:dyDescent="0.2">
      <c r="A2268" s="9" t="s">
        <v>8224</v>
      </c>
      <c r="B2268" s="10" t="s">
        <v>8257</v>
      </c>
      <c r="C2268" s="11" t="s">
        <v>18</v>
      </c>
      <c r="D2268" s="11" t="s">
        <v>19</v>
      </c>
      <c r="E2268" s="11" t="s">
        <v>19</v>
      </c>
      <c r="F2268" s="11" t="s">
        <v>8258</v>
      </c>
      <c r="G2268" s="11" t="s">
        <v>83</v>
      </c>
      <c r="H2268" s="11" t="s">
        <v>8259</v>
      </c>
      <c r="I2268" s="11" t="s">
        <v>8260</v>
      </c>
      <c r="J2268" s="12">
        <v>0.55830000000000002</v>
      </c>
      <c r="K2268" s="13">
        <v>4</v>
      </c>
      <c r="L2268" s="14">
        <v>1393</v>
      </c>
      <c r="M2268" s="10">
        <v>692</v>
      </c>
      <c r="N2268" s="10">
        <v>153929</v>
      </c>
      <c r="O2268" s="10">
        <v>54265</v>
      </c>
      <c r="P2268" s="10">
        <v>208194</v>
      </c>
    </row>
    <row r="2269" spans="1:16" ht="27" customHeight="1" x14ac:dyDescent="0.2">
      <c r="A2269" s="9" t="s">
        <v>8224</v>
      </c>
      <c r="B2269" s="10" t="s">
        <v>8257</v>
      </c>
      <c r="C2269" s="11" t="s">
        <v>8261</v>
      </c>
      <c r="D2269" s="11" t="s">
        <v>8262</v>
      </c>
      <c r="E2269" s="11" t="s">
        <v>57</v>
      </c>
      <c r="F2269" s="11" t="s">
        <v>8263</v>
      </c>
      <c r="G2269" s="11" t="s">
        <v>28</v>
      </c>
      <c r="H2269" s="11" t="s">
        <v>8263</v>
      </c>
      <c r="I2269" s="11" t="s">
        <v>8264</v>
      </c>
      <c r="J2269" s="12">
        <v>0.4138</v>
      </c>
      <c r="K2269" s="13">
        <v>1</v>
      </c>
      <c r="L2269" s="14">
        <v>87</v>
      </c>
      <c r="M2269" s="10">
        <v>36</v>
      </c>
      <c r="N2269" s="10">
        <v>9614</v>
      </c>
      <c r="O2269" s="10">
        <v>2823</v>
      </c>
      <c r="P2269" s="10">
        <v>12437</v>
      </c>
    </row>
    <row r="2270" spans="1:16" ht="27" customHeight="1" x14ac:dyDescent="0.2">
      <c r="A2270" s="9" t="s">
        <v>8224</v>
      </c>
      <c r="B2270" s="18" t="s">
        <v>8265</v>
      </c>
      <c r="C2270" s="11" t="s">
        <v>18</v>
      </c>
      <c r="D2270" s="11" t="s">
        <v>19</v>
      </c>
      <c r="E2270" s="11" t="s">
        <v>19</v>
      </c>
      <c r="F2270" s="11" t="s">
        <v>8266</v>
      </c>
      <c r="G2270" s="11" t="s">
        <v>83</v>
      </c>
      <c r="H2270" s="11" t="s">
        <v>8227</v>
      </c>
      <c r="I2270" s="11" t="s">
        <v>8228</v>
      </c>
      <c r="J2270" s="12">
        <v>0.93869999999999998</v>
      </c>
      <c r="K2270" s="13">
        <v>4</v>
      </c>
      <c r="L2270" s="14">
        <v>1096</v>
      </c>
      <c r="M2270" s="10">
        <v>882</v>
      </c>
      <c r="N2270" s="10">
        <v>121110</v>
      </c>
      <c r="O2270" s="10">
        <v>69166</v>
      </c>
      <c r="P2270" s="10">
        <v>190276</v>
      </c>
    </row>
    <row r="2271" spans="1:16" ht="27" customHeight="1" x14ac:dyDescent="0.2">
      <c r="A2271" s="19" t="s">
        <v>8267</v>
      </c>
      <c r="B2271" s="20"/>
      <c r="C2271" s="20"/>
      <c r="D2271" s="20"/>
      <c r="E2271" s="20"/>
      <c r="F2271" s="20"/>
      <c r="G2271" s="20"/>
      <c r="H2271" s="21"/>
      <c r="I2271" s="21"/>
      <c r="J2271" s="22"/>
      <c r="K2271" s="23">
        <f>SUBTOTAL(109,Table135[Total Number of School Sites in LEA*
B-1])</f>
        <v>11272</v>
      </c>
      <c r="L2271" s="23">
        <f>SUBTOTAL(109,Table135[Total LEA Enrollment
B-2])</f>
        <v>5942256</v>
      </c>
      <c r="M2271" s="23">
        <f>SUBTOTAL(109,Table135[Total LEA FRPM Eligible Pupil Count
B-3])</f>
        <v>3588578</v>
      </c>
      <c r="N2271" s="24">
        <f>SUBTOTAL(109,Table135[AMS Funding Based on Share of Enrollment
C-1])</f>
        <v>656629390</v>
      </c>
      <c r="O2271" s="25">
        <f>SUBTOTAL(109,Table135[AMS Funding Based on Share of FRPM Eligible Pupils
C-2])</f>
        <v>281412610</v>
      </c>
      <c r="P2271" s="25">
        <f>SUBTOTAL(109,Table135[Preliminary AMS Entitlement
C-3])</f>
        <v>938042000</v>
      </c>
    </row>
    <row r="2272" spans="1:16" x14ac:dyDescent="0.2">
      <c r="A2272" s="26" t="s">
        <v>8268</v>
      </c>
    </row>
    <row r="2273" spans="1:1" x14ac:dyDescent="0.2">
      <c r="A2273" s="27" t="s">
        <v>8269</v>
      </c>
    </row>
    <row r="2274" spans="1:1" x14ac:dyDescent="0.2">
      <c r="A2274" s="27" t="s">
        <v>8270</v>
      </c>
    </row>
    <row r="2275" spans="1:1" x14ac:dyDescent="0.2">
      <c r="A2275" s="28" t="s">
        <v>8271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FundingComparison</vt:lpstr>
      <vt:lpstr>PivotTableReport</vt:lpstr>
      <vt:lpstr>Schools</vt:lpstr>
      <vt:lpstr>Schools (3)</vt:lpstr>
      <vt:lpstr>Schools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2023-11-04T15:54:54Z</dcterms:created>
  <dcterms:modified xsi:type="dcterms:W3CDTF">2023-11-04T22:31:17Z</dcterms:modified>
</cp:coreProperties>
</file>